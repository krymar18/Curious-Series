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2.xml" ContentType="application/vnd.openxmlformats-officedocument.drawingml.chart+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3.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https://datadriventv-my.sharepoint.com/personal/kostiantyn_rymar_ampersand_tv/Documents/Automation projects/Curious-Series/Downloads/"/>
    </mc:Choice>
  </mc:AlternateContent>
  <xr:revisionPtr revIDLastSave="7" documentId="11_DF6504303DDE7F892A35FB410F5D378276BB7F63" xr6:coauthVersionLast="47" xr6:coauthVersionMax="47" xr10:uidLastSave="{2B5FC4FF-A8F3-47F5-83EA-7F9880F1E92E}"/>
  <bookViews>
    <workbookView xWindow="-26805" yWindow="-930" windowWidth="21600" windowHeight="11295" tabRatio="1000" firstSheet="1" activeTab="2" xr2:uid="{00000000-000D-0000-FFFF-FFFF00000000}"/>
  </bookViews>
  <sheets>
    <sheet name="COVER" sheetId="2" r:id="rId1"/>
    <sheet name="NETWORK RANKER BY REACH &amp; INDEX" sheetId="6" r:id="rId2"/>
    <sheet name="NETWORK INDEX RANK BY DAYPART" sheetId="10" r:id="rId3"/>
    <sheet name="AUDIENCE VIEWING BY SOURCE" sheetId="8" r:id="rId4"/>
    <sheet name="AUDIENCE TIME SPENT BY DAYPART" sheetId="12" r:id="rId5"/>
    <sheet name="Index-Reach" sheetId="3" r:id="rId6"/>
    <sheet name="Cable-BC Breakdown" sheetId="4" r:id="rId7"/>
    <sheet name="Daypart Breakdown" sheetId="11" r:id="rId8"/>
  </sheets>
  <definedNames>
    <definedName name="Slicer_AMPERSAND_INSERTABLE">#N/A</definedName>
    <definedName name="Slicer_AMPERSAND_INSERTABLE1">#N/A</definedName>
    <definedName name="Slicer_Cable_Broadcast_Breakdown">#N/A</definedName>
    <definedName name="Slicer_Daypart_breakdown">#N/A</definedName>
    <definedName name="Slicer_DAYPARTS">#N/A</definedName>
    <definedName name="Slicer_DMA">#N/A</definedName>
    <definedName name="Slicer_DMA1">#N/A</definedName>
    <definedName name="Slicer_TYPE">#N/A</definedName>
    <definedName name="Slicer_TYPE1">#N/A</definedName>
  </definedNames>
  <calcPr calcId="191029"/>
  <pivotCaches>
    <pivotCache cacheId="10" r:id="rId9"/>
    <pivotCache cacheId="14" r:id="rId10"/>
    <pivotCache cacheId="18" r:id="rId11"/>
  </pivotCaches>
  <extLst>
    <ext xmlns:x14="http://schemas.microsoft.com/office/spreadsheetml/2009/9/main" uri="{BBE1A952-AA13-448e-AADC-164F8A28A991}">
      <x14:slicerCaches>
        <x14:slicerCache r:id="rId12"/>
        <x14:slicerCache r:id="rId13"/>
        <x14:slicerCache r:id="rId14"/>
        <x14:slicerCache r:id="rId15"/>
        <x14:slicerCache r:id="rId16"/>
        <x14:slicerCache r:id="rId17"/>
        <x14:slicerCache r:id="rId18"/>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4" i="6" l="1"/>
  <c r="C10" i="12"/>
  <c r="C9" i="12"/>
  <c r="C8" i="12"/>
  <c r="C7" i="12"/>
  <c r="C7" i="8"/>
  <c r="C6" i="8"/>
  <c r="C5" i="8"/>
  <c r="C4" i="8"/>
  <c r="C7" i="10"/>
  <c r="C6" i="10"/>
  <c r="C5" i="10"/>
  <c r="C4" i="10"/>
  <c r="M48" i="6"/>
  <c r="L48" i="6"/>
  <c r="K48" i="6"/>
  <c r="M47" i="6"/>
  <c r="L47" i="6"/>
  <c r="K47" i="6"/>
  <c r="M46" i="6"/>
  <c r="L46" i="6"/>
  <c r="K46" i="6"/>
  <c r="M45" i="6"/>
  <c r="L45" i="6"/>
  <c r="K45" i="6"/>
  <c r="M44" i="6"/>
  <c r="L44" i="6"/>
  <c r="K44" i="6"/>
  <c r="M43" i="6"/>
  <c r="L43" i="6"/>
  <c r="K43" i="6"/>
  <c r="M42" i="6"/>
  <c r="L42" i="6"/>
  <c r="K42" i="6"/>
  <c r="M41" i="6"/>
  <c r="L41" i="6"/>
  <c r="K41" i="6"/>
  <c r="M40" i="6"/>
  <c r="L40" i="6"/>
  <c r="K40" i="6"/>
  <c r="M39" i="6"/>
  <c r="L39" i="6"/>
  <c r="K39" i="6"/>
  <c r="M38" i="6"/>
  <c r="L38" i="6"/>
  <c r="K38" i="6"/>
  <c r="M37" i="6"/>
  <c r="L37" i="6"/>
  <c r="K37" i="6"/>
  <c r="M36" i="6"/>
  <c r="L36" i="6"/>
  <c r="K36" i="6"/>
  <c r="M35" i="6"/>
  <c r="L35" i="6"/>
  <c r="K35" i="6"/>
  <c r="M34" i="6"/>
  <c r="L34" i="6"/>
  <c r="K34" i="6"/>
  <c r="M33" i="6"/>
  <c r="L33" i="6"/>
  <c r="K33" i="6"/>
  <c r="M32" i="6"/>
  <c r="L32" i="6"/>
  <c r="K32" i="6"/>
  <c r="M31" i="6"/>
  <c r="L31" i="6"/>
  <c r="K31" i="6"/>
  <c r="M30" i="6"/>
  <c r="L30" i="6"/>
  <c r="K30" i="6"/>
  <c r="M29" i="6"/>
  <c r="L29" i="6"/>
  <c r="K29" i="6"/>
  <c r="M28" i="6"/>
  <c r="L28" i="6"/>
  <c r="K28" i="6"/>
  <c r="M27" i="6"/>
  <c r="L27" i="6"/>
  <c r="K27" i="6"/>
  <c r="M26" i="6"/>
  <c r="L26" i="6"/>
  <c r="K26" i="6"/>
  <c r="M25" i="6"/>
  <c r="L25" i="6"/>
  <c r="K25" i="6"/>
  <c r="M24" i="6"/>
  <c r="L24" i="6"/>
  <c r="K24" i="6"/>
  <c r="M23" i="6"/>
  <c r="L23" i="6"/>
  <c r="K23" i="6"/>
  <c r="M22" i="6"/>
  <c r="L22" i="6"/>
  <c r="K22" i="6"/>
  <c r="M21" i="6"/>
  <c r="L21" i="6"/>
  <c r="K21" i="6"/>
  <c r="M20" i="6"/>
  <c r="L20" i="6"/>
  <c r="K20" i="6"/>
  <c r="M19" i="6"/>
  <c r="L19" i="6"/>
  <c r="K19" i="6"/>
  <c r="M18" i="6"/>
  <c r="L18" i="6"/>
  <c r="K18" i="6"/>
  <c r="C7" i="6"/>
  <c r="C6" i="6"/>
  <c r="C5" i="6"/>
  <c r="C20" i="2"/>
  <c r="C19" i="2"/>
  <c r="C18" i="2"/>
  <c r="E33" i="8"/>
</calcChain>
</file>

<file path=xl/sharedStrings.xml><?xml version="1.0" encoding="utf-8"?>
<sst xmlns="http://schemas.openxmlformats.org/spreadsheetml/2006/main" count="48659" uniqueCount="240">
  <si>
    <r>
      <t>The</t>
    </r>
    <r>
      <rPr>
        <b/>
        <sz val="36"/>
        <color rgb="FF81D947"/>
        <rFont val="Century Gothic"/>
        <family val="2"/>
      </rPr>
      <t xml:space="preserve"> AND </t>
    </r>
    <r>
      <rPr>
        <b/>
        <sz val="36"/>
        <color rgb="FF151F6D"/>
        <rFont val="Century Gothic"/>
        <family val="2"/>
      </rPr>
      <t>Platform</t>
    </r>
  </si>
  <si>
    <t xml:space="preserve"> D+F CAMPAIGN PLANNING WORKSPACE</t>
  </si>
  <si>
    <t>NETWORK</t>
  </si>
  <si>
    <t>DAYPARTS</t>
  </si>
  <si>
    <t>AMC</t>
  </si>
  <si>
    <t>CNBC</t>
  </si>
  <si>
    <t>CNN</t>
  </si>
  <si>
    <t>CMDY</t>
  </si>
  <si>
    <t>ENT</t>
  </si>
  <si>
    <t>ESPN</t>
  </si>
  <si>
    <t>FOOD</t>
  </si>
  <si>
    <t>FX</t>
  </si>
  <si>
    <t>FS1</t>
  </si>
  <si>
    <t>HALL</t>
  </si>
  <si>
    <t>HGTV</t>
  </si>
  <si>
    <t>NICK</t>
  </si>
  <si>
    <t>PAR</t>
  </si>
  <si>
    <t>SECN</t>
  </si>
  <si>
    <t>HIST</t>
  </si>
  <si>
    <t>TNT</t>
  </si>
  <si>
    <t>USA</t>
  </si>
  <si>
    <r>
      <t>The</t>
    </r>
    <r>
      <rPr>
        <b/>
        <sz val="20"/>
        <color rgb="FF151F6D"/>
        <rFont val="Century Gothic"/>
        <family val="2"/>
      </rPr>
      <t xml:space="preserve"> </t>
    </r>
    <r>
      <rPr>
        <b/>
        <sz val="20"/>
        <color rgb="FF81D947"/>
        <rFont val="Century Gothic"/>
        <family val="2"/>
      </rPr>
      <t>AND</t>
    </r>
    <r>
      <rPr>
        <sz val="20"/>
        <color rgb="FF151F6D"/>
        <rFont val="Century Gothic"/>
        <family val="2"/>
      </rPr>
      <t xml:space="preserve"> Platform</t>
    </r>
  </si>
  <si>
    <r>
      <t>DEFINE</t>
    </r>
    <r>
      <rPr>
        <sz val="16"/>
        <color rgb="FF151F6D"/>
        <rFont val="Century Gothic"/>
        <family val="2"/>
      </rPr>
      <t xml:space="preserve"> + </t>
    </r>
    <r>
      <rPr>
        <sz val="14"/>
        <color rgb="FF151F6D"/>
        <rFont val="Century Gothic"/>
        <family val="2"/>
      </rPr>
      <t>FIND</t>
    </r>
  </si>
  <si>
    <t>Client:</t>
  </si>
  <si>
    <t>Market(s):</t>
  </si>
  <si>
    <t>Segment(s):</t>
  </si>
  <si>
    <t>Time Period:</t>
  </si>
  <si>
    <t>Source: Ampersand AND Platform</t>
  </si>
  <si>
    <t>Source: Ampersand AND D+F Platform Data Export - Confidential and proprietary information</t>
  </si>
  <si>
    <t>Export Template version = 1Q2022</t>
  </si>
  <si>
    <t>ENTER CLIENT NAME HERE</t>
  </si>
  <si>
    <t xml:space="preserve"> AUDIENCE REACH</t>
  </si>
  <si>
    <t>Legend</t>
  </si>
  <si>
    <t>115+</t>
  </si>
  <si>
    <t>100-114</t>
  </si>
  <si>
    <t>90-99</t>
  </si>
  <si>
    <t>89-</t>
  </si>
  <si>
    <t>Weekend</t>
  </si>
  <si>
    <t>Values</t>
  </si>
  <si>
    <t xml:space="preserve"> Broadcast</t>
  </si>
  <si>
    <t xml:space="preserve"> Cable</t>
  </si>
  <si>
    <t>Share of time spent with cable nets:</t>
  </si>
  <si>
    <t xml:space="preserve"> AUDIENCE INDEX</t>
  </si>
  <si>
    <t>Early Fringe</t>
  </si>
  <si>
    <t>Daytime</t>
  </si>
  <si>
    <t xml:space="preserve"> Late fringe</t>
  </si>
  <si>
    <t>All Day</t>
  </si>
  <si>
    <t>Prime</t>
  </si>
  <si>
    <t xml:space="preserve"> Daytime</t>
  </si>
  <si>
    <t xml:space="preserve"> Early fringe</t>
  </si>
  <si>
    <t xml:space="preserve"> Weekend</t>
  </si>
  <si>
    <t>Dayparts</t>
  </si>
  <si>
    <t xml:space="preserve"> Prime</t>
  </si>
  <si>
    <t>Audience Segment viewing across Dayparts</t>
  </si>
  <si>
    <t xml:space="preserve">Deterministic STB Data profiles media consumption habits of the target Audience Segment    </t>
  </si>
  <si>
    <t>Provides granular insights to align Media daypart allocations with Audience Segment consumption</t>
  </si>
  <si>
    <t>Early morning</t>
  </si>
  <si>
    <t>The Power of AND</t>
  </si>
  <si>
    <t>The AND Platform Define + Find</t>
  </si>
  <si>
    <t>Audience</t>
  </si>
  <si>
    <t>Experian &gt; Experian Household Segments &gt; Lifestyles - Standard &gt; Domestic Travel</t>
  </si>
  <si>
    <t>Month</t>
  </si>
  <si>
    <t>February 2026</t>
  </si>
  <si>
    <t>DMA</t>
  </si>
  <si>
    <t>Atlanta, Chicago, Dallas/Ft. Worth, Los Angeles, New York, Seattle/Tacoma</t>
  </si>
  <si>
    <t>Source</t>
  </si>
  <si>
    <t>Ampersand TV Viewership Insights</t>
  </si>
  <si>
    <t>AMPERSAND INSERTABLE</t>
  </si>
  <si>
    <t>TYPE</t>
  </si>
  <si>
    <t>AUDIENCE INDEX</t>
  </si>
  <si>
    <t>AUDIENCE REACH</t>
  </si>
  <si>
    <t>Yes</t>
  </si>
  <si>
    <t>AEN</t>
  </si>
  <si>
    <t xml:space="preserve">Atlanta         </t>
  </si>
  <si>
    <t>Cable</t>
  </si>
  <si>
    <t>M-Su 6a-6a  All day</t>
  </si>
  <si>
    <t>M-F 6a-9a  Early Morning (Part)</t>
  </si>
  <si>
    <t>M-F 9a-4p  Daytime</t>
  </si>
  <si>
    <t>M-F 4p-7p  Early fringe</t>
  </si>
  <si>
    <t>M-Su 7p-12m  Prime time</t>
  </si>
  <si>
    <t>M-Su 12m-2a  Late fringe</t>
  </si>
  <si>
    <t>M-Su 1a-6a  Overnight</t>
  </si>
  <si>
    <t>Sa-Su 6a-7p  Weekend</t>
  </si>
  <si>
    <t>M-F 4a to 7a  Early morning local news</t>
  </si>
  <si>
    <t>M-F 4p to 6p  Early fringe local news</t>
  </si>
  <si>
    <t>M-Su 11p to 12m  East/West Late News (11-12)</t>
  </si>
  <si>
    <t>M-Su 10p-11p  East/West Late News (10-11)</t>
  </si>
  <si>
    <t>M-Su 9p-10p  Central/mountain late news</t>
  </si>
  <si>
    <t>M-Su 5a-9a  Early Morning (Full)</t>
  </si>
  <si>
    <t>No</t>
  </si>
  <si>
    <t>ABC</t>
  </si>
  <si>
    <t>Broadcast</t>
  </si>
  <si>
    <t>ACCN</t>
  </si>
  <si>
    <t>AHC</t>
  </si>
  <si>
    <t>APL</t>
  </si>
  <si>
    <t>ASPIRE</t>
  </si>
  <si>
    <t>AXS</t>
  </si>
  <si>
    <t>BBCA</t>
  </si>
  <si>
    <t>BEIN</t>
  </si>
  <si>
    <t>BHER</t>
  </si>
  <si>
    <t>B10N</t>
  </si>
  <si>
    <t>BET</t>
  </si>
  <si>
    <t>BLOOM</t>
  </si>
  <si>
    <t>BOOM</t>
  </si>
  <si>
    <t>BRAVO</t>
  </si>
  <si>
    <t>TOON</t>
  </si>
  <si>
    <t>CBS</t>
  </si>
  <si>
    <t>CBSS</t>
  </si>
  <si>
    <t>CNNE</t>
  </si>
  <si>
    <t>CNNI</t>
  </si>
  <si>
    <t>CC</t>
  </si>
  <si>
    <t>CMT</t>
  </si>
  <si>
    <t>CIN</t>
  </si>
  <si>
    <t>CW</t>
  </si>
  <si>
    <t>CWPLUS</t>
  </si>
  <si>
    <t>DEST</t>
  </si>
  <si>
    <t>DFC</t>
  </si>
  <si>
    <t>DISC</t>
  </si>
  <si>
    <t>DISCE</t>
  </si>
  <si>
    <t>DLIF</t>
  </si>
  <si>
    <t>DSNY</t>
  </si>
  <si>
    <t>DXD</t>
  </si>
  <si>
    <t>ESPND</t>
  </si>
  <si>
    <t>ESPN2</t>
  </si>
  <si>
    <t>ESPNN</t>
  </si>
  <si>
    <t>ESPNU</t>
  </si>
  <si>
    <t>FOX</t>
  </si>
  <si>
    <t>FBN</t>
  </si>
  <si>
    <t>FXDEP</t>
  </si>
  <si>
    <t>FNC</t>
  </si>
  <si>
    <t>FS2</t>
  </si>
  <si>
    <t>FSSO</t>
  </si>
  <si>
    <t>FREEFRM</t>
  </si>
  <si>
    <t>FUSE</t>
  </si>
  <si>
    <t>FXM</t>
  </si>
  <si>
    <t>RETRO</t>
  </si>
  <si>
    <t>FXX</t>
  </si>
  <si>
    <t>FYI</t>
  </si>
  <si>
    <t>GALA</t>
  </si>
  <si>
    <t>GOLF</t>
  </si>
  <si>
    <t>GAC</t>
  </si>
  <si>
    <t>GSN</t>
  </si>
  <si>
    <t>HALLDR</t>
  </si>
  <si>
    <t>HMM</t>
  </si>
  <si>
    <t>HLN</t>
  </si>
  <si>
    <t>IFC</t>
  </si>
  <si>
    <t>ID</t>
  </si>
  <si>
    <t>ION</t>
  </si>
  <si>
    <t>LMN</t>
  </si>
  <si>
    <t>LIF</t>
  </si>
  <si>
    <t>LOGO</t>
  </si>
  <si>
    <t>MAG</t>
  </si>
  <si>
    <t>MNOW</t>
  </si>
  <si>
    <t>MLBN</t>
  </si>
  <si>
    <t>MT</t>
  </si>
  <si>
    <t>MTV</t>
  </si>
  <si>
    <t>MTV2</t>
  </si>
  <si>
    <t>NGWD</t>
  </si>
  <si>
    <t>NBC</t>
  </si>
  <si>
    <t>NGC</t>
  </si>
  <si>
    <t>NHLN</t>
  </si>
  <si>
    <t>NBATV</t>
  </si>
  <si>
    <t>UVSO</t>
  </si>
  <si>
    <t>NFLN</t>
  </si>
  <si>
    <t>NICJR</t>
  </si>
  <si>
    <t>NIKTN</t>
  </si>
  <si>
    <t>TVL</t>
  </si>
  <si>
    <t>OWN</t>
  </si>
  <si>
    <t>OUTD</t>
  </si>
  <si>
    <t>OVATION</t>
  </si>
  <si>
    <t>OXYG</t>
  </si>
  <si>
    <t>PBS</t>
  </si>
  <si>
    <t>POP</t>
  </si>
  <si>
    <t>REELZ</t>
  </si>
  <si>
    <t>SCI</t>
  </si>
  <si>
    <t>SMITH</t>
  </si>
  <si>
    <t>SPRTMAN</t>
  </si>
  <si>
    <t>SUND</t>
  </si>
  <si>
    <t>SYFY</t>
  </si>
  <si>
    <t>TBS</t>
  </si>
  <si>
    <t>TELE</t>
  </si>
  <si>
    <t>INSP</t>
  </si>
  <si>
    <t>TLC</t>
  </si>
  <si>
    <t>TENNIS</t>
  </si>
  <si>
    <t>TWC</t>
  </si>
  <si>
    <t>TR3S</t>
  </si>
  <si>
    <t>TRAV</t>
  </si>
  <si>
    <t>TRU</t>
  </si>
  <si>
    <t>UDN</t>
  </si>
  <si>
    <t>TV1</t>
  </si>
  <si>
    <t>UNIMAS</t>
  </si>
  <si>
    <t>UNIV</t>
  </si>
  <si>
    <t>UP</t>
  </si>
  <si>
    <t>VH1</t>
  </si>
  <si>
    <t>VICE</t>
  </si>
  <si>
    <t>WETV</t>
  </si>
  <si>
    <t xml:space="preserve">Chicago         </t>
  </si>
  <si>
    <t>Dallas/Ft. Worth</t>
  </si>
  <si>
    <t>AZTECA</t>
  </si>
  <si>
    <t>SUR</t>
  </si>
  <si>
    <t>FSSW</t>
  </si>
  <si>
    <t>HISTE</t>
  </si>
  <si>
    <t>LRW</t>
  </si>
  <si>
    <t>WAPA</t>
  </si>
  <si>
    <t xml:space="preserve">Los Angeles     </t>
  </si>
  <si>
    <t>FSSD</t>
  </si>
  <si>
    <t>FSW</t>
  </si>
  <si>
    <t>FSPT</t>
  </si>
  <si>
    <t>SPNWLA</t>
  </si>
  <si>
    <t>SPSN</t>
  </si>
  <si>
    <t>SPSNLA</t>
  </si>
  <si>
    <t>YURVW</t>
  </si>
  <si>
    <t xml:space="preserve">New York        </t>
  </si>
  <si>
    <t>MSG</t>
  </si>
  <si>
    <t>NBCSPH</t>
  </si>
  <si>
    <t>NESN</t>
  </si>
  <si>
    <t>NY1N</t>
  </si>
  <si>
    <t>N12P</t>
  </si>
  <si>
    <t>N12</t>
  </si>
  <si>
    <t>SPNWHV</t>
  </si>
  <si>
    <t>NY1</t>
  </si>
  <si>
    <t>SNY</t>
  </si>
  <si>
    <t>YES</t>
  </si>
  <si>
    <t xml:space="preserve">Seattle/Tacoma  </t>
  </si>
  <si>
    <t>RTNW</t>
  </si>
  <si>
    <t>Cable/Broadcast Breakdown</t>
  </si>
  <si>
    <t>Chicago</t>
  </si>
  <si>
    <t>New York</t>
  </si>
  <si>
    <t>Seattle/Tacoma</t>
  </si>
  <si>
    <t>Atlanta</t>
  </si>
  <si>
    <t>Los Angeles</t>
  </si>
  <si>
    <t>Daypart breakdown</t>
  </si>
  <si>
    <t>M-Su 5a-9a Early Morning</t>
  </si>
  <si>
    <t>M-F 9a-4p Daytime</t>
  </si>
  <si>
    <t>M-F 4p-7p Early fringe</t>
  </si>
  <si>
    <t>M-Su 7p-12m Prime time</t>
  </si>
  <si>
    <t>M-Su 12m-2a Late fringe</t>
  </si>
  <si>
    <t>Sa-Su 6a-7p Weekend</t>
  </si>
  <si>
    <t>Early Morning</t>
  </si>
  <si>
    <t>Overnight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</si>
</sst>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39" x14ac:knownFonts="1">
    <font>
      <sz val="10"/>
      <color theme="1"/>
      <name val="Calibri"/>
      <family val="2"/>
    </font>
    <font>
      <sz val="11"/>
      <color theme="1"/>
      <name val="Calibri"/>
      <family val="2"/>
      <scheme val="minor"/>
    </font>
    <font>
      <b/>
      <sz val="36"/>
      <color rgb="FF151F6D"/>
      <name val="Century Gothic"/>
      <family val="2"/>
    </font>
    <font>
      <b/>
      <sz val="36"/>
      <color rgb="FF81D947"/>
      <name val="Century Gothic"/>
      <family val="2"/>
    </font>
    <font>
      <sz val="11"/>
      <color rgb="FF151F6D"/>
      <name val="Century Gothic"/>
      <family val="2"/>
    </font>
    <font>
      <sz val="11"/>
      <color rgb="FF0068FF"/>
      <name val="Century Gothic"/>
      <family val="2"/>
    </font>
    <font>
      <b/>
      <sz val="24"/>
      <color rgb="FF151F6D"/>
      <name val="Century Gothic"/>
      <family val="2"/>
    </font>
    <font>
      <b/>
      <sz val="18"/>
      <color rgb="FF151F6D"/>
      <name val="Century Gothic"/>
      <family val="2"/>
    </font>
    <font>
      <b/>
      <sz val="22"/>
      <color rgb="FF81D947"/>
      <name val="Century Gothic"/>
      <family val="2"/>
    </font>
    <font>
      <b/>
      <sz val="12"/>
      <color rgb="FF151F6D"/>
      <name val="Century Gothic"/>
      <family val="2"/>
    </font>
    <font>
      <b/>
      <sz val="14"/>
      <color rgb="FF151F6D"/>
      <name val="Century Gothic"/>
      <family val="2"/>
    </font>
    <font>
      <b/>
      <sz val="20"/>
      <color rgb="FF151F6D"/>
      <name val="Century Gothic"/>
      <family val="2"/>
    </font>
    <font>
      <sz val="16"/>
      <color rgb="FF151F6D"/>
      <name val="Century Gothic"/>
      <family val="2"/>
    </font>
    <font>
      <sz val="7"/>
      <color theme="0" tint="-0.49995422223578601"/>
      <name val="Century Gothic"/>
      <family val="2"/>
    </font>
    <font>
      <sz val="20"/>
      <color rgb="FF151F6D"/>
      <name val="Century Gothic"/>
      <family val="2"/>
    </font>
    <font>
      <b/>
      <sz val="20"/>
      <color rgb="FF81D947"/>
      <name val="Century Gothic"/>
      <family val="2"/>
    </font>
    <font>
      <sz val="9"/>
      <color rgb="FF151F6D"/>
      <name val="Century Gothic"/>
      <family val="2"/>
    </font>
    <font>
      <sz val="9"/>
      <color rgb="FF151F6D"/>
      <name val="Segoe UI"/>
      <family val="2"/>
    </font>
    <font>
      <sz val="9"/>
      <color theme="1"/>
      <name val="Segoe UI"/>
      <family val="2"/>
    </font>
    <font>
      <sz val="9"/>
      <color theme="1"/>
      <name val="Century Gothic"/>
      <family val="2"/>
    </font>
    <font>
      <sz val="14"/>
      <color rgb="FF151F6D"/>
      <name val="Century Gothic"/>
      <family val="2"/>
    </font>
    <font>
      <b/>
      <sz val="10"/>
      <color theme="1"/>
      <name val="Century Gothic"/>
      <family val="2"/>
    </font>
    <font>
      <b/>
      <sz val="9"/>
      <color rgb="FF151F6D"/>
      <name val="Segoe UI"/>
      <family val="2"/>
    </font>
    <font>
      <sz val="9"/>
      <color rgb="FF002060"/>
      <name val="Century Gothic"/>
      <family val="2"/>
    </font>
    <font>
      <sz val="11"/>
      <color theme="1"/>
      <name val="Century Gothic"/>
      <family val="2"/>
    </font>
    <font>
      <b/>
      <sz val="8"/>
      <color rgb="FF0070C0"/>
      <name val="Century Gothic"/>
      <family val="2"/>
    </font>
    <font>
      <sz val="8"/>
      <color theme="1" tint="0.49995422223578601"/>
      <name val="Century Gothic"/>
      <family val="2"/>
    </font>
    <font>
      <sz val="9"/>
      <color rgb="FFFF0000"/>
      <name val="Century Gothic"/>
      <family val="2"/>
    </font>
    <font>
      <sz val="7"/>
      <color theme="1" tint="0.49995422223578601"/>
      <name val="Century Gothic"/>
      <family val="2"/>
    </font>
    <font>
      <b/>
      <sz val="11"/>
      <color rgb="FF151F6D"/>
      <name val="Century Gothic"/>
      <family val="2"/>
    </font>
    <font>
      <b/>
      <sz val="18"/>
      <color theme="5"/>
      <name val="Century Gothic"/>
      <family val="2"/>
    </font>
    <font>
      <sz val="7"/>
      <color rgb="FF151F6D"/>
      <name val="Century Gothic"/>
      <family val="2"/>
    </font>
    <font>
      <sz val="10"/>
      <name val="Arial"/>
      <family val="2"/>
    </font>
    <font>
      <sz val="9"/>
      <color theme="0"/>
      <name val="Century Gothic"/>
      <family val="2"/>
    </font>
    <font>
      <sz val="11"/>
      <color theme="0"/>
      <name val="Calibri"/>
      <family val="2"/>
      <scheme val="minor"/>
    </font>
    <font>
      <sz val="10"/>
      <color rgb="FFFF0000"/>
      <name val="Calibri"/>
      <family val="2"/>
    </font>
    <font>
      <sz val="8"/>
      <color rgb="FF151F6D"/>
      <name val="Century Gothic"/>
      <family val="2"/>
    </font>
    <font>
      <sz val="12"/>
      <color rgb="FF151F6D"/>
      <name val="Century Gothic"/>
      <family val="2"/>
    </font>
    <font>
      <sz val="10"/>
      <color theme="1"/>
      <name val="Calibri"/>
      <family val="2"/>
    </font>
  </fonts>
  <fills count="5">
    <fill>
      <patternFill patternType="none"/>
    </fill>
    <fill>
      <patternFill patternType="gray125"/>
    </fill>
    <fill>
      <patternFill patternType="solid">
        <fgColor rgb="FFCFFBFD"/>
        <bgColor indexed="64"/>
      </patternFill>
    </fill>
    <fill>
      <patternFill patternType="solid">
        <fgColor theme="4" tint="0.39997558519241921"/>
        <bgColor indexed="64"/>
      </patternFill>
    </fill>
    <fill>
      <patternFill patternType="solid">
        <fgColor theme="3" tint="0.79995117038483843"/>
        <bgColor indexed="64"/>
      </patternFill>
    </fill>
  </fills>
  <borders count="1">
    <border>
      <left/>
      <right/>
      <top/>
      <bottom/>
      <diagonal/>
    </border>
  </borders>
  <cellStyleXfs count="5">
    <xf numFmtId="0" fontId="0" fillId="0" borderId="0"/>
    <xf numFmtId="9" fontId="38" fillId="0" borderId="0" applyFont="0" applyFill="0" applyBorder="0" applyAlignment="0" applyProtection="0"/>
    <xf numFmtId="0" fontId="1" fillId="0" borderId="0"/>
    <xf numFmtId="0" fontId="32" fillId="0" borderId="0"/>
    <xf numFmtId="9" fontId="32" fillId="0" borderId="0" applyFont="0" applyFill="0" applyBorder="0" applyAlignment="0" applyProtection="0"/>
  </cellStyleXfs>
  <cellXfs count="82">
    <xf numFmtId="0" fontId="0" fillId="0" borderId="0" xfId="0"/>
    <xf numFmtId="0" fontId="4" fillId="0" borderId="0" xfId="2" applyFont="1"/>
    <xf numFmtId="0" fontId="5" fillId="0" borderId="0" xfId="2" applyFont="1"/>
    <xf numFmtId="0" fontId="6" fillId="0" borderId="0" xfId="2" applyFont="1" applyAlignment="1">
      <alignment vertical="center"/>
    </xf>
    <xf numFmtId="0" fontId="6" fillId="0" borderId="0" xfId="2" applyFont="1" applyAlignment="1">
      <alignment horizontal="center" vertical="center"/>
    </xf>
    <xf numFmtId="0" fontId="6" fillId="0" borderId="0" xfId="2" applyFont="1" applyAlignment="1">
      <alignment horizontal="center" vertical="center" wrapText="1"/>
    </xf>
    <xf numFmtId="0" fontId="4" fillId="0" borderId="0" xfId="2" applyFont="1" applyAlignment="1">
      <alignment horizontal="center" vertical="center"/>
    </xf>
    <xf numFmtId="0" fontId="11" fillId="0" borderId="0" xfId="2" applyFont="1" applyAlignment="1">
      <alignment vertical="center" wrapText="1"/>
    </xf>
    <xf numFmtId="0" fontId="14" fillId="0" borderId="0" xfId="2" applyFont="1" applyAlignment="1">
      <alignment horizontal="left" vertical="center"/>
    </xf>
    <xf numFmtId="0" fontId="16" fillId="0" borderId="0" xfId="2" applyFont="1" applyAlignment="1">
      <alignment horizontal="center" vertical="center" wrapText="1"/>
    </xf>
    <xf numFmtId="0" fontId="17" fillId="0" borderId="0" xfId="2" applyFont="1" applyAlignment="1">
      <alignment horizontal="center" vertical="center" wrapText="1"/>
    </xf>
    <xf numFmtId="0" fontId="18" fillId="0" borderId="0" xfId="2" applyFont="1" applyAlignment="1">
      <alignment horizontal="center" vertical="center" wrapText="1"/>
    </xf>
    <xf numFmtId="0" fontId="19" fillId="0" borderId="0" xfId="2" applyFont="1" applyAlignment="1">
      <alignment horizontal="center" vertical="center" wrapText="1"/>
    </xf>
    <xf numFmtId="0" fontId="20" fillId="0" borderId="0" xfId="2" applyFont="1" applyAlignment="1">
      <alignment horizontal="left" vertical="center"/>
    </xf>
    <xf numFmtId="0" fontId="21" fillId="0" borderId="0" xfId="2" applyFont="1" applyAlignment="1">
      <alignment horizontal="center" vertical="center"/>
    </xf>
    <xf numFmtId="0" fontId="19" fillId="0" borderId="0" xfId="2" applyFont="1" applyAlignment="1">
      <alignment horizontal="center" vertical="center"/>
    </xf>
    <xf numFmtId="0" fontId="18" fillId="0" borderId="0" xfId="2" applyFont="1" applyAlignment="1">
      <alignment horizontal="left" vertical="top"/>
    </xf>
    <xf numFmtId="0" fontId="16" fillId="0" borderId="0" xfId="2" applyFont="1" applyAlignment="1">
      <alignment horizontal="left" vertical="center"/>
    </xf>
    <xf numFmtId="0" fontId="22" fillId="0" borderId="0" xfId="2" applyFont="1" applyAlignment="1">
      <alignment horizontal="left" vertical="center"/>
    </xf>
    <xf numFmtId="0" fontId="17" fillId="0" borderId="0" xfId="2" applyFont="1" applyAlignment="1">
      <alignment horizontal="center" vertical="center"/>
    </xf>
    <xf numFmtId="0" fontId="23" fillId="0" borderId="0" xfId="2" applyFont="1" applyAlignment="1">
      <alignment horizontal="left" vertical="center"/>
    </xf>
    <xf numFmtId="0" fontId="18" fillId="0" borderId="0" xfId="2" applyFont="1" applyAlignment="1">
      <alignment vertical="center" textRotation="90"/>
    </xf>
    <xf numFmtId="0" fontId="24" fillId="0" borderId="0" xfId="2" applyFont="1" applyAlignment="1">
      <alignment horizontal="center" vertical="center"/>
    </xf>
    <xf numFmtId="0" fontId="19" fillId="0" borderId="0" xfId="2" applyFont="1" applyAlignment="1">
      <alignment horizontal="left" vertical="center"/>
    </xf>
    <xf numFmtId="0" fontId="19" fillId="0" borderId="0" xfId="2" applyFont="1" applyAlignment="1">
      <alignment vertical="center"/>
    </xf>
    <xf numFmtId="0" fontId="19" fillId="0" borderId="0" xfId="2" applyFont="1" applyAlignment="1">
      <alignment horizontal="left" vertical="center" wrapText="1"/>
    </xf>
    <xf numFmtId="0" fontId="25" fillId="0" borderId="0" xfId="2" applyFont="1" applyAlignment="1">
      <alignment horizontal="left" vertical="center"/>
    </xf>
    <xf numFmtId="0" fontId="26" fillId="0" borderId="0" xfId="2" applyFont="1" applyAlignment="1">
      <alignment horizontal="left" vertical="center"/>
    </xf>
    <xf numFmtId="0" fontId="27" fillId="0" borderId="0" xfId="2" applyFont="1" applyAlignment="1">
      <alignment horizontal="center" vertical="center" wrapText="1"/>
    </xf>
    <xf numFmtId="0" fontId="1" fillId="0" borderId="0" xfId="2"/>
    <xf numFmtId="0" fontId="28" fillId="0" borderId="0" xfId="2" applyFont="1" applyAlignment="1">
      <alignment horizontal="left" vertical="center"/>
    </xf>
    <xf numFmtId="1" fontId="1" fillId="0" borderId="0" xfId="2" applyNumberFormat="1"/>
    <xf numFmtId="0" fontId="0" fillId="0" borderId="0" xfId="0" applyAlignment="1">
      <alignment horizontal="center" vertical="center"/>
    </xf>
    <xf numFmtId="0" fontId="0" fillId="0" borderId="0" xfId="0" applyAlignment="1">
      <alignment horizontal="center" vertical="center" wrapText="1"/>
    </xf>
    <xf numFmtId="0" fontId="28" fillId="0" borderId="0" xfId="2" applyFont="1" applyAlignment="1">
      <alignment horizontal="center" vertical="center"/>
    </xf>
    <xf numFmtId="0" fontId="1" fillId="0" borderId="0" xfId="2" applyAlignment="1">
      <alignment horizontal="center" vertical="center"/>
    </xf>
    <xf numFmtId="0" fontId="18" fillId="0" borderId="0" xfId="0" applyFont="1" applyAlignment="1">
      <alignment horizontal="center" vertical="center"/>
    </xf>
    <xf numFmtId="0" fontId="18" fillId="2" borderId="0" xfId="0" applyFont="1" applyFill="1" applyAlignment="1">
      <alignment horizontal="center" vertical="center"/>
    </xf>
    <xf numFmtId="0" fontId="29" fillId="0" borderId="0" xfId="0" applyFont="1" applyAlignment="1">
      <alignment horizontal="left" vertical="center"/>
    </xf>
    <xf numFmtId="0" fontId="4" fillId="0" borderId="0" xfId="0" applyFont="1" applyAlignment="1">
      <alignment vertical="top"/>
    </xf>
    <xf numFmtId="10" fontId="0" fillId="0" borderId="0" xfId="0" applyNumberFormat="1"/>
    <xf numFmtId="0" fontId="0" fillId="0" borderId="0" xfId="0" applyAlignment="1">
      <alignment horizontal="center"/>
    </xf>
    <xf numFmtId="0" fontId="16" fillId="0" borderId="0" xfId="2" applyFont="1" applyAlignment="1">
      <alignment horizontal="center" vertical="center"/>
    </xf>
    <xf numFmtId="1" fontId="0" fillId="0" borderId="0" xfId="0" applyNumberFormat="1" applyAlignment="1">
      <alignment horizontal="center"/>
    </xf>
    <xf numFmtId="10" fontId="0" fillId="0" borderId="0" xfId="0" applyNumberFormat="1" applyAlignment="1">
      <alignment horizontal="center"/>
    </xf>
    <xf numFmtId="0" fontId="17" fillId="0" borderId="0" xfId="2" applyFont="1" applyAlignment="1">
      <alignment horizontal="left" vertical="center" wrapText="1"/>
    </xf>
    <xf numFmtId="0" fontId="0" fillId="0" borderId="0" xfId="0" applyAlignment="1">
      <alignment horizontal="left" vertical="center"/>
    </xf>
    <xf numFmtId="0" fontId="18" fillId="0" borderId="0" xfId="2" applyFont="1" applyAlignment="1">
      <alignment horizontal="left" vertical="center" wrapText="1"/>
    </xf>
    <xf numFmtId="0" fontId="23" fillId="0" borderId="0" xfId="2" applyFont="1" applyAlignment="1">
      <alignment horizontal="center" vertical="center"/>
    </xf>
    <xf numFmtId="0" fontId="18" fillId="0" borderId="0" xfId="2" applyFont="1" applyAlignment="1">
      <alignment horizontal="center" vertical="center" textRotation="90"/>
    </xf>
    <xf numFmtId="0" fontId="25" fillId="0" borderId="0" xfId="2" applyFont="1" applyAlignment="1">
      <alignment horizontal="center" vertical="center"/>
    </xf>
    <xf numFmtId="0" fontId="1" fillId="0" borderId="0" xfId="2" applyAlignment="1">
      <alignment horizontal="center"/>
    </xf>
    <xf numFmtId="0" fontId="18" fillId="3" borderId="0" xfId="0" applyFont="1" applyFill="1" applyAlignment="1">
      <alignment horizontal="center" vertical="center"/>
    </xf>
    <xf numFmtId="0" fontId="18" fillId="4" borderId="0" xfId="0" applyFont="1" applyFill="1" applyAlignment="1">
      <alignment horizontal="center" vertical="center"/>
    </xf>
    <xf numFmtId="10" fontId="30" fillId="0" borderId="0" xfId="1" applyNumberFormat="1" applyFont="1"/>
    <xf numFmtId="1" fontId="0" fillId="0" borderId="0" xfId="0" applyNumberFormat="1"/>
    <xf numFmtId="0" fontId="33" fillId="0" borderId="0" xfId="2" applyFont="1" applyAlignment="1">
      <alignment horizontal="center" vertical="center" wrapText="1"/>
    </xf>
    <xf numFmtId="0" fontId="33" fillId="0" borderId="0" xfId="2" applyFont="1" applyAlignment="1">
      <alignment horizontal="center" vertical="center"/>
    </xf>
    <xf numFmtId="0" fontId="34" fillId="0" borderId="0" xfId="2" applyFont="1" applyAlignment="1">
      <alignment horizontal="center"/>
    </xf>
    <xf numFmtId="0" fontId="34" fillId="0" borderId="0" xfId="2" applyFont="1" applyAlignment="1">
      <alignment horizontal="center" vertical="center" wrapText="1"/>
    </xf>
    <xf numFmtId="1" fontId="34" fillId="0" borderId="0" xfId="2" applyNumberFormat="1" applyFont="1" applyAlignment="1">
      <alignment horizontal="center"/>
    </xf>
    <xf numFmtId="1" fontId="34" fillId="0" borderId="0" xfId="2" applyNumberFormat="1" applyFont="1" applyAlignment="1">
      <alignment horizontal="center" vertical="center"/>
    </xf>
    <xf numFmtId="9" fontId="34" fillId="0" borderId="0" xfId="2" applyNumberFormat="1" applyFont="1" applyAlignment="1">
      <alignment horizontal="center"/>
    </xf>
    <xf numFmtId="164" fontId="0" fillId="0" borderId="0" xfId="0" applyNumberFormat="1"/>
    <xf numFmtId="9" fontId="0" fillId="0" borderId="0" xfId="0" applyNumberFormat="1"/>
    <xf numFmtId="0" fontId="10" fillId="0" borderId="0" xfId="0" applyFont="1" applyAlignment="1">
      <alignment horizontal="left" vertical="center"/>
    </xf>
    <xf numFmtId="0" fontId="36" fillId="0" borderId="0" xfId="0" applyFont="1" applyAlignment="1">
      <alignment horizontal="left" vertical="center"/>
    </xf>
    <xf numFmtId="0" fontId="0" fillId="0" borderId="0" xfId="0" pivotButton="1"/>
    <xf numFmtId="0" fontId="0" fillId="0" borderId="0" xfId="0" pivotButton="1" applyAlignment="1">
      <alignment horizontal="center"/>
    </xf>
    <xf numFmtId="0" fontId="0" fillId="0" borderId="0" xfId="0" pivotButton="1" applyAlignment="1">
      <alignment horizontal="center" vertical="center" wrapText="1"/>
    </xf>
    <xf numFmtId="0" fontId="37" fillId="0" borderId="0" xfId="2" applyFont="1" applyAlignment="1">
      <alignment horizontal="center"/>
    </xf>
    <xf numFmtId="0" fontId="31" fillId="0" borderId="0" xfId="2" applyFont="1" applyAlignment="1">
      <alignment horizontal="center" vertical="center"/>
    </xf>
    <xf numFmtId="0" fontId="13" fillId="0" borderId="0" xfId="2" applyFont="1" applyAlignment="1">
      <alignment horizontal="center"/>
    </xf>
    <xf numFmtId="0" fontId="2" fillId="0" borderId="0" xfId="2" applyFont="1" applyAlignment="1">
      <alignment horizontal="center" vertical="center"/>
    </xf>
    <xf numFmtId="0" fontId="7" fillId="0" borderId="0" xfId="2" applyFont="1" applyAlignment="1">
      <alignment horizontal="center" vertical="center" wrapText="1"/>
    </xf>
    <xf numFmtId="0" fontId="8" fillId="0" borderId="0" xfId="2" applyFont="1" applyAlignment="1">
      <alignment horizontal="center" vertical="center"/>
    </xf>
    <xf numFmtId="0" fontId="9" fillId="0" borderId="0" xfId="2" applyFont="1" applyAlignment="1">
      <alignment horizontal="center" vertical="center" wrapText="1"/>
    </xf>
    <xf numFmtId="0" fontId="10" fillId="0" borderId="0" xfId="2" applyFont="1" applyAlignment="1">
      <alignment horizontal="center" vertical="center" wrapText="1"/>
    </xf>
    <xf numFmtId="0" fontId="12" fillId="0" borderId="0" xfId="2" applyFont="1" applyAlignment="1">
      <alignment horizontal="center" vertical="center"/>
    </xf>
    <xf numFmtId="0" fontId="16" fillId="0" borderId="0" xfId="0" applyFont="1" applyAlignment="1">
      <alignment horizontal="left" vertical="center" wrapText="1"/>
    </xf>
    <xf numFmtId="0" fontId="35" fillId="0" borderId="0" xfId="0" applyFont="1" applyAlignment="1">
      <alignment horizontal="center" vertical="center" wrapText="1"/>
    </xf>
    <xf numFmtId="0" fontId="27" fillId="0" borderId="0" xfId="2" applyFont="1" applyAlignment="1">
      <alignment horizontal="center" vertical="center" wrapText="1"/>
    </xf>
  </cellXfs>
  <cellStyles count="5">
    <cellStyle name="Normal" xfId="0" builtinId="0"/>
    <cellStyle name="Normal 2" xfId="2" xr:uid="{00000000-0005-0000-0000-000006000000}"/>
    <cellStyle name="Normal 3" xfId="3" xr:uid="{00000000-0005-0000-0000-000007000000}"/>
    <cellStyle name="Percent" xfId="1" builtinId="5"/>
    <cellStyle name="Percent 2" xfId="4" xr:uid="{00000000-0005-0000-0000-000008000000}"/>
  </cellStyles>
  <dxfs count="38">
    <dxf>
      <numFmt numFmtId="14" formatCode="0.00%"/>
    </dxf>
    <dxf>
      <alignment horizontal="center"/>
    </dxf>
    <dxf>
      <alignment vertical="center"/>
    </dxf>
    <dxf>
      <alignment vertical="center"/>
    </dxf>
    <dxf>
      <alignment wrapText="1"/>
    </dxf>
    <dxf>
      <alignment wrapText="1"/>
    </dxf>
    <dxf>
      <alignment horizontal="center"/>
    </dxf>
    <dxf>
      <alignment horizontal="center"/>
    </dxf>
    <dxf>
      <alignment horizontal="center"/>
    </dxf>
    <dxf>
      <alignment horizontal="center"/>
    </dxf>
    <dxf>
      <alignment horizontal="center"/>
    </dxf>
    <dxf>
      <alignment vertical="center"/>
    </dxf>
    <dxf>
      <alignment vertical="center"/>
    </dxf>
    <dxf>
      <alignment wrapText="1"/>
    </dxf>
    <dxf>
      <alignment wrapText="1"/>
    </dxf>
    <dxf>
      <numFmt numFmtId="14" formatCode="0.00%"/>
    </dxf>
    <dxf>
      <alignment wrapText="1"/>
    </dxf>
    <dxf>
      <alignment wrapText="1"/>
    </dxf>
    <dxf>
      <alignment vertical="center"/>
    </dxf>
    <dxf>
      <alignment vertical="center"/>
    </dxf>
    <dxf>
      <alignment horizontal="center"/>
    </dxf>
    <dxf>
      <fill>
        <patternFill>
          <bgColor theme="3" tint="0.59993285927915285"/>
        </patternFill>
      </fill>
    </dxf>
    <dxf>
      <fill>
        <patternFill>
          <bgColor theme="4" tint="0.39994506668294322"/>
        </patternFill>
      </fill>
    </dxf>
    <dxf>
      <fill>
        <patternFill>
          <bgColor theme="4" tint="0.79995117038483843"/>
        </patternFill>
      </fill>
    </dxf>
    <dxf>
      <alignment horizontal="center"/>
    </dxf>
    <dxf>
      <alignment horizontal="center"/>
    </dxf>
    <dxf>
      <alignment horizontal="center"/>
    </dxf>
    <dxf>
      <alignment horizontal="center"/>
    </dxf>
    <dxf>
      <alignment wrapText="1"/>
    </dxf>
    <dxf>
      <alignment wrapText="1"/>
    </dxf>
    <dxf>
      <alignment vertical="center"/>
    </dxf>
    <dxf>
      <alignment vertical="center"/>
    </dxf>
    <dxf>
      <alignment horizontal="center"/>
    </dxf>
    <dxf>
      <fill>
        <patternFill>
          <bgColor theme="3" tint="0.79995117038483843"/>
        </patternFill>
      </fill>
    </dxf>
    <dxf>
      <fill>
        <patternFill>
          <bgColor theme="4" tint="0.39994506668294322"/>
        </patternFill>
      </fill>
    </dxf>
    <dxf>
      <fill>
        <patternFill>
          <bgColor theme="4" tint="0.79995117038483843"/>
        </patternFill>
      </fill>
    </dxf>
    <dxf>
      <font>
        <b/>
        <i val="0"/>
        <sz val="8"/>
        <color auto="1"/>
        <name val="Calibri Light"/>
        <family val="2"/>
      </font>
      <fill>
        <patternFill patternType="none"/>
      </fill>
      <border>
        <left/>
        <right/>
        <top/>
        <bottom/>
      </border>
    </dxf>
    <dxf>
      <font>
        <b val="0"/>
        <i val="0"/>
        <sz val="8"/>
        <color theme="1"/>
        <name val="Century Gothic"/>
        <family val="2"/>
      </font>
      <fill>
        <patternFill patternType="none"/>
      </fill>
      <border>
        <left/>
        <right/>
        <top/>
        <bottom/>
      </border>
    </dxf>
  </dxfs>
  <tableStyles count="2" defaultTableStyle="TableStyleMedium2" defaultPivotStyle="PivotStyleLight16">
    <tableStyle name="Invisible" pivot="0" table="0" count="0" xr9:uid="{00000000-0011-0000-FFFF-FFFF00000000}"/>
    <tableStyle name="Workspace Slicer" pivot="0" table="0" count="10" xr9:uid="{00000000-0011-0000-FFFF-FFFF01000000}">
      <tableStyleElement type="wholeTable" dxfId="37"/>
      <tableStyleElement type="headerRow" dxfId="36"/>
    </tableStyle>
  </tableStyles>
  <extLst>
    <ext xmlns:x14="http://schemas.microsoft.com/office/spreadsheetml/2009/9/main" uri="{46F421CA-312F-682f-3DD2-61675219B42D}">
      <x14:dxfs count="8">
        <dxf>
          <font>
            <color rgb="FF000000"/>
          </font>
          <fill>
            <patternFill patternType="none"/>
          </fill>
          <border>
            <left style="thin">
              <color rgb="FF999999"/>
            </left>
            <right style="thin">
              <color rgb="FF999999"/>
            </right>
            <top style="thin">
              <color rgb="FF999999"/>
            </top>
            <bottom style="thin">
              <color rgb="FF999999"/>
            </bottom>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border>
        </dxf>
        <dxf>
          <font>
            <b val="0"/>
            <i val="0"/>
            <sz val="8"/>
            <color auto="1"/>
            <name val="Century Gothic"/>
            <family val="2"/>
          </font>
          <fill>
            <patternFill patternType="solid">
              <fgColor rgb="FFDEE3EB"/>
              <bgColor theme="0" tint="-0.14990691854609822"/>
            </patternFill>
          </fill>
          <border>
            <left style="thin">
              <color rgb="FF999999"/>
            </left>
            <right style="thin">
              <color rgb="FF999999"/>
            </right>
            <top style="thin">
              <color rgb="FF999999"/>
            </top>
            <bottom style="thin">
              <color rgb="FF999999"/>
            </bottom>
          </border>
        </dxf>
        <dxf>
          <font>
            <b val="0"/>
            <i val="0"/>
            <sz val="8"/>
            <color rgb="FF000000"/>
            <name val="Calibri"/>
            <family val="2"/>
          </font>
          <fill>
            <patternFill patternType="solid">
              <fgColor rgb="FFDEE3EB"/>
              <bgColor rgb="FFDDDDDD"/>
            </patternFill>
          </fill>
          <border>
            <left style="thin">
              <color rgb="FF999999"/>
            </left>
            <right style="thin">
              <color rgb="FF999999"/>
            </right>
            <top style="thin">
              <color rgb="FF999999"/>
            </top>
            <bottom style="thin">
              <color rgb="FF999999"/>
            </bottom>
          </border>
        </dxf>
        <dxf>
          <font>
            <color rgb="FF828282"/>
          </font>
          <fill>
            <patternFill patternType="none"/>
          </fill>
          <border>
            <left style="thin">
              <color rgb="FFCCCCCC"/>
            </left>
            <right style="thin">
              <color rgb="FFCCCCCC"/>
            </right>
            <top style="thin">
              <color rgb="FFCCCCCC"/>
            </top>
            <bottom style="thin">
              <color rgb="FFCCCCCC"/>
            </bottom>
          </border>
        </dxf>
        <dxf>
          <font>
            <b val="0"/>
            <i val="0"/>
            <sz val="8"/>
            <color rgb="FF000000"/>
            <name val="Century Gothic"/>
            <family val="2"/>
          </font>
          <fill>
            <patternFill patternType="solid">
              <bgColor theme="0" tint="-0.14993743705557422"/>
            </patternFill>
          </fill>
          <border>
            <left style="thin">
              <color rgb="FF999999"/>
            </left>
            <right style="thin">
              <color rgb="FF999999"/>
            </right>
            <top style="thin">
              <color rgb="FF999999"/>
            </top>
            <bottom style="thin">
              <color rgb="FF999999"/>
            </bottom>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border>
        </dxf>
        <dxf>
          <font>
            <sz val="8"/>
            <color rgb="FF000000"/>
            <name val="Century Gothic"/>
            <family val="2"/>
          </font>
          <fill>
            <patternFill patternType="none"/>
          </fill>
          <border>
            <left style="thin">
              <color rgb="FFCCCCCC"/>
            </left>
            <right style="thin">
              <color rgb="FFCCCCCC"/>
            </right>
            <top style="thin">
              <color rgb="FFCCCCCC"/>
            </top>
            <bottom style="thin">
              <color rgb="FFCCCCCC"/>
            </bottom>
          </border>
        </dxf>
      </x14:dxfs>
    </ext>
    <ext xmlns:x14="http://schemas.microsoft.com/office/spreadsheetml/2009/9/main" uri="{EB79DEF2-80B8-43e5-95BD-54CBDDF9020C}">
      <x14:slicerStyles defaultSlicerStyle="Workspace Slicer">
        <x14:slicerStyle name="Workspace 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microsoft.com/office/2007/relationships/slicerCache" Target="slicerCaches/slicerCache7.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microsoft.com/office/2007/relationships/slicerCache" Target="slicerCaches/slicerCache1.xml"/><Relationship Id="rId17" Type="http://schemas.microsoft.com/office/2007/relationships/slicerCache" Target="slicerCaches/slicerCache6.xml"/><Relationship Id="rId25" Type="http://schemas.openxmlformats.org/officeDocument/2006/relationships/customXml" Target="../customXml/item1.xml"/><Relationship Id="rId2" Type="http://schemas.openxmlformats.org/officeDocument/2006/relationships/worksheet" Target="worksheets/sheet2.xml"/><Relationship Id="rId16" Type="http://schemas.microsoft.com/office/2007/relationships/slicerCache" Target="slicerCaches/slicerCache5.xml"/><Relationship Id="rId20" Type="http://schemas.microsoft.com/office/2007/relationships/slicerCache" Target="slicerCaches/slicerCache9.xml"/><Relationship Id="rId29" Type="http://schemas.openxmlformats.org/officeDocument/2006/relationships/customXml" Target="../customXml/item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24" Type="http://schemas.openxmlformats.org/officeDocument/2006/relationships/calcChain" Target="calcChain.xml"/><Relationship Id="rId5" Type="http://schemas.openxmlformats.org/officeDocument/2006/relationships/worksheet" Target="worksheets/sheet5.xml"/><Relationship Id="rId15" Type="http://schemas.microsoft.com/office/2007/relationships/slicerCache" Target="slicerCaches/slicerCache4.xml"/><Relationship Id="rId23" Type="http://schemas.openxmlformats.org/officeDocument/2006/relationships/sharedStrings" Target="sharedStrings.xml"/><Relationship Id="rId28" Type="http://schemas.openxmlformats.org/officeDocument/2006/relationships/customXml" Target="../customXml/item4.xml"/><Relationship Id="rId10" Type="http://schemas.openxmlformats.org/officeDocument/2006/relationships/pivotCacheDefinition" Target="pivotCache/pivotCacheDefinition2.xml"/><Relationship Id="rId19" Type="http://schemas.microsoft.com/office/2007/relationships/slicerCache" Target="slicerCaches/slicerCache8.xml"/><Relationship Id="rId31" Type="http://schemas.openxmlformats.org/officeDocument/2006/relationships/customXml" Target="../customXml/item7.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3.xml"/><Relationship Id="rId22" Type="http://schemas.openxmlformats.org/officeDocument/2006/relationships/styles" Target="styles.xml"/><Relationship Id="rId27" Type="http://schemas.openxmlformats.org/officeDocument/2006/relationships/customXml" Target="../customXml/item3.xml"/><Relationship Id="rId30" Type="http://schemas.openxmlformats.org/officeDocument/2006/relationships/customXml" Target="../customXml/item6.xml"/></Relationships>
</file>

<file path=xl/charts/_rels/chart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a:pPr>
            <a:r>
              <a:rPr lang="en-US" sz="1600" b="1" i="0" u="none" baseline="0">
                <a:solidFill>
                  <a:schemeClr val="tx1">
                    <a:lumMod val="65000"/>
                    <a:lumOff val="35000"/>
                  </a:schemeClr>
                </a:solidFill>
                <a:latin typeface="+mn-lt"/>
                <a:ea typeface="+mn-ea"/>
                <a:cs typeface="+mn-cs"/>
              </a:rPr>
              <a:t> Top 30 Networks by Audience Index</a:t>
            </a:r>
          </a:p>
        </c:rich>
      </c:tx>
      <c:overlay val="0"/>
      <c:spPr>
        <a:noFill/>
        <a:ln w="6350">
          <a:noFill/>
        </a:ln>
        <a:effectLst/>
      </c:spPr>
    </c:title>
    <c:autoTitleDeleted val="0"/>
    <c:plotArea>
      <c:layout/>
      <c:scatterChart>
        <c:scatterStyle val="lineMarker"/>
        <c:varyColors val="0"/>
        <c:ser>
          <c:idx val="0"/>
          <c:order val="0"/>
          <c:tx>
            <c:strRef>
              <c:f>'NETWORK RANKER BY REACH &amp; INDEX'!$M$18</c:f>
              <c:strCache>
                <c:ptCount val="1"/>
                <c:pt idx="0">
                  <c:v> AUDIENCE REACH</c:v>
                </c:pt>
              </c:strCache>
            </c:strRef>
          </c:tx>
          <c:spPr>
            <a:ln w="25400">
              <a:noFill/>
              <a:round/>
            </a:ln>
            <a:effectLst>
              <a:outerShdw blurRad="57150" dist="19050" dir="5400000" algn="ctr" rotWithShape="0">
                <a:prstClr val="black">
                  <a:alpha val="63000"/>
                </a:prst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a:gradFill>
              <a:ln w="9525" cap="rnd" cmpd="sng">
                <a:solidFill>
                  <a:schemeClr val="accent1"/>
                </a:solidFill>
                <a:round/>
              </a:ln>
              <a:effectLst>
                <a:outerShdw blurRad="57150" dist="19050" dir="5400000" algn="ctr" rotWithShape="0">
                  <a:prstClr val="black">
                    <a:alpha val="63000"/>
                  </a:prstClr>
                </a:outerShdw>
              </a:effectLst>
            </c:spPr>
          </c:marker>
          <c:dLbls>
            <c:dLbl>
              <c:idx val="0"/>
              <c:tx>
                <c:rich>
                  <a:bodyPr/>
                  <a:lstStyle/>
                  <a:p>
                    <a:fld id="{60D6538E-B4A2-4F6F-80ED-F288B412724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0B71-48C0-BC23-F2584BFCDC53}"/>
                </c:ext>
              </c:extLst>
            </c:dLbl>
            <c:dLbl>
              <c:idx val="1"/>
              <c:tx>
                <c:rich>
                  <a:bodyPr/>
                  <a:lstStyle/>
                  <a:p>
                    <a:fld id="{3079FD28-D2EE-41BA-8E59-C9FA812B3AC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0B71-48C0-BC23-F2584BFCDC53}"/>
                </c:ext>
              </c:extLst>
            </c:dLbl>
            <c:dLbl>
              <c:idx val="2"/>
              <c:tx>
                <c:rich>
                  <a:bodyPr/>
                  <a:lstStyle/>
                  <a:p>
                    <a:fld id="{DA468F8D-428B-4F5B-BDE7-7FFF4F9685B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0B71-48C0-BC23-F2584BFCDC53}"/>
                </c:ext>
              </c:extLst>
            </c:dLbl>
            <c:dLbl>
              <c:idx val="3"/>
              <c:tx>
                <c:rich>
                  <a:bodyPr/>
                  <a:lstStyle/>
                  <a:p>
                    <a:fld id="{CDD05999-B14E-4409-A6CB-8F38B982BF7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0B71-48C0-BC23-F2584BFCDC53}"/>
                </c:ext>
              </c:extLst>
            </c:dLbl>
            <c:dLbl>
              <c:idx val="4"/>
              <c:tx>
                <c:rich>
                  <a:bodyPr/>
                  <a:lstStyle/>
                  <a:p>
                    <a:fld id="{24ACED09-1566-49FF-8A96-8F6FDEFF852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0B71-48C0-BC23-F2584BFCDC53}"/>
                </c:ext>
              </c:extLst>
            </c:dLbl>
            <c:dLbl>
              <c:idx val="5"/>
              <c:tx>
                <c:rich>
                  <a:bodyPr/>
                  <a:lstStyle/>
                  <a:p>
                    <a:fld id="{0B93D1D6-A85F-43A0-A91C-686B68E024C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0B71-48C0-BC23-F2584BFCDC53}"/>
                </c:ext>
              </c:extLst>
            </c:dLbl>
            <c:dLbl>
              <c:idx val="6"/>
              <c:tx>
                <c:rich>
                  <a:bodyPr/>
                  <a:lstStyle/>
                  <a:p>
                    <a:fld id="{D46A8DA6-D824-4783-9D1F-59BEB725F13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0B71-48C0-BC23-F2584BFCDC53}"/>
                </c:ext>
              </c:extLst>
            </c:dLbl>
            <c:dLbl>
              <c:idx val="7"/>
              <c:tx>
                <c:rich>
                  <a:bodyPr/>
                  <a:lstStyle/>
                  <a:p>
                    <a:fld id="{360EF1BD-6E01-4289-B71B-760B7CF0AC2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0B71-48C0-BC23-F2584BFCDC53}"/>
                </c:ext>
              </c:extLst>
            </c:dLbl>
            <c:dLbl>
              <c:idx val="8"/>
              <c:tx>
                <c:rich>
                  <a:bodyPr/>
                  <a:lstStyle/>
                  <a:p>
                    <a:fld id="{58976A0E-30C1-4B3A-A559-02AF18D95DA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0B71-48C0-BC23-F2584BFCDC53}"/>
                </c:ext>
              </c:extLst>
            </c:dLbl>
            <c:dLbl>
              <c:idx val="9"/>
              <c:tx>
                <c:rich>
                  <a:bodyPr/>
                  <a:lstStyle/>
                  <a:p>
                    <a:fld id="{CEB32E03-110A-4868-9057-5F14941EBB0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0B71-48C0-BC23-F2584BFCDC53}"/>
                </c:ext>
              </c:extLst>
            </c:dLbl>
            <c:dLbl>
              <c:idx val="10"/>
              <c:tx>
                <c:rich>
                  <a:bodyPr/>
                  <a:lstStyle/>
                  <a:p>
                    <a:fld id="{D7D0264F-669C-4123-B0E2-2EB502CBC28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0B71-48C0-BC23-F2584BFCDC53}"/>
                </c:ext>
              </c:extLst>
            </c:dLbl>
            <c:dLbl>
              <c:idx val="11"/>
              <c:tx>
                <c:rich>
                  <a:bodyPr/>
                  <a:lstStyle/>
                  <a:p>
                    <a:fld id="{67FA8B7D-4CB8-43E7-A95B-5F9E445ED73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0B71-48C0-BC23-F2584BFCDC53}"/>
                </c:ext>
              </c:extLst>
            </c:dLbl>
            <c:dLbl>
              <c:idx val="12"/>
              <c:tx>
                <c:rich>
                  <a:bodyPr/>
                  <a:lstStyle/>
                  <a:p>
                    <a:fld id="{3292D5EB-7648-4019-A747-0DE1B2E87EA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0B71-48C0-BC23-F2584BFCDC53}"/>
                </c:ext>
              </c:extLst>
            </c:dLbl>
            <c:dLbl>
              <c:idx val="13"/>
              <c:tx>
                <c:rich>
                  <a:bodyPr/>
                  <a:lstStyle/>
                  <a:p>
                    <a:fld id="{4D8C5635-BB7F-42F1-954C-4638DFFDD54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0B71-48C0-BC23-F2584BFCDC53}"/>
                </c:ext>
              </c:extLst>
            </c:dLbl>
            <c:dLbl>
              <c:idx val="14"/>
              <c:tx>
                <c:rich>
                  <a:bodyPr/>
                  <a:lstStyle/>
                  <a:p>
                    <a:fld id="{0AFB283A-9CB4-4817-B68A-E37C85CFFAF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0B71-48C0-BC23-F2584BFCDC53}"/>
                </c:ext>
              </c:extLst>
            </c:dLbl>
            <c:dLbl>
              <c:idx val="15"/>
              <c:tx>
                <c:rich>
                  <a:bodyPr/>
                  <a:lstStyle/>
                  <a:p>
                    <a:fld id="{A9ECDA90-5937-446F-9E9D-7CAD899D1A7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0B71-48C0-BC23-F2584BFCDC53}"/>
                </c:ext>
              </c:extLst>
            </c:dLbl>
            <c:dLbl>
              <c:idx val="16"/>
              <c:tx>
                <c:rich>
                  <a:bodyPr/>
                  <a:lstStyle/>
                  <a:p>
                    <a:fld id="{E7492F7C-DBC5-4C75-9434-59A1E9216AD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0B71-48C0-BC23-F2584BFCDC53}"/>
                </c:ext>
              </c:extLst>
            </c:dLbl>
            <c:dLbl>
              <c:idx val="17"/>
              <c:tx>
                <c:rich>
                  <a:bodyPr/>
                  <a:lstStyle/>
                  <a:p>
                    <a:fld id="{543503F9-88A5-44CE-950B-0C8D4E0CF4B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0B71-48C0-BC23-F2584BFCDC53}"/>
                </c:ext>
              </c:extLst>
            </c:dLbl>
            <c:dLbl>
              <c:idx val="18"/>
              <c:tx>
                <c:rich>
                  <a:bodyPr/>
                  <a:lstStyle/>
                  <a:p>
                    <a:fld id="{3D95FF0E-BF46-428D-BED7-B174E9AB615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0B71-48C0-BC23-F2584BFCDC53}"/>
                </c:ext>
              </c:extLst>
            </c:dLbl>
            <c:dLbl>
              <c:idx val="19"/>
              <c:tx>
                <c:rich>
                  <a:bodyPr/>
                  <a:lstStyle/>
                  <a:p>
                    <a:fld id="{DB7F5319-A47A-4A64-B6D5-30CAEF4CE02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0B71-48C0-BC23-F2584BFCDC53}"/>
                </c:ext>
              </c:extLst>
            </c:dLbl>
            <c:dLbl>
              <c:idx val="20"/>
              <c:tx>
                <c:rich>
                  <a:bodyPr/>
                  <a:lstStyle/>
                  <a:p>
                    <a:fld id="{137649A1-98E0-49D8-94B1-7D9F6499192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0B71-48C0-BC23-F2584BFCDC53}"/>
                </c:ext>
              </c:extLst>
            </c:dLbl>
            <c:dLbl>
              <c:idx val="21"/>
              <c:tx>
                <c:rich>
                  <a:bodyPr/>
                  <a:lstStyle/>
                  <a:p>
                    <a:fld id="{77389A57-A04A-4506-B9A4-C8EE8DCA515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0B71-48C0-BC23-F2584BFCDC53}"/>
                </c:ext>
              </c:extLst>
            </c:dLbl>
            <c:dLbl>
              <c:idx val="22"/>
              <c:tx>
                <c:rich>
                  <a:bodyPr/>
                  <a:lstStyle/>
                  <a:p>
                    <a:fld id="{13F592CB-F671-40F5-B52D-5CFB7C9B7E3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0B71-48C0-BC23-F2584BFCDC53}"/>
                </c:ext>
              </c:extLst>
            </c:dLbl>
            <c:dLbl>
              <c:idx val="23"/>
              <c:tx>
                <c:rich>
                  <a:bodyPr/>
                  <a:lstStyle/>
                  <a:p>
                    <a:fld id="{054103E1-A024-4229-AB6D-C853A271F9F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0B71-48C0-BC23-F2584BFCDC53}"/>
                </c:ext>
              </c:extLst>
            </c:dLbl>
            <c:dLbl>
              <c:idx val="24"/>
              <c:tx>
                <c:rich>
                  <a:bodyPr/>
                  <a:lstStyle/>
                  <a:p>
                    <a:fld id="{FE566072-D95A-4C66-8227-5BF1ECF17C8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0B71-48C0-BC23-F2584BFCDC53}"/>
                </c:ext>
              </c:extLst>
            </c:dLbl>
            <c:dLbl>
              <c:idx val="25"/>
              <c:tx>
                <c:rich>
                  <a:bodyPr/>
                  <a:lstStyle/>
                  <a:p>
                    <a:fld id="{CBFCE940-9C19-4082-A4D3-E177F344AC5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0B71-48C0-BC23-F2584BFCDC53}"/>
                </c:ext>
              </c:extLst>
            </c:dLbl>
            <c:dLbl>
              <c:idx val="26"/>
              <c:tx>
                <c:rich>
                  <a:bodyPr/>
                  <a:lstStyle/>
                  <a:p>
                    <a:fld id="{A839F275-BF0C-48CD-BB81-52EBD40AE68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0B71-48C0-BC23-F2584BFCDC53}"/>
                </c:ext>
              </c:extLst>
            </c:dLbl>
            <c:dLbl>
              <c:idx val="27"/>
              <c:tx>
                <c:rich>
                  <a:bodyPr/>
                  <a:lstStyle/>
                  <a:p>
                    <a:fld id="{7D863E1E-BDC9-430D-93BD-1CB4207707F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0B71-48C0-BC23-F2584BFCDC53}"/>
                </c:ext>
              </c:extLst>
            </c:dLbl>
            <c:dLbl>
              <c:idx val="28"/>
              <c:tx>
                <c:rich>
                  <a:bodyPr/>
                  <a:lstStyle/>
                  <a:p>
                    <a:fld id="{10D64C80-5487-4A8B-9D5B-E9556324E66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0B71-48C0-BC23-F2584BFCDC53}"/>
                </c:ext>
              </c:extLst>
            </c:dLbl>
            <c:dLbl>
              <c:idx val="29"/>
              <c:tx>
                <c:rich>
                  <a:bodyPr/>
                  <a:lstStyle/>
                  <a:p>
                    <a:fld id="{EF14F40D-6C90-4EB8-9CB1-F7E1E0D45A3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0B71-48C0-BC23-F2584BFCDC53}"/>
                </c:ext>
              </c:extLst>
            </c:dLbl>
            <c:spPr>
              <a:noFill/>
              <a:ln w="6350">
                <a:noFill/>
              </a:ln>
              <a:effectLst/>
            </c:spPr>
            <c:txPr>
              <a:bodyPr rot="0" spcFirstLastPara="1" vertOverflow="ellipsis" vert="horz" wrap="square" lIns="38100" tIns="19050" rIns="38100" bIns="19050" anchor="ctr" anchorCtr="1">
                <a:spAutoFit/>
              </a:bodyPr>
              <a:lstStyle/>
              <a:p>
                <a:pPr algn="ctr">
                  <a:defRPr lang="en-US" sz="900" b="0" i="0" u="non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solidFill>
                        <a:schemeClr val="tx1">
                          <a:lumMod val="35000"/>
                          <a:lumOff val="65000"/>
                        </a:schemeClr>
                      </a:solidFill>
                      <a:round/>
                    </a:ln>
                    <a:effectLst/>
                  </c:spPr>
                </c15:leaderLines>
              </c:ext>
            </c:extLst>
          </c:dLbls>
          <c:xVal>
            <c:numRef>
              <c:f>'NETWORK RANKER BY REACH &amp; INDEX'!$L$19:$L$48</c:f>
              <c:numCache>
                <c:formatCode>0</c:formatCode>
                <c:ptCount val="30"/>
                <c:pt idx="0">
                  <c:v>129.5</c:v>
                </c:pt>
                <c:pt idx="1">
                  <c:v>125</c:v>
                </c:pt>
                <c:pt idx="2">
                  <c:v>124</c:v>
                </c:pt>
                <c:pt idx="3">
                  <c:v>123</c:v>
                </c:pt>
                <c:pt idx="4">
                  <c:v>121</c:v>
                </c:pt>
                <c:pt idx="5">
                  <c:v>118</c:v>
                </c:pt>
                <c:pt idx="6">
                  <c:v>118</c:v>
                </c:pt>
                <c:pt idx="7">
                  <c:v>117.33333333333333</c:v>
                </c:pt>
                <c:pt idx="8">
                  <c:v>114.75</c:v>
                </c:pt>
                <c:pt idx="9">
                  <c:v>114.66666666666667</c:v>
                </c:pt>
                <c:pt idx="10">
                  <c:v>114.5</c:v>
                </c:pt>
                <c:pt idx="11">
                  <c:v>114</c:v>
                </c:pt>
                <c:pt idx="12">
                  <c:v>113.5</c:v>
                </c:pt>
                <c:pt idx="13">
                  <c:v>113</c:v>
                </c:pt>
                <c:pt idx="14">
                  <c:v>112</c:v>
                </c:pt>
                <c:pt idx="15">
                  <c:v>112</c:v>
                </c:pt>
                <c:pt idx="16">
                  <c:v>111.75</c:v>
                </c:pt>
                <c:pt idx="17">
                  <c:v>111.66666666666667</c:v>
                </c:pt>
                <c:pt idx="18">
                  <c:v>110.5</c:v>
                </c:pt>
                <c:pt idx="19">
                  <c:v>109.5</c:v>
                </c:pt>
                <c:pt idx="20">
                  <c:v>108.25</c:v>
                </c:pt>
                <c:pt idx="21">
                  <c:v>108</c:v>
                </c:pt>
                <c:pt idx="22">
                  <c:v>107.75</c:v>
                </c:pt>
                <c:pt idx="23">
                  <c:v>107.25</c:v>
                </c:pt>
                <c:pt idx="24">
                  <c:v>106.75</c:v>
                </c:pt>
                <c:pt idx="25">
                  <c:v>105.5</c:v>
                </c:pt>
                <c:pt idx="26">
                  <c:v>105.5</c:v>
                </c:pt>
                <c:pt idx="27">
                  <c:v>105</c:v>
                </c:pt>
                <c:pt idx="28">
                  <c:v>105</c:v>
                </c:pt>
                <c:pt idx="29">
                  <c:v>105</c:v>
                </c:pt>
              </c:numCache>
            </c:numRef>
          </c:xVal>
          <c:yVal>
            <c:numRef>
              <c:f>'NETWORK RANKER BY REACH &amp; INDEX'!$M$19:$M$48</c:f>
              <c:numCache>
                <c:formatCode>0%</c:formatCode>
                <c:ptCount val="30"/>
                <c:pt idx="0">
                  <c:v>2.385E-2</c:v>
                </c:pt>
                <c:pt idx="1">
                  <c:v>3.1099999999999999E-2</c:v>
                </c:pt>
                <c:pt idx="2">
                  <c:v>0.10979999999999999</c:v>
                </c:pt>
                <c:pt idx="3">
                  <c:v>8.4400000000000003E-2</c:v>
                </c:pt>
                <c:pt idx="4">
                  <c:v>8.8499999999999995E-2</c:v>
                </c:pt>
                <c:pt idx="5">
                  <c:v>0.17915</c:v>
                </c:pt>
                <c:pt idx="6">
                  <c:v>1.83E-2</c:v>
                </c:pt>
                <c:pt idx="7">
                  <c:v>0.12326666666666668</c:v>
                </c:pt>
                <c:pt idx="8">
                  <c:v>0.16947499999999999</c:v>
                </c:pt>
                <c:pt idx="9">
                  <c:v>0.15163333333333334</c:v>
                </c:pt>
                <c:pt idx="10">
                  <c:v>8.7300000000000003E-2</c:v>
                </c:pt>
                <c:pt idx="11">
                  <c:v>2.86E-2</c:v>
                </c:pt>
                <c:pt idx="12">
                  <c:v>0.46337499999999998</c:v>
                </c:pt>
                <c:pt idx="13">
                  <c:v>0.31235000000000002</c:v>
                </c:pt>
                <c:pt idx="14">
                  <c:v>7.4499999999999997E-2</c:v>
                </c:pt>
                <c:pt idx="15">
                  <c:v>0.29054999999999997</c:v>
                </c:pt>
                <c:pt idx="16">
                  <c:v>0.29597499999999999</c:v>
                </c:pt>
                <c:pt idx="17">
                  <c:v>9.4399999999999998E-2</c:v>
                </c:pt>
                <c:pt idx="18">
                  <c:v>0.53457500000000002</c:v>
                </c:pt>
                <c:pt idx="19">
                  <c:v>7.3149999999999993E-2</c:v>
                </c:pt>
                <c:pt idx="20">
                  <c:v>0.21177499999999999</c:v>
                </c:pt>
                <c:pt idx="21">
                  <c:v>6.88E-2</c:v>
                </c:pt>
                <c:pt idx="22">
                  <c:v>0.35239999999999999</c:v>
                </c:pt>
                <c:pt idx="23">
                  <c:v>0.27757500000000002</c:v>
                </c:pt>
                <c:pt idx="24">
                  <c:v>0.24864999999999998</c:v>
                </c:pt>
                <c:pt idx="25">
                  <c:v>0.16985</c:v>
                </c:pt>
                <c:pt idx="26">
                  <c:v>0.36170000000000002</c:v>
                </c:pt>
                <c:pt idx="27">
                  <c:v>3.9100000000000003E-2</c:v>
                </c:pt>
                <c:pt idx="28">
                  <c:v>0.15426666666666666</c:v>
                </c:pt>
                <c:pt idx="29">
                  <c:v>0.39215</c:v>
                </c:pt>
              </c:numCache>
            </c:numRef>
          </c:yVal>
          <c:smooth val="0"/>
          <c:extLst>
            <c:ext xmlns:c15="http://schemas.microsoft.com/office/drawing/2012/chart" uri="{02D57815-91ED-43cb-92C2-25804820EDAC}">
              <c15:datalabelsRange>
                <c15:f>'NETWORK RANKER BY REACH &amp; INDEX'!$K$19:$K$48</c15:f>
                <c15:dlblRangeCache>
                  <c:ptCount val="30"/>
                  <c:pt idx="0">
                    <c:v>ACCN</c:v>
                  </c:pt>
                  <c:pt idx="1">
                    <c:v>LRW</c:v>
                  </c:pt>
                  <c:pt idx="2">
                    <c:v>SCI</c:v>
                  </c:pt>
                  <c:pt idx="3">
                    <c:v>DEST</c:v>
                  </c:pt>
                  <c:pt idx="4">
                    <c:v>AHC</c:v>
                  </c:pt>
                  <c:pt idx="5">
                    <c:v>FBN</c:v>
                  </c:pt>
                  <c:pt idx="6">
                    <c:v>OUTD</c:v>
                  </c:pt>
                  <c:pt idx="7">
                    <c:v>MAG</c:v>
                  </c:pt>
                  <c:pt idx="8">
                    <c:v>WETV</c:v>
                  </c:pt>
                  <c:pt idx="9">
                    <c:v>GSN</c:v>
                  </c:pt>
                  <c:pt idx="10">
                    <c:v>FYI</c:v>
                  </c:pt>
                  <c:pt idx="11">
                    <c:v>NHLN</c:v>
                  </c:pt>
                  <c:pt idx="12">
                    <c:v>FNC</c:v>
                  </c:pt>
                  <c:pt idx="13">
                    <c:v>HALL</c:v>
                  </c:pt>
                  <c:pt idx="14">
                    <c:v>VICE</c:v>
                  </c:pt>
                  <c:pt idx="15">
                    <c:v>APL</c:v>
                  </c:pt>
                  <c:pt idx="16">
                    <c:v>TWC</c:v>
                  </c:pt>
                  <c:pt idx="17">
                    <c:v>B10N</c:v>
                  </c:pt>
                  <c:pt idx="18">
                    <c:v>USA</c:v>
                  </c:pt>
                  <c:pt idx="19">
                    <c:v>CC</c:v>
                  </c:pt>
                  <c:pt idx="20">
                    <c:v>GOLF</c:v>
                  </c:pt>
                  <c:pt idx="21">
                    <c:v>FS2</c:v>
                  </c:pt>
                  <c:pt idx="22">
                    <c:v>HIST</c:v>
                  </c:pt>
                  <c:pt idx="23">
                    <c:v>FS1</c:v>
                  </c:pt>
                  <c:pt idx="24">
                    <c:v>TVL</c:v>
                  </c:pt>
                  <c:pt idx="25">
                    <c:v>TRAV</c:v>
                  </c:pt>
                  <c:pt idx="26">
                    <c:v>DISC</c:v>
                  </c:pt>
                  <c:pt idx="27">
                    <c:v>BLOOM</c:v>
                  </c:pt>
                  <c:pt idx="28">
                    <c:v>CMT</c:v>
                  </c:pt>
                  <c:pt idx="29">
                    <c:v>HGTV</c:v>
                  </c:pt>
                </c15:dlblRangeCache>
              </c15:datalabelsRange>
            </c:ext>
            <c:ext xmlns:c16="http://schemas.microsoft.com/office/drawing/2014/chart" uri="{C3380CC4-5D6E-409C-BE32-E72D297353CC}">
              <c16:uniqueId val="{00000000-F78A-40E3-8525-40AB6D3554D3}"/>
            </c:ext>
          </c:extLst>
        </c:ser>
        <c:dLbls>
          <c:showLegendKey val="0"/>
          <c:showVal val="1"/>
          <c:showCatName val="0"/>
          <c:showSerName val="0"/>
          <c:showPercent val="0"/>
          <c:showBubbleSize val="0"/>
        </c:dLbls>
        <c:axId val="3436413"/>
        <c:axId val="18049621"/>
      </c:scatterChart>
      <c:valAx>
        <c:axId val="3436413"/>
        <c:scaling>
          <c:orientation val="minMax"/>
          <c:min val="80"/>
        </c:scaling>
        <c:delete val="0"/>
        <c:axPos val="b"/>
        <c:title>
          <c:tx>
            <c:rich>
              <a:bodyPr rot="0" spcFirstLastPara="1" vertOverflow="ellipsis" vert="horz" wrap="square" anchor="ctr" anchorCtr="1"/>
              <a:lstStyle/>
              <a:p>
                <a:pPr>
                  <a:defRPr lang="en-US" sz="900" b="0" i="0" u="none" kern="1200" baseline="0">
                    <a:solidFill>
                      <a:schemeClr val="tx1">
                        <a:lumMod val="65000"/>
                        <a:lumOff val="35000"/>
                      </a:schemeClr>
                    </a:solidFill>
                    <a:latin typeface="+mn-lt"/>
                    <a:ea typeface="+mn-ea"/>
                    <a:cs typeface="+mn-cs"/>
                  </a:defRPr>
                </a:pPr>
                <a:r>
                  <a:rPr lang="en-US"/>
                  <a:t>Audience Index</a:t>
                </a:r>
              </a:p>
            </c:rich>
          </c:tx>
          <c:overlay val="0"/>
          <c:spPr>
            <a:noFill/>
            <a:ln w="6350">
              <a:noFill/>
            </a:ln>
            <a:effectLst/>
          </c:spPr>
        </c:title>
        <c:numFmt formatCode="0" sourceLinked="1"/>
        <c:majorTickMark val="none"/>
        <c:minorTickMark val="none"/>
        <c:tickLblPos val="nextTo"/>
        <c:spPr>
          <a:noFill/>
          <a:ln w="12700" cap="flat" cmpd="sng">
            <a:solidFill>
              <a:schemeClr val="tx1">
                <a:lumMod val="15000"/>
                <a:lumOff val="85000"/>
              </a:schemeClr>
            </a:solidFill>
            <a:round/>
          </a:ln>
          <a:effectLst/>
        </c:spPr>
        <c:txPr>
          <a:bodyPr rot="-60000000" spcFirstLastPara="1" vertOverflow="ellipsis" vert="horz" wrap="square" anchor="ctr" anchorCtr="1"/>
          <a:lstStyle/>
          <a:p>
            <a:pPr>
              <a:defRPr lang="en-US" sz="900" b="0" i="0" u="none" kern="1200" baseline="0">
                <a:solidFill>
                  <a:schemeClr val="tx1">
                    <a:lumMod val="65000"/>
                    <a:lumOff val="35000"/>
                  </a:schemeClr>
                </a:solidFill>
                <a:latin typeface="+mn-lt"/>
                <a:ea typeface="+mn-ea"/>
                <a:cs typeface="+mn-cs"/>
              </a:defRPr>
            </a:pPr>
            <a:endParaRPr lang="en-US"/>
          </a:p>
        </c:txPr>
        <c:crossAx val="18049621"/>
        <c:crosses val="autoZero"/>
        <c:crossBetween val="midCat"/>
      </c:valAx>
      <c:valAx>
        <c:axId val="18049621"/>
        <c:scaling>
          <c:orientation val="minMax"/>
        </c:scaling>
        <c:delete val="0"/>
        <c:axPos val="l"/>
        <c:title>
          <c:tx>
            <c:rich>
              <a:bodyPr rot="-5400000" spcFirstLastPara="1" vertOverflow="ellipsis" vert="horz" wrap="square" anchor="ctr" anchorCtr="1"/>
              <a:lstStyle/>
              <a:p>
                <a:pPr>
                  <a:defRPr lang="en-US" sz="900" b="0" i="0" u="none" kern="1200" baseline="0">
                    <a:solidFill>
                      <a:schemeClr val="tx1">
                        <a:lumMod val="65000"/>
                        <a:lumOff val="35000"/>
                      </a:schemeClr>
                    </a:solidFill>
                    <a:latin typeface="+mn-lt"/>
                    <a:ea typeface="+mn-ea"/>
                    <a:cs typeface="+mn-cs"/>
                  </a:defRPr>
                </a:pPr>
                <a:r>
                  <a:rPr lang="en-US"/>
                  <a:t>Audience Reach</a:t>
                </a:r>
              </a:p>
            </c:rich>
          </c:tx>
          <c:overlay val="0"/>
          <c:spPr>
            <a:noFill/>
            <a:ln w="6350">
              <a:noFill/>
            </a:ln>
            <a:effectLst/>
          </c:spPr>
        </c:title>
        <c:numFmt formatCode="0%" sourceLinked="1"/>
        <c:majorTickMark val="none"/>
        <c:minorTickMark val="none"/>
        <c:tickLblPos val="nextTo"/>
        <c:spPr>
          <a:noFill/>
          <a:ln w="6350">
            <a:noFill/>
          </a:ln>
          <a:effectLst/>
        </c:spPr>
        <c:txPr>
          <a:bodyPr rot="-60000000" spcFirstLastPara="1" vertOverflow="ellipsis" vert="horz" wrap="square" anchor="ctr" anchorCtr="1"/>
          <a:lstStyle/>
          <a:p>
            <a:pPr>
              <a:defRPr lang="en-US" sz="900" b="0" i="0" u="none" kern="1200" baseline="0">
                <a:solidFill>
                  <a:schemeClr val="tx1">
                    <a:lumMod val="65000"/>
                    <a:lumOff val="35000"/>
                  </a:schemeClr>
                </a:solidFill>
                <a:latin typeface="+mn-lt"/>
                <a:ea typeface="+mn-ea"/>
                <a:cs typeface="+mn-cs"/>
              </a:defRPr>
            </a:pPr>
            <a:endParaRPr lang="en-US"/>
          </a:p>
        </c:txPr>
        <c:crossAx val="3436413"/>
        <c:crossesAt val="0"/>
        <c:crossBetween val="midCat"/>
      </c:valAx>
      <c:spPr>
        <a:noFill/>
        <a:ln w="635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solidFill>
        <a:schemeClr val="tx1">
          <a:lumMod val="15000"/>
          <a:lumOff val="85000"/>
        </a:schemeClr>
      </a:solidFill>
      <a:round/>
    </a:ln>
    <a:effectLst/>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[Workspace.xlsx]AUDIENCE VIEWING BY SOURCE!PivotTable3</c:name>
    <c:fmtId val="0"/>
  </c:pivotSource>
  <c:chart>
    <c:title>
      <c:tx>
        <c:rich>
          <a:bodyPr rot="0" spcFirstLastPara="1" vertOverflow="ellipsis" vert="horz" wrap="square" anchor="ctr" anchorCtr="1"/>
          <a:lstStyle/>
          <a:p>
            <a:pPr>
              <a:defRPr/>
            </a:pPr>
            <a:r>
              <a:rPr lang="en-US" sz="1400" b="1" i="0" u="none" cap="all" baseline="0">
                <a:solidFill>
                  <a:schemeClr val="tx1">
                    <a:lumMod val="65000"/>
                    <a:lumOff val="35000"/>
                  </a:schemeClr>
                </a:solidFill>
                <a:latin typeface="+mn-lt"/>
                <a:ea typeface="+mn-ea"/>
                <a:cs typeface="+mn-cs"/>
              </a:rPr>
              <a:t>Time spent - total day</a:t>
            </a:r>
          </a:p>
        </c:rich>
      </c:tx>
      <c:overlay val="1"/>
      <c:spPr>
        <a:noFill/>
        <a:ln w="6350">
          <a:noFill/>
        </a:ln>
        <a:effectLst/>
      </c:sp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pPr>
            <a:solidFill>
              <a:schemeClr val="accent1"/>
            </a:solidFill>
            <a:ln w="9525">
              <a:solidFill>
                <a:schemeClr val="lt1"/>
              </a:solidFill>
            </a:ln>
            <a:effectLst/>
          </c:spPr>
        </c:marker>
        <c:dLbl>
          <c:idx val="0"/>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3"/>
          </a:solidFill>
          <a:ln>
            <a:noFill/>
          </a:ln>
          <a:effectLst/>
          <a:scene3d>
            <a:camera prst="orthographicFront"/>
            <a:lightRig rig="brightRoom" dir="t"/>
          </a:scene3d>
          <a:sp3d prstMaterial="flat">
            <a:bevelT w="50800" h="101600" prst="angle"/>
            <a:contourClr>
              <a:srgbClr val="000000"/>
            </a:contourClr>
          </a:sp3d>
        </c:spPr>
        <c:dLbl>
          <c:idx val="0"/>
          <c:layout>
            <c:manualLayout>
              <c:x val="-0.11481481481481483"/>
              <c:y val="-0.29629629629629628"/>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10555555555555556"/>
              <c:y val="0.18055555555555547"/>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
        <c:marker>
          <c:symbol val="none"/>
        </c:marker>
        <c:dLbl>
          <c:idx val="0"/>
          <c:numFmt formatCode="0.00%" sourceLinked="0"/>
          <c:spPr>
            <a:noFill/>
            <a:ln w="6350">
              <a:noFill/>
            </a:ln>
            <a:effectLst/>
          </c:spPr>
          <c:txPr>
            <a:bodyPr rot="0" spcFirstLastPara="1" vertOverflow="ellipsis" vert="horz" wrap="square" lIns="38100" tIns="19050" rIns="38100" bIns="19050" anchor="ctr" anchorCtr="1">
              <a:spAutoFit/>
            </a:bodyPr>
            <a:lstStyle/>
            <a:p>
              <a:pPr algn="ctr">
                <a:defRPr lang="en-US" sz="900" b="1" i="0" u="non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w="6350">
            <a:noFill/>
          </a:ln>
          <a:effectLst/>
          <a:scene3d>
            <a:camera prst="orthographicFront"/>
            <a:lightRig rig="brightRoom" dir="t"/>
          </a:scene3d>
          <a:sp3d prstMaterial="flat">
            <a:bevelT w="50800" h="101600" prst="angle"/>
            <a:contourClr>
              <a:srgbClr val="000000"/>
            </a:contourClr>
          </a:sp3d>
        </c:spPr>
        <c:dLbl>
          <c:idx val="0"/>
          <c:layout>
            <c:manualLayout>
              <c:x val="0.105555555555556"/>
              <c:y val="0.180555555555555"/>
            </c:manualLayout>
          </c:layout>
          <c:numFmt formatCode="0.00%" sourceLinked="0"/>
          <c:spPr>
            <a:noFill/>
            <a:ln w="6350">
              <a:noFill/>
            </a:ln>
            <a:effectLst/>
          </c:spPr>
          <c:txPr>
            <a:bodyPr rot="0" spcFirstLastPara="1" vertOverflow="ellipsis" vert="horz" wrap="square" lIns="38100" tIns="19050" rIns="38100" bIns="19050" anchor="ctr" anchorCtr="1">
              <a:spAutoFit/>
            </a:bodyPr>
            <a:lstStyle/>
            <a:p>
              <a:pPr algn="ctr">
                <a:defRPr lang="en-US" sz="900" b="1" i="0" u="non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3"/>
          </a:solidFill>
          <a:ln w="6350">
            <a:noFill/>
          </a:ln>
          <a:effectLst/>
          <a:scene3d>
            <a:camera prst="orthographicFront"/>
            <a:lightRig rig="brightRoom" dir="t"/>
          </a:scene3d>
          <a:sp3d prstMaterial="flat">
            <a:bevelT w="50800" h="101600" prst="angle"/>
            <a:contourClr>
              <a:srgbClr val="000000"/>
            </a:contourClr>
          </a:sp3d>
        </c:spPr>
        <c:dLbl>
          <c:idx val="0"/>
          <c:layout>
            <c:manualLayout>
              <c:x val="-0.11481481481481499"/>
              <c:y val="-0.296296296296296"/>
            </c:manualLayout>
          </c:layout>
          <c:numFmt formatCode="0.00%" sourceLinked="0"/>
          <c:spPr>
            <a:noFill/>
            <a:ln w="6350">
              <a:noFill/>
            </a:ln>
            <a:effectLst/>
          </c:spPr>
          <c:txPr>
            <a:bodyPr rot="0" spcFirstLastPara="1" vertOverflow="ellipsis" vert="horz" wrap="square" lIns="38100" tIns="19050" rIns="38100" bIns="19050" anchor="ctr" anchorCtr="1">
              <a:spAutoFit/>
            </a:bodyPr>
            <a:lstStyle/>
            <a:p>
              <a:pPr algn="ctr">
                <a:defRPr lang="en-US" sz="900" b="1" i="0" u="non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03240594925634"/>
          <c:y val="0.17708319068812101"/>
          <c:w val="0.72685214348206495"/>
          <c:h val="0.71105100992810699"/>
        </c:manualLayout>
      </c:layout>
      <c:doughnutChart>
        <c:varyColors val="1"/>
        <c:ser>
          <c:idx val="0"/>
          <c:order val="0"/>
          <c:tx>
            <c:strRef>
              <c:f>'AUDIENCE VIEWING BY SOURCE'!$C$11</c:f>
              <c:strCache>
                <c:ptCount val="1"/>
                <c:pt idx="0">
                  <c:v>Total</c:v>
                </c:pt>
              </c:strCache>
            </c:strRef>
          </c:tx>
          <c:dPt>
            <c:idx val="0"/>
            <c:bubble3D val="0"/>
            <c:spPr>
              <a:solidFill>
                <a:schemeClr val="accent1"/>
              </a:solidFill>
              <a:ln w="6350">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A7F2-4C7D-9E65-2C8A03CE4370}"/>
              </c:ext>
            </c:extLst>
          </c:dPt>
          <c:dPt>
            <c:idx val="1"/>
            <c:bubble3D val="0"/>
            <c:spPr>
              <a:solidFill>
                <a:schemeClr val="accent3"/>
              </a:solidFill>
              <a:ln w="6350">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A7F2-4C7D-9E65-2C8A03CE4370}"/>
              </c:ext>
            </c:extLst>
          </c:dPt>
          <c:dLbls>
            <c:dLbl>
              <c:idx val="0"/>
              <c:layout>
                <c:manualLayout>
                  <c:x val="0.105555555555556"/>
                  <c:y val="0.180555555555555"/>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A7F2-4C7D-9E65-2C8A03CE4370}"/>
                </c:ext>
              </c:extLst>
            </c:dLbl>
            <c:dLbl>
              <c:idx val="1"/>
              <c:layout>
                <c:manualLayout>
                  <c:x val="-0.11481481481481499"/>
                  <c:y val="-0.296296296296296"/>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7F2-4C7D-9E65-2C8A03CE4370}"/>
                </c:ext>
              </c:extLst>
            </c:dLbl>
            <c:numFmt formatCode="0.00%" sourceLinked="0"/>
            <c:spPr>
              <a:noFill/>
              <a:ln w="6350">
                <a:noFill/>
              </a:ln>
              <a:effectLst/>
            </c:spPr>
            <c:txPr>
              <a:bodyPr rot="0" spcFirstLastPara="1" vertOverflow="ellipsis" vert="horz" wrap="square" lIns="38100" tIns="19050" rIns="38100" bIns="19050" anchor="ctr" anchorCtr="1">
                <a:spAutoFit/>
              </a:bodyPr>
              <a:lstStyle/>
              <a:p>
                <a:pPr algn="ctr">
                  <a:defRPr lang="en-US" sz="900" b="1" i="0" u="non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solidFill>
                    <a:schemeClr val="tx1">
                      <a:lumMod val="35000"/>
                      <a:lumOff val="65000"/>
                    </a:schemeClr>
                  </a:solidFill>
                  <a:round/>
                </a:ln>
                <a:effectLst/>
              </c:spPr>
            </c:leaderLines>
            <c:extLst>
              <c:ext xmlns:c15="http://schemas.microsoft.com/office/drawing/2012/chart" uri="{CE6537A1-D6FC-4f65-9D91-7224C49458BB}"/>
            </c:extLst>
          </c:dLbls>
          <c:cat>
            <c:strRef>
              <c:f>'AUDIENCE VIEWING BY SOURCE'!$B$12:$B$13</c:f>
              <c:strCache>
                <c:ptCount val="2"/>
                <c:pt idx="0">
                  <c:v> Cable</c:v>
                </c:pt>
                <c:pt idx="1">
                  <c:v> Broadcast</c:v>
                </c:pt>
              </c:strCache>
            </c:strRef>
          </c:cat>
          <c:val>
            <c:numRef>
              <c:f>'AUDIENCE VIEWING BY SOURCE'!$C$12:$C$13</c:f>
              <c:numCache>
                <c:formatCode>0.00%</c:formatCode>
                <c:ptCount val="2"/>
                <c:pt idx="0">
                  <c:v>0.6283333333333333</c:v>
                </c:pt>
                <c:pt idx="1">
                  <c:v>0.37166666666666665</c:v>
                </c:pt>
              </c:numCache>
            </c:numRef>
          </c:val>
          <c:extLst>
            <c:ext xmlns:c16="http://schemas.microsoft.com/office/drawing/2014/chart" uri="{C3380CC4-5D6E-409C-BE32-E72D297353CC}">
              <c16:uniqueId val="{00000000-90A5-419B-A0E4-423AB53C75A2}"/>
            </c:ext>
          </c:extLst>
        </c:ser>
        <c:dLbls>
          <c:showLegendKey val="0"/>
          <c:showVal val="0"/>
          <c:showCatName val="0"/>
          <c:showSerName val="0"/>
          <c:showPercent val="1"/>
          <c:showBubbleSize val="0"/>
          <c:showLeaderLines val="1"/>
        </c:dLbls>
        <c:firstSliceAng val="0"/>
        <c:holeSize val="50"/>
      </c:doughnutChart>
      <c:spPr>
        <a:noFill/>
        <a:ln w="635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alpha val="0"/>
      </a:srgbClr>
    </a:solidFill>
    <a:ln w="9525">
      <a:noFill/>
      <a:round/>
    </a:ln>
    <a:effectLst/>
  </c:sp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[Workspace.xlsx]AUDIENCE TIME SPENT BY DAYPART!PivotTable1</c:name>
    <c:fmtId val="0"/>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6350">
            <a:noFill/>
          </a:ln>
          <a:effectLst>
            <a:outerShdw blurRad="57150" dist="19050" dir="5400000" algn="ctr" rotWithShape="0">
              <a:prstClr val="black">
                <a:alpha val="63000"/>
              </a:prstClr>
            </a:outerShdw>
          </a:effectLst>
        </c:spPr>
        <c:marker>
          <c:symbol val="none"/>
        </c:marker>
        <c:dLbl>
          <c:idx val="0"/>
          <c:spPr>
            <a:noFill/>
            <a:ln w="6350">
              <a:noFill/>
            </a:ln>
            <a:effectLst/>
          </c:spPr>
          <c:txPr>
            <a:bodyPr rot="0" spcFirstLastPara="1" vertOverflow="ellipsis" vert="horz" wrap="square" lIns="38100" tIns="19050" rIns="38100" bIns="19050" anchor="ctr" anchorCtr="1">
              <a:spAutoFit/>
            </a:bodyPr>
            <a:lstStyle/>
            <a:p>
              <a:pPr algn="ct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'AUDIENCE TIME SPENT BY DAYPART'!$C$15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6350">
              <a:noFill/>
            </a:ln>
            <a:effectLst>
              <a:outerShdw blurRad="57150" dist="19050" dir="5400000" algn="ctr" rotWithShape="0">
                <a:prstClr val="black">
                  <a:alpha val="63000"/>
                </a:prstClr>
              </a:outerShdw>
            </a:effectLst>
          </c:spPr>
          <c:invertIfNegative val="0"/>
          <c:dLbls>
            <c:spPr>
              <a:noFill/>
              <a:ln w="6350">
                <a:noFill/>
              </a:ln>
              <a:effectLst/>
            </c:spPr>
            <c:txPr>
              <a:bodyPr rot="0" spcFirstLastPara="1" vertOverflow="ellipsis" vert="horz" wrap="square" lIns="38100" tIns="19050" rIns="38100" bIns="19050" anchor="ctr" anchorCtr="1">
                <a:spAutoFit/>
              </a:bodyPr>
              <a:lstStyle/>
              <a:p>
                <a:pPr algn="ct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'AUDIENCE TIME SPENT BY DAYPART'!$B$16:$B$21</c:f>
              <c:strCache>
                <c:ptCount val="6"/>
                <c:pt idx="0">
                  <c:v>Early morning</c:v>
                </c:pt>
                <c:pt idx="1">
                  <c:v> Daytime</c:v>
                </c:pt>
                <c:pt idx="2">
                  <c:v> Early fringe</c:v>
                </c:pt>
                <c:pt idx="3">
                  <c:v> Prime</c:v>
                </c:pt>
                <c:pt idx="4">
                  <c:v> Late fringe</c:v>
                </c:pt>
                <c:pt idx="5">
                  <c:v> Weekend</c:v>
                </c:pt>
              </c:strCache>
            </c:strRef>
          </c:cat>
          <c:val>
            <c:numRef>
              <c:f>'AUDIENCE TIME SPENT BY DAYPART'!$C$16:$C$21</c:f>
              <c:numCache>
                <c:formatCode>0.00%</c:formatCode>
                <c:ptCount val="6"/>
                <c:pt idx="0">
                  <c:v>9.2255317632167724E-2</c:v>
                </c:pt>
                <c:pt idx="1">
                  <c:v>0.20816250548610868</c:v>
                </c:pt>
                <c:pt idx="2">
                  <c:v>0.12645027620664304</c:v>
                </c:pt>
                <c:pt idx="3">
                  <c:v>0.33807269828667358</c:v>
                </c:pt>
                <c:pt idx="4">
                  <c:v>6.4942335325798337E-2</c:v>
                </c:pt>
                <c:pt idx="5">
                  <c:v>0.17011686706260862</c:v>
                </c:pt>
              </c:numCache>
            </c:numRef>
          </c:val>
          <c:extLst>
            <c:ext xmlns:c16="http://schemas.microsoft.com/office/drawing/2014/chart" uri="{C3380CC4-5D6E-409C-BE32-E72D297353CC}">
              <c16:uniqueId val="{00000000-DB23-4C25-82CC-AB98600923C8}"/>
            </c:ext>
          </c:extLst>
        </c:ser>
        <c:dLbls>
          <c:showLegendKey val="0"/>
          <c:showVal val="1"/>
          <c:showCatName val="0"/>
          <c:showSerName val="0"/>
          <c:showPercent val="0"/>
          <c:showBubbleSize val="0"/>
        </c:dLbls>
        <c:gapWidth val="75"/>
        <c:overlap val="100"/>
        <c:axId val="58149349"/>
        <c:axId val="34280621"/>
      </c:barChart>
      <c:catAx>
        <c:axId val="5814934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34280621"/>
        <c:crosses val="autoZero"/>
        <c:auto val="1"/>
        <c:lblAlgn val="ctr"/>
        <c:lblOffset val="100"/>
        <c:noMultiLvlLbl val="0"/>
      </c:catAx>
      <c:valAx>
        <c:axId val="34280621"/>
        <c:scaling>
          <c:orientation val="minMax"/>
        </c:scaling>
        <c:delete val="1"/>
        <c:axPos val="l"/>
        <c:numFmt formatCode="0.00%" sourceLinked="1"/>
        <c:majorTickMark val="none"/>
        <c:minorTickMark val="none"/>
        <c:tickLblPos val="nextTo"/>
        <c:crossAx val="58149349"/>
        <c:crosses val="autoZero"/>
        <c:crossBetween val="between"/>
      </c:valAx>
      <c:spPr>
        <a:noFill/>
        <a:ln w="635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2</xdr:col>
      <xdr:colOff>295275</xdr:colOff>
      <xdr:row>8</xdr:row>
      <xdr:rowOff>133350</xdr:rowOff>
    </xdr:from>
    <xdr:to>
      <xdr:col>3</xdr:col>
      <xdr:colOff>904875</xdr:colOff>
      <xdr:row>13</xdr:row>
      <xdr:rowOff>85725</xdr:rowOff>
    </xdr:to>
    <mc:AlternateContent xmlns:mc="http://schemas.openxmlformats.org/markup-compatibility/2006" xmlns:a14="http://schemas.microsoft.com/office/drawing/2010/main">
      <mc:Choice Requires="a14">
        <xdr:graphicFrame macro="">
          <xdr:nvGraphicFramePr>
            <xdr:cNvPr id="2" name="AMPERSAND INSERTABLE">
              <a:extLst>
                <a:ext uri="{FF2B5EF4-FFF2-40B4-BE49-F238E27FC236}">
                  <a16:creationId xmlns:a16="http://schemas.microsoft.com/office/drawing/2014/main" id="{003DC08F-1575-4FBC-97F9-4FE4932BC143}"/>
                </a:ext>
              </a:extLst>
            </xdr:cNvPr>
            <xdr:cNvGraphicFramePr/>
          </xdr:nvGraphicFramePr>
          <xdr:xfrm>
            <a:off x="0" y="0"/>
            <a:ext cx="0" cy="0"/>
          </xdr:xfrm>
          <a:graphic>
            <a:graphicData uri="http://schemas.microsoft.com/office/drawing/2010/slicer">
              <sle:slicer xmlns:sle="http://schemas.microsoft.com/office/drawing/2010/slicer" name="AMPERSAND INSERTABLE"/>
            </a:graphicData>
          </a:graphic>
        </xdr:graphicFrame>
      </mc:Choice>
      <mc:Fallback xmlns="" xmlns:r="http://schemas.openxmlformats.org/officeDocument/2006/relationships">
        <xdr:sp macro="" textlink="">
          <xdr:nvSpPr>
            <xdr:cNvPr id="2" name="AMPERSAND INSERTABLE"/>
            <xdr:cNvSpPr>
              <a:spLocks noTextEdit="1"/>
            </xdr:cNvSpPr>
          </xdr:nvSpPr>
          <xdr:spPr>
            <a:xfrm>
              <a:off x="1228725" y="1628775"/>
              <a:ext cx="1619250" cy="85725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fPrintsWithSheet="0"/>
  </xdr:twoCellAnchor>
  <xdr:twoCellAnchor editAs="oneCell">
    <xdr:from>
      <xdr:col>5</xdr:col>
      <xdr:colOff>142875</xdr:colOff>
      <xdr:row>16</xdr:row>
      <xdr:rowOff>114300</xdr:rowOff>
    </xdr:from>
    <xdr:to>
      <xdr:col>7</xdr:col>
      <xdr:colOff>485775</xdr:colOff>
      <xdr:row>22</xdr:row>
      <xdr:rowOff>104775</xdr:rowOff>
    </xdr:to>
    <mc:AlternateContent xmlns:mc="http://schemas.openxmlformats.org/markup-compatibility/2006" xmlns:a14="http://schemas.microsoft.com/office/drawing/2010/main">
      <mc:Choice Requires="a14">
        <xdr:graphicFrame macro="">
          <xdr:nvGraphicFramePr>
            <xdr:cNvPr id="3" name="DMA">
              <a:extLst>
                <a:ext uri="{FF2B5EF4-FFF2-40B4-BE49-F238E27FC236}">
                  <a16:creationId xmlns:a16="http://schemas.microsoft.com/office/drawing/2014/main" id="{44D6A311-B31A-49E0-964C-4BE9DF01029E}"/>
                </a:ext>
              </a:extLst>
            </xdr:cNvPr>
            <xdr:cNvGraphicFramePr/>
          </xdr:nvGraphicFramePr>
          <xdr:xfrm>
            <a:off x="0" y="0"/>
            <a:ext cx="0" cy="0"/>
          </xdr:xfrm>
          <a:graphic>
            <a:graphicData uri="http://schemas.microsoft.com/office/drawing/2010/slicer">
              <sle:slicer xmlns:sle="http://schemas.microsoft.com/office/drawing/2010/slicer" name="DMA"/>
            </a:graphicData>
          </a:graphic>
        </xdr:graphicFrame>
      </mc:Choice>
      <mc:Fallback xmlns="" xmlns:r="http://schemas.openxmlformats.org/officeDocument/2006/relationships">
        <xdr:sp macro="" textlink="">
          <xdr:nvSpPr>
            <xdr:cNvPr id="3" name="DMA"/>
            <xdr:cNvSpPr>
              <a:spLocks noTextEdit="1"/>
            </xdr:cNvSpPr>
          </xdr:nvSpPr>
          <xdr:spPr>
            <a:xfrm>
              <a:off x="3467100" y="3057525"/>
              <a:ext cx="1895475" cy="12573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fPrintsWithSheet="0"/>
  </xdr:twoCellAnchor>
  <xdr:twoCellAnchor editAs="oneCell">
    <xdr:from>
      <xdr:col>4</xdr:col>
      <xdr:colOff>66674</xdr:colOff>
      <xdr:row>8</xdr:row>
      <xdr:rowOff>123825</xdr:rowOff>
    </xdr:from>
    <xdr:to>
      <xdr:col>6</xdr:col>
      <xdr:colOff>952500</xdr:colOff>
      <xdr:row>13</xdr:row>
      <xdr:rowOff>9525</xdr:rowOff>
    </xdr:to>
    <mc:AlternateContent xmlns:mc="http://schemas.openxmlformats.org/markup-compatibility/2006" xmlns:a14="http://schemas.microsoft.com/office/drawing/2010/main">
      <mc:Choice Requires="a14">
        <xdr:graphicFrame macro="">
          <xdr:nvGraphicFramePr>
            <xdr:cNvPr id="4" name="TYPE">
              <a:extLst>
                <a:ext uri="{FF2B5EF4-FFF2-40B4-BE49-F238E27FC236}">
                  <a16:creationId xmlns:a16="http://schemas.microsoft.com/office/drawing/2014/main" id="{0ABCA6AF-4E29-4389-B64D-5D6579B21858}"/>
                </a:ext>
              </a:extLst>
            </xdr:cNvPr>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mlns="" xmlns:r="http://schemas.openxmlformats.org/officeDocument/2006/relationships">
        <xdr:sp macro="" textlink="">
          <xdr:nvSpPr>
            <xdr:cNvPr id="4" name="TYPE"/>
            <xdr:cNvSpPr>
              <a:spLocks noTextEdit="1"/>
            </xdr:cNvSpPr>
          </xdr:nvSpPr>
          <xdr:spPr>
            <a:xfrm>
              <a:off x="3048000" y="1619250"/>
              <a:ext cx="1524000" cy="79057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fPrintsWithSheet="0"/>
  </xdr:twoCellAnchor>
  <xdr:twoCellAnchor editAs="oneCell">
    <xdr:from>
      <xdr:col>5</xdr:col>
      <xdr:colOff>104775</xdr:colOff>
      <xdr:row>23</xdr:row>
      <xdr:rowOff>76200</xdr:rowOff>
    </xdr:from>
    <xdr:to>
      <xdr:col>7</xdr:col>
      <xdr:colOff>447675</xdr:colOff>
      <xdr:row>35</xdr:row>
      <xdr:rowOff>19050</xdr:rowOff>
    </xdr:to>
    <mc:AlternateContent xmlns:mc="http://schemas.openxmlformats.org/markup-compatibility/2006" xmlns:a14="http://schemas.microsoft.com/office/drawing/2010/main">
      <mc:Choice Requires="a14">
        <xdr:graphicFrame macro="">
          <xdr:nvGraphicFramePr>
            <xdr:cNvPr id="5" name="DAYPARTS">
              <a:extLst>
                <a:ext uri="{FF2B5EF4-FFF2-40B4-BE49-F238E27FC236}">
                  <a16:creationId xmlns:a16="http://schemas.microsoft.com/office/drawing/2014/main" id="{3A1F38E8-B5F7-4949-BC11-B1FE9922E06B}"/>
                </a:ext>
              </a:extLst>
            </xdr:cNvPr>
            <xdr:cNvGraphicFramePr/>
          </xdr:nvGraphicFramePr>
          <xdr:xfrm>
            <a:off x="0" y="0"/>
            <a:ext cx="0" cy="0"/>
          </xdr:xfrm>
          <a:graphic>
            <a:graphicData uri="http://schemas.microsoft.com/office/drawing/2010/slicer">
              <sle:slicer xmlns:sle="http://schemas.microsoft.com/office/drawing/2010/slicer" name="DAYPARTS"/>
            </a:graphicData>
          </a:graphic>
        </xdr:graphicFrame>
      </mc:Choice>
      <mc:Fallback xmlns="" xmlns:r="http://schemas.openxmlformats.org/officeDocument/2006/relationships">
        <xdr:sp macro="" textlink="">
          <xdr:nvSpPr>
            <xdr:cNvPr id="5" name="DAYPARTS"/>
            <xdr:cNvSpPr>
              <a:spLocks noTextEdit="1"/>
            </xdr:cNvSpPr>
          </xdr:nvSpPr>
          <xdr:spPr>
            <a:xfrm>
              <a:off x="3429000" y="4467225"/>
              <a:ext cx="1895475" cy="211455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fPrintsWithSheet="0"/>
  </xdr:twoCellAnchor>
  <xdr:twoCellAnchor>
    <xdr:from>
      <xdr:col>9</xdr:col>
      <xdr:colOff>47625</xdr:colOff>
      <xdr:row>9</xdr:row>
      <xdr:rowOff>123825</xdr:rowOff>
    </xdr:from>
    <xdr:to>
      <xdr:col>16</xdr:col>
      <xdr:colOff>676275</xdr:colOff>
      <xdr:row>42</xdr:row>
      <xdr:rowOff>28575</xdr:rowOff>
    </xdr:to>
    <xdr:graphicFrame macro="">
      <xdr:nvGraphicFramePr>
        <xdr:cNvPr id="6" name="Chart 5">
          <a:extLst>
            <a:ext uri="{FF2B5EF4-FFF2-40B4-BE49-F238E27FC236}">
              <a16:creationId xmlns:a16="http://schemas.microsoft.com/office/drawing/2014/main" id="{5A990AB2-6459-4C24-B807-8EC88E3544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171450</xdr:colOff>
      <xdr:row>8</xdr:row>
      <xdr:rowOff>123825</xdr:rowOff>
    </xdr:from>
    <xdr:to>
      <xdr:col>7</xdr:col>
      <xdr:colOff>628650</xdr:colOff>
      <xdr:row>13</xdr:row>
      <xdr:rowOff>19050</xdr:rowOff>
    </xdr:to>
    <mc:AlternateContent xmlns:mc="http://schemas.openxmlformats.org/markup-compatibility/2006" xmlns:a14="http://schemas.microsoft.com/office/drawing/2010/main">
      <mc:Choice Requires="a14">
        <xdr:graphicFrame macro="">
          <xdr:nvGraphicFramePr>
            <xdr:cNvPr id="4" name="AMPERSAND INSERTABLE 1">
              <a:extLst>
                <a:ext uri="{FF2B5EF4-FFF2-40B4-BE49-F238E27FC236}">
                  <a16:creationId xmlns:a16="http://schemas.microsoft.com/office/drawing/2014/main" id="{AF43090A-F316-4AA5-B31E-D9E75B2BBD81}"/>
                </a:ext>
              </a:extLst>
            </xdr:cNvPr>
            <xdr:cNvGraphicFramePr/>
          </xdr:nvGraphicFramePr>
          <xdr:xfrm>
            <a:off x="0" y="0"/>
            <a:ext cx="0" cy="0"/>
          </xdr:xfrm>
          <a:graphic>
            <a:graphicData uri="http://schemas.microsoft.com/office/drawing/2010/slicer">
              <sle:slicer xmlns:sle="http://schemas.microsoft.com/office/drawing/2010/slicer" name="AMPERSAND INSERTABLE 1"/>
            </a:graphicData>
          </a:graphic>
        </xdr:graphicFrame>
      </mc:Choice>
      <mc:Fallback xmlns="" xmlns:r="http://schemas.openxmlformats.org/officeDocument/2006/relationships">
        <xdr:sp macro="" textlink="">
          <xdr:nvSpPr>
            <xdr:cNvPr id="4" name="AMPERSAND INSERTABLE 1"/>
            <xdr:cNvSpPr>
              <a:spLocks noTextEdit="1"/>
            </xdr:cNvSpPr>
          </xdr:nvSpPr>
          <xdr:spPr>
            <a:xfrm>
              <a:off x="3314700" y="1619250"/>
              <a:ext cx="1905000" cy="8001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fPrintsWithSheet="0"/>
  </xdr:twoCellAnchor>
  <xdr:twoCellAnchor editAs="oneCell">
    <xdr:from>
      <xdr:col>2</xdr:col>
      <xdr:colOff>314325</xdr:colOff>
      <xdr:row>8</xdr:row>
      <xdr:rowOff>104775</xdr:rowOff>
    </xdr:from>
    <xdr:to>
      <xdr:col>5</xdr:col>
      <xdr:colOff>85725</xdr:colOff>
      <xdr:row>14</xdr:row>
      <xdr:rowOff>142875</xdr:rowOff>
    </xdr:to>
    <mc:AlternateContent xmlns:mc="http://schemas.openxmlformats.org/markup-compatibility/2006" xmlns:a14="http://schemas.microsoft.com/office/drawing/2010/main">
      <mc:Choice Requires="a14">
        <xdr:graphicFrame macro="">
          <xdr:nvGraphicFramePr>
            <xdr:cNvPr id="6" name="DMA 1">
              <a:extLst>
                <a:ext uri="{FF2B5EF4-FFF2-40B4-BE49-F238E27FC236}">
                  <a16:creationId xmlns:a16="http://schemas.microsoft.com/office/drawing/2014/main" id="{37518DF8-6DAF-4966-AF74-9540DB1F7FE7}"/>
                </a:ext>
              </a:extLst>
            </xdr:cNvPr>
            <xdr:cNvGraphicFramePr/>
          </xdr:nvGraphicFramePr>
          <xdr:xfrm>
            <a:off x="0" y="0"/>
            <a:ext cx="0" cy="0"/>
          </xdr:xfrm>
          <a:graphic>
            <a:graphicData uri="http://schemas.microsoft.com/office/drawing/2010/slicer">
              <sle:slicer xmlns:sle="http://schemas.microsoft.com/office/drawing/2010/slicer" name="DMA 1"/>
            </a:graphicData>
          </a:graphic>
        </xdr:graphicFrame>
      </mc:Choice>
      <mc:Fallback xmlns="" xmlns:r="http://schemas.openxmlformats.org/officeDocument/2006/relationships">
        <xdr:sp macro="" textlink="">
          <xdr:nvSpPr>
            <xdr:cNvPr id="6" name="DMA 1"/>
            <xdr:cNvSpPr>
              <a:spLocks noTextEdit="1"/>
            </xdr:cNvSpPr>
          </xdr:nvSpPr>
          <xdr:spPr>
            <a:xfrm>
              <a:off x="1285875" y="1600200"/>
              <a:ext cx="1943100" cy="112395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fPrintsWithSheet="0"/>
  </xdr:twoCellAnchor>
  <xdr:twoCellAnchor editAs="oneCell">
    <xdr:from>
      <xdr:col>8</xdr:col>
      <xdr:colOff>47625</xdr:colOff>
      <xdr:row>8</xdr:row>
      <xdr:rowOff>85725</xdr:rowOff>
    </xdr:from>
    <xdr:to>
      <xdr:col>9</xdr:col>
      <xdr:colOff>619125</xdr:colOff>
      <xdr:row>12</xdr:row>
      <xdr:rowOff>142875</xdr:rowOff>
    </xdr:to>
    <mc:AlternateContent xmlns:mc="http://schemas.openxmlformats.org/markup-compatibility/2006" xmlns:a14="http://schemas.microsoft.com/office/drawing/2010/main">
      <mc:Choice Requires="a14">
        <xdr:graphicFrame macro="">
          <xdr:nvGraphicFramePr>
            <xdr:cNvPr id="7" name="TYPE 1">
              <a:extLst>
                <a:ext uri="{FF2B5EF4-FFF2-40B4-BE49-F238E27FC236}">
                  <a16:creationId xmlns:a16="http://schemas.microsoft.com/office/drawing/2014/main" id="{2B569E44-43AF-45DC-92D2-143F9E8214FE}"/>
                </a:ext>
              </a:extLst>
            </xdr:cNvPr>
            <xdr:cNvGraphicFramePr/>
          </xdr:nvGraphicFramePr>
          <xdr:xfrm>
            <a:off x="0" y="0"/>
            <a:ext cx="0" cy="0"/>
          </xdr:xfrm>
          <a:graphic>
            <a:graphicData uri="http://schemas.microsoft.com/office/drawing/2010/slicer">
              <sle:slicer xmlns:sle="http://schemas.microsoft.com/office/drawing/2010/slicer" name="TYPE 1"/>
            </a:graphicData>
          </a:graphic>
        </xdr:graphicFrame>
      </mc:Choice>
      <mc:Fallback xmlns="" xmlns:r="http://schemas.openxmlformats.org/officeDocument/2006/relationships">
        <xdr:sp macro="" textlink="">
          <xdr:nvSpPr>
            <xdr:cNvPr id="7" name="TYPE 1"/>
            <xdr:cNvSpPr>
              <a:spLocks noTextEdit="1"/>
            </xdr:cNvSpPr>
          </xdr:nvSpPr>
          <xdr:spPr>
            <a:xfrm>
              <a:off x="5362575" y="1581150"/>
              <a:ext cx="1295400" cy="78105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fPrintsWithSheet="0"/>
  </xdr:twoCellAnchor>
</xdr:wsDr>
</file>

<file path=xl/drawings/drawing3.xml><?xml version="1.0" encoding="utf-8"?>
<xdr:wsDr xmlns:xdr="http://schemas.openxmlformats.org/drawingml/2006/spreadsheetDrawing" xmlns:a="http://schemas.openxmlformats.org/drawingml/2006/main">
  <xdr:twoCellAnchor editAs="oneCell">
    <xdr:from>
      <xdr:col>6</xdr:col>
      <xdr:colOff>133350</xdr:colOff>
      <xdr:row>3</xdr:row>
      <xdr:rowOff>47625</xdr:rowOff>
    </xdr:from>
    <xdr:to>
      <xdr:col>7</xdr:col>
      <xdr:colOff>762000</xdr:colOff>
      <xdr:row>14</xdr:row>
      <xdr:rowOff>95250</xdr:rowOff>
    </xdr:to>
    <mc:AlternateContent xmlns:mc="http://schemas.openxmlformats.org/markup-compatibility/2006" xmlns:a14="http://schemas.microsoft.com/office/drawing/2010/main">
      <mc:Choice Requires="a14">
        <xdr:graphicFrame macro="">
          <xdr:nvGraphicFramePr>
            <xdr:cNvPr id="5" name="Cable/Broadcast Breakdown">
              <a:extLst>
                <a:ext uri="{FF2B5EF4-FFF2-40B4-BE49-F238E27FC236}">
                  <a16:creationId xmlns:a16="http://schemas.microsoft.com/office/drawing/2014/main" id="{DB53CA84-0CB7-4B95-AC05-E52EFB168D09}"/>
                </a:ext>
              </a:extLst>
            </xdr:cNvPr>
            <xdr:cNvGraphicFramePr/>
          </xdr:nvGraphicFramePr>
          <xdr:xfrm>
            <a:off x="0" y="0"/>
            <a:ext cx="0" cy="0"/>
          </xdr:xfrm>
          <a:graphic>
            <a:graphicData uri="http://schemas.microsoft.com/office/drawing/2010/slicer">
              <sle:slicer xmlns:sle="http://schemas.microsoft.com/office/drawing/2010/slicer" name="Cable/Broadcast Breakdown"/>
            </a:graphicData>
          </a:graphic>
        </xdr:graphicFrame>
      </mc:Choice>
      <mc:Fallback xmlns="" xmlns:r="http://schemas.openxmlformats.org/officeDocument/2006/relationships">
        <xdr:sp macro="" textlink="">
          <xdr:nvSpPr>
            <xdr:cNvPr id="5" name="Cable/Broadcast Breakdown"/>
            <xdr:cNvSpPr>
              <a:spLocks noTextEdit="1"/>
            </xdr:cNvSpPr>
          </xdr:nvSpPr>
          <xdr:spPr>
            <a:xfrm>
              <a:off x="4248150" y="695325"/>
              <a:ext cx="1885950" cy="10763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twoCellAnchor>
    <xdr:from>
      <xdr:col>0</xdr:col>
      <xdr:colOff>85725</xdr:colOff>
      <xdr:row>8</xdr:row>
      <xdr:rowOff>171450</xdr:rowOff>
    </xdr:from>
    <xdr:to>
      <xdr:col>4</xdr:col>
      <xdr:colOff>733425</xdr:colOff>
      <xdr:row>30</xdr:row>
      <xdr:rowOff>85725</xdr:rowOff>
    </xdr:to>
    <xdr:graphicFrame macro="">
      <xdr:nvGraphicFramePr>
        <xdr:cNvPr id="6" name="Chart 5">
          <a:extLst>
            <a:ext uri="{FF2B5EF4-FFF2-40B4-BE49-F238E27FC236}">
              <a16:creationId xmlns:a16="http://schemas.microsoft.com/office/drawing/2014/main" id="{D367B993-D1D8-46F8-8B0B-8416029C32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466725</xdr:colOff>
      <xdr:row>10</xdr:row>
      <xdr:rowOff>152400</xdr:rowOff>
    </xdr:from>
    <xdr:to>
      <xdr:col>11</xdr:col>
      <xdr:colOff>342900</xdr:colOff>
      <xdr:row>20</xdr:row>
      <xdr:rowOff>104775</xdr:rowOff>
    </xdr:to>
    <mc:AlternateContent xmlns:mc="http://schemas.openxmlformats.org/markup-compatibility/2006" xmlns:a14="http://schemas.microsoft.com/office/drawing/2010/main">
      <mc:Choice Requires="a14">
        <xdr:graphicFrame macro="">
          <xdr:nvGraphicFramePr>
            <xdr:cNvPr id="5" name="Daypart breakdown">
              <a:extLst>
                <a:ext uri="{FF2B5EF4-FFF2-40B4-BE49-F238E27FC236}">
                  <a16:creationId xmlns:a16="http://schemas.microsoft.com/office/drawing/2014/main" id="{7797609B-91F5-4387-B5C8-5A87A5113C46}"/>
                </a:ext>
              </a:extLst>
            </xdr:cNvPr>
            <xdr:cNvGraphicFramePr/>
          </xdr:nvGraphicFramePr>
          <xdr:xfrm>
            <a:off x="0" y="0"/>
            <a:ext cx="0" cy="0"/>
          </xdr:xfrm>
          <a:graphic>
            <a:graphicData uri="http://schemas.microsoft.com/office/drawing/2010/slicer">
              <sle:slicer xmlns:sle="http://schemas.microsoft.com/office/drawing/2010/slicer" name="Daypart breakdown"/>
            </a:graphicData>
          </a:graphic>
        </xdr:graphicFrame>
      </mc:Choice>
      <mc:Fallback xmlns="" xmlns:r="http://schemas.openxmlformats.org/officeDocument/2006/relationships">
        <xdr:sp macro="" textlink="">
          <xdr:nvSpPr>
            <xdr:cNvPr id="5" name="Daypart breakdown"/>
            <xdr:cNvSpPr>
              <a:spLocks noTextEdit="1"/>
            </xdr:cNvSpPr>
          </xdr:nvSpPr>
          <xdr:spPr>
            <a:xfrm>
              <a:off x="5324475" y="1924050"/>
              <a:ext cx="1724025" cy="170497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twoCellAnchor>
    <xdr:from>
      <xdr:col>2</xdr:col>
      <xdr:colOff>295275</xdr:colOff>
      <xdr:row>10</xdr:row>
      <xdr:rowOff>133350</xdr:rowOff>
    </xdr:from>
    <xdr:to>
      <xdr:col>10</xdr:col>
      <xdr:colOff>133350</xdr:colOff>
      <xdr:row>35</xdr:row>
      <xdr:rowOff>47625</xdr:rowOff>
    </xdr:to>
    <xdr:graphicFrame macro="">
      <xdr:nvGraphicFramePr>
        <xdr:cNvPr id="6" name="Chart 5">
          <a:extLst>
            <a:ext uri="{FF2B5EF4-FFF2-40B4-BE49-F238E27FC236}">
              <a16:creationId xmlns:a16="http://schemas.microsoft.com/office/drawing/2014/main" id="{D6891C5C-D9FA-4697-982D-7E3F291A29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Kostiantyn Rymar" refreshedDate="46196.600214351849" createdVersion="7" refreshedVersion="8" minRefreshableVersion="3" recordCount="9670" xr:uid="{EA4A4A39-8E20-40FF-8B83-1C6D7063A0F2}">
  <cacheSource type="worksheet">
    <worksheetSource ref="A8:G300000" sheet="Index-Reach"/>
  </cacheSource>
  <cacheFields count="7">
    <cacheField name="AMPERSAND INSERTABLE" numFmtId="0">
      <sharedItems containsBlank="1" count="3">
        <s v="Yes"/>
        <s v="No"/>
        <m/>
      </sharedItems>
    </cacheField>
    <cacheField name="NETWORK" numFmtId="0">
      <sharedItems containsBlank="1" count="235">
        <s v="AEN"/>
        <s v="ABC"/>
        <s v="ACCN"/>
        <s v="AHC"/>
        <s v="AMC"/>
        <s v="APL"/>
        <s v="ASPIRE"/>
        <s v="AXS"/>
        <s v="BBCA"/>
        <s v="BEIN"/>
        <s v="BHER"/>
        <s v="B10N"/>
        <s v="BET"/>
        <s v="BLOOM"/>
        <s v="BOOM"/>
        <s v="BRAVO"/>
        <s v="TOON"/>
        <s v="CBS"/>
        <s v="CBSS"/>
        <s v="CNBC"/>
        <s v="CNN"/>
        <s v="CNNE"/>
        <s v="CNNI"/>
        <s v="CMDY"/>
        <s v="CC"/>
        <s v="CMT"/>
        <s v="CIN"/>
        <s v="CW"/>
        <s v="CWPLUS"/>
        <s v="DEST"/>
        <s v="DFC"/>
        <s v="DISC"/>
        <s v="DISCE"/>
        <s v="DLIF"/>
        <s v="DSNY"/>
        <s v="DXD"/>
        <s v="ENT"/>
        <s v="ESPN"/>
        <s v="ESPND"/>
        <s v="ESPN2"/>
        <s v="ESPNN"/>
        <s v="ESPNU"/>
        <s v="FOOD"/>
        <s v="FOX"/>
        <s v="FBN"/>
        <s v="FX"/>
        <s v="FXDEP"/>
        <s v="FNC"/>
        <s v="FS2"/>
        <s v="FS1"/>
        <s v="FSSO"/>
        <s v="FREEFRM"/>
        <s v="FUSE"/>
        <s v="FXM"/>
        <s v="RETRO"/>
        <s v="FXX"/>
        <s v="FYI"/>
        <s v="GALA"/>
        <s v="GOLF"/>
        <s v="GAC"/>
        <s v="GSN"/>
        <s v="HALL"/>
        <s v="HALLDR"/>
        <s v="HMM"/>
        <s v="HLN"/>
        <s v="HGTV"/>
        <s v="IFC"/>
        <s v="ID"/>
        <s v="ION"/>
        <s v="LMN"/>
        <s v="LIF"/>
        <s v="LOGO"/>
        <s v="MAG"/>
        <s v="MNOW"/>
        <s v="MLBN"/>
        <s v="MT"/>
        <s v="MTV"/>
        <s v="MTV2"/>
        <s v="NGWD"/>
        <s v="NBC"/>
        <s v="NGC"/>
        <s v="NHLN"/>
        <s v="NBATV"/>
        <s v="UVSO"/>
        <s v="NFLN"/>
        <s v="NICJR"/>
        <s v="NIKTN"/>
        <s v="NICK"/>
        <s v="TVL"/>
        <s v="OWN"/>
        <s v="OUTD"/>
        <s v="OVATION"/>
        <s v="OXYG"/>
        <s v="PAR"/>
        <s v="PBS"/>
        <s v="POP"/>
        <s v="REELZ"/>
        <s v="SCI"/>
        <s v="SECN"/>
        <s v="SMITH"/>
        <s v="SPRTMAN"/>
        <s v="SUND"/>
        <s v="SYFY"/>
        <s v="TBS"/>
        <s v="TELE"/>
        <s v="HIST"/>
        <s v="INSP"/>
        <s v="TLC"/>
        <s v="TENNIS"/>
        <s v="TWC"/>
        <s v="TR3S"/>
        <s v="TRAV"/>
        <s v="TRU"/>
        <s v="UDN"/>
        <s v="TNT"/>
        <s v="TV1"/>
        <s v="UNIMAS"/>
        <s v="UNIV"/>
        <s v="UP"/>
        <s v="USA"/>
        <s v="VH1"/>
        <s v="VICE"/>
        <s v="WETV"/>
        <s v="AZTECA"/>
        <s v="SUR"/>
        <s v="FSSW"/>
        <s v="HISTE"/>
        <s v="LRW"/>
        <s v="WAPA"/>
        <s v="FSSD"/>
        <s v="FSW"/>
        <s v="FSPT"/>
        <s v="SPNWLA"/>
        <s v="SPSN"/>
        <s v="SPSNLA"/>
        <s v="YURVW"/>
        <s v="MSG"/>
        <s v="NBCSPH"/>
        <s v="NESN"/>
        <s v="NY1N"/>
        <s v="N12P"/>
        <s v="N12"/>
        <s v="SPNWHV"/>
        <s v="NY1"/>
        <s v="SNY"/>
        <s v="YES"/>
        <s v="RTNW"/>
        <m/>
        <s v="ESP2" u="1"/>
        <s v="FXNC" u="1"/>
        <s v="FRFM" u="1"/>
        <s v="TBSC" u="1"/>
        <s v="BRVO" u="1"/>
        <s v="BTN" u="1"/>
        <s v="S1AL" u="1"/>
        <s v="ESPD" u="1"/>
        <s v="TENN" u="1"/>
        <s v="ENN" u="1"/>
        <s v="ZBN9" u="1"/>
        <s v="TUDN" u="1"/>
        <s v="S1NY" u="1"/>
        <s v="WMOR" u="1"/>
        <s v="NKJR" u="1"/>
        <s v="WTGL" u="1"/>
        <s v="MASN" u="1"/>
        <s v="NBCS" u="1"/>
        <s v="P12N" u="1"/>
        <s v="BTV" u="1"/>
        <s v="TBN" u="1"/>
        <s v="BTNO" u="1"/>
        <s v="BEIE" u="1"/>
        <s v="NGM" u="1"/>
        <s v="TMND" u="1"/>
        <s v="CSPN" u="1"/>
        <s v="WMBC" u="1"/>
        <s v="DPLA" u="1"/>
        <s v="S1HV" u="1"/>
        <s v="WFNT" u="1"/>
        <s v="S1SY" u="1"/>
        <s v="RLZC" u="1"/>
        <s v="ESNU" u="1"/>
        <s v="AFR" u="1"/>
        <s v="HSTE" u="1"/>
        <s v="SPMN" u="1"/>
        <s v="NSWA" u="1"/>
        <s v="DIY" u="1"/>
        <s v="STRZ" u="1"/>
        <s v="GOL" u="1"/>
        <s v="FSFL" u="1"/>
        <s v="S1RC" u="1"/>
        <s v="CI" u="1"/>
        <s v="NKT" u="1"/>
        <s v="WRDQ" u="1"/>
        <s v="MNBC" u="1"/>
        <s v="YVVA" u="1"/>
        <s v="DFAM" u="1"/>
        <s v="SNLA" u="1"/>
        <s v="AZAN" u="1"/>
        <s v="WEFS" u="1"/>
        <s v="FOXD" u="1"/>
        <s v="FXMR" u="1"/>
        <s v="OSTV" u="1"/>
        <s v="S1NT" u="1"/>
        <s v="SUN" u="1"/>
        <s v="WGNA" u="1"/>
        <s v="TCM" u="1"/>
        <s v="S1BF" u="1"/>
        <s v="CWE" u="1"/>
        <s v="HDRM" u="1"/>
        <s v="EWN" u="1"/>
        <s v="UMAS" u="1"/>
        <s v="DXDE" u="1"/>
        <s v="LRWM" u="1"/>
        <s v="FOXL" u="1"/>
        <s v="S1OR" u="1"/>
        <s v="DAM" u="1"/>
        <s v="WLNY" u="1"/>
        <s v="S1CN" u="1"/>
        <s v="LHN" u="1"/>
        <s v="MAS2" u="1"/>
        <s v="WACX" u="1"/>
        <s v="HSN" u="1"/>
        <s v="MSG2" u="1"/>
        <s v="SMTD" u="1"/>
        <s v="OVTN" u="1"/>
        <s v="ASPR" u="1"/>
        <s v="MSGP" u="1"/>
        <s v="NBAT" u="1"/>
        <s v="OLYM" u="1"/>
        <s v="CST" u="1"/>
        <s v="DSE" u="1"/>
        <s v="QVC" u="1"/>
        <s v="WCLF" u="1"/>
        <s v="MHIS" u="1"/>
        <s v="WDSC" u="1"/>
      </sharedItems>
    </cacheField>
    <cacheField name="DMA" numFmtId="0">
      <sharedItems containsBlank="1" count="15">
        <s v="Atlanta         "/>
        <s v="Chicago         "/>
        <s v="Dallas/Ft. Worth"/>
        <s v="Los Angeles     "/>
        <s v="New York        "/>
        <s v="Seattle/Tacoma  "/>
        <m/>
        <s v="Boston" u="1"/>
        <s v="Atlanta" u="1"/>
        <s v="Chicago" u="1"/>
        <s v="New Orleans" u="1"/>
        <s v="Washington, DC" u="1"/>
        <s v="New York" u="1"/>
        <s v="Tampa/St. Pete" u="1"/>
        <s v="Portland, OR" u="1"/>
      </sharedItems>
    </cacheField>
    <cacheField name="TYPE" numFmtId="0">
      <sharedItems containsBlank="1" count="3">
        <s v="Cable"/>
        <s v="Broadcast"/>
        <m/>
      </sharedItems>
    </cacheField>
    <cacheField name="DAYPARTS" numFmtId="0">
      <sharedItems containsBlank="1" count="15">
        <s v="M-Su 6a-6a  All day"/>
        <s v="M-F 6a-9a  Early Morning (Part)"/>
        <s v="M-F 9a-4p  Daytime"/>
        <s v="M-F 4p-7p  Early fringe"/>
        <s v="M-Su 7p-12m  Prime time"/>
        <s v="M-Su 12m-2a  Late fringe"/>
        <s v="M-Su 1a-6a  Overnight"/>
        <s v="Sa-Su 6a-7p  Weekend"/>
        <s v="M-F 4a to 7a  Early morning local news"/>
        <s v="M-F 4p to 6p  Early fringe local news"/>
        <s v="M-Su 11p to 12m  East/West Late News (11-12)"/>
        <s v="M-Su 10p-11p  East/West Late News (10-11)"/>
        <s v="M-Su 9p-10p  Central/mountain late news"/>
        <s v="M-Su 5a-9a  Early Morning (Full)"/>
        <m/>
      </sharedItems>
    </cacheField>
    <cacheField name="AUDIENCE INDEX" numFmtId="0">
      <sharedItems containsString="0" containsBlank="1" containsNumber="1" containsInteger="1" minValue="8" maxValue="321"/>
    </cacheField>
    <cacheField name="AUDIENCE REACH" numFmtId="0">
      <sharedItems containsString="0" containsBlank="1" containsNumber="1" minValue="1E-4" maxValue="0.98329999999999995"/>
    </cacheField>
  </cacheFields>
  <extLst>
    <ext xmlns:x14="http://schemas.microsoft.com/office/spreadsheetml/2009/9/main" uri="{725AE2AE-9491-48be-B2B4-4EB974FC3084}">
      <x14:pivotCacheDefinition pivotCacheId="112571481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Kostiantyn Rymar" refreshedDate="46196.600218518521" createdVersion="6" refreshedVersion="8" minRefreshableVersion="3" recordCount="7" xr:uid="{0A0C03FE-B819-4968-850D-4476D15CA12E}">
  <cacheSource type="worksheet">
    <worksheetSource ref="A8:C5000" sheet="Cable-BC Breakdown"/>
  </cacheSource>
  <cacheFields count="3">
    <cacheField name="Cable/Broadcast Breakdown" numFmtId="0">
      <sharedItems containsBlank="1" count="7">
        <s v="Chicago"/>
        <s v="New York"/>
        <s v="Seattle/Tacoma"/>
        <s v="Dallas/Ft. Worth"/>
        <s v="Atlanta"/>
        <s v="Los Angeles"/>
        <m/>
      </sharedItems>
    </cacheField>
    <cacheField name="Cable" numFmtId="0">
      <sharedItems containsString="0" containsBlank="1" containsNumber="1" minValue="0.57999999999999996" maxValue="0.68"/>
    </cacheField>
    <cacheField name="Broadcast" numFmtId="0">
      <sharedItems containsString="0" containsBlank="1" containsNumber="1" minValue="0.32" maxValue="0.42"/>
    </cacheField>
  </cacheFields>
  <extLst>
    <ext xmlns:x14="http://schemas.microsoft.com/office/spreadsheetml/2009/9/main" uri="{725AE2AE-9491-48be-B2B4-4EB974FC3084}">
      <x14:pivotCacheDefinition pivotCacheId="849359459"/>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Kostiantyn Rymar" refreshedDate="46196.600221064815" createdVersion="6" refreshedVersion="8" minRefreshableVersion="3" recordCount="7" xr:uid="{ECFACA73-D1FC-482F-A9C9-8A052127996D}">
  <cacheSource type="worksheet">
    <worksheetSource ref="A8:G30000" sheet="Daypart Breakdown"/>
  </cacheSource>
  <cacheFields count="7">
    <cacheField name="Daypart breakdown" numFmtId="0">
      <sharedItems containsBlank="1" count="7">
        <s v="Chicago"/>
        <s v="New York"/>
        <s v="Seattle/Tacoma"/>
        <s v="Dallas/Ft. Worth"/>
        <s v="Atlanta"/>
        <s v="Los Angeles"/>
        <m/>
      </sharedItems>
    </cacheField>
    <cacheField name="M-Su 5a-9a Early Morning" numFmtId="0">
      <sharedItems containsString="0" containsBlank="1" containsNumber="1" minValue="7.4046571088826021E-2" maxValue="0.10979843813076827"/>
    </cacheField>
    <cacheField name="M-F 9a-4p Daytime" numFmtId="0">
      <sharedItems containsString="0" containsBlank="1" containsNumber="1" minValue="0.19649507465902871" maxValue="0.21555815328500855"/>
    </cacheField>
    <cacheField name="M-F 4p-7p Early fringe" numFmtId="0">
      <sharedItems containsString="0" containsBlank="1" containsNumber="1" minValue="0.11949798176696448" maxValue="0.13824400043888707"/>
    </cacheField>
    <cacheField name="M-Su 7p-12m Prime time" numFmtId="0">
      <sharedItems containsString="0" containsBlank="1" containsNumber="1" minValue="0.31846227314555542" maxValue="0.37318414927551874"/>
    </cacheField>
    <cacheField name="M-Su 12m-2a Late fringe" numFmtId="0">
      <sharedItems containsString="0" containsBlank="1" containsNumber="1" minValue="5.1036432398382334E-2" maxValue="7.8405250152125683E-2"/>
    </cacheField>
    <cacheField name="Sa-Su 6a-7p Weekend" numFmtId="0">
      <sharedItems containsString="0" containsBlank="1" containsNumber="1" minValue="0.16303084025699346" maxValue="0.17421773696660214"/>
    </cacheField>
  </cacheFields>
  <extLst>
    <ext xmlns:x14="http://schemas.microsoft.com/office/spreadsheetml/2009/9/main" uri="{725AE2AE-9491-48be-B2B4-4EB974FC3084}">
      <x14:pivotCacheDefinition pivotCacheId="8436622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70">
  <r>
    <x v="0"/>
    <x v="0"/>
    <x v="0"/>
    <x v="0"/>
    <x v="0"/>
    <n v="99"/>
    <n v="0.37480000000000002"/>
  </r>
  <r>
    <x v="0"/>
    <x v="0"/>
    <x v="0"/>
    <x v="0"/>
    <x v="1"/>
    <n v="105"/>
    <n v="6.3399999999999998E-2"/>
  </r>
  <r>
    <x v="0"/>
    <x v="0"/>
    <x v="0"/>
    <x v="0"/>
    <x v="2"/>
    <n v="106"/>
    <n v="0.16539999999999999"/>
  </r>
  <r>
    <x v="0"/>
    <x v="0"/>
    <x v="0"/>
    <x v="0"/>
    <x v="3"/>
    <n v="99"/>
    <n v="0.14030000000000001"/>
  </r>
  <r>
    <x v="0"/>
    <x v="0"/>
    <x v="0"/>
    <x v="0"/>
    <x v="4"/>
    <n v="95"/>
    <n v="0.26550000000000001"/>
  </r>
  <r>
    <x v="0"/>
    <x v="0"/>
    <x v="0"/>
    <x v="0"/>
    <x v="5"/>
    <n v="95"/>
    <n v="8.9499999999999996E-2"/>
  </r>
  <r>
    <x v="0"/>
    <x v="0"/>
    <x v="0"/>
    <x v="0"/>
    <x v="6"/>
    <n v="94"/>
    <n v="8.7099999999999997E-2"/>
  </r>
  <r>
    <x v="0"/>
    <x v="0"/>
    <x v="0"/>
    <x v="0"/>
    <x v="7"/>
    <n v="104"/>
    <n v="0.20369999999999999"/>
  </r>
  <r>
    <x v="0"/>
    <x v="0"/>
    <x v="0"/>
    <x v="0"/>
    <x v="8"/>
    <n v="97"/>
    <n v="3.9E-2"/>
  </r>
  <r>
    <x v="0"/>
    <x v="0"/>
    <x v="0"/>
    <x v="0"/>
    <x v="9"/>
    <n v="102"/>
    <n v="0.1111"/>
  </r>
  <r>
    <x v="0"/>
    <x v="0"/>
    <x v="0"/>
    <x v="0"/>
    <x v="10"/>
    <n v="95"/>
    <n v="0.1057"/>
  </r>
  <r>
    <x v="0"/>
    <x v="0"/>
    <x v="0"/>
    <x v="0"/>
    <x v="11"/>
    <n v="94"/>
    <n v="0.1386"/>
  </r>
  <r>
    <x v="0"/>
    <x v="0"/>
    <x v="0"/>
    <x v="0"/>
    <x v="12"/>
    <n v="94"/>
    <n v="0.15590000000000001"/>
  </r>
  <r>
    <x v="0"/>
    <x v="0"/>
    <x v="0"/>
    <x v="0"/>
    <x v="13"/>
    <n v="104"/>
    <n v="9.9199999999999997E-2"/>
  </r>
  <r>
    <x v="1"/>
    <x v="1"/>
    <x v="0"/>
    <x v="1"/>
    <x v="0"/>
    <n v="100"/>
    <n v="0.86980000000000002"/>
  </r>
  <r>
    <x v="1"/>
    <x v="1"/>
    <x v="0"/>
    <x v="1"/>
    <x v="1"/>
    <n v="93"/>
    <n v="0.39190000000000003"/>
  </r>
  <r>
    <x v="1"/>
    <x v="1"/>
    <x v="0"/>
    <x v="1"/>
    <x v="2"/>
    <n v="102"/>
    <n v="0.56740000000000002"/>
  </r>
  <r>
    <x v="1"/>
    <x v="1"/>
    <x v="0"/>
    <x v="1"/>
    <x v="3"/>
    <n v="103"/>
    <n v="0.60209999999999997"/>
  </r>
  <r>
    <x v="1"/>
    <x v="1"/>
    <x v="0"/>
    <x v="1"/>
    <x v="4"/>
    <n v="102"/>
    <n v="0.78580000000000005"/>
  </r>
  <r>
    <x v="1"/>
    <x v="1"/>
    <x v="0"/>
    <x v="1"/>
    <x v="5"/>
    <n v="97"/>
    <n v="0.35899999999999999"/>
  </r>
  <r>
    <x v="1"/>
    <x v="1"/>
    <x v="0"/>
    <x v="1"/>
    <x v="6"/>
    <n v="91"/>
    <n v="0.38450000000000001"/>
  </r>
  <r>
    <x v="1"/>
    <x v="1"/>
    <x v="0"/>
    <x v="1"/>
    <x v="7"/>
    <n v="96"/>
    <n v="0.7177"/>
  </r>
  <r>
    <x v="1"/>
    <x v="1"/>
    <x v="0"/>
    <x v="1"/>
    <x v="8"/>
    <n v="89"/>
    <n v="0.29339999999999999"/>
  </r>
  <r>
    <x v="1"/>
    <x v="1"/>
    <x v="0"/>
    <x v="1"/>
    <x v="9"/>
    <n v="104"/>
    <n v="0.50519999999999998"/>
  </r>
  <r>
    <x v="1"/>
    <x v="1"/>
    <x v="0"/>
    <x v="1"/>
    <x v="10"/>
    <n v="99"/>
    <n v="0.48330000000000001"/>
  </r>
  <r>
    <x v="1"/>
    <x v="1"/>
    <x v="0"/>
    <x v="1"/>
    <x v="11"/>
    <n v="100"/>
    <n v="0.5746"/>
  </r>
  <r>
    <x v="1"/>
    <x v="1"/>
    <x v="0"/>
    <x v="1"/>
    <x v="12"/>
    <n v="104"/>
    <n v="0.63060000000000005"/>
  </r>
  <r>
    <x v="1"/>
    <x v="1"/>
    <x v="0"/>
    <x v="1"/>
    <x v="13"/>
    <n v="94"/>
    <n v="0.51"/>
  </r>
  <r>
    <x v="0"/>
    <x v="2"/>
    <x v="0"/>
    <x v="0"/>
    <x v="0"/>
    <n v="127"/>
    <n v="9.9000000000000008E-3"/>
  </r>
  <r>
    <x v="0"/>
    <x v="2"/>
    <x v="0"/>
    <x v="0"/>
    <x v="2"/>
    <n v="116"/>
    <n v="2.2000000000000001E-3"/>
  </r>
  <r>
    <x v="0"/>
    <x v="2"/>
    <x v="0"/>
    <x v="0"/>
    <x v="3"/>
    <n v="120"/>
    <n v="2.7000000000000001E-3"/>
  </r>
  <r>
    <x v="0"/>
    <x v="2"/>
    <x v="0"/>
    <x v="0"/>
    <x v="4"/>
    <n v="127"/>
    <n v="6.6E-3"/>
  </r>
  <r>
    <x v="0"/>
    <x v="2"/>
    <x v="0"/>
    <x v="0"/>
    <x v="7"/>
    <n v="128"/>
    <n v="5.1000000000000004E-3"/>
  </r>
  <r>
    <x v="0"/>
    <x v="2"/>
    <x v="0"/>
    <x v="0"/>
    <x v="10"/>
    <n v="154"/>
    <n v="1.6000000000000001E-3"/>
  </r>
  <r>
    <x v="0"/>
    <x v="2"/>
    <x v="0"/>
    <x v="0"/>
    <x v="11"/>
    <n v="148"/>
    <n v="3.3999999999999998E-3"/>
  </r>
  <r>
    <x v="0"/>
    <x v="2"/>
    <x v="0"/>
    <x v="0"/>
    <x v="12"/>
    <n v="136"/>
    <n v="3.8999999999999998E-3"/>
  </r>
  <r>
    <x v="1"/>
    <x v="3"/>
    <x v="0"/>
    <x v="0"/>
    <x v="0"/>
    <n v="99"/>
    <n v="8.7400000000000005E-2"/>
  </r>
  <r>
    <x v="1"/>
    <x v="3"/>
    <x v="0"/>
    <x v="0"/>
    <x v="1"/>
    <n v="105"/>
    <n v="1.2500000000000001E-2"/>
  </r>
  <r>
    <x v="1"/>
    <x v="3"/>
    <x v="0"/>
    <x v="0"/>
    <x v="2"/>
    <n v="102"/>
    <n v="3.0499999999999999E-2"/>
  </r>
  <r>
    <x v="1"/>
    <x v="3"/>
    <x v="0"/>
    <x v="0"/>
    <x v="3"/>
    <n v="98"/>
    <n v="2.3900000000000001E-2"/>
  </r>
  <r>
    <x v="1"/>
    <x v="3"/>
    <x v="0"/>
    <x v="0"/>
    <x v="4"/>
    <n v="101"/>
    <n v="5.2400000000000002E-2"/>
  </r>
  <r>
    <x v="1"/>
    <x v="3"/>
    <x v="0"/>
    <x v="0"/>
    <x v="5"/>
    <n v="98"/>
    <n v="1.5800000000000002E-2"/>
  </r>
  <r>
    <x v="1"/>
    <x v="3"/>
    <x v="0"/>
    <x v="0"/>
    <x v="6"/>
    <n v="92"/>
    <n v="1.78E-2"/>
  </r>
  <r>
    <x v="1"/>
    <x v="3"/>
    <x v="0"/>
    <x v="0"/>
    <x v="7"/>
    <n v="99"/>
    <n v="4.0500000000000001E-2"/>
  </r>
  <r>
    <x v="1"/>
    <x v="3"/>
    <x v="0"/>
    <x v="0"/>
    <x v="8"/>
    <n v="102"/>
    <n v="9.9000000000000008E-3"/>
  </r>
  <r>
    <x v="1"/>
    <x v="3"/>
    <x v="0"/>
    <x v="0"/>
    <x v="9"/>
    <n v="99"/>
    <n v="1.7899999999999999E-2"/>
  </r>
  <r>
    <x v="1"/>
    <x v="3"/>
    <x v="0"/>
    <x v="0"/>
    <x v="10"/>
    <n v="105"/>
    <n v="1.7100000000000001E-2"/>
  </r>
  <r>
    <x v="1"/>
    <x v="3"/>
    <x v="0"/>
    <x v="0"/>
    <x v="11"/>
    <n v="100"/>
    <n v="2.0899999999999998E-2"/>
  </r>
  <r>
    <x v="1"/>
    <x v="3"/>
    <x v="0"/>
    <x v="0"/>
    <x v="12"/>
    <n v="99"/>
    <n v="2.3699999999999999E-2"/>
  </r>
  <r>
    <x v="1"/>
    <x v="3"/>
    <x v="0"/>
    <x v="0"/>
    <x v="13"/>
    <n v="101"/>
    <n v="1.9699999999999999E-2"/>
  </r>
  <r>
    <x v="0"/>
    <x v="4"/>
    <x v="0"/>
    <x v="0"/>
    <x v="0"/>
    <n v="97"/>
    <n v="0.43530000000000002"/>
  </r>
  <r>
    <x v="0"/>
    <x v="4"/>
    <x v="0"/>
    <x v="0"/>
    <x v="1"/>
    <n v="103"/>
    <n v="4.3299999999999998E-2"/>
  </r>
  <r>
    <x v="0"/>
    <x v="4"/>
    <x v="0"/>
    <x v="0"/>
    <x v="2"/>
    <n v="105"/>
    <n v="0.18360000000000001"/>
  </r>
  <r>
    <x v="0"/>
    <x v="4"/>
    <x v="0"/>
    <x v="0"/>
    <x v="3"/>
    <n v="99"/>
    <n v="0.16589999999999999"/>
  </r>
  <r>
    <x v="0"/>
    <x v="4"/>
    <x v="0"/>
    <x v="0"/>
    <x v="4"/>
    <n v="95"/>
    <n v="0.3236"/>
  </r>
  <r>
    <x v="0"/>
    <x v="4"/>
    <x v="0"/>
    <x v="0"/>
    <x v="5"/>
    <n v="93"/>
    <n v="0.1002"/>
  </r>
  <r>
    <x v="0"/>
    <x v="4"/>
    <x v="0"/>
    <x v="0"/>
    <x v="6"/>
    <n v="93"/>
    <n v="0.104"/>
  </r>
  <r>
    <x v="0"/>
    <x v="4"/>
    <x v="0"/>
    <x v="0"/>
    <x v="7"/>
    <n v="95"/>
    <n v="0.24790000000000001"/>
  </r>
  <r>
    <x v="0"/>
    <x v="4"/>
    <x v="0"/>
    <x v="0"/>
    <x v="8"/>
    <n v="102"/>
    <n v="4.0800000000000003E-2"/>
  </r>
  <r>
    <x v="0"/>
    <x v="4"/>
    <x v="0"/>
    <x v="0"/>
    <x v="9"/>
    <n v="101"/>
    <n v="0.1293"/>
  </r>
  <r>
    <x v="0"/>
    <x v="4"/>
    <x v="0"/>
    <x v="0"/>
    <x v="10"/>
    <n v="92"/>
    <n v="0.1198"/>
  </r>
  <r>
    <x v="0"/>
    <x v="4"/>
    <x v="0"/>
    <x v="0"/>
    <x v="11"/>
    <n v="93"/>
    <n v="0.16389999999999999"/>
  </r>
  <r>
    <x v="0"/>
    <x v="4"/>
    <x v="0"/>
    <x v="0"/>
    <x v="12"/>
    <n v="96"/>
    <n v="0.19550000000000001"/>
  </r>
  <r>
    <x v="0"/>
    <x v="4"/>
    <x v="0"/>
    <x v="0"/>
    <x v="13"/>
    <n v="97"/>
    <n v="9.6000000000000002E-2"/>
  </r>
  <r>
    <x v="0"/>
    <x v="5"/>
    <x v="0"/>
    <x v="0"/>
    <x v="0"/>
    <n v="110"/>
    <n v="0.28889999999999999"/>
  </r>
  <r>
    <x v="0"/>
    <x v="5"/>
    <x v="0"/>
    <x v="0"/>
    <x v="1"/>
    <n v="107"/>
    <n v="3.4799999999999998E-2"/>
  </r>
  <r>
    <x v="0"/>
    <x v="5"/>
    <x v="0"/>
    <x v="0"/>
    <x v="2"/>
    <n v="109"/>
    <n v="9.5100000000000004E-2"/>
  </r>
  <r>
    <x v="0"/>
    <x v="5"/>
    <x v="0"/>
    <x v="0"/>
    <x v="3"/>
    <n v="107"/>
    <n v="7.7600000000000002E-2"/>
  </r>
  <r>
    <x v="0"/>
    <x v="5"/>
    <x v="0"/>
    <x v="0"/>
    <x v="4"/>
    <n v="114"/>
    <n v="0.188"/>
  </r>
  <r>
    <x v="0"/>
    <x v="5"/>
    <x v="0"/>
    <x v="0"/>
    <x v="5"/>
    <n v="108"/>
    <n v="5.0200000000000002E-2"/>
  </r>
  <r>
    <x v="0"/>
    <x v="5"/>
    <x v="0"/>
    <x v="0"/>
    <x v="6"/>
    <n v="98"/>
    <n v="5.5300000000000002E-2"/>
  </r>
  <r>
    <x v="0"/>
    <x v="5"/>
    <x v="0"/>
    <x v="0"/>
    <x v="7"/>
    <n v="113"/>
    <n v="0.15010000000000001"/>
  </r>
  <r>
    <x v="0"/>
    <x v="5"/>
    <x v="0"/>
    <x v="0"/>
    <x v="8"/>
    <n v="92"/>
    <n v="2.7300000000000001E-2"/>
  </r>
  <r>
    <x v="0"/>
    <x v="5"/>
    <x v="0"/>
    <x v="0"/>
    <x v="9"/>
    <n v="109"/>
    <n v="5.8799999999999998E-2"/>
  </r>
  <r>
    <x v="0"/>
    <x v="5"/>
    <x v="0"/>
    <x v="0"/>
    <x v="10"/>
    <n v="109"/>
    <n v="5.79E-2"/>
  </r>
  <r>
    <x v="0"/>
    <x v="5"/>
    <x v="0"/>
    <x v="0"/>
    <x v="11"/>
    <n v="109"/>
    <n v="8.14E-2"/>
  </r>
  <r>
    <x v="0"/>
    <x v="5"/>
    <x v="0"/>
    <x v="0"/>
    <x v="12"/>
    <n v="116"/>
    <n v="9.7100000000000006E-2"/>
  </r>
  <r>
    <x v="0"/>
    <x v="5"/>
    <x v="0"/>
    <x v="0"/>
    <x v="13"/>
    <n v="103"/>
    <n v="5.7799999999999997E-2"/>
  </r>
  <r>
    <x v="1"/>
    <x v="6"/>
    <x v="0"/>
    <x v="0"/>
    <x v="0"/>
    <n v="79"/>
    <n v="2.4E-2"/>
  </r>
  <r>
    <x v="1"/>
    <x v="6"/>
    <x v="0"/>
    <x v="0"/>
    <x v="1"/>
    <n v="69"/>
    <n v="1.9E-3"/>
  </r>
  <r>
    <x v="1"/>
    <x v="6"/>
    <x v="0"/>
    <x v="0"/>
    <x v="2"/>
    <n v="81"/>
    <n v="6.7000000000000002E-3"/>
  </r>
  <r>
    <x v="1"/>
    <x v="6"/>
    <x v="0"/>
    <x v="0"/>
    <x v="3"/>
    <n v="68"/>
    <n v="4.1999999999999997E-3"/>
  </r>
  <r>
    <x v="1"/>
    <x v="6"/>
    <x v="0"/>
    <x v="0"/>
    <x v="4"/>
    <n v="86"/>
    <n v="1.3299999999999999E-2"/>
  </r>
  <r>
    <x v="1"/>
    <x v="6"/>
    <x v="0"/>
    <x v="0"/>
    <x v="5"/>
    <n v="80"/>
    <n v="4.1000000000000003E-3"/>
  </r>
  <r>
    <x v="1"/>
    <x v="6"/>
    <x v="0"/>
    <x v="0"/>
    <x v="6"/>
    <n v="97"/>
    <n v="3.3999999999999998E-3"/>
  </r>
  <r>
    <x v="1"/>
    <x v="6"/>
    <x v="0"/>
    <x v="0"/>
    <x v="7"/>
    <n v="66"/>
    <n v="9.4999999999999998E-3"/>
  </r>
  <r>
    <x v="1"/>
    <x v="6"/>
    <x v="0"/>
    <x v="0"/>
    <x v="9"/>
    <n v="59"/>
    <n v="2.3999999999999998E-3"/>
  </r>
  <r>
    <x v="1"/>
    <x v="6"/>
    <x v="0"/>
    <x v="0"/>
    <x v="10"/>
    <n v="72"/>
    <n v="3.5999999999999999E-3"/>
  </r>
  <r>
    <x v="1"/>
    <x v="6"/>
    <x v="0"/>
    <x v="0"/>
    <x v="11"/>
    <n v="74"/>
    <n v="4.4000000000000003E-3"/>
  </r>
  <r>
    <x v="1"/>
    <x v="6"/>
    <x v="0"/>
    <x v="0"/>
    <x v="12"/>
    <n v="85"/>
    <n v="5.1999999999999998E-3"/>
  </r>
  <r>
    <x v="1"/>
    <x v="6"/>
    <x v="0"/>
    <x v="0"/>
    <x v="13"/>
    <n v="58"/>
    <n v="3.2000000000000002E-3"/>
  </r>
  <r>
    <x v="1"/>
    <x v="7"/>
    <x v="0"/>
    <x v="0"/>
    <x v="0"/>
    <n v="121"/>
    <n v="1.6E-2"/>
  </r>
  <r>
    <x v="1"/>
    <x v="7"/>
    <x v="0"/>
    <x v="0"/>
    <x v="2"/>
    <n v="121"/>
    <n v="5.5999999999999999E-3"/>
  </r>
  <r>
    <x v="1"/>
    <x v="7"/>
    <x v="0"/>
    <x v="0"/>
    <x v="3"/>
    <n v="112"/>
    <n v="4.1999999999999997E-3"/>
  </r>
  <r>
    <x v="1"/>
    <x v="7"/>
    <x v="0"/>
    <x v="0"/>
    <x v="4"/>
    <n v="122"/>
    <n v="9.2999999999999992E-3"/>
  </r>
  <r>
    <x v="1"/>
    <x v="7"/>
    <x v="0"/>
    <x v="0"/>
    <x v="5"/>
    <n v="105"/>
    <n v="2.7000000000000001E-3"/>
  </r>
  <r>
    <x v="1"/>
    <x v="7"/>
    <x v="0"/>
    <x v="0"/>
    <x v="6"/>
    <n v="125"/>
    <n v="2.2000000000000001E-3"/>
  </r>
  <r>
    <x v="1"/>
    <x v="7"/>
    <x v="0"/>
    <x v="0"/>
    <x v="7"/>
    <n v="120"/>
    <n v="7.6E-3"/>
  </r>
  <r>
    <x v="1"/>
    <x v="7"/>
    <x v="0"/>
    <x v="0"/>
    <x v="9"/>
    <n v="111"/>
    <n v="2.8E-3"/>
  </r>
  <r>
    <x v="1"/>
    <x v="7"/>
    <x v="0"/>
    <x v="0"/>
    <x v="10"/>
    <n v="133"/>
    <n v="3.0000000000000001E-3"/>
  </r>
  <r>
    <x v="1"/>
    <x v="7"/>
    <x v="0"/>
    <x v="0"/>
    <x v="11"/>
    <n v="153"/>
    <n v="3.8E-3"/>
  </r>
  <r>
    <x v="1"/>
    <x v="7"/>
    <x v="0"/>
    <x v="0"/>
    <x v="12"/>
    <n v="133"/>
    <n v="4.4000000000000003E-3"/>
  </r>
  <r>
    <x v="1"/>
    <x v="8"/>
    <x v="0"/>
    <x v="0"/>
    <x v="0"/>
    <n v="102"/>
    <n v="0.22090000000000001"/>
  </r>
  <r>
    <x v="1"/>
    <x v="8"/>
    <x v="0"/>
    <x v="0"/>
    <x v="1"/>
    <n v="97"/>
    <n v="2.8299999999999999E-2"/>
  </r>
  <r>
    <x v="1"/>
    <x v="8"/>
    <x v="0"/>
    <x v="0"/>
    <x v="2"/>
    <n v="107"/>
    <n v="8.1299999999999997E-2"/>
  </r>
  <r>
    <x v="1"/>
    <x v="8"/>
    <x v="0"/>
    <x v="0"/>
    <x v="3"/>
    <n v="103"/>
    <n v="6.9000000000000006E-2"/>
  </r>
  <r>
    <x v="1"/>
    <x v="8"/>
    <x v="0"/>
    <x v="0"/>
    <x v="4"/>
    <n v="102"/>
    <n v="0.14430000000000001"/>
  </r>
  <r>
    <x v="1"/>
    <x v="8"/>
    <x v="0"/>
    <x v="0"/>
    <x v="5"/>
    <n v="103"/>
    <n v="4.2299999999999997E-2"/>
  </r>
  <r>
    <x v="1"/>
    <x v="8"/>
    <x v="0"/>
    <x v="0"/>
    <x v="6"/>
    <n v="100"/>
    <n v="4.6899999999999997E-2"/>
  </r>
  <r>
    <x v="1"/>
    <x v="8"/>
    <x v="0"/>
    <x v="0"/>
    <x v="7"/>
    <n v="101"/>
    <n v="9.3399999999999997E-2"/>
  </r>
  <r>
    <x v="1"/>
    <x v="8"/>
    <x v="0"/>
    <x v="0"/>
    <x v="8"/>
    <n v="96"/>
    <n v="2.3900000000000001E-2"/>
  </r>
  <r>
    <x v="1"/>
    <x v="8"/>
    <x v="0"/>
    <x v="0"/>
    <x v="9"/>
    <n v="107"/>
    <n v="5.2600000000000001E-2"/>
  </r>
  <r>
    <x v="1"/>
    <x v="8"/>
    <x v="0"/>
    <x v="0"/>
    <x v="10"/>
    <n v="101"/>
    <n v="5.0099999999999999E-2"/>
  </r>
  <r>
    <x v="1"/>
    <x v="8"/>
    <x v="0"/>
    <x v="0"/>
    <x v="11"/>
    <n v="105"/>
    <n v="6.6000000000000003E-2"/>
  </r>
  <r>
    <x v="1"/>
    <x v="8"/>
    <x v="0"/>
    <x v="0"/>
    <x v="12"/>
    <n v="104"/>
    <n v="7.8299999999999995E-2"/>
  </r>
  <r>
    <x v="1"/>
    <x v="8"/>
    <x v="0"/>
    <x v="0"/>
    <x v="13"/>
    <n v="96"/>
    <n v="4.7699999999999999E-2"/>
  </r>
  <r>
    <x v="1"/>
    <x v="9"/>
    <x v="0"/>
    <x v="0"/>
    <x v="0"/>
    <n v="153"/>
    <n v="4.4000000000000003E-3"/>
  </r>
  <r>
    <x v="1"/>
    <x v="9"/>
    <x v="0"/>
    <x v="0"/>
    <x v="4"/>
    <n v="140"/>
    <n v="2.0999999999999999E-3"/>
  </r>
  <r>
    <x v="1"/>
    <x v="10"/>
    <x v="0"/>
    <x v="0"/>
    <x v="0"/>
    <n v="81"/>
    <n v="4.2900000000000001E-2"/>
  </r>
  <r>
    <x v="1"/>
    <x v="10"/>
    <x v="0"/>
    <x v="0"/>
    <x v="1"/>
    <n v="128"/>
    <n v="2.7000000000000001E-3"/>
  </r>
  <r>
    <x v="1"/>
    <x v="10"/>
    <x v="0"/>
    <x v="0"/>
    <x v="2"/>
    <n v="86"/>
    <n v="1.29E-2"/>
  </r>
  <r>
    <x v="1"/>
    <x v="10"/>
    <x v="0"/>
    <x v="0"/>
    <x v="3"/>
    <n v="74"/>
    <n v="9.7000000000000003E-3"/>
  </r>
  <r>
    <x v="1"/>
    <x v="10"/>
    <x v="0"/>
    <x v="0"/>
    <x v="4"/>
    <n v="73"/>
    <n v="2.5399999999999999E-2"/>
  </r>
  <r>
    <x v="1"/>
    <x v="10"/>
    <x v="0"/>
    <x v="0"/>
    <x v="5"/>
    <n v="82"/>
    <n v="8.6999999999999994E-3"/>
  </r>
  <r>
    <x v="1"/>
    <x v="10"/>
    <x v="0"/>
    <x v="0"/>
    <x v="6"/>
    <n v="81"/>
    <n v="9.5999999999999992E-3"/>
  </r>
  <r>
    <x v="1"/>
    <x v="10"/>
    <x v="0"/>
    <x v="0"/>
    <x v="7"/>
    <n v="87"/>
    <n v="1.7399999999999999E-2"/>
  </r>
  <r>
    <x v="1"/>
    <x v="10"/>
    <x v="0"/>
    <x v="0"/>
    <x v="8"/>
    <n v="126"/>
    <n v="2.7000000000000001E-3"/>
  </r>
  <r>
    <x v="1"/>
    <x v="10"/>
    <x v="0"/>
    <x v="0"/>
    <x v="9"/>
    <n v="83"/>
    <n v="7.9000000000000008E-3"/>
  </r>
  <r>
    <x v="1"/>
    <x v="10"/>
    <x v="0"/>
    <x v="0"/>
    <x v="10"/>
    <n v="83"/>
    <n v="8.6E-3"/>
  </r>
  <r>
    <x v="1"/>
    <x v="10"/>
    <x v="0"/>
    <x v="0"/>
    <x v="11"/>
    <n v="81"/>
    <n v="1.01E-2"/>
  </r>
  <r>
    <x v="1"/>
    <x v="10"/>
    <x v="0"/>
    <x v="0"/>
    <x v="12"/>
    <n v="76"/>
    <n v="1.1900000000000001E-2"/>
  </r>
  <r>
    <x v="1"/>
    <x v="10"/>
    <x v="0"/>
    <x v="0"/>
    <x v="13"/>
    <n v="97"/>
    <n v="7.3000000000000001E-3"/>
  </r>
  <r>
    <x v="1"/>
    <x v="11"/>
    <x v="0"/>
    <x v="0"/>
    <x v="0"/>
    <n v="116"/>
    <n v="2.5899999999999999E-2"/>
  </r>
  <r>
    <x v="1"/>
    <x v="11"/>
    <x v="0"/>
    <x v="0"/>
    <x v="1"/>
    <n v="121"/>
    <n v="1.6000000000000001E-3"/>
  </r>
  <r>
    <x v="1"/>
    <x v="11"/>
    <x v="0"/>
    <x v="0"/>
    <x v="2"/>
    <n v="168"/>
    <n v="5.1999999999999998E-3"/>
  </r>
  <r>
    <x v="1"/>
    <x v="11"/>
    <x v="0"/>
    <x v="0"/>
    <x v="3"/>
    <n v="103"/>
    <n v="4.5999999999999999E-3"/>
  </r>
  <r>
    <x v="1"/>
    <x v="11"/>
    <x v="0"/>
    <x v="0"/>
    <x v="4"/>
    <n v="112"/>
    <n v="1.7999999999999999E-2"/>
  </r>
  <r>
    <x v="1"/>
    <x v="11"/>
    <x v="0"/>
    <x v="0"/>
    <x v="5"/>
    <n v="108"/>
    <n v="2.0999999999999999E-3"/>
  </r>
  <r>
    <x v="1"/>
    <x v="11"/>
    <x v="0"/>
    <x v="0"/>
    <x v="6"/>
    <n v="96"/>
    <n v="2.3999999999999998E-3"/>
  </r>
  <r>
    <x v="1"/>
    <x v="11"/>
    <x v="0"/>
    <x v="0"/>
    <x v="7"/>
    <n v="115"/>
    <n v="1.18E-2"/>
  </r>
  <r>
    <x v="1"/>
    <x v="11"/>
    <x v="0"/>
    <x v="0"/>
    <x v="9"/>
    <n v="114"/>
    <n v="2.5000000000000001E-3"/>
  </r>
  <r>
    <x v="1"/>
    <x v="11"/>
    <x v="0"/>
    <x v="0"/>
    <x v="10"/>
    <n v="112"/>
    <n v="6.0000000000000001E-3"/>
  </r>
  <r>
    <x v="1"/>
    <x v="11"/>
    <x v="0"/>
    <x v="0"/>
    <x v="11"/>
    <n v="112"/>
    <n v="8.2000000000000007E-3"/>
  </r>
  <r>
    <x v="1"/>
    <x v="11"/>
    <x v="0"/>
    <x v="0"/>
    <x v="12"/>
    <n v="110"/>
    <n v="1.0699999999999999E-2"/>
  </r>
  <r>
    <x v="1"/>
    <x v="11"/>
    <x v="0"/>
    <x v="0"/>
    <x v="13"/>
    <n v="121"/>
    <n v="2.3E-3"/>
  </r>
  <r>
    <x v="0"/>
    <x v="12"/>
    <x v="0"/>
    <x v="0"/>
    <x v="0"/>
    <n v="70"/>
    <n v="0.29220000000000002"/>
  </r>
  <r>
    <x v="0"/>
    <x v="12"/>
    <x v="0"/>
    <x v="0"/>
    <x v="1"/>
    <n v="70"/>
    <n v="4.53E-2"/>
  </r>
  <r>
    <x v="0"/>
    <x v="12"/>
    <x v="0"/>
    <x v="0"/>
    <x v="2"/>
    <n v="69"/>
    <n v="0.1022"/>
  </r>
  <r>
    <x v="0"/>
    <x v="12"/>
    <x v="0"/>
    <x v="0"/>
    <x v="3"/>
    <n v="69"/>
    <n v="8.72E-2"/>
  </r>
  <r>
    <x v="0"/>
    <x v="12"/>
    <x v="0"/>
    <x v="0"/>
    <x v="4"/>
    <n v="71"/>
    <n v="0.22070000000000001"/>
  </r>
  <r>
    <x v="0"/>
    <x v="12"/>
    <x v="0"/>
    <x v="0"/>
    <x v="5"/>
    <n v="64"/>
    <n v="7.9000000000000001E-2"/>
  </r>
  <r>
    <x v="0"/>
    <x v="12"/>
    <x v="0"/>
    <x v="0"/>
    <x v="6"/>
    <n v="65"/>
    <n v="8.09E-2"/>
  </r>
  <r>
    <x v="0"/>
    <x v="12"/>
    <x v="0"/>
    <x v="0"/>
    <x v="7"/>
    <n v="72"/>
    <n v="0.1691"/>
  </r>
  <r>
    <x v="0"/>
    <x v="12"/>
    <x v="0"/>
    <x v="0"/>
    <x v="8"/>
    <n v="68"/>
    <n v="3.9300000000000002E-2"/>
  </r>
  <r>
    <x v="0"/>
    <x v="12"/>
    <x v="0"/>
    <x v="0"/>
    <x v="9"/>
    <n v="66"/>
    <n v="6.3299999999999995E-2"/>
  </r>
  <r>
    <x v="0"/>
    <x v="12"/>
    <x v="0"/>
    <x v="0"/>
    <x v="10"/>
    <n v="66"/>
    <n v="8.9700000000000002E-2"/>
  </r>
  <r>
    <x v="0"/>
    <x v="12"/>
    <x v="0"/>
    <x v="0"/>
    <x v="11"/>
    <n v="69"/>
    <n v="0.12"/>
  </r>
  <r>
    <x v="0"/>
    <x v="12"/>
    <x v="0"/>
    <x v="0"/>
    <x v="12"/>
    <n v="74"/>
    <n v="0.13339999999999999"/>
  </r>
  <r>
    <x v="0"/>
    <x v="12"/>
    <x v="0"/>
    <x v="0"/>
    <x v="13"/>
    <n v="69"/>
    <n v="7.3599999999999999E-2"/>
  </r>
  <r>
    <x v="1"/>
    <x v="13"/>
    <x v="0"/>
    <x v="0"/>
    <x v="0"/>
    <n v="94"/>
    <n v="0.29549999999999998"/>
  </r>
  <r>
    <x v="1"/>
    <x v="13"/>
    <x v="0"/>
    <x v="0"/>
    <x v="1"/>
    <n v="88"/>
    <n v="4.9000000000000002E-2"/>
  </r>
  <r>
    <x v="1"/>
    <x v="13"/>
    <x v="0"/>
    <x v="0"/>
    <x v="2"/>
    <n v="96"/>
    <n v="0.1061"/>
  </r>
  <r>
    <x v="1"/>
    <x v="13"/>
    <x v="0"/>
    <x v="0"/>
    <x v="3"/>
    <n v="93"/>
    <n v="7.9699999999999993E-2"/>
  </r>
  <r>
    <x v="1"/>
    <x v="13"/>
    <x v="0"/>
    <x v="0"/>
    <x v="4"/>
    <n v="101"/>
    <n v="0.19289999999999999"/>
  </r>
  <r>
    <x v="1"/>
    <x v="13"/>
    <x v="0"/>
    <x v="0"/>
    <x v="5"/>
    <n v="96"/>
    <n v="4.1300000000000003E-2"/>
  </r>
  <r>
    <x v="1"/>
    <x v="13"/>
    <x v="0"/>
    <x v="0"/>
    <x v="6"/>
    <n v="90"/>
    <n v="5.3100000000000001E-2"/>
  </r>
  <r>
    <x v="1"/>
    <x v="13"/>
    <x v="0"/>
    <x v="0"/>
    <x v="7"/>
    <n v="87"/>
    <n v="0.1472"/>
  </r>
  <r>
    <x v="1"/>
    <x v="13"/>
    <x v="0"/>
    <x v="0"/>
    <x v="8"/>
    <n v="83"/>
    <n v="3.2099999999999997E-2"/>
  </r>
  <r>
    <x v="1"/>
    <x v="13"/>
    <x v="0"/>
    <x v="0"/>
    <x v="9"/>
    <n v="93"/>
    <n v="5.8999999999999997E-2"/>
  </r>
  <r>
    <x v="1"/>
    <x v="13"/>
    <x v="0"/>
    <x v="0"/>
    <x v="10"/>
    <n v="100"/>
    <n v="5.2900000000000003E-2"/>
  </r>
  <r>
    <x v="1"/>
    <x v="13"/>
    <x v="0"/>
    <x v="0"/>
    <x v="11"/>
    <n v="104"/>
    <n v="7.1300000000000002E-2"/>
  </r>
  <r>
    <x v="1"/>
    <x v="13"/>
    <x v="0"/>
    <x v="0"/>
    <x v="12"/>
    <n v="101"/>
    <n v="8.1699999999999995E-2"/>
  </r>
  <r>
    <x v="1"/>
    <x v="13"/>
    <x v="0"/>
    <x v="0"/>
    <x v="13"/>
    <n v="87"/>
    <n v="7.6799999999999993E-2"/>
  </r>
  <r>
    <x v="1"/>
    <x v="14"/>
    <x v="0"/>
    <x v="0"/>
    <x v="0"/>
    <n v="84"/>
    <n v="1.0999999999999999E-2"/>
  </r>
  <r>
    <x v="1"/>
    <x v="14"/>
    <x v="0"/>
    <x v="0"/>
    <x v="1"/>
    <n v="66"/>
    <n v="1.4E-3"/>
  </r>
  <r>
    <x v="1"/>
    <x v="14"/>
    <x v="0"/>
    <x v="0"/>
    <x v="2"/>
    <n v="89"/>
    <n v="3.2000000000000002E-3"/>
  </r>
  <r>
    <x v="1"/>
    <x v="14"/>
    <x v="0"/>
    <x v="0"/>
    <x v="3"/>
    <n v="65"/>
    <n v="2.3999999999999998E-3"/>
  </r>
  <r>
    <x v="1"/>
    <x v="14"/>
    <x v="0"/>
    <x v="0"/>
    <x v="4"/>
    <n v="81"/>
    <n v="5.7000000000000002E-3"/>
  </r>
  <r>
    <x v="1"/>
    <x v="14"/>
    <x v="0"/>
    <x v="0"/>
    <x v="5"/>
    <n v="92"/>
    <n v="1.6999999999999999E-3"/>
  </r>
  <r>
    <x v="1"/>
    <x v="14"/>
    <x v="0"/>
    <x v="0"/>
    <x v="6"/>
    <n v="95"/>
    <n v="2.5999999999999999E-3"/>
  </r>
  <r>
    <x v="1"/>
    <x v="14"/>
    <x v="0"/>
    <x v="0"/>
    <x v="7"/>
    <n v="87"/>
    <n v="4.4000000000000003E-3"/>
  </r>
  <r>
    <x v="1"/>
    <x v="14"/>
    <x v="0"/>
    <x v="0"/>
    <x v="9"/>
    <n v="68"/>
    <n v="1.6000000000000001E-3"/>
  </r>
  <r>
    <x v="1"/>
    <x v="14"/>
    <x v="0"/>
    <x v="0"/>
    <x v="10"/>
    <n v="100"/>
    <n v="1.9E-3"/>
  </r>
  <r>
    <x v="1"/>
    <x v="14"/>
    <x v="0"/>
    <x v="0"/>
    <x v="11"/>
    <n v="86"/>
    <n v="2.5999999999999999E-3"/>
  </r>
  <r>
    <x v="1"/>
    <x v="14"/>
    <x v="0"/>
    <x v="0"/>
    <x v="12"/>
    <n v="71"/>
    <n v="2.2000000000000001E-3"/>
  </r>
  <r>
    <x v="1"/>
    <x v="14"/>
    <x v="0"/>
    <x v="0"/>
    <x v="13"/>
    <n v="75"/>
    <n v="2.3E-3"/>
  </r>
  <r>
    <x v="0"/>
    <x v="15"/>
    <x v="0"/>
    <x v="0"/>
    <x v="0"/>
    <n v="78"/>
    <n v="0.29659999999999997"/>
  </r>
  <r>
    <x v="0"/>
    <x v="15"/>
    <x v="0"/>
    <x v="0"/>
    <x v="1"/>
    <n v="76"/>
    <n v="4.2700000000000002E-2"/>
  </r>
  <r>
    <x v="0"/>
    <x v="15"/>
    <x v="0"/>
    <x v="0"/>
    <x v="2"/>
    <n v="81"/>
    <n v="0.11"/>
  </r>
  <r>
    <x v="0"/>
    <x v="15"/>
    <x v="0"/>
    <x v="0"/>
    <x v="3"/>
    <n v="80"/>
    <n v="9.1499999999999998E-2"/>
  </r>
  <r>
    <x v="0"/>
    <x v="15"/>
    <x v="0"/>
    <x v="0"/>
    <x v="4"/>
    <n v="79"/>
    <n v="0.21959999999999999"/>
  </r>
  <r>
    <x v="0"/>
    <x v="15"/>
    <x v="0"/>
    <x v="0"/>
    <x v="5"/>
    <n v="76"/>
    <n v="6.7699999999999996E-2"/>
  </r>
  <r>
    <x v="0"/>
    <x v="15"/>
    <x v="0"/>
    <x v="0"/>
    <x v="6"/>
    <n v="74"/>
    <n v="6.8400000000000002E-2"/>
  </r>
  <r>
    <x v="0"/>
    <x v="15"/>
    <x v="0"/>
    <x v="0"/>
    <x v="7"/>
    <n v="76"/>
    <n v="0.1399"/>
  </r>
  <r>
    <x v="0"/>
    <x v="15"/>
    <x v="0"/>
    <x v="0"/>
    <x v="8"/>
    <n v="72"/>
    <n v="3.39E-2"/>
  </r>
  <r>
    <x v="0"/>
    <x v="15"/>
    <x v="0"/>
    <x v="0"/>
    <x v="9"/>
    <n v="80"/>
    <n v="7.0099999999999996E-2"/>
  </r>
  <r>
    <x v="0"/>
    <x v="15"/>
    <x v="0"/>
    <x v="0"/>
    <x v="10"/>
    <n v="77"/>
    <n v="8.3900000000000002E-2"/>
  </r>
  <r>
    <x v="0"/>
    <x v="15"/>
    <x v="0"/>
    <x v="0"/>
    <x v="11"/>
    <n v="78"/>
    <n v="0.1115"/>
  </r>
  <r>
    <x v="0"/>
    <x v="15"/>
    <x v="0"/>
    <x v="0"/>
    <x v="12"/>
    <n v="79"/>
    <n v="0.12989999999999999"/>
  </r>
  <r>
    <x v="0"/>
    <x v="15"/>
    <x v="0"/>
    <x v="0"/>
    <x v="13"/>
    <n v="73"/>
    <n v="6.4899999999999999E-2"/>
  </r>
  <r>
    <x v="0"/>
    <x v="16"/>
    <x v="0"/>
    <x v="0"/>
    <x v="0"/>
    <n v="71"/>
    <n v="8.2299999999999998E-2"/>
  </r>
  <r>
    <x v="0"/>
    <x v="16"/>
    <x v="0"/>
    <x v="0"/>
    <x v="1"/>
    <n v="59"/>
    <n v="9.1000000000000004E-3"/>
  </r>
  <r>
    <x v="0"/>
    <x v="16"/>
    <x v="0"/>
    <x v="0"/>
    <x v="2"/>
    <n v="74"/>
    <n v="2.24E-2"/>
  </r>
  <r>
    <x v="0"/>
    <x v="16"/>
    <x v="0"/>
    <x v="0"/>
    <x v="3"/>
    <n v="75"/>
    <n v="1.7000000000000001E-2"/>
  </r>
  <r>
    <x v="0"/>
    <x v="16"/>
    <x v="0"/>
    <x v="0"/>
    <x v="4"/>
    <n v="70"/>
    <n v="4.53E-2"/>
  </r>
  <r>
    <x v="0"/>
    <x v="16"/>
    <x v="0"/>
    <x v="0"/>
    <x v="5"/>
    <n v="71"/>
    <n v="1.3299999999999999E-2"/>
  </r>
  <r>
    <x v="0"/>
    <x v="16"/>
    <x v="0"/>
    <x v="0"/>
    <x v="6"/>
    <n v="63"/>
    <n v="1.5599999999999999E-2"/>
  </r>
  <r>
    <x v="0"/>
    <x v="16"/>
    <x v="0"/>
    <x v="0"/>
    <x v="7"/>
    <n v="77"/>
    <n v="3.3099999999999997E-2"/>
  </r>
  <r>
    <x v="0"/>
    <x v="16"/>
    <x v="0"/>
    <x v="0"/>
    <x v="8"/>
    <n v="58"/>
    <n v="7.4999999999999997E-3"/>
  </r>
  <r>
    <x v="0"/>
    <x v="16"/>
    <x v="0"/>
    <x v="0"/>
    <x v="9"/>
    <n v="79"/>
    <n v="1.23E-2"/>
  </r>
  <r>
    <x v="0"/>
    <x v="16"/>
    <x v="0"/>
    <x v="0"/>
    <x v="10"/>
    <n v="68"/>
    <n v="1.35E-2"/>
  </r>
  <r>
    <x v="0"/>
    <x v="16"/>
    <x v="0"/>
    <x v="0"/>
    <x v="11"/>
    <n v="71"/>
    <n v="1.6799999999999999E-2"/>
  </r>
  <r>
    <x v="0"/>
    <x v="16"/>
    <x v="0"/>
    <x v="0"/>
    <x v="12"/>
    <n v="71"/>
    <n v="2.0199999999999999E-2"/>
  </r>
  <r>
    <x v="0"/>
    <x v="16"/>
    <x v="0"/>
    <x v="0"/>
    <x v="13"/>
    <n v="63"/>
    <n v="1.54E-2"/>
  </r>
  <r>
    <x v="1"/>
    <x v="17"/>
    <x v="0"/>
    <x v="1"/>
    <x v="0"/>
    <n v="108"/>
    <n v="0.67679999999999996"/>
  </r>
  <r>
    <x v="1"/>
    <x v="17"/>
    <x v="0"/>
    <x v="1"/>
    <x v="1"/>
    <n v="100"/>
    <n v="0.1777"/>
  </r>
  <r>
    <x v="1"/>
    <x v="17"/>
    <x v="0"/>
    <x v="1"/>
    <x v="2"/>
    <n v="112"/>
    <n v="0.36020000000000002"/>
  </r>
  <r>
    <x v="1"/>
    <x v="17"/>
    <x v="0"/>
    <x v="1"/>
    <x v="3"/>
    <n v="111"/>
    <n v="0.2969"/>
  </r>
  <r>
    <x v="1"/>
    <x v="17"/>
    <x v="0"/>
    <x v="1"/>
    <x v="4"/>
    <n v="106"/>
    <n v="0.52300000000000002"/>
  </r>
  <r>
    <x v="1"/>
    <x v="17"/>
    <x v="0"/>
    <x v="1"/>
    <x v="5"/>
    <n v="107"/>
    <n v="0.14219999999999999"/>
  </r>
  <r>
    <x v="1"/>
    <x v="17"/>
    <x v="0"/>
    <x v="1"/>
    <x v="6"/>
    <n v="98"/>
    <n v="0.1628"/>
  </r>
  <r>
    <x v="1"/>
    <x v="17"/>
    <x v="0"/>
    <x v="1"/>
    <x v="7"/>
    <n v="110"/>
    <n v="0.46889999999999998"/>
  </r>
  <r>
    <x v="1"/>
    <x v="17"/>
    <x v="0"/>
    <x v="1"/>
    <x v="8"/>
    <n v="98"/>
    <n v="0.1176"/>
  </r>
  <r>
    <x v="1"/>
    <x v="17"/>
    <x v="0"/>
    <x v="1"/>
    <x v="9"/>
    <n v="110"/>
    <n v="0.25180000000000002"/>
  </r>
  <r>
    <x v="1"/>
    <x v="17"/>
    <x v="0"/>
    <x v="1"/>
    <x v="10"/>
    <n v="112"/>
    <n v="0.21959999999999999"/>
  </r>
  <r>
    <x v="1"/>
    <x v="17"/>
    <x v="0"/>
    <x v="1"/>
    <x v="11"/>
    <n v="105"/>
    <n v="0.2913"/>
  </r>
  <r>
    <x v="1"/>
    <x v="17"/>
    <x v="0"/>
    <x v="1"/>
    <x v="12"/>
    <n v="102"/>
    <n v="0.32140000000000002"/>
  </r>
  <r>
    <x v="1"/>
    <x v="17"/>
    <x v="0"/>
    <x v="1"/>
    <x v="13"/>
    <n v="101"/>
    <n v="0.25290000000000001"/>
  </r>
  <r>
    <x v="1"/>
    <x v="18"/>
    <x v="0"/>
    <x v="0"/>
    <x v="0"/>
    <n v="95"/>
    <n v="0.11409999999999999"/>
  </r>
  <r>
    <x v="1"/>
    <x v="18"/>
    <x v="0"/>
    <x v="0"/>
    <x v="1"/>
    <n v="79"/>
    <n v="9.7999999999999997E-3"/>
  </r>
  <r>
    <x v="1"/>
    <x v="18"/>
    <x v="0"/>
    <x v="0"/>
    <x v="2"/>
    <n v="93"/>
    <n v="3.3099999999999997E-2"/>
  </r>
  <r>
    <x v="1"/>
    <x v="18"/>
    <x v="0"/>
    <x v="0"/>
    <x v="3"/>
    <n v="83"/>
    <n v="2.8000000000000001E-2"/>
  </r>
  <r>
    <x v="1"/>
    <x v="18"/>
    <x v="0"/>
    <x v="0"/>
    <x v="4"/>
    <n v="98"/>
    <n v="7.0900000000000005E-2"/>
  </r>
  <r>
    <x v="1"/>
    <x v="18"/>
    <x v="0"/>
    <x v="0"/>
    <x v="5"/>
    <n v="99"/>
    <n v="1.47E-2"/>
  </r>
  <r>
    <x v="1"/>
    <x v="18"/>
    <x v="0"/>
    <x v="0"/>
    <x v="6"/>
    <n v="107"/>
    <n v="1.7299999999999999E-2"/>
  </r>
  <r>
    <x v="1"/>
    <x v="18"/>
    <x v="0"/>
    <x v="0"/>
    <x v="7"/>
    <n v="103"/>
    <n v="5.2699999999999997E-2"/>
  </r>
  <r>
    <x v="1"/>
    <x v="18"/>
    <x v="0"/>
    <x v="0"/>
    <x v="8"/>
    <n v="95"/>
    <n v="7.9000000000000008E-3"/>
  </r>
  <r>
    <x v="1"/>
    <x v="18"/>
    <x v="0"/>
    <x v="0"/>
    <x v="9"/>
    <n v="78"/>
    <n v="1.7500000000000002E-2"/>
  </r>
  <r>
    <x v="1"/>
    <x v="18"/>
    <x v="0"/>
    <x v="0"/>
    <x v="10"/>
    <n v="86"/>
    <n v="1.6500000000000001E-2"/>
  </r>
  <r>
    <x v="1"/>
    <x v="18"/>
    <x v="0"/>
    <x v="0"/>
    <x v="11"/>
    <n v="96"/>
    <n v="2.4E-2"/>
  </r>
  <r>
    <x v="1"/>
    <x v="18"/>
    <x v="0"/>
    <x v="0"/>
    <x v="12"/>
    <n v="97"/>
    <n v="3.2300000000000002E-2"/>
  </r>
  <r>
    <x v="1"/>
    <x v="18"/>
    <x v="0"/>
    <x v="0"/>
    <x v="13"/>
    <n v="87"/>
    <n v="1.84E-2"/>
  </r>
  <r>
    <x v="0"/>
    <x v="19"/>
    <x v="0"/>
    <x v="0"/>
    <x v="0"/>
    <n v="99"/>
    <n v="0.4199"/>
  </r>
  <r>
    <x v="0"/>
    <x v="19"/>
    <x v="0"/>
    <x v="0"/>
    <x v="1"/>
    <n v="95"/>
    <n v="6.5000000000000002E-2"/>
  </r>
  <r>
    <x v="0"/>
    <x v="19"/>
    <x v="0"/>
    <x v="0"/>
    <x v="2"/>
    <n v="98"/>
    <n v="0.1416"/>
  </r>
  <r>
    <x v="0"/>
    <x v="19"/>
    <x v="0"/>
    <x v="0"/>
    <x v="3"/>
    <n v="97"/>
    <n v="0.16159999999999999"/>
  </r>
  <r>
    <x v="0"/>
    <x v="19"/>
    <x v="0"/>
    <x v="0"/>
    <x v="4"/>
    <n v="101"/>
    <n v="0.29559999999999997"/>
  </r>
  <r>
    <x v="0"/>
    <x v="19"/>
    <x v="0"/>
    <x v="0"/>
    <x v="5"/>
    <n v="98"/>
    <n v="5.8299999999999998E-2"/>
  </r>
  <r>
    <x v="0"/>
    <x v="19"/>
    <x v="0"/>
    <x v="0"/>
    <x v="6"/>
    <n v="99"/>
    <n v="7.5499999999999998E-2"/>
  </r>
  <r>
    <x v="0"/>
    <x v="19"/>
    <x v="0"/>
    <x v="0"/>
    <x v="7"/>
    <n v="104"/>
    <n v="0.22889999999999999"/>
  </r>
  <r>
    <x v="0"/>
    <x v="19"/>
    <x v="0"/>
    <x v="0"/>
    <x v="8"/>
    <n v="100"/>
    <n v="4.4699999999999997E-2"/>
  </r>
  <r>
    <x v="0"/>
    <x v="19"/>
    <x v="0"/>
    <x v="0"/>
    <x v="9"/>
    <n v="96"/>
    <n v="0.1178"/>
  </r>
  <r>
    <x v="0"/>
    <x v="19"/>
    <x v="0"/>
    <x v="0"/>
    <x v="10"/>
    <n v="95"/>
    <n v="7.5999999999999998E-2"/>
  </r>
  <r>
    <x v="0"/>
    <x v="19"/>
    <x v="0"/>
    <x v="0"/>
    <x v="11"/>
    <n v="100"/>
    <n v="0.1179"/>
  </r>
  <r>
    <x v="0"/>
    <x v="19"/>
    <x v="0"/>
    <x v="0"/>
    <x v="12"/>
    <n v="102"/>
    <n v="0.14169999999999999"/>
  </r>
  <r>
    <x v="0"/>
    <x v="19"/>
    <x v="0"/>
    <x v="0"/>
    <x v="13"/>
    <n v="95"/>
    <n v="9.7199999999999995E-2"/>
  </r>
  <r>
    <x v="0"/>
    <x v="20"/>
    <x v="0"/>
    <x v="0"/>
    <x v="0"/>
    <n v="86"/>
    <n v="0.48659999999999998"/>
  </r>
  <r>
    <x v="0"/>
    <x v="20"/>
    <x v="0"/>
    <x v="0"/>
    <x v="1"/>
    <n v="85"/>
    <n v="0.14879999999999999"/>
  </r>
  <r>
    <x v="0"/>
    <x v="20"/>
    <x v="0"/>
    <x v="0"/>
    <x v="2"/>
    <n v="89"/>
    <n v="0.2727"/>
  </r>
  <r>
    <x v="0"/>
    <x v="20"/>
    <x v="0"/>
    <x v="0"/>
    <x v="3"/>
    <n v="86"/>
    <n v="0.22520000000000001"/>
  </r>
  <r>
    <x v="0"/>
    <x v="20"/>
    <x v="0"/>
    <x v="0"/>
    <x v="4"/>
    <n v="85"/>
    <n v="0.35730000000000001"/>
  </r>
  <r>
    <x v="0"/>
    <x v="20"/>
    <x v="0"/>
    <x v="0"/>
    <x v="5"/>
    <n v="85"/>
    <n v="0.14749999999999999"/>
  </r>
  <r>
    <x v="0"/>
    <x v="20"/>
    <x v="0"/>
    <x v="0"/>
    <x v="6"/>
    <n v="82"/>
    <n v="0.15620000000000001"/>
  </r>
  <r>
    <x v="0"/>
    <x v="20"/>
    <x v="0"/>
    <x v="0"/>
    <x v="7"/>
    <n v="87"/>
    <n v="0.3387"/>
  </r>
  <r>
    <x v="0"/>
    <x v="20"/>
    <x v="0"/>
    <x v="0"/>
    <x v="8"/>
    <n v="79"/>
    <n v="0.1007"/>
  </r>
  <r>
    <x v="0"/>
    <x v="20"/>
    <x v="0"/>
    <x v="0"/>
    <x v="9"/>
    <n v="86"/>
    <n v="0.19769999999999999"/>
  </r>
  <r>
    <x v="0"/>
    <x v="20"/>
    <x v="0"/>
    <x v="0"/>
    <x v="10"/>
    <n v="85"/>
    <n v="0.18590000000000001"/>
  </r>
  <r>
    <x v="0"/>
    <x v="20"/>
    <x v="0"/>
    <x v="0"/>
    <x v="11"/>
    <n v="84"/>
    <n v="0.21279999999999999"/>
  </r>
  <r>
    <x v="0"/>
    <x v="20"/>
    <x v="0"/>
    <x v="0"/>
    <x v="12"/>
    <n v="85"/>
    <n v="0.22359999999999999"/>
  </r>
  <r>
    <x v="0"/>
    <x v="20"/>
    <x v="0"/>
    <x v="0"/>
    <x v="13"/>
    <n v="84"/>
    <n v="0.20699999999999999"/>
  </r>
  <r>
    <x v="1"/>
    <x v="21"/>
    <x v="0"/>
    <x v="0"/>
    <x v="0"/>
    <n v="13"/>
    <n v="3.8999999999999998E-3"/>
  </r>
  <r>
    <x v="1"/>
    <x v="21"/>
    <x v="0"/>
    <x v="0"/>
    <x v="4"/>
    <n v="11"/>
    <n v="1.9E-3"/>
  </r>
  <r>
    <x v="1"/>
    <x v="22"/>
    <x v="0"/>
    <x v="0"/>
    <x v="0"/>
    <n v="181"/>
    <n v="1.12E-2"/>
  </r>
  <r>
    <x v="1"/>
    <x v="22"/>
    <x v="0"/>
    <x v="0"/>
    <x v="2"/>
    <n v="21"/>
    <n v="2.3E-3"/>
  </r>
  <r>
    <x v="1"/>
    <x v="22"/>
    <x v="0"/>
    <x v="0"/>
    <x v="3"/>
    <n v="289"/>
    <n v="1.6000000000000001E-3"/>
  </r>
  <r>
    <x v="1"/>
    <x v="22"/>
    <x v="0"/>
    <x v="0"/>
    <x v="4"/>
    <n v="203"/>
    <n v="4.7000000000000002E-3"/>
  </r>
  <r>
    <x v="1"/>
    <x v="22"/>
    <x v="0"/>
    <x v="0"/>
    <x v="7"/>
    <n v="267"/>
    <n v="3.8E-3"/>
  </r>
  <r>
    <x v="1"/>
    <x v="22"/>
    <x v="0"/>
    <x v="0"/>
    <x v="13"/>
    <n v="29"/>
    <n v="1.4E-3"/>
  </r>
  <r>
    <x v="0"/>
    <x v="23"/>
    <x v="0"/>
    <x v="0"/>
    <x v="0"/>
    <n v="86"/>
    <n v="0.25109999999999999"/>
  </r>
  <r>
    <x v="0"/>
    <x v="23"/>
    <x v="0"/>
    <x v="0"/>
    <x v="1"/>
    <n v="82"/>
    <n v="2.58E-2"/>
  </r>
  <r>
    <x v="0"/>
    <x v="23"/>
    <x v="0"/>
    <x v="0"/>
    <x v="2"/>
    <n v="88"/>
    <n v="7.5999999999999998E-2"/>
  </r>
  <r>
    <x v="0"/>
    <x v="23"/>
    <x v="0"/>
    <x v="0"/>
    <x v="3"/>
    <n v="90"/>
    <n v="6.83E-2"/>
  </r>
  <r>
    <x v="0"/>
    <x v="23"/>
    <x v="0"/>
    <x v="0"/>
    <x v="4"/>
    <n v="85"/>
    <n v="0.16900000000000001"/>
  </r>
  <r>
    <x v="0"/>
    <x v="23"/>
    <x v="0"/>
    <x v="0"/>
    <x v="5"/>
    <n v="83"/>
    <n v="4.8399999999999999E-2"/>
  </r>
  <r>
    <x v="0"/>
    <x v="23"/>
    <x v="0"/>
    <x v="0"/>
    <x v="6"/>
    <n v="81"/>
    <n v="4.8300000000000003E-2"/>
  </r>
  <r>
    <x v="0"/>
    <x v="23"/>
    <x v="0"/>
    <x v="0"/>
    <x v="7"/>
    <n v="88"/>
    <n v="0.11310000000000001"/>
  </r>
  <r>
    <x v="0"/>
    <x v="23"/>
    <x v="0"/>
    <x v="0"/>
    <x v="8"/>
    <n v="86"/>
    <n v="2.18E-2"/>
  </r>
  <r>
    <x v="0"/>
    <x v="23"/>
    <x v="0"/>
    <x v="0"/>
    <x v="9"/>
    <n v="92"/>
    <n v="5.33E-2"/>
  </r>
  <r>
    <x v="0"/>
    <x v="23"/>
    <x v="0"/>
    <x v="0"/>
    <x v="10"/>
    <n v="85"/>
    <n v="5.96E-2"/>
  </r>
  <r>
    <x v="0"/>
    <x v="23"/>
    <x v="0"/>
    <x v="0"/>
    <x v="11"/>
    <n v="81"/>
    <n v="6.9199999999999998E-2"/>
  </r>
  <r>
    <x v="0"/>
    <x v="23"/>
    <x v="0"/>
    <x v="0"/>
    <x v="12"/>
    <n v="86"/>
    <n v="8.0600000000000005E-2"/>
  </r>
  <r>
    <x v="0"/>
    <x v="23"/>
    <x v="0"/>
    <x v="0"/>
    <x v="13"/>
    <n v="82"/>
    <n v="4.2900000000000001E-2"/>
  </r>
  <r>
    <x v="1"/>
    <x v="24"/>
    <x v="0"/>
    <x v="0"/>
    <x v="0"/>
    <n v="102"/>
    <n v="9.0499999999999997E-2"/>
  </r>
  <r>
    <x v="1"/>
    <x v="24"/>
    <x v="0"/>
    <x v="0"/>
    <x v="1"/>
    <n v="93"/>
    <n v="1.0500000000000001E-2"/>
  </r>
  <r>
    <x v="1"/>
    <x v="24"/>
    <x v="0"/>
    <x v="0"/>
    <x v="2"/>
    <n v="116"/>
    <n v="3.4299999999999997E-2"/>
  </r>
  <r>
    <x v="1"/>
    <x v="24"/>
    <x v="0"/>
    <x v="0"/>
    <x v="3"/>
    <n v="98"/>
    <n v="2.6200000000000001E-2"/>
  </r>
  <r>
    <x v="1"/>
    <x v="24"/>
    <x v="0"/>
    <x v="0"/>
    <x v="4"/>
    <n v="97"/>
    <n v="5.5599999999999997E-2"/>
  </r>
  <r>
    <x v="1"/>
    <x v="24"/>
    <x v="0"/>
    <x v="0"/>
    <x v="5"/>
    <n v="100"/>
    <n v="1.7000000000000001E-2"/>
  </r>
  <r>
    <x v="1"/>
    <x v="24"/>
    <x v="0"/>
    <x v="0"/>
    <x v="6"/>
    <n v="100"/>
    <n v="1.6799999999999999E-2"/>
  </r>
  <r>
    <x v="1"/>
    <x v="24"/>
    <x v="0"/>
    <x v="0"/>
    <x v="7"/>
    <n v="99"/>
    <n v="4.36E-2"/>
  </r>
  <r>
    <x v="1"/>
    <x v="24"/>
    <x v="0"/>
    <x v="0"/>
    <x v="8"/>
    <n v="109"/>
    <n v="7.4999999999999997E-3"/>
  </r>
  <r>
    <x v="1"/>
    <x v="24"/>
    <x v="0"/>
    <x v="0"/>
    <x v="9"/>
    <n v="99"/>
    <n v="2.0400000000000001E-2"/>
  </r>
  <r>
    <x v="1"/>
    <x v="24"/>
    <x v="0"/>
    <x v="0"/>
    <x v="10"/>
    <n v="105"/>
    <n v="1.7399999999999999E-2"/>
  </r>
  <r>
    <x v="1"/>
    <x v="24"/>
    <x v="0"/>
    <x v="0"/>
    <x v="11"/>
    <n v="102"/>
    <n v="2.2599999999999999E-2"/>
  </r>
  <r>
    <x v="1"/>
    <x v="24"/>
    <x v="0"/>
    <x v="0"/>
    <x v="12"/>
    <n v="96"/>
    <n v="2.5999999999999999E-2"/>
  </r>
  <r>
    <x v="1"/>
    <x v="24"/>
    <x v="0"/>
    <x v="0"/>
    <x v="13"/>
    <n v="99"/>
    <n v="1.7899999999999999E-2"/>
  </r>
  <r>
    <x v="0"/>
    <x v="25"/>
    <x v="0"/>
    <x v="0"/>
    <x v="0"/>
    <n v="111"/>
    <n v="0.1447"/>
  </r>
  <r>
    <x v="0"/>
    <x v="25"/>
    <x v="0"/>
    <x v="0"/>
    <x v="1"/>
    <n v="92"/>
    <n v="1.46E-2"/>
  </r>
  <r>
    <x v="0"/>
    <x v="25"/>
    <x v="0"/>
    <x v="0"/>
    <x v="2"/>
    <n v="115"/>
    <n v="0.04"/>
  </r>
  <r>
    <x v="0"/>
    <x v="25"/>
    <x v="0"/>
    <x v="0"/>
    <x v="3"/>
    <n v="114"/>
    <n v="3.1899999999999998E-2"/>
  </r>
  <r>
    <x v="0"/>
    <x v="25"/>
    <x v="0"/>
    <x v="0"/>
    <x v="4"/>
    <n v="114"/>
    <n v="9.4100000000000003E-2"/>
  </r>
  <r>
    <x v="0"/>
    <x v="25"/>
    <x v="0"/>
    <x v="0"/>
    <x v="5"/>
    <n v="101"/>
    <n v="2.7900000000000001E-2"/>
  </r>
  <r>
    <x v="0"/>
    <x v="25"/>
    <x v="0"/>
    <x v="0"/>
    <x v="6"/>
    <n v="102"/>
    <n v="2.9499999999999998E-2"/>
  </r>
  <r>
    <x v="0"/>
    <x v="25"/>
    <x v="0"/>
    <x v="0"/>
    <x v="7"/>
    <n v="110"/>
    <n v="7.7200000000000005E-2"/>
  </r>
  <r>
    <x v="0"/>
    <x v="25"/>
    <x v="0"/>
    <x v="0"/>
    <x v="8"/>
    <n v="96"/>
    <n v="1.2500000000000001E-2"/>
  </r>
  <r>
    <x v="0"/>
    <x v="25"/>
    <x v="0"/>
    <x v="0"/>
    <x v="9"/>
    <n v="110"/>
    <n v="2.47E-2"/>
  </r>
  <r>
    <x v="0"/>
    <x v="25"/>
    <x v="0"/>
    <x v="0"/>
    <x v="10"/>
    <n v="107"/>
    <n v="3.2300000000000002E-2"/>
  </r>
  <r>
    <x v="0"/>
    <x v="25"/>
    <x v="0"/>
    <x v="0"/>
    <x v="11"/>
    <n v="112"/>
    <n v="3.9E-2"/>
  </r>
  <r>
    <x v="0"/>
    <x v="25"/>
    <x v="0"/>
    <x v="0"/>
    <x v="12"/>
    <n v="117"/>
    <n v="4.5199999999999997E-2"/>
  </r>
  <r>
    <x v="0"/>
    <x v="25"/>
    <x v="0"/>
    <x v="0"/>
    <x v="13"/>
    <n v="104"/>
    <n v="2.7300000000000001E-2"/>
  </r>
  <r>
    <x v="1"/>
    <x v="26"/>
    <x v="0"/>
    <x v="0"/>
    <x v="0"/>
    <n v="101"/>
    <n v="2.1299999999999999E-2"/>
  </r>
  <r>
    <x v="1"/>
    <x v="26"/>
    <x v="0"/>
    <x v="0"/>
    <x v="2"/>
    <n v="104"/>
    <n v="6.1000000000000004E-3"/>
  </r>
  <r>
    <x v="1"/>
    <x v="26"/>
    <x v="0"/>
    <x v="0"/>
    <x v="3"/>
    <n v="81"/>
    <n v="3.7000000000000002E-3"/>
  </r>
  <r>
    <x v="1"/>
    <x v="26"/>
    <x v="0"/>
    <x v="0"/>
    <x v="4"/>
    <n v="113"/>
    <n v="1.14E-2"/>
  </r>
  <r>
    <x v="1"/>
    <x v="26"/>
    <x v="0"/>
    <x v="0"/>
    <x v="5"/>
    <n v="107"/>
    <n v="3.3999999999999998E-3"/>
  </r>
  <r>
    <x v="1"/>
    <x v="26"/>
    <x v="0"/>
    <x v="0"/>
    <x v="6"/>
    <n v="84"/>
    <n v="3.2000000000000002E-3"/>
  </r>
  <r>
    <x v="1"/>
    <x v="26"/>
    <x v="0"/>
    <x v="0"/>
    <x v="7"/>
    <n v="96"/>
    <n v="8.0000000000000002E-3"/>
  </r>
  <r>
    <x v="1"/>
    <x v="26"/>
    <x v="0"/>
    <x v="0"/>
    <x v="9"/>
    <n v="82"/>
    <n v="2.8999999999999998E-3"/>
  </r>
  <r>
    <x v="1"/>
    <x v="26"/>
    <x v="0"/>
    <x v="0"/>
    <x v="10"/>
    <n v="142"/>
    <n v="3.0000000000000001E-3"/>
  </r>
  <r>
    <x v="1"/>
    <x v="26"/>
    <x v="0"/>
    <x v="0"/>
    <x v="11"/>
    <n v="129"/>
    <n v="3.5999999999999999E-3"/>
  </r>
  <r>
    <x v="1"/>
    <x v="26"/>
    <x v="0"/>
    <x v="0"/>
    <x v="12"/>
    <n v="102"/>
    <n v="4.4999999999999997E-3"/>
  </r>
  <r>
    <x v="1"/>
    <x v="26"/>
    <x v="0"/>
    <x v="0"/>
    <x v="13"/>
    <n v="123"/>
    <n v="2.5000000000000001E-3"/>
  </r>
  <r>
    <x v="1"/>
    <x v="27"/>
    <x v="0"/>
    <x v="1"/>
    <x v="0"/>
    <n v="101"/>
    <n v="0.75619999999999998"/>
  </r>
  <r>
    <x v="1"/>
    <x v="27"/>
    <x v="0"/>
    <x v="1"/>
    <x v="1"/>
    <n v="92"/>
    <n v="0.14710000000000001"/>
  </r>
  <r>
    <x v="1"/>
    <x v="27"/>
    <x v="0"/>
    <x v="1"/>
    <x v="2"/>
    <n v="102"/>
    <n v="0.36449999999999999"/>
  </r>
  <r>
    <x v="1"/>
    <x v="27"/>
    <x v="0"/>
    <x v="1"/>
    <x v="3"/>
    <n v="93"/>
    <n v="0.31190000000000001"/>
  </r>
  <r>
    <x v="1"/>
    <x v="27"/>
    <x v="0"/>
    <x v="1"/>
    <x v="4"/>
    <n v="102"/>
    <n v="0.65149999999999997"/>
  </r>
  <r>
    <x v="1"/>
    <x v="27"/>
    <x v="0"/>
    <x v="1"/>
    <x v="5"/>
    <n v="102"/>
    <n v="0.1963"/>
  </r>
  <r>
    <x v="1"/>
    <x v="27"/>
    <x v="0"/>
    <x v="1"/>
    <x v="6"/>
    <n v="92"/>
    <n v="0.185"/>
  </r>
  <r>
    <x v="1"/>
    <x v="27"/>
    <x v="0"/>
    <x v="1"/>
    <x v="7"/>
    <n v="102"/>
    <n v="0.5"/>
  </r>
  <r>
    <x v="1"/>
    <x v="27"/>
    <x v="0"/>
    <x v="1"/>
    <x v="8"/>
    <n v="84"/>
    <n v="9.6199999999999994E-2"/>
  </r>
  <r>
    <x v="1"/>
    <x v="27"/>
    <x v="0"/>
    <x v="1"/>
    <x v="9"/>
    <n v="92"/>
    <n v="0.22620000000000001"/>
  </r>
  <r>
    <x v="1"/>
    <x v="27"/>
    <x v="0"/>
    <x v="1"/>
    <x v="10"/>
    <n v="102"/>
    <n v="0.30959999999999999"/>
  </r>
  <r>
    <x v="1"/>
    <x v="27"/>
    <x v="0"/>
    <x v="1"/>
    <x v="11"/>
    <n v="103"/>
    <n v="0.40579999999999999"/>
  </r>
  <r>
    <x v="1"/>
    <x v="27"/>
    <x v="0"/>
    <x v="1"/>
    <x v="12"/>
    <n v="103"/>
    <n v="0.4733"/>
  </r>
  <r>
    <x v="1"/>
    <x v="27"/>
    <x v="0"/>
    <x v="1"/>
    <x v="13"/>
    <n v="92"/>
    <n v="0.23549999999999999"/>
  </r>
  <r>
    <x v="1"/>
    <x v="28"/>
    <x v="0"/>
    <x v="0"/>
    <x v="0"/>
    <n v="118"/>
    <n v="1.04E-2"/>
  </r>
  <r>
    <x v="1"/>
    <x v="28"/>
    <x v="0"/>
    <x v="0"/>
    <x v="1"/>
    <n v="102"/>
    <n v="1.8E-3"/>
  </r>
  <r>
    <x v="1"/>
    <x v="28"/>
    <x v="0"/>
    <x v="0"/>
    <x v="2"/>
    <n v="133"/>
    <n v="3.8E-3"/>
  </r>
  <r>
    <x v="1"/>
    <x v="28"/>
    <x v="0"/>
    <x v="0"/>
    <x v="3"/>
    <n v="114"/>
    <n v="3.2000000000000002E-3"/>
  </r>
  <r>
    <x v="1"/>
    <x v="28"/>
    <x v="0"/>
    <x v="0"/>
    <x v="4"/>
    <n v="112"/>
    <n v="7.4999999999999997E-3"/>
  </r>
  <r>
    <x v="1"/>
    <x v="28"/>
    <x v="0"/>
    <x v="0"/>
    <x v="5"/>
    <n v="87"/>
    <n v="2E-3"/>
  </r>
  <r>
    <x v="1"/>
    <x v="28"/>
    <x v="0"/>
    <x v="0"/>
    <x v="6"/>
    <n v="71"/>
    <n v="1.6000000000000001E-3"/>
  </r>
  <r>
    <x v="1"/>
    <x v="28"/>
    <x v="0"/>
    <x v="0"/>
    <x v="7"/>
    <n v="117"/>
    <n v="5.0000000000000001E-3"/>
  </r>
  <r>
    <x v="1"/>
    <x v="28"/>
    <x v="0"/>
    <x v="0"/>
    <x v="9"/>
    <n v="118"/>
    <n v="2.2000000000000001E-3"/>
  </r>
  <r>
    <x v="1"/>
    <x v="28"/>
    <x v="0"/>
    <x v="0"/>
    <x v="10"/>
    <n v="126"/>
    <n v="2.2000000000000001E-3"/>
  </r>
  <r>
    <x v="1"/>
    <x v="28"/>
    <x v="0"/>
    <x v="0"/>
    <x v="11"/>
    <n v="118"/>
    <n v="4.0000000000000001E-3"/>
  </r>
  <r>
    <x v="1"/>
    <x v="28"/>
    <x v="0"/>
    <x v="0"/>
    <x v="12"/>
    <n v="97"/>
    <n v="3.5999999999999999E-3"/>
  </r>
  <r>
    <x v="1"/>
    <x v="28"/>
    <x v="0"/>
    <x v="0"/>
    <x v="13"/>
    <n v="100"/>
    <n v="2.5000000000000001E-3"/>
  </r>
  <r>
    <x v="1"/>
    <x v="29"/>
    <x v="0"/>
    <x v="0"/>
    <x v="0"/>
    <n v="108"/>
    <n v="0.17519999999999999"/>
  </r>
  <r>
    <x v="1"/>
    <x v="29"/>
    <x v="0"/>
    <x v="0"/>
    <x v="1"/>
    <n v="113"/>
    <n v="2.2200000000000001E-2"/>
  </r>
  <r>
    <x v="1"/>
    <x v="29"/>
    <x v="0"/>
    <x v="0"/>
    <x v="2"/>
    <n v="105"/>
    <n v="6.4600000000000005E-2"/>
  </r>
  <r>
    <x v="1"/>
    <x v="29"/>
    <x v="0"/>
    <x v="0"/>
    <x v="3"/>
    <n v="108"/>
    <n v="5.16E-2"/>
  </r>
  <r>
    <x v="1"/>
    <x v="29"/>
    <x v="0"/>
    <x v="0"/>
    <x v="4"/>
    <n v="109"/>
    <n v="0.11360000000000001"/>
  </r>
  <r>
    <x v="1"/>
    <x v="29"/>
    <x v="0"/>
    <x v="0"/>
    <x v="5"/>
    <n v="115"/>
    <n v="3.1399999999999997E-2"/>
  </r>
  <r>
    <x v="1"/>
    <x v="29"/>
    <x v="0"/>
    <x v="0"/>
    <x v="6"/>
    <n v="114"/>
    <n v="3.6299999999999999E-2"/>
  </r>
  <r>
    <x v="1"/>
    <x v="29"/>
    <x v="0"/>
    <x v="0"/>
    <x v="7"/>
    <n v="103"/>
    <n v="9.2799999999999994E-2"/>
  </r>
  <r>
    <x v="1"/>
    <x v="29"/>
    <x v="0"/>
    <x v="0"/>
    <x v="8"/>
    <n v="119"/>
    <n v="1.7500000000000002E-2"/>
  </r>
  <r>
    <x v="1"/>
    <x v="29"/>
    <x v="0"/>
    <x v="0"/>
    <x v="9"/>
    <n v="107"/>
    <n v="4.07E-2"/>
  </r>
  <r>
    <x v="1"/>
    <x v="29"/>
    <x v="0"/>
    <x v="0"/>
    <x v="10"/>
    <n v="115"/>
    <n v="3.78E-2"/>
  </r>
  <r>
    <x v="1"/>
    <x v="29"/>
    <x v="0"/>
    <x v="0"/>
    <x v="11"/>
    <n v="109"/>
    <n v="4.9000000000000002E-2"/>
  </r>
  <r>
    <x v="1"/>
    <x v="29"/>
    <x v="0"/>
    <x v="0"/>
    <x v="12"/>
    <n v="107"/>
    <n v="0.06"/>
  </r>
  <r>
    <x v="1"/>
    <x v="29"/>
    <x v="0"/>
    <x v="0"/>
    <x v="13"/>
    <n v="112"/>
    <n v="3.8300000000000001E-2"/>
  </r>
  <r>
    <x v="1"/>
    <x v="30"/>
    <x v="0"/>
    <x v="0"/>
    <x v="0"/>
    <n v="99"/>
    <n v="6.7900000000000002E-2"/>
  </r>
  <r>
    <x v="1"/>
    <x v="30"/>
    <x v="0"/>
    <x v="0"/>
    <x v="1"/>
    <n v="82"/>
    <n v="4.3E-3"/>
  </r>
  <r>
    <x v="1"/>
    <x v="30"/>
    <x v="0"/>
    <x v="0"/>
    <x v="2"/>
    <n v="78"/>
    <n v="1.2699999999999999E-2"/>
  </r>
  <r>
    <x v="1"/>
    <x v="30"/>
    <x v="0"/>
    <x v="0"/>
    <x v="3"/>
    <n v="98"/>
    <n v="1.2800000000000001E-2"/>
  </r>
  <r>
    <x v="1"/>
    <x v="30"/>
    <x v="0"/>
    <x v="0"/>
    <x v="4"/>
    <n v="102"/>
    <n v="4.1200000000000001E-2"/>
  </r>
  <r>
    <x v="1"/>
    <x v="30"/>
    <x v="0"/>
    <x v="0"/>
    <x v="5"/>
    <n v="101"/>
    <n v="1.09E-2"/>
  </r>
  <r>
    <x v="1"/>
    <x v="30"/>
    <x v="0"/>
    <x v="0"/>
    <x v="6"/>
    <n v="95"/>
    <n v="1.18E-2"/>
  </r>
  <r>
    <x v="1"/>
    <x v="30"/>
    <x v="0"/>
    <x v="0"/>
    <x v="7"/>
    <n v="104"/>
    <n v="2.3699999999999999E-2"/>
  </r>
  <r>
    <x v="1"/>
    <x v="30"/>
    <x v="0"/>
    <x v="0"/>
    <x v="8"/>
    <n v="79"/>
    <n v="4.4000000000000003E-3"/>
  </r>
  <r>
    <x v="1"/>
    <x v="30"/>
    <x v="0"/>
    <x v="0"/>
    <x v="9"/>
    <n v="102"/>
    <n v="7.7999999999999996E-3"/>
  </r>
  <r>
    <x v="1"/>
    <x v="30"/>
    <x v="0"/>
    <x v="0"/>
    <x v="10"/>
    <n v="98"/>
    <n v="1.0699999999999999E-2"/>
  </r>
  <r>
    <x v="1"/>
    <x v="30"/>
    <x v="0"/>
    <x v="0"/>
    <x v="11"/>
    <n v="102"/>
    <n v="1.5599999999999999E-2"/>
  </r>
  <r>
    <x v="1"/>
    <x v="30"/>
    <x v="0"/>
    <x v="0"/>
    <x v="12"/>
    <n v="102"/>
    <n v="1.8599999999999998E-2"/>
  </r>
  <r>
    <x v="1"/>
    <x v="30"/>
    <x v="0"/>
    <x v="0"/>
    <x v="13"/>
    <n v="85"/>
    <n v="8.3000000000000001E-3"/>
  </r>
  <r>
    <x v="0"/>
    <x v="31"/>
    <x v="0"/>
    <x v="0"/>
    <x v="0"/>
    <n v="104"/>
    <n v="0.38069999999999998"/>
  </r>
  <r>
    <x v="0"/>
    <x v="31"/>
    <x v="0"/>
    <x v="0"/>
    <x v="1"/>
    <n v="97"/>
    <n v="6.1499999999999999E-2"/>
  </r>
  <r>
    <x v="0"/>
    <x v="31"/>
    <x v="0"/>
    <x v="0"/>
    <x v="2"/>
    <n v="104"/>
    <n v="0.1547"/>
  </r>
  <r>
    <x v="0"/>
    <x v="31"/>
    <x v="0"/>
    <x v="0"/>
    <x v="3"/>
    <n v="104"/>
    <n v="0.1384"/>
  </r>
  <r>
    <x v="0"/>
    <x v="31"/>
    <x v="0"/>
    <x v="0"/>
    <x v="4"/>
    <n v="106"/>
    <n v="0.27410000000000001"/>
  </r>
  <r>
    <x v="0"/>
    <x v="31"/>
    <x v="0"/>
    <x v="0"/>
    <x v="5"/>
    <n v="102"/>
    <n v="8.5900000000000004E-2"/>
  </r>
  <r>
    <x v="0"/>
    <x v="31"/>
    <x v="0"/>
    <x v="0"/>
    <x v="6"/>
    <n v="101"/>
    <n v="9.01E-2"/>
  </r>
  <r>
    <x v="0"/>
    <x v="31"/>
    <x v="0"/>
    <x v="0"/>
    <x v="7"/>
    <n v="103"/>
    <n v="0.22120000000000001"/>
  </r>
  <r>
    <x v="0"/>
    <x v="31"/>
    <x v="0"/>
    <x v="0"/>
    <x v="8"/>
    <n v="94"/>
    <n v="4.6399999999999997E-2"/>
  </r>
  <r>
    <x v="0"/>
    <x v="31"/>
    <x v="0"/>
    <x v="0"/>
    <x v="9"/>
    <n v="105"/>
    <n v="0.1077"/>
  </r>
  <r>
    <x v="0"/>
    <x v="31"/>
    <x v="0"/>
    <x v="0"/>
    <x v="10"/>
    <n v="103"/>
    <n v="0.10589999999999999"/>
  </r>
  <r>
    <x v="0"/>
    <x v="31"/>
    <x v="0"/>
    <x v="0"/>
    <x v="11"/>
    <n v="104"/>
    <n v="0.1452"/>
  </r>
  <r>
    <x v="0"/>
    <x v="31"/>
    <x v="0"/>
    <x v="0"/>
    <x v="12"/>
    <n v="106"/>
    <n v="0.1719"/>
  </r>
  <r>
    <x v="0"/>
    <x v="31"/>
    <x v="0"/>
    <x v="0"/>
    <x v="13"/>
    <n v="98"/>
    <n v="9.4200000000000006E-2"/>
  </r>
  <r>
    <x v="1"/>
    <x v="32"/>
    <x v="0"/>
    <x v="0"/>
    <x v="0"/>
    <n v="41"/>
    <n v="7.6E-3"/>
  </r>
  <r>
    <x v="1"/>
    <x v="32"/>
    <x v="0"/>
    <x v="0"/>
    <x v="2"/>
    <n v="12"/>
    <n v="2.2000000000000001E-3"/>
  </r>
  <r>
    <x v="1"/>
    <x v="32"/>
    <x v="0"/>
    <x v="0"/>
    <x v="4"/>
    <n v="38"/>
    <n v="3.3999999999999998E-3"/>
  </r>
  <r>
    <x v="1"/>
    <x v="32"/>
    <x v="0"/>
    <x v="0"/>
    <x v="6"/>
    <n v="146"/>
    <n v="1.4E-3"/>
  </r>
  <r>
    <x v="1"/>
    <x v="32"/>
    <x v="0"/>
    <x v="0"/>
    <x v="7"/>
    <n v="44"/>
    <n v="2.5000000000000001E-3"/>
  </r>
  <r>
    <x v="1"/>
    <x v="33"/>
    <x v="0"/>
    <x v="0"/>
    <x v="0"/>
    <n v="99"/>
    <n v="5.33E-2"/>
  </r>
  <r>
    <x v="1"/>
    <x v="33"/>
    <x v="0"/>
    <x v="0"/>
    <x v="1"/>
    <n v="70"/>
    <n v="6.6E-3"/>
  </r>
  <r>
    <x v="1"/>
    <x v="33"/>
    <x v="0"/>
    <x v="0"/>
    <x v="2"/>
    <n v="92"/>
    <n v="1.78E-2"/>
  </r>
  <r>
    <x v="1"/>
    <x v="33"/>
    <x v="0"/>
    <x v="0"/>
    <x v="3"/>
    <n v="100"/>
    <n v="1.4E-2"/>
  </r>
  <r>
    <x v="1"/>
    <x v="33"/>
    <x v="0"/>
    <x v="0"/>
    <x v="4"/>
    <n v="109"/>
    <n v="3.0499999999999999E-2"/>
  </r>
  <r>
    <x v="1"/>
    <x v="33"/>
    <x v="0"/>
    <x v="0"/>
    <x v="5"/>
    <n v="99"/>
    <n v="9.9000000000000008E-3"/>
  </r>
  <r>
    <x v="1"/>
    <x v="33"/>
    <x v="0"/>
    <x v="0"/>
    <x v="6"/>
    <n v="83"/>
    <n v="1.11E-2"/>
  </r>
  <r>
    <x v="1"/>
    <x v="33"/>
    <x v="0"/>
    <x v="0"/>
    <x v="7"/>
    <n v="106"/>
    <n v="2.1100000000000001E-2"/>
  </r>
  <r>
    <x v="1"/>
    <x v="33"/>
    <x v="0"/>
    <x v="0"/>
    <x v="8"/>
    <n v="75"/>
    <n v="4.4999999999999997E-3"/>
  </r>
  <r>
    <x v="1"/>
    <x v="33"/>
    <x v="0"/>
    <x v="0"/>
    <x v="9"/>
    <n v="99"/>
    <n v="1.12E-2"/>
  </r>
  <r>
    <x v="1"/>
    <x v="33"/>
    <x v="0"/>
    <x v="0"/>
    <x v="10"/>
    <n v="111"/>
    <n v="1.03E-2"/>
  </r>
  <r>
    <x v="1"/>
    <x v="33"/>
    <x v="0"/>
    <x v="0"/>
    <x v="11"/>
    <n v="105"/>
    <n v="1.2E-2"/>
  </r>
  <r>
    <x v="1"/>
    <x v="33"/>
    <x v="0"/>
    <x v="0"/>
    <x v="12"/>
    <n v="106"/>
    <n v="1.2800000000000001E-2"/>
  </r>
  <r>
    <x v="1"/>
    <x v="33"/>
    <x v="0"/>
    <x v="0"/>
    <x v="13"/>
    <n v="79"/>
    <n v="1.06E-2"/>
  </r>
  <r>
    <x v="1"/>
    <x v="34"/>
    <x v="0"/>
    <x v="0"/>
    <x v="0"/>
    <n v="69"/>
    <n v="0.19170000000000001"/>
  </r>
  <r>
    <x v="1"/>
    <x v="34"/>
    <x v="0"/>
    <x v="0"/>
    <x v="1"/>
    <n v="58"/>
    <n v="2.6499999999999999E-2"/>
  </r>
  <r>
    <x v="1"/>
    <x v="34"/>
    <x v="0"/>
    <x v="0"/>
    <x v="2"/>
    <n v="80"/>
    <n v="6.3899999999999998E-2"/>
  </r>
  <r>
    <x v="1"/>
    <x v="34"/>
    <x v="0"/>
    <x v="0"/>
    <x v="3"/>
    <n v="73"/>
    <n v="5.2999999999999999E-2"/>
  </r>
  <r>
    <x v="1"/>
    <x v="34"/>
    <x v="0"/>
    <x v="0"/>
    <x v="4"/>
    <n v="67"/>
    <n v="0.114"/>
  </r>
  <r>
    <x v="1"/>
    <x v="34"/>
    <x v="0"/>
    <x v="0"/>
    <x v="5"/>
    <n v="65"/>
    <n v="2.3400000000000001E-2"/>
  </r>
  <r>
    <x v="1"/>
    <x v="34"/>
    <x v="0"/>
    <x v="0"/>
    <x v="6"/>
    <n v="62"/>
    <n v="2.8500000000000001E-2"/>
  </r>
  <r>
    <x v="1"/>
    <x v="34"/>
    <x v="0"/>
    <x v="0"/>
    <x v="7"/>
    <n v="69"/>
    <n v="8.9099999999999999E-2"/>
  </r>
  <r>
    <x v="1"/>
    <x v="34"/>
    <x v="0"/>
    <x v="0"/>
    <x v="8"/>
    <n v="58"/>
    <n v="1.72E-2"/>
  </r>
  <r>
    <x v="1"/>
    <x v="34"/>
    <x v="0"/>
    <x v="0"/>
    <x v="9"/>
    <n v="75"/>
    <n v="4.1000000000000002E-2"/>
  </r>
  <r>
    <x v="1"/>
    <x v="34"/>
    <x v="0"/>
    <x v="0"/>
    <x v="10"/>
    <n v="64"/>
    <n v="2.47E-2"/>
  </r>
  <r>
    <x v="1"/>
    <x v="34"/>
    <x v="0"/>
    <x v="0"/>
    <x v="11"/>
    <n v="64"/>
    <n v="3.5000000000000003E-2"/>
  </r>
  <r>
    <x v="1"/>
    <x v="34"/>
    <x v="0"/>
    <x v="0"/>
    <x v="12"/>
    <n v="70"/>
    <n v="4.87E-2"/>
  </r>
  <r>
    <x v="1"/>
    <x v="34"/>
    <x v="0"/>
    <x v="0"/>
    <x v="13"/>
    <n v="59"/>
    <n v="4.0800000000000003E-2"/>
  </r>
  <r>
    <x v="1"/>
    <x v="35"/>
    <x v="0"/>
    <x v="0"/>
    <x v="0"/>
    <n v="64"/>
    <n v="7.6100000000000001E-2"/>
  </r>
  <r>
    <x v="1"/>
    <x v="35"/>
    <x v="0"/>
    <x v="0"/>
    <x v="1"/>
    <n v="56"/>
    <n v="8.3000000000000001E-3"/>
  </r>
  <r>
    <x v="1"/>
    <x v="35"/>
    <x v="0"/>
    <x v="0"/>
    <x v="2"/>
    <n v="66"/>
    <n v="2.4199999999999999E-2"/>
  </r>
  <r>
    <x v="1"/>
    <x v="35"/>
    <x v="0"/>
    <x v="0"/>
    <x v="3"/>
    <n v="63"/>
    <n v="1.6899999999999998E-2"/>
  </r>
  <r>
    <x v="1"/>
    <x v="35"/>
    <x v="0"/>
    <x v="0"/>
    <x v="4"/>
    <n v="68"/>
    <n v="4.53E-2"/>
  </r>
  <r>
    <x v="1"/>
    <x v="35"/>
    <x v="0"/>
    <x v="0"/>
    <x v="5"/>
    <n v="66"/>
    <n v="9.1999999999999998E-3"/>
  </r>
  <r>
    <x v="1"/>
    <x v="35"/>
    <x v="0"/>
    <x v="0"/>
    <x v="6"/>
    <n v="58"/>
    <n v="1.2699999999999999E-2"/>
  </r>
  <r>
    <x v="1"/>
    <x v="35"/>
    <x v="0"/>
    <x v="0"/>
    <x v="7"/>
    <n v="70"/>
    <n v="2.9100000000000001E-2"/>
  </r>
  <r>
    <x v="1"/>
    <x v="35"/>
    <x v="0"/>
    <x v="0"/>
    <x v="8"/>
    <n v="62"/>
    <n v="5.8999999999999999E-3"/>
  </r>
  <r>
    <x v="1"/>
    <x v="35"/>
    <x v="0"/>
    <x v="0"/>
    <x v="9"/>
    <n v="61"/>
    <n v="1.23E-2"/>
  </r>
  <r>
    <x v="1"/>
    <x v="35"/>
    <x v="0"/>
    <x v="0"/>
    <x v="10"/>
    <n v="69"/>
    <n v="9.7999999999999997E-3"/>
  </r>
  <r>
    <x v="1"/>
    <x v="35"/>
    <x v="0"/>
    <x v="0"/>
    <x v="11"/>
    <n v="66"/>
    <n v="1.47E-2"/>
  </r>
  <r>
    <x v="1"/>
    <x v="35"/>
    <x v="0"/>
    <x v="0"/>
    <x v="12"/>
    <n v="65"/>
    <n v="1.84E-2"/>
  </r>
  <r>
    <x v="1"/>
    <x v="35"/>
    <x v="0"/>
    <x v="0"/>
    <x v="13"/>
    <n v="59"/>
    <n v="1.3899999999999999E-2"/>
  </r>
  <r>
    <x v="0"/>
    <x v="36"/>
    <x v="0"/>
    <x v="0"/>
    <x v="0"/>
    <n v="93"/>
    <n v="0.35460000000000003"/>
  </r>
  <r>
    <x v="0"/>
    <x v="36"/>
    <x v="0"/>
    <x v="0"/>
    <x v="1"/>
    <n v="96"/>
    <n v="4.1000000000000002E-2"/>
  </r>
  <r>
    <x v="0"/>
    <x v="36"/>
    <x v="0"/>
    <x v="0"/>
    <x v="2"/>
    <n v="100"/>
    <n v="0.1171"/>
  </r>
  <r>
    <x v="0"/>
    <x v="36"/>
    <x v="0"/>
    <x v="0"/>
    <x v="3"/>
    <n v="94"/>
    <n v="9.1200000000000003E-2"/>
  </r>
  <r>
    <x v="0"/>
    <x v="36"/>
    <x v="0"/>
    <x v="0"/>
    <x v="4"/>
    <n v="92"/>
    <n v="0.2414"/>
  </r>
  <r>
    <x v="0"/>
    <x v="36"/>
    <x v="0"/>
    <x v="0"/>
    <x v="5"/>
    <n v="97"/>
    <n v="6.2799999999999995E-2"/>
  </r>
  <r>
    <x v="0"/>
    <x v="36"/>
    <x v="0"/>
    <x v="0"/>
    <x v="6"/>
    <n v="93"/>
    <n v="6.6699999999999995E-2"/>
  </r>
  <r>
    <x v="0"/>
    <x v="36"/>
    <x v="0"/>
    <x v="0"/>
    <x v="7"/>
    <n v="91"/>
    <n v="0.17460000000000001"/>
  </r>
  <r>
    <x v="0"/>
    <x v="36"/>
    <x v="0"/>
    <x v="0"/>
    <x v="8"/>
    <n v="98"/>
    <n v="3.1800000000000002E-2"/>
  </r>
  <r>
    <x v="0"/>
    <x v="36"/>
    <x v="0"/>
    <x v="0"/>
    <x v="9"/>
    <n v="96"/>
    <n v="6.7199999999999996E-2"/>
  </r>
  <r>
    <x v="0"/>
    <x v="36"/>
    <x v="0"/>
    <x v="0"/>
    <x v="10"/>
    <n v="95"/>
    <n v="7.2900000000000006E-2"/>
  </r>
  <r>
    <x v="0"/>
    <x v="36"/>
    <x v="0"/>
    <x v="0"/>
    <x v="11"/>
    <n v="92"/>
    <n v="9.7799999999999998E-2"/>
  </r>
  <r>
    <x v="0"/>
    <x v="36"/>
    <x v="0"/>
    <x v="0"/>
    <x v="12"/>
    <n v="94"/>
    <n v="0.1159"/>
  </r>
  <r>
    <x v="0"/>
    <x v="36"/>
    <x v="0"/>
    <x v="0"/>
    <x v="13"/>
    <n v="95"/>
    <n v="6.9500000000000006E-2"/>
  </r>
  <r>
    <x v="0"/>
    <x v="37"/>
    <x v="0"/>
    <x v="0"/>
    <x v="0"/>
    <n v="79"/>
    <n v="0.48320000000000002"/>
  </r>
  <r>
    <x v="0"/>
    <x v="37"/>
    <x v="0"/>
    <x v="0"/>
    <x v="1"/>
    <n v="76"/>
    <n v="0.1036"/>
  </r>
  <r>
    <x v="0"/>
    <x v="37"/>
    <x v="0"/>
    <x v="0"/>
    <x v="2"/>
    <n v="75"/>
    <n v="0.2026"/>
  </r>
  <r>
    <x v="0"/>
    <x v="37"/>
    <x v="0"/>
    <x v="0"/>
    <x v="3"/>
    <n v="79"/>
    <n v="0.1893"/>
  </r>
  <r>
    <x v="0"/>
    <x v="37"/>
    <x v="0"/>
    <x v="0"/>
    <x v="4"/>
    <n v="82"/>
    <n v="0.37740000000000001"/>
  </r>
  <r>
    <x v="0"/>
    <x v="37"/>
    <x v="0"/>
    <x v="0"/>
    <x v="5"/>
    <n v="77"/>
    <n v="0.12189999999999999"/>
  </r>
  <r>
    <x v="0"/>
    <x v="37"/>
    <x v="0"/>
    <x v="0"/>
    <x v="6"/>
    <n v="75"/>
    <n v="0.12859999999999999"/>
  </r>
  <r>
    <x v="0"/>
    <x v="37"/>
    <x v="0"/>
    <x v="0"/>
    <x v="7"/>
    <n v="81"/>
    <n v="0.33090000000000003"/>
  </r>
  <r>
    <x v="0"/>
    <x v="37"/>
    <x v="0"/>
    <x v="0"/>
    <x v="8"/>
    <n v="76"/>
    <n v="7.3800000000000004E-2"/>
  </r>
  <r>
    <x v="0"/>
    <x v="37"/>
    <x v="0"/>
    <x v="0"/>
    <x v="9"/>
    <n v="79"/>
    <n v="0.14369999999999999"/>
  </r>
  <r>
    <x v="0"/>
    <x v="37"/>
    <x v="0"/>
    <x v="0"/>
    <x v="10"/>
    <n v="79"/>
    <n v="0.1734"/>
  </r>
  <r>
    <x v="0"/>
    <x v="37"/>
    <x v="0"/>
    <x v="0"/>
    <x v="11"/>
    <n v="81"/>
    <n v="0.2223"/>
  </r>
  <r>
    <x v="0"/>
    <x v="37"/>
    <x v="0"/>
    <x v="0"/>
    <x v="12"/>
    <n v="82"/>
    <n v="0.25650000000000001"/>
  </r>
  <r>
    <x v="0"/>
    <x v="37"/>
    <x v="0"/>
    <x v="0"/>
    <x v="13"/>
    <n v="76"/>
    <n v="0.15409999999999999"/>
  </r>
  <r>
    <x v="1"/>
    <x v="38"/>
    <x v="0"/>
    <x v="0"/>
    <x v="0"/>
    <n v="20"/>
    <n v="9.7999999999999997E-3"/>
  </r>
  <r>
    <x v="1"/>
    <x v="38"/>
    <x v="0"/>
    <x v="0"/>
    <x v="2"/>
    <n v="14"/>
    <n v="1.9E-3"/>
  </r>
  <r>
    <x v="1"/>
    <x v="38"/>
    <x v="0"/>
    <x v="0"/>
    <x v="4"/>
    <n v="13"/>
    <n v="4.7000000000000002E-3"/>
  </r>
  <r>
    <x v="1"/>
    <x v="38"/>
    <x v="0"/>
    <x v="0"/>
    <x v="7"/>
    <n v="20"/>
    <n v="2.8E-3"/>
  </r>
  <r>
    <x v="0"/>
    <x v="39"/>
    <x v="0"/>
    <x v="0"/>
    <x v="0"/>
    <n v="84"/>
    <n v="0.38829999999999998"/>
  </r>
  <r>
    <x v="0"/>
    <x v="39"/>
    <x v="0"/>
    <x v="0"/>
    <x v="1"/>
    <n v="82"/>
    <n v="6.2300000000000001E-2"/>
  </r>
  <r>
    <x v="0"/>
    <x v="39"/>
    <x v="0"/>
    <x v="0"/>
    <x v="2"/>
    <n v="80"/>
    <n v="0.15609999999999999"/>
  </r>
  <r>
    <x v="0"/>
    <x v="39"/>
    <x v="0"/>
    <x v="0"/>
    <x v="3"/>
    <n v="77"/>
    <n v="0.13270000000000001"/>
  </r>
  <r>
    <x v="0"/>
    <x v="39"/>
    <x v="0"/>
    <x v="0"/>
    <x v="4"/>
    <n v="87"/>
    <n v="0.27"/>
  </r>
  <r>
    <x v="0"/>
    <x v="39"/>
    <x v="0"/>
    <x v="0"/>
    <x v="5"/>
    <n v="79"/>
    <n v="7.0599999999999996E-2"/>
  </r>
  <r>
    <x v="0"/>
    <x v="39"/>
    <x v="0"/>
    <x v="0"/>
    <x v="6"/>
    <n v="76"/>
    <n v="8.0199999999999994E-2"/>
  </r>
  <r>
    <x v="0"/>
    <x v="39"/>
    <x v="0"/>
    <x v="0"/>
    <x v="7"/>
    <n v="89"/>
    <n v="0.23649999999999999"/>
  </r>
  <r>
    <x v="0"/>
    <x v="39"/>
    <x v="0"/>
    <x v="0"/>
    <x v="8"/>
    <n v="84"/>
    <n v="4.3200000000000002E-2"/>
  </r>
  <r>
    <x v="0"/>
    <x v="39"/>
    <x v="0"/>
    <x v="0"/>
    <x v="9"/>
    <n v="78"/>
    <n v="9.6699999999999994E-2"/>
  </r>
  <r>
    <x v="0"/>
    <x v="39"/>
    <x v="0"/>
    <x v="0"/>
    <x v="10"/>
    <n v="86"/>
    <n v="9.5399999999999999E-2"/>
  </r>
  <r>
    <x v="0"/>
    <x v="39"/>
    <x v="0"/>
    <x v="0"/>
    <x v="11"/>
    <n v="87"/>
    <n v="0.128"/>
  </r>
  <r>
    <x v="0"/>
    <x v="39"/>
    <x v="0"/>
    <x v="0"/>
    <x v="12"/>
    <n v="87"/>
    <n v="0.1578"/>
  </r>
  <r>
    <x v="0"/>
    <x v="39"/>
    <x v="0"/>
    <x v="0"/>
    <x v="13"/>
    <n v="82"/>
    <n v="9.8400000000000001E-2"/>
  </r>
  <r>
    <x v="1"/>
    <x v="40"/>
    <x v="0"/>
    <x v="0"/>
    <x v="0"/>
    <n v="84"/>
    <n v="0.1305"/>
  </r>
  <r>
    <x v="1"/>
    <x v="40"/>
    <x v="0"/>
    <x v="0"/>
    <x v="1"/>
    <n v="96"/>
    <n v="1.37E-2"/>
  </r>
  <r>
    <x v="1"/>
    <x v="40"/>
    <x v="0"/>
    <x v="0"/>
    <x v="2"/>
    <n v="72"/>
    <n v="4.2700000000000002E-2"/>
  </r>
  <r>
    <x v="1"/>
    <x v="40"/>
    <x v="0"/>
    <x v="0"/>
    <x v="3"/>
    <n v="92"/>
    <n v="2.9499999999999998E-2"/>
  </r>
  <r>
    <x v="1"/>
    <x v="40"/>
    <x v="0"/>
    <x v="0"/>
    <x v="4"/>
    <n v="89"/>
    <n v="8.0199999999999994E-2"/>
  </r>
  <r>
    <x v="1"/>
    <x v="40"/>
    <x v="0"/>
    <x v="0"/>
    <x v="5"/>
    <n v="89"/>
    <n v="1.5900000000000001E-2"/>
  </r>
  <r>
    <x v="1"/>
    <x v="40"/>
    <x v="0"/>
    <x v="0"/>
    <x v="6"/>
    <n v="81"/>
    <n v="1.8100000000000002E-2"/>
  </r>
  <r>
    <x v="1"/>
    <x v="40"/>
    <x v="0"/>
    <x v="0"/>
    <x v="7"/>
    <n v="85"/>
    <n v="5.91E-2"/>
  </r>
  <r>
    <x v="1"/>
    <x v="40"/>
    <x v="0"/>
    <x v="0"/>
    <x v="8"/>
    <n v="100"/>
    <n v="8.9999999999999993E-3"/>
  </r>
  <r>
    <x v="1"/>
    <x v="40"/>
    <x v="0"/>
    <x v="0"/>
    <x v="9"/>
    <n v="89"/>
    <n v="1.9800000000000002E-2"/>
  </r>
  <r>
    <x v="1"/>
    <x v="40"/>
    <x v="0"/>
    <x v="0"/>
    <x v="10"/>
    <n v="88"/>
    <n v="1.6899999999999998E-2"/>
  </r>
  <r>
    <x v="1"/>
    <x v="40"/>
    <x v="0"/>
    <x v="0"/>
    <x v="11"/>
    <n v="83"/>
    <n v="2.4299999999999999E-2"/>
  </r>
  <r>
    <x v="1"/>
    <x v="40"/>
    <x v="0"/>
    <x v="0"/>
    <x v="12"/>
    <n v="86"/>
    <n v="3.5200000000000002E-2"/>
  </r>
  <r>
    <x v="1"/>
    <x v="40"/>
    <x v="0"/>
    <x v="0"/>
    <x v="13"/>
    <n v="95"/>
    <n v="2.2200000000000001E-2"/>
  </r>
  <r>
    <x v="0"/>
    <x v="41"/>
    <x v="0"/>
    <x v="0"/>
    <x v="0"/>
    <n v="102"/>
    <n v="8.9300000000000004E-2"/>
  </r>
  <r>
    <x v="0"/>
    <x v="41"/>
    <x v="0"/>
    <x v="0"/>
    <x v="1"/>
    <n v="114"/>
    <n v="5.3E-3"/>
  </r>
  <r>
    <x v="0"/>
    <x v="41"/>
    <x v="0"/>
    <x v="0"/>
    <x v="2"/>
    <n v="100"/>
    <n v="2.07E-2"/>
  </r>
  <r>
    <x v="0"/>
    <x v="41"/>
    <x v="0"/>
    <x v="0"/>
    <x v="3"/>
    <n v="105"/>
    <n v="1.9400000000000001E-2"/>
  </r>
  <r>
    <x v="0"/>
    <x v="41"/>
    <x v="0"/>
    <x v="0"/>
    <x v="4"/>
    <n v="100"/>
    <n v="6.2399999999999997E-2"/>
  </r>
  <r>
    <x v="0"/>
    <x v="41"/>
    <x v="0"/>
    <x v="0"/>
    <x v="5"/>
    <n v="112"/>
    <n v="9.5999999999999992E-3"/>
  </r>
  <r>
    <x v="0"/>
    <x v="41"/>
    <x v="0"/>
    <x v="0"/>
    <x v="6"/>
    <n v="108"/>
    <n v="1.0800000000000001E-2"/>
  </r>
  <r>
    <x v="0"/>
    <x v="41"/>
    <x v="0"/>
    <x v="0"/>
    <x v="7"/>
    <n v="94"/>
    <n v="3.2599999999999997E-2"/>
  </r>
  <r>
    <x v="0"/>
    <x v="41"/>
    <x v="0"/>
    <x v="0"/>
    <x v="8"/>
    <n v="133"/>
    <n v="4.4999999999999997E-3"/>
  </r>
  <r>
    <x v="0"/>
    <x v="41"/>
    <x v="0"/>
    <x v="0"/>
    <x v="9"/>
    <n v="93"/>
    <n v="1.12E-2"/>
  </r>
  <r>
    <x v="0"/>
    <x v="41"/>
    <x v="0"/>
    <x v="0"/>
    <x v="10"/>
    <n v="104"/>
    <n v="1.4800000000000001E-2"/>
  </r>
  <r>
    <x v="0"/>
    <x v="41"/>
    <x v="0"/>
    <x v="0"/>
    <x v="11"/>
    <n v="101"/>
    <n v="2.4E-2"/>
  </r>
  <r>
    <x v="0"/>
    <x v="41"/>
    <x v="0"/>
    <x v="0"/>
    <x v="12"/>
    <n v="100"/>
    <n v="3.2099999999999997E-2"/>
  </r>
  <r>
    <x v="0"/>
    <x v="41"/>
    <x v="0"/>
    <x v="0"/>
    <x v="13"/>
    <n v="111"/>
    <n v="9.4999999999999998E-3"/>
  </r>
  <r>
    <x v="0"/>
    <x v="42"/>
    <x v="0"/>
    <x v="0"/>
    <x v="0"/>
    <n v="99"/>
    <n v="0.34379999999999999"/>
  </r>
  <r>
    <x v="0"/>
    <x v="42"/>
    <x v="0"/>
    <x v="0"/>
    <x v="1"/>
    <n v="91"/>
    <n v="5.4899999999999997E-2"/>
  </r>
  <r>
    <x v="0"/>
    <x v="42"/>
    <x v="0"/>
    <x v="0"/>
    <x v="2"/>
    <n v="105"/>
    <n v="0.14499999999999999"/>
  </r>
  <r>
    <x v="0"/>
    <x v="42"/>
    <x v="0"/>
    <x v="0"/>
    <x v="3"/>
    <n v="96"/>
    <n v="0.13250000000000001"/>
  </r>
  <r>
    <x v="0"/>
    <x v="42"/>
    <x v="0"/>
    <x v="0"/>
    <x v="4"/>
    <n v="96"/>
    <n v="0.24610000000000001"/>
  </r>
  <r>
    <x v="0"/>
    <x v="42"/>
    <x v="0"/>
    <x v="0"/>
    <x v="5"/>
    <n v="95"/>
    <n v="8.3400000000000002E-2"/>
  </r>
  <r>
    <x v="0"/>
    <x v="42"/>
    <x v="0"/>
    <x v="0"/>
    <x v="6"/>
    <n v="91"/>
    <n v="8.2400000000000001E-2"/>
  </r>
  <r>
    <x v="0"/>
    <x v="42"/>
    <x v="0"/>
    <x v="0"/>
    <x v="7"/>
    <n v="104"/>
    <n v="0.2127"/>
  </r>
  <r>
    <x v="0"/>
    <x v="42"/>
    <x v="0"/>
    <x v="0"/>
    <x v="8"/>
    <n v="90"/>
    <n v="3.8100000000000002E-2"/>
  </r>
  <r>
    <x v="0"/>
    <x v="42"/>
    <x v="0"/>
    <x v="0"/>
    <x v="9"/>
    <n v="98"/>
    <n v="0.1079"/>
  </r>
  <r>
    <x v="0"/>
    <x v="42"/>
    <x v="0"/>
    <x v="0"/>
    <x v="10"/>
    <n v="92"/>
    <n v="0.1011"/>
  </r>
  <r>
    <x v="0"/>
    <x v="42"/>
    <x v="0"/>
    <x v="0"/>
    <x v="11"/>
    <n v="93"/>
    <n v="0.1326"/>
  </r>
  <r>
    <x v="0"/>
    <x v="42"/>
    <x v="0"/>
    <x v="0"/>
    <x v="12"/>
    <n v="97"/>
    <n v="0.15440000000000001"/>
  </r>
  <r>
    <x v="0"/>
    <x v="42"/>
    <x v="0"/>
    <x v="0"/>
    <x v="13"/>
    <n v="95"/>
    <n v="0.10059999999999999"/>
  </r>
  <r>
    <x v="1"/>
    <x v="43"/>
    <x v="0"/>
    <x v="1"/>
    <x v="0"/>
    <n v="98"/>
    <n v="0.80310000000000004"/>
  </r>
  <r>
    <x v="1"/>
    <x v="43"/>
    <x v="0"/>
    <x v="1"/>
    <x v="1"/>
    <n v="95"/>
    <n v="0.31580000000000003"/>
  </r>
  <r>
    <x v="1"/>
    <x v="43"/>
    <x v="0"/>
    <x v="1"/>
    <x v="2"/>
    <n v="98"/>
    <n v="0.47270000000000001"/>
  </r>
  <r>
    <x v="1"/>
    <x v="43"/>
    <x v="0"/>
    <x v="1"/>
    <x v="3"/>
    <n v="102"/>
    <n v="0.4531"/>
  </r>
  <r>
    <x v="1"/>
    <x v="43"/>
    <x v="0"/>
    <x v="1"/>
    <x v="4"/>
    <n v="101"/>
    <n v="0.6875"/>
  </r>
  <r>
    <x v="1"/>
    <x v="43"/>
    <x v="0"/>
    <x v="1"/>
    <x v="5"/>
    <n v="97"/>
    <n v="0.2722"/>
  </r>
  <r>
    <x v="1"/>
    <x v="43"/>
    <x v="0"/>
    <x v="1"/>
    <x v="6"/>
    <n v="87"/>
    <n v="0.29470000000000002"/>
  </r>
  <r>
    <x v="1"/>
    <x v="43"/>
    <x v="0"/>
    <x v="1"/>
    <x v="7"/>
    <n v="104"/>
    <n v="0.58950000000000002"/>
  </r>
  <r>
    <x v="1"/>
    <x v="43"/>
    <x v="0"/>
    <x v="1"/>
    <x v="8"/>
    <n v="88"/>
    <n v="0.22550000000000001"/>
  </r>
  <r>
    <x v="1"/>
    <x v="43"/>
    <x v="0"/>
    <x v="1"/>
    <x v="9"/>
    <n v="101"/>
    <n v="0.39129999999999998"/>
  </r>
  <r>
    <x v="1"/>
    <x v="43"/>
    <x v="0"/>
    <x v="1"/>
    <x v="10"/>
    <n v="101"/>
    <n v="0.36969999999999997"/>
  </r>
  <r>
    <x v="1"/>
    <x v="43"/>
    <x v="0"/>
    <x v="1"/>
    <x v="11"/>
    <n v="101"/>
    <n v="0.47010000000000002"/>
  </r>
  <r>
    <x v="1"/>
    <x v="43"/>
    <x v="0"/>
    <x v="1"/>
    <x v="12"/>
    <n v="100"/>
    <n v="0.46360000000000001"/>
  </r>
  <r>
    <x v="1"/>
    <x v="43"/>
    <x v="0"/>
    <x v="1"/>
    <x v="13"/>
    <n v="94"/>
    <n v="0.3911"/>
  </r>
  <r>
    <x v="1"/>
    <x v="44"/>
    <x v="0"/>
    <x v="0"/>
    <x v="0"/>
    <n v="113"/>
    <n v="0.27150000000000002"/>
  </r>
  <r>
    <x v="1"/>
    <x v="44"/>
    <x v="0"/>
    <x v="0"/>
    <x v="1"/>
    <n v="108"/>
    <n v="5.79E-2"/>
  </r>
  <r>
    <x v="1"/>
    <x v="44"/>
    <x v="0"/>
    <x v="0"/>
    <x v="2"/>
    <n v="115"/>
    <n v="0.1096"/>
  </r>
  <r>
    <x v="1"/>
    <x v="44"/>
    <x v="0"/>
    <x v="0"/>
    <x v="3"/>
    <n v="124"/>
    <n v="8.5900000000000004E-2"/>
  </r>
  <r>
    <x v="1"/>
    <x v="44"/>
    <x v="0"/>
    <x v="0"/>
    <x v="4"/>
    <n v="109"/>
    <n v="0.1764"/>
  </r>
  <r>
    <x v="1"/>
    <x v="44"/>
    <x v="0"/>
    <x v="0"/>
    <x v="5"/>
    <n v="104"/>
    <n v="4.6399999999999997E-2"/>
  </r>
  <r>
    <x v="1"/>
    <x v="44"/>
    <x v="0"/>
    <x v="0"/>
    <x v="6"/>
    <n v="100"/>
    <n v="5.5E-2"/>
  </r>
  <r>
    <x v="1"/>
    <x v="44"/>
    <x v="0"/>
    <x v="0"/>
    <x v="7"/>
    <n v="97"/>
    <n v="0.11890000000000001"/>
  </r>
  <r>
    <x v="1"/>
    <x v="44"/>
    <x v="0"/>
    <x v="0"/>
    <x v="8"/>
    <n v="105"/>
    <n v="3.6400000000000002E-2"/>
  </r>
  <r>
    <x v="1"/>
    <x v="44"/>
    <x v="0"/>
    <x v="0"/>
    <x v="9"/>
    <n v="125"/>
    <n v="7.2599999999999998E-2"/>
  </r>
  <r>
    <x v="1"/>
    <x v="44"/>
    <x v="0"/>
    <x v="0"/>
    <x v="10"/>
    <n v="107"/>
    <n v="5.7000000000000002E-2"/>
  </r>
  <r>
    <x v="1"/>
    <x v="44"/>
    <x v="0"/>
    <x v="0"/>
    <x v="11"/>
    <n v="106"/>
    <n v="7.4200000000000002E-2"/>
  </r>
  <r>
    <x v="1"/>
    <x v="44"/>
    <x v="0"/>
    <x v="0"/>
    <x v="12"/>
    <n v="108"/>
    <n v="8.7999999999999995E-2"/>
  </r>
  <r>
    <x v="1"/>
    <x v="44"/>
    <x v="0"/>
    <x v="0"/>
    <x v="13"/>
    <n v="107"/>
    <n v="7.9500000000000001E-2"/>
  </r>
  <r>
    <x v="0"/>
    <x v="45"/>
    <x v="0"/>
    <x v="0"/>
    <x v="0"/>
    <n v="89"/>
    <n v="0.42220000000000002"/>
  </r>
  <r>
    <x v="0"/>
    <x v="45"/>
    <x v="0"/>
    <x v="0"/>
    <x v="1"/>
    <n v="92"/>
    <n v="5.6899999999999999E-2"/>
  </r>
  <r>
    <x v="0"/>
    <x v="45"/>
    <x v="0"/>
    <x v="0"/>
    <x v="2"/>
    <n v="94"/>
    <n v="0.18060000000000001"/>
  </r>
  <r>
    <x v="0"/>
    <x v="45"/>
    <x v="0"/>
    <x v="0"/>
    <x v="3"/>
    <n v="91"/>
    <n v="0.1479"/>
  </r>
  <r>
    <x v="0"/>
    <x v="45"/>
    <x v="0"/>
    <x v="0"/>
    <x v="4"/>
    <n v="88"/>
    <n v="0.30709999999999998"/>
  </r>
  <r>
    <x v="0"/>
    <x v="45"/>
    <x v="0"/>
    <x v="0"/>
    <x v="5"/>
    <n v="85"/>
    <n v="9.6100000000000005E-2"/>
  </r>
  <r>
    <x v="0"/>
    <x v="45"/>
    <x v="0"/>
    <x v="0"/>
    <x v="6"/>
    <n v="84"/>
    <n v="9.06E-2"/>
  </r>
  <r>
    <x v="0"/>
    <x v="45"/>
    <x v="0"/>
    <x v="0"/>
    <x v="7"/>
    <n v="90"/>
    <n v="0.22420000000000001"/>
  </r>
  <r>
    <x v="0"/>
    <x v="45"/>
    <x v="0"/>
    <x v="0"/>
    <x v="8"/>
    <n v="83"/>
    <n v="2.98E-2"/>
  </r>
  <r>
    <x v="0"/>
    <x v="45"/>
    <x v="0"/>
    <x v="0"/>
    <x v="9"/>
    <n v="93"/>
    <n v="0.1159"/>
  </r>
  <r>
    <x v="0"/>
    <x v="45"/>
    <x v="0"/>
    <x v="0"/>
    <x v="10"/>
    <n v="87"/>
    <n v="0.11700000000000001"/>
  </r>
  <r>
    <x v="0"/>
    <x v="45"/>
    <x v="0"/>
    <x v="0"/>
    <x v="11"/>
    <n v="88"/>
    <n v="0.1542"/>
  </r>
  <r>
    <x v="0"/>
    <x v="45"/>
    <x v="0"/>
    <x v="0"/>
    <x v="12"/>
    <n v="88"/>
    <n v="0.17680000000000001"/>
  </r>
  <r>
    <x v="0"/>
    <x v="45"/>
    <x v="0"/>
    <x v="0"/>
    <x v="13"/>
    <n v="91"/>
    <n v="9.0700000000000003E-2"/>
  </r>
  <r>
    <x v="1"/>
    <x v="46"/>
    <x v="0"/>
    <x v="0"/>
    <x v="0"/>
    <n v="21"/>
    <n v="4.3E-3"/>
  </r>
  <r>
    <x v="1"/>
    <x v="46"/>
    <x v="0"/>
    <x v="0"/>
    <x v="4"/>
    <n v="16"/>
    <n v="2E-3"/>
  </r>
  <r>
    <x v="1"/>
    <x v="46"/>
    <x v="0"/>
    <x v="0"/>
    <x v="7"/>
    <n v="31"/>
    <n v="1.6000000000000001E-3"/>
  </r>
  <r>
    <x v="0"/>
    <x v="47"/>
    <x v="0"/>
    <x v="0"/>
    <x v="0"/>
    <n v="116"/>
    <n v="0.53100000000000003"/>
  </r>
  <r>
    <x v="0"/>
    <x v="47"/>
    <x v="0"/>
    <x v="0"/>
    <x v="1"/>
    <n v="114"/>
    <n v="0.25009999999999999"/>
  </r>
  <r>
    <x v="0"/>
    <x v="47"/>
    <x v="0"/>
    <x v="0"/>
    <x v="2"/>
    <n v="118"/>
    <n v="0.3594"/>
  </r>
  <r>
    <x v="0"/>
    <x v="47"/>
    <x v="0"/>
    <x v="0"/>
    <x v="3"/>
    <n v="118"/>
    <n v="0.34110000000000001"/>
  </r>
  <r>
    <x v="0"/>
    <x v="47"/>
    <x v="0"/>
    <x v="0"/>
    <x v="4"/>
    <n v="115"/>
    <n v="0.42859999999999998"/>
  </r>
  <r>
    <x v="0"/>
    <x v="47"/>
    <x v="0"/>
    <x v="0"/>
    <x v="5"/>
    <n v="116"/>
    <n v="0.2064"/>
  </r>
  <r>
    <x v="0"/>
    <x v="47"/>
    <x v="0"/>
    <x v="0"/>
    <x v="6"/>
    <n v="113"/>
    <n v="0.217"/>
  </r>
  <r>
    <x v="0"/>
    <x v="47"/>
    <x v="0"/>
    <x v="0"/>
    <x v="7"/>
    <n v="115"/>
    <n v="0.41260000000000002"/>
  </r>
  <r>
    <x v="0"/>
    <x v="47"/>
    <x v="0"/>
    <x v="0"/>
    <x v="8"/>
    <n v="111"/>
    <n v="0.16650000000000001"/>
  </r>
  <r>
    <x v="0"/>
    <x v="47"/>
    <x v="0"/>
    <x v="0"/>
    <x v="9"/>
    <n v="119"/>
    <n v="0.313"/>
  </r>
  <r>
    <x v="0"/>
    <x v="47"/>
    <x v="0"/>
    <x v="0"/>
    <x v="10"/>
    <n v="114"/>
    <n v="0.27460000000000001"/>
  </r>
  <r>
    <x v="0"/>
    <x v="47"/>
    <x v="0"/>
    <x v="0"/>
    <x v="11"/>
    <n v="115"/>
    <n v="0.31869999999999998"/>
  </r>
  <r>
    <x v="0"/>
    <x v="47"/>
    <x v="0"/>
    <x v="0"/>
    <x v="12"/>
    <n v="116"/>
    <n v="0.33910000000000001"/>
  </r>
  <r>
    <x v="0"/>
    <x v="47"/>
    <x v="0"/>
    <x v="0"/>
    <x v="13"/>
    <n v="114"/>
    <n v="0.29920000000000002"/>
  </r>
  <r>
    <x v="1"/>
    <x v="48"/>
    <x v="0"/>
    <x v="0"/>
    <x v="0"/>
    <n v="125"/>
    <n v="2.9899999999999999E-2"/>
  </r>
  <r>
    <x v="1"/>
    <x v="48"/>
    <x v="0"/>
    <x v="0"/>
    <x v="1"/>
    <n v="151"/>
    <n v="2.3999999999999998E-3"/>
  </r>
  <r>
    <x v="1"/>
    <x v="48"/>
    <x v="0"/>
    <x v="0"/>
    <x v="2"/>
    <n v="123"/>
    <n v="1.09E-2"/>
  </r>
  <r>
    <x v="1"/>
    <x v="48"/>
    <x v="0"/>
    <x v="0"/>
    <x v="3"/>
    <n v="129"/>
    <n v="7.7999999999999996E-3"/>
  </r>
  <r>
    <x v="1"/>
    <x v="48"/>
    <x v="0"/>
    <x v="0"/>
    <x v="4"/>
    <n v="130"/>
    <n v="1.8499999999999999E-2"/>
  </r>
  <r>
    <x v="1"/>
    <x v="48"/>
    <x v="0"/>
    <x v="0"/>
    <x v="5"/>
    <n v="133"/>
    <n v="2.8999999999999998E-3"/>
  </r>
  <r>
    <x v="1"/>
    <x v="48"/>
    <x v="0"/>
    <x v="0"/>
    <x v="6"/>
    <n v="142"/>
    <n v="2.8E-3"/>
  </r>
  <r>
    <x v="1"/>
    <x v="48"/>
    <x v="0"/>
    <x v="0"/>
    <x v="7"/>
    <n v="110"/>
    <n v="1.44E-2"/>
  </r>
  <r>
    <x v="1"/>
    <x v="48"/>
    <x v="0"/>
    <x v="0"/>
    <x v="8"/>
    <n v="155"/>
    <n v="1.4E-3"/>
  </r>
  <r>
    <x v="1"/>
    <x v="48"/>
    <x v="0"/>
    <x v="0"/>
    <x v="9"/>
    <n v="132"/>
    <n v="6.0000000000000001E-3"/>
  </r>
  <r>
    <x v="1"/>
    <x v="48"/>
    <x v="0"/>
    <x v="0"/>
    <x v="10"/>
    <n v="131"/>
    <n v="3.7000000000000002E-3"/>
  </r>
  <r>
    <x v="1"/>
    <x v="48"/>
    <x v="0"/>
    <x v="0"/>
    <x v="11"/>
    <n v="133"/>
    <n v="5.0000000000000001E-3"/>
  </r>
  <r>
    <x v="1"/>
    <x v="48"/>
    <x v="0"/>
    <x v="0"/>
    <x v="12"/>
    <n v="138"/>
    <n v="9.1000000000000004E-3"/>
  </r>
  <r>
    <x v="1"/>
    <x v="48"/>
    <x v="0"/>
    <x v="0"/>
    <x v="13"/>
    <n v="138"/>
    <n v="3.8E-3"/>
  </r>
  <r>
    <x v="0"/>
    <x v="49"/>
    <x v="0"/>
    <x v="0"/>
    <x v="0"/>
    <n v="106"/>
    <n v="0.29189999999999999"/>
  </r>
  <r>
    <x v="0"/>
    <x v="49"/>
    <x v="0"/>
    <x v="0"/>
    <x v="1"/>
    <n v="91"/>
    <n v="2.86E-2"/>
  </r>
  <r>
    <x v="0"/>
    <x v="49"/>
    <x v="0"/>
    <x v="0"/>
    <x v="2"/>
    <n v="93"/>
    <n v="9.06E-2"/>
  </r>
  <r>
    <x v="0"/>
    <x v="49"/>
    <x v="0"/>
    <x v="0"/>
    <x v="3"/>
    <n v="101"/>
    <n v="8.9899999999999994E-2"/>
  </r>
  <r>
    <x v="0"/>
    <x v="49"/>
    <x v="0"/>
    <x v="0"/>
    <x v="4"/>
    <n v="111"/>
    <n v="0.2089"/>
  </r>
  <r>
    <x v="0"/>
    <x v="49"/>
    <x v="0"/>
    <x v="0"/>
    <x v="5"/>
    <n v="99"/>
    <n v="3.85E-2"/>
  </r>
  <r>
    <x v="0"/>
    <x v="49"/>
    <x v="0"/>
    <x v="0"/>
    <x v="6"/>
    <n v="98"/>
    <n v="4.2799999999999998E-2"/>
  </r>
  <r>
    <x v="0"/>
    <x v="49"/>
    <x v="0"/>
    <x v="0"/>
    <x v="7"/>
    <n v="110"/>
    <n v="0.15629999999999999"/>
  </r>
  <r>
    <x v="0"/>
    <x v="49"/>
    <x v="0"/>
    <x v="0"/>
    <x v="8"/>
    <n v="106"/>
    <n v="2.0500000000000001E-2"/>
  </r>
  <r>
    <x v="0"/>
    <x v="49"/>
    <x v="0"/>
    <x v="0"/>
    <x v="9"/>
    <n v="98"/>
    <n v="6.2199999999999998E-2"/>
  </r>
  <r>
    <x v="0"/>
    <x v="49"/>
    <x v="0"/>
    <x v="0"/>
    <x v="10"/>
    <n v="104"/>
    <n v="5.7599999999999998E-2"/>
  </r>
  <r>
    <x v="0"/>
    <x v="49"/>
    <x v="0"/>
    <x v="0"/>
    <x v="11"/>
    <n v="110"/>
    <n v="0.1008"/>
  </r>
  <r>
    <x v="0"/>
    <x v="49"/>
    <x v="0"/>
    <x v="0"/>
    <x v="12"/>
    <n v="114"/>
    <n v="0.12690000000000001"/>
  </r>
  <r>
    <x v="0"/>
    <x v="49"/>
    <x v="0"/>
    <x v="0"/>
    <x v="13"/>
    <n v="101"/>
    <n v="5.2699999999999997E-2"/>
  </r>
  <r>
    <x v="1"/>
    <x v="50"/>
    <x v="0"/>
    <x v="0"/>
    <x v="0"/>
    <n v="100"/>
    <n v="9.3399999999999997E-2"/>
  </r>
  <r>
    <x v="1"/>
    <x v="50"/>
    <x v="0"/>
    <x v="0"/>
    <x v="1"/>
    <n v="105"/>
    <n v="0.01"/>
  </r>
  <r>
    <x v="1"/>
    <x v="50"/>
    <x v="0"/>
    <x v="0"/>
    <x v="2"/>
    <n v="118"/>
    <n v="3.0800000000000001E-2"/>
  </r>
  <r>
    <x v="1"/>
    <x v="50"/>
    <x v="0"/>
    <x v="0"/>
    <x v="3"/>
    <n v="110"/>
    <n v="2.1899999999999999E-2"/>
  </r>
  <r>
    <x v="1"/>
    <x v="50"/>
    <x v="0"/>
    <x v="0"/>
    <x v="4"/>
    <n v="98"/>
    <n v="6.4899999999999999E-2"/>
  </r>
  <r>
    <x v="1"/>
    <x v="50"/>
    <x v="0"/>
    <x v="0"/>
    <x v="5"/>
    <n v="87"/>
    <n v="1.5599999999999999E-2"/>
  </r>
  <r>
    <x v="1"/>
    <x v="50"/>
    <x v="0"/>
    <x v="0"/>
    <x v="6"/>
    <n v="86"/>
    <n v="1.6799999999999999E-2"/>
  </r>
  <r>
    <x v="1"/>
    <x v="50"/>
    <x v="0"/>
    <x v="0"/>
    <x v="7"/>
    <n v="112"/>
    <n v="4.9799999999999997E-2"/>
  </r>
  <r>
    <x v="1"/>
    <x v="50"/>
    <x v="0"/>
    <x v="0"/>
    <x v="8"/>
    <n v="101"/>
    <n v="8.2000000000000007E-3"/>
  </r>
  <r>
    <x v="1"/>
    <x v="50"/>
    <x v="0"/>
    <x v="0"/>
    <x v="9"/>
    <n v="118"/>
    <n v="1.34E-2"/>
  </r>
  <r>
    <x v="1"/>
    <x v="50"/>
    <x v="0"/>
    <x v="0"/>
    <x v="10"/>
    <n v="94"/>
    <n v="1.7899999999999999E-2"/>
  </r>
  <r>
    <x v="1"/>
    <x v="50"/>
    <x v="0"/>
    <x v="0"/>
    <x v="11"/>
    <n v="97"/>
    <n v="2.7699999999999999E-2"/>
  </r>
  <r>
    <x v="1"/>
    <x v="50"/>
    <x v="0"/>
    <x v="0"/>
    <x v="12"/>
    <n v="100"/>
    <n v="3.6799999999999999E-2"/>
  </r>
  <r>
    <x v="1"/>
    <x v="50"/>
    <x v="0"/>
    <x v="0"/>
    <x v="13"/>
    <n v="95"/>
    <n v="1.7000000000000001E-2"/>
  </r>
  <r>
    <x v="0"/>
    <x v="51"/>
    <x v="0"/>
    <x v="0"/>
    <x v="0"/>
    <n v="90"/>
    <n v="0.30880000000000002"/>
  </r>
  <r>
    <x v="0"/>
    <x v="51"/>
    <x v="0"/>
    <x v="0"/>
    <x v="1"/>
    <n v="72"/>
    <n v="2.5499999999999998E-2"/>
  </r>
  <r>
    <x v="0"/>
    <x v="51"/>
    <x v="0"/>
    <x v="0"/>
    <x v="2"/>
    <n v="104"/>
    <n v="0.1099"/>
  </r>
  <r>
    <x v="0"/>
    <x v="51"/>
    <x v="0"/>
    <x v="0"/>
    <x v="3"/>
    <n v="91"/>
    <n v="0.1062"/>
  </r>
  <r>
    <x v="0"/>
    <x v="51"/>
    <x v="0"/>
    <x v="0"/>
    <x v="4"/>
    <n v="86"/>
    <n v="0.2132"/>
  </r>
  <r>
    <x v="0"/>
    <x v="51"/>
    <x v="0"/>
    <x v="0"/>
    <x v="5"/>
    <n v="91"/>
    <n v="4.4400000000000002E-2"/>
  </r>
  <r>
    <x v="0"/>
    <x v="51"/>
    <x v="0"/>
    <x v="0"/>
    <x v="6"/>
    <n v="91"/>
    <n v="4.2799999999999998E-2"/>
  </r>
  <r>
    <x v="0"/>
    <x v="51"/>
    <x v="0"/>
    <x v="0"/>
    <x v="7"/>
    <n v="87"/>
    <n v="0.1565"/>
  </r>
  <r>
    <x v="0"/>
    <x v="51"/>
    <x v="0"/>
    <x v="0"/>
    <x v="8"/>
    <n v="82"/>
    <n v="1.61E-2"/>
  </r>
  <r>
    <x v="0"/>
    <x v="51"/>
    <x v="0"/>
    <x v="0"/>
    <x v="9"/>
    <n v="94"/>
    <n v="8.0799999999999997E-2"/>
  </r>
  <r>
    <x v="0"/>
    <x v="51"/>
    <x v="0"/>
    <x v="0"/>
    <x v="10"/>
    <n v="85"/>
    <n v="5.7599999999999998E-2"/>
  </r>
  <r>
    <x v="0"/>
    <x v="51"/>
    <x v="0"/>
    <x v="0"/>
    <x v="11"/>
    <n v="87"/>
    <n v="9.1700000000000004E-2"/>
  </r>
  <r>
    <x v="0"/>
    <x v="51"/>
    <x v="0"/>
    <x v="0"/>
    <x v="12"/>
    <n v="86"/>
    <n v="0.1145"/>
  </r>
  <r>
    <x v="0"/>
    <x v="51"/>
    <x v="0"/>
    <x v="0"/>
    <x v="13"/>
    <n v="80"/>
    <n v="4.8599999999999997E-2"/>
  </r>
  <r>
    <x v="1"/>
    <x v="52"/>
    <x v="0"/>
    <x v="0"/>
    <x v="0"/>
    <n v="98"/>
    <n v="2.1700000000000001E-2"/>
  </r>
  <r>
    <x v="1"/>
    <x v="52"/>
    <x v="0"/>
    <x v="0"/>
    <x v="2"/>
    <n v="115"/>
    <n v="4.4999999999999997E-3"/>
  </r>
  <r>
    <x v="1"/>
    <x v="52"/>
    <x v="0"/>
    <x v="0"/>
    <x v="3"/>
    <n v="94"/>
    <n v="2.8999999999999998E-3"/>
  </r>
  <r>
    <x v="1"/>
    <x v="52"/>
    <x v="0"/>
    <x v="0"/>
    <x v="4"/>
    <n v="101"/>
    <n v="1.32E-2"/>
  </r>
  <r>
    <x v="1"/>
    <x v="52"/>
    <x v="0"/>
    <x v="0"/>
    <x v="5"/>
    <n v="109"/>
    <n v="4.7000000000000002E-3"/>
  </r>
  <r>
    <x v="1"/>
    <x v="52"/>
    <x v="0"/>
    <x v="0"/>
    <x v="6"/>
    <n v="99"/>
    <n v="4.7999999999999996E-3"/>
  </r>
  <r>
    <x v="1"/>
    <x v="52"/>
    <x v="0"/>
    <x v="0"/>
    <x v="7"/>
    <n v="87"/>
    <n v="5.7999999999999996E-3"/>
  </r>
  <r>
    <x v="1"/>
    <x v="52"/>
    <x v="0"/>
    <x v="0"/>
    <x v="8"/>
    <n v="62"/>
    <n v="1.8E-3"/>
  </r>
  <r>
    <x v="1"/>
    <x v="52"/>
    <x v="0"/>
    <x v="0"/>
    <x v="9"/>
    <n v="86"/>
    <n v="2.0999999999999999E-3"/>
  </r>
  <r>
    <x v="1"/>
    <x v="52"/>
    <x v="0"/>
    <x v="0"/>
    <x v="10"/>
    <n v="140"/>
    <n v="4.7999999999999996E-3"/>
  </r>
  <r>
    <x v="1"/>
    <x v="52"/>
    <x v="0"/>
    <x v="0"/>
    <x v="11"/>
    <n v="128"/>
    <n v="5.1000000000000004E-3"/>
  </r>
  <r>
    <x v="1"/>
    <x v="52"/>
    <x v="0"/>
    <x v="0"/>
    <x v="12"/>
    <n v="98"/>
    <n v="5.8999999999999999E-3"/>
  </r>
  <r>
    <x v="1"/>
    <x v="52"/>
    <x v="0"/>
    <x v="0"/>
    <x v="13"/>
    <n v="61"/>
    <n v="2.8999999999999998E-3"/>
  </r>
  <r>
    <x v="1"/>
    <x v="53"/>
    <x v="0"/>
    <x v="0"/>
    <x v="0"/>
    <n v="98"/>
    <n v="9.4200000000000006E-2"/>
  </r>
  <r>
    <x v="1"/>
    <x v="53"/>
    <x v="0"/>
    <x v="0"/>
    <x v="1"/>
    <n v="110"/>
    <n v="1.2500000000000001E-2"/>
  </r>
  <r>
    <x v="1"/>
    <x v="53"/>
    <x v="0"/>
    <x v="0"/>
    <x v="2"/>
    <n v="105"/>
    <n v="3.5000000000000003E-2"/>
  </r>
  <r>
    <x v="1"/>
    <x v="53"/>
    <x v="0"/>
    <x v="0"/>
    <x v="3"/>
    <n v="95"/>
    <n v="2.52E-2"/>
  </r>
  <r>
    <x v="1"/>
    <x v="53"/>
    <x v="0"/>
    <x v="0"/>
    <x v="4"/>
    <n v="91"/>
    <n v="5.8200000000000002E-2"/>
  </r>
  <r>
    <x v="1"/>
    <x v="53"/>
    <x v="0"/>
    <x v="0"/>
    <x v="5"/>
    <n v="100"/>
    <n v="1.83E-2"/>
  </r>
  <r>
    <x v="1"/>
    <x v="53"/>
    <x v="0"/>
    <x v="0"/>
    <x v="6"/>
    <n v="99"/>
    <n v="2.1299999999999999E-2"/>
  </r>
  <r>
    <x v="1"/>
    <x v="53"/>
    <x v="0"/>
    <x v="0"/>
    <x v="7"/>
    <n v="100"/>
    <n v="4.2000000000000003E-2"/>
  </r>
  <r>
    <x v="1"/>
    <x v="53"/>
    <x v="0"/>
    <x v="0"/>
    <x v="8"/>
    <n v="109"/>
    <n v="1.01E-2"/>
  </r>
  <r>
    <x v="1"/>
    <x v="53"/>
    <x v="0"/>
    <x v="0"/>
    <x v="9"/>
    <n v="98"/>
    <n v="1.9900000000000001E-2"/>
  </r>
  <r>
    <x v="1"/>
    <x v="53"/>
    <x v="0"/>
    <x v="0"/>
    <x v="10"/>
    <n v="99"/>
    <n v="2.0299999999999999E-2"/>
  </r>
  <r>
    <x v="1"/>
    <x v="53"/>
    <x v="0"/>
    <x v="0"/>
    <x v="11"/>
    <n v="91"/>
    <n v="2.5999999999999999E-2"/>
  </r>
  <r>
    <x v="1"/>
    <x v="53"/>
    <x v="0"/>
    <x v="0"/>
    <x v="12"/>
    <n v="89"/>
    <n v="2.8799999999999999E-2"/>
  </r>
  <r>
    <x v="1"/>
    <x v="53"/>
    <x v="0"/>
    <x v="0"/>
    <x v="13"/>
    <n v="110"/>
    <n v="2.0299999999999999E-2"/>
  </r>
  <r>
    <x v="1"/>
    <x v="54"/>
    <x v="0"/>
    <x v="0"/>
    <x v="0"/>
    <n v="110"/>
    <n v="3.39E-2"/>
  </r>
  <r>
    <x v="1"/>
    <x v="54"/>
    <x v="0"/>
    <x v="0"/>
    <x v="1"/>
    <n v="100"/>
    <n v="5.1999999999999998E-3"/>
  </r>
  <r>
    <x v="1"/>
    <x v="54"/>
    <x v="0"/>
    <x v="0"/>
    <x v="2"/>
    <n v="104"/>
    <n v="1.34E-2"/>
  </r>
  <r>
    <x v="1"/>
    <x v="54"/>
    <x v="0"/>
    <x v="0"/>
    <x v="3"/>
    <n v="102"/>
    <n v="9.5999999999999992E-3"/>
  </r>
  <r>
    <x v="1"/>
    <x v="54"/>
    <x v="0"/>
    <x v="0"/>
    <x v="4"/>
    <n v="119"/>
    <n v="2.0500000000000001E-2"/>
  </r>
  <r>
    <x v="1"/>
    <x v="54"/>
    <x v="0"/>
    <x v="0"/>
    <x v="5"/>
    <n v="107"/>
    <n v="6.7000000000000002E-3"/>
  </r>
  <r>
    <x v="1"/>
    <x v="54"/>
    <x v="0"/>
    <x v="0"/>
    <x v="6"/>
    <n v="97"/>
    <n v="7.6E-3"/>
  </r>
  <r>
    <x v="1"/>
    <x v="54"/>
    <x v="0"/>
    <x v="0"/>
    <x v="7"/>
    <n v="122"/>
    <n v="1.7100000000000001E-2"/>
  </r>
  <r>
    <x v="1"/>
    <x v="54"/>
    <x v="0"/>
    <x v="0"/>
    <x v="8"/>
    <n v="90"/>
    <n v="3.5999999999999999E-3"/>
  </r>
  <r>
    <x v="1"/>
    <x v="54"/>
    <x v="0"/>
    <x v="0"/>
    <x v="9"/>
    <n v="96"/>
    <n v="7.7999999999999996E-3"/>
  </r>
  <r>
    <x v="1"/>
    <x v="54"/>
    <x v="0"/>
    <x v="0"/>
    <x v="10"/>
    <n v="118"/>
    <n v="6.4000000000000003E-3"/>
  </r>
  <r>
    <x v="1"/>
    <x v="54"/>
    <x v="0"/>
    <x v="0"/>
    <x v="11"/>
    <n v="126"/>
    <n v="7.9000000000000008E-3"/>
  </r>
  <r>
    <x v="1"/>
    <x v="54"/>
    <x v="0"/>
    <x v="0"/>
    <x v="12"/>
    <n v="120"/>
    <n v="1.03E-2"/>
  </r>
  <r>
    <x v="1"/>
    <x v="54"/>
    <x v="0"/>
    <x v="0"/>
    <x v="13"/>
    <n v="88"/>
    <n v="8.3000000000000001E-3"/>
  </r>
  <r>
    <x v="1"/>
    <x v="55"/>
    <x v="0"/>
    <x v="0"/>
    <x v="0"/>
    <n v="86"/>
    <n v="0.1404"/>
  </r>
  <r>
    <x v="1"/>
    <x v="55"/>
    <x v="0"/>
    <x v="0"/>
    <x v="1"/>
    <n v="106"/>
    <n v="1.7899999999999999E-2"/>
  </r>
  <r>
    <x v="1"/>
    <x v="55"/>
    <x v="0"/>
    <x v="0"/>
    <x v="2"/>
    <n v="91"/>
    <n v="5.6599999999999998E-2"/>
  </r>
  <r>
    <x v="1"/>
    <x v="55"/>
    <x v="0"/>
    <x v="0"/>
    <x v="3"/>
    <n v="76"/>
    <n v="2.8299999999999999E-2"/>
  </r>
  <r>
    <x v="1"/>
    <x v="55"/>
    <x v="0"/>
    <x v="0"/>
    <x v="4"/>
    <n v="84"/>
    <n v="7.1599999999999997E-2"/>
  </r>
  <r>
    <x v="1"/>
    <x v="55"/>
    <x v="0"/>
    <x v="0"/>
    <x v="5"/>
    <n v="93"/>
    <n v="2.1700000000000001E-2"/>
  </r>
  <r>
    <x v="1"/>
    <x v="55"/>
    <x v="0"/>
    <x v="0"/>
    <x v="6"/>
    <n v="95"/>
    <n v="2.41E-2"/>
  </r>
  <r>
    <x v="1"/>
    <x v="55"/>
    <x v="0"/>
    <x v="0"/>
    <x v="7"/>
    <n v="83"/>
    <n v="5.2600000000000001E-2"/>
  </r>
  <r>
    <x v="1"/>
    <x v="55"/>
    <x v="0"/>
    <x v="0"/>
    <x v="8"/>
    <n v="111"/>
    <n v="1.0200000000000001E-2"/>
  </r>
  <r>
    <x v="1"/>
    <x v="55"/>
    <x v="0"/>
    <x v="0"/>
    <x v="9"/>
    <n v="77"/>
    <n v="2.2200000000000001E-2"/>
  </r>
  <r>
    <x v="1"/>
    <x v="55"/>
    <x v="0"/>
    <x v="0"/>
    <x v="10"/>
    <n v="86"/>
    <n v="2.2100000000000002E-2"/>
  </r>
  <r>
    <x v="1"/>
    <x v="55"/>
    <x v="0"/>
    <x v="0"/>
    <x v="11"/>
    <n v="82"/>
    <n v="2.58E-2"/>
  </r>
  <r>
    <x v="1"/>
    <x v="55"/>
    <x v="0"/>
    <x v="0"/>
    <x v="12"/>
    <n v="83"/>
    <n v="3.1099999999999999E-2"/>
  </r>
  <r>
    <x v="1"/>
    <x v="55"/>
    <x v="0"/>
    <x v="0"/>
    <x v="13"/>
    <n v="108"/>
    <n v="2.7900000000000001E-2"/>
  </r>
  <r>
    <x v="1"/>
    <x v="56"/>
    <x v="0"/>
    <x v="0"/>
    <x v="0"/>
    <n v="103"/>
    <n v="0.14230000000000001"/>
  </r>
  <r>
    <x v="1"/>
    <x v="56"/>
    <x v="0"/>
    <x v="0"/>
    <x v="1"/>
    <n v="97"/>
    <n v="1.5100000000000001E-2"/>
  </r>
  <r>
    <x v="1"/>
    <x v="56"/>
    <x v="0"/>
    <x v="0"/>
    <x v="2"/>
    <n v="110"/>
    <n v="5.3499999999999999E-2"/>
  </r>
  <r>
    <x v="1"/>
    <x v="56"/>
    <x v="0"/>
    <x v="0"/>
    <x v="3"/>
    <n v="104"/>
    <n v="4.2599999999999999E-2"/>
  </r>
  <r>
    <x v="1"/>
    <x v="56"/>
    <x v="0"/>
    <x v="0"/>
    <x v="4"/>
    <n v="101"/>
    <n v="9.2799999999999994E-2"/>
  </r>
  <r>
    <x v="1"/>
    <x v="56"/>
    <x v="0"/>
    <x v="0"/>
    <x v="5"/>
    <n v="100"/>
    <n v="2.6100000000000002E-2"/>
  </r>
  <r>
    <x v="1"/>
    <x v="56"/>
    <x v="0"/>
    <x v="0"/>
    <x v="6"/>
    <n v="96"/>
    <n v="2.6700000000000002E-2"/>
  </r>
  <r>
    <x v="1"/>
    <x v="56"/>
    <x v="0"/>
    <x v="0"/>
    <x v="7"/>
    <n v="102"/>
    <n v="6.4000000000000001E-2"/>
  </r>
  <r>
    <x v="1"/>
    <x v="56"/>
    <x v="0"/>
    <x v="0"/>
    <x v="8"/>
    <n v="112"/>
    <n v="9.4999999999999998E-3"/>
  </r>
  <r>
    <x v="1"/>
    <x v="56"/>
    <x v="0"/>
    <x v="0"/>
    <x v="9"/>
    <n v="103"/>
    <n v="3.2899999999999999E-2"/>
  </r>
  <r>
    <x v="1"/>
    <x v="56"/>
    <x v="0"/>
    <x v="0"/>
    <x v="10"/>
    <n v="105"/>
    <n v="2.9100000000000001E-2"/>
  </r>
  <r>
    <x v="1"/>
    <x v="56"/>
    <x v="0"/>
    <x v="0"/>
    <x v="11"/>
    <n v="104"/>
    <n v="4.1200000000000001E-2"/>
  </r>
  <r>
    <x v="1"/>
    <x v="56"/>
    <x v="0"/>
    <x v="0"/>
    <x v="12"/>
    <n v="104"/>
    <n v="4.8000000000000001E-2"/>
  </r>
  <r>
    <x v="1"/>
    <x v="56"/>
    <x v="0"/>
    <x v="0"/>
    <x v="13"/>
    <n v="111"/>
    <n v="2.75E-2"/>
  </r>
  <r>
    <x v="0"/>
    <x v="57"/>
    <x v="0"/>
    <x v="0"/>
    <x v="0"/>
    <n v="23"/>
    <n v="1.55E-2"/>
  </r>
  <r>
    <x v="0"/>
    <x v="57"/>
    <x v="0"/>
    <x v="0"/>
    <x v="2"/>
    <n v="19"/>
    <n v="3.7000000000000002E-3"/>
  </r>
  <r>
    <x v="0"/>
    <x v="57"/>
    <x v="0"/>
    <x v="0"/>
    <x v="3"/>
    <n v="12"/>
    <n v="2.0999999999999999E-3"/>
  </r>
  <r>
    <x v="0"/>
    <x v="57"/>
    <x v="0"/>
    <x v="0"/>
    <x v="4"/>
    <n v="20"/>
    <n v="7.4999999999999997E-3"/>
  </r>
  <r>
    <x v="0"/>
    <x v="57"/>
    <x v="0"/>
    <x v="0"/>
    <x v="7"/>
    <n v="22"/>
    <n v="4.3E-3"/>
  </r>
  <r>
    <x v="0"/>
    <x v="57"/>
    <x v="0"/>
    <x v="0"/>
    <x v="9"/>
    <n v="12"/>
    <n v="1.6000000000000001E-3"/>
  </r>
  <r>
    <x v="0"/>
    <x v="57"/>
    <x v="0"/>
    <x v="0"/>
    <x v="11"/>
    <n v="11"/>
    <n v="1.5E-3"/>
  </r>
  <r>
    <x v="0"/>
    <x v="57"/>
    <x v="0"/>
    <x v="0"/>
    <x v="12"/>
    <n v="17"/>
    <n v="1.8E-3"/>
  </r>
  <r>
    <x v="0"/>
    <x v="57"/>
    <x v="0"/>
    <x v="0"/>
    <x v="13"/>
    <n v="26"/>
    <n v="1.6999999999999999E-3"/>
  </r>
  <r>
    <x v="0"/>
    <x v="58"/>
    <x v="0"/>
    <x v="0"/>
    <x v="0"/>
    <n v="102"/>
    <n v="0.2394"/>
  </r>
  <r>
    <x v="0"/>
    <x v="58"/>
    <x v="0"/>
    <x v="0"/>
    <x v="1"/>
    <n v="101"/>
    <n v="3.1399999999999997E-2"/>
  </r>
  <r>
    <x v="0"/>
    <x v="58"/>
    <x v="0"/>
    <x v="0"/>
    <x v="2"/>
    <n v="110"/>
    <n v="0.1032"/>
  </r>
  <r>
    <x v="0"/>
    <x v="58"/>
    <x v="0"/>
    <x v="0"/>
    <x v="3"/>
    <n v="106"/>
    <n v="0.1031"/>
  </r>
  <r>
    <x v="0"/>
    <x v="58"/>
    <x v="0"/>
    <x v="0"/>
    <x v="4"/>
    <n v="95"/>
    <n v="0.15959999999999999"/>
  </r>
  <r>
    <x v="0"/>
    <x v="58"/>
    <x v="0"/>
    <x v="0"/>
    <x v="5"/>
    <n v="98"/>
    <n v="3.9699999999999999E-2"/>
  </r>
  <r>
    <x v="0"/>
    <x v="58"/>
    <x v="0"/>
    <x v="0"/>
    <x v="6"/>
    <n v="104"/>
    <n v="4.2000000000000003E-2"/>
  </r>
  <r>
    <x v="0"/>
    <x v="58"/>
    <x v="0"/>
    <x v="0"/>
    <x v="7"/>
    <n v="102"/>
    <n v="0.1608"/>
  </r>
  <r>
    <x v="0"/>
    <x v="58"/>
    <x v="0"/>
    <x v="0"/>
    <x v="8"/>
    <n v="109"/>
    <n v="2.1499999999999998E-2"/>
  </r>
  <r>
    <x v="0"/>
    <x v="58"/>
    <x v="0"/>
    <x v="0"/>
    <x v="9"/>
    <n v="108"/>
    <n v="8.8499999999999995E-2"/>
  </r>
  <r>
    <x v="0"/>
    <x v="58"/>
    <x v="0"/>
    <x v="0"/>
    <x v="10"/>
    <n v="95"/>
    <n v="5.2600000000000001E-2"/>
  </r>
  <r>
    <x v="0"/>
    <x v="58"/>
    <x v="0"/>
    <x v="0"/>
    <x v="11"/>
    <n v="94"/>
    <n v="6.9599999999999995E-2"/>
  </r>
  <r>
    <x v="0"/>
    <x v="58"/>
    <x v="0"/>
    <x v="0"/>
    <x v="12"/>
    <n v="94"/>
    <n v="8.5099999999999995E-2"/>
  </r>
  <r>
    <x v="0"/>
    <x v="58"/>
    <x v="0"/>
    <x v="0"/>
    <x v="13"/>
    <n v="101"/>
    <n v="5.1499999999999997E-2"/>
  </r>
  <r>
    <x v="1"/>
    <x v="59"/>
    <x v="0"/>
    <x v="0"/>
    <x v="0"/>
    <n v="113"/>
    <n v="2.7199999999999998E-2"/>
  </r>
  <r>
    <x v="1"/>
    <x v="59"/>
    <x v="0"/>
    <x v="0"/>
    <x v="1"/>
    <n v="103"/>
    <n v="4.1000000000000003E-3"/>
  </r>
  <r>
    <x v="1"/>
    <x v="59"/>
    <x v="0"/>
    <x v="0"/>
    <x v="2"/>
    <n v="110"/>
    <n v="1.0200000000000001E-2"/>
  </r>
  <r>
    <x v="1"/>
    <x v="59"/>
    <x v="0"/>
    <x v="0"/>
    <x v="3"/>
    <n v="111"/>
    <n v="9.1999999999999998E-3"/>
  </r>
  <r>
    <x v="1"/>
    <x v="59"/>
    <x v="0"/>
    <x v="0"/>
    <x v="4"/>
    <n v="123"/>
    <n v="1.7500000000000002E-2"/>
  </r>
  <r>
    <x v="1"/>
    <x v="59"/>
    <x v="0"/>
    <x v="0"/>
    <x v="5"/>
    <n v="107"/>
    <n v="6.1000000000000004E-3"/>
  </r>
  <r>
    <x v="1"/>
    <x v="59"/>
    <x v="0"/>
    <x v="0"/>
    <x v="6"/>
    <n v="100"/>
    <n v="6.3E-3"/>
  </r>
  <r>
    <x v="1"/>
    <x v="59"/>
    <x v="0"/>
    <x v="0"/>
    <x v="7"/>
    <n v="117"/>
    <n v="1.2999999999999999E-2"/>
  </r>
  <r>
    <x v="1"/>
    <x v="59"/>
    <x v="0"/>
    <x v="0"/>
    <x v="8"/>
    <n v="107"/>
    <n v="3.5999999999999999E-3"/>
  </r>
  <r>
    <x v="1"/>
    <x v="59"/>
    <x v="0"/>
    <x v="0"/>
    <x v="9"/>
    <n v="114"/>
    <n v="7.4000000000000003E-3"/>
  </r>
  <r>
    <x v="1"/>
    <x v="59"/>
    <x v="0"/>
    <x v="0"/>
    <x v="10"/>
    <n v="120"/>
    <n v="7.3000000000000001E-3"/>
  </r>
  <r>
    <x v="1"/>
    <x v="59"/>
    <x v="0"/>
    <x v="0"/>
    <x v="11"/>
    <n v="126"/>
    <n v="9.4000000000000004E-3"/>
  </r>
  <r>
    <x v="1"/>
    <x v="59"/>
    <x v="0"/>
    <x v="0"/>
    <x v="12"/>
    <n v="129"/>
    <n v="9.7999999999999997E-3"/>
  </r>
  <r>
    <x v="1"/>
    <x v="59"/>
    <x v="0"/>
    <x v="0"/>
    <x v="13"/>
    <n v="104"/>
    <n v="6.7999999999999996E-3"/>
  </r>
  <r>
    <x v="1"/>
    <x v="60"/>
    <x v="0"/>
    <x v="0"/>
    <x v="0"/>
    <n v="114"/>
    <n v="0.19400000000000001"/>
  </r>
  <r>
    <x v="1"/>
    <x v="60"/>
    <x v="0"/>
    <x v="0"/>
    <x v="1"/>
    <n v="121"/>
    <n v="3.09E-2"/>
  </r>
  <r>
    <x v="1"/>
    <x v="60"/>
    <x v="0"/>
    <x v="0"/>
    <x v="2"/>
    <n v="122"/>
    <n v="9.06E-2"/>
  </r>
  <r>
    <x v="1"/>
    <x v="60"/>
    <x v="0"/>
    <x v="0"/>
    <x v="3"/>
    <n v="117"/>
    <n v="7.4300000000000005E-2"/>
  </r>
  <r>
    <x v="1"/>
    <x v="60"/>
    <x v="0"/>
    <x v="0"/>
    <x v="4"/>
    <n v="112"/>
    <n v="0.13070000000000001"/>
  </r>
  <r>
    <x v="1"/>
    <x v="60"/>
    <x v="0"/>
    <x v="0"/>
    <x v="5"/>
    <n v="102"/>
    <n v="5.3400000000000003E-2"/>
  </r>
  <r>
    <x v="1"/>
    <x v="60"/>
    <x v="0"/>
    <x v="0"/>
    <x v="6"/>
    <n v="100"/>
    <n v="5.2600000000000001E-2"/>
  </r>
  <r>
    <x v="1"/>
    <x v="60"/>
    <x v="0"/>
    <x v="0"/>
    <x v="7"/>
    <n v="116"/>
    <n v="0.1003"/>
  </r>
  <r>
    <x v="1"/>
    <x v="60"/>
    <x v="0"/>
    <x v="0"/>
    <x v="8"/>
    <n v="109"/>
    <n v="2.47E-2"/>
  </r>
  <r>
    <x v="1"/>
    <x v="60"/>
    <x v="0"/>
    <x v="0"/>
    <x v="9"/>
    <n v="117"/>
    <n v="6.1800000000000001E-2"/>
  </r>
  <r>
    <x v="1"/>
    <x v="60"/>
    <x v="0"/>
    <x v="0"/>
    <x v="10"/>
    <n v="112"/>
    <n v="6.0299999999999999E-2"/>
  </r>
  <r>
    <x v="1"/>
    <x v="60"/>
    <x v="0"/>
    <x v="0"/>
    <x v="11"/>
    <n v="113"/>
    <n v="7.1400000000000005E-2"/>
  </r>
  <r>
    <x v="1"/>
    <x v="60"/>
    <x v="0"/>
    <x v="0"/>
    <x v="12"/>
    <n v="110"/>
    <n v="7.4300000000000005E-2"/>
  </r>
  <r>
    <x v="1"/>
    <x v="60"/>
    <x v="0"/>
    <x v="0"/>
    <x v="13"/>
    <n v="118"/>
    <n v="4.2500000000000003E-2"/>
  </r>
  <r>
    <x v="0"/>
    <x v="61"/>
    <x v="0"/>
    <x v="0"/>
    <x v="0"/>
    <n v="111"/>
    <n v="0.33289999999999997"/>
  </r>
  <r>
    <x v="0"/>
    <x v="61"/>
    <x v="0"/>
    <x v="0"/>
    <x v="1"/>
    <n v="107"/>
    <n v="5.3600000000000002E-2"/>
  </r>
  <r>
    <x v="0"/>
    <x v="61"/>
    <x v="0"/>
    <x v="0"/>
    <x v="2"/>
    <n v="108"/>
    <n v="0.15079999999999999"/>
  </r>
  <r>
    <x v="0"/>
    <x v="61"/>
    <x v="0"/>
    <x v="0"/>
    <x v="3"/>
    <n v="113"/>
    <n v="0.13569999999999999"/>
  </r>
  <r>
    <x v="0"/>
    <x v="61"/>
    <x v="0"/>
    <x v="0"/>
    <x v="4"/>
    <n v="118"/>
    <n v="0.25480000000000003"/>
  </r>
  <r>
    <x v="0"/>
    <x v="61"/>
    <x v="0"/>
    <x v="0"/>
    <x v="5"/>
    <n v="99"/>
    <n v="8.9200000000000002E-2"/>
  </r>
  <r>
    <x v="0"/>
    <x v="61"/>
    <x v="0"/>
    <x v="0"/>
    <x v="6"/>
    <n v="97"/>
    <n v="9.1300000000000006E-2"/>
  </r>
  <r>
    <x v="0"/>
    <x v="61"/>
    <x v="0"/>
    <x v="0"/>
    <x v="7"/>
    <n v="112"/>
    <n v="0.20649999999999999"/>
  </r>
  <r>
    <x v="0"/>
    <x v="61"/>
    <x v="0"/>
    <x v="0"/>
    <x v="8"/>
    <n v="104"/>
    <n v="4.5900000000000003E-2"/>
  </r>
  <r>
    <x v="0"/>
    <x v="61"/>
    <x v="0"/>
    <x v="0"/>
    <x v="9"/>
    <n v="113"/>
    <n v="0.11260000000000001"/>
  </r>
  <r>
    <x v="0"/>
    <x v="61"/>
    <x v="0"/>
    <x v="0"/>
    <x v="10"/>
    <n v="109"/>
    <n v="0.1178"/>
  </r>
  <r>
    <x v="0"/>
    <x v="61"/>
    <x v="0"/>
    <x v="0"/>
    <x v="11"/>
    <n v="113"/>
    <n v="0.1613"/>
  </r>
  <r>
    <x v="0"/>
    <x v="61"/>
    <x v="0"/>
    <x v="0"/>
    <x v="12"/>
    <n v="120"/>
    <n v="0.1739"/>
  </r>
  <r>
    <x v="0"/>
    <x v="61"/>
    <x v="0"/>
    <x v="0"/>
    <x v="13"/>
    <n v="106"/>
    <n v="9.1700000000000004E-2"/>
  </r>
  <r>
    <x v="1"/>
    <x v="62"/>
    <x v="0"/>
    <x v="0"/>
    <x v="0"/>
    <n v="132"/>
    <n v="6.1000000000000004E-3"/>
  </r>
  <r>
    <x v="1"/>
    <x v="62"/>
    <x v="0"/>
    <x v="0"/>
    <x v="2"/>
    <n v="98"/>
    <n v="2.5000000000000001E-3"/>
  </r>
  <r>
    <x v="1"/>
    <x v="62"/>
    <x v="0"/>
    <x v="0"/>
    <x v="3"/>
    <n v="114"/>
    <n v="1.8E-3"/>
  </r>
  <r>
    <x v="1"/>
    <x v="62"/>
    <x v="0"/>
    <x v="0"/>
    <x v="4"/>
    <n v="145"/>
    <n v="3.5000000000000001E-3"/>
  </r>
  <r>
    <x v="1"/>
    <x v="62"/>
    <x v="0"/>
    <x v="0"/>
    <x v="7"/>
    <n v="111"/>
    <n v="3.0999999999999999E-3"/>
  </r>
  <r>
    <x v="1"/>
    <x v="62"/>
    <x v="0"/>
    <x v="0"/>
    <x v="9"/>
    <n v="107"/>
    <n v="1.5E-3"/>
  </r>
  <r>
    <x v="1"/>
    <x v="62"/>
    <x v="0"/>
    <x v="0"/>
    <x v="11"/>
    <n v="130"/>
    <n v="1.6000000000000001E-3"/>
  </r>
  <r>
    <x v="1"/>
    <x v="62"/>
    <x v="0"/>
    <x v="0"/>
    <x v="12"/>
    <n v="142"/>
    <n v="1.9E-3"/>
  </r>
  <r>
    <x v="1"/>
    <x v="62"/>
    <x v="0"/>
    <x v="0"/>
    <x v="13"/>
    <n v="149"/>
    <n v="1.6000000000000001E-3"/>
  </r>
  <r>
    <x v="1"/>
    <x v="63"/>
    <x v="0"/>
    <x v="0"/>
    <x v="0"/>
    <n v="117"/>
    <n v="0.23480000000000001"/>
  </r>
  <r>
    <x v="1"/>
    <x v="63"/>
    <x v="0"/>
    <x v="0"/>
    <x v="1"/>
    <n v="112"/>
    <n v="4.53E-2"/>
  </r>
  <r>
    <x v="1"/>
    <x v="63"/>
    <x v="0"/>
    <x v="0"/>
    <x v="2"/>
    <n v="120"/>
    <n v="0.1095"/>
  </r>
  <r>
    <x v="1"/>
    <x v="63"/>
    <x v="0"/>
    <x v="0"/>
    <x v="3"/>
    <n v="116"/>
    <n v="9.5899999999999999E-2"/>
  </r>
  <r>
    <x v="1"/>
    <x v="63"/>
    <x v="0"/>
    <x v="0"/>
    <x v="4"/>
    <n v="122"/>
    <n v="0.1658"/>
  </r>
  <r>
    <x v="1"/>
    <x v="63"/>
    <x v="0"/>
    <x v="0"/>
    <x v="5"/>
    <n v="113"/>
    <n v="6.0400000000000002E-2"/>
  </r>
  <r>
    <x v="1"/>
    <x v="63"/>
    <x v="0"/>
    <x v="0"/>
    <x v="6"/>
    <n v="108"/>
    <n v="6.5299999999999997E-2"/>
  </r>
  <r>
    <x v="1"/>
    <x v="63"/>
    <x v="0"/>
    <x v="0"/>
    <x v="7"/>
    <n v="116"/>
    <n v="0.13950000000000001"/>
  </r>
  <r>
    <x v="1"/>
    <x v="63"/>
    <x v="0"/>
    <x v="0"/>
    <x v="8"/>
    <n v="106"/>
    <n v="3.6600000000000001E-2"/>
  </r>
  <r>
    <x v="1"/>
    <x v="63"/>
    <x v="0"/>
    <x v="0"/>
    <x v="9"/>
    <n v="116"/>
    <n v="7.8700000000000006E-2"/>
  </r>
  <r>
    <x v="1"/>
    <x v="63"/>
    <x v="0"/>
    <x v="0"/>
    <x v="10"/>
    <n v="121"/>
    <n v="6.8599999999999994E-2"/>
  </r>
  <r>
    <x v="1"/>
    <x v="63"/>
    <x v="0"/>
    <x v="0"/>
    <x v="11"/>
    <n v="125"/>
    <n v="9.1899999999999996E-2"/>
  </r>
  <r>
    <x v="1"/>
    <x v="63"/>
    <x v="0"/>
    <x v="0"/>
    <x v="12"/>
    <n v="123"/>
    <n v="0.1018"/>
  </r>
  <r>
    <x v="1"/>
    <x v="63"/>
    <x v="0"/>
    <x v="0"/>
    <x v="13"/>
    <n v="109"/>
    <n v="6.9000000000000006E-2"/>
  </r>
  <r>
    <x v="0"/>
    <x v="64"/>
    <x v="0"/>
    <x v="0"/>
    <x v="0"/>
    <n v="102"/>
    <n v="0.2732"/>
  </r>
  <r>
    <x v="0"/>
    <x v="64"/>
    <x v="0"/>
    <x v="0"/>
    <x v="1"/>
    <n v="101"/>
    <n v="4.9000000000000002E-2"/>
  </r>
  <r>
    <x v="0"/>
    <x v="64"/>
    <x v="0"/>
    <x v="0"/>
    <x v="2"/>
    <n v="103"/>
    <n v="0.1124"/>
  </r>
  <r>
    <x v="0"/>
    <x v="64"/>
    <x v="0"/>
    <x v="0"/>
    <x v="3"/>
    <n v="100"/>
    <n v="8.2900000000000001E-2"/>
  </r>
  <r>
    <x v="0"/>
    <x v="64"/>
    <x v="0"/>
    <x v="0"/>
    <x v="4"/>
    <n v="103"/>
    <n v="0.16950000000000001"/>
  </r>
  <r>
    <x v="0"/>
    <x v="64"/>
    <x v="0"/>
    <x v="0"/>
    <x v="5"/>
    <n v="104"/>
    <n v="5.6899999999999999E-2"/>
  </r>
  <r>
    <x v="0"/>
    <x v="64"/>
    <x v="0"/>
    <x v="0"/>
    <x v="6"/>
    <n v="99"/>
    <n v="6.4899999999999999E-2"/>
  </r>
  <r>
    <x v="0"/>
    <x v="64"/>
    <x v="0"/>
    <x v="0"/>
    <x v="7"/>
    <n v="104"/>
    <n v="0.1351"/>
  </r>
  <r>
    <x v="0"/>
    <x v="64"/>
    <x v="0"/>
    <x v="0"/>
    <x v="8"/>
    <n v="100"/>
    <n v="3.6400000000000002E-2"/>
  </r>
  <r>
    <x v="0"/>
    <x v="64"/>
    <x v="0"/>
    <x v="0"/>
    <x v="9"/>
    <n v="100"/>
    <n v="6.5100000000000005E-2"/>
  </r>
  <r>
    <x v="0"/>
    <x v="64"/>
    <x v="0"/>
    <x v="0"/>
    <x v="10"/>
    <n v="104"/>
    <n v="6.0499999999999998E-2"/>
  </r>
  <r>
    <x v="0"/>
    <x v="64"/>
    <x v="0"/>
    <x v="0"/>
    <x v="11"/>
    <n v="101"/>
    <n v="7.3999999999999996E-2"/>
  </r>
  <r>
    <x v="0"/>
    <x v="64"/>
    <x v="0"/>
    <x v="0"/>
    <x v="12"/>
    <n v="102"/>
    <n v="8.1799999999999998E-2"/>
  </r>
  <r>
    <x v="0"/>
    <x v="64"/>
    <x v="0"/>
    <x v="0"/>
    <x v="13"/>
    <n v="101"/>
    <n v="7.5899999999999995E-2"/>
  </r>
  <r>
    <x v="0"/>
    <x v="65"/>
    <x v="0"/>
    <x v="0"/>
    <x v="0"/>
    <n v="102"/>
    <n v="0.42659999999999998"/>
  </r>
  <r>
    <x v="0"/>
    <x v="65"/>
    <x v="0"/>
    <x v="0"/>
    <x v="1"/>
    <n v="99"/>
    <n v="8.3400000000000002E-2"/>
  </r>
  <r>
    <x v="0"/>
    <x v="65"/>
    <x v="0"/>
    <x v="0"/>
    <x v="2"/>
    <n v="107"/>
    <n v="0.2127"/>
  </r>
  <r>
    <x v="0"/>
    <x v="65"/>
    <x v="0"/>
    <x v="0"/>
    <x v="3"/>
    <n v="105"/>
    <n v="0.19639999999999999"/>
  </r>
  <r>
    <x v="0"/>
    <x v="65"/>
    <x v="0"/>
    <x v="0"/>
    <x v="4"/>
    <n v="102"/>
    <n v="0.33739999999999998"/>
  </r>
  <r>
    <x v="0"/>
    <x v="65"/>
    <x v="0"/>
    <x v="0"/>
    <x v="5"/>
    <n v="97"/>
    <n v="0.12820000000000001"/>
  </r>
  <r>
    <x v="0"/>
    <x v="65"/>
    <x v="0"/>
    <x v="0"/>
    <x v="6"/>
    <n v="95"/>
    <n v="0.12280000000000001"/>
  </r>
  <r>
    <x v="0"/>
    <x v="65"/>
    <x v="0"/>
    <x v="0"/>
    <x v="7"/>
    <n v="100"/>
    <n v="0.27689999999999998"/>
  </r>
  <r>
    <x v="0"/>
    <x v="65"/>
    <x v="0"/>
    <x v="0"/>
    <x v="8"/>
    <n v="98"/>
    <n v="6.2899999999999998E-2"/>
  </r>
  <r>
    <x v="0"/>
    <x v="65"/>
    <x v="0"/>
    <x v="0"/>
    <x v="9"/>
    <n v="107"/>
    <n v="0.16350000000000001"/>
  </r>
  <r>
    <x v="0"/>
    <x v="65"/>
    <x v="0"/>
    <x v="0"/>
    <x v="10"/>
    <n v="97"/>
    <n v="0.1613"/>
  </r>
  <r>
    <x v="0"/>
    <x v="65"/>
    <x v="0"/>
    <x v="0"/>
    <x v="11"/>
    <n v="99"/>
    <n v="0.21460000000000001"/>
  </r>
  <r>
    <x v="0"/>
    <x v="65"/>
    <x v="0"/>
    <x v="0"/>
    <x v="12"/>
    <n v="103"/>
    <n v="0.2397"/>
  </r>
  <r>
    <x v="0"/>
    <x v="65"/>
    <x v="0"/>
    <x v="0"/>
    <x v="13"/>
    <n v="99"/>
    <n v="0.12820000000000001"/>
  </r>
  <r>
    <x v="1"/>
    <x v="66"/>
    <x v="0"/>
    <x v="0"/>
    <x v="0"/>
    <n v="101"/>
    <n v="0.16639999999999999"/>
  </r>
  <r>
    <x v="1"/>
    <x v="66"/>
    <x v="0"/>
    <x v="0"/>
    <x v="1"/>
    <n v="105"/>
    <n v="2.3900000000000001E-2"/>
  </r>
  <r>
    <x v="1"/>
    <x v="66"/>
    <x v="0"/>
    <x v="0"/>
    <x v="2"/>
    <n v="105"/>
    <n v="5.8999999999999997E-2"/>
  </r>
  <r>
    <x v="1"/>
    <x v="66"/>
    <x v="0"/>
    <x v="0"/>
    <x v="3"/>
    <n v="106"/>
    <n v="4.9399999999999999E-2"/>
  </r>
  <r>
    <x v="1"/>
    <x v="66"/>
    <x v="0"/>
    <x v="0"/>
    <x v="4"/>
    <n v="101"/>
    <n v="0.1085"/>
  </r>
  <r>
    <x v="1"/>
    <x v="66"/>
    <x v="0"/>
    <x v="0"/>
    <x v="5"/>
    <n v="102"/>
    <n v="3.85E-2"/>
  </r>
  <r>
    <x v="1"/>
    <x v="66"/>
    <x v="0"/>
    <x v="0"/>
    <x v="6"/>
    <n v="101"/>
    <n v="4.07E-2"/>
  </r>
  <r>
    <x v="1"/>
    <x v="66"/>
    <x v="0"/>
    <x v="0"/>
    <x v="7"/>
    <n v="95"/>
    <n v="7.9899999999999999E-2"/>
  </r>
  <r>
    <x v="1"/>
    <x v="66"/>
    <x v="0"/>
    <x v="0"/>
    <x v="8"/>
    <n v="100"/>
    <n v="1.9400000000000001E-2"/>
  </r>
  <r>
    <x v="1"/>
    <x v="66"/>
    <x v="0"/>
    <x v="0"/>
    <x v="9"/>
    <n v="104"/>
    <n v="3.8399999999999997E-2"/>
  </r>
  <r>
    <x v="1"/>
    <x v="66"/>
    <x v="0"/>
    <x v="0"/>
    <x v="10"/>
    <n v="104"/>
    <n v="4.4999999999999998E-2"/>
  </r>
  <r>
    <x v="1"/>
    <x v="66"/>
    <x v="0"/>
    <x v="0"/>
    <x v="11"/>
    <n v="100"/>
    <n v="5.3499999999999999E-2"/>
  </r>
  <r>
    <x v="1"/>
    <x v="66"/>
    <x v="0"/>
    <x v="0"/>
    <x v="12"/>
    <n v="100"/>
    <n v="6.0199999999999997E-2"/>
  </r>
  <r>
    <x v="1"/>
    <x v="66"/>
    <x v="0"/>
    <x v="0"/>
    <x v="13"/>
    <n v="102"/>
    <n v="0.04"/>
  </r>
  <r>
    <x v="1"/>
    <x v="67"/>
    <x v="0"/>
    <x v="0"/>
    <x v="0"/>
    <n v="90"/>
    <n v="0.2369"/>
  </r>
  <r>
    <x v="1"/>
    <x v="67"/>
    <x v="0"/>
    <x v="0"/>
    <x v="1"/>
    <n v="90"/>
    <n v="4.5199999999999997E-2"/>
  </r>
  <r>
    <x v="1"/>
    <x v="67"/>
    <x v="0"/>
    <x v="0"/>
    <x v="2"/>
    <n v="97"/>
    <n v="0.104"/>
  </r>
  <r>
    <x v="1"/>
    <x v="67"/>
    <x v="0"/>
    <x v="0"/>
    <x v="3"/>
    <n v="90"/>
    <n v="8.3900000000000002E-2"/>
  </r>
  <r>
    <x v="1"/>
    <x v="67"/>
    <x v="0"/>
    <x v="0"/>
    <x v="4"/>
    <n v="87"/>
    <n v="0.16389999999999999"/>
  </r>
  <r>
    <x v="1"/>
    <x v="67"/>
    <x v="0"/>
    <x v="0"/>
    <x v="5"/>
    <n v="92"/>
    <n v="6.2700000000000006E-2"/>
  </r>
  <r>
    <x v="1"/>
    <x v="67"/>
    <x v="0"/>
    <x v="0"/>
    <x v="6"/>
    <n v="87"/>
    <n v="6.6799999999999998E-2"/>
  </r>
  <r>
    <x v="1"/>
    <x v="67"/>
    <x v="0"/>
    <x v="0"/>
    <x v="7"/>
    <n v="91"/>
    <n v="0.12870000000000001"/>
  </r>
  <r>
    <x v="1"/>
    <x v="67"/>
    <x v="0"/>
    <x v="0"/>
    <x v="8"/>
    <n v="87"/>
    <n v="3.6499999999999998E-2"/>
  </r>
  <r>
    <x v="1"/>
    <x v="67"/>
    <x v="0"/>
    <x v="0"/>
    <x v="9"/>
    <n v="93"/>
    <n v="6.83E-2"/>
  </r>
  <r>
    <x v="1"/>
    <x v="67"/>
    <x v="0"/>
    <x v="0"/>
    <x v="10"/>
    <n v="90"/>
    <n v="6.9599999999999995E-2"/>
  </r>
  <r>
    <x v="1"/>
    <x v="67"/>
    <x v="0"/>
    <x v="0"/>
    <x v="11"/>
    <n v="88"/>
    <n v="8.4699999999999998E-2"/>
  </r>
  <r>
    <x v="1"/>
    <x v="67"/>
    <x v="0"/>
    <x v="0"/>
    <x v="12"/>
    <n v="89"/>
    <n v="9.4600000000000004E-2"/>
  </r>
  <r>
    <x v="1"/>
    <x v="67"/>
    <x v="0"/>
    <x v="0"/>
    <x v="13"/>
    <n v="89"/>
    <n v="6.7699999999999996E-2"/>
  </r>
  <r>
    <x v="1"/>
    <x v="68"/>
    <x v="0"/>
    <x v="1"/>
    <x v="0"/>
    <n v="105"/>
    <n v="0.43440000000000001"/>
  </r>
  <r>
    <x v="1"/>
    <x v="68"/>
    <x v="0"/>
    <x v="1"/>
    <x v="1"/>
    <n v="102"/>
    <n v="7.0999999999999994E-2"/>
  </r>
  <r>
    <x v="1"/>
    <x v="68"/>
    <x v="0"/>
    <x v="1"/>
    <x v="2"/>
    <n v="108"/>
    <n v="0.19789999999999999"/>
  </r>
  <r>
    <x v="1"/>
    <x v="68"/>
    <x v="0"/>
    <x v="1"/>
    <x v="3"/>
    <n v="105"/>
    <n v="0.16669999999999999"/>
  </r>
  <r>
    <x v="1"/>
    <x v="68"/>
    <x v="0"/>
    <x v="1"/>
    <x v="4"/>
    <n v="105"/>
    <n v="0.3332"/>
  </r>
  <r>
    <x v="1"/>
    <x v="68"/>
    <x v="0"/>
    <x v="1"/>
    <x v="5"/>
    <n v="99"/>
    <n v="0.1172"/>
  </r>
  <r>
    <x v="1"/>
    <x v="68"/>
    <x v="0"/>
    <x v="1"/>
    <x v="6"/>
    <n v="94"/>
    <n v="0.1119"/>
  </r>
  <r>
    <x v="1"/>
    <x v="68"/>
    <x v="0"/>
    <x v="1"/>
    <x v="7"/>
    <n v="106"/>
    <n v="0.25109999999999999"/>
  </r>
  <r>
    <x v="1"/>
    <x v="68"/>
    <x v="0"/>
    <x v="1"/>
    <x v="8"/>
    <n v="100"/>
    <n v="4.7300000000000002E-2"/>
  </r>
  <r>
    <x v="1"/>
    <x v="68"/>
    <x v="0"/>
    <x v="1"/>
    <x v="9"/>
    <n v="106"/>
    <n v="0.1358"/>
  </r>
  <r>
    <x v="1"/>
    <x v="68"/>
    <x v="0"/>
    <x v="1"/>
    <x v="10"/>
    <n v="101"/>
    <n v="0.1424"/>
  </r>
  <r>
    <x v="1"/>
    <x v="68"/>
    <x v="0"/>
    <x v="1"/>
    <x v="11"/>
    <n v="103"/>
    <n v="0.1845"/>
  </r>
  <r>
    <x v="1"/>
    <x v="68"/>
    <x v="0"/>
    <x v="1"/>
    <x v="12"/>
    <n v="105"/>
    <n v="0.20910000000000001"/>
  </r>
  <r>
    <x v="1"/>
    <x v="68"/>
    <x v="0"/>
    <x v="1"/>
    <x v="13"/>
    <n v="99"/>
    <n v="0.1143"/>
  </r>
  <r>
    <x v="0"/>
    <x v="69"/>
    <x v="0"/>
    <x v="0"/>
    <x v="0"/>
    <n v="83"/>
    <n v="5.8500000000000003E-2"/>
  </r>
  <r>
    <x v="0"/>
    <x v="69"/>
    <x v="0"/>
    <x v="0"/>
    <x v="1"/>
    <n v="71"/>
    <n v="7.9000000000000008E-3"/>
  </r>
  <r>
    <x v="0"/>
    <x v="69"/>
    <x v="0"/>
    <x v="0"/>
    <x v="2"/>
    <n v="80"/>
    <n v="2.2599999999999999E-2"/>
  </r>
  <r>
    <x v="0"/>
    <x v="69"/>
    <x v="0"/>
    <x v="0"/>
    <x v="3"/>
    <n v="88"/>
    <n v="1.8100000000000002E-2"/>
  </r>
  <r>
    <x v="0"/>
    <x v="69"/>
    <x v="0"/>
    <x v="0"/>
    <x v="4"/>
    <n v="83"/>
    <n v="3.5400000000000001E-2"/>
  </r>
  <r>
    <x v="0"/>
    <x v="69"/>
    <x v="0"/>
    <x v="0"/>
    <x v="5"/>
    <n v="84"/>
    <n v="1.3299999999999999E-2"/>
  </r>
  <r>
    <x v="0"/>
    <x v="69"/>
    <x v="0"/>
    <x v="0"/>
    <x v="6"/>
    <n v="85"/>
    <n v="1.2699999999999999E-2"/>
  </r>
  <r>
    <x v="0"/>
    <x v="69"/>
    <x v="0"/>
    <x v="0"/>
    <x v="7"/>
    <n v="83"/>
    <n v="2.8799999999999999E-2"/>
  </r>
  <r>
    <x v="0"/>
    <x v="69"/>
    <x v="0"/>
    <x v="0"/>
    <x v="8"/>
    <n v="79"/>
    <n v="5.7999999999999996E-3"/>
  </r>
  <r>
    <x v="0"/>
    <x v="69"/>
    <x v="0"/>
    <x v="0"/>
    <x v="9"/>
    <n v="90"/>
    <n v="1.47E-2"/>
  </r>
  <r>
    <x v="0"/>
    <x v="69"/>
    <x v="0"/>
    <x v="0"/>
    <x v="10"/>
    <n v="80"/>
    <n v="1.29E-2"/>
  </r>
  <r>
    <x v="0"/>
    <x v="69"/>
    <x v="0"/>
    <x v="0"/>
    <x v="11"/>
    <n v="81"/>
    <n v="1.77E-2"/>
  </r>
  <r>
    <x v="0"/>
    <x v="69"/>
    <x v="0"/>
    <x v="0"/>
    <x v="12"/>
    <n v="85"/>
    <n v="1.8800000000000001E-2"/>
  </r>
  <r>
    <x v="0"/>
    <x v="69"/>
    <x v="0"/>
    <x v="0"/>
    <x v="13"/>
    <n v="74"/>
    <n v="1.3100000000000001E-2"/>
  </r>
  <r>
    <x v="0"/>
    <x v="70"/>
    <x v="0"/>
    <x v="0"/>
    <x v="0"/>
    <n v="95"/>
    <n v="0.35820000000000002"/>
  </r>
  <r>
    <x v="0"/>
    <x v="70"/>
    <x v="0"/>
    <x v="0"/>
    <x v="1"/>
    <n v="97"/>
    <n v="4.5999999999999999E-2"/>
  </r>
  <r>
    <x v="0"/>
    <x v="70"/>
    <x v="0"/>
    <x v="0"/>
    <x v="2"/>
    <n v="113"/>
    <n v="0.13650000000000001"/>
  </r>
  <r>
    <x v="0"/>
    <x v="70"/>
    <x v="0"/>
    <x v="0"/>
    <x v="3"/>
    <n v="114"/>
    <n v="0.1153"/>
  </r>
  <r>
    <x v="0"/>
    <x v="70"/>
    <x v="0"/>
    <x v="0"/>
    <x v="4"/>
    <n v="94"/>
    <n v="0.2606"/>
  </r>
  <r>
    <x v="0"/>
    <x v="70"/>
    <x v="0"/>
    <x v="0"/>
    <x v="5"/>
    <n v="87"/>
    <n v="9.0300000000000005E-2"/>
  </r>
  <r>
    <x v="0"/>
    <x v="70"/>
    <x v="0"/>
    <x v="0"/>
    <x v="6"/>
    <n v="82"/>
    <n v="8.5500000000000007E-2"/>
  </r>
  <r>
    <x v="0"/>
    <x v="70"/>
    <x v="0"/>
    <x v="0"/>
    <x v="7"/>
    <n v="78"/>
    <n v="0.2031"/>
  </r>
  <r>
    <x v="0"/>
    <x v="70"/>
    <x v="0"/>
    <x v="0"/>
    <x v="8"/>
    <n v="74"/>
    <n v="3.04E-2"/>
  </r>
  <r>
    <x v="0"/>
    <x v="70"/>
    <x v="0"/>
    <x v="0"/>
    <x v="9"/>
    <n v="114"/>
    <n v="9.1800000000000007E-2"/>
  </r>
  <r>
    <x v="0"/>
    <x v="70"/>
    <x v="0"/>
    <x v="0"/>
    <x v="10"/>
    <n v="95"/>
    <n v="0.1071"/>
  </r>
  <r>
    <x v="0"/>
    <x v="70"/>
    <x v="0"/>
    <x v="0"/>
    <x v="11"/>
    <n v="92"/>
    <n v="0.1464"/>
  </r>
  <r>
    <x v="0"/>
    <x v="70"/>
    <x v="0"/>
    <x v="0"/>
    <x v="12"/>
    <n v="94"/>
    <n v="0.1603"/>
  </r>
  <r>
    <x v="0"/>
    <x v="70"/>
    <x v="0"/>
    <x v="0"/>
    <x v="13"/>
    <n v="92"/>
    <n v="7.4800000000000005E-2"/>
  </r>
  <r>
    <x v="1"/>
    <x v="71"/>
    <x v="0"/>
    <x v="0"/>
    <x v="0"/>
    <n v="101"/>
    <n v="4.2200000000000001E-2"/>
  </r>
  <r>
    <x v="1"/>
    <x v="71"/>
    <x v="0"/>
    <x v="0"/>
    <x v="1"/>
    <n v="79"/>
    <n v="3.2000000000000002E-3"/>
  </r>
  <r>
    <x v="1"/>
    <x v="71"/>
    <x v="0"/>
    <x v="0"/>
    <x v="2"/>
    <n v="120"/>
    <n v="1.14E-2"/>
  </r>
  <r>
    <x v="1"/>
    <x v="71"/>
    <x v="0"/>
    <x v="0"/>
    <x v="3"/>
    <n v="106"/>
    <n v="8.9999999999999993E-3"/>
  </r>
  <r>
    <x v="1"/>
    <x v="71"/>
    <x v="0"/>
    <x v="0"/>
    <x v="4"/>
    <n v="93"/>
    <n v="2.41E-2"/>
  </r>
  <r>
    <x v="1"/>
    <x v="71"/>
    <x v="0"/>
    <x v="0"/>
    <x v="5"/>
    <n v="85"/>
    <n v="6.3E-3"/>
  </r>
  <r>
    <x v="1"/>
    <x v="71"/>
    <x v="0"/>
    <x v="0"/>
    <x v="6"/>
    <n v="82"/>
    <n v="6.7999999999999996E-3"/>
  </r>
  <r>
    <x v="1"/>
    <x v="71"/>
    <x v="0"/>
    <x v="0"/>
    <x v="7"/>
    <n v="106"/>
    <n v="2.1000000000000001E-2"/>
  </r>
  <r>
    <x v="1"/>
    <x v="71"/>
    <x v="0"/>
    <x v="0"/>
    <x v="8"/>
    <n v="54"/>
    <n v="2.5000000000000001E-3"/>
  </r>
  <r>
    <x v="1"/>
    <x v="71"/>
    <x v="0"/>
    <x v="0"/>
    <x v="9"/>
    <n v="112"/>
    <n v="6.7999999999999996E-3"/>
  </r>
  <r>
    <x v="1"/>
    <x v="71"/>
    <x v="0"/>
    <x v="0"/>
    <x v="10"/>
    <n v="106"/>
    <n v="7.1000000000000004E-3"/>
  </r>
  <r>
    <x v="1"/>
    <x v="71"/>
    <x v="0"/>
    <x v="0"/>
    <x v="11"/>
    <n v="103"/>
    <n v="9.1999999999999998E-3"/>
  </r>
  <r>
    <x v="1"/>
    <x v="71"/>
    <x v="0"/>
    <x v="0"/>
    <x v="12"/>
    <n v="93"/>
    <n v="9.9000000000000008E-3"/>
  </r>
  <r>
    <x v="1"/>
    <x v="71"/>
    <x v="0"/>
    <x v="0"/>
    <x v="13"/>
    <n v="96"/>
    <n v="7.4000000000000003E-3"/>
  </r>
  <r>
    <x v="1"/>
    <x v="72"/>
    <x v="0"/>
    <x v="0"/>
    <x v="0"/>
    <n v="113"/>
    <n v="0.15920000000000001"/>
  </r>
  <r>
    <x v="1"/>
    <x v="72"/>
    <x v="0"/>
    <x v="0"/>
    <x v="1"/>
    <n v="111"/>
    <n v="2.6100000000000002E-2"/>
  </r>
  <r>
    <x v="1"/>
    <x v="72"/>
    <x v="0"/>
    <x v="0"/>
    <x v="2"/>
    <n v="120"/>
    <n v="6.83E-2"/>
  </r>
  <r>
    <x v="1"/>
    <x v="72"/>
    <x v="0"/>
    <x v="0"/>
    <x v="3"/>
    <n v="112"/>
    <n v="5.6599999999999998E-2"/>
  </r>
  <r>
    <x v="1"/>
    <x v="72"/>
    <x v="0"/>
    <x v="0"/>
    <x v="4"/>
    <n v="115"/>
    <n v="0.1033"/>
  </r>
  <r>
    <x v="1"/>
    <x v="72"/>
    <x v="0"/>
    <x v="0"/>
    <x v="5"/>
    <n v="108"/>
    <n v="3.3799999999999997E-2"/>
  </r>
  <r>
    <x v="1"/>
    <x v="72"/>
    <x v="0"/>
    <x v="0"/>
    <x v="6"/>
    <n v="111"/>
    <n v="3.5400000000000001E-2"/>
  </r>
  <r>
    <x v="1"/>
    <x v="72"/>
    <x v="0"/>
    <x v="0"/>
    <x v="7"/>
    <n v="108"/>
    <n v="8.6999999999999994E-2"/>
  </r>
  <r>
    <x v="1"/>
    <x v="72"/>
    <x v="0"/>
    <x v="0"/>
    <x v="8"/>
    <n v="111"/>
    <n v="1.8200000000000001E-2"/>
  </r>
  <r>
    <x v="1"/>
    <x v="72"/>
    <x v="0"/>
    <x v="0"/>
    <x v="9"/>
    <n v="115"/>
    <n v="4.58E-2"/>
  </r>
  <r>
    <x v="1"/>
    <x v="72"/>
    <x v="0"/>
    <x v="0"/>
    <x v="10"/>
    <n v="115"/>
    <n v="4.0800000000000003E-2"/>
  </r>
  <r>
    <x v="1"/>
    <x v="72"/>
    <x v="0"/>
    <x v="0"/>
    <x v="11"/>
    <n v="116"/>
    <n v="5.3600000000000002E-2"/>
  </r>
  <r>
    <x v="1"/>
    <x v="72"/>
    <x v="0"/>
    <x v="0"/>
    <x v="12"/>
    <n v="115"/>
    <n v="6.1199999999999997E-2"/>
  </r>
  <r>
    <x v="1"/>
    <x v="72"/>
    <x v="0"/>
    <x v="0"/>
    <x v="13"/>
    <n v="109"/>
    <n v="4.0599999999999997E-2"/>
  </r>
  <r>
    <x v="0"/>
    <x v="73"/>
    <x v="0"/>
    <x v="0"/>
    <x v="0"/>
    <n v="96"/>
    <n v="0.31840000000000002"/>
  </r>
  <r>
    <x v="0"/>
    <x v="73"/>
    <x v="0"/>
    <x v="0"/>
    <x v="1"/>
    <n v="91"/>
    <n v="0.1032"/>
  </r>
  <r>
    <x v="0"/>
    <x v="73"/>
    <x v="0"/>
    <x v="0"/>
    <x v="2"/>
    <n v="100"/>
    <n v="0.1714"/>
  </r>
  <r>
    <x v="0"/>
    <x v="73"/>
    <x v="0"/>
    <x v="0"/>
    <x v="3"/>
    <n v="98"/>
    <n v="0.1477"/>
  </r>
  <r>
    <x v="0"/>
    <x v="73"/>
    <x v="0"/>
    <x v="0"/>
    <x v="4"/>
    <n v="95"/>
    <n v="0.2288"/>
  </r>
  <r>
    <x v="0"/>
    <x v="73"/>
    <x v="0"/>
    <x v="0"/>
    <x v="5"/>
    <n v="96"/>
    <n v="0.10340000000000001"/>
  </r>
  <r>
    <x v="0"/>
    <x v="73"/>
    <x v="0"/>
    <x v="0"/>
    <x v="6"/>
    <n v="92"/>
    <n v="0.11269999999999999"/>
  </r>
  <r>
    <x v="0"/>
    <x v="73"/>
    <x v="0"/>
    <x v="0"/>
    <x v="7"/>
    <n v="93"/>
    <n v="0.2"/>
  </r>
  <r>
    <x v="0"/>
    <x v="73"/>
    <x v="0"/>
    <x v="0"/>
    <x v="8"/>
    <n v="89"/>
    <n v="7.5200000000000003E-2"/>
  </r>
  <r>
    <x v="0"/>
    <x v="73"/>
    <x v="0"/>
    <x v="0"/>
    <x v="9"/>
    <n v="99"/>
    <n v="0.13039999999999999"/>
  </r>
  <r>
    <x v="0"/>
    <x v="73"/>
    <x v="0"/>
    <x v="0"/>
    <x v="10"/>
    <n v="100"/>
    <n v="0.11890000000000001"/>
  </r>
  <r>
    <x v="0"/>
    <x v="73"/>
    <x v="0"/>
    <x v="0"/>
    <x v="11"/>
    <n v="96"/>
    <n v="0.13489999999999999"/>
  </r>
  <r>
    <x v="0"/>
    <x v="73"/>
    <x v="0"/>
    <x v="0"/>
    <x v="12"/>
    <n v="94"/>
    <n v="0.14680000000000001"/>
  </r>
  <r>
    <x v="0"/>
    <x v="73"/>
    <x v="0"/>
    <x v="0"/>
    <x v="13"/>
    <n v="91"/>
    <n v="0.1336"/>
  </r>
  <r>
    <x v="1"/>
    <x v="74"/>
    <x v="0"/>
    <x v="0"/>
    <x v="0"/>
    <n v="109"/>
    <n v="0.17330000000000001"/>
  </r>
  <r>
    <x v="1"/>
    <x v="74"/>
    <x v="0"/>
    <x v="0"/>
    <x v="1"/>
    <n v="110"/>
    <n v="1.7600000000000001E-2"/>
  </r>
  <r>
    <x v="1"/>
    <x v="74"/>
    <x v="0"/>
    <x v="0"/>
    <x v="2"/>
    <n v="116"/>
    <n v="6.5799999999999997E-2"/>
  </r>
  <r>
    <x v="1"/>
    <x v="74"/>
    <x v="0"/>
    <x v="0"/>
    <x v="3"/>
    <n v="106"/>
    <n v="5.1299999999999998E-2"/>
  </r>
  <r>
    <x v="1"/>
    <x v="74"/>
    <x v="0"/>
    <x v="0"/>
    <x v="4"/>
    <n v="104"/>
    <n v="0.1099"/>
  </r>
  <r>
    <x v="1"/>
    <x v="74"/>
    <x v="0"/>
    <x v="0"/>
    <x v="5"/>
    <n v="117"/>
    <n v="2.3300000000000001E-2"/>
  </r>
  <r>
    <x v="1"/>
    <x v="74"/>
    <x v="0"/>
    <x v="0"/>
    <x v="6"/>
    <n v="111"/>
    <n v="2.58E-2"/>
  </r>
  <r>
    <x v="1"/>
    <x v="74"/>
    <x v="0"/>
    <x v="0"/>
    <x v="7"/>
    <n v="109"/>
    <n v="9.6600000000000005E-2"/>
  </r>
  <r>
    <x v="1"/>
    <x v="74"/>
    <x v="0"/>
    <x v="0"/>
    <x v="8"/>
    <n v="117"/>
    <n v="1.32E-2"/>
  </r>
  <r>
    <x v="1"/>
    <x v="74"/>
    <x v="0"/>
    <x v="0"/>
    <x v="9"/>
    <n v="110"/>
    <n v="4.19E-2"/>
  </r>
  <r>
    <x v="1"/>
    <x v="74"/>
    <x v="0"/>
    <x v="0"/>
    <x v="10"/>
    <n v="101"/>
    <n v="2.76E-2"/>
  </r>
  <r>
    <x v="1"/>
    <x v="74"/>
    <x v="0"/>
    <x v="0"/>
    <x v="11"/>
    <n v="101"/>
    <n v="3.9600000000000003E-2"/>
  </r>
  <r>
    <x v="1"/>
    <x v="74"/>
    <x v="0"/>
    <x v="0"/>
    <x v="12"/>
    <n v="105"/>
    <n v="5.2499999999999998E-2"/>
  </r>
  <r>
    <x v="1"/>
    <x v="74"/>
    <x v="0"/>
    <x v="0"/>
    <x v="13"/>
    <n v="112"/>
    <n v="2.8000000000000001E-2"/>
  </r>
  <r>
    <x v="1"/>
    <x v="75"/>
    <x v="0"/>
    <x v="0"/>
    <x v="0"/>
    <n v="104"/>
    <n v="0.22639999999999999"/>
  </r>
  <r>
    <x v="1"/>
    <x v="75"/>
    <x v="0"/>
    <x v="0"/>
    <x v="1"/>
    <n v="103"/>
    <n v="3.8199999999999998E-2"/>
  </r>
  <r>
    <x v="1"/>
    <x v="75"/>
    <x v="0"/>
    <x v="0"/>
    <x v="2"/>
    <n v="111"/>
    <n v="9.35E-2"/>
  </r>
  <r>
    <x v="1"/>
    <x v="75"/>
    <x v="0"/>
    <x v="0"/>
    <x v="3"/>
    <n v="110"/>
    <n v="7.9699999999999993E-2"/>
  </r>
  <r>
    <x v="1"/>
    <x v="75"/>
    <x v="0"/>
    <x v="0"/>
    <x v="4"/>
    <n v="100"/>
    <n v="0.15509999999999999"/>
  </r>
  <r>
    <x v="1"/>
    <x v="75"/>
    <x v="0"/>
    <x v="0"/>
    <x v="5"/>
    <n v="97"/>
    <n v="4.7500000000000001E-2"/>
  </r>
  <r>
    <x v="1"/>
    <x v="75"/>
    <x v="0"/>
    <x v="0"/>
    <x v="6"/>
    <n v="100"/>
    <n v="5.0700000000000002E-2"/>
  </r>
  <r>
    <x v="1"/>
    <x v="75"/>
    <x v="0"/>
    <x v="0"/>
    <x v="7"/>
    <n v="103"/>
    <n v="0.1222"/>
  </r>
  <r>
    <x v="1"/>
    <x v="75"/>
    <x v="0"/>
    <x v="0"/>
    <x v="8"/>
    <n v="102"/>
    <n v="2.8199999999999999E-2"/>
  </r>
  <r>
    <x v="1"/>
    <x v="75"/>
    <x v="0"/>
    <x v="0"/>
    <x v="9"/>
    <n v="112"/>
    <n v="6.3200000000000006E-2"/>
  </r>
  <r>
    <x v="1"/>
    <x v="75"/>
    <x v="0"/>
    <x v="0"/>
    <x v="10"/>
    <n v="99"/>
    <n v="5.5599999999999997E-2"/>
  </r>
  <r>
    <x v="1"/>
    <x v="75"/>
    <x v="0"/>
    <x v="0"/>
    <x v="11"/>
    <n v="100"/>
    <n v="7.1999999999999995E-2"/>
  </r>
  <r>
    <x v="1"/>
    <x v="75"/>
    <x v="0"/>
    <x v="0"/>
    <x v="12"/>
    <n v="102"/>
    <n v="8.8400000000000006E-2"/>
  </r>
  <r>
    <x v="1"/>
    <x v="75"/>
    <x v="0"/>
    <x v="0"/>
    <x v="13"/>
    <n v="104"/>
    <n v="5.9799999999999999E-2"/>
  </r>
  <r>
    <x v="0"/>
    <x v="76"/>
    <x v="0"/>
    <x v="0"/>
    <x v="0"/>
    <n v="86"/>
    <n v="0.27860000000000001"/>
  </r>
  <r>
    <x v="0"/>
    <x v="76"/>
    <x v="0"/>
    <x v="0"/>
    <x v="1"/>
    <n v="98"/>
    <n v="3.1699999999999999E-2"/>
  </r>
  <r>
    <x v="0"/>
    <x v="76"/>
    <x v="0"/>
    <x v="0"/>
    <x v="2"/>
    <n v="93"/>
    <n v="8.6300000000000002E-2"/>
  </r>
  <r>
    <x v="0"/>
    <x v="76"/>
    <x v="0"/>
    <x v="0"/>
    <x v="3"/>
    <n v="91"/>
    <n v="8.0799999999999997E-2"/>
  </r>
  <r>
    <x v="0"/>
    <x v="76"/>
    <x v="0"/>
    <x v="0"/>
    <x v="4"/>
    <n v="74"/>
    <n v="0.20569999999999999"/>
  </r>
  <r>
    <x v="0"/>
    <x v="76"/>
    <x v="0"/>
    <x v="0"/>
    <x v="5"/>
    <n v="79"/>
    <n v="5.8599999999999999E-2"/>
  </r>
  <r>
    <x v="0"/>
    <x v="76"/>
    <x v="0"/>
    <x v="0"/>
    <x v="6"/>
    <n v="82"/>
    <n v="5.9900000000000002E-2"/>
  </r>
  <r>
    <x v="0"/>
    <x v="76"/>
    <x v="0"/>
    <x v="0"/>
    <x v="7"/>
    <n v="94"/>
    <n v="0.13139999999999999"/>
  </r>
  <r>
    <x v="0"/>
    <x v="76"/>
    <x v="0"/>
    <x v="0"/>
    <x v="8"/>
    <n v="93"/>
    <n v="2.6800000000000001E-2"/>
  </r>
  <r>
    <x v="0"/>
    <x v="76"/>
    <x v="0"/>
    <x v="0"/>
    <x v="9"/>
    <n v="93"/>
    <n v="5.9499999999999997E-2"/>
  </r>
  <r>
    <x v="0"/>
    <x v="76"/>
    <x v="0"/>
    <x v="0"/>
    <x v="10"/>
    <n v="78"/>
    <n v="6.8099999999999994E-2"/>
  </r>
  <r>
    <x v="0"/>
    <x v="76"/>
    <x v="0"/>
    <x v="0"/>
    <x v="11"/>
    <n v="75"/>
    <n v="8.8499999999999995E-2"/>
  </r>
  <r>
    <x v="0"/>
    <x v="76"/>
    <x v="0"/>
    <x v="0"/>
    <x v="12"/>
    <n v="72"/>
    <n v="0.1067"/>
  </r>
  <r>
    <x v="0"/>
    <x v="76"/>
    <x v="0"/>
    <x v="0"/>
    <x v="13"/>
    <n v="97"/>
    <n v="5.16E-2"/>
  </r>
  <r>
    <x v="1"/>
    <x v="77"/>
    <x v="0"/>
    <x v="0"/>
    <x v="0"/>
    <n v="78"/>
    <n v="5.5199999999999999E-2"/>
  </r>
  <r>
    <x v="1"/>
    <x v="77"/>
    <x v="0"/>
    <x v="0"/>
    <x v="1"/>
    <n v="76"/>
    <n v="5.7999999999999996E-3"/>
  </r>
  <r>
    <x v="1"/>
    <x v="77"/>
    <x v="0"/>
    <x v="0"/>
    <x v="2"/>
    <n v="95"/>
    <n v="1.4999999999999999E-2"/>
  </r>
  <r>
    <x v="1"/>
    <x v="77"/>
    <x v="0"/>
    <x v="0"/>
    <x v="3"/>
    <n v="88"/>
    <n v="1.17E-2"/>
  </r>
  <r>
    <x v="1"/>
    <x v="77"/>
    <x v="0"/>
    <x v="0"/>
    <x v="4"/>
    <n v="76"/>
    <n v="2.9700000000000001E-2"/>
  </r>
  <r>
    <x v="1"/>
    <x v="77"/>
    <x v="0"/>
    <x v="0"/>
    <x v="5"/>
    <n v="65"/>
    <n v="8.0000000000000002E-3"/>
  </r>
  <r>
    <x v="1"/>
    <x v="77"/>
    <x v="0"/>
    <x v="0"/>
    <x v="6"/>
    <n v="69"/>
    <n v="1.0500000000000001E-2"/>
  </r>
  <r>
    <x v="1"/>
    <x v="77"/>
    <x v="0"/>
    <x v="0"/>
    <x v="7"/>
    <n v="86"/>
    <n v="1.9699999999999999E-2"/>
  </r>
  <r>
    <x v="1"/>
    <x v="77"/>
    <x v="0"/>
    <x v="0"/>
    <x v="8"/>
    <n v="76"/>
    <n v="5.3E-3"/>
  </r>
  <r>
    <x v="1"/>
    <x v="77"/>
    <x v="0"/>
    <x v="0"/>
    <x v="9"/>
    <n v="83"/>
    <n v="8.0000000000000002E-3"/>
  </r>
  <r>
    <x v="1"/>
    <x v="77"/>
    <x v="0"/>
    <x v="0"/>
    <x v="10"/>
    <n v="65"/>
    <n v="7.7000000000000002E-3"/>
  </r>
  <r>
    <x v="1"/>
    <x v="77"/>
    <x v="0"/>
    <x v="0"/>
    <x v="11"/>
    <n v="71"/>
    <n v="1.01E-2"/>
  </r>
  <r>
    <x v="1"/>
    <x v="77"/>
    <x v="0"/>
    <x v="0"/>
    <x v="12"/>
    <n v="75"/>
    <n v="1.1299999999999999E-2"/>
  </r>
  <r>
    <x v="1"/>
    <x v="77"/>
    <x v="0"/>
    <x v="0"/>
    <x v="13"/>
    <n v="67"/>
    <n v="0.01"/>
  </r>
  <r>
    <x v="1"/>
    <x v="78"/>
    <x v="0"/>
    <x v="0"/>
    <x v="0"/>
    <n v="114"/>
    <n v="8.1600000000000006E-2"/>
  </r>
  <r>
    <x v="1"/>
    <x v="78"/>
    <x v="0"/>
    <x v="0"/>
    <x v="1"/>
    <n v="121"/>
    <n v="9.1000000000000004E-3"/>
  </r>
  <r>
    <x v="1"/>
    <x v="78"/>
    <x v="0"/>
    <x v="0"/>
    <x v="2"/>
    <n v="112"/>
    <n v="3.2800000000000003E-2"/>
  </r>
  <r>
    <x v="1"/>
    <x v="78"/>
    <x v="0"/>
    <x v="0"/>
    <x v="3"/>
    <n v="118"/>
    <n v="2.4299999999999999E-2"/>
  </r>
  <r>
    <x v="1"/>
    <x v="78"/>
    <x v="0"/>
    <x v="0"/>
    <x v="4"/>
    <n v="116"/>
    <n v="5.0900000000000001E-2"/>
  </r>
  <r>
    <x v="1"/>
    <x v="78"/>
    <x v="0"/>
    <x v="0"/>
    <x v="5"/>
    <n v="103"/>
    <n v="1.55E-2"/>
  </r>
  <r>
    <x v="1"/>
    <x v="78"/>
    <x v="0"/>
    <x v="0"/>
    <x v="6"/>
    <n v="97"/>
    <n v="1.4999999999999999E-2"/>
  </r>
  <r>
    <x v="1"/>
    <x v="78"/>
    <x v="0"/>
    <x v="0"/>
    <x v="7"/>
    <n v="117"/>
    <n v="3.6400000000000002E-2"/>
  </r>
  <r>
    <x v="1"/>
    <x v="78"/>
    <x v="0"/>
    <x v="0"/>
    <x v="8"/>
    <n v="77"/>
    <n v="4.4999999999999997E-3"/>
  </r>
  <r>
    <x v="1"/>
    <x v="78"/>
    <x v="0"/>
    <x v="0"/>
    <x v="9"/>
    <n v="118"/>
    <n v="1.9300000000000001E-2"/>
  </r>
  <r>
    <x v="1"/>
    <x v="78"/>
    <x v="0"/>
    <x v="0"/>
    <x v="10"/>
    <n v="105"/>
    <n v="1.8200000000000001E-2"/>
  </r>
  <r>
    <x v="1"/>
    <x v="78"/>
    <x v="0"/>
    <x v="0"/>
    <x v="11"/>
    <n v="116"/>
    <n v="2.24E-2"/>
  </r>
  <r>
    <x v="1"/>
    <x v="78"/>
    <x v="0"/>
    <x v="0"/>
    <x v="12"/>
    <n v="119"/>
    <n v="2.64E-2"/>
  </r>
  <r>
    <x v="1"/>
    <x v="78"/>
    <x v="0"/>
    <x v="0"/>
    <x v="13"/>
    <n v="119"/>
    <n v="1.47E-2"/>
  </r>
  <r>
    <x v="1"/>
    <x v="79"/>
    <x v="0"/>
    <x v="1"/>
    <x v="0"/>
    <n v="106"/>
    <n v="0.92979999999999996"/>
  </r>
  <r>
    <x v="1"/>
    <x v="79"/>
    <x v="0"/>
    <x v="1"/>
    <x v="1"/>
    <n v="102"/>
    <n v="0.29120000000000001"/>
  </r>
  <r>
    <x v="1"/>
    <x v="79"/>
    <x v="0"/>
    <x v="1"/>
    <x v="2"/>
    <n v="110"/>
    <n v="0.56950000000000001"/>
  </r>
  <r>
    <x v="1"/>
    <x v="79"/>
    <x v="0"/>
    <x v="1"/>
    <x v="3"/>
    <n v="114"/>
    <n v="0.56850000000000001"/>
  </r>
  <r>
    <x v="1"/>
    <x v="79"/>
    <x v="0"/>
    <x v="1"/>
    <x v="4"/>
    <n v="105"/>
    <n v="0.8881"/>
  </r>
  <r>
    <x v="1"/>
    <x v="79"/>
    <x v="0"/>
    <x v="1"/>
    <x v="5"/>
    <n v="104"/>
    <n v="0.36130000000000001"/>
  </r>
  <r>
    <x v="1"/>
    <x v="79"/>
    <x v="0"/>
    <x v="1"/>
    <x v="6"/>
    <n v="102"/>
    <n v="0.32919999999999999"/>
  </r>
  <r>
    <x v="1"/>
    <x v="79"/>
    <x v="0"/>
    <x v="1"/>
    <x v="7"/>
    <n v="103"/>
    <n v="0.8226"/>
  </r>
  <r>
    <x v="1"/>
    <x v="79"/>
    <x v="0"/>
    <x v="1"/>
    <x v="8"/>
    <n v="99"/>
    <n v="0.1913"/>
  </r>
  <r>
    <x v="1"/>
    <x v="79"/>
    <x v="0"/>
    <x v="1"/>
    <x v="9"/>
    <n v="114"/>
    <n v="0.47310000000000002"/>
  </r>
  <r>
    <x v="1"/>
    <x v="79"/>
    <x v="0"/>
    <x v="1"/>
    <x v="10"/>
    <n v="106"/>
    <n v="0.5272"/>
  </r>
  <r>
    <x v="1"/>
    <x v="79"/>
    <x v="0"/>
    <x v="1"/>
    <x v="11"/>
    <n v="105"/>
    <n v="0.71850000000000003"/>
  </r>
  <r>
    <x v="1"/>
    <x v="79"/>
    <x v="0"/>
    <x v="1"/>
    <x v="12"/>
    <n v="106"/>
    <n v="0.77710000000000001"/>
  </r>
  <r>
    <x v="1"/>
    <x v="79"/>
    <x v="0"/>
    <x v="1"/>
    <x v="13"/>
    <n v="102"/>
    <n v="0.44040000000000001"/>
  </r>
  <r>
    <x v="0"/>
    <x v="80"/>
    <x v="0"/>
    <x v="0"/>
    <x v="0"/>
    <n v="100"/>
    <n v="0.33210000000000001"/>
  </r>
  <r>
    <x v="0"/>
    <x v="80"/>
    <x v="0"/>
    <x v="0"/>
    <x v="1"/>
    <n v="96"/>
    <n v="3.39E-2"/>
  </r>
  <r>
    <x v="0"/>
    <x v="80"/>
    <x v="0"/>
    <x v="0"/>
    <x v="2"/>
    <n v="109"/>
    <n v="0.1384"/>
  </r>
  <r>
    <x v="0"/>
    <x v="80"/>
    <x v="0"/>
    <x v="0"/>
    <x v="3"/>
    <n v="103"/>
    <n v="0.1169"/>
  </r>
  <r>
    <x v="0"/>
    <x v="80"/>
    <x v="0"/>
    <x v="0"/>
    <x v="4"/>
    <n v="99"/>
    <n v="0.23760000000000001"/>
  </r>
  <r>
    <x v="0"/>
    <x v="80"/>
    <x v="0"/>
    <x v="0"/>
    <x v="5"/>
    <n v="97"/>
    <n v="6.8199999999999997E-2"/>
  </r>
  <r>
    <x v="0"/>
    <x v="80"/>
    <x v="0"/>
    <x v="0"/>
    <x v="6"/>
    <n v="93"/>
    <n v="7.2999999999999995E-2"/>
  </r>
  <r>
    <x v="0"/>
    <x v="80"/>
    <x v="0"/>
    <x v="0"/>
    <x v="7"/>
    <n v="97"/>
    <n v="0.16009999999999999"/>
  </r>
  <r>
    <x v="0"/>
    <x v="80"/>
    <x v="0"/>
    <x v="0"/>
    <x v="8"/>
    <n v="95"/>
    <n v="3.3799999999999997E-2"/>
  </r>
  <r>
    <x v="0"/>
    <x v="80"/>
    <x v="0"/>
    <x v="0"/>
    <x v="9"/>
    <n v="105"/>
    <n v="9.0499999999999997E-2"/>
  </r>
  <r>
    <x v="0"/>
    <x v="80"/>
    <x v="0"/>
    <x v="0"/>
    <x v="10"/>
    <n v="99"/>
    <n v="8.2500000000000004E-2"/>
  </r>
  <r>
    <x v="0"/>
    <x v="80"/>
    <x v="0"/>
    <x v="0"/>
    <x v="11"/>
    <n v="97"/>
    <n v="0.11269999999999999"/>
  </r>
  <r>
    <x v="0"/>
    <x v="80"/>
    <x v="0"/>
    <x v="0"/>
    <x v="12"/>
    <n v="99"/>
    <n v="0.13339999999999999"/>
  </r>
  <r>
    <x v="0"/>
    <x v="80"/>
    <x v="0"/>
    <x v="0"/>
    <x v="13"/>
    <n v="93"/>
    <n v="5.6899999999999999E-2"/>
  </r>
  <r>
    <x v="1"/>
    <x v="81"/>
    <x v="0"/>
    <x v="0"/>
    <x v="0"/>
    <n v="81"/>
    <n v="4.1000000000000003E-3"/>
  </r>
  <r>
    <x v="1"/>
    <x v="81"/>
    <x v="0"/>
    <x v="0"/>
    <x v="4"/>
    <n v="105"/>
    <n v="2.5000000000000001E-3"/>
  </r>
  <r>
    <x v="1"/>
    <x v="82"/>
    <x v="0"/>
    <x v="0"/>
    <x v="0"/>
    <n v="66"/>
    <n v="8.4099999999999994E-2"/>
  </r>
  <r>
    <x v="1"/>
    <x v="82"/>
    <x v="0"/>
    <x v="0"/>
    <x v="1"/>
    <n v="52"/>
    <n v="7.0000000000000001E-3"/>
  </r>
  <r>
    <x v="1"/>
    <x v="82"/>
    <x v="0"/>
    <x v="0"/>
    <x v="2"/>
    <n v="64"/>
    <n v="2.3900000000000001E-2"/>
  </r>
  <r>
    <x v="1"/>
    <x v="82"/>
    <x v="0"/>
    <x v="0"/>
    <x v="3"/>
    <n v="62"/>
    <n v="1.83E-2"/>
  </r>
  <r>
    <x v="1"/>
    <x v="82"/>
    <x v="0"/>
    <x v="0"/>
    <x v="4"/>
    <n v="69"/>
    <n v="5.7700000000000001E-2"/>
  </r>
  <r>
    <x v="1"/>
    <x v="82"/>
    <x v="0"/>
    <x v="0"/>
    <x v="5"/>
    <n v="62"/>
    <n v="1.6E-2"/>
  </r>
  <r>
    <x v="1"/>
    <x v="82"/>
    <x v="0"/>
    <x v="0"/>
    <x v="6"/>
    <n v="59"/>
    <n v="1.49E-2"/>
  </r>
  <r>
    <x v="1"/>
    <x v="82"/>
    <x v="0"/>
    <x v="0"/>
    <x v="7"/>
    <n v="70"/>
    <n v="3.4799999999999998E-2"/>
  </r>
  <r>
    <x v="1"/>
    <x v="82"/>
    <x v="0"/>
    <x v="0"/>
    <x v="8"/>
    <n v="55"/>
    <n v="5.4999999999999997E-3"/>
  </r>
  <r>
    <x v="1"/>
    <x v="82"/>
    <x v="0"/>
    <x v="0"/>
    <x v="9"/>
    <n v="63"/>
    <n v="1.17E-2"/>
  </r>
  <r>
    <x v="1"/>
    <x v="82"/>
    <x v="0"/>
    <x v="0"/>
    <x v="10"/>
    <n v="69"/>
    <n v="2.0500000000000001E-2"/>
  </r>
  <r>
    <x v="1"/>
    <x v="82"/>
    <x v="0"/>
    <x v="0"/>
    <x v="11"/>
    <n v="71"/>
    <n v="2.6599999999999999E-2"/>
  </r>
  <r>
    <x v="1"/>
    <x v="82"/>
    <x v="0"/>
    <x v="0"/>
    <x v="12"/>
    <n v="70"/>
    <n v="2.9100000000000001E-2"/>
  </r>
  <r>
    <x v="1"/>
    <x v="82"/>
    <x v="0"/>
    <x v="0"/>
    <x v="13"/>
    <n v="58"/>
    <n v="1.14E-2"/>
  </r>
  <r>
    <x v="1"/>
    <x v="83"/>
    <x v="0"/>
    <x v="0"/>
    <x v="0"/>
    <n v="71"/>
    <n v="5.1499999999999997E-2"/>
  </r>
  <r>
    <x v="1"/>
    <x v="83"/>
    <x v="0"/>
    <x v="0"/>
    <x v="1"/>
    <n v="84"/>
    <n v="3.8999999999999998E-3"/>
  </r>
  <r>
    <x v="1"/>
    <x v="83"/>
    <x v="0"/>
    <x v="0"/>
    <x v="2"/>
    <n v="108"/>
    <n v="1.2800000000000001E-2"/>
  </r>
  <r>
    <x v="1"/>
    <x v="83"/>
    <x v="0"/>
    <x v="0"/>
    <x v="3"/>
    <n v="102"/>
    <n v="9.9000000000000008E-3"/>
  </r>
  <r>
    <x v="1"/>
    <x v="83"/>
    <x v="0"/>
    <x v="0"/>
    <x v="4"/>
    <n v="82"/>
    <n v="3.1600000000000003E-2"/>
  </r>
  <r>
    <x v="1"/>
    <x v="83"/>
    <x v="0"/>
    <x v="0"/>
    <x v="5"/>
    <n v="126"/>
    <n v="6.0000000000000001E-3"/>
  </r>
  <r>
    <x v="1"/>
    <x v="83"/>
    <x v="0"/>
    <x v="0"/>
    <x v="6"/>
    <n v="118"/>
    <n v="7.3000000000000001E-3"/>
  </r>
  <r>
    <x v="1"/>
    <x v="83"/>
    <x v="0"/>
    <x v="0"/>
    <x v="7"/>
    <n v="102"/>
    <n v="1.9400000000000001E-2"/>
  </r>
  <r>
    <x v="1"/>
    <x v="83"/>
    <x v="0"/>
    <x v="0"/>
    <x v="8"/>
    <n v="118"/>
    <n v="3.0999999999999999E-3"/>
  </r>
  <r>
    <x v="1"/>
    <x v="83"/>
    <x v="0"/>
    <x v="0"/>
    <x v="9"/>
    <n v="127"/>
    <n v="7.0000000000000001E-3"/>
  </r>
  <r>
    <x v="1"/>
    <x v="83"/>
    <x v="0"/>
    <x v="0"/>
    <x v="10"/>
    <n v="131"/>
    <n v="7.1000000000000004E-3"/>
  </r>
  <r>
    <x v="1"/>
    <x v="83"/>
    <x v="0"/>
    <x v="0"/>
    <x v="11"/>
    <n v="125"/>
    <n v="1.01E-2"/>
  </r>
  <r>
    <x v="1"/>
    <x v="83"/>
    <x v="0"/>
    <x v="0"/>
    <x v="12"/>
    <n v="108"/>
    <n v="1.24E-2"/>
  </r>
  <r>
    <x v="1"/>
    <x v="83"/>
    <x v="0"/>
    <x v="0"/>
    <x v="13"/>
    <n v="91"/>
    <n v="6.4000000000000003E-3"/>
  </r>
  <r>
    <x v="0"/>
    <x v="84"/>
    <x v="0"/>
    <x v="0"/>
    <x v="0"/>
    <n v="92"/>
    <n v="0.1958"/>
  </r>
  <r>
    <x v="0"/>
    <x v="84"/>
    <x v="0"/>
    <x v="0"/>
    <x v="1"/>
    <n v="94"/>
    <n v="2.2599999999999999E-2"/>
  </r>
  <r>
    <x v="0"/>
    <x v="84"/>
    <x v="0"/>
    <x v="0"/>
    <x v="2"/>
    <n v="95"/>
    <n v="6.3E-2"/>
  </r>
  <r>
    <x v="0"/>
    <x v="84"/>
    <x v="0"/>
    <x v="0"/>
    <x v="3"/>
    <n v="99"/>
    <n v="5.7700000000000001E-2"/>
  </r>
  <r>
    <x v="0"/>
    <x v="84"/>
    <x v="0"/>
    <x v="0"/>
    <x v="4"/>
    <n v="92"/>
    <n v="0.12640000000000001"/>
  </r>
  <r>
    <x v="0"/>
    <x v="84"/>
    <x v="0"/>
    <x v="0"/>
    <x v="5"/>
    <n v="92"/>
    <n v="3.1199999999999999E-2"/>
  </r>
  <r>
    <x v="0"/>
    <x v="84"/>
    <x v="0"/>
    <x v="0"/>
    <x v="6"/>
    <n v="91"/>
    <n v="3.5499999999999997E-2"/>
  </r>
  <r>
    <x v="0"/>
    <x v="84"/>
    <x v="0"/>
    <x v="0"/>
    <x v="7"/>
    <n v="87"/>
    <n v="0.10440000000000001"/>
  </r>
  <r>
    <x v="0"/>
    <x v="84"/>
    <x v="0"/>
    <x v="0"/>
    <x v="8"/>
    <n v="89"/>
    <n v="1.8100000000000002E-2"/>
  </r>
  <r>
    <x v="0"/>
    <x v="84"/>
    <x v="0"/>
    <x v="0"/>
    <x v="9"/>
    <n v="100"/>
    <n v="4.3400000000000001E-2"/>
  </r>
  <r>
    <x v="0"/>
    <x v="84"/>
    <x v="0"/>
    <x v="0"/>
    <x v="10"/>
    <n v="92"/>
    <n v="3.6600000000000001E-2"/>
  </r>
  <r>
    <x v="0"/>
    <x v="84"/>
    <x v="0"/>
    <x v="0"/>
    <x v="11"/>
    <n v="91"/>
    <n v="4.9399999999999999E-2"/>
  </r>
  <r>
    <x v="0"/>
    <x v="84"/>
    <x v="0"/>
    <x v="0"/>
    <x v="12"/>
    <n v="90"/>
    <n v="6.0699999999999997E-2"/>
  </r>
  <r>
    <x v="0"/>
    <x v="84"/>
    <x v="0"/>
    <x v="0"/>
    <x v="13"/>
    <n v="92"/>
    <n v="3.7100000000000001E-2"/>
  </r>
  <r>
    <x v="1"/>
    <x v="85"/>
    <x v="0"/>
    <x v="0"/>
    <x v="0"/>
    <n v="84"/>
    <n v="5.9400000000000001E-2"/>
  </r>
  <r>
    <x v="1"/>
    <x v="85"/>
    <x v="0"/>
    <x v="0"/>
    <x v="1"/>
    <n v="74"/>
    <n v="6.7000000000000002E-3"/>
  </r>
  <r>
    <x v="1"/>
    <x v="85"/>
    <x v="0"/>
    <x v="0"/>
    <x v="2"/>
    <n v="95"/>
    <n v="1.9300000000000001E-2"/>
  </r>
  <r>
    <x v="1"/>
    <x v="85"/>
    <x v="0"/>
    <x v="0"/>
    <x v="3"/>
    <n v="80"/>
    <n v="1.49E-2"/>
  </r>
  <r>
    <x v="1"/>
    <x v="85"/>
    <x v="0"/>
    <x v="0"/>
    <x v="4"/>
    <n v="82"/>
    <n v="2.92E-2"/>
  </r>
  <r>
    <x v="1"/>
    <x v="85"/>
    <x v="0"/>
    <x v="0"/>
    <x v="5"/>
    <n v="99"/>
    <n v="6.4000000000000003E-3"/>
  </r>
  <r>
    <x v="1"/>
    <x v="85"/>
    <x v="0"/>
    <x v="0"/>
    <x v="6"/>
    <n v="93"/>
    <n v="8.0000000000000002E-3"/>
  </r>
  <r>
    <x v="1"/>
    <x v="85"/>
    <x v="0"/>
    <x v="0"/>
    <x v="7"/>
    <n v="78"/>
    <n v="2.3900000000000001E-2"/>
  </r>
  <r>
    <x v="1"/>
    <x v="85"/>
    <x v="0"/>
    <x v="0"/>
    <x v="8"/>
    <n v="62"/>
    <n v="4.4000000000000003E-3"/>
  </r>
  <r>
    <x v="1"/>
    <x v="85"/>
    <x v="0"/>
    <x v="0"/>
    <x v="9"/>
    <n v="82"/>
    <n v="1.09E-2"/>
  </r>
  <r>
    <x v="1"/>
    <x v="85"/>
    <x v="0"/>
    <x v="0"/>
    <x v="10"/>
    <n v="80"/>
    <n v="6.1000000000000004E-3"/>
  </r>
  <r>
    <x v="1"/>
    <x v="85"/>
    <x v="0"/>
    <x v="0"/>
    <x v="11"/>
    <n v="87"/>
    <n v="7.9000000000000008E-3"/>
  </r>
  <r>
    <x v="1"/>
    <x v="85"/>
    <x v="0"/>
    <x v="0"/>
    <x v="12"/>
    <n v="86"/>
    <n v="1.0200000000000001E-2"/>
  </r>
  <r>
    <x v="1"/>
    <x v="85"/>
    <x v="0"/>
    <x v="0"/>
    <x v="13"/>
    <n v="72"/>
    <n v="1.24E-2"/>
  </r>
  <r>
    <x v="1"/>
    <x v="86"/>
    <x v="0"/>
    <x v="0"/>
    <x v="0"/>
    <n v="72"/>
    <n v="4.3900000000000002E-2"/>
  </r>
  <r>
    <x v="1"/>
    <x v="86"/>
    <x v="0"/>
    <x v="0"/>
    <x v="1"/>
    <n v="79"/>
    <n v="5.5999999999999999E-3"/>
  </r>
  <r>
    <x v="1"/>
    <x v="86"/>
    <x v="0"/>
    <x v="0"/>
    <x v="2"/>
    <n v="81"/>
    <n v="1.49E-2"/>
  </r>
  <r>
    <x v="1"/>
    <x v="86"/>
    <x v="0"/>
    <x v="0"/>
    <x v="3"/>
    <n v="108"/>
    <n v="9.9000000000000008E-3"/>
  </r>
  <r>
    <x v="1"/>
    <x v="86"/>
    <x v="0"/>
    <x v="0"/>
    <x v="4"/>
    <n v="65"/>
    <n v="2.1499999999999998E-2"/>
  </r>
  <r>
    <x v="1"/>
    <x v="86"/>
    <x v="0"/>
    <x v="0"/>
    <x v="5"/>
    <n v="56"/>
    <n v="6.7000000000000002E-3"/>
  </r>
  <r>
    <x v="1"/>
    <x v="86"/>
    <x v="0"/>
    <x v="0"/>
    <x v="6"/>
    <n v="55"/>
    <n v="8.3000000000000001E-3"/>
  </r>
  <r>
    <x v="1"/>
    <x v="86"/>
    <x v="0"/>
    <x v="0"/>
    <x v="7"/>
    <n v="74"/>
    <n v="1.5800000000000002E-2"/>
  </r>
  <r>
    <x v="1"/>
    <x v="86"/>
    <x v="0"/>
    <x v="0"/>
    <x v="8"/>
    <n v="65"/>
    <n v="4.0000000000000001E-3"/>
  </r>
  <r>
    <x v="1"/>
    <x v="86"/>
    <x v="0"/>
    <x v="0"/>
    <x v="9"/>
    <n v="111"/>
    <n v="7.6E-3"/>
  </r>
  <r>
    <x v="1"/>
    <x v="86"/>
    <x v="0"/>
    <x v="0"/>
    <x v="10"/>
    <n v="56"/>
    <n v="6.7999999999999996E-3"/>
  </r>
  <r>
    <x v="1"/>
    <x v="86"/>
    <x v="0"/>
    <x v="0"/>
    <x v="11"/>
    <n v="61"/>
    <n v="7.1999999999999998E-3"/>
  </r>
  <r>
    <x v="1"/>
    <x v="86"/>
    <x v="0"/>
    <x v="0"/>
    <x v="12"/>
    <n v="67"/>
    <n v="7.7999999999999996E-3"/>
  </r>
  <r>
    <x v="1"/>
    <x v="86"/>
    <x v="0"/>
    <x v="0"/>
    <x v="13"/>
    <n v="71"/>
    <n v="8.6999999999999994E-3"/>
  </r>
  <r>
    <x v="0"/>
    <x v="87"/>
    <x v="0"/>
    <x v="0"/>
    <x v="0"/>
    <n v="85"/>
    <n v="0.22420000000000001"/>
  </r>
  <r>
    <x v="0"/>
    <x v="87"/>
    <x v="0"/>
    <x v="0"/>
    <x v="1"/>
    <n v="60"/>
    <n v="2.7199999999999998E-2"/>
  </r>
  <r>
    <x v="0"/>
    <x v="87"/>
    <x v="0"/>
    <x v="0"/>
    <x v="2"/>
    <n v="71"/>
    <n v="6.4799999999999996E-2"/>
  </r>
  <r>
    <x v="0"/>
    <x v="87"/>
    <x v="0"/>
    <x v="0"/>
    <x v="3"/>
    <n v="65"/>
    <n v="5.21E-2"/>
  </r>
  <r>
    <x v="0"/>
    <x v="87"/>
    <x v="0"/>
    <x v="0"/>
    <x v="4"/>
    <n v="93"/>
    <n v="0.14480000000000001"/>
  </r>
  <r>
    <x v="0"/>
    <x v="87"/>
    <x v="0"/>
    <x v="0"/>
    <x v="5"/>
    <n v="99"/>
    <n v="0.05"/>
  </r>
  <r>
    <x v="0"/>
    <x v="87"/>
    <x v="0"/>
    <x v="0"/>
    <x v="6"/>
    <n v="94"/>
    <n v="5.2600000000000001E-2"/>
  </r>
  <r>
    <x v="0"/>
    <x v="87"/>
    <x v="0"/>
    <x v="0"/>
    <x v="7"/>
    <n v="67"/>
    <n v="9.0300000000000005E-2"/>
  </r>
  <r>
    <x v="0"/>
    <x v="87"/>
    <x v="0"/>
    <x v="0"/>
    <x v="8"/>
    <n v="86"/>
    <n v="2.4500000000000001E-2"/>
  </r>
  <r>
    <x v="0"/>
    <x v="87"/>
    <x v="0"/>
    <x v="0"/>
    <x v="9"/>
    <n v="66"/>
    <n v="4.0599999999999997E-2"/>
  </r>
  <r>
    <x v="0"/>
    <x v="87"/>
    <x v="0"/>
    <x v="0"/>
    <x v="10"/>
    <n v="98"/>
    <n v="5.7500000000000002E-2"/>
  </r>
  <r>
    <x v="0"/>
    <x v="87"/>
    <x v="0"/>
    <x v="0"/>
    <x v="11"/>
    <n v="92"/>
    <n v="6.9500000000000006E-2"/>
  </r>
  <r>
    <x v="0"/>
    <x v="87"/>
    <x v="0"/>
    <x v="0"/>
    <x v="12"/>
    <n v="93"/>
    <n v="6.93E-2"/>
  </r>
  <r>
    <x v="0"/>
    <x v="87"/>
    <x v="0"/>
    <x v="0"/>
    <x v="13"/>
    <n v="69"/>
    <n v="4.5900000000000003E-2"/>
  </r>
  <r>
    <x v="0"/>
    <x v="88"/>
    <x v="0"/>
    <x v="0"/>
    <x v="0"/>
    <n v="108"/>
    <n v="0.21920000000000001"/>
  </r>
  <r>
    <x v="0"/>
    <x v="88"/>
    <x v="0"/>
    <x v="0"/>
    <x v="1"/>
    <n v="110"/>
    <n v="4.9399999999999999E-2"/>
  </r>
  <r>
    <x v="0"/>
    <x v="88"/>
    <x v="0"/>
    <x v="0"/>
    <x v="2"/>
    <n v="114"/>
    <n v="0.1119"/>
  </r>
  <r>
    <x v="0"/>
    <x v="88"/>
    <x v="0"/>
    <x v="0"/>
    <x v="3"/>
    <n v="107"/>
    <n v="0.1113"/>
  </r>
  <r>
    <x v="0"/>
    <x v="88"/>
    <x v="0"/>
    <x v="0"/>
    <x v="4"/>
    <n v="109"/>
    <n v="0.1459"/>
  </r>
  <r>
    <x v="0"/>
    <x v="88"/>
    <x v="0"/>
    <x v="0"/>
    <x v="5"/>
    <n v="99"/>
    <n v="5.0900000000000001E-2"/>
  </r>
  <r>
    <x v="0"/>
    <x v="88"/>
    <x v="0"/>
    <x v="0"/>
    <x v="6"/>
    <n v="96"/>
    <n v="5.4100000000000002E-2"/>
  </r>
  <r>
    <x v="0"/>
    <x v="88"/>
    <x v="0"/>
    <x v="0"/>
    <x v="7"/>
    <n v="107"/>
    <n v="0.10929999999999999"/>
  </r>
  <r>
    <x v="0"/>
    <x v="88"/>
    <x v="0"/>
    <x v="0"/>
    <x v="8"/>
    <n v="97"/>
    <n v="3.1800000000000002E-2"/>
  </r>
  <r>
    <x v="0"/>
    <x v="88"/>
    <x v="0"/>
    <x v="0"/>
    <x v="9"/>
    <n v="108"/>
    <n v="9.5899999999999999E-2"/>
  </r>
  <r>
    <x v="0"/>
    <x v="88"/>
    <x v="0"/>
    <x v="0"/>
    <x v="10"/>
    <n v="104"/>
    <n v="6.3299999999999995E-2"/>
  </r>
  <r>
    <x v="0"/>
    <x v="88"/>
    <x v="0"/>
    <x v="0"/>
    <x v="11"/>
    <n v="109"/>
    <n v="7.5700000000000003E-2"/>
  </r>
  <r>
    <x v="0"/>
    <x v="88"/>
    <x v="0"/>
    <x v="0"/>
    <x v="12"/>
    <n v="111"/>
    <n v="8.3699999999999997E-2"/>
  </r>
  <r>
    <x v="0"/>
    <x v="88"/>
    <x v="0"/>
    <x v="0"/>
    <x v="13"/>
    <n v="106"/>
    <n v="6.9099999999999995E-2"/>
  </r>
  <r>
    <x v="0"/>
    <x v="89"/>
    <x v="0"/>
    <x v="0"/>
    <x v="0"/>
    <n v="83"/>
    <n v="0.18740000000000001"/>
  </r>
  <r>
    <x v="0"/>
    <x v="89"/>
    <x v="0"/>
    <x v="0"/>
    <x v="1"/>
    <n v="99"/>
    <n v="2.1299999999999999E-2"/>
  </r>
  <r>
    <x v="0"/>
    <x v="89"/>
    <x v="0"/>
    <x v="0"/>
    <x v="2"/>
    <n v="89"/>
    <n v="5.74E-2"/>
  </r>
  <r>
    <x v="0"/>
    <x v="89"/>
    <x v="0"/>
    <x v="0"/>
    <x v="3"/>
    <n v="90"/>
    <n v="4.6899999999999997E-2"/>
  </r>
  <r>
    <x v="0"/>
    <x v="89"/>
    <x v="0"/>
    <x v="0"/>
    <x v="4"/>
    <n v="80"/>
    <n v="0.1198"/>
  </r>
  <r>
    <x v="0"/>
    <x v="89"/>
    <x v="0"/>
    <x v="0"/>
    <x v="5"/>
    <n v="77"/>
    <n v="4.07E-2"/>
  </r>
  <r>
    <x v="0"/>
    <x v="89"/>
    <x v="0"/>
    <x v="0"/>
    <x v="6"/>
    <n v="74"/>
    <n v="4.3400000000000001E-2"/>
  </r>
  <r>
    <x v="0"/>
    <x v="89"/>
    <x v="0"/>
    <x v="0"/>
    <x v="7"/>
    <n v="84"/>
    <n v="9.0399999999999994E-2"/>
  </r>
  <r>
    <x v="0"/>
    <x v="89"/>
    <x v="0"/>
    <x v="0"/>
    <x v="8"/>
    <n v="90"/>
    <n v="1.8100000000000002E-2"/>
  </r>
  <r>
    <x v="0"/>
    <x v="89"/>
    <x v="0"/>
    <x v="0"/>
    <x v="9"/>
    <n v="93"/>
    <n v="3.5099999999999999E-2"/>
  </r>
  <r>
    <x v="0"/>
    <x v="89"/>
    <x v="0"/>
    <x v="0"/>
    <x v="10"/>
    <n v="81"/>
    <n v="4.3799999999999999E-2"/>
  </r>
  <r>
    <x v="0"/>
    <x v="89"/>
    <x v="0"/>
    <x v="0"/>
    <x v="11"/>
    <n v="80"/>
    <n v="5.5E-2"/>
  </r>
  <r>
    <x v="0"/>
    <x v="89"/>
    <x v="0"/>
    <x v="0"/>
    <x v="12"/>
    <n v="82"/>
    <n v="6.4100000000000004E-2"/>
  </r>
  <r>
    <x v="0"/>
    <x v="89"/>
    <x v="0"/>
    <x v="0"/>
    <x v="13"/>
    <n v="89"/>
    <n v="3.6999999999999998E-2"/>
  </r>
  <r>
    <x v="1"/>
    <x v="90"/>
    <x v="0"/>
    <x v="0"/>
    <x v="0"/>
    <n v="119"/>
    <n v="7.0499999999999993E-2"/>
  </r>
  <r>
    <x v="1"/>
    <x v="90"/>
    <x v="0"/>
    <x v="0"/>
    <x v="1"/>
    <n v="106"/>
    <n v="8.3000000000000001E-3"/>
  </r>
  <r>
    <x v="1"/>
    <x v="90"/>
    <x v="0"/>
    <x v="0"/>
    <x v="2"/>
    <n v="120"/>
    <n v="2.5600000000000001E-2"/>
  </r>
  <r>
    <x v="1"/>
    <x v="90"/>
    <x v="0"/>
    <x v="0"/>
    <x v="3"/>
    <n v="115"/>
    <n v="2.06E-2"/>
  </r>
  <r>
    <x v="1"/>
    <x v="90"/>
    <x v="0"/>
    <x v="0"/>
    <x v="4"/>
    <n v="119"/>
    <n v="4.3400000000000001E-2"/>
  </r>
  <r>
    <x v="1"/>
    <x v="90"/>
    <x v="0"/>
    <x v="0"/>
    <x v="5"/>
    <n v="143"/>
    <n v="9.7999999999999997E-3"/>
  </r>
  <r>
    <x v="1"/>
    <x v="90"/>
    <x v="0"/>
    <x v="0"/>
    <x v="6"/>
    <n v="125"/>
    <n v="1.35E-2"/>
  </r>
  <r>
    <x v="1"/>
    <x v="90"/>
    <x v="0"/>
    <x v="0"/>
    <x v="7"/>
    <n v="115"/>
    <n v="3.5200000000000002E-2"/>
  </r>
  <r>
    <x v="1"/>
    <x v="90"/>
    <x v="0"/>
    <x v="0"/>
    <x v="8"/>
    <n v="105"/>
    <n v="6.1999999999999998E-3"/>
  </r>
  <r>
    <x v="1"/>
    <x v="90"/>
    <x v="0"/>
    <x v="0"/>
    <x v="9"/>
    <n v="114"/>
    <n v="1.6199999999999999E-2"/>
  </r>
  <r>
    <x v="1"/>
    <x v="90"/>
    <x v="0"/>
    <x v="0"/>
    <x v="10"/>
    <n v="125"/>
    <n v="1.17E-2"/>
  </r>
  <r>
    <x v="1"/>
    <x v="90"/>
    <x v="0"/>
    <x v="0"/>
    <x v="11"/>
    <n v="116"/>
    <n v="1.6299999999999999E-2"/>
  </r>
  <r>
    <x v="1"/>
    <x v="90"/>
    <x v="0"/>
    <x v="0"/>
    <x v="12"/>
    <n v="119"/>
    <n v="2.1299999999999999E-2"/>
  </r>
  <r>
    <x v="1"/>
    <x v="90"/>
    <x v="0"/>
    <x v="0"/>
    <x v="13"/>
    <n v="110"/>
    <n v="1.6E-2"/>
  </r>
  <r>
    <x v="1"/>
    <x v="91"/>
    <x v="0"/>
    <x v="0"/>
    <x v="0"/>
    <n v="123"/>
    <n v="8.4199999999999997E-2"/>
  </r>
  <r>
    <x v="1"/>
    <x v="91"/>
    <x v="0"/>
    <x v="0"/>
    <x v="1"/>
    <n v="131"/>
    <n v="1.4500000000000001E-2"/>
  </r>
  <r>
    <x v="1"/>
    <x v="91"/>
    <x v="0"/>
    <x v="0"/>
    <x v="2"/>
    <n v="128"/>
    <n v="0.04"/>
  </r>
  <r>
    <x v="1"/>
    <x v="91"/>
    <x v="0"/>
    <x v="0"/>
    <x v="3"/>
    <n v="124"/>
    <n v="3.1399999999999997E-2"/>
  </r>
  <r>
    <x v="1"/>
    <x v="91"/>
    <x v="0"/>
    <x v="0"/>
    <x v="4"/>
    <n v="120"/>
    <n v="5.6899999999999999E-2"/>
  </r>
  <r>
    <x v="1"/>
    <x v="91"/>
    <x v="0"/>
    <x v="0"/>
    <x v="5"/>
    <n v="110"/>
    <n v="0.02"/>
  </r>
  <r>
    <x v="1"/>
    <x v="91"/>
    <x v="0"/>
    <x v="0"/>
    <x v="6"/>
    <n v="106"/>
    <n v="1.8499999999999999E-2"/>
  </r>
  <r>
    <x v="1"/>
    <x v="91"/>
    <x v="0"/>
    <x v="0"/>
    <x v="7"/>
    <n v="126"/>
    <n v="4.0399999999999998E-2"/>
  </r>
  <r>
    <x v="1"/>
    <x v="91"/>
    <x v="0"/>
    <x v="0"/>
    <x v="8"/>
    <n v="140"/>
    <n v="7.1999999999999998E-3"/>
  </r>
  <r>
    <x v="1"/>
    <x v="91"/>
    <x v="0"/>
    <x v="0"/>
    <x v="9"/>
    <n v="124"/>
    <n v="2.6800000000000001E-2"/>
  </r>
  <r>
    <x v="1"/>
    <x v="91"/>
    <x v="0"/>
    <x v="0"/>
    <x v="10"/>
    <n v="109"/>
    <n v="2.3599999999999999E-2"/>
  </r>
  <r>
    <x v="1"/>
    <x v="91"/>
    <x v="0"/>
    <x v="0"/>
    <x v="11"/>
    <n v="116"/>
    <n v="3.0099999999999998E-2"/>
  </r>
  <r>
    <x v="1"/>
    <x v="91"/>
    <x v="0"/>
    <x v="0"/>
    <x v="12"/>
    <n v="121"/>
    <n v="3.32E-2"/>
  </r>
  <r>
    <x v="1"/>
    <x v="91"/>
    <x v="0"/>
    <x v="0"/>
    <x v="13"/>
    <n v="133"/>
    <n v="2.0400000000000001E-2"/>
  </r>
  <r>
    <x v="0"/>
    <x v="92"/>
    <x v="0"/>
    <x v="0"/>
    <x v="0"/>
    <n v="95"/>
    <n v="0.2165"/>
  </r>
  <r>
    <x v="0"/>
    <x v="92"/>
    <x v="0"/>
    <x v="0"/>
    <x v="1"/>
    <n v="92"/>
    <n v="3.9E-2"/>
  </r>
  <r>
    <x v="0"/>
    <x v="92"/>
    <x v="0"/>
    <x v="0"/>
    <x v="2"/>
    <n v="101"/>
    <n v="9.0499999999999997E-2"/>
  </r>
  <r>
    <x v="0"/>
    <x v="92"/>
    <x v="0"/>
    <x v="0"/>
    <x v="3"/>
    <n v="96"/>
    <n v="7.17E-2"/>
  </r>
  <r>
    <x v="0"/>
    <x v="92"/>
    <x v="0"/>
    <x v="0"/>
    <x v="4"/>
    <n v="97"/>
    <n v="0.1462"/>
  </r>
  <r>
    <x v="0"/>
    <x v="92"/>
    <x v="0"/>
    <x v="0"/>
    <x v="5"/>
    <n v="96"/>
    <n v="5.6000000000000001E-2"/>
  </r>
  <r>
    <x v="0"/>
    <x v="92"/>
    <x v="0"/>
    <x v="0"/>
    <x v="6"/>
    <n v="90"/>
    <n v="6.3299999999999995E-2"/>
  </r>
  <r>
    <x v="0"/>
    <x v="92"/>
    <x v="0"/>
    <x v="0"/>
    <x v="7"/>
    <n v="92"/>
    <n v="0.11650000000000001"/>
  </r>
  <r>
    <x v="0"/>
    <x v="92"/>
    <x v="0"/>
    <x v="0"/>
    <x v="8"/>
    <n v="91"/>
    <n v="3.4599999999999999E-2"/>
  </r>
  <r>
    <x v="0"/>
    <x v="92"/>
    <x v="0"/>
    <x v="0"/>
    <x v="9"/>
    <n v="97"/>
    <n v="5.79E-2"/>
  </r>
  <r>
    <x v="0"/>
    <x v="92"/>
    <x v="0"/>
    <x v="0"/>
    <x v="10"/>
    <n v="98"/>
    <n v="5.9799999999999999E-2"/>
  </r>
  <r>
    <x v="0"/>
    <x v="92"/>
    <x v="0"/>
    <x v="0"/>
    <x v="11"/>
    <n v="96"/>
    <n v="7.3899999999999993E-2"/>
  </r>
  <r>
    <x v="0"/>
    <x v="92"/>
    <x v="0"/>
    <x v="0"/>
    <x v="12"/>
    <n v="97"/>
    <n v="8.1799999999999998E-2"/>
  </r>
  <r>
    <x v="0"/>
    <x v="92"/>
    <x v="0"/>
    <x v="0"/>
    <x v="13"/>
    <n v="91"/>
    <n v="6.1499999999999999E-2"/>
  </r>
  <r>
    <x v="0"/>
    <x v="93"/>
    <x v="0"/>
    <x v="0"/>
    <x v="0"/>
    <n v="103"/>
    <n v="0.22509999999999999"/>
  </r>
  <r>
    <x v="0"/>
    <x v="93"/>
    <x v="0"/>
    <x v="0"/>
    <x v="1"/>
    <n v="111"/>
    <n v="1.9400000000000001E-2"/>
  </r>
  <r>
    <x v="0"/>
    <x v="93"/>
    <x v="0"/>
    <x v="0"/>
    <x v="2"/>
    <n v="105"/>
    <n v="5.7500000000000002E-2"/>
  </r>
  <r>
    <x v="0"/>
    <x v="93"/>
    <x v="0"/>
    <x v="0"/>
    <x v="3"/>
    <n v="104"/>
    <n v="6.2E-2"/>
  </r>
  <r>
    <x v="0"/>
    <x v="93"/>
    <x v="0"/>
    <x v="0"/>
    <x v="4"/>
    <n v="103"/>
    <n v="0.16300000000000001"/>
  </r>
  <r>
    <x v="0"/>
    <x v="93"/>
    <x v="0"/>
    <x v="0"/>
    <x v="5"/>
    <n v="97"/>
    <n v="4.8099999999999997E-2"/>
  </r>
  <r>
    <x v="0"/>
    <x v="93"/>
    <x v="0"/>
    <x v="0"/>
    <x v="6"/>
    <n v="98"/>
    <n v="4.9500000000000002E-2"/>
  </r>
  <r>
    <x v="0"/>
    <x v="93"/>
    <x v="0"/>
    <x v="0"/>
    <x v="7"/>
    <n v="106"/>
    <n v="0.10299999999999999"/>
  </r>
  <r>
    <x v="0"/>
    <x v="93"/>
    <x v="0"/>
    <x v="0"/>
    <x v="8"/>
    <n v="102"/>
    <n v="1.9199999999999998E-2"/>
  </r>
  <r>
    <x v="0"/>
    <x v="93"/>
    <x v="0"/>
    <x v="0"/>
    <x v="9"/>
    <n v="105"/>
    <n v="3.8800000000000001E-2"/>
  </r>
  <r>
    <x v="0"/>
    <x v="93"/>
    <x v="0"/>
    <x v="0"/>
    <x v="10"/>
    <n v="100"/>
    <n v="6.08E-2"/>
  </r>
  <r>
    <x v="0"/>
    <x v="93"/>
    <x v="0"/>
    <x v="0"/>
    <x v="11"/>
    <n v="102"/>
    <n v="7.6399999999999996E-2"/>
  </r>
  <r>
    <x v="0"/>
    <x v="93"/>
    <x v="0"/>
    <x v="0"/>
    <x v="12"/>
    <n v="103"/>
    <n v="8.9800000000000005E-2"/>
  </r>
  <r>
    <x v="0"/>
    <x v="93"/>
    <x v="0"/>
    <x v="0"/>
    <x v="13"/>
    <n v="104"/>
    <n v="3.8600000000000002E-2"/>
  </r>
  <r>
    <x v="1"/>
    <x v="94"/>
    <x v="0"/>
    <x v="1"/>
    <x v="0"/>
    <n v="112"/>
    <n v="0.61460000000000004"/>
  </r>
  <r>
    <x v="1"/>
    <x v="94"/>
    <x v="0"/>
    <x v="1"/>
    <x v="1"/>
    <n v="93"/>
    <n v="9.1499999999999998E-2"/>
  </r>
  <r>
    <x v="1"/>
    <x v="94"/>
    <x v="0"/>
    <x v="1"/>
    <x v="2"/>
    <n v="107"/>
    <n v="0.25490000000000002"/>
  </r>
  <r>
    <x v="1"/>
    <x v="94"/>
    <x v="0"/>
    <x v="1"/>
    <x v="3"/>
    <n v="109"/>
    <n v="0.23569999999999999"/>
  </r>
  <r>
    <x v="1"/>
    <x v="94"/>
    <x v="0"/>
    <x v="1"/>
    <x v="4"/>
    <n v="117"/>
    <n v="0.4788"/>
  </r>
  <r>
    <x v="1"/>
    <x v="94"/>
    <x v="0"/>
    <x v="1"/>
    <x v="5"/>
    <n v="108"/>
    <n v="0.14710000000000001"/>
  </r>
  <r>
    <x v="1"/>
    <x v="94"/>
    <x v="0"/>
    <x v="1"/>
    <x v="6"/>
    <n v="107"/>
    <n v="0.1547"/>
  </r>
  <r>
    <x v="1"/>
    <x v="94"/>
    <x v="0"/>
    <x v="1"/>
    <x v="7"/>
    <n v="110"/>
    <n v="0.3962"/>
  </r>
  <r>
    <x v="1"/>
    <x v="94"/>
    <x v="0"/>
    <x v="1"/>
    <x v="8"/>
    <n v="102"/>
    <n v="7.6700000000000004E-2"/>
  </r>
  <r>
    <x v="1"/>
    <x v="94"/>
    <x v="0"/>
    <x v="1"/>
    <x v="9"/>
    <n v="107"/>
    <n v="0.18479999999999999"/>
  </r>
  <r>
    <x v="1"/>
    <x v="94"/>
    <x v="0"/>
    <x v="1"/>
    <x v="10"/>
    <n v="109"/>
    <n v="0.18479999999999999"/>
  </r>
  <r>
    <x v="1"/>
    <x v="94"/>
    <x v="0"/>
    <x v="1"/>
    <x v="11"/>
    <n v="113"/>
    <n v="0.25440000000000002"/>
  </r>
  <r>
    <x v="1"/>
    <x v="94"/>
    <x v="0"/>
    <x v="1"/>
    <x v="12"/>
    <n v="119"/>
    <n v="0.30509999999999998"/>
  </r>
  <r>
    <x v="1"/>
    <x v="94"/>
    <x v="0"/>
    <x v="1"/>
    <x v="13"/>
    <n v="102"/>
    <n v="0.17180000000000001"/>
  </r>
  <r>
    <x v="1"/>
    <x v="95"/>
    <x v="0"/>
    <x v="0"/>
    <x v="0"/>
    <n v="104"/>
    <n v="0.16969999999999999"/>
  </r>
  <r>
    <x v="1"/>
    <x v="95"/>
    <x v="0"/>
    <x v="0"/>
    <x v="1"/>
    <n v="95"/>
    <n v="2.5600000000000001E-2"/>
  </r>
  <r>
    <x v="1"/>
    <x v="95"/>
    <x v="0"/>
    <x v="0"/>
    <x v="2"/>
    <n v="105"/>
    <n v="6.1899999999999997E-2"/>
  </r>
  <r>
    <x v="1"/>
    <x v="95"/>
    <x v="0"/>
    <x v="0"/>
    <x v="3"/>
    <n v="108"/>
    <n v="4.6300000000000001E-2"/>
  </r>
  <r>
    <x v="1"/>
    <x v="95"/>
    <x v="0"/>
    <x v="0"/>
    <x v="4"/>
    <n v="103"/>
    <n v="0.1026"/>
  </r>
  <r>
    <x v="1"/>
    <x v="95"/>
    <x v="0"/>
    <x v="0"/>
    <x v="5"/>
    <n v="99"/>
    <n v="3.4500000000000003E-2"/>
  </r>
  <r>
    <x v="1"/>
    <x v="95"/>
    <x v="0"/>
    <x v="0"/>
    <x v="6"/>
    <n v="98"/>
    <n v="3.9600000000000003E-2"/>
  </r>
  <r>
    <x v="1"/>
    <x v="95"/>
    <x v="0"/>
    <x v="0"/>
    <x v="7"/>
    <n v="112"/>
    <n v="8.8800000000000004E-2"/>
  </r>
  <r>
    <x v="1"/>
    <x v="95"/>
    <x v="0"/>
    <x v="0"/>
    <x v="8"/>
    <n v="97"/>
    <n v="2.3099999999999999E-2"/>
  </r>
  <r>
    <x v="1"/>
    <x v="95"/>
    <x v="0"/>
    <x v="0"/>
    <x v="9"/>
    <n v="110"/>
    <n v="3.6700000000000003E-2"/>
  </r>
  <r>
    <x v="1"/>
    <x v="95"/>
    <x v="0"/>
    <x v="0"/>
    <x v="10"/>
    <n v="103"/>
    <n v="3.4700000000000002E-2"/>
  </r>
  <r>
    <x v="1"/>
    <x v="95"/>
    <x v="0"/>
    <x v="0"/>
    <x v="11"/>
    <n v="103"/>
    <n v="4.2799999999999998E-2"/>
  </r>
  <r>
    <x v="1"/>
    <x v="95"/>
    <x v="0"/>
    <x v="0"/>
    <x v="12"/>
    <n v="105"/>
    <n v="4.6800000000000001E-2"/>
  </r>
  <r>
    <x v="1"/>
    <x v="95"/>
    <x v="0"/>
    <x v="0"/>
    <x v="13"/>
    <n v="102"/>
    <n v="4.2700000000000002E-2"/>
  </r>
  <r>
    <x v="1"/>
    <x v="96"/>
    <x v="0"/>
    <x v="0"/>
    <x v="0"/>
    <n v="100"/>
    <n v="6.4799999999999996E-2"/>
  </r>
  <r>
    <x v="1"/>
    <x v="96"/>
    <x v="0"/>
    <x v="0"/>
    <x v="1"/>
    <n v="123"/>
    <n v="2.8999999999999998E-3"/>
  </r>
  <r>
    <x v="1"/>
    <x v="96"/>
    <x v="0"/>
    <x v="0"/>
    <x v="2"/>
    <n v="95"/>
    <n v="2.0199999999999999E-2"/>
  </r>
  <r>
    <x v="1"/>
    <x v="96"/>
    <x v="0"/>
    <x v="0"/>
    <x v="3"/>
    <n v="94"/>
    <n v="1.7399999999999999E-2"/>
  </r>
  <r>
    <x v="1"/>
    <x v="96"/>
    <x v="0"/>
    <x v="0"/>
    <x v="4"/>
    <n v="104"/>
    <n v="4.1300000000000003E-2"/>
  </r>
  <r>
    <x v="1"/>
    <x v="96"/>
    <x v="0"/>
    <x v="0"/>
    <x v="5"/>
    <n v="90"/>
    <n v="1.7100000000000001E-2"/>
  </r>
  <r>
    <x v="1"/>
    <x v="96"/>
    <x v="0"/>
    <x v="0"/>
    <x v="6"/>
    <n v="89"/>
    <n v="1.52E-2"/>
  </r>
  <r>
    <x v="1"/>
    <x v="96"/>
    <x v="0"/>
    <x v="0"/>
    <x v="7"/>
    <n v="102"/>
    <n v="3.1199999999999999E-2"/>
  </r>
  <r>
    <x v="1"/>
    <x v="96"/>
    <x v="0"/>
    <x v="0"/>
    <x v="8"/>
    <n v="119"/>
    <n v="2.3999999999999998E-3"/>
  </r>
  <r>
    <x v="1"/>
    <x v="96"/>
    <x v="0"/>
    <x v="0"/>
    <x v="9"/>
    <n v="93"/>
    <n v="1.3299999999999999E-2"/>
  </r>
  <r>
    <x v="1"/>
    <x v="96"/>
    <x v="0"/>
    <x v="0"/>
    <x v="10"/>
    <n v="94"/>
    <n v="1.9199999999999998E-2"/>
  </r>
  <r>
    <x v="1"/>
    <x v="96"/>
    <x v="0"/>
    <x v="0"/>
    <x v="11"/>
    <n v="100"/>
    <n v="2.2599999999999999E-2"/>
  </r>
  <r>
    <x v="1"/>
    <x v="96"/>
    <x v="0"/>
    <x v="0"/>
    <x v="12"/>
    <n v="108"/>
    <n v="2.47E-2"/>
  </r>
  <r>
    <x v="1"/>
    <x v="96"/>
    <x v="0"/>
    <x v="0"/>
    <x v="13"/>
    <n v="95"/>
    <n v="1.06E-2"/>
  </r>
  <r>
    <x v="1"/>
    <x v="97"/>
    <x v="0"/>
    <x v="0"/>
    <x v="0"/>
    <n v="109"/>
    <n v="0.15609999999999999"/>
  </r>
  <r>
    <x v="1"/>
    <x v="97"/>
    <x v="0"/>
    <x v="0"/>
    <x v="1"/>
    <n v="104"/>
    <n v="1.9300000000000001E-2"/>
  </r>
  <r>
    <x v="1"/>
    <x v="97"/>
    <x v="0"/>
    <x v="0"/>
    <x v="2"/>
    <n v="118"/>
    <n v="5.7000000000000002E-2"/>
  </r>
  <r>
    <x v="1"/>
    <x v="97"/>
    <x v="0"/>
    <x v="0"/>
    <x v="3"/>
    <n v="110"/>
    <n v="4.6100000000000002E-2"/>
  </r>
  <r>
    <x v="1"/>
    <x v="97"/>
    <x v="0"/>
    <x v="0"/>
    <x v="4"/>
    <n v="107"/>
    <n v="9.69E-2"/>
  </r>
  <r>
    <x v="1"/>
    <x v="97"/>
    <x v="0"/>
    <x v="0"/>
    <x v="5"/>
    <n v="103"/>
    <n v="2.9600000000000001E-2"/>
  </r>
  <r>
    <x v="1"/>
    <x v="97"/>
    <x v="0"/>
    <x v="0"/>
    <x v="6"/>
    <n v="104"/>
    <n v="3.32E-2"/>
  </r>
  <r>
    <x v="1"/>
    <x v="97"/>
    <x v="0"/>
    <x v="0"/>
    <x v="7"/>
    <n v="111"/>
    <n v="7.6899999999999996E-2"/>
  </r>
  <r>
    <x v="1"/>
    <x v="97"/>
    <x v="0"/>
    <x v="0"/>
    <x v="8"/>
    <n v="111"/>
    <n v="1.6299999999999999E-2"/>
  </r>
  <r>
    <x v="1"/>
    <x v="97"/>
    <x v="0"/>
    <x v="0"/>
    <x v="9"/>
    <n v="113"/>
    <n v="3.5900000000000001E-2"/>
  </r>
  <r>
    <x v="1"/>
    <x v="97"/>
    <x v="0"/>
    <x v="0"/>
    <x v="10"/>
    <n v="101"/>
    <n v="3.3300000000000003E-2"/>
  </r>
  <r>
    <x v="1"/>
    <x v="97"/>
    <x v="0"/>
    <x v="0"/>
    <x v="11"/>
    <n v="104"/>
    <n v="4.2299999999999997E-2"/>
  </r>
  <r>
    <x v="1"/>
    <x v="97"/>
    <x v="0"/>
    <x v="0"/>
    <x v="12"/>
    <n v="108"/>
    <n v="4.8599999999999997E-2"/>
  </r>
  <r>
    <x v="1"/>
    <x v="97"/>
    <x v="0"/>
    <x v="0"/>
    <x v="13"/>
    <n v="103"/>
    <n v="3.2399999999999998E-2"/>
  </r>
  <r>
    <x v="0"/>
    <x v="98"/>
    <x v="0"/>
    <x v="0"/>
    <x v="0"/>
    <n v="103"/>
    <n v="0.2364"/>
  </r>
  <r>
    <x v="0"/>
    <x v="98"/>
    <x v="0"/>
    <x v="0"/>
    <x v="1"/>
    <n v="74"/>
    <n v="2.2800000000000001E-2"/>
  </r>
  <r>
    <x v="0"/>
    <x v="98"/>
    <x v="0"/>
    <x v="0"/>
    <x v="2"/>
    <n v="107"/>
    <n v="7.22E-2"/>
  </r>
  <r>
    <x v="0"/>
    <x v="98"/>
    <x v="0"/>
    <x v="0"/>
    <x v="3"/>
    <n v="112"/>
    <n v="6.9699999999999998E-2"/>
  </r>
  <r>
    <x v="0"/>
    <x v="98"/>
    <x v="0"/>
    <x v="0"/>
    <x v="4"/>
    <n v="102"/>
    <n v="0.1691"/>
  </r>
  <r>
    <x v="0"/>
    <x v="98"/>
    <x v="0"/>
    <x v="0"/>
    <x v="5"/>
    <n v="98"/>
    <n v="3.2199999999999999E-2"/>
  </r>
  <r>
    <x v="0"/>
    <x v="98"/>
    <x v="0"/>
    <x v="0"/>
    <x v="6"/>
    <n v="94"/>
    <n v="3.6299999999999999E-2"/>
  </r>
  <r>
    <x v="0"/>
    <x v="98"/>
    <x v="0"/>
    <x v="0"/>
    <x v="7"/>
    <n v="105"/>
    <n v="0.13950000000000001"/>
  </r>
  <r>
    <x v="0"/>
    <x v="98"/>
    <x v="0"/>
    <x v="0"/>
    <x v="8"/>
    <n v="86"/>
    <n v="1.7299999999999999E-2"/>
  </r>
  <r>
    <x v="0"/>
    <x v="98"/>
    <x v="0"/>
    <x v="0"/>
    <x v="9"/>
    <n v="114"/>
    <n v="4.4999999999999998E-2"/>
  </r>
  <r>
    <x v="0"/>
    <x v="98"/>
    <x v="0"/>
    <x v="0"/>
    <x v="10"/>
    <n v="102"/>
    <n v="4.6699999999999998E-2"/>
  </r>
  <r>
    <x v="0"/>
    <x v="98"/>
    <x v="0"/>
    <x v="0"/>
    <x v="11"/>
    <n v="99"/>
    <n v="7.3099999999999998E-2"/>
  </r>
  <r>
    <x v="0"/>
    <x v="98"/>
    <x v="0"/>
    <x v="0"/>
    <x v="12"/>
    <n v="101"/>
    <n v="0.10009999999999999"/>
  </r>
  <r>
    <x v="0"/>
    <x v="98"/>
    <x v="0"/>
    <x v="0"/>
    <x v="13"/>
    <n v="86"/>
    <n v="3.8899999999999997E-2"/>
  </r>
  <r>
    <x v="1"/>
    <x v="99"/>
    <x v="0"/>
    <x v="0"/>
    <x v="0"/>
    <n v="115"/>
    <n v="0.1152"/>
  </r>
  <r>
    <x v="1"/>
    <x v="99"/>
    <x v="0"/>
    <x v="0"/>
    <x v="1"/>
    <n v="115"/>
    <n v="1.7600000000000001E-2"/>
  </r>
  <r>
    <x v="1"/>
    <x v="99"/>
    <x v="0"/>
    <x v="0"/>
    <x v="2"/>
    <n v="121"/>
    <n v="4.6600000000000003E-2"/>
  </r>
  <r>
    <x v="1"/>
    <x v="99"/>
    <x v="0"/>
    <x v="0"/>
    <x v="3"/>
    <n v="124"/>
    <n v="3.7999999999999999E-2"/>
  </r>
  <r>
    <x v="1"/>
    <x v="99"/>
    <x v="0"/>
    <x v="0"/>
    <x v="4"/>
    <n v="113"/>
    <n v="7.6700000000000004E-2"/>
  </r>
  <r>
    <x v="1"/>
    <x v="99"/>
    <x v="0"/>
    <x v="0"/>
    <x v="5"/>
    <n v="104"/>
    <n v="2.41E-2"/>
  </r>
  <r>
    <x v="1"/>
    <x v="99"/>
    <x v="0"/>
    <x v="0"/>
    <x v="6"/>
    <n v="104"/>
    <n v="2.6800000000000001E-2"/>
  </r>
  <r>
    <x v="1"/>
    <x v="99"/>
    <x v="0"/>
    <x v="0"/>
    <x v="7"/>
    <n v="120"/>
    <n v="5.3800000000000001E-2"/>
  </r>
  <r>
    <x v="1"/>
    <x v="99"/>
    <x v="0"/>
    <x v="0"/>
    <x v="8"/>
    <n v="105"/>
    <n v="1.4E-2"/>
  </r>
  <r>
    <x v="1"/>
    <x v="99"/>
    <x v="0"/>
    <x v="0"/>
    <x v="9"/>
    <n v="126"/>
    <n v="2.98E-2"/>
  </r>
  <r>
    <x v="1"/>
    <x v="99"/>
    <x v="0"/>
    <x v="0"/>
    <x v="10"/>
    <n v="105"/>
    <n v="2.81E-2"/>
  </r>
  <r>
    <x v="1"/>
    <x v="99"/>
    <x v="0"/>
    <x v="0"/>
    <x v="11"/>
    <n v="108"/>
    <n v="3.6499999999999998E-2"/>
  </r>
  <r>
    <x v="1"/>
    <x v="99"/>
    <x v="0"/>
    <x v="0"/>
    <x v="12"/>
    <n v="115"/>
    <n v="4.1599999999999998E-2"/>
  </r>
  <r>
    <x v="1"/>
    <x v="99"/>
    <x v="0"/>
    <x v="0"/>
    <x v="13"/>
    <n v="114"/>
    <n v="2.8299999999999999E-2"/>
  </r>
  <r>
    <x v="1"/>
    <x v="100"/>
    <x v="0"/>
    <x v="0"/>
    <x v="0"/>
    <n v="116"/>
    <n v="2.6700000000000002E-2"/>
  </r>
  <r>
    <x v="1"/>
    <x v="100"/>
    <x v="0"/>
    <x v="0"/>
    <x v="1"/>
    <n v="141"/>
    <n v="3.5999999999999999E-3"/>
  </r>
  <r>
    <x v="1"/>
    <x v="100"/>
    <x v="0"/>
    <x v="0"/>
    <x v="2"/>
    <n v="126"/>
    <n v="0.01"/>
  </r>
  <r>
    <x v="1"/>
    <x v="100"/>
    <x v="0"/>
    <x v="0"/>
    <x v="3"/>
    <n v="100"/>
    <n v="7.1000000000000004E-3"/>
  </r>
  <r>
    <x v="1"/>
    <x v="100"/>
    <x v="0"/>
    <x v="0"/>
    <x v="4"/>
    <n v="110"/>
    <n v="1.5800000000000002E-2"/>
  </r>
  <r>
    <x v="1"/>
    <x v="100"/>
    <x v="0"/>
    <x v="0"/>
    <x v="5"/>
    <n v="130"/>
    <n v="4.1999999999999997E-3"/>
  </r>
  <r>
    <x v="1"/>
    <x v="100"/>
    <x v="0"/>
    <x v="0"/>
    <x v="6"/>
    <n v="143"/>
    <n v="5.5999999999999999E-3"/>
  </r>
  <r>
    <x v="1"/>
    <x v="100"/>
    <x v="0"/>
    <x v="0"/>
    <x v="7"/>
    <n v="111"/>
    <n v="1.2500000000000001E-2"/>
  </r>
  <r>
    <x v="1"/>
    <x v="100"/>
    <x v="0"/>
    <x v="0"/>
    <x v="8"/>
    <n v="105"/>
    <n v="3.0999999999999999E-3"/>
  </r>
  <r>
    <x v="1"/>
    <x v="100"/>
    <x v="0"/>
    <x v="0"/>
    <x v="9"/>
    <n v="117"/>
    <n v="5.7999999999999996E-3"/>
  </r>
  <r>
    <x v="1"/>
    <x v="100"/>
    <x v="0"/>
    <x v="0"/>
    <x v="10"/>
    <n v="103"/>
    <n v="4.1999999999999997E-3"/>
  </r>
  <r>
    <x v="1"/>
    <x v="100"/>
    <x v="0"/>
    <x v="0"/>
    <x v="11"/>
    <n v="127"/>
    <n v="5.5999999999999999E-3"/>
  </r>
  <r>
    <x v="1"/>
    <x v="100"/>
    <x v="0"/>
    <x v="0"/>
    <x v="12"/>
    <n v="115"/>
    <n v="7.1999999999999998E-3"/>
  </r>
  <r>
    <x v="1"/>
    <x v="100"/>
    <x v="0"/>
    <x v="0"/>
    <x v="13"/>
    <n v="128"/>
    <n v="6.0000000000000001E-3"/>
  </r>
  <r>
    <x v="1"/>
    <x v="101"/>
    <x v="0"/>
    <x v="0"/>
    <x v="0"/>
    <n v="117"/>
    <n v="4.8899999999999999E-2"/>
  </r>
  <r>
    <x v="1"/>
    <x v="101"/>
    <x v="0"/>
    <x v="0"/>
    <x v="1"/>
    <n v="122"/>
    <n v="9.4999999999999998E-3"/>
  </r>
  <r>
    <x v="1"/>
    <x v="101"/>
    <x v="0"/>
    <x v="0"/>
    <x v="2"/>
    <n v="137"/>
    <n v="2.06E-2"/>
  </r>
  <r>
    <x v="1"/>
    <x v="101"/>
    <x v="0"/>
    <x v="0"/>
    <x v="3"/>
    <n v="119"/>
    <n v="1.2699999999999999E-2"/>
  </r>
  <r>
    <x v="1"/>
    <x v="101"/>
    <x v="0"/>
    <x v="0"/>
    <x v="4"/>
    <n v="108"/>
    <n v="2.87E-2"/>
  </r>
  <r>
    <x v="1"/>
    <x v="101"/>
    <x v="0"/>
    <x v="0"/>
    <x v="5"/>
    <n v="114"/>
    <n v="9.7000000000000003E-3"/>
  </r>
  <r>
    <x v="1"/>
    <x v="101"/>
    <x v="0"/>
    <x v="0"/>
    <x v="6"/>
    <n v="101"/>
    <n v="1.1599999999999999E-2"/>
  </r>
  <r>
    <x v="1"/>
    <x v="101"/>
    <x v="0"/>
    <x v="0"/>
    <x v="7"/>
    <n v="114"/>
    <n v="2.75E-2"/>
  </r>
  <r>
    <x v="1"/>
    <x v="101"/>
    <x v="0"/>
    <x v="0"/>
    <x v="8"/>
    <n v="95"/>
    <n v="6.7000000000000002E-3"/>
  </r>
  <r>
    <x v="1"/>
    <x v="101"/>
    <x v="0"/>
    <x v="0"/>
    <x v="9"/>
    <n v="120"/>
    <n v="1.06E-2"/>
  </r>
  <r>
    <x v="1"/>
    <x v="101"/>
    <x v="0"/>
    <x v="0"/>
    <x v="10"/>
    <n v="113"/>
    <n v="1.0200000000000001E-2"/>
  </r>
  <r>
    <x v="1"/>
    <x v="101"/>
    <x v="0"/>
    <x v="0"/>
    <x v="11"/>
    <n v="115"/>
    <n v="1.2500000000000001E-2"/>
  </r>
  <r>
    <x v="1"/>
    <x v="101"/>
    <x v="0"/>
    <x v="0"/>
    <x v="12"/>
    <n v="105"/>
    <n v="1.4500000000000001E-2"/>
  </r>
  <r>
    <x v="1"/>
    <x v="101"/>
    <x v="0"/>
    <x v="0"/>
    <x v="13"/>
    <n v="115"/>
    <n v="1.41E-2"/>
  </r>
  <r>
    <x v="0"/>
    <x v="102"/>
    <x v="0"/>
    <x v="0"/>
    <x v="0"/>
    <n v="91"/>
    <n v="0.27829999999999999"/>
  </r>
  <r>
    <x v="0"/>
    <x v="102"/>
    <x v="0"/>
    <x v="0"/>
    <x v="1"/>
    <n v="97"/>
    <n v="4.2000000000000003E-2"/>
  </r>
  <r>
    <x v="0"/>
    <x v="102"/>
    <x v="0"/>
    <x v="0"/>
    <x v="2"/>
    <n v="97"/>
    <n v="0.10680000000000001"/>
  </r>
  <r>
    <x v="0"/>
    <x v="102"/>
    <x v="0"/>
    <x v="0"/>
    <x v="3"/>
    <n v="94"/>
    <n v="8.9200000000000002E-2"/>
  </r>
  <r>
    <x v="0"/>
    <x v="102"/>
    <x v="0"/>
    <x v="0"/>
    <x v="4"/>
    <n v="89"/>
    <n v="0.19489999999999999"/>
  </r>
  <r>
    <x v="0"/>
    <x v="102"/>
    <x v="0"/>
    <x v="0"/>
    <x v="5"/>
    <n v="86"/>
    <n v="5.6300000000000003E-2"/>
  </r>
  <r>
    <x v="0"/>
    <x v="102"/>
    <x v="0"/>
    <x v="0"/>
    <x v="6"/>
    <n v="86"/>
    <n v="6.3E-2"/>
  </r>
  <r>
    <x v="0"/>
    <x v="102"/>
    <x v="0"/>
    <x v="0"/>
    <x v="7"/>
    <n v="89"/>
    <n v="0.13170000000000001"/>
  </r>
  <r>
    <x v="0"/>
    <x v="102"/>
    <x v="0"/>
    <x v="0"/>
    <x v="8"/>
    <n v="93"/>
    <n v="3.15E-2"/>
  </r>
  <r>
    <x v="0"/>
    <x v="102"/>
    <x v="0"/>
    <x v="0"/>
    <x v="9"/>
    <n v="96"/>
    <n v="6.8900000000000003E-2"/>
  </r>
  <r>
    <x v="0"/>
    <x v="102"/>
    <x v="0"/>
    <x v="0"/>
    <x v="10"/>
    <n v="94"/>
    <n v="7.1900000000000006E-2"/>
  </r>
  <r>
    <x v="0"/>
    <x v="102"/>
    <x v="0"/>
    <x v="0"/>
    <x v="11"/>
    <n v="87"/>
    <n v="9.4600000000000004E-2"/>
  </r>
  <r>
    <x v="0"/>
    <x v="102"/>
    <x v="0"/>
    <x v="0"/>
    <x v="12"/>
    <n v="88"/>
    <n v="0.1061"/>
  </r>
  <r>
    <x v="0"/>
    <x v="102"/>
    <x v="0"/>
    <x v="0"/>
    <x v="13"/>
    <n v="94"/>
    <n v="6.2799999999999995E-2"/>
  </r>
  <r>
    <x v="0"/>
    <x v="103"/>
    <x v="0"/>
    <x v="0"/>
    <x v="0"/>
    <n v="97"/>
    <n v="0.50670000000000004"/>
  </r>
  <r>
    <x v="0"/>
    <x v="103"/>
    <x v="0"/>
    <x v="0"/>
    <x v="1"/>
    <n v="98"/>
    <n v="7.1300000000000002E-2"/>
  </r>
  <r>
    <x v="0"/>
    <x v="103"/>
    <x v="0"/>
    <x v="0"/>
    <x v="2"/>
    <n v="101"/>
    <n v="0.1807"/>
  </r>
  <r>
    <x v="0"/>
    <x v="103"/>
    <x v="0"/>
    <x v="0"/>
    <x v="3"/>
    <n v="102"/>
    <n v="0.16350000000000001"/>
  </r>
  <r>
    <x v="0"/>
    <x v="103"/>
    <x v="0"/>
    <x v="0"/>
    <x v="4"/>
    <n v="96"/>
    <n v="0.371"/>
  </r>
  <r>
    <x v="0"/>
    <x v="103"/>
    <x v="0"/>
    <x v="0"/>
    <x v="5"/>
    <n v="93"/>
    <n v="0.1069"/>
  </r>
  <r>
    <x v="0"/>
    <x v="103"/>
    <x v="0"/>
    <x v="0"/>
    <x v="6"/>
    <n v="89"/>
    <n v="0.1087"/>
  </r>
  <r>
    <x v="0"/>
    <x v="103"/>
    <x v="0"/>
    <x v="0"/>
    <x v="7"/>
    <n v="97"/>
    <n v="0.29060000000000002"/>
  </r>
  <r>
    <x v="0"/>
    <x v="103"/>
    <x v="0"/>
    <x v="0"/>
    <x v="8"/>
    <n v="85"/>
    <n v="5.0700000000000002E-2"/>
  </r>
  <r>
    <x v="0"/>
    <x v="103"/>
    <x v="0"/>
    <x v="0"/>
    <x v="9"/>
    <n v="102"/>
    <n v="0.1263"/>
  </r>
  <r>
    <x v="0"/>
    <x v="103"/>
    <x v="0"/>
    <x v="0"/>
    <x v="10"/>
    <n v="96"/>
    <n v="0.13589999999999999"/>
  </r>
  <r>
    <x v="0"/>
    <x v="103"/>
    <x v="0"/>
    <x v="0"/>
    <x v="11"/>
    <n v="94"/>
    <n v="0.18759999999999999"/>
  </r>
  <r>
    <x v="0"/>
    <x v="103"/>
    <x v="0"/>
    <x v="0"/>
    <x v="12"/>
    <n v="94"/>
    <n v="0.2117"/>
  </r>
  <r>
    <x v="0"/>
    <x v="103"/>
    <x v="0"/>
    <x v="0"/>
    <x v="13"/>
    <n v="95"/>
    <n v="0.1129"/>
  </r>
  <r>
    <x v="1"/>
    <x v="104"/>
    <x v="0"/>
    <x v="0"/>
    <x v="0"/>
    <n v="34"/>
    <n v="0.2097"/>
  </r>
  <r>
    <x v="1"/>
    <x v="104"/>
    <x v="0"/>
    <x v="0"/>
    <x v="1"/>
    <n v="26"/>
    <n v="1.7299999999999999E-2"/>
  </r>
  <r>
    <x v="1"/>
    <x v="104"/>
    <x v="0"/>
    <x v="0"/>
    <x v="2"/>
    <n v="37"/>
    <n v="5.21E-2"/>
  </r>
  <r>
    <x v="1"/>
    <x v="104"/>
    <x v="0"/>
    <x v="0"/>
    <x v="3"/>
    <n v="27"/>
    <n v="3.39E-2"/>
  </r>
  <r>
    <x v="1"/>
    <x v="104"/>
    <x v="0"/>
    <x v="0"/>
    <x v="4"/>
    <n v="33"/>
    <n v="0.12180000000000001"/>
  </r>
  <r>
    <x v="1"/>
    <x v="104"/>
    <x v="0"/>
    <x v="0"/>
    <x v="5"/>
    <n v="33"/>
    <n v="2.0500000000000001E-2"/>
  </r>
  <r>
    <x v="1"/>
    <x v="104"/>
    <x v="0"/>
    <x v="0"/>
    <x v="6"/>
    <n v="44"/>
    <n v="2.69E-2"/>
  </r>
  <r>
    <x v="1"/>
    <x v="104"/>
    <x v="0"/>
    <x v="0"/>
    <x v="7"/>
    <n v="39"/>
    <n v="0.10150000000000001"/>
  </r>
  <r>
    <x v="1"/>
    <x v="104"/>
    <x v="0"/>
    <x v="0"/>
    <x v="8"/>
    <n v="40"/>
    <n v="1.32E-2"/>
  </r>
  <r>
    <x v="1"/>
    <x v="104"/>
    <x v="0"/>
    <x v="0"/>
    <x v="9"/>
    <n v="29"/>
    <n v="2.3400000000000001E-2"/>
  </r>
  <r>
    <x v="1"/>
    <x v="104"/>
    <x v="0"/>
    <x v="0"/>
    <x v="10"/>
    <n v="30"/>
    <n v="1.9699999999999999E-2"/>
  </r>
  <r>
    <x v="1"/>
    <x v="104"/>
    <x v="0"/>
    <x v="0"/>
    <x v="11"/>
    <n v="34"/>
    <n v="3.0099999999999998E-2"/>
  </r>
  <r>
    <x v="1"/>
    <x v="104"/>
    <x v="0"/>
    <x v="0"/>
    <x v="12"/>
    <n v="33"/>
    <n v="4.1700000000000001E-2"/>
  </r>
  <r>
    <x v="1"/>
    <x v="104"/>
    <x v="0"/>
    <x v="0"/>
    <x v="13"/>
    <n v="30"/>
    <n v="2.9499999999999998E-2"/>
  </r>
  <r>
    <x v="0"/>
    <x v="105"/>
    <x v="0"/>
    <x v="0"/>
    <x v="0"/>
    <n v="107"/>
    <n v="0.3846"/>
  </r>
  <r>
    <x v="0"/>
    <x v="105"/>
    <x v="0"/>
    <x v="0"/>
    <x v="1"/>
    <n v="107"/>
    <n v="6.4600000000000005E-2"/>
  </r>
  <r>
    <x v="0"/>
    <x v="105"/>
    <x v="0"/>
    <x v="0"/>
    <x v="2"/>
    <n v="109"/>
    <n v="0.17510000000000001"/>
  </r>
  <r>
    <x v="0"/>
    <x v="105"/>
    <x v="0"/>
    <x v="0"/>
    <x v="3"/>
    <n v="107"/>
    <n v="0.1512"/>
  </r>
  <r>
    <x v="0"/>
    <x v="105"/>
    <x v="0"/>
    <x v="0"/>
    <x v="4"/>
    <n v="108"/>
    <n v="0.28639999999999999"/>
  </r>
  <r>
    <x v="0"/>
    <x v="105"/>
    <x v="0"/>
    <x v="0"/>
    <x v="5"/>
    <n v="102"/>
    <n v="9.3799999999999994E-2"/>
  </r>
  <r>
    <x v="0"/>
    <x v="105"/>
    <x v="0"/>
    <x v="0"/>
    <x v="6"/>
    <n v="102"/>
    <n v="8.9899999999999994E-2"/>
  </r>
  <r>
    <x v="0"/>
    <x v="105"/>
    <x v="0"/>
    <x v="0"/>
    <x v="7"/>
    <n v="108"/>
    <n v="0.22509999999999999"/>
  </r>
  <r>
    <x v="0"/>
    <x v="105"/>
    <x v="0"/>
    <x v="0"/>
    <x v="8"/>
    <n v="109"/>
    <n v="4.1200000000000001E-2"/>
  </r>
  <r>
    <x v="0"/>
    <x v="105"/>
    <x v="0"/>
    <x v="0"/>
    <x v="9"/>
    <n v="108"/>
    <n v="0.122"/>
  </r>
  <r>
    <x v="0"/>
    <x v="105"/>
    <x v="0"/>
    <x v="0"/>
    <x v="10"/>
    <n v="104"/>
    <n v="0.1174"/>
  </r>
  <r>
    <x v="0"/>
    <x v="105"/>
    <x v="0"/>
    <x v="0"/>
    <x v="11"/>
    <n v="106"/>
    <n v="0.15670000000000001"/>
  </r>
  <r>
    <x v="0"/>
    <x v="105"/>
    <x v="0"/>
    <x v="0"/>
    <x v="12"/>
    <n v="110"/>
    <n v="0.18240000000000001"/>
  </r>
  <r>
    <x v="0"/>
    <x v="105"/>
    <x v="0"/>
    <x v="0"/>
    <x v="13"/>
    <n v="108"/>
    <n v="9.7500000000000003E-2"/>
  </r>
  <r>
    <x v="1"/>
    <x v="106"/>
    <x v="0"/>
    <x v="0"/>
    <x v="0"/>
    <n v="106"/>
    <n v="0.1225"/>
  </r>
  <r>
    <x v="1"/>
    <x v="106"/>
    <x v="0"/>
    <x v="0"/>
    <x v="1"/>
    <n v="100"/>
    <n v="3.04E-2"/>
  </r>
  <r>
    <x v="1"/>
    <x v="106"/>
    <x v="0"/>
    <x v="0"/>
    <x v="2"/>
    <n v="108"/>
    <n v="6.54E-2"/>
  </r>
  <r>
    <x v="1"/>
    <x v="106"/>
    <x v="0"/>
    <x v="0"/>
    <x v="3"/>
    <n v="113"/>
    <n v="5.7099999999999998E-2"/>
  </r>
  <r>
    <x v="1"/>
    <x v="106"/>
    <x v="0"/>
    <x v="0"/>
    <x v="4"/>
    <n v="105"/>
    <n v="9.01E-2"/>
  </r>
  <r>
    <x v="1"/>
    <x v="106"/>
    <x v="0"/>
    <x v="0"/>
    <x v="5"/>
    <n v="102"/>
    <n v="4.1200000000000001E-2"/>
  </r>
  <r>
    <x v="1"/>
    <x v="106"/>
    <x v="0"/>
    <x v="0"/>
    <x v="6"/>
    <n v="95"/>
    <n v="3.8899999999999997E-2"/>
  </r>
  <r>
    <x v="1"/>
    <x v="106"/>
    <x v="0"/>
    <x v="0"/>
    <x v="7"/>
    <n v="107"/>
    <n v="8.14E-2"/>
  </r>
  <r>
    <x v="1"/>
    <x v="106"/>
    <x v="0"/>
    <x v="0"/>
    <x v="8"/>
    <n v="80"/>
    <n v="1.9400000000000001E-2"/>
  </r>
  <r>
    <x v="1"/>
    <x v="106"/>
    <x v="0"/>
    <x v="0"/>
    <x v="9"/>
    <n v="114"/>
    <n v="5.0599999999999999E-2"/>
  </r>
  <r>
    <x v="1"/>
    <x v="106"/>
    <x v="0"/>
    <x v="0"/>
    <x v="10"/>
    <n v="105"/>
    <n v="4.9700000000000001E-2"/>
  </r>
  <r>
    <x v="1"/>
    <x v="106"/>
    <x v="0"/>
    <x v="0"/>
    <x v="11"/>
    <n v="102"/>
    <n v="5.8099999999999999E-2"/>
  </r>
  <r>
    <x v="1"/>
    <x v="106"/>
    <x v="0"/>
    <x v="0"/>
    <x v="12"/>
    <n v="104"/>
    <n v="6.3299999999999995E-2"/>
  </r>
  <r>
    <x v="1"/>
    <x v="106"/>
    <x v="0"/>
    <x v="0"/>
    <x v="13"/>
    <n v="99"/>
    <n v="3.8600000000000002E-2"/>
  </r>
  <r>
    <x v="0"/>
    <x v="107"/>
    <x v="0"/>
    <x v="0"/>
    <x v="0"/>
    <n v="91"/>
    <n v="0.3473"/>
  </r>
  <r>
    <x v="0"/>
    <x v="107"/>
    <x v="0"/>
    <x v="0"/>
    <x v="1"/>
    <n v="94"/>
    <n v="6.5000000000000002E-2"/>
  </r>
  <r>
    <x v="0"/>
    <x v="107"/>
    <x v="0"/>
    <x v="0"/>
    <x v="2"/>
    <n v="92"/>
    <n v="0.15529999999999999"/>
  </r>
  <r>
    <x v="0"/>
    <x v="107"/>
    <x v="0"/>
    <x v="0"/>
    <x v="3"/>
    <n v="92"/>
    <n v="0.1236"/>
  </r>
  <r>
    <x v="0"/>
    <x v="107"/>
    <x v="0"/>
    <x v="0"/>
    <x v="4"/>
    <n v="92"/>
    <n v="0.23369999999999999"/>
  </r>
  <r>
    <x v="0"/>
    <x v="107"/>
    <x v="0"/>
    <x v="0"/>
    <x v="5"/>
    <n v="89"/>
    <n v="8.1600000000000006E-2"/>
  </r>
  <r>
    <x v="0"/>
    <x v="107"/>
    <x v="0"/>
    <x v="0"/>
    <x v="6"/>
    <n v="87"/>
    <n v="8.4500000000000006E-2"/>
  </r>
  <r>
    <x v="0"/>
    <x v="107"/>
    <x v="0"/>
    <x v="0"/>
    <x v="7"/>
    <n v="89"/>
    <n v="0.1784"/>
  </r>
  <r>
    <x v="0"/>
    <x v="107"/>
    <x v="0"/>
    <x v="0"/>
    <x v="8"/>
    <n v="90"/>
    <n v="4.8099999999999997E-2"/>
  </r>
  <r>
    <x v="0"/>
    <x v="107"/>
    <x v="0"/>
    <x v="0"/>
    <x v="9"/>
    <n v="92"/>
    <n v="9.8500000000000004E-2"/>
  </r>
  <r>
    <x v="0"/>
    <x v="107"/>
    <x v="0"/>
    <x v="0"/>
    <x v="10"/>
    <n v="93"/>
    <n v="9.6299999999999997E-2"/>
  </r>
  <r>
    <x v="0"/>
    <x v="107"/>
    <x v="0"/>
    <x v="0"/>
    <x v="11"/>
    <n v="93"/>
    <n v="0.125"/>
  </r>
  <r>
    <x v="0"/>
    <x v="107"/>
    <x v="0"/>
    <x v="0"/>
    <x v="12"/>
    <n v="93"/>
    <n v="0.13420000000000001"/>
  </r>
  <r>
    <x v="0"/>
    <x v="107"/>
    <x v="0"/>
    <x v="0"/>
    <x v="13"/>
    <n v="92"/>
    <n v="9.8299999999999998E-2"/>
  </r>
  <r>
    <x v="1"/>
    <x v="108"/>
    <x v="0"/>
    <x v="0"/>
    <x v="0"/>
    <n v="95"/>
    <n v="0.1242"/>
  </r>
  <r>
    <x v="1"/>
    <x v="108"/>
    <x v="0"/>
    <x v="0"/>
    <x v="1"/>
    <n v="90"/>
    <n v="2.06E-2"/>
  </r>
  <r>
    <x v="1"/>
    <x v="108"/>
    <x v="0"/>
    <x v="0"/>
    <x v="2"/>
    <n v="97"/>
    <n v="4.8899999999999999E-2"/>
  </r>
  <r>
    <x v="1"/>
    <x v="108"/>
    <x v="0"/>
    <x v="0"/>
    <x v="3"/>
    <n v="97"/>
    <n v="3.6799999999999999E-2"/>
  </r>
  <r>
    <x v="1"/>
    <x v="108"/>
    <x v="0"/>
    <x v="0"/>
    <x v="4"/>
    <n v="93"/>
    <n v="7.7799999999999994E-2"/>
  </r>
  <r>
    <x v="1"/>
    <x v="108"/>
    <x v="0"/>
    <x v="0"/>
    <x v="5"/>
    <n v="97"/>
    <n v="2.1999999999999999E-2"/>
  </r>
  <r>
    <x v="1"/>
    <x v="108"/>
    <x v="0"/>
    <x v="0"/>
    <x v="6"/>
    <n v="97"/>
    <n v="2.5700000000000001E-2"/>
  </r>
  <r>
    <x v="1"/>
    <x v="108"/>
    <x v="0"/>
    <x v="0"/>
    <x v="7"/>
    <n v="92"/>
    <n v="6.7799999999999999E-2"/>
  </r>
  <r>
    <x v="1"/>
    <x v="108"/>
    <x v="0"/>
    <x v="0"/>
    <x v="8"/>
    <n v="92"/>
    <n v="1.2999999999999999E-2"/>
  </r>
  <r>
    <x v="1"/>
    <x v="108"/>
    <x v="0"/>
    <x v="0"/>
    <x v="9"/>
    <n v="98"/>
    <n v="3.0099999999999998E-2"/>
  </r>
  <r>
    <x v="1"/>
    <x v="108"/>
    <x v="0"/>
    <x v="0"/>
    <x v="10"/>
    <n v="93"/>
    <n v="2.4299999999999999E-2"/>
  </r>
  <r>
    <x v="1"/>
    <x v="108"/>
    <x v="0"/>
    <x v="0"/>
    <x v="11"/>
    <n v="93"/>
    <n v="3.1600000000000003E-2"/>
  </r>
  <r>
    <x v="1"/>
    <x v="108"/>
    <x v="0"/>
    <x v="0"/>
    <x v="12"/>
    <n v="95"/>
    <n v="3.78E-2"/>
  </r>
  <r>
    <x v="1"/>
    <x v="108"/>
    <x v="0"/>
    <x v="0"/>
    <x v="13"/>
    <n v="90"/>
    <n v="3.1099999999999999E-2"/>
  </r>
  <r>
    <x v="0"/>
    <x v="109"/>
    <x v="0"/>
    <x v="0"/>
    <x v="0"/>
    <n v="111"/>
    <n v="0.40329999999999999"/>
  </r>
  <r>
    <x v="0"/>
    <x v="109"/>
    <x v="0"/>
    <x v="0"/>
    <x v="1"/>
    <n v="114"/>
    <n v="0.11509999999999999"/>
  </r>
  <r>
    <x v="0"/>
    <x v="109"/>
    <x v="0"/>
    <x v="0"/>
    <x v="2"/>
    <n v="111"/>
    <n v="0.20039999999999999"/>
  </r>
  <r>
    <x v="0"/>
    <x v="109"/>
    <x v="0"/>
    <x v="0"/>
    <x v="3"/>
    <n v="111"/>
    <n v="0.14499999999999999"/>
  </r>
  <r>
    <x v="0"/>
    <x v="109"/>
    <x v="0"/>
    <x v="0"/>
    <x v="4"/>
    <n v="113"/>
    <n v="0.27679999999999999"/>
  </r>
  <r>
    <x v="0"/>
    <x v="109"/>
    <x v="0"/>
    <x v="0"/>
    <x v="5"/>
    <n v="105"/>
    <n v="9.0300000000000005E-2"/>
  </r>
  <r>
    <x v="0"/>
    <x v="109"/>
    <x v="0"/>
    <x v="0"/>
    <x v="6"/>
    <n v="106"/>
    <n v="0.1116"/>
  </r>
  <r>
    <x v="0"/>
    <x v="109"/>
    <x v="0"/>
    <x v="0"/>
    <x v="7"/>
    <n v="109"/>
    <n v="0.25119999999999998"/>
  </r>
  <r>
    <x v="0"/>
    <x v="109"/>
    <x v="0"/>
    <x v="0"/>
    <x v="8"/>
    <n v="113"/>
    <n v="7.3999999999999996E-2"/>
  </r>
  <r>
    <x v="0"/>
    <x v="109"/>
    <x v="0"/>
    <x v="0"/>
    <x v="9"/>
    <n v="111"/>
    <n v="0.12089999999999999"/>
  </r>
  <r>
    <x v="0"/>
    <x v="109"/>
    <x v="0"/>
    <x v="0"/>
    <x v="10"/>
    <n v="115"/>
    <n v="0.1032"/>
  </r>
  <r>
    <x v="0"/>
    <x v="109"/>
    <x v="0"/>
    <x v="0"/>
    <x v="11"/>
    <n v="114"/>
    <n v="0.1313"/>
  </r>
  <r>
    <x v="0"/>
    <x v="109"/>
    <x v="0"/>
    <x v="0"/>
    <x v="12"/>
    <n v="113"/>
    <n v="0.1474"/>
  </r>
  <r>
    <x v="0"/>
    <x v="109"/>
    <x v="0"/>
    <x v="0"/>
    <x v="13"/>
    <n v="112"/>
    <n v="0.15479999999999999"/>
  </r>
  <r>
    <x v="1"/>
    <x v="110"/>
    <x v="0"/>
    <x v="0"/>
    <x v="0"/>
    <n v="15"/>
    <n v="9.7000000000000003E-3"/>
  </r>
  <r>
    <x v="1"/>
    <x v="110"/>
    <x v="0"/>
    <x v="0"/>
    <x v="2"/>
    <n v="11"/>
    <n v="2.3E-3"/>
  </r>
  <r>
    <x v="1"/>
    <x v="110"/>
    <x v="0"/>
    <x v="0"/>
    <x v="4"/>
    <n v="19"/>
    <n v="3.3999999999999998E-3"/>
  </r>
  <r>
    <x v="1"/>
    <x v="110"/>
    <x v="0"/>
    <x v="0"/>
    <x v="7"/>
    <n v="16"/>
    <n v="2.2000000000000001E-3"/>
  </r>
  <r>
    <x v="0"/>
    <x v="111"/>
    <x v="0"/>
    <x v="0"/>
    <x v="0"/>
    <n v="104"/>
    <n v="0.22370000000000001"/>
  </r>
  <r>
    <x v="0"/>
    <x v="111"/>
    <x v="0"/>
    <x v="0"/>
    <x v="1"/>
    <n v="97"/>
    <n v="2.7400000000000001E-2"/>
  </r>
  <r>
    <x v="0"/>
    <x v="111"/>
    <x v="0"/>
    <x v="0"/>
    <x v="2"/>
    <n v="111"/>
    <n v="8.4400000000000003E-2"/>
  </r>
  <r>
    <x v="0"/>
    <x v="111"/>
    <x v="0"/>
    <x v="0"/>
    <x v="3"/>
    <n v="108"/>
    <n v="6.7500000000000004E-2"/>
  </r>
  <r>
    <x v="0"/>
    <x v="111"/>
    <x v="0"/>
    <x v="0"/>
    <x v="4"/>
    <n v="103"/>
    <n v="0.14299999999999999"/>
  </r>
  <r>
    <x v="0"/>
    <x v="111"/>
    <x v="0"/>
    <x v="0"/>
    <x v="5"/>
    <n v="101"/>
    <n v="4.0800000000000003E-2"/>
  </r>
  <r>
    <x v="0"/>
    <x v="111"/>
    <x v="0"/>
    <x v="0"/>
    <x v="6"/>
    <n v="98"/>
    <n v="4.3099999999999999E-2"/>
  </r>
  <r>
    <x v="0"/>
    <x v="111"/>
    <x v="0"/>
    <x v="0"/>
    <x v="7"/>
    <n v="100"/>
    <n v="0.10249999999999999"/>
  </r>
  <r>
    <x v="0"/>
    <x v="111"/>
    <x v="0"/>
    <x v="0"/>
    <x v="8"/>
    <n v="103"/>
    <n v="1.9800000000000002E-2"/>
  </r>
  <r>
    <x v="0"/>
    <x v="111"/>
    <x v="0"/>
    <x v="0"/>
    <x v="9"/>
    <n v="111"/>
    <n v="5.0999999999999997E-2"/>
  </r>
  <r>
    <x v="0"/>
    <x v="111"/>
    <x v="0"/>
    <x v="0"/>
    <x v="10"/>
    <n v="102"/>
    <n v="4.3799999999999999E-2"/>
  </r>
  <r>
    <x v="0"/>
    <x v="111"/>
    <x v="0"/>
    <x v="0"/>
    <x v="11"/>
    <n v="104"/>
    <n v="5.8400000000000001E-2"/>
  </r>
  <r>
    <x v="0"/>
    <x v="111"/>
    <x v="0"/>
    <x v="0"/>
    <x v="12"/>
    <n v="106"/>
    <n v="7.0300000000000001E-2"/>
  </r>
  <r>
    <x v="0"/>
    <x v="111"/>
    <x v="0"/>
    <x v="0"/>
    <x v="13"/>
    <n v="96"/>
    <n v="4.3799999999999999E-2"/>
  </r>
  <r>
    <x v="0"/>
    <x v="112"/>
    <x v="0"/>
    <x v="0"/>
    <x v="0"/>
    <n v="90"/>
    <n v="0.27229999999999999"/>
  </r>
  <r>
    <x v="0"/>
    <x v="112"/>
    <x v="0"/>
    <x v="0"/>
    <x v="1"/>
    <n v="96"/>
    <n v="2.24E-2"/>
  </r>
  <r>
    <x v="0"/>
    <x v="112"/>
    <x v="0"/>
    <x v="0"/>
    <x v="2"/>
    <n v="99"/>
    <n v="7.3700000000000002E-2"/>
  </r>
  <r>
    <x v="0"/>
    <x v="112"/>
    <x v="0"/>
    <x v="0"/>
    <x v="3"/>
    <n v="94"/>
    <n v="6.3899999999999998E-2"/>
  </r>
  <r>
    <x v="0"/>
    <x v="112"/>
    <x v="0"/>
    <x v="0"/>
    <x v="4"/>
    <n v="83"/>
    <n v="0.17080000000000001"/>
  </r>
  <r>
    <x v="0"/>
    <x v="112"/>
    <x v="0"/>
    <x v="0"/>
    <x v="5"/>
    <n v="92"/>
    <n v="5.0099999999999999E-2"/>
  </r>
  <r>
    <x v="0"/>
    <x v="112"/>
    <x v="0"/>
    <x v="0"/>
    <x v="6"/>
    <n v="94"/>
    <n v="5.0200000000000002E-2"/>
  </r>
  <r>
    <x v="0"/>
    <x v="112"/>
    <x v="0"/>
    <x v="0"/>
    <x v="7"/>
    <n v="91"/>
    <n v="0.12939999999999999"/>
  </r>
  <r>
    <x v="0"/>
    <x v="112"/>
    <x v="0"/>
    <x v="0"/>
    <x v="8"/>
    <n v="83"/>
    <n v="1.6500000000000001E-2"/>
  </r>
  <r>
    <x v="0"/>
    <x v="112"/>
    <x v="0"/>
    <x v="0"/>
    <x v="9"/>
    <n v="94"/>
    <n v="4.7899999999999998E-2"/>
  </r>
  <r>
    <x v="0"/>
    <x v="112"/>
    <x v="0"/>
    <x v="0"/>
    <x v="10"/>
    <n v="83"/>
    <n v="5.1900000000000002E-2"/>
  </r>
  <r>
    <x v="0"/>
    <x v="112"/>
    <x v="0"/>
    <x v="0"/>
    <x v="11"/>
    <n v="82"/>
    <n v="6.6299999999999998E-2"/>
  </r>
  <r>
    <x v="0"/>
    <x v="112"/>
    <x v="0"/>
    <x v="0"/>
    <x v="12"/>
    <n v="84"/>
    <n v="7.1900000000000006E-2"/>
  </r>
  <r>
    <x v="0"/>
    <x v="112"/>
    <x v="0"/>
    <x v="0"/>
    <x v="13"/>
    <n v="99"/>
    <n v="4.3400000000000001E-2"/>
  </r>
  <r>
    <x v="1"/>
    <x v="113"/>
    <x v="0"/>
    <x v="0"/>
    <x v="0"/>
    <n v="19"/>
    <n v="2.2000000000000001E-3"/>
  </r>
  <r>
    <x v="0"/>
    <x v="114"/>
    <x v="0"/>
    <x v="0"/>
    <x v="0"/>
    <n v="89"/>
    <n v="0.4264"/>
  </r>
  <r>
    <x v="0"/>
    <x v="114"/>
    <x v="0"/>
    <x v="0"/>
    <x v="1"/>
    <n v="91"/>
    <n v="5.7599999999999998E-2"/>
  </r>
  <r>
    <x v="0"/>
    <x v="114"/>
    <x v="0"/>
    <x v="0"/>
    <x v="2"/>
    <n v="94"/>
    <n v="0.1681"/>
  </r>
  <r>
    <x v="0"/>
    <x v="114"/>
    <x v="0"/>
    <x v="0"/>
    <x v="3"/>
    <n v="88"/>
    <n v="0.1555"/>
  </r>
  <r>
    <x v="0"/>
    <x v="114"/>
    <x v="0"/>
    <x v="0"/>
    <x v="4"/>
    <n v="88"/>
    <n v="0.30159999999999998"/>
  </r>
  <r>
    <x v="0"/>
    <x v="114"/>
    <x v="0"/>
    <x v="0"/>
    <x v="5"/>
    <n v="86"/>
    <n v="9.7299999999999998E-2"/>
  </r>
  <r>
    <x v="0"/>
    <x v="114"/>
    <x v="0"/>
    <x v="0"/>
    <x v="6"/>
    <n v="86"/>
    <n v="0.1047"/>
  </r>
  <r>
    <x v="0"/>
    <x v="114"/>
    <x v="0"/>
    <x v="0"/>
    <x v="7"/>
    <n v="90"/>
    <n v="0.22639999999999999"/>
  </r>
  <r>
    <x v="0"/>
    <x v="114"/>
    <x v="0"/>
    <x v="0"/>
    <x v="8"/>
    <n v="85"/>
    <n v="4.82E-2"/>
  </r>
  <r>
    <x v="0"/>
    <x v="114"/>
    <x v="0"/>
    <x v="0"/>
    <x v="9"/>
    <n v="88"/>
    <n v="0.1227"/>
  </r>
  <r>
    <x v="0"/>
    <x v="114"/>
    <x v="0"/>
    <x v="0"/>
    <x v="10"/>
    <n v="87"/>
    <n v="0.10639999999999999"/>
  </r>
  <r>
    <x v="0"/>
    <x v="114"/>
    <x v="0"/>
    <x v="0"/>
    <x v="11"/>
    <n v="90"/>
    <n v="0.14019999999999999"/>
  </r>
  <r>
    <x v="0"/>
    <x v="114"/>
    <x v="0"/>
    <x v="0"/>
    <x v="12"/>
    <n v="90"/>
    <n v="0.15490000000000001"/>
  </r>
  <r>
    <x v="0"/>
    <x v="114"/>
    <x v="0"/>
    <x v="0"/>
    <x v="13"/>
    <n v="90"/>
    <n v="9.6600000000000005E-2"/>
  </r>
  <r>
    <x v="0"/>
    <x v="115"/>
    <x v="0"/>
    <x v="0"/>
    <x v="0"/>
    <n v="70"/>
    <n v="0.19539999999999999"/>
  </r>
  <r>
    <x v="0"/>
    <x v="115"/>
    <x v="0"/>
    <x v="0"/>
    <x v="1"/>
    <n v="66"/>
    <n v="2.8000000000000001E-2"/>
  </r>
  <r>
    <x v="0"/>
    <x v="115"/>
    <x v="0"/>
    <x v="0"/>
    <x v="2"/>
    <n v="62"/>
    <n v="6.9699999999999998E-2"/>
  </r>
  <r>
    <x v="0"/>
    <x v="115"/>
    <x v="0"/>
    <x v="0"/>
    <x v="3"/>
    <n v="77"/>
    <n v="5.8599999999999999E-2"/>
  </r>
  <r>
    <x v="0"/>
    <x v="115"/>
    <x v="0"/>
    <x v="0"/>
    <x v="4"/>
    <n v="72"/>
    <n v="0.13869999999999999"/>
  </r>
  <r>
    <x v="0"/>
    <x v="115"/>
    <x v="0"/>
    <x v="0"/>
    <x v="5"/>
    <n v="72"/>
    <n v="5.21E-2"/>
  </r>
  <r>
    <x v="0"/>
    <x v="115"/>
    <x v="0"/>
    <x v="0"/>
    <x v="6"/>
    <n v="70"/>
    <n v="5.16E-2"/>
  </r>
  <r>
    <x v="0"/>
    <x v="115"/>
    <x v="0"/>
    <x v="0"/>
    <x v="7"/>
    <n v="74"/>
    <n v="0.1036"/>
  </r>
  <r>
    <x v="0"/>
    <x v="115"/>
    <x v="0"/>
    <x v="0"/>
    <x v="8"/>
    <n v="67"/>
    <n v="2.2599999999999999E-2"/>
  </r>
  <r>
    <x v="0"/>
    <x v="115"/>
    <x v="0"/>
    <x v="0"/>
    <x v="9"/>
    <n v="78"/>
    <n v="4.4499999999999998E-2"/>
  </r>
  <r>
    <x v="0"/>
    <x v="115"/>
    <x v="0"/>
    <x v="0"/>
    <x v="10"/>
    <n v="72"/>
    <n v="5.7299999999999997E-2"/>
  </r>
  <r>
    <x v="0"/>
    <x v="115"/>
    <x v="0"/>
    <x v="0"/>
    <x v="11"/>
    <n v="70"/>
    <n v="6.9699999999999998E-2"/>
  </r>
  <r>
    <x v="0"/>
    <x v="115"/>
    <x v="0"/>
    <x v="0"/>
    <x v="12"/>
    <n v="72"/>
    <n v="7.9100000000000004E-2"/>
  </r>
  <r>
    <x v="0"/>
    <x v="115"/>
    <x v="0"/>
    <x v="0"/>
    <x v="13"/>
    <n v="68"/>
    <n v="4.5400000000000003E-2"/>
  </r>
  <r>
    <x v="1"/>
    <x v="116"/>
    <x v="0"/>
    <x v="0"/>
    <x v="0"/>
    <n v="28"/>
    <n v="5.62E-2"/>
  </r>
  <r>
    <x v="1"/>
    <x v="116"/>
    <x v="0"/>
    <x v="0"/>
    <x v="1"/>
    <n v="26"/>
    <n v="4.4000000000000003E-3"/>
  </r>
  <r>
    <x v="1"/>
    <x v="116"/>
    <x v="0"/>
    <x v="0"/>
    <x v="2"/>
    <n v="21"/>
    <n v="1.47E-2"/>
  </r>
  <r>
    <x v="1"/>
    <x v="116"/>
    <x v="0"/>
    <x v="0"/>
    <x v="3"/>
    <n v="31"/>
    <n v="1.01E-2"/>
  </r>
  <r>
    <x v="1"/>
    <x v="116"/>
    <x v="0"/>
    <x v="0"/>
    <x v="4"/>
    <n v="28"/>
    <n v="3.0200000000000001E-2"/>
  </r>
  <r>
    <x v="1"/>
    <x v="116"/>
    <x v="0"/>
    <x v="0"/>
    <x v="5"/>
    <n v="29"/>
    <n v="6.6E-3"/>
  </r>
  <r>
    <x v="1"/>
    <x v="116"/>
    <x v="0"/>
    <x v="0"/>
    <x v="6"/>
    <n v="35"/>
    <n v="8.6E-3"/>
  </r>
  <r>
    <x v="1"/>
    <x v="116"/>
    <x v="0"/>
    <x v="0"/>
    <x v="7"/>
    <n v="25"/>
    <n v="2.3800000000000002E-2"/>
  </r>
  <r>
    <x v="1"/>
    <x v="116"/>
    <x v="0"/>
    <x v="0"/>
    <x v="8"/>
    <n v="35"/>
    <n v="3.5999999999999999E-3"/>
  </r>
  <r>
    <x v="1"/>
    <x v="116"/>
    <x v="0"/>
    <x v="0"/>
    <x v="9"/>
    <n v="31"/>
    <n v="7.4000000000000003E-3"/>
  </r>
  <r>
    <x v="1"/>
    <x v="116"/>
    <x v="0"/>
    <x v="0"/>
    <x v="10"/>
    <n v="33"/>
    <n v="6.0000000000000001E-3"/>
  </r>
  <r>
    <x v="1"/>
    <x v="116"/>
    <x v="0"/>
    <x v="0"/>
    <x v="11"/>
    <n v="24"/>
    <n v="8.0999999999999996E-3"/>
  </r>
  <r>
    <x v="1"/>
    <x v="116"/>
    <x v="0"/>
    <x v="0"/>
    <x v="12"/>
    <n v="26"/>
    <n v="1.01E-2"/>
  </r>
  <r>
    <x v="1"/>
    <x v="116"/>
    <x v="0"/>
    <x v="0"/>
    <x v="13"/>
    <n v="27"/>
    <n v="7.4999999999999997E-3"/>
  </r>
  <r>
    <x v="1"/>
    <x v="117"/>
    <x v="0"/>
    <x v="1"/>
    <x v="0"/>
    <n v="30"/>
    <n v="0.2147"/>
  </r>
  <r>
    <x v="1"/>
    <x v="117"/>
    <x v="0"/>
    <x v="1"/>
    <x v="1"/>
    <n v="35"/>
    <n v="2.5000000000000001E-2"/>
  </r>
  <r>
    <x v="1"/>
    <x v="117"/>
    <x v="0"/>
    <x v="1"/>
    <x v="2"/>
    <n v="31"/>
    <n v="7.2999999999999995E-2"/>
  </r>
  <r>
    <x v="1"/>
    <x v="117"/>
    <x v="0"/>
    <x v="1"/>
    <x v="3"/>
    <n v="32"/>
    <n v="4.9399999999999999E-2"/>
  </r>
  <r>
    <x v="1"/>
    <x v="117"/>
    <x v="0"/>
    <x v="1"/>
    <x v="4"/>
    <n v="26"/>
    <n v="0.1313"/>
  </r>
  <r>
    <x v="1"/>
    <x v="117"/>
    <x v="0"/>
    <x v="1"/>
    <x v="5"/>
    <n v="31"/>
    <n v="2.9499999999999998E-2"/>
  </r>
  <r>
    <x v="1"/>
    <x v="117"/>
    <x v="0"/>
    <x v="1"/>
    <x v="6"/>
    <n v="37"/>
    <n v="3.7499999999999999E-2"/>
  </r>
  <r>
    <x v="1"/>
    <x v="117"/>
    <x v="0"/>
    <x v="1"/>
    <x v="7"/>
    <n v="31"/>
    <n v="0.1096"/>
  </r>
  <r>
    <x v="1"/>
    <x v="117"/>
    <x v="0"/>
    <x v="1"/>
    <x v="8"/>
    <n v="43"/>
    <n v="1.72E-2"/>
  </r>
  <r>
    <x v="1"/>
    <x v="117"/>
    <x v="0"/>
    <x v="1"/>
    <x v="9"/>
    <n v="37"/>
    <n v="3.5299999999999998E-2"/>
  </r>
  <r>
    <x v="1"/>
    <x v="117"/>
    <x v="0"/>
    <x v="1"/>
    <x v="10"/>
    <n v="27"/>
    <n v="2.9399999999999999E-2"/>
  </r>
  <r>
    <x v="1"/>
    <x v="117"/>
    <x v="0"/>
    <x v="1"/>
    <x v="11"/>
    <n v="30"/>
    <n v="4.19E-2"/>
  </r>
  <r>
    <x v="1"/>
    <x v="117"/>
    <x v="0"/>
    <x v="1"/>
    <x v="12"/>
    <n v="29"/>
    <n v="5.3499999999999999E-2"/>
  </r>
  <r>
    <x v="1"/>
    <x v="117"/>
    <x v="0"/>
    <x v="1"/>
    <x v="13"/>
    <n v="36"/>
    <n v="4.2500000000000003E-2"/>
  </r>
  <r>
    <x v="1"/>
    <x v="118"/>
    <x v="0"/>
    <x v="0"/>
    <x v="0"/>
    <n v="121"/>
    <n v="0.23069999999999999"/>
  </r>
  <r>
    <x v="1"/>
    <x v="118"/>
    <x v="0"/>
    <x v="0"/>
    <x v="1"/>
    <n v="142"/>
    <n v="2.8000000000000001E-2"/>
  </r>
  <r>
    <x v="1"/>
    <x v="118"/>
    <x v="0"/>
    <x v="0"/>
    <x v="2"/>
    <n v="128"/>
    <n v="9.6500000000000002E-2"/>
  </r>
  <r>
    <x v="1"/>
    <x v="118"/>
    <x v="0"/>
    <x v="0"/>
    <x v="3"/>
    <n v="127"/>
    <n v="7.4499999999999997E-2"/>
  </r>
  <r>
    <x v="1"/>
    <x v="118"/>
    <x v="0"/>
    <x v="0"/>
    <x v="4"/>
    <n v="117"/>
    <n v="0.14879999999999999"/>
  </r>
  <r>
    <x v="1"/>
    <x v="118"/>
    <x v="0"/>
    <x v="0"/>
    <x v="5"/>
    <n v="112"/>
    <n v="5.0799999999999998E-2"/>
  </r>
  <r>
    <x v="1"/>
    <x v="118"/>
    <x v="0"/>
    <x v="0"/>
    <x v="6"/>
    <n v="109"/>
    <n v="5.0500000000000003E-2"/>
  </r>
  <r>
    <x v="1"/>
    <x v="118"/>
    <x v="0"/>
    <x v="0"/>
    <x v="7"/>
    <n v="121"/>
    <n v="0.1195"/>
  </r>
  <r>
    <x v="1"/>
    <x v="118"/>
    <x v="0"/>
    <x v="0"/>
    <x v="8"/>
    <n v="99"/>
    <n v="1.9300000000000001E-2"/>
  </r>
  <r>
    <x v="1"/>
    <x v="118"/>
    <x v="0"/>
    <x v="0"/>
    <x v="9"/>
    <n v="129"/>
    <n v="6.0699999999999997E-2"/>
  </r>
  <r>
    <x v="1"/>
    <x v="118"/>
    <x v="0"/>
    <x v="0"/>
    <x v="10"/>
    <n v="116"/>
    <n v="6.0299999999999999E-2"/>
  </r>
  <r>
    <x v="1"/>
    <x v="118"/>
    <x v="0"/>
    <x v="0"/>
    <x v="11"/>
    <n v="115"/>
    <n v="7.0999999999999994E-2"/>
  </r>
  <r>
    <x v="1"/>
    <x v="118"/>
    <x v="0"/>
    <x v="0"/>
    <x v="12"/>
    <n v="116"/>
    <n v="8.1799999999999998E-2"/>
  </r>
  <r>
    <x v="1"/>
    <x v="118"/>
    <x v="0"/>
    <x v="0"/>
    <x v="13"/>
    <n v="133"/>
    <n v="4.87E-2"/>
  </r>
  <r>
    <x v="0"/>
    <x v="119"/>
    <x v="0"/>
    <x v="0"/>
    <x v="0"/>
    <n v="106"/>
    <n v="0.56020000000000003"/>
  </r>
  <r>
    <x v="0"/>
    <x v="119"/>
    <x v="0"/>
    <x v="0"/>
    <x v="1"/>
    <n v="105"/>
    <n v="0.1404"/>
  </r>
  <r>
    <x v="0"/>
    <x v="119"/>
    <x v="0"/>
    <x v="0"/>
    <x v="2"/>
    <n v="110"/>
    <n v="0.3034"/>
  </r>
  <r>
    <x v="0"/>
    <x v="119"/>
    <x v="0"/>
    <x v="0"/>
    <x v="3"/>
    <n v="107"/>
    <n v="0.28010000000000002"/>
  </r>
  <r>
    <x v="0"/>
    <x v="119"/>
    <x v="0"/>
    <x v="0"/>
    <x v="4"/>
    <n v="105"/>
    <n v="0.43880000000000002"/>
  </r>
  <r>
    <x v="0"/>
    <x v="119"/>
    <x v="0"/>
    <x v="0"/>
    <x v="5"/>
    <n v="99"/>
    <n v="0.14990000000000001"/>
  </r>
  <r>
    <x v="0"/>
    <x v="119"/>
    <x v="0"/>
    <x v="0"/>
    <x v="6"/>
    <n v="99"/>
    <n v="0.1552"/>
  </r>
  <r>
    <x v="0"/>
    <x v="119"/>
    <x v="0"/>
    <x v="0"/>
    <x v="7"/>
    <n v="106"/>
    <n v="0.39190000000000003"/>
  </r>
  <r>
    <x v="0"/>
    <x v="119"/>
    <x v="0"/>
    <x v="0"/>
    <x v="8"/>
    <n v="103"/>
    <n v="9.3600000000000003E-2"/>
  </r>
  <r>
    <x v="0"/>
    <x v="119"/>
    <x v="0"/>
    <x v="0"/>
    <x v="9"/>
    <n v="108"/>
    <n v="0.2351"/>
  </r>
  <r>
    <x v="0"/>
    <x v="119"/>
    <x v="0"/>
    <x v="0"/>
    <x v="10"/>
    <n v="102"/>
    <n v="0.19520000000000001"/>
  </r>
  <r>
    <x v="0"/>
    <x v="119"/>
    <x v="0"/>
    <x v="0"/>
    <x v="11"/>
    <n v="103"/>
    <n v="0.25090000000000001"/>
  </r>
  <r>
    <x v="0"/>
    <x v="119"/>
    <x v="0"/>
    <x v="0"/>
    <x v="12"/>
    <n v="105"/>
    <n v="0.28799999999999998"/>
  </r>
  <r>
    <x v="0"/>
    <x v="119"/>
    <x v="0"/>
    <x v="0"/>
    <x v="13"/>
    <n v="104"/>
    <n v="0.1993"/>
  </r>
  <r>
    <x v="0"/>
    <x v="120"/>
    <x v="0"/>
    <x v="0"/>
    <x v="0"/>
    <n v="69"/>
    <n v="0.2717"/>
  </r>
  <r>
    <x v="0"/>
    <x v="120"/>
    <x v="0"/>
    <x v="0"/>
    <x v="1"/>
    <n v="56"/>
    <n v="2.2800000000000001E-2"/>
  </r>
  <r>
    <x v="0"/>
    <x v="120"/>
    <x v="0"/>
    <x v="0"/>
    <x v="2"/>
    <n v="64"/>
    <n v="7.3200000000000001E-2"/>
  </r>
  <r>
    <x v="0"/>
    <x v="120"/>
    <x v="0"/>
    <x v="0"/>
    <x v="3"/>
    <n v="62"/>
    <n v="6.0199999999999997E-2"/>
  </r>
  <r>
    <x v="0"/>
    <x v="120"/>
    <x v="0"/>
    <x v="0"/>
    <x v="4"/>
    <n v="74"/>
    <n v="0.20039999999999999"/>
  </r>
  <r>
    <x v="0"/>
    <x v="120"/>
    <x v="0"/>
    <x v="0"/>
    <x v="5"/>
    <n v="69"/>
    <n v="5.0999999999999997E-2"/>
  </r>
  <r>
    <x v="0"/>
    <x v="120"/>
    <x v="0"/>
    <x v="0"/>
    <x v="6"/>
    <n v="63"/>
    <n v="4.8599999999999997E-2"/>
  </r>
  <r>
    <x v="0"/>
    <x v="120"/>
    <x v="0"/>
    <x v="0"/>
    <x v="7"/>
    <n v="69"/>
    <n v="0.12859999999999999"/>
  </r>
  <r>
    <x v="0"/>
    <x v="120"/>
    <x v="0"/>
    <x v="0"/>
    <x v="8"/>
    <n v="65"/>
    <n v="1.89E-2"/>
  </r>
  <r>
    <x v="0"/>
    <x v="120"/>
    <x v="0"/>
    <x v="0"/>
    <x v="9"/>
    <n v="62"/>
    <n v="4.3700000000000003E-2"/>
  </r>
  <r>
    <x v="0"/>
    <x v="120"/>
    <x v="0"/>
    <x v="0"/>
    <x v="10"/>
    <n v="73"/>
    <n v="6.8099999999999994E-2"/>
  </r>
  <r>
    <x v="0"/>
    <x v="120"/>
    <x v="0"/>
    <x v="0"/>
    <x v="11"/>
    <n v="75"/>
    <n v="9.1300000000000006E-2"/>
  </r>
  <r>
    <x v="0"/>
    <x v="120"/>
    <x v="0"/>
    <x v="0"/>
    <x v="12"/>
    <n v="74"/>
    <n v="0.1041"/>
  </r>
  <r>
    <x v="0"/>
    <x v="120"/>
    <x v="0"/>
    <x v="0"/>
    <x v="13"/>
    <n v="59"/>
    <n v="3.9100000000000003E-2"/>
  </r>
  <r>
    <x v="1"/>
    <x v="121"/>
    <x v="0"/>
    <x v="0"/>
    <x v="0"/>
    <n v="110"/>
    <n v="2.23E-2"/>
  </r>
  <r>
    <x v="1"/>
    <x v="121"/>
    <x v="0"/>
    <x v="0"/>
    <x v="2"/>
    <n v="125"/>
    <n v="6.3E-3"/>
  </r>
  <r>
    <x v="1"/>
    <x v="121"/>
    <x v="0"/>
    <x v="0"/>
    <x v="3"/>
    <n v="114"/>
    <n v="4.7999999999999996E-3"/>
  </r>
  <r>
    <x v="1"/>
    <x v="121"/>
    <x v="0"/>
    <x v="0"/>
    <x v="4"/>
    <n v="115"/>
    <n v="1.32E-2"/>
  </r>
  <r>
    <x v="1"/>
    <x v="121"/>
    <x v="0"/>
    <x v="0"/>
    <x v="5"/>
    <n v="107"/>
    <n v="3.0000000000000001E-3"/>
  </r>
  <r>
    <x v="1"/>
    <x v="121"/>
    <x v="0"/>
    <x v="0"/>
    <x v="6"/>
    <n v="107"/>
    <n v="3.7000000000000002E-3"/>
  </r>
  <r>
    <x v="1"/>
    <x v="121"/>
    <x v="0"/>
    <x v="0"/>
    <x v="7"/>
    <n v="93"/>
    <n v="7.9000000000000008E-3"/>
  </r>
  <r>
    <x v="1"/>
    <x v="121"/>
    <x v="0"/>
    <x v="0"/>
    <x v="9"/>
    <n v="114"/>
    <n v="3.5999999999999999E-3"/>
  </r>
  <r>
    <x v="1"/>
    <x v="121"/>
    <x v="0"/>
    <x v="0"/>
    <x v="10"/>
    <n v="118"/>
    <n v="3.3E-3"/>
  </r>
  <r>
    <x v="1"/>
    <x v="121"/>
    <x v="0"/>
    <x v="0"/>
    <x v="11"/>
    <n v="108"/>
    <n v="4.8999999999999998E-3"/>
  </r>
  <r>
    <x v="1"/>
    <x v="121"/>
    <x v="0"/>
    <x v="0"/>
    <x v="12"/>
    <n v="116"/>
    <n v="5.0000000000000001E-3"/>
  </r>
  <r>
    <x v="1"/>
    <x v="121"/>
    <x v="0"/>
    <x v="0"/>
    <x v="13"/>
    <n v="67"/>
    <n v="2.0999999999999999E-3"/>
  </r>
  <r>
    <x v="0"/>
    <x v="122"/>
    <x v="0"/>
    <x v="0"/>
    <x v="0"/>
    <n v="106"/>
    <n v="0.29380000000000001"/>
  </r>
  <r>
    <x v="0"/>
    <x v="122"/>
    <x v="0"/>
    <x v="0"/>
    <x v="1"/>
    <n v="97"/>
    <n v="2.8899999999999999E-2"/>
  </r>
  <r>
    <x v="0"/>
    <x v="122"/>
    <x v="0"/>
    <x v="0"/>
    <x v="2"/>
    <n v="112"/>
    <n v="0.1246"/>
  </r>
  <r>
    <x v="0"/>
    <x v="122"/>
    <x v="0"/>
    <x v="0"/>
    <x v="3"/>
    <n v="113"/>
    <n v="0.1096"/>
  </r>
  <r>
    <x v="0"/>
    <x v="122"/>
    <x v="0"/>
    <x v="0"/>
    <x v="4"/>
    <n v="104"/>
    <n v="0.20519999999999999"/>
  </r>
  <r>
    <x v="0"/>
    <x v="122"/>
    <x v="0"/>
    <x v="0"/>
    <x v="5"/>
    <n v="102"/>
    <n v="6.9699999999999998E-2"/>
  </r>
  <r>
    <x v="0"/>
    <x v="122"/>
    <x v="0"/>
    <x v="0"/>
    <x v="6"/>
    <n v="96"/>
    <n v="7.22E-2"/>
  </r>
  <r>
    <x v="0"/>
    <x v="122"/>
    <x v="0"/>
    <x v="0"/>
    <x v="7"/>
    <n v="103"/>
    <n v="0.15490000000000001"/>
  </r>
  <r>
    <x v="0"/>
    <x v="122"/>
    <x v="0"/>
    <x v="0"/>
    <x v="8"/>
    <n v="101"/>
    <n v="2.86E-2"/>
  </r>
  <r>
    <x v="0"/>
    <x v="122"/>
    <x v="0"/>
    <x v="0"/>
    <x v="9"/>
    <n v="113"/>
    <n v="8.77E-2"/>
  </r>
  <r>
    <x v="0"/>
    <x v="122"/>
    <x v="0"/>
    <x v="0"/>
    <x v="10"/>
    <n v="104"/>
    <n v="7.9000000000000001E-2"/>
  </r>
  <r>
    <x v="0"/>
    <x v="122"/>
    <x v="0"/>
    <x v="0"/>
    <x v="11"/>
    <n v="100"/>
    <n v="0.1019"/>
  </r>
  <r>
    <x v="0"/>
    <x v="122"/>
    <x v="0"/>
    <x v="0"/>
    <x v="12"/>
    <n v="102"/>
    <n v="0.1168"/>
  </r>
  <r>
    <x v="0"/>
    <x v="122"/>
    <x v="0"/>
    <x v="0"/>
    <x v="13"/>
    <n v="90"/>
    <n v="5.45E-2"/>
  </r>
  <r>
    <x v="0"/>
    <x v="0"/>
    <x v="1"/>
    <x v="0"/>
    <x v="0"/>
    <n v="99"/>
    <n v="0.27939999999999998"/>
  </r>
  <r>
    <x v="0"/>
    <x v="0"/>
    <x v="1"/>
    <x v="0"/>
    <x v="1"/>
    <n v="102"/>
    <n v="3.56E-2"/>
  </r>
  <r>
    <x v="0"/>
    <x v="0"/>
    <x v="1"/>
    <x v="0"/>
    <x v="2"/>
    <n v="104"/>
    <n v="0.1145"/>
  </r>
  <r>
    <x v="0"/>
    <x v="0"/>
    <x v="1"/>
    <x v="0"/>
    <x v="3"/>
    <n v="99"/>
    <n v="9.4200000000000006E-2"/>
  </r>
  <r>
    <x v="0"/>
    <x v="0"/>
    <x v="1"/>
    <x v="0"/>
    <x v="4"/>
    <n v="97"/>
    <n v="0.20380000000000001"/>
  </r>
  <r>
    <x v="0"/>
    <x v="0"/>
    <x v="1"/>
    <x v="0"/>
    <x v="5"/>
    <n v="95"/>
    <n v="8.2400000000000001E-2"/>
  </r>
  <r>
    <x v="0"/>
    <x v="0"/>
    <x v="1"/>
    <x v="0"/>
    <x v="6"/>
    <n v="92"/>
    <n v="6.93E-2"/>
  </r>
  <r>
    <x v="0"/>
    <x v="0"/>
    <x v="1"/>
    <x v="0"/>
    <x v="7"/>
    <n v="102"/>
    <n v="0.1497"/>
  </r>
  <r>
    <x v="0"/>
    <x v="0"/>
    <x v="1"/>
    <x v="0"/>
    <x v="8"/>
    <n v="85"/>
    <n v="2.75E-2"/>
  </r>
  <r>
    <x v="0"/>
    <x v="0"/>
    <x v="1"/>
    <x v="0"/>
    <x v="9"/>
    <n v="100"/>
    <n v="7.6200000000000004E-2"/>
  </r>
  <r>
    <x v="0"/>
    <x v="0"/>
    <x v="1"/>
    <x v="0"/>
    <x v="10"/>
    <n v="95"/>
    <n v="9.4500000000000001E-2"/>
  </r>
  <r>
    <x v="0"/>
    <x v="0"/>
    <x v="1"/>
    <x v="0"/>
    <x v="11"/>
    <n v="97"/>
    <n v="0.1123"/>
  </r>
  <r>
    <x v="0"/>
    <x v="0"/>
    <x v="1"/>
    <x v="0"/>
    <x v="12"/>
    <n v="97"/>
    <n v="0.12280000000000001"/>
  </r>
  <r>
    <x v="0"/>
    <x v="0"/>
    <x v="1"/>
    <x v="0"/>
    <x v="13"/>
    <n v="98"/>
    <n v="5.7799999999999997E-2"/>
  </r>
  <r>
    <x v="1"/>
    <x v="1"/>
    <x v="1"/>
    <x v="1"/>
    <x v="0"/>
    <n v="105"/>
    <n v="0.88529999999999998"/>
  </r>
  <r>
    <x v="1"/>
    <x v="1"/>
    <x v="1"/>
    <x v="1"/>
    <x v="1"/>
    <n v="96"/>
    <n v="0.31640000000000001"/>
  </r>
  <r>
    <x v="1"/>
    <x v="1"/>
    <x v="1"/>
    <x v="1"/>
    <x v="2"/>
    <n v="105"/>
    <n v="0.54"/>
  </r>
  <r>
    <x v="1"/>
    <x v="1"/>
    <x v="1"/>
    <x v="1"/>
    <x v="3"/>
    <n v="112"/>
    <n v="0.59379999999999999"/>
  </r>
  <r>
    <x v="1"/>
    <x v="1"/>
    <x v="1"/>
    <x v="1"/>
    <x v="4"/>
    <n v="107"/>
    <n v="0.8206"/>
  </r>
  <r>
    <x v="1"/>
    <x v="1"/>
    <x v="1"/>
    <x v="1"/>
    <x v="5"/>
    <n v="102"/>
    <n v="0.4708"/>
  </r>
  <r>
    <x v="1"/>
    <x v="1"/>
    <x v="1"/>
    <x v="1"/>
    <x v="6"/>
    <n v="97"/>
    <n v="0.3725"/>
  </r>
  <r>
    <x v="1"/>
    <x v="1"/>
    <x v="1"/>
    <x v="1"/>
    <x v="7"/>
    <n v="100"/>
    <n v="0.7107"/>
  </r>
  <r>
    <x v="1"/>
    <x v="1"/>
    <x v="1"/>
    <x v="1"/>
    <x v="8"/>
    <n v="93"/>
    <n v="0.20860000000000001"/>
  </r>
  <r>
    <x v="1"/>
    <x v="1"/>
    <x v="1"/>
    <x v="1"/>
    <x v="9"/>
    <n v="113"/>
    <n v="0.5121"/>
  </r>
  <r>
    <x v="1"/>
    <x v="1"/>
    <x v="1"/>
    <x v="1"/>
    <x v="10"/>
    <n v="105"/>
    <n v="0.6028"/>
  </r>
  <r>
    <x v="1"/>
    <x v="1"/>
    <x v="1"/>
    <x v="1"/>
    <x v="11"/>
    <n v="104"/>
    <n v="0.64059999999999995"/>
  </r>
  <r>
    <x v="1"/>
    <x v="1"/>
    <x v="1"/>
    <x v="1"/>
    <x v="12"/>
    <n v="105"/>
    <n v="0.66390000000000005"/>
  </r>
  <r>
    <x v="1"/>
    <x v="1"/>
    <x v="1"/>
    <x v="1"/>
    <x v="13"/>
    <n v="96"/>
    <n v="0.41799999999999998"/>
  </r>
  <r>
    <x v="1"/>
    <x v="3"/>
    <x v="1"/>
    <x v="0"/>
    <x v="0"/>
    <n v="110"/>
    <n v="9.0399999999999994E-2"/>
  </r>
  <r>
    <x v="1"/>
    <x v="3"/>
    <x v="1"/>
    <x v="0"/>
    <x v="1"/>
    <n v="105"/>
    <n v="9.9000000000000008E-3"/>
  </r>
  <r>
    <x v="1"/>
    <x v="3"/>
    <x v="1"/>
    <x v="0"/>
    <x v="2"/>
    <n v="120"/>
    <n v="3.0099999999999998E-2"/>
  </r>
  <r>
    <x v="1"/>
    <x v="3"/>
    <x v="1"/>
    <x v="0"/>
    <x v="3"/>
    <n v="110"/>
    <n v="2.35E-2"/>
  </r>
  <r>
    <x v="1"/>
    <x v="3"/>
    <x v="1"/>
    <x v="0"/>
    <x v="4"/>
    <n v="107"/>
    <n v="5.7000000000000002E-2"/>
  </r>
  <r>
    <x v="1"/>
    <x v="3"/>
    <x v="1"/>
    <x v="0"/>
    <x v="5"/>
    <n v="107"/>
    <n v="2.1999999999999999E-2"/>
  </r>
  <r>
    <x v="1"/>
    <x v="3"/>
    <x v="1"/>
    <x v="0"/>
    <x v="6"/>
    <n v="101"/>
    <n v="2.1399999999999999E-2"/>
  </r>
  <r>
    <x v="1"/>
    <x v="3"/>
    <x v="1"/>
    <x v="0"/>
    <x v="7"/>
    <n v="114"/>
    <n v="4.2299999999999997E-2"/>
  </r>
  <r>
    <x v="1"/>
    <x v="3"/>
    <x v="1"/>
    <x v="0"/>
    <x v="8"/>
    <n v="96"/>
    <n v="1.03E-2"/>
  </r>
  <r>
    <x v="1"/>
    <x v="3"/>
    <x v="1"/>
    <x v="0"/>
    <x v="9"/>
    <n v="113"/>
    <n v="1.8499999999999999E-2"/>
  </r>
  <r>
    <x v="1"/>
    <x v="3"/>
    <x v="1"/>
    <x v="0"/>
    <x v="10"/>
    <n v="108"/>
    <n v="2.2499999999999999E-2"/>
  </r>
  <r>
    <x v="1"/>
    <x v="3"/>
    <x v="1"/>
    <x v="0"/>
    <x v="11"/>
    <n v="105"/>
    <n v="2.58E-2"/>
  </r>
  <r>
    <x v="1"/>
    <x v="3"/>
    <x v="1"/>
    <x v="0"/>
    <x v="12"/>
    <n v="106"/>
    <n v="2.7900000000000001E-2"/>
  </r>
  <r>
    <x v="1"/>
    <x v="3"/>
    <x v="1"/>
    <x v="0"/>
    <x v="13"/>
    <n v="97"/>
    <n v="1.67E-2"/>
  </r>
  <r>
    <x v="0"/>
    <x v="4"/>
    <x v="1"/>
    <x v="0"/>
    <x v="0"/>
    <n v="98"/>
    <n v="0.39910000000000001"/>
  </r>
  <r>
    <x v="0"/>
    <x v="4"/>
    <x v="1"/>
    <x v="0"/>
    <x v="1"/>
    <n v="98"/>
    <n v="4.4499999999999998E-2"/>
  </r>
  <r>
    <x v="0"/>
    <x v="4"/>
    <x v="1"/>
    <x v="0"/>
    <x v="2"/>
    <n v="101"/>
    <n v="0.17680000000000001"/>
  </r>
  <r>
    <x v="0"/>
    <x v="4"/>
    <x v="1"/>
    <x v="0"/>
    <x v="3"/>
    <n v="98"/>
    <n v="0.1651"/>
  </r>
  <r>
    <x v="0"/>
    <x v="4"/>
    <x v="1"/>
    <x v="0"/>
    <x v="4"/>
    <n v="97"/>
    <n v="0.31559999999999999"/>
  </r>
  <r>
    <x v="0"/>
    <x v="4"/>
    <x v="1"/>
    <x v="0"/>
    <x v="5"/>
    <n v="95"/>
    <n v="0.1313"/>
  </r>
  <r>
    <x v="0"/>
    <x v="4"/>
    <x v="1"/>
    <x v="0"/>
    <x v="6"/>
    <n v="97"/>
    <n v="0.1096"/>
  </r>
  <r>
    <x v="0"/>
    <x v="4"/>
    <x v="1"/>
    <x v="0"/>
    <x v="7"/>
    <n v="97"/>
    <n v="0.23"/>
  </r>
  <r>
    <x v="0"/>
    <x v="4"/>
    <x v="1"/>
    <x v="0"/>
    <x v="8"/>
    <n v="101"/>
    <n v="4.1200000000000001E-2"/>
  </r>
  <r>
    <x v="0"/>
    <x v="4"/>
    <x v="1"/>
    <x v="0"/>
    <x v="9"/>
    <n v="100"/>
    <n v="0.13250000000000001"/>
  </r>
  <r>
    <x v="0"/>
    <x v="4"/>
    <x v="1"/>
    <x v="0"/>
    <x v="10"/>
    <n v="95"/>
    <n v="0.15540000000000001"/>
  </r>
  <r>
    <x v="0"/>
    <x v="4"/>
    <x v="1"/>
    <x v="0"/>
    <x v="11"/>
    <n v="97"/>
    <n v="0.18479999999999999"/>
  </r>
  <r>
    <x v="0"/>
    <x v="4"/>
    <x v="1"/>
    <x v="0"/>
    <x v="12"/>
    <n v="99"/>
    <n v="0.2064"/>
  </r>
  <r>
    <x v="0"/>
    <x v="4"/>
    <x v="1"/>
    <x v="0"/>
    <x v="13"/>
    <n v="97"/>
    <n v="8.4900000000000003E-2"/>
  </r>
  <r>
    <x v="0"/>
    <x v="5"/>
    <x v="1"/>
    <x v="0"/>
    <x v="0"/>
    <n v="110"/>
    <n v="0.27339999999999998"/>
  </r>
  <r>
    <x v="0"/>
    <x v="5"/>
    <x v="1"/>
    <x v="0"/>
    <x v="1"/>
    <n v="110"/>
    <n v="2.5899999999999999E-2"/>
  </r>
  <r>
    <x v="0"/>
    <x v="5"/>
    <x v="1"/>
    <x v="0"/>
    <x v="2"/>
    <n v="108"/>
    <n v="8.0399999999999999E-2"/>
  </r>
  <r>
    <x v="0"/>
    <x v="5"/>
    <x v="1"/>
    <x v="0"/>
    <x v="3"/>
    <n v="103"/>
    <n v="6.6900000000000001E-2"/>
  </r>
  <r>
    <x v="0"/>
    <x v="5"/>
    <x v="1"/>
    <x v="0"/>
    <x v="4"/>
    <n v="114"/>
    <n v="0.16869999999999999"/>
  </r>
  <r>
    <x v="0"/>
    <x v="5"/>
    <x v="1"/>
    <x v="0"/>
    <x v="5"/>
    <n v="114"/>
    <n v="5.5300000000000002E-2"/>
  </r>
  <r>
    <x v="0"/>
    <x v="5"/>
    <x v="1"/>
    <x v="0"/>
    <x v="6"/>
    <n v="108"/>
    <n v="5.21E-2"/>
  </r>
  <r>
    <x v="0"/>
    <x v="5"/>
    <x v="1"/>
    <x v="0"/>
    <x v="7"/>
    <n v="110"/>
    <n v="0.15540000000000001"/>
  </r>
  <r>
    <x v="0"/>
    <x v="5"/>
    <x v="1"/>
    <x v="0"/>
    <x v="8"/>
    <n v="106"/>
    <n v="2.3400000000000001E-2"/>
  </r>
  <r>
    <x v="0"/>
    <x v="5"/>
    <x v="1"/>
    <x v="0"/>
    <x v="9"/>
    <n v="101"/>
    <n v="5.11E-2"/>
  </r>
  <r>
    <x v="0"/>
    <x v="5"/>
    <x v="1"/>
    <x v="0"/>
    <x v="10"/>
    <n v="112"/>
    <n v="6.1699999999999998E-2"/>
  </r>
  <r>
    <x v="0"/>
    <x v="5"/>
    <x v="1"/>
    <x v="0"/>
    <x v="11"/>
    <n v="112"/>
    <n v="7.7299999999999994E-2"/>
  </r>
  <r>
    <x v="0"/>
    <x v="5"/>
    <x v="1"/>
    <x v="0"/>
    <x v="12"/>
    <n v="113"/>
    <n v="8.6099999999999996E-2"/>
  </r>
  <r>
    <x v="0"/>
    <x v="5"/>
    <x v="1"/>
    <x v="0"/>
    <x v="13"/>
    <n v="110"/>
    <n v="4.48E-2"/>
  </r>
  <r>
    <x v="1"/>
    <x v="8"/>
    <x v="1"/>
    <x v="0"/>
    <x v="0"/>
    <n v="100"/>
    <n v="0.27889999999999998"/>
  </r>
  <r>
    <x v="1"/>
    <x v="8"/>
    <x v="1"/>
    <x v="0"/>
    <x v="1"/>
    <n v="105"/>
    <n v="3.3000000000000002E-2"/>
  </r>
  <r>
    <x v="1"/>
    <x v="8"/>
    <x v="1"/>
    <x v="0"/>
    <x v="2"/>
    <n v="104"/>
    <n v="0.1019"/>
  </r>
  <r>
    <x v="1"/>
    <x v="8"/>
    <x v="1"/>
    <x v="0"/>
    <x v="3"/>
    <n v="101"/>
    <n v="8.9899999999999994E-2"/>
  </r>
  <r>
    <x v="1"/>
    <x v="8"/>
    <x v="1"/>
    <x v="0"/>
    <x v="4"/>
    <n v="99"/>
    <n v="0.20050000000000001"/>
  </r>
  <r>
    <x v="1"/>
    <x v="8"/>
    <x v="1"/>
    <x v="0"/>
    <x v="5"/>
    <n v="104"/>
    <n v="7.3099999999999998E-2"/>
  </r>
  <r>
    <x v="1"/>
    <x v="8"/>
    <x v="1"/>
    <x v="0"/>
    <x v="6"/>
    <n v="102"/>
    <n v="6.6799999999999998E-2"/>
  </r>
  <r>
    <x v="1"/>
    <x v="8"/>
    <x v="1"/>
    <x v="0"/>
    <x v="7"/>
    <n v="94"/>
    <n v="0.11899999999999999"/>
  </r>
  <r>
    <x v="1"/>
    <x v="8"/>
    <x v="1"/>
    <x v="0"/>
    <x v="8"/>
    <n v="102"/>
    <n v="3.2300000000000002E-2"/>
  </r>
  <r>
    <x v="1"/>
    <x v="8"/>
    <x v="1"/>
    <x v="0"/>
    <x v="9"/>
    <n v="103"/>
    <n v="7.0900000000000005E-2"/>
  </r>
  <r>
    <x v="1"/>
    <x v="8"/>
    <x v="1"/>
    <x v="0"/>
    <x v="10"/>
    <n v="98"/>
    <n v="8.8300000000000003E-2"/>
  </r>
  <r>
    <x v="1"/>
    <x v="8"/>
    <x v="1"/>
    <x v="0"/>
    <x v="11"/>
    <n v="97"/>
    <n v="0.1041"/>
  </r>
  <r>
    <x v="1"/>
    <x v="8"/>
    <x v="1"/>
    <x v="0"/>
    <x v="12"/>
    <n v="99"/>
    <n v="0.11310000000000001"/>
  </r>
  <r>
    <x v="1"/>
    <x v="8"/>
    <x v="1"/>
    <x v="0"/>
    <x v="13"/>
    <n v="97"/>
    <n v="5.3699999999999998E-2"/>
  </r>
  <r>
    <x v="1"/>
    <x v="10"/>
    <x v="1"/>
    <x v="0"/>
    <x v="0"/>
    <n v="59"/>
    <n v="2.5499999999999998E-2"/>
  </r>
  <r>
    <x v="1"/>
    <x v="10"/>
    <x v="1"/>
    <x v="0"/>
    <x v="1"/>
    <n v="38"/>
    <n v="1.6999999999999999E-3"/>
  </r>
  <r>
    <x v="1"/>
    <x v="10"/>
    <x v="1"/>
    <x v="0"/>
    <x v="2"/>
    <n v="51"/>
    <n v="6.7999999999999996E-3"/>
  </r>
  <r>
    <x v="1"/>
    <x v="10"/>
    <x v="1"/>
    <x v="0"/>
    <x v="3"/>
    <n v="57"/>
    <n v="4.7999999999999996E-3"/>
  </r>
  <r>
    <x v="1"/>
    <x v="10"/>
    <x v="1"/>
    <x v="0"/>
    <x v="4"/>
    <n v="64"/>
    <n v="1.4200000000000001E-2"/>
  </r>
  <r>
    <x v="1"/>
    <x v="10"/>
    <x v="1"/>
    <x v="0"/>
    <x v="5"/>
    <n v="61"/>
    <n v="5.0000000000000001E-3"/>
  </r>
  <r>
    <x v="1"/>
    <x v="10"/>
    <x v="1"/>
    <x v="0"/>
    <x v="6"/>
    <n v="57"/>
    <n v="5.5999999999999999E-3"/>
  </r>
  <r>
    <x v="1"/>
    <x v="10"/>
    <x v="1"/>
    <x v="0"/>
    <x v="7"/>
    <n v="61"/>
    <n v="8.8000000000000005E-3"/>
  </r>
  <r>
    <x v="1"/>
    <x v="10"/>
    <x v="1"/>
    <x v="0"/>
    <x v="8"/>
    <n v="46"/>
    <n v="1.8E-3"/>
  </r>
  <r>
    <x v="1"/>
    <x v="10"/>
    <x v="1"/>
    <x v="0"/>
    <x v="9"/>
    <n v="59"/>
    <n v="3.8999999999999998E-3"/>
  </r>
  <r>
    <x v="1"/>
    <x v="10"/>
    <x v="1"/>
    <x v="0"/>
    <x v="10"/>
    <n v="67"/>
    <n v="4.8999999999999998E-3"/>
  </r>
  <r>
    <x v="1"/>
    <x v="10"/>
    <x v="1"/>
    <x v="0"/>
    <x v="11"/>
    <n v="64"/>
    <n v="5.4999999999999997E-3"/>
  </r>
  <r>
    <x v="1"/>
    <x v="10"/>
    <x v="1"/>
    <x v="0"/>
    <x v="12"/>
    <n v="67"/>
    <n v="5.5999999999999999E-3"/>
  </r>
  <r>
    <x v="1"/>
    <x v="10"/>
    <x v="1"/>
    <x v="0"/>
    <x v="13"/>
    <n v="43"/>
    <n v="3.3E-3"/>
  </r>
  <r>
    <x v="0"/>
    <x v="11"/>
    <x v="1"/>
    <x v="0"/>
    <x v="0"/>
    <n v="101"/>
    <n v="0.2203"/>
  </r>
  <r>
    <x v="0"/>
    <x v="11"/>
    <x v="1"/>
    <x v="0"/>
    <x v="1"/>
    <n v="95"/>
    <n v="1.55E-2"/>
  </r>
  <r>
    <x v="0"/>
    <x v="11"/>
    <x v="1"/>
    <x v="0"/>
    <x v="2"/>
    <n v="104"/>
    <n v="5.1200000000000002E-2"/>
  </r>
  <r>
    <x v="0"/>
    <x v="11"/>
    <x v="1"/>
    <x v="0"/>
    <x v="3"/>
    <n v="95"/>
    <n v="5.0799999999999998E-2"/>
  </r>
  <r>
    <x v="0"/>
    <x v="11"/>
    <x v="1"/>
    <x v="0"/>
    <x v="4"/>
    <n v="100"/>
    <n v="0.16980000000000001"/>
  </r>
  <r>
    <x v="0"/>
    <x v="11"/>
    <x v="1"/>
    <x v="0"/>
    <x v="5"/>
    <n v="102"/>
    <n v="5.1400000000000001E-2"/>
  </r>
  <r>
    <x v="0"/>
    <x v="11"/>
    <x v="1"/>
    <x v="0"/>
    <x v="6"/>
    <n v="101"/>
    <n v="3.2800000000000003E-2"/>
  </r>
  <r>
    <x v="0"/>
    <x v="11"/>
    <x v="1"/>
    <x v="0"/>
    <x v="7"/>
    <n v="105"/>
    <n v="0.1084"/>
  </r>
  <r>
    <x v="0"/>
    <x v="11"/>
    <x v="1"/>
    <x v="0"/>
    <x v="8"/>
    <n v="92"/>
    <n v="1.26E-2"/>
  </r>
  <r>
    <x v="0"/>
    <x v="11"/>
    <x v="1"/>
    <x v="0"/>
    <x v="9"/>
    <n v="99"/>
    <n v="3.0599999999999999E-2"/>
  </r>
  <r>
    <x v="0"/>
    <x v="11"/>
    <x v="1"/>
    <x v="0"/>
    <x v="10"/>
    <n v="98"/>
    <n v="7.9299999999999995E-2"/>
  </r>
  <r>
    <x v="0"/>
    <x v="11"/>
    <x v="1"/>
    <x v="0"/>
    <x v="11"/>
    <n v="99"/>
    <n v="0.10249999999999999"/>
  </r>
  <r>
    <x v="0"/>
    <x v="11"/>
    <x v="1"/>
    <x v="0"/>
    <x v="12"/>
    <n v="102"/>
    <n v="0.10780000000000001"/>
  </r>
  <r>
    <x v="0"/>
    <x v="11"/>
    <x v="1"/>
    <x v="0"/>
    <x v="13"/>
    <n v="92"/>
    <n v="2.46E-2"/>
  </r>
  <r>
    <x v="0"/>
    <x v="12"/>
    <x v="1"/>
    <x v="0"/>
    <x v="0"/>
    <n v="59"/>
    <n v="0.15010000000000001"/>
  </r>
  <r>
    <x v="0"/>
    <x v="12"/>
    <x v="1"/>
    <x v="0"/>
    <x v="1"/>
    <n v="57"/>
    <n v="1.72E-2"/>
  </r>
  <r>
    <x v="0"/>
    <x v="12"/>
    <x v="1"/>
    <x v="0"/>
    <x v="2"/>
    <n v="54"/>
    <n v="4.4900000000000002E-2"/>
  </r>
  <r>
    <x v="0"/>
    <x v="12"/>
    <x v="1"/>
    <x v="0"/>
    <x v="3"/>
    <n v="59"/>
    <n v="3.8800000000000001E-2"/>
  </r>
  <r>
    <x v="0"/>
    <x v="12"/>
    <x v="1"/>
    <x v="0"/>
    <x v="4"/>
    <n v="61"/>
    <n v="0.1062"/>
  </r>
  <r>
    <x v="0"/>
    <x v="12"/>
    <x v="1"/>
    <x v="0"/>
    <x v="5"/>
    <n v="59"/>
    <n v="4.1700000000000001E-2"/>
  </r>
  <r>
    <x v="0"/>
    <x v="12"/>
    <x v="1"/>
    <x v="0"/>
    <x v="6"/>
    <n v="57"/>
    <n v="4.02E-2"/>
  </r>
  <r>
    <x v="0"/>
    <x v="12"/>
    <x v="1"/>
    <x v="0"/>
    <x v="7"/>
    <n v="61"/>
    <n v="7.0499999999999993E-2"/>
  </r>
  <r>
    <x v="0"/>
    <x v="12"/>
    <x v="1"/>
    <x v="0"/>
    <x v="8"/>
    <n v="57"/>
    <n v="1.83E-2"/>
  </r>
  <r>
    <x v="0"/>
    <x v="12"/>
    <x v="1"/>
    <x v="0"/>
    <x v="9"/>
    <n v="59"/>
    <n v="2.8000000000000001E-2"/>
  </r>
  <r>
    <x v="0"/>
    <x v="12"/>
    <x v="1"/>
    <x v="0"/>
    <x v="10"/>
    <n v="57"/>
    <n v="4.3299999999999998E-2"/>
  </r>
  <r>
    <x v="0"/>
    <x v="12"/>
    <x v="1"/>
    <x v="0"/>
    <x v="11"/>
    <n v="59"/>
    <n v="5.2600000000000001E-2"/>
  </r>
  <r>
    <x v="0"/>
    <x v="12"/>
    <x v="1"/>
    <x v="0"/>
    <x v="12"/>
    <n v="62"/>
    <n v="5.8400000000000001E-2"/>
  </r>
  <r>
    <x v="0"/>
    <x v="12"/>
    <x v="1"/>
    <x v="0"/>
    <x v="13"/>
    <n v="58"/>
    <n v="2.92E-2"/>
  </r>
  <r>
    <x v="1"/>
    <x v="13"/>
    <x v="1"/>
    <x v="0"/>
    <x v="0"/>
    <n v="97"/>
    <n v="0.1202"/>
  </r>
  <r>
    <x v="1"/>
    <x v="13"/>
    <x v="1"/>
    <x v="0"/>
    <x v="1"/>
    <n v="91"/>
    <n v="1.8200000000000001E-2"/>
  </r>
  <r>
    <x v="1"/>
    <x v="13"/>
    <x v="1"/>
    <x v="0"/>
    <x v="2"/>
    <n v="98"/>
    <n v="4.4999999999999998E-2"/>
  </r>
  <r>
    <x v="1"/>
    <x v="13"/>
    <x v="1"/>
    <x v="0"/>
    <x v="3"/>
    <n v="90"/>
    <n v="3.44E-2"/>
  </r>
  <r>
    <x v="1"/>
    <x v="13"/>
    <x v="1"/>
    <x v="0"/>
    <x v="4"/>
    <n v="98"/>
    <n v="7.1300000000000002E-2"/>
  </r>
  <r>
    <x v="1"/>
    <x v="13"/>
    <x v="1"/>
    <x v="0"/>
    <x v="5"/>
    <n v="100"/>
    <n v="2.2200000000000001E-2"/>
  </r>
  <r>
    <x v="1"/>
    <x v="13"/>
    <x v="1"/>
    <x v="0"/>
    <x v="6"/>
    <n v="99"/>
    <n v="2.4500000000000001E-2"/>
  </r>
  <r>
    <x v="1"/>
    <x v="13"/>
    <x v="1"/>
    <x v="0"/>
    <x v="7"/>
    <n v="102"/>
    <n v="4.82E-2"/>
  </r>
  <r>
    <x v="1"/>
    <x v="13"/>
    <x v="1"/>
    <x v="0"/>
    <x v="8"/>
    <n v="95"/>
    <n v="1.3100000000000001E-2"/>
  </r>
  <r>
    <x v="1"/>
    <x v="13"/>
    <x v="1"/>
    <x v="0"/>
    <x v="9"/>
    <n v="89"/>
    <n v="2.7699999999999999E-2"/>
  </r>
  <r>
    <x v="1"/>
    <x v="13"/>
    <x v="1"/>
    <x v="0"/>
    <x v="10"/>
    <n v="105"/>
    <n v="2.2800000000000001E-2"/>
  </r>
  <r>
    <x v="1"/>
    <x v="13"/>
    <x v="1"/>
    <x v="0"/>
    <x v="11"/>
    <n v="98"/>
    <n v="2.8000000000000001E-2"/>
  </r>
  <r>
    <x v="1"/>
    <x v="13"/>
    <x v="1"/>
    <x v="0"/>
    <x v="12"/>
    <n v="95"/>
    <n v="3.15E-2"/>
  </r>
  <r>
    <x v="1"/>
    <x v="13"/>
    <x v="1"/>
    <x v="0"/>
    <x v="13"/>
    <n v="92"/>
    <n v="2.5100000000000001E-2"/>
  </r>
  <r>
    <x v="0"/>
    <x v="15"/>
    <x v="1"/>
    <x v="0"/>
    <x v="0"/>
    <n v="83"/>
    <n v="0.27329999999999999"/>
  </r>
  <r>
    <x v="0"/>
    <x v="15"/>
    <x v="1"/>
    <x v="0"/>
    <x v="1"/>
    <n v="83"/>
    <n v="3.6799999999999999E-2"/>
  </r>
  <r>
    <x v="0"/>
    <x v="15"/>
    <x v="1"/>
    <x v="0"/>
    <x v="2"/>
    <n v="85"/>
    <n v="0.1009"/>
  </r>
  <r>
    <x v="0"/>
    <x v="15"/>
    <x v="1"/>
    <x v="0"/>
    <x v="3"/>
    <n v="84"/>
    <n v="8.8400000000000006E-2"/>
  </r>
  <r>
    <x v="0"/>
    <x v="15"/>
    <x v="1"/>
    <x v="0"/>
    <x v="4"/>
    <n v="83"/>
    <n v="0.20660000000000001"/>
  </r>
  <r>
    <x v="0"/>
    <x v="15"/>
    <x v="1"/>
    <x v="0"/>
    <x v="5"/>
    <n v="82"/>
    <n v="8.4000000000000005E-2"/>
  </r>
  <r>
    <x v="0"/>
    <x v="15"/>
    <x v="1"/>
    <x v="0"/>
    <x v="6"/>
    <n v="82"/>
    <n v="7.1099999999999997E-2"/>
  </r>
  <r>
    <x v="0"/>
    <x v="15"/>
    <x v="1"/>
    <x v="0"/>
    <x v="7"/>
    <n v="82"/>
    <n v="0.12590000000000001"/>
  </r>
  <r>
    <x v="0"/>
    <x v="15"/>
    <x v="1"/>
    <x v="0"/>
    <x v="8"/>
    <n v="83"/>
    <n v="3.2000000000000001E-2"/>
  </r>
  <r>
    <x v="0"/>
    <x v="15"/>
    <x v="1"/>
    <x v="0"/>
    <x v="9"/>
    <n v="85"/>
    <n v="6.9400000000000003E-2"/>
  </r>
  <r>
    <x v="0"/>
    <x v="15"/>
    <x v="1"/>
    <x v="0"/>
    <x v="10"/>
    <n v="80"/>
    <n v="0.1004"/>
  </r>
  <r>
    <x v="0"/>
    <x v="15"/>
    <x v="1"/>
    <x v="0"/>
    <x v="11"/>
    <n v="81"/>
    <n v="0.1166"/>
  </r>
  <r>
    <x v="0"/>
    <x v="15"/>
    <x v="1"/>
    <x v="0"/>
    <x v="12"/>
    <n v="83"/>
    <n v="0.12609999999999999"/>
  </r>
  <r>
    <x v="0"/>
    <x v="15"/>
    <x v="1"/>
    <x v="0"/>
    <x v="13"/>
    <n v="82"/>
    <n v="5.4899999999999997E-2"/>
  </r>
  <r>
    <x v="0"/>
    <x v="16"/>
    <x v="1"/>
    <x v="0"/>
    <x v="0"/>
    <n v="74"/>
    <n v="4.6199999999999998E-2"/>
  </r>
  <r>
    <x v="0"/>
    <x v="16"/>
    <x v="1"/>
    <x v="0"/>
    <x v="1"/>
    <n v="87"/>
    <n v="4.1000000000000003E-3"/>
  </r>
  <r>
    <x v="0"/>
    <x v="16"/>
    <x v="1"/>
    <x v="0"/>
    <x v="2"/>
    <n v="78"/>
    <n v="1.1599999999999999E-2"/>
  </r>
  <r>
    <x v="0"/>
    <x v="16"/>
    <x v="1"/>
    <x v="0"/>
    <x v="3"/>
    <n v="61"/>
    <n v="8.8000000000000005E-3"/>
  </r>
  <r>
    <x v="0"/>
    <x v="16"/>
    <x v="1"/>
    <x v="0"/>
    <x v="4"/>
    <n v="72"/>
    <n v="2.63E-2"/>
  </r>
  <r>
    <x v="0"/>
    <x v="16"/>
    <x v="1"/>
    <x v="0"/>
    <x v="5"/>
    <n v="84"/>
    <n v="9.1999999999999998E-3"/>
  </r>
  <r>
    <x v="0"/>
    <x v="16"/>
    <x v="1"/>
    <x v="0"/>
    <x v="6"/>
    <n v="76"/>
    <n v="9.2999999999999992E-3"/>
  </r>
  <r>
    <x v="0"/>
    <x v="16"/>
    <x v="1"/>
    <x v="0"/>
    <x v="7"/>
    <n v="76"/>
    <n v="1.66E-2"/>
  </r>
  <r>
    <x v="0"/>
    <x v="16"/>
    <x v="1"/>
    <x v="0"/>
    <x v="8"/>
    <n v="65"/>
    <n v="3.5999999999999999E-3"/>
  </r>
  <r>
    <x v="0"/>
    <x v="16"/>
    <x v="1"/>
    <x v="0"/>
    <x v="9"/>
    <n v="62"/>
    <n v="6.4000000000000003E-3"/>
  </r>
  <r>
    <x v="0"/>
    <x v="16"/>
    <x v="1"/>
    <x v="0"/>
    <x v="10"/>
    <n v="76"/>
    <n v="8.6999999999999994E-3"/>
  </r>
  <r>
    <x v="0"/>
    <x v="16"/>
    <x v="1"/>
    <x v="0"/>
    <x v="11"/>
    <n v="76"/>
    <n v="1.0999999999999999E-2"/>
  </r>
  <r>
    <x v="0"/>
    <x v="16"/>
    <x v="1"/>
    <x v="0"/>
    <x v="12"/>
    <n v="74"/>
    <n v="1.12E-2"/>
  </r>
  <r>
    <x v="0"/>
    <x v="16"/>
    <x v="1"/>
    <x v="0"/>
    <x v="13"/>
    <n v="78"/>
    <n v="7.4000000000000003E-3"/>
  </r>
  <r>
    <x v="1"/>
    <x v="17"/>
    <x v="1"/>
    <x v="1"/>
    <x v="0"/>
    <n v="106"/>
    <n v="0.88619999999999999"/>
  </r>
  <r>
    <x v="1"/>
    <x v="17"/>
    <x v="1"/>
    <x v="1"/>
    <x v="1"/>
    <n v="97"/>
    <n v="0.1996"/>
  </r>
  <r>
    <x v="1"/>
    <x v="17"/>
    <x v="1"/>
    <x v="1"/>
    <x v="2"/>
    <n v="107"/>
    <n v="0.4602"/>
  </r>
  <r>
    <x v="1"/>
    <x v="17"/>
    <x v="1"/>
    <x v="1"/>
    <x v="3"/>
    <n v="107"/>
    <n v="0.40739999999999998"/>
  </r>
  <r>
    <x v="1"/>
    <x v="17"/>
    <x v="1"/>
    <x v="1"/>
    <x v="4"/>
    <n v="108"/>
    <n v="0.80300000000000005"/>
  </r>
  <r>
    <x v="1"/>
    <x v="17"/>
    <x v="1"/>
    <x v="1"/>
    <x v="5"/>
    <n v="106"/>
    <n v="0.38069999999999998"/>
  </r>
  <r>
    <x v="1"/>
    <x v="17"/>
    <x v="1"/>
    <x v="1"/>
    <x v="6"/>
    <n v="99"/>
    <n v="0.29649999999999999"/>
  </r>
  <r>
    <x v="1"/>
    <x v="17"/>
    <x v="1"/>
    <x v="1"/>
    <x v="7"/>
    <n v="103"/>
    <n v="0.68149999999999999"/>
  </r>
  <r>
    <x v="1"/>
    <x v="17"/>
    <x v="1"/>
    <x v="1"/>
    <x v="8"/>
    <n v="95"/>
    <n v="0.13519999999999999"/>
  </r>
  <r>
    <x v="1"/>
    <x v="17"/>
    <x v="1"/>
    <x v="1"/>
    <x v="9"/>
    <n v="106"/>
    <n v="0.32969999999999999"/>
  </r>
  <r>
    <x v="1"/>
    <x v="17"/>
    <x v="1"/>
    <x v="1"/>
    <x v="10"/>
    <n v="107"/>
    <n v="0.53190000000000004"/>
  </r>
  <r>
    <x v="1"/>
    <x v="17"/>
    <x v="1"/>
    <x v="1"/>
    <x v="11"/>
    <n v="106"/>
    <n v="0.59789999999999999"/>
  </r>
  <r>
    <x v="1"/>
    <x v="17"/>
    <x v="1"/>
    <x v="1"/>
    <x v="12"/>
    <n v="108"/>
    <n v="0.63290000000000002"/>
  </r>
  <r>
    <x v="1"/>
    <x v="17"/>
    <x v="1"/>
    <x v="1"/>
    <x v="13"/>
    <n v="98"/>
    <n v="0.30570000000000003"/>
  </r>
  <r>
    <x v="1"/>
    <x v="18"/>
    <x v="1"/>
    <x v="0"/>
    <x v="0"/>
    <n v="90"/>
    <n v="9.3200000000000005E-2"/>
  </r>
  <r>
    <x v="1"/>
    <x v="18"/>
    <x v="1"/>
    <x v="0"/>
    <x v="1"/>
    <n v="104"/>
    <n v="6.7000000000000002E-3"/>
  </r>
  <r>
    <x v="1"/>
    <x v="18"/>
    <x v="1"/>
    <x v="0"/>
    <x v="2"/>
    <n v="100"/>
    <n v="2.3300000000000001E-2"/>
  </r>
  <r>
    <x v="1"/>
    <x v="18"/>
    <x v="1"/>
    <x v="0"/>
    <x v="3"/>
    <n v="81"/>
    <n v="2.2599999999999999E-2"/>
  </r>
  <r>
    <x v="1"/>
    <x v="18"/>
    <x v="1"/>
    <x v="0"/>
    <x v="4"/>
    <n v="88"/>
    <n v="0.06"/>
  </r>
  <r>
    <x v="1"/>
    <x v="18"/>
    <x v="1"/>
    <x v="0"/>
    <x v="5"/>
    <n v="90"/>
    <n v="1.7999999999999999E-2"/>
  </r>
  <r>
    <x v="1"/>
    <x v="18"/>
    <x v="1"/>
    <x v="0"/>
    <x v="6"/>
    <n v="89"/>
    <n v="1.7500000000000002E-2"/>
  </r>
  <r>
    <x v="1"/>
    <x v="18"/>
    <x v="1"/>
    <x v="0"/>
    <x v="7"/>
    <n v="87"/>
    <n v="3.6200000000000003E-2"/>
  </r>
  <r>
    <x v="1"/>
    <x v="18"/>
    <x v="1"/>
    <x v="0"/>
    <x v="8"/>
    <n v="97"/>
    <n v="7.0000000000000001E-3"/>
  </r>
  <r>
    <x v="1"/>
    <x v="18"/>
    <x v="1"/>
    <x v="0"/>
    <x v="9"/>
    <n v="81"/>
    <n v="1.38E-2"/>
  </r>
  <r>
    <x v="1"/>
    <x v="18"/>
    <x v="1"/>
    <x v="0"/>
    <x v="10"/>
    <n v="92"/>
    <n v="1.9699999999999999E-2"/>
  </r>
  <r>
    <x v="1"/>
    <x v="18"/>
    <x v="1"/>
    <x v="0"/>
    <x v="11"/>
    <n v="93"/>
    <n v="2.4899999999999999E-2"/>
  </r>
  <r>
    <x v="1"/>
    <x v="18"/>
    <x v="1"/>
    <x v="0"/>
    <x v="12"/>
    <n v="89"/>
    <n v="2.7E-2"/>
  </r>
  <r>
    <x v="1"/>
    <x v="18"/>
    <x v="1"/>
    <x v="0"/>
    <x v="13"/>
    <n v="99"/>
    <n v="1.23E-2"/>
  </r>
  <r>
    <x v="0"/>
    <x v="19"/>
    <x v="1"/>
    <x v="0"/>
    <x v="0"/>
    <n v="98"/>
    <n v="0.35970000000000002"/>
  </r>
  <r>
    <x v="0"/>
    <x v="19"/>
    <x v="1"/>
    <x v="0"/>
    <x v="1"/>
    <n v="97"/>
    <n v="5.6500000000000002E-2"/>
  </r>
  <r>
    <x v="0"/>
    <x v="19"/>
    <x v="1"/>
    <x v="0"/>
    <x v="2"/>
    <n v="98"/>
    <n v="0.1273"/>
  </r>
  <r>
    <x v="0"/>
    <x v="19"/>
    <x v="1"/>
    <x v="0"/>
    <x v="3"/>
    <n v="100"/>
    <n v="0.14599999999999999"/>
  </r>
  <r>
    <x v="0"/>
    <x v="19"/>
    <x v="1"/>
    <x v="0"/>
    <x v="4"/>
    <n v="98"/>
    <n v="0.25409999999999999"/>
  </r>
  <r>
    <x v="0"/>
    <x v="19"/>
    <x v="1"/>
    <x v="0"/>
    <x v="5"/>
    <n v="99"/>
    <n v="6.6900000000000001E-2"/>
  </r>
  <r>
    <x v="0"/>
    <x v="19"/>
    <x v="1"/>
    <x v="0"/>
    <x v="6"/>
    <n v="96"/>
    <n v="6.3600000000000004E-2"/>
  </r>
  <r>
    <x v="0"/>
    <x v="19"/>
    <x v="1"/>
    <x v="0"/>
    <x v="7"/>
    <n v="100"/>
    <n v="0.1812"/>
  </r>
  <r>
    <x v="0"/>
    <x v="19"/>
    <x v="1"/>
    <x v="0"/>
    <x v="8"/>
    <n v="96"/>
    <n v="3.6299999999999999E-2"/>
  </r>
  <r>
    <x v="0"/>
    <x v="19"/>
    <x v="1"/>
    <x v="0"/>
    <x v="9"/>
    <n v="100"/>
    <n v="0.1099"/>
  </r>
  <r>
    <x v="0"/>
    <x v="19"/>
    <x v="1"/>
    <x v="0"/>
    <x v="10"/>
    <n v="98"/>
    <n v="8.4099999999999994E-2"/>
  </r>
  <r>
    <x v="0"/>
    <x v="19"/>
    <x v="1"/>
    <x v="0"/>
    <x v="11"/>
    <n v="97"/>
    <n v="0.1085"/>
  </r>
  <r>
    <x v="0"/>
    <x v="19"/>
    <x v="1"/>
    <x v="0"/>
    <x v="12"/>
    <n v="98"/>
    <n v="0.12379999999999999"/>
  </r>
  <r>
    <x v="0"/>
    <x v="19"/>
    <x v="1"/>
    <x v="0"/>
    <x v="13"/>
    <n v="97"/>
    <n v="8.0199999999999994E-2"/>
  </r>
  <r>
    <x v="0"/>
    <x v="20"/>
    <x v="1"/>
    <x v="0"/>
    <x v="0"/>
    <n v="93"/>
    <n v="0.43959999999999999"/>
  </r>
  <r>
    <x v="0"/>
    <x v="20"/>
    <x v="1"/>
    <x v="0"/>
    <x v="1"/>
    <n v="91"/>
    <n v="0.11899999999999999"/>
  </r>
  <r>
    <x v="0"/>
    <x v="20"/>
    <x v="1"/>
    <x v="0"/>
    <x v="2"/>
    <n v="97"/>
    <n v="0.25109999999999999"/>
  </r>
  <r>
    <x v="0"/>
    <x v="20"/>
    <x v="1"/>
    <x v="0"/>
    <x v="3"/>
    <n v="92"/>
    <n v="0.21240000000000001"/>
  </r>
  <r>
    <x v="0"/>
    <x v="20"/>
    <x v="1"/>
    <x v="0"/>
    <x v="4"/>
    <n v="92"/>
    <n v="0.33189999999999997"/>
  </r>
  <r>
    <x v="0"/>
    <x v="20"/>
    <x v="1"/>
    <x v="0"/>
    <x v="5"/>
    <n v="92"/>
    <n v="0.1661"/>
  </r>
  <r>
    <x v="0"/>
    <x v="20"/>
    <x v="1"/>
    <x v="0"/>
    <x v="6"/>
    <n v="91"/>
    <n v="0.14580000000000001"/>
  </r>
  <r>
    <x v="0"/>
    <x v="20"/>
    <x v="1"/>
    <x v="0"/>
    <x v="7"/>
    <n v="93"/>
    <n v="0.30940000000000001"/>
  </r>
  <r>
    <x v="0"/>
    <x v="20"/>
    <x v="1"/>
    <x v="0"/>
    <x v="8"/>
    <n v="87"/>
    <n v="8.2500000000000004E-2"/>
  </r>
  <r>
    <x v="0"/>
    <x v="20"/>
    <x v="1"/>
    <x v="0"/>
    <x v="9"/>
    <n v="93"/>
    <n v="0.1893"/>
  </r>
  <r>
    <x v="0"/>
    <x v="20"/>
    <x v="1"/>
    <x v="0"/>
    <x v="10"/>
    <n v="90"/>
    <n v="0.19839999999999999"/>
  </r>
  <r>
    <x v="0"/>
    <x v="20"/>
    <x v="1"/>
    <x v="0"/>
    <x v="11"/>
    <n v="90"/>
    <n v="0.2157"/>
  </r>
  <r>
    <x v="0"/>
    <x v="20"/>
    <x v="1"/>
    <x v="0"/>
    <x v="12"/>
    <n v="93"/>
    <n v="0.22450000000000001"/>
  </r>
  <r>
    <x v="0"/>
    <x v="20"/>
    <x v="1"/>
    <x v="0"/>
    <x v="13"/>
    <n v="91"/>
    <n v="0.16370000000000001"/>
  </r>
  <r>
    <x v="0"/>
    <x v="23"/>
    <x v="1"/>
    <x v="0"/>
    <x v="0"/>
    <n v="89"/>
    <n v="0.2382"/>
  </r>
  <r>
    <x v="0"/>
    <x v="23"/>
    <x v="1"/>
    <x v="0"/>
    <x v="1"/>
    <n v="84"/>
    <n v="2.3099999999999999E-2"/>
  </r>
  <r>
    <x v="0"/>
    <x v="23"/>
    <x v="1"/>
    <x v="0"/>
    <x v="2"/>
    <n v="96"/>
    <n v="8.0100000000000005E-2"/>
  </r>
  <r>
    <x v="0"/>
    <x v="23"/>
    <x v="1"/>
    <x v="0"/>
    <x v="3"/>
    <n v="90"/>
    <n v="7.3899999999999993E-2"/>
  </r>
  <r>
    <x v="0"/>
    <x v="23"/>
    <x v="1"/>
    <x v="0"/>
    <x v="4"/>
    <n v="88"/>
    <n v="0.1731"/>
  </r>
  <r>
    <x v="0"/>
    <x v="23"/>
    <x v="1"/>
    <x v="0"/>
    <x v="5"/>
    <n v="89"/>
    <n v="6.7299999999999999E-2"/>
  </r>
  <r>
    <x v="0"/>
    <x v="23"/>
    <x v="1"/>
    <x v="0"/>
    <x v="6"/>
    <n v="85"/>
    <n v="5.3600000000000002E-2"/>
  </r>
  <r>
    <x v="0"/>
    <x v="23"/>
    <x v="1"/>
    <x v="0"/>
    <x v="7"/>
    <n v="89"/>
    <n v="0.10780000000000001"/>
  </r>
  <r>
    <x v="0"/>
    <x v="23"/>
    <x v="1"/>
    <x v="0"/>
    <x v="8"/>
    <n v="82"/>
    <n v="2.18E-2"/>
  </r>
  <r>
    <x v="0"/>
    <x v="23"/>
    <x v="1"/>
    <x v="0"/>
    <x v="9"/>
    <n v="92"/>
    <n v="5.91E-2"/>
  </r>
  <r>
    <x v="0"/>
    <x v="23"/>
    <x v="1"/>
    <x v="0"/>
    <x v="10"/>
    <n v="91"/>
    <n v="8.0199999999999994E-2"/>
  </r>
  <r>
    <x v="0"/>
    <x v="23"/>
    <x v="1"/>
    <x v="0"/>
    <x v="11"/>
    <n v="83"/>
    <n v="8.3199999999999996E-2"/>
  </r>
  <r>
    <x v="0"/>
    <x v="23"/>
    <x v="1"/>
    <x v="0"/>
    <x v="12"/>
    <n v="86"/>
    <n v="8.7599999999999997E-2"/>
  </r>
  <r>
    <x v="0"/>
    <x v="23"/>
    <x v="1"/>
    <x v="0"/>
    <x v="13"/>
    <n v="84"/>
    <n v="3.8399999999999997E-2"/>
  </r>
  <r>
    <x v="1"/>
    <x v="24"/>
    <x v="1"/>
    <x v="0"/>
    <x v="0"/>
    <n v="105"/>
    <n v="0.10489999999999999"/>
  </r>
  <r>
    <x v="1"/>
    <x v="24"/>
    <x v="1"/>
    <x v="0"/>
    <x v="1"/>
    <n v="108"/>
    <n v="1.2E-2"/>
  </r>
  <r>
    <x v="1"/>
    <x v="24"/>
    <x v="1"/>
    <x v="0"/>
    <x v="2"/>
    <n v="109"/>
    <n v="3.9100000000000003E-2"/>
  </r>
  <r>
    <x v="1"/>
    <x v="24"/>
    <x v="1"/>
    <x v="0"/>
    <x v="3"/>
    <n v="107"/>
    <n v="3.0800000000000001E-2"/>
  </r>
  <r>
    <x v="1"/>
    <x v="24"/>
    <x v="1"/>
    <x v="0"/>
    <x v="4"/>
    <n v="104"/>
    <n v="6.9500000000000006E-2"/>
  </r>
  <r>
    <x v="1"/>
    <x v="24"/>
    <x v="1"/>
    <x v="0"/>
    <x v="5"/>
    <n v="103"/>
    <n v="2.5600000000000001E-2"/>
  </r>
  <r>
    <x v="1"/>
    <x v="24"/>
    <x v="1"/>
    <x v="0"/>
    <x v="6"/>
    <n v="100"/>
    <n v="2.2100000000000002E-2"/>
  </r>
  <r>
    <x v="1"/>
    <x v="24"/>
    <x v="1"/>
    <x v="0"/>
    <x v="7"/>
    <n v="104"/>
    <n v="5.1700000000000003E-2"/>
  </r>
  <r>
    <x v="1"/>
    <x v="24"/>
    <x v="1"/>
    <x v="0"/>
    <x v="8"/>
    <n v="103"/>
    <n v="8.6E-3"/>
  </r>
  <r>
    <x v="1"/>
    <x v="24"/>
    <x v="1"/>
    <x v="0"/>
    <x v="9"/>
    <n v="110"/>
    <n v="2.47E-2"/>
  </r>
  <r>
    <x v="1"/>
    <x v="24"/>
    <x v="1"/>
    <x v="0"/>
    <x v="10"/>
    <n v="105"/>
    <n v="2.8299999999999999E-2"/>
  </r>
  <r>
    <x v="1"/>
    <x v="24"/>
    <x v="1"/>
    <x v="0"/>
    <x v="11"/>
    <n v="105"/>
    <n v="3.3500000000000002E-2"/>
  </r>
  <r>
    <x v="1"/>
    <x v="24"/>
    <x v="1"/>
    <x v="0"/>
    <x v="12"/>
    <n v="104"/>
    <n v="3.6499999999999998E-2"/>
  </r>
  <r>
    <x v="1"/>
    <x v="24"/>
    <x v="1"/>
    <x v="0"/>
    <x v="13"/>
    <n v="109"/>
    <n v="1.9099999999999999E-2"/>
  </r>
  <r>
    <x v="1"/>
    <x v="25"/>
    <x v="1"/>
    <x v="0"/>
    <x v="0"/>
    <n v="103"/>
    <n v="4.4600000000000001E-2"/>
  </r>
  <r>
    <x v="1"/>
    <x v="25"/>
    <x v="1"/>
    <x v="0"/>
    <x v="1"/>
    <n v="91"/>
    <n v="2.8E-3"/>
  </r>
  <r>
    <x v="1"/>
    <x v="25"/>
    <x v="1"/>
    <x v="0"/>
    <x v="2"/>
    <n v="105"/>
    <n v="1.12E-2"/>
  </r>
  <r>
    <x v="1"/>
    <x v="25"/>
    <x v="1"/>
    <x v="0"/>
    <x v="3"/>
    <n v="114"/>
    <n v="8.0000000000000002E-3"/>
  </r>
  <r>
    <x v="1"/>
    <x v="25"/>
    <x v="1"/>
    <x v="0"/>
    <x v="4"/>
    <n v="106"/>
    <n v="2.7699999999999999E-2"/>
  </r>
  <r>
    <x v="1"/>
    <x v="25"/>
    <x v="1"/>
    <x v="0"/>
    <x v="5"/>
    <n v="99"/>
    <n v="9.5999999999999992E-3"/>
  </r>
  <r>
    <x v="1"/>
    <x v="25"/>
    <x v="1"/>
    <x v="0"/>
    <x v="6"/>
    <n v="95"/>
    <n v="9.1000000000000004E-3"/>
  </r>
  <r>
    <x v="1"/>
    <x v="25"/>
    <x v="1"/>
    <x v="0"/>
    <x v="7"/>
    <n v="97"/>
    <n v="1.95E-2"/>
  </r>
  <r>
    <x v="1"/>
    <x v="25"/>
    <x v="1"/>
    <x v="0"/>
    <x v="8"/>
    <n v="96"/>
    <n v="2.8E-3"/>
  </r>
  <r>
    <x v="1"/>
    <x v="25"/>
    <x v="1"/>
    <x v="0"/>
    <x v="9"/>
    <n v="112"/>
    <n v="6.4999999999999997E-3"/>
  </r>
  <r>
    <x v="1"/>
    <x v="25"/>
    <x v="1"/>
    <x v="0"/>
    <x v="10"/>
    <n v="102"/>
    <n v="1.0500000000000001E-2"/>
  </r>
  <r>
    <x v="1"/>
    <x v="25"/>
    <x v="1"/>
    <x v="0"/>
    <x v="11"/>
    <n v="112"/>
    <n v="1.15E-2"/>
  </r>
  <r>
    <x v="1"/>
    <x v="25"/>
    <x v="1"/>
    <x v="0"/>
    <x v="12"/>
    <n v="108"/>
    <n v="1.2200000000000001E-2"/>
  </r>
  <r>
    <x v="1"/>
    <x v="25"/>
    <x v="1"/>
    <x v="0"/>
    <x v="13"/>
    <n v="86"/>
    <n v="5.4000000000000003E-3"/>
  </r>
  <r>
    <x v="1"/>
    <x v="27"/>
    <x v="1"/>
    <x v="1"/>
    <x v="0"/>
    <n v="96"/>
    <n v="0.47320000000000001"/>
  </r>
  <r>
    <x v="1"/>
    <x v="27"/>
    <x v="1"/>
    <x v="1"/>
    <x v="1"/>
    <n v="91"/>
    <n v="5.4100000000000002E-2"/>
  </r>
  <r>
    <x v="1"/>
    <x v="27"/>
    <x v="1"/>
    <x v="1"/>
    <x v="2"/>
    <n v="89"/>
    <n v="0.1678"/>
  </r>
  <r>
    <x v="1"/>
    <x v="27"/>
    <x v="1"/>
    <x v="1"/>
    <x v="3"/>
    <n v="101"/>
    <n v="0.1772"/>
  </r>
  <r>
    <x v="1"/>
    <x v="27"/>
    <x v="1"/>
    <x v="1"/>
    <x v="4"/>
    <n v="98"/>
    <n v="0.36120000000000002"/>
  </r>
  <r>
    <x v="1"/>
    <x v="27"/>
    <x v="1"/>
    <x v="1"/>
    <x v="5"/>
    <n v="94"/>
    <n v="0.14319999999999999"/>
  </r>
  <r>
    <x v="1"/>
    <x v="27"/>
    <x v="1"/>
    <x v="1"/>
    <x v="6"/>
    <n v="93"/>
    <n v="0.1153"/>
  </r>
  <r>
    <x v="1"/>
    <x v="27"/>
    <x v="1"/>
    <x v="1"/>
    <x v="7"/>
    <n v="98"/>
    <n v="0.23619999999999999"/>
  </r>
  <r>
    <x v="1"/>
    <x v="27"/>
    <x v="1"/>
    <x v="1"/>
    <x v="8"/>
    <n v="90"/>
    <n v="4.1500000000000002E-2"/>
  </r>
  <r>
    <x v="1"/>
    <x v="27"/>
    <x v="1"/>
    <x v="1"/>
    <x v="9"/>
    <n v="101"/>
    <n v="0.14280000000000001"/>
  </r>
  <r>
    <x v="1"/>
    <x v="27"/>
    <x v="1"/>
    <x v="1"/>
    <x v="10"/>
    <n v="96"/>
    <n v="0.1691"/>
  </r>
  <r>
    <x v="1"/>
    <x v="27"/>
    <x v="1"/>
    <x v="1"/>
    <x v="11"/>
    <n v="99"/>
    <n v="0.17630000000000001"/>
  </r>
  <r>
    <x v="1"/>
    <x v="27"/>
    <x v="1"/>
    <x v="1"/>
    <x v="12"/>
    <n v="99"/>
    <n v="0.18060000000000001"/>
  </r>
  <r>
    <x v="1"/>
    <x v="27"/>
    <x v="1"/>
    <x v="1"/>
    <x v="13"/>
    <n v="90"/>
    <n v="8.2199999999999995E-2"/>
  </r>
  <r>
    <x v="1"/>
    <x v="29"/>
    <x v="1"/>
    <x v="0"/>
    <x v="0"/>
    <n v="107"/>
    <n v="0.1105"/>
  </r>
  <r>
    <x v="1"/>
    <x v="29"/>
    <x v="1"/>
    <x v="0"/>
    <x v="1"/>
    <n v="108"/>
    <n v="1.14E-2"/>
  </r>
  <r>
    <x v="1"/>
    <x v="29"/>
    <x v="1"/>
    <x v="0"/>
    <x v="2"/>
    <n v="105"/>
    <n v="3.5799999999999998E-2"/>
  </r>
  <r>
    <x v="1"/>
    <x v="29"/>
    <x v="1"/>
    <x v="0"/>
    <x v="3"/>
    <n v="110"/>
    <n v="2.8500000000000001E-2"/>
  </r>
  <r>
    <x v="1"/>
    <x v="29"/>
    <x v="1"/>
    <x v="0"/>
    <x v="4"/>
    <n v="108"/>
    <n v="7.0499999999999993E-2"/>
  </r>
  <r>
    <x v="1"/>
    <x v="29"/>
    <x v="1"/>
    <x v="0"/>
    <x v="5"/>
    <n v="106"/>
    <n v="2.3800000000000002E-2"/>
  </r>
  <r>
    <x v="1"/>
    <x v="29"/>
    <x v="1"/>
    <x v="0"/>
    <x v="6"/>
    <n v="102"/>
    <n v="2.3199999999999998E-2"/>
  </r>
  <r>
    <x v="1"/>
    <x v="29"/>
    <x v="1"/>
    <x v="0"/>
    <x v="7"/>
    <n v="106"/>
    <n v="4.9500000000000002E-2"/>
  </r>
  <r>
    <x v="1"/>
    <x v="29"/>
    <x v="1"/>
    <x v="0"/>
    <x v="8"/>
    <n v="102"/>
    <n v="1.0200000000000001E-2"/>
  </r>
  <r>
    <x v="1"/>
    <x v="29"/>
    <x v="1"/>
    <x v="0"/>
    <x v="9"/>
    <n v="110"/>
    <n v="2.2100000000000002E-2"/>
  </r>
  <r>
    <x v="1"/>
    <x v="29"/>
    <x v="1"/>
    <x v="0"/>
    <x v="10"/>
    <n v="106"/>
    <n v="2.5899999999999999E-2"/>
  </r>
  <r>
    <x v="1"/>
    <x v="29"/>
    <x v="1"/>
    <x v="0"/>
    <x v="11"/>
    <n v="107"/>
    <n v="3.0499999999999999E-2"/>
  </r>
  <r>
    <x v="1"/>
    <x v="29"/>
    <x v="1"/>
    <x v="0"/>
    <x v="12"/>
    <n v="108"/>
    <n v="3.5000000000000003E-2"/>
  </r>
  <r>
    <x v="1"/>
    <x v="29"/>
    <x v="1"/>
    <x v="0"/>
    <x v="13"/>
    <n v="103"/>
    <n v="1.95E-2"/>
  </r>
  <r>
    <x v="1"/>
    <x v="30"/>
    <x v="1"/>
    <x v="0"/>
    <x v="0"/>
    <n v="102"/>
    <n v="8.8099999999999998E-2"/>
  </r>
  <r>
    <x v="1"/>
    <x v="30"/>
    <x v="1"/>
    <x v="0"/>
    <x v="1"/>
    <n v="59"/>
    <n v="4.7000000000000002E-3"/>
  </r>
  <r>
    <x v="1"/>
    <x v="30"/>
    <x v="1"/>
    <x v="0"/>
    <x v="2"/>
    <n v="90"/>
    <n v="1.7399999999999999E-2"/>
  </r>
  <r>
    <x v="1"/>
    <x v="30"/>
    <x v="1"/>
    <x v="0"/>
    <x v="3"/>
    <n v="94"/>
    <n v="1.6199999999999999E-2"/>
  </r>
  <r>
    <x v="1"/>
    <x v="30"/>
    <x v="1"/>
    <x v="0"/>
    <x v="4"/>
    <n v="105"/>
    <n v="5.8400000000000001E-2"/>
  </r>
  <r>
    <x v="1"/>
    <x v="30"/>
    <x v="1"/>
    <x v="0"/>
    <x v="5"/>
    <n v="119"/>
    <n v="1.7399999999999999E-2"/>
  </r>
  <r>
    <x v="1"/>
    <x v="30"/>
    <x v="1"/>
    <x v="0"/>
    <x v="6"/>
    <n v="106"/>
    <n v="1.5699999999999999E-2"/>
  </r>
  <r>
    <x v="1"/>
    <x v="30"/>
    <x v="1"/>
    <x v="0"/>
    <x v="7"/>
    <n v="92"/>
    <n v="3.1199999999999999E-2"/>
  </r>
  <r>
    <x v="1"/>
    <x v="30"/>
    <x v="1"/>
    <x v="0"/>
    <x v="8"/>
    <n v="87"/>
    <n v="5.3E-3"/>
  </r>
  <r>
    <x v="1"/>
    <x v="30"/>
    <x v="1"/>
    <x v="0"/>
    <x v="9"/>
    <n v="98"/>
    <n v="1.0699999999999999E-2"/>
  </r>
  <r>
    <x v="1"/>
    <x v="30"/>
    <x v="1"/>
    <x v="0"/>
    <x v="10"/>
    <n v="107"/>
    <n v="1.9E-2"/>
  </r>
  <r>
    <x v="1"/>
    <x v="30"/>
    <x v="1"/>
    <x v="0"/>
    <x v="11"/>
    <n v="104"/>
    <n v="2.29E-2"/>
  </r>
  <r>
    <x v="1"/>
    <x v="30"/>
    <x v="1"/>
    <x v="0"/>
    <x v="12"/>
    <n v="105"/>
    <n v="2.64E-2"/>
  </r>
  <r>
    <x v="1"/>
    <x v="30"/>
    <x v="1"/>
    <x v="0"/>
    <x v="13"/>
    <n v="69"/>
    <n v="9.1999999999999998E-3"/>
  </r>
  <r>
    <x v="0"/>
    <x v="31"/>
    <x v="1"/>
    <x v="0"/>
    <x v="0"/>
    <n v="107"/>
    <n v="0.30649999999999999"/>
  </r>
  <r>
    <x v="0"/>
    <x v="31"/>
    <x v="1"/>
    <x v="0"/>
    <x v="1"/>
    <n v="104"/>
    <n v="3.9100000000000003E-2"/>
  </r>
  <r>
    <x v="0"/>
    <x v="31"/>
    <x v="1"/>
    <x v="0"/>
    <x v="2"/>
    <n v="111"/>
    <n v="0.1187"/>
  </r>
  <r>
    <x v="0"/>
    <x v="31"/>
    <x v="1"/>
    <x v="0"/>
    <x v="3"/>
    <n v="108"/>
    <n v="0.1053"/>
  </r>
  <r>
    <x v="0"/>
    <x v="31"/>
    <x v="1"/>
    <x v="0"/>
    <x v="4"/>
    <n v="108"/>
    <n v="0.2233"/>
  </r>
  <r>
    <x v="0"/>
    <x v="31"/>
    <x v="1"/>
    <x v="0"/>
    <x v="5"/>
    <n v="101"/>
    <n v="8.7900000000000006E-2"/>
  </r>
  <r>
    <x v="0"/>
    <x v="31"/>
    <x v="1"/>
    <x v="0"/>
    <x v="6"/>
    <n v="97"/>
    <n v="7.5600000000000001E-2"/>
  </r>
  <r>
    <x v="0"/>
    <x v="31"/>
    <x v="1"/>
    <x v="0"/>
    <x v="7"/>
    <n v="107"/>
    <n v="0.17030000000000001"/>
  </r>
  <r>
    <x v="0"/>
    <x v="31"/>
    <x v="1"/>
    <x v="0"/>
    <x v="8"/>
    <n v="99"/>
    <n v="3.27E-2"/>
  </r>
  <r>
    <x v="0"/>
    <x v="31"/>
    <x v="1"/>
    <x v="0"/>
    <x v="9"/>
    <n v="110"/>
    <n v="8.2900000000000001E-2"/>
  </r>
  <r>
    <x v="0"/>
    <x v="31"/>
    <x v="1"/>
    <x v="0"/>
    <x v="10"/>
    <n v="104"/>
    <n v="0.1048"/>
  </r>
  <r>
    <x v="0"/>
    <x v="31"/>
    <x v="1"/>
    <x v="0"/>
    <x v="11"/>
    <n v="106"/>
    <n v="0.12720000000000001"/>
  </r>
  <r>
    <x v="0"/>
    <x v="31"/>
    <x v="1"/>
    <x v="0"/>
    <x v="12"/>
    <n v="110"/>
    <n v="0.14130000000000001"/>
  </r>
  <r>
    <x v="0"/>
    <x v="31"/>
    <x v="1"/>
    <x v="0"/>
    <x v="13"/>
    <n v="102"/>
    <n v="6.1800000000000001E-2"/>
  </r>
  <r>
    <x v="1"/>
    <x v="33"/>
    <x v="1"/>
    <x v="0"/>
    <x v="0"/>
    <n v="106"/>
    <n v="0.12790000000000001"/>
  </r>
  <r>
    <x v="1"/>
    <x v="33"/>
    <x v="1"/>
    <x v="0"/>
    <x v="1"/>
    <n v="103"/>
    <n v="1.1599999999999999E-2"/>
  </r>
  <r>
    <x v="1"/>
    <x v="33"/>
    <x v="1"/>
    <x v="0"/>
    <x v="2"/>
    <n v="107"/>
    <n v="3.9600000000000003E-2"/>
  </r>
  <r>
    <x v="1"/>
    <x v="33"/>
    <x v="1"/>
    <x v="0"/>
    <x v="3"/>
    <n v="104"/>
    <n v="2.8799999999999999E-2"/>
  </r>
  <r>
    <x v="1"/>
    <x v="33"/>
    <x v="1"/>
    <x v="0"/>
    <x v="4"/>
    <n v="107"/>
    <n v="7.2099999999999997E-2"/>
  </r>
  <r>
    <x v="1"/>
    <x v="33"/>
    <x v="1"/>
    <x v="0"/>
    <x v="5"/>
    <n v="113"/>
    <n v="2.4400000000000002E-2"/>
  </r>
  <r>
    <x v="1"/>
    <x v="33"/>
    <x v="1"/>
    <x v="0"/>
    <x v="6"/>
    <n v="107"/>
    <n v="2.4500000000000001E-2"/>
  </r>
  <r>
    <x v="1"/>
    <x v="33"/>
    <x v="1"/>
    <x v="0"/>
    <x v="7"/>
    <n v="104"/>
    <n v="4.9700000000000001E-2"/>
  </r>
  <r>
    <x v="1"/>
    <x v="33"/>
    <x v="1"/>
    <x v="0"/>
    <x v="8"/>
    <n v="103"/>
    <n v="1.0800000000000001E-2"/>
  </r>
  <r>
    <x v="1"/>
    <x v="33"/>
    <x v="1"/>
    <x v="0"/>
    <x v="9"/>
    <n v="105"/>
    <n v="2.2100000000000002E-2"/>
  </r>
  <r>
    <x v="1"/>
    <x v="33"/>
    <x v="1"/>
    <x v="0"/>
    <x v="10"/>
    <n v="112"/>
    <n v="2.47E-2"/>
  </r>
  <r>
    <x v="1"/>
    <x v="33"/>
    <x v="1"/>
    <x v="0"/>
    <x v="11"/>
    <n v="107"/>
    <n v="2.86E-2"/>
  </r>
  <r>
    <x v="1"/>
    <x v="33"/>
    <x v="1"/>
    <x v="0"/>
    <x v="12"/>
    <n v="107"/>
    <n v="3.09E-2"/>
  </r>
  <r>
    <x v="1"/>
    <x v="33"/>
    <x v="1"/>
    <x v="0"/>
    <x v="13"/>
    <n v="104"/>
    <n v="2.0199999999999999E-2"/>
  </r>
  <r>
    <x v="1"/>
    <x v="34"/>
    <x v="1"/>
    <x v="0"/>
    <x v="0"/>
    <n v="66"/>
    <n v="0.19409999999999999"/>
  </r>
  <r>
    <x v="1"/>
    <x v="34"/>
    <x v="1"/>
    <x v="0"/>
    <x v="1"/>
    <n v="64"/>
    <n v="2.1499999999999998E-2"/>
  </r>
  <r>
    <x v="1"/>
    <x v="34"/>
    <x v="1"/>
    <x v="0"/>
    <x v="2"/>
    <n v="69"/>
    <n v="6.3500000000000001E-2"/>
  </r>
  <r>
    <x v="1"/>
    <x v="34"/>
    <x v="1"/>
    <x v="0"/>
    <x v="3"/>
    <n v="65"/>
    <n v="5.0500000000000003E-2"/>
  </r>
  <r>
    <x v="1"/>
    <x v="34"/>
    <x v="1"/>
    <x v="0"/>
    <x v="4"/>
    <n v="64"/>
    <n v="0.1195"/>
  </r>
  <r>
    <x v="1"/>
    <x v="34"/>
    <x v="1"/>
    <x v="0"/>
    <x v="5"/>
    <n v="67"/>
    <n v="2.7099999999999999E-2"/>
  </r>
  <r>
    <x v="1"/>
    <x v="34"/>
    <x v="1"/>
    <x v="0"/>
    <x v="6"/>
    <n v="68"/>
    <n v="2.7E-2"/>
  </r>
  <r>
    <x v="1"/>
    <x v="34"/>
    <x v="1"/>
    <x v="0"/>
    <x v="7"/>
    <n v="66"/>
    <n v="8.8900000000000007E-2"/>
  </r>
  <r>
    <x v="1"/>
    <x v="34"/>
    <x v="1"/>
    <x v="0"/>
    <x v="8"/>
    <n v="72"/>
    <n v="1.26E-2"/>
  </r>
  <r>
    <x v="1"/>
    <x v="34"/>
    <x v="1"/>
    <x v="0"/>
    <x v="9"/>
    <n v="66"/>
    <n v="3.8800000000000001E-2"/>
  </r>
  <r>
    <x v="1"/>
    <x v="34"/>
    <x v="1"/>
    <x v="0"/>
    <x v="10"/>
    <n v="61"/>
    <n v="2.9499999999999998E-2"/>
  </r>
  <r>
    <x v="1"/>
    <x v="34"/>
    <x v="1"/>
    <x v="0"/>
    <x v="11"/>
    <n v="59"/>
    <n v="3.9300000000000002E-2"/>
  </r>
  <r>
    <x v="1"/>
    <x v="34"/>
    <x v="1"/>
    <x v="0"/>
    <x v="12"/>
    <n v="63"/>
    <n v="5.0999999999999997E-2"/>
  </r>
  <r>
    <x v="1"/>
    <x v="34"/>
    <x v="1"/>
    <x v="0"/>
    <x v="13"/>
    <n v="65"/>
    <n v="3.2599999999999997E-2"/>
  </r>
  <r>
    <x v="1"/>
    <x v="35"/>
    <x v="1"/>
    <x v="0"/>
    <x v="0"/>
    <n v="66"/>
    <n v="5.2999999999999999E-2"/>
  </r>
  <r>
    <x v="1"/>
    <x v="35"/>
    <x v="1"/>
    <x v="0"/>
    <x v="1"/>
    <n v="60"/>
    <n v="5.4000000000000003E-3"/>
  </r>
  <r>
    <x v="1"/>
    <x v="35"/>
    <x v="1"/>
    <x v="0"/>
    <x v="2"/>
    <n v="66"/>
    <n v="1.5699999999999999E-2"/>
  </r>
  <r>
    <x v="1"/>
    <x v="35"/>
    <x v="1"/>
    <x v="0"/>
    <x v="3"/>
    <n v="58"/>
    <n v="1.11E-2"/>
  </r>
  <r>
    <x v="1"/>
    <x v="35"/>
    <x v="1"/>
    <x v="0"/>
    <x v="4"/>
    <n v="64"/>
    <n v="3.09E-2"/>
  </r>
  <r>
    <x v="1"/>
    <x v="35"/>
    <x v="1"/>
    <x v="0"/>
    <x v="5"/>
    <n v="78"/>
    <n v="8.6999999999999994E-3"/>
  </r>
  <r>
    <x v="1"/>
    <x v="35"/>
    <x v="1"/>
    <x v="0"/>
    <x v="6"/>
    <n v="78"/>
    <n v="9.4999999999999998E-3"/>
  </r>
  <r>
    <x v="1"/>
    <x v="35"/>
    <x v="1"/>
    <x v="0"/>
    <x v="7"/>
    <n v="64"/>
    <n v="1.9400000000000001E-2"/>
  </r>
  <r>
    <x v="1"/>
    <x v="35"/>
    <x v="1"/>
    <x v="0"/>
    <x v="8"/>
    <n v="77"/>
    <n v="4.1999999999999997E-3"/>
  </r>
  <r>
    <x v="1"/>
    <x v="35"/>
    <x v="1"/>
    <x v="0"/>
    <x v="9"/>
    <n v="59"/>
    <n v="8.2000000000000007E-3"/>
  </r>
  <r>
    <x v="1"/>
    <x v="35"/>
    <x v="1"/>
    <x v="0"/>
    <x v="10"/>
    <n v="65"/>
    <n v="8.6999999999999994E-3"/>
  </r>
  <r>
    <x v="1"/>
    <x v="35"/>
    <x v="1"/>
    <x v="0"/>
    <x v="11"/>
    <n v="64"/>
    <n v="9.9000000000000008E-3"/>
  </r>
  <r>
    <x v="1"/>
    <x v="35"/>
    <x v="1"/>
    <x v="0"/>
    <x v="12"/>
    <n v="65"/>
    <n v="1.26E-2"/>
  </r>
  <r>
    <x v="1"/>
    <x v="35"/>
    <x v="1"/>
    <x v="0"/>
    <x v="13"/>
    <n v="66"/>
    <n v="8.3999999999999995E-3"/>
  </r>
  <r>
    <x v="0"/>
    <x v="36"/>
    <x v="1"/>
    <x v="0"/>
    <x v="0"/>
    <n v="91"/>
    <n v="0.30769999999999997"/>
  </r>
  <r>
    <x v="0"/>
    <x v="36"/>
    <x v="1"/>
    <x v="0"/>
    <x v="1"/>
    <n v="87"/>
    <n v="3.1099999999999999E-2"/>
  </r>
  <r>
    <x v="0"/>
    <x v="36"/>
    <x v="1"/>
    <x v="0"/>
    <x v="2"/>
    <n v="91"/>
    <n v="9.8000000000000004E-2"/>
  </r>
  <r>
    <x v="0"/>
    <x v="36"/>
    <x v="1"/>
    <x v="0"/>
    <x v="3"/>
    <n v="89"/>
    <n v="8.2500000000000004E-2"/>
  </r>
  <r>
    <x v="0"/>
    <x v="36"/>
    <x v="1"/>
    <x v="0"/>
    <x v="4"/>
    <n v="90"/>
    <n v="0.22120000000000001"/>
  </r>
  <r>
    <x v="0"/>
    <x v="36"/>
    <x v="1"/>
    <x v="0"/>
    <x v="5"/>
    <n v="91"/>
    <n v="7.5499999999999998E-2"/>
  </r>
  <r>
    <x v="0"/>
    <x v="36"/>
    <x v="1"/>
    <x v="0"/>
    <x v="6"/>
    <n v="93"/>
    <n v="6.4799999999999996E-2"/>
  </r>
  <r>
    <x v="0"/>
    <x v="36"/>
    <x v="1"/>
    <x v="0"/>
    <x v="7"/>
    <n v="93"/>
    <n v="0.15010000000000001"/>
  </r>
  <r>
    <x v="0"/>
    <x v="36"/>
    <x v="1"/>
    <x v="0"/>
    <x v="8"/>
    <n v="91"/>
    <n v="2.7900000000000001E-2"/>
  </r>
  <r>
    <x v="0"/>
    <x v="36"/>
    <x v="1"/>
    <x v="0"/>
    <x v="9"/>
    <n v="92"/>
    <n v="6.1899999999999997E-2"/>
  </r>
  <r>
    <x v="0"/>
    <x v="36"/>
    <x v="1"/>
    <x v="0"/>
    <x v="10"/>
    <n v="87"/>
    <n v="8.3799999999999999E-2"/>
  </r>
  <r>
    <x v="0"/>
    <x v="36"/>
    <x v="1"/>
    <x v="0"/>
    <x v="11"/>
    <n v="90"/>
    <n v="9.8900000000000002E-2"/>
  </r>
  <r>
    <x v="0"/>
    <x v="36"/>
    <x v="1"/>
    <x v="0"/>
    <x v="12"/>
    <n v="92"/>
    <n v="0.11020000000000001"/>
  </r>
  <r>
    <x v="0"/>
    <x v="36"/>
    <x v="1"/>
    <x v="0"/>
    <x v="13"/>
    <n v="88"/>
    <n v="5.0599999999999999E-2"/>
  </r>
  <r>
    <x v="0"/>
    <x v="37"/>
    <x v="1"/>
    <x v="0"/>
    <x v="0"/>
    <n v="81"/>
    <n v="0.41420000000000001"/>
  </r>
  <r>
    <x v="0"/>
    <x v="37"/>
    <x v="1"/>
    <x v="0"/>
    <x v="1"/>
    <n v="81"/>
    <n v="7.3200000000000001E-2"/>
  </r>
  <r>
    <x v="0"/>
    <x v="37"/>
    <x v="1"/>
    <x v="0"/>
    <x v="2"/>
    <n v="78"/>
    <n v="0.16"/>
  </r>
  <r>
    <x v="0"/>
    <x v="37"/>
    <x v="1"/>
    <x v="0"/>
    <x v="3"/>
    <n v="85"/>
    <n v="0.154"/>
  </r>
  <r>
    <x v="0"/>
    <x v="37"/>
    <x v="1"/>
    <x v="0"/>
    <x v="4"/>
    <n v="81"/>
    <n v="0.33439999999999998"/>
  </r>
  <r>
    <x v="0"/>
    <x v="37"/>
    <x v="1"/>
    <x v="0"/>
    <x v="5"/>
    <n v="79"/>
    <n v="0.1321"/>
  </r>
  <r>
    <x v="0"/>
    <x v="37"/>
    <x v="1"/>
    <x v="0"/>
    <x v="6"/>
    <n v="80"/>
    <n v="0.1056"/>
  </r>
  <r>
    <x v="0"/>
    <x v="37"/>
    <x v="1"/>
    <x v="0"/>
    <x v="7"/>
    <n v="81"/>
    <n v="0.26419999999999999"/>
  </r>
  <r>
    <x v="0"/>
    <x v="37"/>
    <x v="1"/>
    <x v="0"/>
    <x v="8"/>
    <n v="82"/>
    <n v="5.0999999999999997E-2"/>
  </r>
  <r>
    <x v="0"/>
    <x v="37"/>
    <x v="1"/>
    <x v="0"/>
    <x v="9"/>
    <n v="87"/>
    <n v="0.11990000000000001"/>
  </r>
  <r>
    <x v="0"/>
    <x v="37"/>
    <x v="1"/>
    <x v="0"/>
    <x v="10"/>
    <n v="78"/>
    <n v="0.17080000000000001"/>
  </r>
  <r>
    <x v="0"/>
    <x v="37"/>
    <x v="1"/>
    <x v="0"/>
    <x v="11"/>
    <n v="80"/>
    <n v="0.20499999999999999"/>
  </r>
  <r>
    <x v="0"/>
    <x v="37"/>
    <x v="1"/>
    <x v="0"/>
    <x v="12"/>
    <n v="80"/>
    <n v="0.22459999999999999"/>
  </r>
  <r>
    <x v="0"/>
    <x v="37"/>
    <x v="1"/>
    <x v="0"/>
    <x v="13"/>
    <n v="82"/>
    <n v="0.1062"/>
  </r>
  <r>
    <x v="0"/>
    <x v="38"/>
    <x v="1"/>
    <x v="0"/>
    <x v="0"/>
    <n v="28"/>
    <n v="3.7900000000000003E-2"/>
  </r>
  <r>
    <x v="0"/>
    <x v="38"/>
    <x v="1"/>
    <x v="0"/>
    <x v="1"/>
    <n v="34"/>
    <n v="2.7000000000000001E-3"/>
  </r>
  <r>
    <x v="0"/>
    <x v="38"/>
    <x v="1"/>
    <x v="0"/>
    <x v="2"/>
    <n v="27"/>
    <n v="1.01E-2"/>
  </r>
  <r>
    <x v="0"/>
    <x v="38"/>
    <x v="1"/>
    <x v="0"/>
    <x v="3"/>
    <n v="26"/>
    <n v="7.4999999999999997E-3"/>
  </r>
  <r>
    <x v="0"/>
    <x v="38"/>
    <x v="1"/>
    <x v="0"/>
    <x v="4"/>
    <n v="28"/>
    <n v="2.18E-2"/>
  </r>
  <r>
    <x v="0"/>
    <x v="38"/>
    <x v="1"/>
    <x v="0"/>
    <x v="5"/>
    <n v="22"/>
    <n v="6.0000000000000001E-3"/>
  </r>
  <r>
    <x v="0"/>
    <x v="38"/>
    <x v="1"/>
    <x v="0"/>
    <x v="6"/>
    <n v="20"/>
    <n v="6.8999999999999999E-3"/>
  </r>
  <r>
    <x v="0"/>
    <x v="38"/>
    <x v="1"/>
    <x v="0"/>
    <x v="7"/>
    <n v="30"/>
    <n v="1.55E-2"/>
  </r>
  <r>
    <x v="0"/>
    <x v="38"/>
    <x v="1"/>
    <x v="0"/>
    <x v="8"/>
    <n v="26"/>
    <n v="2.7000000000000001E-3"/>
  </r>
  <r>
    <x v="0"/>
    <x v="38"/>
    <x v="1"/>
    <x v="0"/>
    <x v="9"/>
    <n v="26"/>
    <n v="5.5999999999999999E-3"/>
  </r>
  <r>
    <x v="0"/>
    <x v="38"/>
    <x v="1"/>
    <x v="0"/>
    <x v="10"/>
    <n v="25"/>
    <n v="6.1000000000000004E-3"/>
  </r>
  <r>
    <x v="0"/>
    <x v="38"/>
    <x v="1"/>
    <x v="0"/>
    <x v="11"/>
    <n v="27"/>
    <n v="7.4999999999999997E-3"/>
  </r>
  <r>
    <x v="0"/>
    <x v="38"/>
    <x v="1"/>
    <x v="0"/>
    <x v="12"/>
    <n v="28"/>
    <n v="8.0999999999999996E-3"/>
  </r>
  <r>
    <x v="0"/>
    <x v="38"/>
    <x v="1"/>
    <x v="0"/>
    <x v="13"/>
    <n v="31"/>
    <n v="5.7999999999999996E-3"/>
  </r>
  <r>
    <x v="0"/>
    <x v="39"/>
    <x v="1"/>
    <x v="0"/>
    <x v="0"/>
    <n v="87"/>
    <n v="0.29980000000000001"/>
  </r>
  <r>
    <x v="0"/>
    <x v="39"/>
    <x v="1"/>
    <x v="0"/>
    <x v="1"/>
    <n v="92"/>
    <n v="3.5099999999999999E-2"/>
  </r>
  <r>
    <x v="0"/>
    <x v="39"/>
    <x v="1"/>
    <x v="0"/>
    <x v="2"/>
    <n v="87"/>
    <n v="0.1096"/>
  </r>
  <r>
    <x v="0"/>
    <x v="39"/>
    <x v="1"/>
    <x v="0"/>
    <x v="3"/>
    <n v="85"/>
    <n v="9.6100000000000005E-2"/>
  </r>
  <r>
    <x v="0"/>
    <x v="39"/>
    <x v="1"/>
    <x v="0"/>
    <x v="4"/>
    <n v="88"/>
    <n v="0.20979999999999999"/>
  </r>
  <r>
    <x v="0"/>
    <x v="39"/>
    <x v="1"/>
    <x v="0"/>
    <x v="5"/>
    <n v="89"/>
    <n v="6.5299999999999997E-2"/>
  </r>
  <r>
    <x v="0"/>
    <x v="39"/>
    <x v="1"/>
    <x v="0"/>
    <x v="6"/>
    <n v="87"/>
    <n v="5.8299999999999998E-2"/>
  </r>
  <r>
    <x v="0"/>
    <x v="39"/>
    <x v="1"/>
    <x v="0"/>
    <x v="7"/>
    <n v="87"/>
    <n v="0.15959999999999999"/>
  </r>
  <r>
    <x v="0"/>
    <x v="39"/>
    <x v="1"/>
    <x v="0"/>
    <x v="8"/>
    <n v="90"/>
    <n v="2.64E-2"/>
  </r>
  <r>
    <x v="0"/>
    <x v="39"/>
    <x v="1"/>
    <x v="0"/>
    <x v="9"/>
    <n v="86"/>
    <n v="7.2800000000000004E-2"/>
  </r>
  <r>
    <x v="0"/>
    <x v="39"/>
    <x v="1"/>
    <x v="0"/>
    <x v="10"/>
    <n v="88"/>
    <n v="8.3799999999999999E-2"/>
  </r>
  <r>
    <x v="0"/>
    <x v="39"/>
    <x v="1"/>
    <x v="0"/>
    <x v="11"/>
    <n v="89"/>
    <n v="0.1019"/>
  </r>
  <r>
    <x v="0"/>
    <x v="39"/>
    <x v="1"/>
    <x v="0"/>
    <x v="12"/>
    <n v="88"/>
    <n v="0.11609999999999999"/>
  </r>
  <r>
    <x v="0"/>
    <x v="39"/>
    <x v="1"/>
    <x v="0"/>
    <x v="13"/>
    <n v="92"/>
    <n v="5.7000000000000002E-2"/>
  </r>
  <r>
    <x v="1"/>
    <x v="40"/>
    <x v="1"/>
    <x v="0"/>
    <x v="0"/>
    <n v="90"/>
    <n v="9.5100000000000004E-2"/>
  </r>
  <r>
    <x v="1"/>
    <x v="40"/>
    <x v="1"/>
    <x v="0"/>
    <x v="1"/>
    <n v="101"/>
    <n v="8.6999999999999994E-3"/>
  </r>
  <r>
    <x v="1"/>
    <x v="40"/>
    <x v="1"/>
    <x v="0"/>
    <x v="2"/>
    <n v="87"/>
    <n v="2.9100000000000001E-2"/>
  </r>
  <r>
    <x v="1"/>
    <x v="40"/>
    <x v="1"/>
    <x v="0"/>
    <x v="3"/>
    <n v="79"/>
    <n v="2.2200000000000001E-2"/>
  </r>
  <r>
    <x v="1"/>
    <x v="40"/>
    <x v="1"/>
    <x v="0"/>
    <x v="4"/>
    <n v="94"/>
    <n v="5.7000000000000002E-2"/>
  </r>
  <r>
    <x v="1"/>
    <x v="40"/>
    <x v="1"/>
    <x v="0"/>
    <x v="5"/>
    <n v="88"/>
    <n v="1.49E-2"/>
  </r>
  <r>
    <x v="1"/>
    <x v="40"/>
    <x v="1"/>
    <x v="0"/>
    <x v="6"/>
    <n v="93"/>
    <n v="1.5599999999999999E-2"/>
  </r>
  <r>
    <x v="1"/>
    <x v="40"/>
    <x v="1"/>
    <x v="0"/>
    <x v="7"/>
    <n v="91"/>
    <n v="3.5700000000000003E-2"/>
  </r>
  <r>
    <x v="1"/>
    <x v="40"/>
    <x v="1"/>
    <x v="0"/>
    <x v="8"/>
    <n v="105"/>
    <n v="7.0000000000000001E-3"/>
  </r>
  <r>
    <x v="1"/>
    <x v="40"/>
    <x v="1"/>
    <x v="0"/>
    <x v="9"/>
    <n v="77"/>
    <n v="1.49E-2"/>
  </r>
  <r>
    <x v="1"/>
    <x v="40"/>
    <x v="1"/>
    <x v="0"/>
    <x v="10"/>
    <n v="93"/>
    <n v="1.66E-2"/>
  </r>
  <r>
    <x v="1"/>
    <x v="40"/>
    <x v="1"/>
    <x v="0"/>
    <x v="11"/>
    <n v="92"/>
    <n v="2.1100000000000001E-2"/>
  </r>
  <r>
    <x v="1"/>
    <x v="40"/>
    <x v="1"/>
    <x v="0"/>
    <x v="12"/>
    <n v="88"/>
    <n v="2.2599999999999999E-2"/>
  </r>
  <r>
    <x v="1"/>
    <x v="40"/>
    <x v="1"/>
    <x v="0"/>
    <x v="13"/>
    <n v="101"/>
    <n v="1.4200000000000001E-2"/>
  </r>
  <r>
    <x v="1"/>
    <x v="41"/>
    <x v="1"/>
    <x v="0"/>
    <x v="0"/>
    <n v="90"/>
    <n v="0.08"/>
  </r>
  <r>
    <x v="1"/>
    <x v="41"/>
    <x v="1"/>
    <x v="0"/>
    <x v="1"/>
    <n v="105"/>
    <n v="5.7999999999999996E-3"/>
  </r>
  <r>
    <x v="1"/>
    <x v="41"/>
    <x v="1"/>
    <x v="0"/>
    <x v="2"/>
    <n v="95"/>
    <n v="2.0500000000000001E-2"/>
  </r>
  <r>
    <x v="1"/>
    <x v="41"/>
    <x v="1"/>
    <x v="0"/>
    <x v="3"/>
    <n v="89"/>
    <n v="1.7500000000000002E-2"/>
  </r>
  <r>
    <x v="1"/>
    <x v="41"/>
    <x v="1"/>
    <x v="0"/>
    <x v="4"/>
    <n v="84"/>
    <n v="5.28E-2"/>
  </r>
  <r>
    <x v="1"/>
    <x v="41"/>
    <x v="1"/>
    <x v="0"/>
    <x v="5"/>
    <n v="96"/>
    <n v="1.21E-2"/>
  </r>
  <r>
    <x v="1"/>
    <x v="41"/>
    <x v="1"/>
    <x v="0"/>
    <x v="6"/>
    <n v="94"/>
    <n v="1.18E-2"/>
  </r>
  <r>
    <x v="1"/>
    <x v="41"/>
    <x v="1"/>
    <x v="0"/>
    <x v="7"/>
    <n v="85"/>
    <n v="3.2300000000000002E-2"/>
  </r>
  <r>
    <x v="1"/>
    <x v="41"/>
    <x v="1"/>
    <x v="0"/>
    <x v="8"/>
    <n v="97"/>
    <n v="5.1999999999999998E-3"/>
  </r>
  <r>
    <x v="1"/>
    <x v="41"/>
    <x v="1"/>
    <x v="0"/>
    <x v="9"/>
    <n v="93"/>
    <n v="1.26E-2"/>
  </r>
  <r>
    <x v="1"/>
    <x v="41"/>
    <x v="1"/>
    <x v="0"/>
    <x v="10"/>
    <n v="87"/>
    <n v="1.49E-2"/>
  </r>
  <r>
    <x v="1"/>
    <x v="41"/>
    <x v="1"/>
    <x v="0"/>
    <x v="11"/>
    <n v="87"/>
    <n v="2.0299999999999999E-2"/>
  </r>
  <r>
    <x v="1"/>
    <x v="41"/>
    <x v="1"/>
    <x v="0"/>
    <x v="12"/>
    <n v="84"/>
    <n v="2.47E-2"/>
  </r>
  <r>
    <x v="1"/>
    <x v="41"/>
    <x v="1"/>
    <x v="0"/>
    <x v="13"/>
    <n v="101"/>
    <n v="9.9000000000000008E-3"/>
  </r>
  <r>
    <x v="0"/>
    <x v="42"/>
    <x v="1"/>
    <x v="0"/>
    <x v="0"/>
    <n v="103"/>
    <n v="0.33879999999999999"/>
  </r>
  <r>
    <x v="0"/>
    <x v="42"/>
    <x v="1"/>
    <x v="0"/>
    <x v="1"/>
    <n v="96"/>
    <n v="4.5999999999999999E-2"/>
  </r>
  <r>
    <x v="0"/>
    <x v="42"/>
    <x v="1"/>
    <x v="0"/>
    <x v="2"/>
    <n v="103"/>
    <n v="0.14000000000000001"/>
  </r>
  <r>
    <x v="0"/>
    <x v="42"/>
    <x v="1"/>
    <x v="0"/>
    <x v="3"/>
    <n v="99"/>
    <n v="0.12920000000000001"/>
  </r>
  <r>
    <x v="0"/>
    <x v="42"/>
    <x v="1"/>
    <x v="0"/>
    <x v="4"/>
    <n v="102"/>
    <n v="0.25659999999999999"/>
  </r>
  <r>
    <x v="0"/>
    <x v="42"/>
    <x v="1"/>
    <x v="0"/>
    <x v="5"/>
    <n v="103"/>
    <n v="0.1085"/>
  </r>
  <r>
    <x v="0"/>
    <x v="42"/>
    <x v="1"/>
    <x v="0"/>
    <x v="6"/>
    <n v="102"/>
    <n v="8.9599999999999999E-2"/>
  </r>
  <r>
    <x v="0"/>
    <x v="42"/>
    <x v="1"/>
    <x v="0"/>
    <x v="7"/>
    <n v="106"/>
    <n v="0.20399999999999999"/>
  </r>
  <r>
    <x v="0"/>
    <x v="42"/>
    <x v="1"/>
    <x v="0"/>
    <x v="8"/>
    <n v="100"/>
    <n v="3.6600000000000001E-2"/>
  </r>
  <r>
    <x v="0"/>
    <x v="42"/>
    <x v="1"/>
    <x v="0"/>
    <x v="9"/>
    <n v="100"/>
    <n v="0.10440000000000001"/>
  </r>
  <r>
    <x v="0"/>
    <x v="42"/>
    <x v="1"/>
    <x v="0"/>
    <x v="10"/>
    <n v="100"/>
    <n v="0.12970000000000001"/>
  </r>
  <r>
    <x v="0"/>
    <x v="42"/>
    <x v="1"/>
    <x v="0"/>
    <x v="11"/>
    <n v="102"/>
    <n v="0.1545"/>
  </r>
  <r>
    <x v="0"/>
    <x v="42"/>
    <x v="1"/>
    <x v="0"/>
    <x v="12"/>
    <n v="104"/>
    <n v="0.1666"/>
  </r>
  <r>
    <x v="0"/>
    <x v="42"/>
    <x v="1"/>
    <x v="0"/>
    <x v="13"/>
    <n v="99"/>
    <n v="8.2900000000000001E-2"/>
  </r>
  <r>
    <x v="1"/>
    <x v="43"/>
    <x v="1"/>
    <x v="1"/>
    <x v="0"/>
    <n v="99"/>
    <n v="0.74539999999999995"/>
  </r>
  <r>
    <x v="1"/>
    <x v="43"/>
    <x v="1"/>
    <x v="1"/>
    <x v="1"/>
    <n v="94"/>
    <n v="0.13950000000000001"/>
  </r>
  <r>
    <x v="1"/>
    <x v="43"/>
    <x v="1"/>
    <x v="1"/>
    <x v="2"/>
    <n v="96"/>
    <n v="0.31590000000000001"/>
  </r>
  <r>
    <x v="1"/>
    <x v="43"/>
    <x v="1"/>
    <x v="1"/>
    <x v="3"/>
    <n v="95"/>
    <n v="0.28520000000000001"/>
  </r>
  <r>
    <x v="1"/>
    <x v="43"/>
    <x v="1"/>
    <x v="1"/>
    <x v="4"/>
    <n v="103"/>
    <n v="0.63859999999999995"/>
  </r>
  <r>
    <x v="1"/>
    <x v="43"/>
    <x v="1"/>
    <x v="1"/>
    <x v="5"/>
    <n v="96"/>
    <n v="0.2094"/>
  </r>
  <r>
    <x v="1"/>
    <x v="43"/>
    <x v="1"/>
    <x v="1"/>
    <x v="6"/>
    <n v="92"/>
    <n v="0.17519999999999999"/>
  </r>
  <r>
    <x v="1"/>
    <x v="43"/>
    <x v="1"/>
    <x v="1"/>
    <x v="7"/>
    <n v="104"/>
    <n v="0.46700000000000003"/>
  </r>
  <r>
    <x v="1"/>
    <x v="43"/>
    <x v="1"/>
    <x v="1"/>
    <x v="8"/>
    <n v="91"/>
    <n v="8.8999999999999996E-2"/>
  </r>
  <r>
    <x v="1"/>
    <x v="43"/>
    <x v="1"/>
    <x v="1"/>
    <x v="9"/>
    <n v="94"/>
    <n v="0.2228"/>
  </r>
  <r>
    <x v="1"/>
    <x v="43"/>
    <x v="1"/>
    <x v="1"/>
    <x v="10"/>
    <n v="99"/>
    <n v="0.309"/>
  </r>
  <r>
    <x v="1"/>
    <x v="43"/>
    <x v="1"/>
    <x v="1"/>
    <x v="11"/>
    <n v="101"/>
    <n v="0.44290000000000002"/>
  </r>
  <r>
    <x v="1"/>
    <x v="43"/>
    <x v="1"/>
    <x v="1"/>
    <x v="12"/>
    <n v="104"/>
    <n v="0.4642"/>
  </r>
  <r>
    <x v="1"/>
    <x v="43"/>
    <x v="1"/>
    <x v="1"/>
    <x v="13"/>
    <n v="94"/>
    <n v="0.1867"/>
  </r>
  <r>
    <x v="1"/>
    <x v="44"/>
    <x v="1"/>
    <x v="0"/>
    <x v="0"/>
    <n v="109"/>
    <n v="0.17899999999999999"/>
  </r>
  <r>
    <x v="1"/>
    <x v="44"/>
    <x v="1"/>
    <x v="0"/>
    <x v="1"/>
    <n v="102"/>
    <n v="3.7199999999999997E-2"/>
  </r>
  <r>
    <x v="1"/>
    <x v="44"/>
    <x v="1"/>
    <x v="0"/>
    <x v="2"/>
    <n v="110"/>
    <n v="7.6499999999999999E-2"/>
  </r>
  <r>
    <x v="1"/>
    <x v="44"/>
    <x v="1"/>
    <x v="0"/>
    <x v="3"/>
    <n v="117"/>
    <n v="6.3399999999999998E-2"/>
  </r>
  <r>
    <x v="1"/>
    <x v="44"/>
    <x v="1"/>
    <x v="0"/>
    <x v="4"/>
    <n v="104"/>
    <n v="0.1179"/>
  </r>
  <r>
    <x v="1"/>
    <x v="44"/>
    <x v="1"/>
    <x v="0"/>
    <x v="5"/>
    <n v="107"/>
    <n v="3.7999999999999999E-2"/>
  </r>
  <r>
    <x v="1"/>
    <x v="44"/>
    <x v="1"/>
    <x v="0"/>
    <x v="6"/>
    <n v="104"/>
    <n v="3.78E-2"/>
  </r>
  <r>
    <x v="1"/>
    <x v="44"/>
    <x v="1"/>
    <x v="0"/>
    <x v="7"/>
    <n v="100"/>
    <n v="7.2999999999999995E-2"/>
  </r>
  <r>
    <x v="1"/>
    <x v="44"/>
    <x v="1"/>
    <x v="0"/>
    <x v="8"/>
    <n v="95"/>
    <n v="2.29E-2"/>
  </r>
  <r>
    <x v="1"/>
    <x v="44"/>
    <x v="1"/>
    <x v="0"/>
    <x v="9"/>
    <n v="118"/>
    <n v="5.4399999999999997E-2"/>
  </r>
  <r>
    <x v="1"/>
    <x v="44"/>
    <x v="1"/>
    <x v="0"/>
    <x v="10"/>
    <n v="104"/>
    <n v="4.5499999999999999E-2"/>
  </r>
  <r>
    <x v="1"/>
    <x v="44"/>
    <x v="1"/>
    <x v="0"/>
    <x v="11"/>
    <n v="106"/>
    <n v="5.2400000000000002E-2"/>
  </r>
  <r>
    <x v="1"/>
    <x v="44"/>
    <x v="1"/>
    <x v="0"/>
    <x v="12"/>
    <n v="103"/>
    <n v="5.6800000000000003E-2"/>
  </r>
  <r>
    <x v="1"/>
    <x v="44"/>
    <x v="1"/>
    <x v="0"/>
    <x v="13"/>
    <n v="101"/>
    <n v="4.7500000000000001E-2"/>
  </r>
  <r>
    <x v="0"/>
    <x v="45"/>
    <x v="1"/>
    <x v="0"/>
    <x v="0"/>
    <n v="92"/>
    <n v="0.35809999999999997"/>
  </r>
  <r>
    <x v="0"/>
    <x v="45"/>
    <x v="1"/>
    <x v="0"/>
    <x v="1"/>
    <n v="90"/>
    <n v="4.2000000000000003E-2"/>
  </r>
  <r>
    <x v="0"/>
    <x v="45"/>
    <x v="1"/>
    <x v="0"/>
    <x v="2"/>
    <n v="95"/>
    <n v="0.1479"/>
  </r>
  <r>
    <x v="0"/>
    <x v="45"/>
    <x v="1"/>
    <x v="0"/>
    <x v="3"/>
    <n v="92"/>
    <n v="0.1303"/>
  </r>
  <r>
    <x v="0"/>
    <x v="45"/>
    <x v="1"/>
    <x v="0"/>
    <x v="4"/>
    <n v="93"/>
    <n v="0.26879999999999998"/>
  </r>
  <r>
    <x v="0"/>
    <x v="45"/>
    <x v="1"/>
    <x v="0"/>
    <x v="5"/>
    <n v="91"/>
    <n v="0.10920000000000001"/>
  </r>
  <r>
    <x v="0"/>
    <x v="45"/>
    <x v="1"/>
    <x v="0"/>
    <x v="6"/>
    <n v="90"/>
    <n v="8.6199999999999999E-2"/>
  </r>
  <r>
    <x v="0"/>
    <x v="45"/>
    <x v="1"/>
    <x v="0"/>
    <x v="7"/>
    <n v="89"/>
    <n v="0.17399999999999999"/>
  </r>
  <r>
    <x v="0"/>
    <x v="45"/>
    <x v="1"/>
    <x v="0"/>
    <x v="8"/>
    <n v="87"/>
    <n v="2.87E-2"/>
  </r>
  <r>
    <x v="0"/>
    <x v="45"/>
    <x v="1"/>
    <x v="0"/>
    <x v="9"/>
    <n v="94"/>
    <n v="0.1033"/>
  </r>
  <r>
    <x v="0"/>
    <x v="45"/>
    <x v="1"/>
    <x v="0"/>
    <x v="10"/>
    <n v="91"/>
    <n v="0.1265"/>
  </r>
  <r>
    <x v="0"/>
    <x v="45"/>
    <x v="1"/>
    <x v="0"/>
    <x v="11"/>
    <n v="93"/>
    <n v="0.14940000000000001"/>
  </r>
  <r>
    <x v="0"/>
    <x v="45"/>
    <x v="1"/>
    <x v="0"/>
    <x v="12"/>
    <n v="96"/>
    <n v="0.1643"/>
  </r>
  <r>
    <x v="0"/>
    <x v="45"/>
    <x v="1"/>
    <x v="0"/>
    <x v="13"/>
    <n v="90"/>
    <n v="6.7000000000000004E-2"/>
  </r>
  <r>
    <x v="0"/>
    <x v="47"/>
    <x v="1"/>
    <x v="0"/>
    <x v="0"/>
    <n v="108"/>
    <n v="0.37459999999999999"/>
  </r>
  <r>
    <x v="0"/>
    <x v="47"/>
    <x v="1"/>
    <x v="0"/>
    <x v="1"/>
    <n v="104"/>
    <n v="0.14280000000000001"/>
  </r>
  <r>
    <x v="0"/>
    <x v="47"/>
    <x v="1"/>
    <x v="0"/>
    <x v="2"/>
    <n v="109"/>
    <n v="0.2412"/>
  </r>
  <r>
    <x v="0"/>
    <x v="47"/>
    <x v="1"/>
    <x v="0"/>
    <x v="3"/>
    <n v="111"/>
    <n v="0.22850000000000001"/>
  </r>
  <r>
    <x v="0"/>
    <x v="47"/>
    <x v="1"/>
    <x v="0"/>
    <x v="4"/>
    <n v="108"/>
    <n v="0.29959999999999998"/>
  </r>
  <r>
    <x v="0"/>
    <x v="47"/>
    <x v="1"/>
    <x v="0"/>
    <x v="5"/>
    <n v="106"/>
    <n v="0.1767"/>
  </r>
  <r>
    <x v="0"/>
    <x v="47"/>
    <x v="1"/>
    <x v="0"/>
    <x v="6"/>
    <n v="104"/>
    <n v="0.1497"/>
  </r>
  <r>
    <x v="0"/>
    <x v="47"/>
    <x v="1"/>
    <x v="0"/>
    <x v="7"/>
    <n v="106"/>
    <n v="0.27310000000000001"/>
  </r>
  <r>
    <x v="0"/>
    <x v="47"/>
    <x v="1"/>
    <x v="0"/>
    <x v="8"/>
    <n v="104"/>
    <n v="9.8599999999999993E-2"/>
  </r>
  <r>
    <x v="0"/>
    <x v="47"/>
    <x v="1"/>
    <x v="0"/>
    <x v="9"/>
    <n v="112"/>
    <n v="0.2079"/>
  </r>
  <r>
    <x v="0"/>
    <x v="47"/>
    <x v="1"/>
    <x v="0"/>
    <x v="10"/>
    <n v="108"/>
    <n v="0.21160000000000001"/>
  </r>
  <r>
    <x v="0"/>
    <x v="47"/>
    <x v="1"/>
    <x v="0"/>
    <x v="11"/>
    <n v="109"/>
    <n v="0.22320000000000001"/>
  </r>
  <r>
    <x v="0"/>
    <x v="47"/>
    <x v="1"/>
    <x v="0"/>
    <x v="12"/>
    <n v="107"/>
    <n v="0.23069999999999999"/>
  </r>
  <r>
    <x v="0"/>
    <x v="47"/>
    <x v="1"/>
    <x v="0"/>
    <x v="13"/>
    <n v="103"/>
    <n v="0.1744"/>
  </r>
  <r>
    <x v="0"/>
    <x v="49"/>
    <x v="1"/>
    <x v="0"/>
    <x v="0"/>
    <n v="101"/>
    <n v="0.25840000000000002"/>
  </r>
  <r>
    <x v="0"/>
    <x v="49"/>
    <x v="1"/>
    <x v="0"/>
    <x v="1"/>
    <n v="90"/>
    <n v="1.6299999999999999E-2"/>
  </r>
  <r>
    <x v="0"/>
    <x v="49"/>
    <x v="1"/>
    <x v="0"/>
    <x v="2"/>
    <n v="96"/>
    <n v="6.3299999999999995E-2"/>
  </r>
  <r>
    <x v="0"/>
    <x v="49"/>
    <x v="1"/>
    <x v="0"/>
    <x v="3"/>
    <n v="98"/>
    <n v="6.9599999999999995E-2"/>
  </r>
  <r>
    <x v="0"/>
    <x v="49"/>
    <x v="1"/>
    <x v="0"/>
    <x v="4"/>
    <n v="105"/>
    <n v="0.18720000000000001"/>
  </r>
  <r>
    <x v="0"/>
    <x v="49"/>
    <x v="1"/>
    <x v="0"/>
    <x v="5"/>
    <n v="94"/>
    <n v="4.2299999999999997E-2"/>
  </r>
  <r>
    <x v="0"/>
    <x v="49"/>
    <x v="1"/>
    <x v="0"/>
    <x v="6"/>
    <n v="93"/>
    <n v="3.3300000000000003E-2"/>
  </r>
  <r>
    <x v="0"/>
    <x v="49"/>
    <x v="1"/>
    <x v="0"/>
    <x v="7"/>
    <n v="101"/>
    <n v="0.1535"/>
  </r>
  <r>
    <x v="0"/>
    <x v="49"/>
    <x v="1"/>
    <x v="0"/>
    <x v="8"/>
    <n v="93"/>
    <n v="1.2800000000000001E-2"/>
  </r>
  <r>
    <x v="0"/>
    <x v="49"/>
    <x v="1"/>
    <x v="0"/>
    <x v="9"/>
    <n v="97"/>
    <n v="4.1399999999999999E-2"/>
  </r>
  <r>
    <x v="0"/>
    <x v="49"/>
    <x v="1"/>
    <x v="0"/>
    <x v="10"/>
    <n v="94"/>
    <n v="6.2399999999999997E-2"/>
  </r>
  <r>
    <x v="0"/>
    <x v="49"/>
    <x v="1"/>
    <x v="0"/>
    <x v="11"/>
    <n v="102"/>
    <n v="9.6000000000000002E-2"/>
  </r>
  <r>
    <x v="0"/>
    <x v="49"/>
    <x v="1"/>
    <x v="0"/>
    <x v="12"/>
    <n v="106"/>
    <n v="0.12130000000000001"/>
  </r>
  <r>
    <x v="0"/>
    <x v="49"/>
    <x v="1"/>
    <x v="0"/>
    <x v="13"/>
    <n v="95"/>
    <n v="2.7900000000000001E-2"/>
  </r>
  <r>
    <x v="0"/>
    <x v="51"/>
    <x v="1"/>
    <x v="0"/>
    <x v="0"/>
    <n v="84"/>
    <n v="0.30740000000000001"/>
  </r>
  <r>
    <x v="0"/>
    <x v="51"/>
    <x v="1"/>
    <x v="0"/>
    <x v="1"/>
    <n v="87"/>
    <n v="2.1000000000000001E-2"/>
  </r>
  <r>
    <x v="0"/>
    <x v="51"/>
    <x v="1"/>
    <x v="0"/>
    <x v="2"/>
    <n v="89"/>
    <n v="0.1056"/>
  </r>
  <r>
    <x v="0"/>
    <x v="51"/>
    <x v="1"/>
    <x v="0"/>
    <x v="3"/>
    <n v="84"/>
    <n v="0.1048"/>
  </r>
  <r>
    <x v="0"/>
    <x v="51"/>
    <x v="1"/>
    <x v="0"/>
    <x v="4"/>
    <n v="83"/>
    <n v="0.22459999999999999"/>
  </r>
  <r>
    <x v="0"/>
    <x v="51"/>
    <x v="1"/>
    <x v="0"/>
    <x v="5"/>
    <n v="90"/>
    <n v="5.7200000000000001E-2"/>
  </r>
  <r>
    <x v="0"/>
    <x v="51"/>
    <x v="1"/>
    <x v="0"/>
    <x v="6"/>
    <n v="88"/>
    <n v="4.4999999999999998E-2"/>
  </r>
  <r>
    <x v="0"/>
    <x v="51"/>
    <x v="1"/>
    <x v="0"/>
    <x v="7"/>
    <n v="83"/>
    <n v="0.1552"/>
  </r>
  <r>
    <x v="0"/>
    <x v="51"/>
    <x v="1"/>
    <x v="0"/>
    <x v="8"/>
    <n v="86"/>
    <n v="1.47E-2"/>
  </r>
  <r>
    <x v="0"/>
    <x v="51"/>
    <x v="1"/>
    <x v="0"/>
    <x v="9"/>
    <n v="84"/>
    <n v="8.0399999999999999E-2"/>
  </r>
  <r>
    <x v="0"/>
    <x v="51"/>
    <x v="1"/>
    <x v="0"/>
    <x v="10"/>
    <n v="80"/>
    <n v="7.3599999999999999E-2"/>
  </r>
  <r>
    <x v="0"/>
    <x v="51"/>
    <x v="1"/>
    <x v="0"/>
    <x v="11"/>
    <n v="84"/>
    <n v="0.1095"/>
  </r>
  <r>
    <x v="0"/>
    <x v="51"/>
    <x v="1"/>
    <x v="0"/>
    <x v="12"/>
    <n v="82"/>
    <n v="0.12790000000000001"/>
  </r>
  <r>
    <x v="0"/>
    <x v="51"/>
    <x v="1"/>
    <x v="0"/>
    <x v="13"/>
    <n v="84"/>
    <n v="4.0099999999999997E-2"/>
  </r>
  <r>
    <x v="1"/>
    <x v="53"/>
    <x v="1"/>
    <x v="0"/>
    <x v="0"/>
    <n v="99"/>
    <n v="0.10299999999999999"/>
  </r>
  <r>
    <x v="1"/>
    <x v="53"/>
    <x v="1"/>
    <x v="0"/>
    <x v="1"/>
    <n v="105"/>
    <n v="1.2200000000000001E-2"/>
  </r>
  <r>
    <x v="1"/>
    <x v="53"/>
    <x v="1"/>
    <x v="0"/>
    <x v="2"/>
    <n v="105"/>
    <n v="3.4500000000000003E-2"/>
  </r>
  <r>
    <x v="1"/>
    <x v="53"/>
    <x v="1"/>
    <x v="0"/>
    <x v="3"/>
    <n v="96"/>
    <n v="2.7799999999999998E-2"/>
  </r>
  <r>
    <x v="1"/>
    <x v="53"/>
    <x v="1"/>
    <x v="0"/>
    <x v="4"/>
    <n v="96"/>
    <n v="6.9400000000000003E-2"/>
  </r>
  <r>
    <x v="1"/>
    <x v="53"/>
    <x v="1"/>
    <x v="0"/>
    <x v="5"/>
    <n v="98"/>
    <n v="2.8799999999999999E-2"/>
  </r>
  <r>
    <x v="1"/>
    <x v="53"/>
    <x v="1"/>
    <x v="0"/>
    <x v="6"/>
    <n v="97"/>
    <n v="2.63E-2"/>
  </r>
  <r>
    <x v="1"/>
    <x v="53"/>
    <x v="1"/>
    <x v="0"/>
    <x v="7"/>
    <n v="103"/>
    <n v="4.4299999999999999E-2"/>
  </r>
  <r>
    <x v="1"/>
    <x v="53"/>
    <x v="1"/>
    <x v="0"/>
    <x v="8"/>
    <n v="100"/>
    <n v="1.15E-2"/>
  </r>
  <r>
    <x v="1"/>
    <x v="53"/>
    <x v="1"/>
    <x v="0"/>
    <x v="9"/>
    <n v="99"/>
    <n v="2.1600000000000001E-2"/>
  </r>
  <r>
    <x v="1"/>
    <x v="53"/>
    <x v="1"/>
    <x v="0"/>
    <x v="10"/>
    <n v="97"/>
    <n v="3.2199999999999999E-2"/>
  </r>
  <r>
    <x v="1"/>
    <x v="53"/>
    <x v="1"/>
    <x v="0"/>
    <x v="11"/>
    <n v="95"/>
    <n v="3.5900000000000001E-2"/>
  </r>
  <r>
    <x v="1"/>
    <x v="53"/>
    <x v="1"/>
    <x v="0"/>
    <x v="12"/>
    <n v="95"/>
    <n v="3.7699999999999997E-2"/>
  </r>
  <r>
    <x v="1"/>
    <x v="53"/>
    <x v="1"/>
    <x v="0"/>
    <x v="13"/>
    <n v="104"/>
    <n v="1.9199999999999998E-2"/>
  </r>
  <r>
    <x v="1"/>
    <x v="55"/>
    <x v="1"/>
    <x v="0"/>
    <x v="0"/>
    <n v="86"/>
    <n v="0.11020000000000001"/>
  </r>
  <r>
    <x v="1"/>
    <x v="55"/>
    <x v="1"/>
    <x v="0"/>
    <x v="1"/>
    <n v="81"/>
    <n v="1.3299999999999999E-2"/>
  </r>
  <r>
    <x v="1"/>
    <x v="55"/>
    <x v="1"/>
    <x v="0"/>
    <x v="2"/>
    <n v="89"/>
    <n v="4.4699999999999997E-2"/>
  </r>
  <r>
    <x v="1"/>
    <x v="55"/>
    <x v="1"/>
    <x v="0"/>
    <x v="3"/>
    <n v="84"/>
    <n v="2.58E-2"/>
  </r>
  <r>
    <x v="1"/>
    <x v="55"/>
    <x v="1"/>
    <x v="0"/>
    <x v="4"/>
    <n v="85"/>
    <n v="6.2799999999999995E-2"/>
  </r>
  <r>
    <x v="1"/>
    <x v="55"/>
    <x v="1"/>
    <x v="0"/>
    <x v="5"/>
    <n v="89"/>
    <n v="2.5499999999999998E-2"/>
  </r>
  <r>
    <x v="1"/>
    <x v="55"/>
    <x v="1"/>
    <x v="0"/>
    <x v="6"/>
    <n v="88"/>
    <n v="2.3599999999999999E-2"/>
  </r>
  <r>
    <x v="1"/>
    <x v="55"/>
    <x v="1"/>
    <x v="0"/>
    <x v="7"/>
    <n v="86"/>
    <n v="4.3200000000000002E-2"/>
  </r>
  <r>
    <x v="1"/>
    <x v="55"/>
    <x v="1"/>
    <x v="0"/>
    <x v="8"/>
    <n v="74"/>
    <n v="9.4999999999999998E-3"/>
  </r>
  <r>
    <x v="1"/>
    <x v="55"/>
    <x v="1"/>
    <x v="0"/>
    <x v="9"/>
    <n v="84"/>
    <n v="2.0299999999999999E-2"/>
  </r>
  <r>
    <x v="1"/>
    <x v="55"/>
    <x v="1"/>
    <x v="0"/>
    <x v="10"/>
    <n v="86"/>
    <n v="2.5999999999999999E-2"/>
  </r>
  <r>
    <x v="1"/>
    <x v="55"/>
    <x v="1"/>
    <x v="0"/>
    <x v="11"/>
    <n v="86"/>
    <n v="2.9000000000000001E-2"/>
  </r>
  <r>
    <x v="1"/>
    <x v="55"/>
    <x v="1"/>
    <x v="0"/>
    <x v="12"/>
    <n v="86"/>
    <n v="3.1E-2"/>
  </r>
  <r>
    <x v="1"/>
    <x v="55"/>
    <x v="1"/>
    <x v="0"/>
    <x v="13"/>
    <n v="84"/>
    <n v="2.12E-2"/>
  </r>
  <r>
    <x v="1"/>
    <x v="56"/>
    <x v="1"/>
    <x v="0"/>
    <x v="0"/>
    <n v="106"/>
    <n v="9.7500000000000003E-2"/>
  </r>
  <r>
    <x v="1"/>
    <x v="56"/>
    <x v="1"/>
    <x v="0"/>
    <x v="1"/>
    <n v="110"/>
    <n v="1.06E-2"/>
  </r>
  <r>
    <x v="1"/>
    <x v="56"/>
    <x v="1"/>
    <x v="0"/>
    <x v="2"/>
    <n v="112"/>
    <n v="3.5700000000000003E-2"/>
  </r>
  <r>
    <x v="1"/>
    <x v="56"/>
    <x v="1"/>
    <x v="0"/>
    <x v="3"/>
    <n v="108"/>
    <n v="2.9100000000000001E-2"/>
  </r>
  <r>
    <x v="1"/>
    <x v="56"/>
    <x v="1"/>
    <x v="0"/>
    <x v="4"/>
    <n v="102"/>
    <n v="6.3100000000000003E-2"/>
  </r>
  <r>
    <x v="1"/>
    <x v="56"/>
    <x v="1"/>
    <x v="0"/>
    <x v="5"/>
    <n v="107"/>
    <n v="2.3400000000000001E-2"/>
  </r>
  <r>
    <x v="1"/>
    <x v="56"/>
    <x v="1"/>
    <x v="0"/>
    <x v="6"/>
    <n v="108"/>
    <n v="2.1600000000000001E-2"/>
  </r>
  <r>
    <x v="1"/>
    <x v="56"/>
    <x v="1"/>
    <x v="0"/>
    <x v="7"/>
    <n v="107"/>
    <n v="3.9800000000000002E-2"/>
  </r>
  <r>
    <x v="1"/>
    <x v="56"/>
    <x v="1"/>
    <x v="0"/>
    <x v="8"/>
    <n v="100"/>
    <n v="8.9999999999999993E-3"/>
  </r>
  <r>
    <x v="1"/>
    <x v="56"/>
    <x v="1"/>
    <x v="0"/>
    <x v="9"/>
    <n v="109"/>
    <n v="2.29E-2"/>
  </r>
  <r>
    <x v="1"/>
    <x v="56"/>
    <x v="1"/>
    <x v="0"/>
    <x v="10"/>
    <n v="99"/>
    <n v="2.5000000000000001E-2"/>
  </r>
  <r>
    <x v="1"/>
    <x v="56"/>
    <x v="1"/>
    <x v="0"/>
    <x v="11"/>
    <n v="102"/>
    <n v="2.92E-2"/>
  </r>
  <r>
    <x v="1"/>
    <x v="56"/>
    <x v="1"/>
    <x v="0"/>
    <x v="12"/>
    <n v="103"/>
    <n v="3.1800000000000002E-2"/>
  </r>
  <r>
    <x v="1"/>
    <x v="56"/>
    <x v="1"/>
    <x v="0"/>
    <x v="13"/>
    <n v="111"/>
    <n v="1.8200000000000001E-2"/>
  </r>
  <r>
    <x v="0"/>
    <x v="57"/>
    <x v="1"/>
    <x v="0"/>
    <x v="0"/>
    <n v="30"/>
    <n v="2.5000000000000001E-2"/>
  </r>
  <r>
    <x v="0"/>
    <x v="57"/>
    <x v="1"/>
    <x v="0"/>
    <x v="1"/>
    <n v="45"/>
    <n v="1.9E-3"/>
  </r>
  <r>
    <x v="0"/>
    <x v="57"/>
    <x v="1"/>
    <x v="0"/>
    <x v="2"/>
    <n v="30"/>
    <n v="7.3000000000000001E-3"/>
  </r>
  <r>
    <x v="0"/>
    <x v="57"/>
    <x v="1"/>
    <x v="0"/>
    <x v="3"/>
    <n v="27"/>
    <n v="4.8999999999999998E-3"/>
  </r>
  <r>
    <x v="0"/>
    <x v="57"/>
    <x v="1"/>
    <x v="0"/>
    <x v="4"/>
    <n v="30"/>
    <n v="1.4200000000000001E-2"/>
  </r>
  <r>
    <x v="0"/>
    <x v="57"/>
    <x v="1"/>
    <x v="0"/>
    <x v="5"/>
    <n v="29"/>
    <n v="4.5999999999999999E-3"/>
  </r>
  <r>
    <x v="0"/>
    <x v="57"/>
    <x v="1"/>
    <x v="0"/>
    <x v="6"/>
    <n v="37"/>
    <n v="5.1000000000000004E-3"/>
  </r>
  <r>
    <x v="0"/>
    <x v="57"/>
    <x v="1"/>
    <x v="0"/>
    <x v="7"/>
    <n v="31"/>
    <n v="1.03E-2"/>
  </r>
  <r>
    <x v="0"/>
    <x v="57"/>
    <x v="1"/>
    <x v="0"/>
    <x v="8"/>
    <n v="42"/>
    <n v="2E-3"/>
  </r>
  <r>
    <x v="0"/>
    <x v="57"/>
    <x v="1"/>
    <x v="0"/>
    <x v="9"/>
    <n v="26"/>
    <n v="3.7000000000000002E-3"/>
  </r>
  <r>
    <x v="0"/>
    <x v="57"/>
    <x v="1"/>
    <x v="0"/>
    <x v="10"/>
    <n v="26"/>
    <n v="4.4000000000000003E-3"/>
  </r>
  <r>
    <x v="0"/>
    <x v="57"/>
    <x v="1"/>
    <x v="0"/>
    <x v="11"/>
    <n v="25"/>
    <n v="5.1999999999999998E-3"/>
  </r>
  <r>
    <x v="0"/>
    <x v="57"/>
    <x v="1"/>
    <x v="0"/>
    <x v="12"/>
    <n v="32"/>
    <n v="6.4000000000000003E-3"/>
  </r>
  <r>
    <x v="0"/>
    <x v="57"/>
    <x v="1"/>
    <x v="0"/>
    <x v="13"/>
    <n v="49"/>
    <n v="3.8E-3"/>
  </r>
  <r>
    <x v="0"/>
    <x v="58"/>
    <x v="1"/>
    <x v="0"/>
    <x v="0"/>
    <n v="103"/>
    <n v="0.24310000000000001"/>
  </r>
  <r>
    <x v="0"/>
    <x v="58"/>
    <x v="1"/>
    <x v="0"/>
    <x v="1"/>
    <n v="99"/>
    <n v="2.4299999999999999E-2"/>
  </r>
  <r>
    <x v="0"/>
    <x v="58"/>
    <x v="1"/>
    <x v="0"/>
    <x v="2"/>
    <n v="108"/>
    <n v="0.1"/>
  </r>
  <r>
    <x v="0"/>
    <x v="58"/>
    <x v="1"/>
    <x v="0"/>
    <x v="3"/>
    <n v="104"/>
    <n v="0.1038"/>
  </r>
  <r>
    <x v="0"/>
    <x v="58"/>
    <x v="1"/>
    <x v="0"/>
    <x v="4"/>
    <n v="98"/>
    <n v="0.1636"/>
  </r>
  <r>
    <x v="0"/>
    <x v="58"/>
    <x v="1"/>
    <x v="0"/>
    <x v="5"/>
    <n v="101"/>
    <n v="5.3400000000000003E-2"/>
  </r>
  <r>
    <x v="0"/>
    <x v="58"/>
    <x v="1"/>
    <x v="0"/>
    <x v="6"/>
    <n v="101"/>
    <n v="4.4499999999999998E-2"/>
  </r>
  <r>
    <x v="0"/>
    <x v="58"/>
    <x v="1"/>
    <x v="0"/>
    <x v="7"/>
    <n v="103"/>
    <n v="0.16539999999999999"/>
  </r>
  <r>
    <x v="0"/>
    <x v="58"/>
    <x v="1"/>
    <x v="0"/>
    <x v="8"/>
    <n v="100"/>
    <n v="1.8700000000000001E-2"/>
  </r>
  <r>
    <x v="0"/>
    <x v="58"/>
    <x v="1"/>
    <x v="0"/>
    <x v="9"/>
    <n v="106"/>
    <n v="8.9899999999999994E-2"/>
  </r>
  <r>
    <x v="0"/>
    <x v="58"/>
    <x v="1"/>
    <x v="0"/>
    <x v="10"/>
    <n v="97"/>
    <n v="6.6000000000000003E-2"/>
  </r>
  <r>
    <x v="0"/>
    <x v="58"/>
    <x v="1"/>
    <x v="0"/>
    <x v="11"/>
    <n v="98"/>
    <n v="7.9899999999999999E-2"/>
  </r>
  <r>
    <x v="0"/>
    <x v="58"/>
    <x v="1"/>
    <x v="0"/>
    <x v="12"/>
    <n v="100"/>
    <n v="8.8599999999999998E-2"/>
  </r>
  <r>
    <x v="0"/>
    <x v="58"/>
    <x v="1"/>
    <x v="0"/>
    <x v="13"/>
    <n v="100"/>
    <n v="4.2200000000000001E-2"/>
  </r>
  <r>
    <x v="0"/>
    <x v="60"/>
    <x v="1"/>
    <x v="0"/>
    <x v="0"/>
    <n v="112"/>
    <n v="0.1638"/>
  </r>
  <r>
    <x v="0"/>
    <x v="60"/>
    <x v="1"/>
    <x v="0"/>
    <x v="1"/>
    <n v="109"/>
    <n v="2.2100000000000002E-2"/>
  </r>
  <r>
    <x v="0"/>
    <x v="60"/>
    <x v="1"/>
    <x v="0"/>
    <x v="2"/>
    <n v="115"/>
    <n v="7.51E-2"/>
  </r>
  <r>
    <x v="0"/>
    <x v="60"/>
    <x v="1"/>
    <x v="0"/>
    <x v="3"/>
    <n v="118"/>
    <n v="6.5100000000000005E-2"/>
  </r>
  <r>
    <x v="0"/>
    <x v="60"/>
    <x v="1"/>
    <x v="0"/>
    <x v="4"/>
    <n v="112"/>
    <n v="0.115"/>
  </r>
  <r>
    <x v="0"/>
    <x v="60"/>
    <x v="1"/>
    <x v="0"/>
    <x v="5"/>
    <n v="106"/>
    <n v="4.99E-2"/>
  </r>
  <r>
    <x v="0"/>
    <x v="60"/>
    <x v="1"/>
    <x v="0"/>
    <x v="6"/>
    <n v="99"/>
    <n v="4.4499999999999998E-2"/>
  </r>
  <r>
    <x v="0"/>
    <x v="60"/>
    <x v="1"/>
    <x v="0"/>
    <x v="7"/>
    <n v="113"/>
    <n v="7.9500000000000001E-2"/>
  </r>
  <r>
    <x v="0"/>
    <x v="60"/>
    <x v="1"/>
    <x v="0"/>
    <x v="8"/>
    <n v="103"/>
    <n v="1.9699999999999999E-2"/>
  </r>
  <r>
    <x v="0"/>
    <x v="60"/>
    <x v="1"/>
    <x v="0"/>
    <x v="9"/>
    <n v="115"/>
    <n v="5.4199999999999998E-2"/>
  </r>
  <r>
    <x v="0"/>
    <x v="60"/>
    <x v="1"/>
    <x v="0"/>
    <x v="10"/>
    <n v="108"/>
    <n v="5.5199999999999999E-2"/>
  </r>
  <r>
    <x v="0"/>
    <x v="60"/>
    <x v="1"/>
    <x v="0"/>
    <x v="11"/>
    <n v="108"/>
    <n v="6.3700000000000007E-2"/>
  </r>
  <r>
    <x v="0"/>
    <x v="60"/>
    <x v="1"/>
    <x v="0"/>
    <x v="12"/>
    <n v="106"/>
    <n v="6.8699999999999997E-2"/>
  </r>
  <r>
    <x v="0"/>
    <x v="60"/>
    <x v="1"/>
    <x v="0"/>
    <x v="13"/>
    <n v="108"/>
    <n v="3.0700000000000002E-2"/>
  </r>
  <r>
    <x v="0"/>
    <x v="61"/>
    <x v="1"/>
    <x v="0"/>
    <x v="0"/>
    <n v="114"/>
    <n v="0.29110000000000003"/>
  </r>
  <r>
    <x v="0"/>
    <x v="61"/>
    <x v="1"/>
    <x v="0"/>
    <x v="1"/>
    <n v="105"/>
    <n v="4.58E-2"/>
  </r>
  <r>
    <x v="0"/>
    <x v="61"/>
    <x v="1"/>
    <x v="0"/>
    <x v="2"/>
    <n v="111"/>
    <n v="0.1368"/>
  </r>
  <r>
    <x v="0"/>
    <x v="61"/>
    <x v="1"/>
    <x v="0"/>
    <x v="3"/>
    <n v="116"/>
    <n v="0.12590000000000001"/>
  </r>
  <r>
    <x v="0"/>
    <x v="61"/>
    <x v="1"/>
    <x v="0"/>
    <x v="4"/>
    <n v="117"/>
    <n v="0.23230000000000001"/>
  </r>
  <r>
    <x v="0"/>
    <x v="61"/>
    <x v="1"/>
    <x v="0"/>
    <x v="5"/>
    <n v="108"/>
    <n v="0.1042"/>
  </r>
  <r>
    <x v="0"/>
    <x v="61"/>
    <x v="1"/>
    <x v="0"/>
    <x v="6"/>
    <n v="108"/>
    <n v="8.9300000000000004E-2"/>
  </r>
  <r>
    <x v="0"/>
    <x v="61"/>
    <x v="1"/>
    <x v="0"/>
    <x v="7"/>
    <n v="114"/>
    <n v="0.1822"/>
  </r>
  <r>
    <x v="0"/>
    <x v="61"/>
    <x v="1"/>
    <x v="0"/>
    <x v="8"/>
    <n v="108"/>
    <n v="4.2999999999999997E-2"/>
  </r>
  <r>
    <x v="0"/>
    <x v="61"/>
    <x v="1"/>
    <x v="0"/>
    <x v="9"/>
    <n v="116"/>
    <n v="0.1067"/>
  </r>
  <r>
    <x v="0"/>
    <x v="61"/>
    <x v="1"/>
    <x v="0"/>
    <x v="10"/>
    <n v="109"/>
    <n v="0.1275"/>
  </r>
  <r>
    <x v="0"/>
    <x v="61"/>
    <x v="1"/>
    <x v="0"/>
    <x v="11"/>
    <n v="113"/>
    <n v="0.15820000000000001"/>
  </r>
  <r>
    <x v="0"/>
    <x v="61"/>
    <x v="1"/>
    <x v="0"/>
    <x v="12"/>
    <n v="120"/>
    <n v="0.16420000000000001"/>
  </r>
  <r>
    <x v="0"/>
    <x v="61"/>
    <x v="1"/>
    <x v="0"/>
    <x v="13"/>
    <n v="106"/>
    <n v="7.6399999999999996E-2"/>
  </r>
  <r>
    <x v="1"/>
    <x v="63"/>
    <x v="1"/>
    <x v="0"/>
    <x v="0"/>
    <n v="121"/>
    <n v="0.21240000000000001"/>
  </r>
  <r>
    <x v="1"/>
    <x v="63"/>
    <x v="1"/>
    <x v="0"/>
    <x v="1"/>
    <n v="123"/>
    <n v="3.8199999999999998E-2"/>
  </r>
  <r>
    <x v="1"/>
    <x v="63"/>
    <x v="1"/>
    <x v="0"/>
    <x v="2"/>
    <n v="122"/>
    <n v="9.4799999999999995E-2"/>
  </r>
  <r>
    <x v="1"/>
    <x v="63"/>
    <x v="1"/>
    <x v="0"/>
    <x v="3"/>
    <n v="120"/>
    <n v="8.3799999999999999E-2"/>
  </r>
  <r>
    <x v="1"/>
    <x v="63"/>
    <x v="1"/>
    <x v="0"/>
    <x v="4"/>
    <n v="123"/>
    <n v="0.15709999999999999"/>
  </r>
  <r>
    <x v="1"/>
    <x v="63"/>
    <x v="1"/>
    <x v="0"/>
    <x v="5"/>
    <n v="119"/>
    <n v="6.7199999999999996E-2"/>
  </r>
  <r>
    <x v="1"/>
    <x v="63"/>
    <x v="1"/>
    <x v="0"/>
    <x v="6"/>
    <n v="118"/>
    <n v="6.4199999999999993E-2"/>
  </r>
  <r>
    <x v="1"/>
    <x v="63"/>
    <x v="1"/>
    <x v="0"/>
    <x v="7"/>
    <n v="121"/>
    <n v="0.1255"/>
  </r>
  <r>
    <x v="1"/>
    <x v="63"/>
    <x v="1"/>
    <x v="0"/>
    <x v="8"/>
    <n v="122"/>
    <n v="3.6200000000000003E-2"/>
  </r>
  <r>
    <x v="1"/>
    <x v="63"/>
    <x v="1"/>
    <x v="0"/>
    <x v="9"/>
    <n v="120"/>
    <n v="6.8599999999999994E-2"/>
  </r>
  <r>
    <x v="1"/>
    <x v="63"/>
    <x v="1"/>
    <x v="0"/>
    <x v="10"/>
    <n v="122"/>
    <n v="7.3499999999999996E-2"/>
  </r>
  <r>
    <x v="1"/>
    <x v="63"/>
    <x v="1"/>
    <x v="0"/>
    <x v="11"/>
    <n v="125"/>
    <n v="9.11E-2"/>
  </r>
  <r>
    <x v="1"/>
    <x v="63"/>
    <x v="1"/>
    <x v="0"/>
    <x v="12"/>
    <n v="125"/>
    <n v="9.8199999999999996E-2"/>
  </r>
  <r>
    <x v="1"/>
    <x v="63"/>
    <x v="1"/>
    <x v="0"/>
    <x v="13"/>
    <n v="121"/>
    <n v="5.6800000000000003E-2"/>
  </r>
  <r>
    <x v="0"/>
    <x v="64"/>
    <x v="1"/>
    <x v="0"/>
    <x v="0"/>
    <n v="101"/>
    <n v="0.1522"/>
  </r>
  <r>
    <x v="0"/>
    <x v="64"/>
    <x v="1"/>
    <x v="0"/>
    <x v="1"/>
    <n v="96"/>
    <n v="2.0400000000000001E-2"/>
  </r>
  <r>
    <x v="0"/>
    <x v="64"/>
    <x v="1"/>
    <x v="0"/>
    <x v="2"/>
    <n v="104"/>
    <n v="5.4199999999999998E-2"/>
  </r>
  <r>
    <x v="0"/>
    <x v="64"/>
    <x v="1"/>
    <x v="0"/>
    <x v="3"/>
    <n v="101"/>
    <n v="4.0599999999999997E-2"/>
  </r>
  <r>
    <x v="0"/>
    <x v="64"/>
    <x v="1"/>
    <x v="0"/>
    <x v="4"/>
    <n v="102"/>
    <n v="9.35E-2"/>
  </r>
  <r>
    <x v="0"/>
    <x v="64"/>
    <x v="1"/>
    <x v="0"/>
    <x v="5"/>
    <n v="100"/>
    <n v="3.8899999999999997E-2"/>
  </r>
  <r>
    <x v="0"/>
    <x v="64"/>
    <x v="1"/>
    <x v="0"/>
    <x v="6"/>
    <n v="97"/>
    <n v="3.9600000000000003E-2"/>
  </r>
  <r>
    <x v="0"/>
    <x v="64"/>
    <x v="1"/>
    <x v="0"/>
    <x v="7"/>
    <n v="102"/>
    <n v="6.0699999999999997E-2"/>
  </r>
  <r>
    <x v="0"/>
    <x v="64"/>
    <x v="1"/>
    <x v="0"/>
    <x v="8"/>
    <n v="99"/>
    <n v="1.9599999999999999E-2"/>
  </r>
  <r>
    <x v="0"/>
    <x v="64"/>
    <x v="1"/>
    <x v="0"/>
    <x v="9"/>
    <n v="103"/>
    <n v="3.2000000000000001E-2"/>
  </r>
  <r>
    <x v="0"/>
    <x v="64"/>
    <x v="1"/>
    <x v="0"/>
    <x v="10"/>
    <n v="98"/>
    <n v="3.78E-2"/>
  </r>
  <r>
    <x v="0"/>
    <x v="64"/>
    <x v="1"/>
    <x v="0"/>
    <x v="11"/>
    <n v="101"/>
    <n v="4.0800000000000003E-2"/>
  </r>
  <r>
    <x v="0"/>
    <x v="64"/>
    <x v="1"/>
    <x v="0"/>
    <x v="12"/>
    <n v="107"/>
    <n v="4.41E-2"/>
  </r>
  <r>
    <x v="0"/>
    <x v="64"/>
    <x v="1"/>
    <x v="0"/>
    <x v="13"/>
    <n v="95"/>
    <n v="3.2199999999999999E-2"/>
  </r>
  <r>
    <x v="0"/>
    <x v="65"/>
    <x v="1"/>
    <x v="0"/>
    <x v="0"/>
    <n v="102"/>
    <n v="0.39529999999999998"/>
  </r>
  <r>
    <x v="0"/>
    <x v="65"/>
    <x v="1"/>
    <x v="0"/>
    <x v="1"/>
    <n v="96"/>
    <n v="6.4699999999999994E-2"/>
  </r>
  <r>
    <x v="0"/>
    <x v="65"/>
    <x v="1"/>
    <x v="0"/>
    <x v="2"/>
    <n v="104"/>
    <n v="0.18729999999999999"/>
  </r>
  <r>
    <x v="0"/>
    <x v="65"/>
    <x v="1"/>
    <x v="0"/>
    <x v="3"/>
    <n v="103"/>
    <n v="0.17549999999999999"/>
  </r>
  <r>
    <x v="0"/>
    <x v="65"/>
    <x v="1"/>
    <x v="0"/>
    <x v="4"/>
    <n v="102"/>
    <n v="0.32319999999999999"/>
  </r>
  <r>
    <x v="0"/>
    <x v="65"/>
    <x v="1"/>
    <x v="0"/>
    <x v="5"/>
    <n v="101"/>
    <n v="0.15359999999999999"/>
  </r>
  <r>
    <x v="0"/>
    <x v="65"/>
    <x v="1"/>
    <x v="0"/>
    <x v="6"/>
    <n v="97"/>
    <n v="0.1203"/>
  </r>
  <r>
    <x v="0"/>
    <x v="65"/>
    <x v="1"/>
    <x v="0"/>
    <x v="7"/>
    <n v="100"/>
    <n v="0.24429999999999999"/>
  </r>
  <r>
    <x v="0"/>
    <x v="65"/>
    <x v="1"/>
    <x v="0"/>
    <x v="8"/>
    <n v="96"/>
    <n v="5.6399999999999999E-2"/>
  </r>
  <r>
    <x v="0"/>
    <x v="65"/>
    <x v="1"/>
    <x v="0"/>
    <x v="9"/>
    <n v="104"/>
    <n v="0.14560000000000001"/>
  </r>
  <r>
    <x v="0"/>
    <x v="65"/>
    <x v="1"/>
    <x v="0"/>
    <x v="10"/>
    <n v="100"/>
    <n v="0.18690000000000001"/>
  </r>
  <r>
    <x v="0"/>
    <x v="65"/>
    <x v="1"/>
    <x v="0"/>
    <x v="11"/>
    <n v="101"/>
    <n v="0.21890000000000001"/>
  </r>
  <r>
    <x v="0"/>
    <x v="65"/>
    <x v="1"/>
    <x v="0"/>
    <x v="12"/>
    <n v="103"/>
    <n v="0.23169999999999999"/>
  </r>
  <r>
    <x v="0"/>
    <x v="65"/>
    <x v="1"/>
    <x v="0"/>
    <x v="13"/>
    <n v="96"/>
    <n v="9.8699999999999996E-2"/>
  </r>
  <r>
    <x v="1"/>
    <x v="66"/>
    <x v="1"/>
    <x v="0"/>
    <x v="0"/>
    <n v="102"/>
    <n v="0.1636"/>
  </r>
  <r>
    <x v="1"/>
    <x v="66"/>
    <x v="1"/>
    <x v="0"/>
    <x v="1"/>
    <n v="103"/>
    <n v="2.23E-2"/>
  </r>
  <r>
    <x v="1"/>
    <x v="66"/>
    <x v="1"/>
    <x v="0"/>
    <x v="2"/>
    <n v="99"/>
    <n v="5.4600000000000003E-2"/>
  </r>
  <r>
    <x v="1"/>
    <x v="66"/>
    <x v="1"/>
    <x v="0"/>
    <x v="3"/>
    <n v="103"/>
    <n v="5.2900000000000003E-2"/>
  </r>
  <r>
    <x v="1"/>
    <x v="66"/>
    <x v="1"/>
    <x v="0"/>
    <x v="4"/>
    <n v="103"/>
    <n v="0.1173"/>
  </r>
  <r>
    <x v="1"/>
    <x v="66"/>
    <x v="1"/>
    <x v="0"/>
    <x v="5"/>
    <n v="104"/>
    <n v="5.4699999999999999E-2"/>
  </r>
  <r>
    <x v="1"/>
    <x v="66"/>
    <x v="1"/>
    <x v="0"/>
    <x v="6"/>
    <n v="102"/>
    <n v="4.8099999999999997E-2"/>
  </r>
  <r>
    <x v="1"/>
    <x v="66"/>
    <x v="1"/>
    <x v="0"/>
    <x v="7"/>
    <n v="97"/>
    <n v="7.8200000000000006E-2"/>
  </r>
  <r>
    <x v="1"/>
    <x v="66"/>
    <x v="1"/>
    <x v="0"/>
    <x v="8"/>
    <n v="104"/>
    <n v="2.1299999999999999E-2"/>
  </r>
  <r>
    <x v="1"/>
    <x v="66"/>
    <x v="1"/>
    <x v="0"/>
    <x v="9"/>
    <n v="102"/>
    <n v="4.0500000000000001E-2"/>
  </r>
  <r>
    <x v="1"/>
    <x v="66"/>
    <x v="1"/>
    <x v="0"/>
    <x v="10"/>
    <n v="105"/>
    <n v="6.0400000000000002E-2"/>
  </r>
  <r>
    <x v="1"/>
    <x v="66"/>
    <x v="1"/>
    <x v="0"/>
    <x v="11"/>
    <n v="102"/>
    <n v="6.6000000000000003E-2"/>
  </r>
  <r>
    <x v="1"/>
    <x v="66"/>
    <x v="1"/>
    <x v="0"/>
    <x v="12"/>
    <n v="104"/>
    <n v="6.8599999999999994E-2"/>
  </r>
  <r>
    <x v="1"/>
    <x v="66"/>
    <x v="1"/>
    <x v="0"/>
    <x v="13"/>
    <n v="103"/>
    <n v="3.8100000000000002E-2"/>
  </r>
  <r>
    <x v="0"/>
    <x v="67"/>
    <x v="1"/>
    <x v="0"/>
    <x v="0"/>
    <n v="90"/>
    <n v="0.18959999999999999"/>
  </r>
  <r>
    <x v="0"/>
    <x v="67"/>
    <x v="1"/>
    <x v="0"/>
    <x v="1"/>
    <n v="91"/>
    <n v="3.3300000000000003E-2"/>
  </r>
  <r>
    <x v="0"/>
    <x v="67"/>
    <x v="1"/>
    <x v="0"/>
    <x v="2"/>
    <n v="93"/>
    <n v="8.1799999999999998E-2"/>
  </r>
  <r>
    <x v="0"/>
    <x v="67"/>
    <x v="1"/>
    <x v="0"/>
    <x v="3"/>
    <n v="90"/>
    <n v="6.6900000000000001E-2"/>
  </r>
  <r>
    <x v="0"/>
    <x v="67"/>
    <x v="1"/>
    <x v="0"/>
    <x v="4"/>
    <n v="90"/>
    <n v="0.13070000000000001"/>
  </r>
  <r>
    <x v="0"/>
    <x v="67"/>
    <x v="1"/>
    <x v="0"/>
    <x v="5"/>
    <n v="88"/>
    <n v="6.1100000000000002E-2"/>
  </r>
  <r>
    <x v="0"/>
    <x v="67"/>
    <x v="1"/>
    <x v="0"/>
    <x v="6"/>
    <n v="87"/>
    <n v="5.9200000000000003E-2"/>
  </r>
  <r>
    <x v="0"/>
    <x v="67"/>
    <x v="1"/>
    <x v="0"/>
    <x v="7"/>
    <n v="92"/>
    <n v="9.4899999999999998E-2"/>
  </r>
  <r>
    <x v="0"/>
    <x v="67"/>
    <x v="1"/>
    <x v="0"/>
    <x v="8"/>
    <n v="88"/>
    <n v="3.1699999999999999E-2"/>
  </r>
  <r>
    <x v="0"/>
    <x v="67"/>
    <x v="1"/>
    <x v="0"/>
    <x v="9"/>
    <n v="89"/>
    <n v="5.4899999999999997E-2"/>
  </r>
  <r>
    <x v="0"/>
    <x v="67"/>
    <x v="1"/>
    <x v="0"/>
    <x v="10"/>
    <n v="89"/>
    <n v="6.5600000000000006E-2"/>
  </r>
  <r>
    <x v="0"/>
    <x v="67"/>
    <x v="1"/>
    <x v="0"/>
    <x v="11"/>
    <n v="91"/>
    <n v="7.2700000000000001E-2"/>
  </r>
  <r>
    <x v="0"/>
    <x v="67"/>
    <x v="1"/>
    <x v="0"/>
    <x v="12"/>
    <n v="90"/>
    <n v="7.6999999999999999E-2"/>
  </r>
  <r>
    <x v="0"/>
    <x v="67"/>
    <x v="1"/>
    <x v="0"/>
    <x v="13"/>
    <n v="90"/>
    <n v="4.9200000000000001E-2"/>
  </r>
  <r>
    <x v="1"/>
    <x v="68"/>
    <x v="1"/>
    <x v="1"/>
    <x v="0"/>
    <n v="107"/>
    <n v="0.27850000000000003"/>
  </r>
  <r>
    <x v="1"/>
    <x v="68"/>
    <x v="1"/>
    <x v="1"/>
    <x v="1"/>
    <n v="105"/>
    <n v="3.9100000000000003E-2"/>
  </r>
  <r>
    <x v="1"/>
    <x v="68"/>
    <x v="1"/>
    <x v="1"/>
    <x v="2"/>
    <n v="109"/>
    <n v="0.12909999999999999"/>
  </r>
  <r>
    <x v="1"/>
    <x v="68"/>
    <x v="1"/>
    <x v="1"/>
    <x v="3"/>
    <n v="106"/>
    <n v="0.1143"/>
  </r>
  <r>
    <x v="1"/>
    <x v="68"/>
    <x v="1"/>
    <x v="1"/>
    <x v="4"/>
    <n v="108"/>
    <n v="0.21659999999999999"/>
  </r>
  <r>
    <x v="1"/>
    <x v="68"/>
    <x v="1"/>
    <x v="1"/>
    <x v="5"/>
    <n v="104"/>
    <n v="9.8599999999999993E-2"/>
  </r>
  <r>
    <x v="1"/>
    <x v="68"/>
    <x v="1"/>
    <x v="1"/>
    <x v="6"/>
    <n v="101"/>
    <n v="8.3599999999999994E-2"/>
  </r>
  <r>
    <x v="1"/>
    <x v="68"/>
    <x v="1"/>
    <x v="1"/>
    <x v="7"/>
    <n v="109"/>
    <n v="0.15040000000000001"/>
  </r>
  <r>
    <x v="1"/>
    <x v="68"/>
    <x v="1"/>
    <x v="1"/>
    <x v="8"/>
    <n v="99"/>
    <n v="3.0200000000000001E-2"/>
  </r>
  <r>
    <x v="1"/>
    <x v="68"/>
    <x v="1"/>
    <x v="1"/>
    <x v="9"/>
    <n v="106"/>
    <n v="9.7199999999999995E-2"/>
  </r>
  <r>
    <x v="1"/>
    <x v="68"/>
    <x v="1"/>
    <x v="1"/>
    <x v="10"/>
    <n v="106"/>
    <n v="0.1169"/>
  </r>
  <r>
    <x v="1"/>
    <x v="68"/>
    <x v="1"/>
    <x v="1"/>
    <x v="11"/>
    <n v="108"/>
    <n v="0.1356"/>
  </r>
  <r>
    <x v="1"/>
    <x v="68"/>
    <x v="1"/>
    <x v="1"/>
    <x v="12"/>
    <n v="108"/>
    <n v="0.14460000000000001"/>
  </r>
  <r>
    <x v="1"/>
    <x v="68"/>
    <x v="1"/>
    <x v="1"/>
    <x v="13"/>
    <n v="104"/>
    <n v="5.8799999999999998E-2"/>
  </r>
  <r>
    <x v="0"/>
    <x v="70"/>
    <x v="1"/>
    <x v="0"/>
    <x v="0"/>
    <n v="101"/>
    <n v="0.27500000000000002"/>
  </r>
  <r>
    <x v="0"/>
    <x v="70"/>
    <x v="1"/>
    <x v="0"/>
    <x v="1"/>
    <n v="98"/>
    <n v="3.1E-2"/>
  </r>
  <r>
    <x v="0"/>
    <x v="70"/>
    <x v="1"/>
    <x v="0"/>
    <x v="2"/>
    <n v="112"/>
    <n v="0.1095"/>
  </r>
  <r>
    <x v="0"/>
    <x v="70"/>
    <x v="1"/>
    <x v="0"/>
    <x v="3"/>
    <n v="113"/>
    <n v="9.5000000000000001E-2"/>
  </r>
  <r>
    <x v="0"/>
    <x v="70"/>
    <x v="1"/>
    <x v="0"/>
    <x v="4"/>
    <n v="101"/>
    <n v="0.20419999999999999"/>
  </r>
  <r>
    <x v="0"/>
    <x v="70"/>
    <x v="1"/>
    <x v="0"/>
    <x v="5"/>
    <n v="100"/>
    <n v="8.7900000000000006E-2"/>
  </r>
  <r>
    <x v="0"/>
    <x v="70"/>
    <x v="1"/>
    <x v="0"/>
    <x v="6"/>
    <n v="100"/>
    <n v="7.4099999999999999E-2"/>
  </r>
  <r>
    <x v="0"/>
    <x v="70"/>
    <x v="1"/>
    <x v="0"/>
    <x v="7"/>
    <n v="78"/>
    <n v="0.1341"/>
  </r>
  <r>
    <x v="0"/>
    <x v="70"/>
    <x v="1"/>
    <x v="0"/>
    <x v="8"/>
    <n v="104"/>
    <n v="2.93E-2"/>
  </r>
  <r>
    <x v="0"/>
    <x v="70"/>
    <x v="1"/>
    <x v="0"/>
    <x v="9"/>
    <n v="114"/>
    <n v="7.7799999999999994E-2"/>
  </r>
  <r>
    <x v="0"/>
    <x v="70"/>
    <x v="1"/>
    <x v="0"/>
    <x v="10"/>
    <n v="101"/>
    <n v="9.8299999999999998E-2"/>
  </r>
  <r>
    <x v="0"/>
    <x v="70"/>
    <x v="1"/>
    <x v="0"/>
    <x v="11"/>
    <n v="102"/>
    <n v="0.1179"/>
  </r>
  <r>
    <x v="0"/>
    <x v="70"/>
    <x v="1"/>
    <x v="0"/>
    <x v="12"/>
    <n v="101"/>
    <n v="0.1275"/>
  </r>
  <r>
    <x v="0"/>
    <x v="70"/>
    <x v="1"/>
    <x v="0"/>
    <x v="13"/>
    <n v="94"/>
    <n v="4.9599999999999998E-2"/>
  </r>
  <r>
    <x v="1"/>
    <x v="71"/>
    <x v="1"/>
    <x v="0"/>
    <x v="0"/>
    <n v="96"/>
    <n v="4.5400000000000003E-2"/>
  </r>
  <r>
    <x v="1"/>
    <x v="71"/>
    <x v="1"/>
    <x v="0"/>
    <x v="1"/>
    <n v="100"/>
    <n v="3.7000000000000002E-3"/>
  </r>
  <r>
    <x v="1"/>
    <x v="71"/>
    <x v="1"/>
    <x v="0"/>
    <x v="2"/>
    <n v="85"/>
    <n v="1.06E-2"/>
  </r>
  <r>
    <x v="1"/>
    <x v="71"/>
    <x v="1"/>
    <x v="0"/>
    <x v="3"/>
    <n v="88"/>
    <n v="8.3999999999999995E-3"/>
  </r>
  <r>
    <x v="1"/>
    <x v="71"/>
    <x v="1"/>
    <x v="0"/>
    <x v="4"/>
    <n v="99"/>
    <n v="2.7199999999999998E-2"/>
  </r>
  <r>
    <x v="1"/>
    <x v="71"/>
    <x v="1"/>
    <x v="0"/>
    <x v="5"/>
    <n v="106"/>
    <n v="8.0000000000000002E-3"/>
  </r>
  <r>
    <x v="1"/>
    <x v="71"/>
    <x v="1"/>
    <x v="0"/>
    <x v="6"/>
    <n v="96"/>
    <n v="8.3999999999999995E-3"/>
  </r>
  <r>
    <x v="1"/>
    <x v="71"/>
    <x v="1"/>
    <x v="0"/>
    <x v="7"/>
    <n v="100"/>
    <n v="1.7500000000000002E-2"/>
  </r>
  <r>
    <x v="1"/>
    <x v="71"/>
    <x v="1"/>
    <x v="0"/>
    <x v="8"/>
    <n v="102"/>
    <n v="3.5999999999999999E-3"/>
  </r>
  <r>
    <x v="1"/>
    <x v="71"/>
    <x v="1"/>
    <x v="0"/>
    <x v="9"/>
    <n v="84"/>
    <n v="6.1999999999999998E-3"/>
  </r>
  <r>
    <x v="1"/>
    <x v="71"/>
    <x v="1"/>
    <x v="0"/>
    <x v="10"/>
    <n v="98"/>
    <n v="8.8999999999999999E-3"/>
  </r>
  <r>
    <x v="1"/>
    <x v="71"/>
    <x v="1"/>
    <x v="0"/>
    <x v="11"/>
    <n v="100"/>
    <n v="1.0200000000000001E-2"/>
  </r>
  <r>
    <x v="1"/>
    <x v="71"/>
    <x v="1"/>
    <x v="0"/>
    <x v="12"/>
    <n v="99"/>
    <n v="1.15E-2"/>
  </r>
  <r>
    <x v="1"/>
    <x v="71"/>
    <x v="1"/>
    <x v="0"/>
    <x v="13"/>
    <n v="103"/>
    <n v="6.3E-3"/>
  </r>
  <r>
    <x v="0"/>
    <x v="72"/>
    <x v="1"/>
    <x v="0"/>
    <x v="0"/>
    <n v="113"/>
    <n v="0.1351"/>
  </r>
  <r>
    <x v="0"/>
    <x v="72"/>
    <x v="1"/>
    <x v="0"/>
    <x v="1"/>
    <n v="104"/>
    <n v="1.7399999999999999E-2"/>
  </r>
  <r>
    <x v="0"/>
    <x v="72"/>
    <x v="1"/>
    <x v="0"/>
    <x v="2"/>
    <n v="114"/>
    <n v="5.5300000000000002E-2"/>
  </r>
  <r>
    <x v="0"/>
    <x v="72"/>
    <x v="1"/>
    <x v="0"/>
    <x v="3"/>
    <n v="112"/>
    <n v="4.6699999999999998E-2"/>
  </r>
  <r>
    <x v="0"/>
    <x v="72"/>
    <x v="1"/>
    <x v="0"/>
    <x v="4"/>
    <n v="113"/>
    <n v="9.5299999999999996E-2"/>
  </r>
  <r>
    <x v="0"/>
    <x v="72"/>
    <x v="1"/>
    <x v="0"/>
    <x v="5"/>
    <n v="118"/>
    <n v="3.7600000000000001E-2"/>
  </r>
  <r>
    <x v="0"/>
    <x v="72"/>
    <x v="1"/>
    <x v="0"/>
    <x v="6"/>
    <n v="115"/>
    <n v="3.1899999999999998E-2"/>
  </r>
  <r>
    <x v="0"/>
    <x v="72"/>
    <x v="1"/>
    <x v="0"/>
    <x v="7"/>
    <n v="111"/>
    <n v="7.2099999999999997E-2"/>
  </r>
  <r>
    <x v="0"/>
    <x v="72"/>
    <x v="1"/>
    <x v="0"/>
    <x v="8"/>
    <n v="113"/>
    <n v="1.43E-2"/>
  </r>
  <r>
    <x v="0"/>
    <x v="72"/>
    <x v="1"/>
    <x v="0"/>
    <x v="9"/>
    <n v="112"/>
    <n v="3.7999999999999999E-2"/>
  </r>
  <r>
    <x v="0"/>
    <x v="72"/>
    <x v="1"/>
    <x v="0"/>
    <x v="10"/>
    <n v="111"/>
    <n v="4.4499999999999998E-2"/>
  </r>
  <r>
    <x v="0"/>
    <x v="72"/>
    <x v="1"/>
    <x v="0"/>
    <x v="11"/>
    <n v="114"/>
    <n v="5.3900000000000003E-2"/>
  </r>
  <r>
    <x v="0"/>
    <x v="72"/>
    <x v="1"/>
    <x v="0"/>
    <x v="12"/>
    <n v="117"/>
    <n v="5.74E-2"/>
  </r>
  <r>
    <x v="0"/>
    <x v="72"/>
    <x v="1"/>
    <x v="0"/>
    <x v="13"/>
    <n v="110"/>
    <n v="2.92E-2"/>
  </r>
  <r>
    <x v="0"/>
    <x v="73"/>
    <x v="1"/>
    <x v="0"/>
    <x v="0"/>
    <n v="101"/>
    <n v="0.27050000000000002"/>
  </r>
  <r>
    <x v="0"/>
    <x v="73"/>
    <x v="1"/>
    <x v="0"/>
    <x v="1"/>
    <n v="98"/>
    <n v="9.1700000000000004E-2"/>
  </r>
  <r>
    <x v="0"/>
    <x v="73"/>
    <x v="1"/>
    <x v="0"/>
    <x v="2"/>
    <n v="102"/>
    <n v="0.16389999999999999"/>
  </r>
  <r>
    <x v="0"/>
    <x v="73"/>
    <x v="1"/>
    <x v="0"/>
    <x v="3"/>
    <n v="103"/>
    <n v="0.1467"/>
  </r>
  <r>
    <x v="0"/>
    <x v="73"/>
    <x v="1"/>
    <x v="0"/>
    <x v="4"/>
    <n v="101"/>
    <n v="0.2072"/>
  </r>
  <r>
    <x v="0"/>
    <x v="73"/>
    <x v="1"/>
    <x v="0"/>
    <x v="5"/>
    <n v="100"/>
    <n v="0.1192"/>
  </r>
  <r>
    <x v="0"/>
    <x v="73"/>
    <x v="1"/>
    <x v="0"/>
    <x v="6"/>
    <n v="98"/>
    <n v="0.10539999999999999"/>
  </r>
  <r>
    <x v="0"/>
    <x v="73"/>
    <x v="1"/>
    <x v="0"/>
    <x v="7"/>
    <n v="100"/>
    <n v="0.1754"/>
  </r>
  <r>
    <x v="0"/>
    <x v="73"/>
    <x v="1"/>
    <x v="0"/>
    <x v="8"/>
    <n v="96"/>
    <n v="6.6900000000000001E-2"/>
  </r>
  <r>
    <x v="0"/>
    <x v="73"/>
    <x v="1"/>
    <x v="0"/>
    <x v="9"/>
    <n v="103"/>
    <n v="0.1338"/>
  </r>
  <r>
    <x v="0"/>
    <x v="73"/>
    <x v="1"/>
    <x v="0"/>
    <x v="10"/>
    <n v="101"/>
    <n v="0.13519999999999999"/>
  </r>
  <r>
    <x v="0"/>
    <x v="73"/>
    <x v="1"/>
    <x v="0"/>
    <x v="11"/>
    <n v="102"/>
    <n v="0.1434"/>
  </r>
  <r>
    <x v="0"/>
    <x v="73"/>
    <x v="1"/>
    <x v="0"/>
    <x v="12"/>
    <n v="102"/>
    <n v="0.1492"/>
  </r>
  <r>
    <x v="0"/>
    <x v="73"/>
    <x v="1"/>
    <x v="0"/>
    <x v="13"/>
    <n v="98"/>
    <n v="0.112"/>
  </r>
  <r>
    <x v="0"/>
    <x v="74"/>
    <x v="1"/>
    <x v="0"/>
    <x v="0"/>
    <n v="94"/>
    <n v="0.1057"/>
  </r>
  <r>
    <x v="0"/>
    <x v="74"/>
    <x v="1"/>
    <x v="0"/>
    <x v="1"/>
    <n v="81"/>
    <n v="1.04E-2"/>
  </r>
  <r>
    <x v="0"/>
    <x v="74"/>
    <x v="1"/>
    <x v="0"/>
    <x v="2"/>
    <n v="105"/>
    <n v="4.3499999999999997E-2"/>
  </r>
  <r>
    <x v="0"/>
    <x v="74"/>
    <x v="1"/>
    <x v="0"/>
    <x v="3"/>
    <n v="95"/>
    <n v="3.7999999999999999E-2"/>
  </r>
  <r>
    <x v="0"/>
    <x v="74"/>
    <x v="1"/>
    <x v="0"/>
    <x v="4"/>
    <n v="87"/>
    <n v="6.7500000000000004E-2"/>
  </r>
  <r>
    <x v="0"/>
    <x v="74"/>
    <x v="1"/>
    <x v="0"/>
    <x v="5"/>
    <n v="88"/>
    <n v="1.8800000000000001E-2"/>
  </r>
  <r>
    <x v="0"/>
    <x v="74"/>
    <x v="1"/>
    <x v="0"/>
    <x v="6"/>
    <n v="89"/>
    <n v="1.8200000000000001E-2"/>
  </r>
  <r>
    <x v="0"/>
    <x v="74"/>
    <x v="1"/>
    <x v="0"/>
    <x v="7"/>
    <n v="90"/>
    <n v="5.21E-2"/>
  </r>
  <r>
    <x v="0"/>
    <x v="74"/>
    <x v="1"/>
    <x v="0"/>
    <x v="8"/>
    <n v="85"/>
    <n v="8.2000000000000007E-3"/>
  </r>
  <r>
    <x v="0"/>
    <x v="74"/>
    <x v="1"/>
    <x v="0"/>
    <x v="9"/>
    <n v="96"/>
    <n v="3.1699999999999999E-2"/>
  </r>
  <r>
    <x v="0"/>
    <x v="74"/>
    <x v="1"/>
    <x v="0"/>
    <x v="10"/>
    <n v="88"/>
    <n v="2.1100000000000001E-2"/>
  </r>
  <r>
    <x v="0"/>
    <x v="74"/>
    <x v="1"/>
    <x v="0"/>
    <x v="11"/>
    <n v="87"/>
    <n v="2.8799999999999999E-2"/>
  </r>
  <r>
    <x v="0"/>
    <x v="74"/>
    <x v="1"/>
    <x v="0"/>
    <x v="12"/>
    <n v="84"/>
    <n v="3.4099999999999998E-2"/>
  </r>
  <r>
    <x v="0"/>
    <x v="74"/>
    <x v="1"/>
    <x v="0"/>
    <x v="13"/>
    <n v="83"/>
    <n v="1.5900000000000001E-2"/>
  </r>
  <r>
    <x v="1"/>
    <x v="75"/>
    <x v="1"/>
    <x v="0"/>
    <x v="0"/>
    <n v="105"/>
    <n v="0.16650000000000001"/>
  </r>
  <r>
    <x v="1"/>
    <x v="75"/>
    <x v="1"/>
    <x v="0"/>
    <x v="1"/>
    <n v="101"/>
    <n v="2.5000000000000001E-2"/>
  </r>
  <r>
    <x v="1"/>
    <x v="75"/>
    <x v="1"/>
    <x v="0"/>
    <x v="2"/>
    <n v="112"/>
    <n v="6.8099999999999994E-2"/>
  </r>
  <r>
    <x v="1"/>
    <x v="75"/>
    <x v="1"/>
    <x v="0"/>
    <x v="3"/>
    <n v="102"/>
    <n v="0.06"/>
  </r>
  <r>
    <x v="1"/>
    <x v="75"/>
    <x v="1"/>
    <x v="0"/>
    <x v="4"/>
    <n v="104"/>
    <n v="0.1202"/>
  </r>
  <r>
    <x v="1"/>
    <x v="75"/>
    <x v="1"/>
    <x v="0"/>
    <x v="5"/>
    <n v="102"/>
    <n v="4.7100000000000003E-2"/>
  </r>
  <r>
    <x v="1"/>
    <x v="75"/>
    <x v="1"/>
    <x v="0"/>
    <x v="6"/>
    <n v="102"/>
    <n v="4.2200000000000001E-2"/>
  </r>
  <r>
    <x v="1"/>
    <x v="75"/>
    <x v="1"/>
    <x v="0"/>
    <x v="7"/>
    <n v="103"/>
    <n v="9.0399999999999994E-2"/>
  </r>
  <r>
    <x v="1"/>
    <x v="75"/>
    <x v="1"/>
    <x v="0"/>
    <x v="8"/>
    <n v="101"/>
    <n v="2.1000000000000001E-2"/>
  </r>
  <r>
    <x v="1"/>
    <x v="75"/>
    <x v="1"/>
    <x v="0"/>
    <x v="9"/>
    <n v="104"/>
    <n v="4.8899999999999999E-2"/>
  </r>
  <r>
    <x v="1"/>
    <x v="75"/>
    <x v="1"/>
    <x v="0"/>
    <x v="10"/>
    <n v="103"/>
    <n v="5.33E-2"/>
  </r>
  <r>
    <x v="1"/>
    <x v="75"/>
    <x v="1"/>
    <x v="0"/>
    <x v="11"/>
    <n v="105"/>
    <n v="6.3299999999999995E-2"/>
  </r>
  <r>
    <x v="1"/>
    <x v="75"/>
    <x v="1"/>
    <x v="0"/>
    <x v="12"/>
    <n v="104"/>
    <n v="7.1099999999999997E-2"/>
  </r>
  <r>
    <x v="1"/>
    <x v="75"/>
    <x v="1"/>
    <x v="0"/>
    <x v="13"/>
    <n v="101"/>
    <n v="0.04"/>
  </r>
  <r>
    <x v="0"/>
    <x v="76"/>
    <x v="1"/>
    <x v="0"/>
    <x v="0"/>
    <n v="90"/>
    <n v="0.19750000000000001"/>
  </r>
  <r>
    <x v="0"/>
    <x v="76"/>
    <x v="1"/>
    <x v="0"/>
    <x v="1"/>
    <n v="95"/>
    <n v="1.8599999999999998E-2"/>
  </r>
  <r>
    <x v="0"/>
    <x v="76"/>
    <x v="1"/>
    <x v="0"/>
    <x v="2"/>
    <n v="96"/>
    <n v="5.6300000000000003E-2"/>
  </r>
  <r>
    <x v="0"/>
    <x v="76"/>
    <x v="1"/>
    <x v="0"/>
    <x v="3"/>
    <n v="94"/>
    <n v="5.3800000000000001E-2"/>
  </r>
  <r>
    <x v="0"/>
    <x v="76"/>
    <x v="1"/>
    <x v="0"/>
    <x v="4"/>
    <n v="80"/>
    <n v="0.1404"/>
  </r>
  <r>
    <x v="0"/>
    <x v="76"/>
    <x v="1"/>
    <x v="0"/>
    <x v="5"/>
    <n v="81"/>
    <n v="5.0299999999999997E-2"/>
  </r>
  <r>
    <x v="0"/>
    <x v="76"/>
    <x v="1"/>
    <x v="0"/>
    <x v="6"/>
    <n v="89"/>
    <n v="4.5100000000000001E-2"/>
  </r>
  <r>
    <x v="0"/>
    <x v="76"/>
    <x v="1"/>
    <x v="0"/>
    <x v="7"/>
    <n v="99"/>
    <n v="9.06E-2"/>
  </r>
  <r>
    <x v="0"/>
    <x v="76"/>
    <x v="1"/>
    <x v="0"/>
    <x v="8"/>
    <n v="94"/>
    <n v="1.8100000000000002E-2"/>
  </r>
  <r>
    <x v="0"/>
    <x v="76"/>
    <x v="1"/>
    <x v="0"/>
    <x v="9"/>
    <n v="96"/>
    <n v="4.1700000000000001E-2"/>
  </r>
  <r>
    <x v="0"/>
    <x v="76"/>
    <x v="1"/>
    <x v="0"/>
    <x v="10"/>
    <n v="79"/>
    <n v="5.4800000000000001E-2"/>
  </r>
  <r>
    <x v="0"/>
    <x v="76"/>
    <x v="1"/>
    <x v="0"/>
    <x v="11"/>
    <n v="79"/>
    <n v="6.2799999999999995E-2"/>
  </r>
  <r>
    <x v="0"/>
    <x v="76"/>
    <x v="1"/>
    <x v="0"/>
    <x v="12"/>
    <n v="79"/>
    <n v="7.2099999999999997E-2"/>
  </r>
  <r>
    <x v="0"/>
    <x v="76"/>
    <x v="1"/>
    <x v="0"/>
    <x v="13"/>
    <n v="94"/>
    <n v="3.04E-2"/>
  </r>
  <r>
    <x v="0"/>
    <x v="77"/>
    <x v="1"/>
    <x v="0"/>
    <x v="0"/>
    <n v="68"/>
    <n v="3.6900000000000002E-2"/>
  </r>
  <r>
    <x v="0"/>
    <x v="77"/>
    <x v="1"/>
    <x v="0"/>
    <x v="1"/>
    <n v="79"/>
    <n v="2.7000000000000001E-3"/>
  </r>
  <r>
    <x v="0"/>
    <x v="77"/>
    <x v="1"/>
    <x v="0"/>
    <x v="2"/>
    <n v="95"/>
    <n v="8.9999999999999993E-3"/>
  </r>
  <r>
    <x v="0"/>
    <x v="77"/>
    <x v="1"/>
    <x v="0"/>
    <x v="3"/>
    <n v="76"/>
    <n v="6.6E-3"/>
  </r>
  <r>
    <x v="0"/>
    <x v="77"/>
    <x v="1"/>
    <x v="0"/>
    <x v="4"/>
    <n v="71"/>
    <n v="2.0299999999999999E-2"/>
  </r>
  <r>
    <x v="0"/>
    <x v="77"/>
    <x v="1"/>
    <x v="0"/>
    <x v="5"/>
    <n v="58"/>
    <n v="5.5999999999999999E-3"/>
  </r>
  <r>
    <x v="0"/>
    <x v="77"/>
    <x v="1"/>
    <x v="0"/>
    <x v="6"/>
    <n v="51"/>
    <n v="6.4000000000000003E-3"/>
  </r>
  <r>
    <x v="0"/>
    <x v="77"/>
    <x v="1"/>
    <x v="0"/>
    <x v="7"/>
    <n v="66"/>
    <n v="1.2200000000000001E-2"/>
  </r>
  <r>
    <x v="0"/>
    <x v="77"/>
    <x v="1"/>
    <x v="0"/>
    <x v="8"/>
    <n v="49"/>
    <n v="2.5000000000000001E-3"/>
  </r>
  <r>
    <x v="0"/>
    <x v="77"/>
    <x v="1"/>
    <x v="0"/>
    <x v="9"/>
    <n v="78"/>
    <n v="4.7000000000000002E-3"/>
  </r>
  <r>
    <x v="0"/>
    <x v="77"/>
    <x v="1"/>
    <x v="0"/>
    <x v="10"/>
    <n v="59"/>
    <n v="5.4000000000000003E-3"/>
  </r>
  <r>
    <x v="0"/>
    <x v="77"/>
    <x v="1"/>
    <x v="0"/>
    <x v="11"/>
    <n v="70"/>
    <n v="6.7000000000000002E-3"/>
  </r>
  <r>
    <x v="0"/>
    <x v="77"/>
    <x v="1"/>
    <x v="0"/>
    <x v="12"/>
    <n v="74"/>
    <n v="8.0000000000000002E-3"/>
  </r>
  <r>
    <x v="0"/>
    <x v="77"/>
    <x v="1"/>
    <x v="0"/>
    <x v="13"/>
    <n v="60"/>
    <n v="4.7000000000000002E-3"/>
  </r>
  <r>
    <x v="1"/>
    <x v="78"/>
    <x v="1"/>
    <x v="0"/>
    <x v="0"/>
    <n v="121"/>
    <n v="0.10059999999999999"/>
  </r>
  <r>
    <x v="1"/>
    <x v="78"/>
    <x v="1"/>
    <x v="0"/>
    <x v="1"/>
    <n v="136"/>
    <n v="1.0500000000000001E-2"/>
  </r>
  <r>
    <x v="1"/>
    <x v="78"/>
    <x v="1"/>
    <x v="0"/>
    <x v="2"/>
    <n v="118"/>
    <n v="3.9899999999999998E-2"/>
  </r>
  <r>
    <x v="1"/>
    <x v="78"/>
    <x v="1"/>
    <x v="0"/>
    <x v="3"/>
    <n v="119"/>
    <n v="3.2199999999999999E-2"/>
  </r>
  <r>
    <x v="1"/>
    <x v="78"/>
    <x v="1"/>
    <x v="0"/>
    <x v="4"/>
    <n v="123"/>
    <n v="6.8900000000000003E-2"/>
  </r>
  <r>
    <x v="1"/>
    <x v="78"/>
    <x v="1"/>
    <x v="0"/>
    <x v="5"/>
    <n v="121"/>
    <n v="2.7099999999999999E-2"/>
  </r>
  <r>
    <x v="1"/>
    <x v="78"/>
    <x v="1"/>
    <x v="0"/>
    <x v="6"/>
    <n v="117"/>
    <n v="2.07E-2"/>
  </r>
  <r>
    <x v="1"/>
    <x v="78"/>
    <x v="1"/>
    <x v="0"/>
    <x v="7"/>
    <n v="120"/>
    <n v="4.5999999999999999E-2"/>
  </r>
  <r>
    <x v="1"/>
    <x v="78"/>
    <x v="1"/>
    <x v="0"/>
    <x v="8"/>
    <n v="113"/>
    <n v="6.7000000000000002E-3"/>
  </r>
  <r>
    <x v="1"/>
    <x v="78"/>
    <x v="1"/>
    <x v="0"/>
    <x v="9"/>
    <n v="123"/>
    <n v="2.6100000000000002E-2"/>
  </r>
  <r>
    <x v="1"/>
    <x v="78"/>
    <x v="1"/>
    <x v="0"/>
    <x v="10"/>
    <n v="116"/>
    <n v="3.04E-2"/>
  </r>
  <r>
    <x v="1"/>
    <x v="78"/>
    <x v="1"/>
    <x v="0"/>
    <x v="11"/>
    <n v="122"/>
    <n v="3.5799999999999998E-2"/>
  </r>
  <r>
    <x v="1"/>
    <x v="78"/>
    <x v="1"/>
    <x v="0"/>
    <x v="12"/>
    <n v="127"/>
    <n v="3.95E-2"/>
  </r>
  <r>
    <x v="1"/>
    <x v="78"/>
    <x v="1"/>
    <x v="0"/>
    <x v="13"/>
    <n v="125"/>
    <n v="1.6400000000000001E-2"/>
  </r>
  <r>
    <x v="1"/>
    <x v="79"/>
    <x v="1"/>
    <x v="1"/>
    <x v="0"/>
    <n v="105"/>
    <n v="0.97"/>
  </r>
  <r>
    <x v="1"/>
    <x v="79"/>
    <x v="1"/>
    <x v="1"/>
    <x v="1"/>
    <n v="97"/>
    <n v="0.31890000000000002"/>
  </r>
  <r>
    <x v="1"/>
    <x v="79"/>
    <x v="1"/>
    <x v="1"/>
    <x v="2"/>
    <n v="108"/>
    <n v="0.64649999999999996"/>
  </r>
  <r>
    <x v="1"/>
    <x v="79"/>
    <x v="1"/>
    <x v="1"/>
    <x v="3"/>
    <n v="111"/>
    <n v="0.64370000000000005"/>
  </r>
  <r>
    <x v="1"/>
    <x v="79"/>
    <x v="1"/>
    <x v="1"/>
    <x v="4"/>
    <n v="105"/>
    <n v="0.94269999999999998"/>
  </r>
  <r>
    <x v="1"/>
    <x v="79"/>
    <x v="1"/>
    <x v="1"/>
    <x v="5"/>
    <n v="105"/>
    <n v="0.57450000000000001"/>
  </r>
  <r>
    <x v="1"/>
    <x v="79"/>
    <x v="1"/>
    <x v="1"/>
    <x v="6"/>
    <n v="102"/>
    <n v="0.44969999999999999"/>
  </r>
  <r>
    <x v="1"/>
    <x v="79"/>
    <x v="1"/>
    <x v="1"/>
    <x v="7"/>
    <n v="103"/>
    <n v="0.8821"/>
  </r>
  <r>
    <x v="1"/>
    <x v="79"/>
    <x v="1"/>
    <x v="1"/>
    <x v="8"/>
    <n v="97"/>
    <n v="0.21160000000000001"/>
  </r>
  <r>
    <x v="1"/>
    <x v="79"/>
    <x v="1"/>
    <x v="1"/>
    <x v="9"/>
    <n v="111"/>
    <n v="0.57399999999999995"/>
  </r>
  <r>
    <x v="1"/>
    <x v="79"/>
    <x v="1"/>
    <x v="1"/>
    <x v="10"/>
    <n v="106"/>
    <n v="0.7319"/>
  </r>
  <r>
    <x v="1"/>
    <x v="79"/>
    <x v="1"/>
    <x v="1"/>
    <x v="11"/>
    <n v="105"/>
    <n v="0.8357"/>
  </r>
  <r>
    <x v="1"/>
    <x v="79"/>
    <x v="1"/>
    <x v="1"/>
    <x v="12"/>
    <n v="106"/>
    <n v="0.85770000000000002"/>
  </r>
  <r>
    <x v="1"/>
    <x v="79"/>
    <x v="1"/>
    <x v="1"/>
    <x v="13"/>
    <n v="98"/>
    <n v="0.47510000000000002"/>
  </r>
  <r>
    <x v="0"/>
    <x v="80"/>
    <x v="1"/>
    <x v="0"/>
    <x v="0"/>
    <n v="103"/>
    <n v="0.26150000000000001"/>
  </r>
  <r>
    <x v="0"/>
    <x v="80"/>
    <x v="1"/>
    <x v="0"/>
    <x v="1"/>
    <n v="95"/>
    <n v="2.0799999999999999E-2"/>
  </r>
  <r>
    <x v="0"/>
    <x v="80"/>
    <x v="1"/>
    <x v="0"/>
    <x v="2"/>
    <n v="108"/>
    <n v="0.10150000000000001"/>
  </r>
  <r>
    <x v="0"/>
    <x v="80"/>
    <x v="1"/>
    <x v="0"/>
    <x v="3"/>
    <n v="107"/>
    <n v="8.6199999999999999E-2"/>
  </r>
  <r>
    <x v="0"/>
    <x v="80"/>
    <x v="1"/>
    <x v="0"/>
    <x v="4"/>
    <n v="103"/>
    <n v="0.1918"/>
  </r>
  <r>
    <x v="0"/>
    <x v="80"/>
    <x v="1"/>
    <x v="0"/>
    <x v="5"/>
    <n v="98"/>
    <n v="6.83E-2"/>
  </r>
  <r>
    <x v="0"/>
    <x v="80"/>
    <x v="1"/>
    <x v="0"/>
    <x v="6"/>
    <n v="93"/>
    <n v="6.0499999999999998E-2"/>
  </r>
  <r>
    <x v="0"/>
    <x v="80"/>
    <x v="1"/>
    <x v="0"/>
    <x v="7"/>
    <n v="104"/>
    <n v="0.1182"/>
  </r>
  <r>
    <x v="0"/>
    <x v="80"/>
    <x v="1"/>
    <x v="0"/>
    <x v="8"/>
    <n v="90"/>
    <n v="2.4400000000000002E-2"/>
  </r>
  <r>
    <x v="0"/>
    <x v="80"/>
    <x v="1"/>
    <x v="0"/>
    <x v="9"/>
    <n v="108"/>
    <n v="6.83E-2"/>
  </r>
  <r>
    <x v="0"/>
    <x v="80"/>
    <x v="1"/>
    <x v="0"/>
    <x v="10"/>
    <n v="98"/>
    <n v="8.0500000000000002E-2"/>
  </r>
  <r>
    <x v="0"/>
    <x v="80"/>
    <x v="1"/>
    <x v="0"/>
    <x v="11"/>
    <n v="103"/>
    <n v="9.9099999999999994E-2"/>
  </r>
  <r>
    <x v="0"/>
    <x v="80"/>
    <x v="1"/>
    <x v="0"/>
    <x v="12"/>
    <n v="106"/>
    <n v="0.111"/>
  </r>
  <r>
    <x v="0"/>
    <x v="80"/>
    <x v="1"/>
    <x v="0"/>
    <x v="13"/>
    <n v="92"/>
    <n v="3.6200000000000003E-2"/>
  </r>
  <r>
    <x v="1"/>
    <x v="82"/>
    <x v="1"/>
    <x v="0"/>
    <x v="0"/>
    <n v="70"/>
    <n v="8.0399999999999999E-2"/>
  </r>
  <r>
    <x v="1"/>
    <x v="82"/>
    <x v="1"/>
    <x v="0"/>
    <x v="1"/>
    <n v="71"/>
    <n v="6.8999999999999999E-3"/>
  </r>
  <r>
    <x v="1"/>
    <x v="82"/>
    <x v="1"/>
    <x v="0"/>
    <x v="2"/>
    <n v="70"/>
    <n v="2.2800000000000001E-2"/>
  </r>
  <r>
    <x v="1"/>
    <x v="82"/>
    <x v="1"/>
    <x v="0"/>
    <x v="3"/>
    <n v="74"/>
    <n v="1.9599999999999999E-2"/>
  </r>
  <r>
    <x v="1"/>
    <x v="82"/>
    <x v="1"/>
    <x v="0"/>
    <x v="4"/>
    <n v="70"/>
    <n v="5.57E-2"/>
  </r>
  <r>
    <x v="1"/>
    <x v="82"/>
    <x v="1"/>
    <x v="0"/>
    <x v="5"/>
    <n v="65"/>
    <n v="1.83E-2"/>
  </r>
  <r>
    <x v="1"/>
    <x v="82"/>
    <x v="1"/>
    <x v="0"/>
    <x v="6"/>
    <n v="68"/>
    <n v="1.52E-2"/>
  </r>
  <r>
    <x v="1"/>
    <x v="82"/>
    <x v="1"/>
    <x v="0"/>
    <x v="7"/>
    <n v="68"/>
    <n v="3.1399999999999997E-2"/>
  </r>
  <r>
    <x v="1"/>
    <x v="82"/>
    <x v="1"/>
    <x v="0"/>
    <x v="8"/>
    <n v="73"/>
    <n v="6.1000000000000004E-3"/>
  </r>
  <r>
    <x v="1"/>
    <x v="82"/>
    <x v="1"/>
    <x v="0"/>
    <x v="9"/>
    <n v="74"/>
    <n v="1.46E-2"/>
  </r>
  <r>
    <x v="1"/>
    <x v="82"/>
    <x v="1"/>
    <x v="0"/>
    <x v="10"/>
    <n v="70"/>
    <n v="2.1999999999999999E-2"/>
  </r>
  <r>
    <x v="1"/>
    <x v="82"/>
    <x v="1"/>
    <x v="0"/>
    <x v="11"/>
    <n v="69"/>
    <n v="2.5999999999999999E-2"/>
  </r>
  <r>
    <x v="1"/>
    <x v="82"/>
    <x v="1"/>
    <x v="0"/>
    <x v="12"/>
    <n v="71"/>
    <n v="2.76E-2"/>
  </r>
  <r>
    <x v="1"/>
    <x v="82"/>
    <x v="1"/>
    <x v="0"/>
    <x v="13"/>
    <n v="69"/>
    <n v="1.1299999999999999E-2"/>
  </r>
  <r>
    <x v="0"/>
    <x v="83"/>
    <x v="1"/>
    <x v="0"/>
    <x v="0"/>
    <n v="104"/>
    <n v="7.5600000000000001E-2"/>
  </r>
  <r>
    <x v="0"/>
    <x v="83"/>
    <x v="1"/>
    <x v="0"/>
    <x v="1"/>
    <n v="102"/>
    <n v="6.6E-3"/>
  </r>
  <r>
    <x v="0"/>
    <x v="83"/>
    <x v="1"/>
    <x v="0"/>
    <x v="2"/>
    <n v="109"/>
    <n v="2.18E-2"/>
  </r>
  <r>
    <x v="0"/>
    <x v="83"/>
    <x v="1"/>
    <x v="0"/>
    <x v="3"/>
    <n v="109"/>
    <n v="1.9300000000000001E-2"/>
  </r>
  <r>
    <x v="0"/>
    <x v="83"/>
    <x v="1"/>
    <x v="0"/>
    <x v="4"/>
    <n v="102"/>
    <n v="5.1900000000000002E-2"/>
  </r>
  <r>
    <x v="0"/>
    <x v="83"/>
    <x v="1"/>
    <x v="0"/>
    <x v="5"/>
    <n v="104"/>
    <n v="1.46E-2"/>
  </r>
  <r>
    <x v="0"/>
    <x v="83"/>
    <x v="1"/>
    <x v="0"/>
    <x v="6"/>
    <n v="106"/>
    <n v="1.35E-2"/>
  </r>
  <r>
    <x v="0"/>
    <x v="83"/>
    <x v="1"/>
    <x v="0"/>
    <x v="7"/>
    <n v="107"/>
    <n v="3.2099999999999997E-2"/>
  </r>
  <r>
    <x v="0"/>
    <x v="83"/>
    <x v="1"/>
    <x v="0"/>
    <x v="8"/>
    <n v="107"/>
    <n v="5.5999999999999999E-3"/>
  </r>
  <r>
    <x v="0"/>
    <x v="83"/>
    <x v="1"/>
    <x v="0"/>
    <x v="9"/>
    <n v="111"/>
    <n v="1.3599999999999999E-2"/>
  </r>
  <r>
    <x v="0"/>
    <x v="83"/>
    <x v="1"/>
    <x v="0"/>
    <x v="10"/>
    <n v="98"/>
    <n v="1.6E-2"/>
  </r>
  <r>
    <x v="0"/>
    <x v="83"/>
    <x v="1"/>
    <x v="0"/>
    <x v="11"/>
    <n v="98"/>
    <n v="2.18E-2"/>
  </r>
  <r>
    <x v="0"/>
    <x v="83"/>
    <x v="1"/>
    <x v="0"/>
    <x v="12"/>
    <n v="104"/>
    <n v="2.7400000000000001E-2"/>
  </r>
  <r>
    <x v="0"/>
    <x v="83"/>
    <x v="1"/>
    <x v="0"/>
    <x v="13"/>
    <n v="107"/>
    <n v="1.0699999999999999E-2"/>
  </r>
  <r>
    <x v="0"/>
    <x v="84"/>
    <x v="1"/>
    <x v="0"/>
    <x v="0"/>
    <n v="90"/>
    <n v="0.1313"/>
  </r>
  <r>
    <x v="0"/>
    <x v="84"/>
    <x v="1"/>
    <x v="0"/>
    <x v="1"/>
    <n v="90"/>
    <n v="1.55E-2"/>
  </r>
  <r>
    <x v="0"/>
    <x v="84"/>
    <x v="1"/>
    <x v="0"/>
    <x v="2"/>
    <n v="98"/>
    <n v="4.5999999999999999E-2"/>
  </r>
  <r>
    <x v="0"/>
    <x v="84"/>
    <x v="1"/>
    <x v="0"/>
    <x v="3"/>
    <n v="90"/>
    <n v="3.7199999999999997E-2"/>
  </r>
  <r>
    <x v="0"/>
    <x v="84"/>
    <x v="1"/>
    <x v="0"/>
    <x v="4"/>
    <n v="87"/>
    <n v="8.4699999999999998E-2"/>
  </r>
  <r>
    <x v="0"/>
    <x v="84"/>
    <x v="1"/>
    <x v="0"/>
    <x v="5"/>
    <n v="82"/>
    <n v="2.7199999999999998E-2"/>
  </r>
  <r>
    <x v="0"/>
    <x v="84"/>
    <x v="1"/>
    <x v="0"/>
    <x v="6"/>
    <n v="86"/>
    <n v="2.4899999999999999E-2"/>
  </r>
  <r>
    <x v="0"/>
    <x v="84"/>
    <x v="1"/>
    <x v="0"/>
    <x v="7"/>
    <n v="89"/>
    <n v="6.6900000000000001E-2"/>
  </r>
  <r>
    <x v="0"/>
    <x v="84"/>
    <x v="1"/>
    <x v="0"/>
    <x v="8"/>
    <n v="80"/>
    <n v="1.0800000000000001E-2"/>
  </r>
  <r>
    <x v="0"/>
    <x v="84"/>
    <x v="1"/>
    <x v="0"/>
    <x v="9"/>
    <n v="90"/>
    <n v="2.9000000000000001E-2"/>
  </r>
  <r>
    <x v="0"/>
    <x v="84"/>
    <x v="1"/>
    <x v="0"/>
    <x v="10"/>
    <n v="84"/>
    <n v="3.0099999999999998E-2"/>
  </r>
  <r>
    <x v="0"/>
    <x v="84"/>
    <x v="1"/>
    <x v="0"/>
    <x v="11"/>
    <n v="88"/>
    <n v="3.7900000000000003E-2"/>
  </r>
  <r>
    <x v="0"/>
    <x v="84"/>
    <x v="1"/>
    <x v="0"/>
    <x v="12"/>
    <n v="85"/>
    <n v="4.1700000000000001E-2"/>
  </r>
  <r>
    <x v="0"/>
    <x v="84"/>
    <x v="1"/>
    <x v="0"/>
    <x v="13"/>
    <n v="87"/>
    <n v="2.3900000000000001E-2"/>
  </r>
  <r>
    <x v="1"/>
    <x v="85"/>
    <x v="1"/>
    <x v="0"/>
    <x v="0"/>
    <n v="62"/>
    <n v="3.1300000000000001E-2"/>
  </r>
  <r>
    <x v="1"/>
    <x v="85"/>
    <x v="1"/>
    <x v="0"/>
    <x v="1"/>
    <n v="51"/>
    <n v="3.3999999999999998E-3"/>
  </r>
  <r>
    <x v="1"/>
    <x v="85"/>
    <x v="1"/>
    <x v="0"/>
    <x v="2"/>
    <n v="67"/>
    <n v="1.03E-2"/>
  </r>
  <r>
    <x v="1"/>
    <x v="85"/>
    <x v="1"/>
    <x v="0"/>
    <x v="3"/>
    <n v="63"/>
    <n v="8.5000000000000006E-3"/>
  </r>
  <r>
    <x v="1"/>
    <x v="85"/>
    <x v="1"/>
    <x v="0"/>
    <x v="4"/>
    <n v="61"/>
    <n v="1.6199999999999999E-2"/>
  </r>
  <r>
    <x v="1"/>
    <x v="85"/>
    <x v="1"/>
    <x v="0"/>
    <x v="5"/>
    <n v="58"/>
    <n v="3.5999999999999999E-3"/>
  </r>
  <r>
    <x v="1"/>
    <x v="85"/>
    <x v="1"/>
    <x v="0"/>
    <x v="6"/>
    <n v="43"/>
    <n v="3.5999999999999999E-3"/>
  </r>
  <r>
    <x v="1"/>
    <x v="85"/>
    <x v="1"/>
    <x v="0"/>
    <x v="7"/>
    <n v="65"/>
    <n v="1.1900000000000001E-2"/>
  </r>
  <r>
    <x v="1"/>
    <x v="85"/>
    <x v="1"/>
    <x v="0"/>
    <x v="8"/>
    <n v="45"/>
    <n v="1.6999999999999999E-3"/>
  </r>
  <r>
    <x v="1"/>
    <x v="85"/>
    <x v="1"/>
    <x v="0"/>
    <x v="9"/>
    <n v="64"/>
    <n v="6.7999999999999996E-3"/>
  </r>
  <r>
    <x v="1"/>
    <x v="85"/>
    <x v="1"/>
    <x v="0"/>
    <x v="10"/>
    <n v="63"/>
    <n v="3.8999999999999998E-3"/>
  </r>
  <r>
    <x v="1"/>
    <x v="85"/>
    <x v="1"/>
    <x v="0"/>
    <x v="11"/>
    <n v="62"/>
    <n v="4.8999999999999998E-3"/>
  </r>
  <r>
    <x v="1"/>
    <x v="85"/>
    <x v="1"/>
    <x v="0"/>
    <x v="12"/>
    <n v="60"/>
    <n v="6.1999999999999998E-3"/>
  </r>
  <r>
    <x v="1"/>
    <x v="85"/>
    <x v="1"/>
    <x v="0"/>
    <x v="13"/>
    <n v="53"/>
    <n v="5.7999999999999996E-3"/>
  </r>
  <r>
    <x v="1"/>
    <x v="86"/>
    <x v="1"/>
    <x v="0"/>
    <x v="0"/>
    <n v="67"/>
    <n v="2.87E-2"/>
  </r>
  <r>
    <x v="1"/>
    <x v="86"/>
    <x v="1"/>
    <x v="0"/>
    <x v="1"/>
    <n v="75"/>
    <n v="3.8999999999999998E-3"/>
  </r>
  <r>
    <x v="1"/>
    <x v="86"/>
    <x v="1"/>
    <x v="0"/>
    <x v="2"/>
    <n v="72"/>
    <n v="9.1000000000000004E-3"/>
  </r>
  <r>
    <x v="1"/>
    <x v="86"/>
    <x v="1"/>
    <x v="0"/>
    <x v="3"/>
    <n v="62"/>
    <n v="6.6E-3"/>
  </r>
  <r>
    <x v="1"/>
    <x v="86"/>
    <x v="1"/>
    <x v="0"/>
    <x v="4"/>
    <n v="66"/>
    <n v="1.5900000000000001E-2"/>
  </r>
  <r>
    <x v="1"/>
    <x v="86"/>
    <x v="1"/>
    <x v="0"/>
    <x v="5"/>
    <n v="58"/>
    <n v="5.8999999999999999E-3"/>
  </r>
  <r>
    <x v="1"/>
    <x v="86"/>
    <x v="1"/>
    <x v="0"/>
    <x v="6"/>
    <n v="60"/>
    <n v="5.7999999999999996E-3"/>
  </r>
  <r>
    <x v="1"/>
    <x v="86"/>
    <x v="1"/>
    <x v="0"/>
    <x v="7"/>
    <n v="69"/>
    <n v="1.12E-2"/>
  </r>
  <r>
    <x v="1"/>
    <x v="86"/>
    <x v="1"/>
    <x v="0"/>
    <x v="8"/>
    <n v="62"/>
    <n v="2.5999999999999999E-3"/>
  </r>
  <r>
    <x v="1"/>
    <x v="86"/>
    <x v="1"/>
    <x v="0"/>
    <x v="9"/>
    <n v="65"/>
    <n v="5.0000000000000001E-3"/>
  </r>
  <r>
    <x v="1"/>
    <x v="86"/>
    <x v="1"/>
    <x v="0"/>
    <x v="10"/>
    <n v="67"/>
    <n v="5.4000000000000003E-3"/>
  </r>
  <r>
    <x v="1"/>
    <x v="86"/>
    <x v="1"/>
    <x v="0"/>
    <x v="11"/>
    <n v="73"/>
    <n v="6.0000000000000001E-3"/>
  </r>
  <r>
    <x v="1"/>
    <x v="86"/>
    <x v="1"/>
    <x v="0"/>
    <x v="12"/>
    <n v="66"/>
    <n v="6.8999999999999999E-3"/>
  </r>
  <r>
    <x v="1"/>
    <x v="86"/>
    <x v="1"/>
    <x v="0"/>
    <x v="13"/>
    <n v="71"/>
    <n v="5.4999999999999997E-3"/>
  </r>
  <r>
    <x v="0"/>
    <x v="87"/>
    <x v="1"/>
    <x v="0"/>
    <x v="0"/>
    <n v="92"/>
    <n v="0.2384"/>
  </r>
  <r>
    <x v="0"/>
    <x v="87"/>
    <x v="1"/>
    <x v="0"/>
    <x v="1"/>
    <n v="77"/>
    <n v="2.5999999999999999E-2"/>
  </r>
  <r>
    <x v="0"/>
    <x v="87"/>
    <x v="1"/>
    <x v="0"/>
    <x v="2"/>
    <n v="74"/>
    <n v="6.2100000000000002E-2"/>
  </r>
  <r>
    <x v="0"/>
    <x v="87"/>
    <x v="1"/>
    <x v="0"/>
    <x v="3"/>
    <n v="68"/>
    <n v="5.16E-2"/>
  </r>
  <r>
    <x v="0"/>
    <x v="87"/>
    <x v="1"/>
    <x v="0"/>
    <x v="4"/>
    <n v="97"/>
    <n v="0.16919999999999999"/>
  </r>
  <r>
    <x v="0"/>
    <x v="87"/>
    <x v="1"/>
    <x v="0"/>
    <x v="5"/>
    <n v="100"/>
    <n v="8.3500000000000005E-2"/>
  </r>
  <r>
    <x v="0"/>
    <x v="87"/>
    <x v="1"/>
    <x v="0"/>
    <x v="6"/>
    <n v="97"/>
    <n v="7.17E-2"/>
  </r>
  <r>
    <x v="0"/>
    <x v="87"/>
    <x v="1"/>
    <x v="0"/>
    <x v="7"/>
    <n v="70"/>
    <n v="9.0999999999999998E-2"/>
  </r>
  <r>
    <x v="0"/>
    <x v="87"/>
    <x v="1"/>
    <x v="0"/>
    <x v="8"/>
    <n v="96"/>
    <n v="2.9100000000000001E-2"/>
  </r>
  <r>
    <x v="0"/>
    <x v="87"/>
    <x v="1"/>
    <x v="0"/>
    <x v="9"/>
    <n v="69"/>
    <n v="3.9300000000000002E-2"/>
  </r>
  <r>
    <x v="0"/>
    <x v="87"/>
    <x v="1"/>
    <x v="0"/>
    <x v="10"/>
    <n v="101"/>
    <n v="8.6499999999999994E-2"/>
  </r>
  <r>
    <x v="0"/>
    <x v="87"/>
    <x v="1"/>
    <x v="0"/>
    <x v="11"/>
    <n v="99"/>
    <n v="9.6100000000000005E-2"/>
  </r>
  <r>
    <x v="0"/>
    <x v="87"/>
    <x v="1"/>
    <x v="0"/>
    <x v="12"/>
    <n v="95"/>
    <n v="8.7300000000000003E-2"/>
  </r>
  <r>
    <x v="0"/>
    <x v="87"/>
    <x v="1"/>
    <x v="0"/>
    <x v="13"/>
    <n v="85"/>
    <n v="4.3099999999999999E-2"/>
  </r>
  <r>
    <x v="0"/>
    <x v="88"/>
    <x v="1"/>
    <x v="0"/>
    <x v="0"/>
    <n v="108"/>
    <n v="0.19620000000000001"/>
  </r>
  <r>
    <x v="0"/>
    <x v="88"/>
    <x v="1"/>
    <x v="0"/>
    <x v="1"/>
    <n v="107"/>
    <n v="3.4000000000000002E-2"/>
  </r>
  <r>
    <x v="0"/>
    <x v="88"/>
    <x v="1"/>
    <x v="0"/>
    <x v="2"/>
    <n v="112"/>
    <n v="7.51E-2"/>
  </r>
  <r>
    <x v="0"/>
    <x v="88"/>
    <x v="1"/>
    <x v="0"/>
    <x v="3"/>
    <n v="106"/>
    <n v="7.4300000000000005E-2"/>
  </r>
  <r>
    <x v="0"/>
    <x v="88"/>
    <x v="1"/>
    <x v="0"/>
    <x v="4"/>
    <n v="109"/>
    <n v="0.14599999999999999"/>
  </r>
  <r>
    <x v="0"/>
    <x v="88"/>
    <x v="1"/>
    <x v="0"/>
    <x v="5"/>
    <n v="103"/>
    <n v="7.0800000000000002E-2"/>
  </r>
  <r>
    <x v="0"/>
    <x v="88"/>
    <x v="1"/>
    <x v="0"/>
    <x v="6"/>
    <n v="103"/>
    <n v="6.4199999999999993E-2"/>
  </r>
  <r>
    <x v="0"/>
    <x v="88"/>
    <x v="1"/>
    <x v="0"/>
    <x v="7"/>
    <n v="108"/>
    <n v="0.1024"/>
  </r>
  <r>
    <x v="0"/>
    <x v="88"/>
    <x v="1"/>
    <x v="0"/>
    <x v="8"/>
    <n v="104"/>
    <n v="3.3599999999999998E-2"/>
  </r>
  <r>
    <x v="0"/>
    <x v="88"/>
    <x v="1"/>
    <x v="0"/>
    <x v="9"/>
    <n v="104"/>
    <n v="5.9700000000000003E-2"/>
  </r>
  <r>
    <x v="0"/>
    <x v="88"/>
    <x v="1"/>
    <x v="0"/>
    <x v="10"/>
    <n v="105"/>
    <n v="8.2900000000000001E-2"/>
  </r>
  <r>
    <x v="0"/>
    <x v="88"/>
    <x v="1"/>
    <x v="0"/>
    <x v="11"/>
    <n v="111"/>
    <n v="9.06E-2"/>
  </r>
  <r>
    <x v="0"/>
    <x v="88"/>
    <x v="1"/>
    <x v="0"/>
    <x v="12"/>
    <n v="111"/>
    <n v="9.3899999999999997E-2"/>
  </r>
  <r>
    <x v="0"/>
    <x v="88"/>
    <x v="1"/>
    <x v="0"/>
    <x v="13"/>
    <n v="105"/>
    <n v="5.3699999999999998E-2"/>
  </r>
  <r>
    <x v="0"/>
    <x v="89"/>
    <x v="1"/>
    <x v="0"/>
    <x v="0"/>
    <n v="84"/>
    <n v="0.2261"/>
  </r>
  <r>
    <x v="0"/>
    <x v="89"/>
    <x v="1"/>
    <x v="0"/>
    <x v="1"/>
    <n v="76"/>
    <n v="2.23E-2"/>
  </r>
  <r>
    <x v="0"/>
    <x v="89"/>
    <x v="1"/>
    <x v="0"/>
    <x v="2"/>
    <n v="91"/>
    <n v="7.0300000000000001E-2"/>
  </r>
  <r>
    <x v="0"/>
    <x v="89"/>
    <x v="1"/>
    <x v="0"/>
    <x v="3"/>
    <n v="89"/>
    <n v="5.6000000000000001E-2"/>
  </r>
  <r>
    <x v="0"/>
    <x v="89"/>
    <x v="1"/>
    <x v="0"/>
    <x v="4"/>
    <n v="84"/>
    <n v="0.14460000000000001"/>
  </r>
  <r>
    <x v="0"/>
    <x v="89"/>
    <x v="1"/>
    <x v="0"/>
    <x v="5"/>
    <n v="82"/>
    <n v="5.0700000000000002E-2"/>
  </r>
  <r>
    <x v="0"/>
    <x v="89"/>
    <x v="1"/>
    <x v="0"/>
    <x v="6"/>
    <n v="80"/>
    <n v="4.99E-2"/>
  </r>
  <r>
    <x v="0"/>
    <x v="89"/>
    <x v="1"/>
    <x v="0"/>
    <x v="7"/>
    <n v="82"/>
    <n v="0.1008"/>
  </r>
  <r>
    <x v="0"/>
    <x v="89"/>
    <x v="1"/>
    <x v="0"/>
    <x v="8"/>
    <n v="82"/>
    <n v="2.2599999999999999E-2"/>
  </r>
  <r>
    <x v="0"/>
    <x v="89"/>
    <x v="1"/>
    <x v="0"/>
    <x v="9"/>
    <n v="91"/>
    <n v="4.2500000000000003E-2"/>
  </r>
  <r>
    <x v="0"/>
    <x v="89"/>
    <x v="1"/>
    <x v="0"/>
    <x v="10"/>
    <n v="81"/>
    <n v="5.4899999999999997E-2"/>
  </r>
  <r>
    <x v="0"/>
    <x v="89"/>
    <x v="1"/>
    <x v="0"/>
    <x v="11"/>
    <n v="86"/>
    <n v="6.7400000000000002E-2"/>
  </r>
  <r>
    <x v="0"/>
    <x v="89"/>
    <x v="1"/>
    <x v="0"/>
    <x v="12"/>
    <n v="86"/>
    <n v="7.4300000000000005E-2"/>
  </r>
  <r>
    <x v="0"/>
    <x v="89"/>
    <x v="1"/>
    <x v="0"/>
    <x v="13"/>
    <n v="74"/>
    <n v="3.7199999999999997E-2"/>
  </r>
  <r>
    <x v="1"/>
    <x v="90"/>
    <x v="1"/>
    <x v="0"/>
    <x v="0"/>
    <n v="122"/>
    <n v="5.5899999999999998E-2"/>
  </r>
  <r>
    <x v="1"/>
    <x v="90"/>
    <x v="1"/>
    <x v="0"/>
    <x v="1"/>
    <n v="128"/>
    <n v="7.0000000000000001E-3"/>
  </r>
  <r>
    <x v="1"/>
    <x v="90"/>
    <x v="1"/>
    <x v="0"/>
    <x v="2"/>
    <n v="134"/>
    <n v="1.9800000000000002E-2"/>
  </r>
  <r>
    <x v="1"/>
    <x v="90"/>
    <x v="1"/>
    <x v="0"/>
    <x v="3"/>
    <n v="125"/>
    <n v="1.54E-2"/>
  </r>
  <r>
    <x v="1"/>
    <x v="90"/>
    <x v="1"/>
    <x v="0"/>
    <x v="4"/>
    <n v="122"/>
    <n v="3.3799999999999997E-2"/>
  </r>
  <r>
    <x v="1"/>
    <x v="90"/>
    <x v="1"/>
    <x v="0"/>
    <x v="5"/>
    <n v="117"/>
    <n v="1.14E-2"/>
  </r>
  <r>
    <x v="1"/>
    <x v="90"/>
    <x v="1"/>
    <x v="0"/>
    <x v="6"/>
    <n v="123"/>
    <n v="1.2E-2"/>
  </r>
  <r>
    <x v="1"/>
    <x v="90"/>
    <x v="1"/>
    <x v="0"/>
    <x v="7"/>
    <n v="112"/>
    <n v="2.53E-2"/>
  </r>
  <r>
    <x v="1"/>
    <x v="90"/>
    <x v="1"/>
    <x v="0"/>
    <x v="8"/>
    <n v="128"/>
    <n v="5.5999999999999999E-3"/>
  </r>
  <r>
    <x v="1"/>
    <x v="90"/>
    <x v="1"/>
    <x v="0"/>
    <x v="9"/>
    <n v="130"/>
    <n v="1.2200000000000001E-2"/>
  </r>
  <r>
    <x v="1"/>
    <x v="90"/>
    <x v="1"/>
    <x v="0"/>
    <x v="10"/>
    <n v="109"/>
    <n v="1.1299999999999999E-2"/>
  </r>
  <r>
    <x v="1"/>
    <x v="90"/>
    <x v="1"/>
    <x v="0"/>
    <x v="11"/>
    <n v="117"/>
    <n v="1.34E-2"/>
  </r>
  <r>
    <x v="1"/>
    <x v="90"/>
    <x v="1"/>
    <x v="0"/>
    <x v="12"/>
    <n v="127"/>
    <n v="1.5800000000000002E-2"/>
  </r>
  <r>
    <x v="1"/>
    <x v="90"/>
    <x v="1"/>
    <x v="0"/>
    <x v="13"/>
    <n v="124"/>
    <n v="1.21E-2"/>
  </r>
  <r>
    <x v="1"/>
    <x v="91"/>
    <x v="1"/>
    <x v="0"/>
    <x v="0"/>
    <n v="120"/>
    <n v="0.1016"/>
  </r>
  <r>
    <x v="1"/>
    <x v="91"/>
    <x v="1"/>
    <x v="0"/>
    <x v="1"/>
    <n v="121"/>
    <n v="1.2500000000000001E-2"/>
  </r>
  <r>
    <x v="1"/>
    <x v="91"/>
    <x v="1"/>
    <x v="0"/>
    <x v="2"/>
    <n v="120"/>
    <n v="4.0800000000000003E-2"/>
  </r>
  <r>
    <x v="1"/>
    <x v="91"/>
    <x v="1"/>
    <x v="0"/>
    <x v="3"/>
    <n v="120"/>
    <n v="3.3300000000000003E-2"/>
  </r>
  <r>
    <x v="1"/>
    <x v="91"/>
    <x v="1"/>
    <x v="0"/>
    <x v="4"/>
    <n v="122"/>
    <n v="7.17E-2"/>
  </r>
  <r>
    <x v="1"/>
    <x v="91"/>
    <x v="1"/>
    <x v="0"/>
    <x v="5"/>
    <n v="110"/>
    <n v="2.8000000000000001E-2"/>
  </r>
  <r>
    <x v="1"/>
    <x v="91"/>
    <x v="1"/>
    <x v="0"/>
    <x v="6"/>
    <n v="112"/>
    <n v="2.2700000000000001E-2"/>
  </r>
  <r>
    <x v="1"/>
    <x v="91"/>
    <x v="1"/>
    <x v="0"/>
    <x v="7"/>
    <n v="120"/>
    <n v="4.6800000000000001E-2"/>
  </r>
  <r>
    <x v="1"/>
    <x v="91"/>
    <x v="1"/>
    <x v="0"/>
    <x v="8"/>
    <n v="120"/>
    <n v="8.8999999999999999E-3"/>
  </r>
  <r>
    <x v="1"/>
    <x v="91"/>
    <x v="1"/>
    <x v="0"/>
    <x v="9"/>
    <n v="120"/>
    <n v="2.7900000000000001E-2"/>
  </r>
  <r>
    <x v="1"/>
    <x v="91"/>
    <x v="1"/>
    <x v="0"/>
    <x v="10"/>
    <n v="119"/>
    <n v="3.2399999999999998E-2"/>
  </r>
  <r>
    <x v="1"/>
    <x v="91"/>
    <x v="1"/>
    <x v="0"/>
    <x v="11"/>
    <n v="121"/>
    <n v="3.85E-2"/>
  </r>
  <r>
    <x v="1"/>
    <x v="91"/>
    <x v="1"/>
    <x v="0"/>
    <x v="12"/>
    <n v="124"/>
    <n v="4.24E-2"/>
  </r>
  <r>
    <x v="1"/>
    <x v="91"/>
    <x v="1"/>
    <x v="0"/>
    <x v="13"/>
    <n v="118"/>
    <n v="1.8100000000000002E-2"/>
  </r>
  <r>
    <x v="0"/>
    <x v="92"/>
    <x v="1"/>
    <x v="0"/>
    <x v="0"/>
    <n v="96"/>
    <n v="0.19170000000000001"/>
  </r>
  <r>
    <x v="0"/>
    <x v="92"/>
    <x v="1"/>
    <x v="0"/>
    <x v="1"/>
    <n v="97"/>
    <n v="3.1099999999999999E-2"/>
  </r>
  <r>
    <x v="0"/>
    <x v="92"/>
    <x v="1"/>
    <x v="0"/>
    <x v="2"/>
    <n v="96"/>
    <n v="7.6600000000000001E-2"/>
  </r>
  <r>
    <x v="0"/>
    <x v="92"/>
    <x v="1"/>
    <x v="0"/>
    <x v="3"/>
    <n v="95"/>
    <n v="6.2199999999999998E-2"/>
  </r>
  <r>
    <x v="0"/>
    <x v="92"/>
    <x v="1"/>
    <x v="0"/>
    <x v="4"/>
    <n v="98"/>
    <n v="0.13489999999999999"/>
  </r>
  <r>
    <x v="0"/>
    <x v="92"/>
    <x v="1"/>
    <x v="0"/>
    <x v="5"/>
    <n v="94"/>
    <n v="5.9900000000000002E-2"/>
  </r>
  <r>
    <x v="0"/>
    <x v="92"/>
    <x v="1"/>
    <x v="0"/>
    <x v="6"/>
    <n v="94"/>
    <n v="5.9200000000000003E-2"/>
  </r>
  <r>
    <x v="0"/>
    <x v="92"/>
    <x v="1"/>
    <x v="0"/>
    <x v="7"/>
    <n v="95"/>
    <n v="9.64E-2"/>
  </r>
  <r>
    <x v="0"/>
    <x v="92"/>
    <x v="1"/>
    <x v="0"/>
    <x v="8"/>
    <n v="97"/>
    <n v="3.1800000000000002E-2"/>
  </r>
  <r>
    <x v="0"/>
    <x v="92"/>
    <x v="1"/>
    <x v="0"/>
    <x v="9"/>
    <n v="95"/>
    <n v="5.1400000000000001E-2"/>
  </r>
  <r>
    <x v="0"/>
    <x v="92"/>
    <x v="1"/>
    <x v="0"/>
    <x v="10"/>
    <n v="95"/>
    <n v="6.4500000000000002E-2"/>
  </r>
  <r>
    <x v="0"/>
    <x v="92"/>
    <x v="1"/>
    <x v="0"/>
    <x v="11"/>
    <n v="97"/>
    <n v="7.4499999999999997E-2"/>
  </r>
  <r>
    <x v="0"/>
    <x v="92"/>
    <x v="1"/>
    <x v="0"/>
    <x v="12"/>
    <n v="99"/>
    <n v="7.9100000000000004E-2"/>
  </r>
  <r>
    <x v="0"/>
    <x v="92"/>
    <x v="1"/>
    <x v="0"/>
    <x v="13"/>
    <n v="97"/>
    <n v="4.9000000000000002E-2"/>
  </r>
  <r>
    <x v="0"/>
    <x v="93"/>
    <x v="1"/>
    <x v="0"/>
    <x v="0"/>
    <n v="101"/>
    <n v="0.19689999999999999"/>
  </r>
  <r>
    <x v="0"/>
    <x v="93"/>
    <x v="1"/>
    <x v="0"/>
    <x v="1"/>
    <n v="104"/>
    <n v="1.8100000000000002E-2"/>
  </r>
  <r>
    <x v="0"/>
    <x v="93"/>
    <x v="1"/>
    <x v="0"/>
    <x v="2"/>
    <n v="104"/>
    <n v="5.0700000000000002E-2"/>
  </r>
  <r>
    <x v="0"/>
    <x v="93"/>
    <x v="1"/>
    <x v="0"/>
    <x v="3"/>
    <n v="103"/>
    <n v="5.8700000000000002E-2"/>
  </r>
  <r>
    <x v="0"/>
    <x v="93"/>
    <x v="1"/>
    <x v="0"/>
    <x v="4"/>
    <n v="99"/>
    <n v="0.1477"/>
  </r>
  <r>
    <x v="0"/>
    <x v="93"/>
    <x v="1"/>
    <x v="0"/>
    <x v="5"/>
    <n v="96"/>
    <n v="6.2300000000000001E-2"/>
  </r>
  <r>
    <x v="0"/>
    <x v="93"/>
    <x v="1"/>
    <x v="0"/>
    <x v="6"/>
    <n v="98"/>
    <n v="5.3600000000000002E-2"/>
  </r>
  <r>
    <x v="0"/>
    <x v="93"/>
    <x v="1"/>
    <x v="0"/>
    <x v="7"/>
    <n v="104"/>
    <n v="9.0800000000000006E-2"/>
  </r>
  <r>
    <x v="0"/>
    <x v="93"/>
    <x v="1"/>
    <x v="0"/>
    <x v="8"/>
    <n v="101"/>
    <n v="2.06E-2"/>
  </r>
  <r>
    <x v="0"/>
    <x v="93"/>
    <x v="1"/>
    <x v="0"/>
    <x v="9"/>
    <n v="104"/>
    <n v="3.6700000000000003E-2"/>
  </r>
  <r>
    <x v="0"/>
    <x v="93"/>
    <x v="1"/>
    <x v="0"/>
    <x v="10"/>
    <n v="96"/>
    <n v="7.0699999999999999E-2"/>
  </r>
  <r>
    <x v="0"/>
    <x v="93"/>
    <x v="1"/>
    <x v="0"/>
    <x v="11"/>
    <n v="99"/>
    <n v="8.0100000000000005E-2"/>
  </r>
  <r>
    <x v="0"/>
    <x v="93"/>
    <x v="1"/>
    <x v="0"/>
    <x v="12"/>
    <n v="101"/>
    <n v="8.7599999999999997E-2"/>
  </r>
  <r>
    <x v="0"/>
    <x v="93"/>
    <x v="1"/>
    <x v="0"/>
    <x v="13"/>
    <n v="102"/>
    <n v="3.49E-2"/>
  </r>
  <r>
    <x v="1"/>
    <x v="94"/>
    <x v="1"/>
    <x v="1"/>
    <x v="0"/>
    <n v="108"/>
    <n v="0.63360000000000005"/>
  </r>
  <r>
    <x v="1"/>
    <x v="94"/>
    <x v="1"/>
    <x v="1"/>
    <x v="1"/>
    <n v="88"/>
    <n v="0.09"/>
  </r>
  <r>
    <x v="1"/>
    <x v="94"/>
    <x v="1"/>
    <x v="1"/>
    <x v="2"/>
    <n v="104"/>
    <n v="0.27639999999999998"/>
  </r>
  <r>
    <x v="1"/>
    <x v="94"/>
    <x v="1"/>
    <x v="1"/>
    <x v="3"/>
    <n v="107"/>
    <n v="0.24879999999999999"/>
  </r>
  <r>
    <x v="1"/>
    <x v="94"/>
    <x v="1"/>
    <x v="1"/>
    <x v="4"/>
    <n v="112"/>
    <n v="0.50939999999999996"/>
  </r>
  <r>
    <x v="1"/>
    <x v="94"/>
    <x v="1"/>
    <x v="1"/>
    <x v="5"/>
    <n v="104"/>
    <n v="0.19040000000000001"/>
  </r>
  <r>
    <x v="1"/>
    <x v="94"/>
    <x v="1"/>
    <x v="1"/>
    <x v="6"/>
    <n v="102"/>
    <n v="0.17080000000000001"/>
  </r>
  <r>
    <x v="1"/>
    <x v="94"/>
    <x v="1"/>
    <x v="1"/>
    <x v="7"/>
    <n v="105"/>
    <n v="0.4022"/>
  </r>
  <r>
    <x v="1"/>
    <x v="94"/>
    <x v="1"/>
    <x v="1"/>
    <x v="8"/>
    <n v="99"/>
    <n v="7.4899999999999994E-2"/>
  </r>
  <r>
    <x v="1"/>
    <x v="94"/>
    <x v="1"/>
    <x v="1"/>
    <x v="9"/>
    <n v="109"/>
    <n v="0.2001"/>
  </r>
  <r>
    <x v="1"/>
    <x v="94"/>
    <x v="1"/>
    <x v="1"/>
    <x v="10"/>
    <n v="106"/>
    <n v="0.2452"/>
  </r>
  <r>
    <x v="1"/>
    <x v="94"/>
    <x v="1"/>
    <x v="1"/>
    <x v="11"/>
    <n v="111"/>
    <n v="0.31340000000000001"/>
  </r>
  <r>
    <x v="1"/>
    <x v="94"/>
    <x v="1"/>
    <x v="1"/>
    <x v="12"/>
    <n v="114"/>
    <n v="0.35270000000000001"/>
  </r>
  <r>
    <x v="1"/>
    <x v="94"/>
    <x v="1"/>
    <x v="1"/>
    <x v="13"/>
    <n v="93"/>
    <n v="0.1457"/>
  </r>
  <r>
    <x v="1"/>
    <x v="95"/>
    <x v="1"/>
    <x v="0"/>
    <x v="0"/>
    <n v="107"/>
    <n v="0.1265"/>
  </r>
  <r>
    <x v="1"/>
    <x v="95"/>
    <x v="1"/>
    <x v="0"/>
    <x v="1"/>
    <n v="100"/>
    <n v="1.4800000000000001E-2"/>
  </r>
  <r>
    <x v="1"/>
    <x v="95"/>
    <x v="1"/>
    <x v="0"/>
    <x v="2"/>
    <n v="113"/>
    <n v="3.8199999999999998E-2"/>
  </r>
  <r>
    <x v="1"/>
    <x v="95"/>
    <x v="1"/>
    <x v="0"/>
    <x v="3"/>
    <n v="108"/>
    <n v="3.04E-2"/>
  </r>
  <r>
    <x v="1"/>
    <x v="95"/>
    <x v="1"/>
    <x v="0"/>
    <x v="4"/>
    <n v="104"/>
    <n v="7.2400000000000006E-2"/>
  </r>
  <r>
    <x v="1"/>
    <x v="95"/>
    <x v="1"/>
    <x v="0"/>
    <x v="5"/>
    <n v="101"/>
    <n v="2.6100000000000002E-2"/>
  </r>
  <r>
    <x v="1"/>
    <x v="95"/>
    <x v="1"/>
    <x v="0"/>
    <x v="6"/>
    <n v="106"/>
    <n v="2.7799999999999998E-2"/>
  </r>
  <r>
    <x v="1"/>
    <x v="95"/>
    <x v="1"/>
    <x v="0"/>
    <x v="7"/>
    <n v="110"/>
    <n v="5.7299999999999997E-2"/>
  </r>
  <r>
    <x v="1"/>
    <x v="95"/>
    <x v="1"/>
    <x v="0"/>
    <x v="8"/>
    <n v="103"/>
    <n v="1.43E-2"/>
  </r>
  <r>
    <x v="1"/>
    <x v="95"/>
    <x v="1"/>
    <x v="0"/>
    <x v="9"/>
    <n v="108"/>
    <n v="2.4500000000000001E-2"/>
  </r>
  <r>
    <x v="1"/>
    <x v="95"/>
    <x v="1"/>
    <x v="0"/>
    <x v="10"/>
    <n v="99"/>
    <n v="2.7099999999999999E-2"/>
  </r>
  <r>
    <x v="1"/>
    <x v="95"/>
    <x v="1"/>
    <x v="0"/>
    <x v="11"/>
    <n v="105"/>
    <n v="3.0200000000000001E-2"/>
  </r>
  <r>
    <x v="1"/>
    <x v="95"/>
    <x v="1"/>
    <x v="0"/>
    <x v="12"/>
    <n v="106"/>
    <n v="3.2000000000000001E-2"/>
  </r>
  <r>
    <x v="1"/>
    <x v="95"/>
    <x v="1"/>
    <x v="0"/>
    <x v="13"/>
    <n v="108"/>
    <n v="2.4899999999999999E-2"/>
  </r>
  <r>
    <x v="1"/>
    <x v="96"/>
    <x v="1"/>
    <x v="0"/>
    <x v="0"/>
    <n v="109"/>
    <n v="7.4899999999999994E-2"/>
  </r>
  <r>
    <x v="1"/>
    <x v="96"/>
    <x v="1"/>
    <x v="0"/>
    <x v="1"/>
    <n v="103"/>
    <n v="5.1000000000000004E-3"/>
  </r>
  <r>
    <x v="1"/>
    <x v="96"/>
    <x v="1"/>
    <x v="0"/>
    <x v="2"/>
    <n v="112"/>
    <n v="2.3E-2"/>
  </r>
  <r>
    <x v="1"/>
    <x v="96"/>
    <x v="1"/>
    <x v="0"/>
    <x v="3"/>
    <n v="101"/>
    <n v="1.9300000000000001E-2"/>
  </r>
  <r>
    <x v="1"/>
    <x v="96"/>
    <x v="1"/>
    <x v="0"/>
    <x v="4"/>
    <n v="110"/>
    <n v="4.87E-2"/>
  </r>
  <r>
    <x v="1"/>
    <x v="96"/>
    <x v="1"/>
    <x v="0"/>
    <x v="5"/>
    <n v="111"/>
    <n v="2.46E-2"/>
  </r>
  <r>
    <x v="1"/>
    <x v="96"/>
    <x v="1"/>
    <x v="0"/>
    <x v="6"/>
    <n v="105"/>
    <n v="1.9699999999999999E-2"/>
  </r>
  <r>
    <x v="1"/>
    <x v="96"/>
    <x v="1"/>
    <x v="0"/>
    <x v="7"/>
    <n v="107"/>
    <n v="3.7400000000000003E-2"/>
  </r>
  <r>
    <x v="1"/>
    <x v="96"/>
    <x v="1"/>
    <x v="0"/>
    <x v="8"/>
    <n v="116"/>
    <n v="5.3E-3"/>
  </r>
  <r>
    <x v="1"/>
    <x v="96"/>
    <x v="1"/>
    <x v="0"/>
    <x v="9"/>
    <n v="105"/>
    <n v="1.54E-2"/>
  </r>
  <r>
    <x v="1"/>
    <x v="96"/>
    <x v="1"/>
    <x v="0"/>
    <x v="10"/>
    <n v="109"/>
    <n v="2.58E-2"/>
  </r>
  <r>
    <x v="1"/>
    <x v="96"/>
    <x v="1"/>
    <x v="0"/>
    <x v="11"/>
    <n v="112"/>
    <n v="2.8299999999999999E-2"/>
  </r>
  <r>
    <x v="1"/>
    <x v="96"/>
    <x v="1"/>
    <x v="0"/>
    <x v="12"/>
    <n v="113"/>
    <n v="2.9100000000000001E-2"/>
  </r>
  <r>
    <x v="1"/>
    <x v="96"/>
    <x v="1"/>
    <x v="0"/>
    <x v="13"/>
    <n v="103"/>
    <n v="1.3100000000000001E-2"/>
  </r>
  <r>
    <x v="1"/>
    <x v="97"/>
    <x v="1"/>
    <x v="0"/>
    <x v="0"/>
    <n v="108"/>
    <n v="0.14899999999999999"/>
  </r>
  <r>
    <x v="1"/>
    <x v="97"/>
    <x v="1"/>
    <x v="0"/>
    <x v="1"/>
    <n v="95"/>
    <n v="1.8200000000000001E-2"/>
  </r>
  <r>
    <x v="1"/>
    <x v="97"/>
    <x v="1"/>
    <x v="0"/>
    <x v="2"/>
    <n v="110"/>
    <n v="5.5300000000000002E-2"/>
  </r>
  <r>
    <x v="1"/>
    <x v="97"/>
    <x v="1"/>
    <x v="0"/>
    <x v="3"/>
    <n v="113"/>
    <n v="4.5600000000000002E-2"/>
  </r>
  <r>
    <x v="1"/>
    <x v="97"/>
    <x v="1"/>
    <x v="0"/>
    <x v="4"/>
    <n v="111"/>
    <n v="0.1008"/>
  </r>
  <r>
    <x v="1"/>
    <x v="97"/>
    <x v="1"/>
    <x v="0"/>
    <x v="5"/>
    <n v="113"/>
    <n v="0.04"/>
  </r>
  <r>
    <x v="1"/>
    <x v="97"/>
    <x v="1"/>
    <x v="0"/>
    <x v="6"/>
    <n v="105"/>
    <n v="3.73E-2"/>
  </r>
  <r>
    <x v="1"/>
    <x v="97"/>
    <x v="1"/>
    <x v="0"/>
    <x v="7"/>
    <n v="104"/>
    <n v="7.3800000000000004E-2"/>
  </r>
  <r>
    <x v="1"/>
    <x v="97"/>
    <x v="1"/>
    <x v="0"/>
    <x v="8"/>
    <n v="99"/>
    <n v="1.7399999999999999E-2"/>
  </r>
  <r>
    <x v="1"/>
    <x v="97"/>
    <x v="1"/>
    <x v="0"/>
    <x v="9"/>
    <n v="114"/>
    <n v="3.6299999999999999E-2"/>
  </r>
  <r>
    <x v="1"/>
    <x v="97"/>
    <x v="1"/>
    <x v="0"/>
    <x v="10"/>
    <n v="107"/>
    <n v="4.4400000000000002E-2"/>
  </r>
  <r>
    <x v="1"/>
    <x v="97"/>
    <x v="1"/>
    <x v="0"/>
    <x v="11"/>
    <n v="112"/>
    <n v="5.0799999999999998E-2"/>
  </r>
  <r>
    <x v="1"/>
    <x v="97"/>
    <x v="1"/>
    <x v="0"/>
    <x v="12"/>
    <n v="112"/>
    <n v="5.3800000000000001E-2"/>
  </r>
  <r>
    <x v="1"/>
    <x v="97"/>
    <x v="1"/>
    <x v="0"/>
    <x v="13"/>
    <n v="96"/>
    <n v="3.0099999999999998E-2"/>
  </r>
  <r>
    <x v="1"/>
    <x v="98"/>
    <x v="1"/>
    <x v="0"/>
    <x v="0"/>
    <n v="86"/>
    <n v="5.4300000000000001E-2"/>
  </r>
  <r>
    <x v="1"/>
    <x v="98"/>
    <x v="1"/>
    <x v="0"/>
    <x v="1"/>
    <n v="93"/>
    <n v="3.0999999999999999E-3"/>
  </r>
  <r>
    <x v="1"/>
    <x v="98"/>
    <x v="1"/>
    <x v="0"/>
    <x v="2"/>
    <n v="87"/>
    <n v="1.26E-2"/>
  </r>
  <r>
    <x v="1"/>
    <x v="98"/>
    <x v="1"/>
    <x v="0"/>
    <x v="3"/>
    <n v="99"/>
    <n v="9.7999999999999997E-3"/>
  </r>
  <r>
    <x v="1"/>
    <x v="98"/>
    <x v="1"/>
    <x v="0"/>
    <x v="4"/>
    <n v="86"/>
    <n v="3.61E-2"/>
  </r>
  <r>
    <x v="1"/>
    <x v="98"/>
    <x v="1"/>
    <x v="0"/>
    <x v="5"/>
    <n v="92"/>
    <n v="7.7000000000000002E-3"/>
  </r>
  <r>
    <x v="1"/>
    <x v="98"/>
    <x v="1"/>
    <x v="0"/>
    <x v="6"/>
    <n v="89"/>
    <n v="8.6999999999999994E-3"/>
  </r>
  <r>
    <x v="1"/>
    <x v="98"/>
    <x v="1"/>
    <x v="0"/>
    <x v="7"/>
    <n v="83"/>
    <n v="2.3199999999999998E-2"/>
  </r>
  <r>
    <x v="1"/>
    <x v="98"/>
    <x v="1"/>
    <x v="0"/>
    <x v="8"/>
    <n v="90"/>
    <n v="3.3E-3"/>
  </r>
  <r>
    <x v="1"/>
    <x v="98"/>
    <x v="1"/>
    <x v="0"/>
    <x v="9"/>
    <n v="108"/>
    <n v="6.1999999999999998E-3"/>
  </r>
  <r>
    <x v="1"/>
    <x v="98"/>
    <x v="1"/>
    <x v="0"/>
    <x v="10"/>
    <n v="82"/>
    <n v="9.9000000000000008E-3"/>
  </r>
  <r>
    <x v="1"/>
    <x v="98"/>
    <x v="1"/>
    <x v="0"/>
    <x v="11"/>
    <n v="85"/>
    <n v="1.41E-2"/>
  </r>
  <r>
    <x v="1"/>
    <x v="98"/>
    <x v="1"/>
    <x v="0"/>
    <x v="12"/>
    <n v="87"/>
    <n v="1.72E-2"/>
  </r>
  <r>
    <x v="1"/>
    <x v="98"/>
    <x v="1"/>
    <x v="0"/>
    <x v="13"/>
    <n v="92"/>
    <n v="6.1000000000000004E-3"/>
  </r>
  <r>
    <x v="1"/>
    <x v="99"/>
    <x v="1"/>
    <x v="0"/>
    <x v="0"/>
    <n v="109"/>
    <n v="8.1900000000000001E-2"/>
  </r>
  <r>
    <x v="1"/>
    <x v="99"/>
    <x v="1"/>
    <x v="0"/>
    <x v="1"/>
    <n v="99"/>
    <n v="9.9000000000000008E-3"/>
  </r>
  <r>
    <x v="1"/>
    <x v="99"/>
    <x v="1"/>
    <x v="0"/>
    <x v="2"/>
    <n v="113"/>
    <n v="2.9700000000000001E-2"/>
  </r>
  <r>
    <x v="1"/>
    <x v="99"/>
    <x v="1"/>
    <x v="0"/>
    <x v="3"/>
    <n v="115"/>
    <n v="2.5000000000000001E-2"/>
  </r>
  <r>
    <x v="1"/>
    <x v="99"/>
    <x v="1"/>
    <x v="0"/>
    <x v="4"/>
    <n v="113"/>
    <n v="5.67E-2"/>
  </r>
  <r>
    <x v="1"/>
    <x v="99"/>
    <x v="1"/>
    <x v="0"/>
    <x v="5"/>
    <n v="108"/>
    <n v="2.1499999999999998E-2"/>
  </r>
  <r>
    <x v="1"/>
    <x v="99"/>
    <x v="1"/>
    <x v="0"/>
    <x v="6"/>
    <n v="98"/>
    <n v="1.9E-2"/>
  </r>
  <r>
    <x v="1"/>
    <x v="99"/>
    <x v="1"/>
    <x v="0"/>
    <x v="7"/>
    <n v="105"/>
    <n v="3.4200000000000001E-2"/>
  </r>
  <r>
    <x v="1"/>
    <x v="99"/>
    <x v="1"/>
    <x v="0"/>
    <x v="8"/>
    <n v="98"/>
    <n v="8.8999999999999999E-3"/>
  </r>
  <r>
    <x v="1"/>
    <x v="99"/>
    <x v="1"/>
    <x v="0"/>
    <x v="9"/>
    <n v="116"/>
    <n v="2.01E-2"/>
  </r>
  <r>
    <x v="1"/>
    <x v="99"/>
    <x v="1"/>
    <x v="0"/>
    <x v="10"/>
    <n v="114"/>
    <n v="2.47E-2"/>
  </r>
  <r>
    <x v="1"/>
    <x v="99"/>
    <x v="1"/>
    <x v="0"/>
    <x v="11"/>
    <n v="113"/>
    <n v="2.87E-2"/>
  </r>
  <r>
    <x v="1"/>
    <x v="99"/>
    <x v="1"/>
    <x v="0"/>
    <x v="12"/>
    <n v="114"/>
    <n v="3.1600000000000003E-2"/>
  </r>
  <r>
    <x v="1"/>
    <x v="99"/>
    <x v="1"/>
    <x v="0"/>
    <x v="13"/>
    <n v="97"/>
    <n v="1.52E-2"/>
  </r>
  <r>
    <x v="1"/>
    <x v="100"/>
    <x v="1"/>
    <x v="0"/>
    <x v="0"/>
    <n v="120"/>
    <n v="6.9400000000000003E-2"/>
  </r>
  <r>
    <x v="1"/>
    <x v="100"/>
    <x v="1"/>
    <x v="0"/>
    <x v="1"/>
    <n v="136"/>
    <n v="7.6E-3"/>
  </r>
  <r>
    <x v="1"/>
    <x v="100"/>
    <x v="1"/>
    <x v="0"/>
    <x v="2"/>
    <n v="132"/>
    <n v="2.4799999999999999E-2"/>
  </r>
  <r>
    <x v="1"/>
    <x v="100"/>
    <x v="1"/>
    <x v="0"/>
    <x v="3"/>
    <n v="124"/>
    <n v="1.9599999999999999E-2"/>
  </r>
  <r>
    <x v="1"/>
    <x v="100"/>
    <x v="1"/>
    <x v="0"/>
    <x v="4"/>
    <n v="116"/>
    <n v="4.2099999999999999E-2"/>
  </r>
  <r>
    <x v="1"/>
    <x v="100"/>
    <x v="1"/>
    <x v="0"/>
    <x v="5"/>
    <n v="107"/>
    <n v="1.34E-2"/>
  </r>
  <r>
    <x v="1"/>
    <x v="100"/>
    <x v="1"/>
    <x v="0"/>
    <x v="6"/>
    <n v="115"/>
    <n v="1.3899999999999999E-2"/>
  </r>
  <r>
    <x v="1"/>
    <x v="100"/>
    <x v="1"/>
    <x v="0"/>
    <x v="7"/>
    <n v="113"/>
    <n v="3.32E-2"/>
  </r>
  <r>
    <x v="1"/>
    <x v="100"/>
    <x v="1"/>
    <x v="0"/>
    <x v="8"/>
    <n v="132"/>
    <n v="6.7999999999999996E-3"/>
  </r>
  <r>
    <x v="1"/>
    <x v="100"/>
    <x v="1"/>
    <x v="0"/>
    <x v="9"/>
    <n v="126"/>
    <n v="1.47E-2"/>
  </r>
  <r>
    <x v="1"/>
    <x v="100"/>
    <x v="1"/>
    <x v="0"/>
    <x v="10"/>
    <n v="114"/>
    <n v="1.3599999999999999E-2"/>
  </r>
  <r>
    <x v="1"/>
    <x v="100"/>
    <x v="1"/>
    <x v="0"/>
    <x v="11"/>
    <n v="115"/>
    <n v="1.6E-2"/>
  </r>
  <r>
    <x v="1"/>
    <x v="100"/>
    <x v="1"/>
    <x v="0"/>
    <x v="12"/>
    <n v="120"/>
    <n v="1.9599999999999999E-2"/>
  </r>
  <r>
    <x v="1"/>
    <x v="100"/>
    <x v="1"/>
    <x v="0"/>
    <x v="13"/>
    <n v="127"/>
    <n v="1.35E-2"/>
  </r>
  <r>
    <x v="0"/>
    <x v="102"/>
    <x v="1"/>
    <x v="0"/>
    <x v="0"/>
    <n v="92"/>
    <n v="0.27689999999999998"/>
  </r>
  <r>
    <x v="0"/>
    <x v="102"/>
    <x v="1"/>
    <x v="0"/>
    <x v="1"/>
    <n v="96"/>
    <n v="3.5099999999999999E-2"/>
  </r>
  <r>
    <x v="0"/>
    <x v="102"/>
    <x v="1"/>
    <x v="0"/>
    <x v="2"/>
    <n v="96"/>
    <n v="9.9000000000000005E-2"/>
  </r>
  <r>
    <x v="0"/>
    <x v="102"/>
    <x v="1"/>
    <x v="0"/>
    <x v="3"/>
    <n v="92"/>
    <n v="8.7499999999999994E-2"/>
  </r>
  <r>
    <x v="0"/>
    <x v="102"/>
    <x v="1"/>
    <x v="0"/>
    <x v="4"/>
    <n v="89"/>
    <n v="0.20169999999999999"/>
  </r>
  <r>
    <x v="0"/>
    <x v="102"/>
    <x v="1"/>
    <x v="0"/>
    <x v="5"/>
    <n v="91"/>
    <n v="7.3099999999999998E-2"/>
  </r>
  <r>
    <x v="0"/>
    <x v="102"/>
    <x v="1"/>
    <x v="0"/>
    <x v="6"/>
    <n v="96"/>
    <n v="6.6799999999999998E-2"/>
  </r>
  <r>
    <x v="0"/>
    <x v="102"/>
    <x v="1"/>
    <x v="0"/>
    <x v="7"/>
    <n v="91"/>
    <n v="0.1295"/>
  </r>
  <r>
    <x v="0"/>
    <x v="102"/>
    <x v="1"/>
    <x v="0"/>
    <x v="8"/>
    <n v="100"/>
    <n v="3.0800000000000001E-2"/>
  </r>
  <r>
    <x v="0"/>
    <x v="102"/>
    <x v="1"/>
    <x v="0"/>
    <x v="9"/>
    <n v="93"/>
    <n v="6.8199999999999997E-2"/>
  </r>
  <r>
    <x v="0"/>
    <x v="102"/>
    <x v="1"/>
    <x v="0"/>
    <x v="10"/>
    <n v="88"/>
    <n v="8.8499999999999995E-2"/>
  </r>
  <r>
    <x v="0"/>
    <x v="102"/>
    <x v="1"/>
    <x v="0"/>
    <x v="11"/>
    <n v="89"/>
    <n v="0.1047"/>
  </r>
  <r>
    <x v="0"/>
    <x v="102"/>
    <x v="1"/>
    <x v="0"/>
    <x v="12"/>
    <n v="90"/>
    <n v="0.1129"/>
  </r>
  <r>
    <x v="0"/>
    <x v="102"/>
    <x v="1"/>
    <x v="0"/>
    <x v="13"/>
    <n v="96"/>
    <n v="5.4300000000000001E-2"/>
  </r>
  <r>
    <x v="0"/>
    <x v="103"/>
    <x v="1"/>
    <x v="0"/>
    <x v="0"/>
    <n v="100"/>
    <n v="0.3916"/>
  </r>
  <r>
    <x v="0"/>
    <x v="103"/>
    <x v="1"/>
    <x v="0"/>
    <x v="1"/>
    <n v="98"/>
    <n v="4.8300000000000003E-2"/>
  </r>
  <r>
    <x v="0"/>
    <x v="103"/>
    <x v="1"/>
    <x v="0"/>
    <x v="2"/>
    <n v="100"/>
    <n v="0.1389"/>
  </r>
  <r>
    <x v="0"/>
    <x v="103"/>
    <x v="1"/>
    <x v="0"/>
    <x v="3"/>
    <n v="106"/>
    <n v="0.1381"/>
  </r>
  <r>
    <x v="0"/>
    <x v="103"/>
    <x v="1"/>
    <x v="0"/>
    <x v="4"/>
    <n v="101"/>
    <n v="0.29320000000000002"/>
  </r>
  <r>
    <x v="0"/>
    <x v="103"/>
    <x v="1"/>
    <x v="0"/>
    <x v="5"/>
    <n v="91"/>
    <n v="0.1178"/>
  </r>
  <r>
    <x v="0"/>
    <x v="103"/>
    <x v="1"/>
    <x v="0"/>
    <x v="6"/>
    <n v="90"/>
    <n v="9.5799999999999996E-2"/>
  </r>
  <r>
    <x v="0"/>
    <x v="103"/>
    <x v="1"/>
    <x v="0"/>
    <x v="7"/>
    <n v="95"/>
    <n v="0.2051"/>
  </r>
  <r>
    <x v="0"/>
    <x v="103"/>
    <x v="1"/>
    <x v="0"/>
    <x v="8"/>
    <n v="95"/>
    <n v="4.2000000000000003E-2"/>
  </r>
  <r>
    <x v="0"/>
    <x v="103"/>
    <x v="1"/>
    <x v="0"/>
    <x v="9"/>
    <n v="105"/>
    <n v="0.1111"/>
  </r>
  <r>
    <x v="0"/>
    <x v="103"/>
    <x v="1"/>
    <x v="0"/>
    <x v="10"/>
    <n v="94"/>
    <n v="0.1376"/>
  </r>
  <r>
    <x v="0"/>
    <x v="103"/>
    <x v="1"/>
    <x v="0"/>
    <x v="11"/>
    <n v="97"/>
    <n v="0.16450000000000001"/>
  </r>
  <r>
    <x v="0"/>
    <x v="103"/>
    <x v="1"/>
    <x v="0"/>
    <x v="12"/>
    <n v="101"/>
    <n v="0.1759"/>
  </r>
  <r>
    <x v="0"/>
    <x v="103"/>
    <x v="1"/>
    <x v="0"/>
    <x v="13"/>
    <n v="97"/>
    <n v="7.6799999999999993E-2"/>
  </r>
  <r>
    <x v="1"/>
    <x v="104"/>
    <x v="1"/>
    <x v="0"/>
    <x v="0"/>
    <n v="37"/>
    <n v="0.25419999999999998"/>
  </r>
  <r>
    <x v="1"/>
    <x v="104"/>
    <x v="1"/>
    <x v="0"/>
    <x v="1"/>
    <n v="37"/>
    <n v="2.81E-2"/>
  </r>
  <r>
    <x v="1"/>
    <x v="104"/>
    <x v="1"/>
    <x v="0"/>
    <x v="2"/>
    <n v="42"/>
    <n v="7.4999999999999997E-2"/>
  </r>
  <r>
    <x v="1"/>
    <x v="104"/>
    <x v="1"/>
    <x v="0"/>
    <x v="3"/>
    <n v="35"/>
    <n v="4.9099999999999998E-2"/>
  </r>
  <r>
    <x v="1"/>
    <x v="104"/>
    <x v="1"/>
    <x v="0"/>
    <x v="4"/>
    <n v="34"/>
    <n v="0.1527"/>
  </r>
  <r>
    <x v="1"/>
    <x v="104"/>
    <x v="1"/>
    <x v="0"/>
    <x v="5"/>
    <n v="41"/>
    <n v="3.8600000000000002E-2"/>
  </r>
  <r>
    <x v="1"/>
    <x v="104"/>
    <x v="1"/>
    <x v="0"/>
    <x v="6"/>
    <n v="51"/>
    <n v="3.7199999999999997E-2"/>
  </r>
  <r>
    <x v="1"/>
    <x v="104"/>
    <x v="1"/>
    <x v="0"/>
    <x v="7"/>
    <n v="39"/>
    <n v="0.11650000000000001"/>
  </r>
  <r>
    <x v="1"/>
    <x v="104"/>
    <x v="1"/>
    <x v="0"/>
    <x v="8"/>
    <n v="45"/>
    <n v="1.6400000000000001E-2"/>
  </r>
  <r>
    <x v="1"/>
    <x v="104"/>
    <x v="1"/>
    <x v="0"/>
    <x v="9"/>
    <n v="36"/>
    <n v="3.73E-2"/>
  </r>
  <r>
    <x v="1"/>
    <x v="104"/>
    <x v="1"/>
    <x v="0"/>
    <x v="10"/>
    <n v="34"/>
    <n v="4.3099999999999999E-2"/>
  </r>
  <r>
    <x v="1"/>
    <x v="104"/>
    <x v="1"/>
    <x v="0"/>
    <x v="11"/>
    <n v="35"/>
    <n v="5.5300000000000002E-2"/>
  </r>
  <r>
    <x v="1"/>
    <x v="104"/>
    <x v="1"/>
    <x v="0"/>
    <x v="12"/>
    <n v="33"/>
    <n v="5.9200000000000003E-2"/>
  </r>
  <r>
    <x v="1"/>
    <x v="104"/>
    <x v="1"/>
    <x v="0"/>
    <x v="13"/>
    <n v="39"/>
    <n v="4.0899999999999999E-2"/>
  </r>
  <r>
    <x v="0"/>
    <x v="105"/>
    <x v="1"/>
    <x v="0"/>
    <x v="0"/>
    <n v="109"/>
    <n v="0.35799999999999998"/>
  </r>
  <r>
    <x v="0"/>
    <x v="105"/>
    <x v="1"/>
    <x v="0"/>
    <x v="1"/>
    <n v="105"/>
    <n v="4.9000000000000002E-2"/>
  </r>
  <r>
    <x v="0"/>
    <x v="105"/>
    <x v="1"/>
    <x v="0"/>
    <x v="2"/>
    <n v="111"/>
    <n v="0.15809999999999999"/>
  </r>
  <r>
    <x v="0"/>
    <x v="105"/>
    <x v="1"/>
    <x v="0"/>
    <x v="3"/>
    <n v="107"/>
    <n v="0.1424"/>
  </r>
  <r>
    <x v="0"/>
    <x v="105"/>
    <x v="1"/>
    <x v="0"/>
    <x v="4"/>
    <n v="110"/>
    <n v="0.27829999999999999"/>
  </r>
  <r>
    <x v="0"/>
    <x v="105"/>
    <x v="1"/>
    <x v="0"/>
    <x v="5"/>
    <n v="105"/>
    <n v="0.1144"/>
  </r>
  <r>
    <x v="0"/>
    <x v="105"/>
    <x v="1"/>
    <x v="0"/>
    <x v="6"/>
    <n v="101"/>
    <n v="9.2399999999999996E-2"/>
  </r>
  <r>
    <x v="0"/>
    <x v="105"/>
    <x v="1"/>
    <x v="0"/>
    <x v="7"/>
    <n v="109"/>
    <n v="0.19539999999999999"/>
  </r>
  <r>
    <x v="0"/>
    <x v="105"/>
    <x v="1"/>
    <x v="0"/>
    <x v="8"/>
    <n v="102"/>
    <n v="3.9E-2"/>
  </r>
  <r>
    <x v="0"/>
    <x v="105"/>
    <x v="1"/>
    <x v="0"/>
    <x v="9"/>
    <n v="108"/>
    <n v="0.11600000000000001"/>
  </r>
  <r>
    <x v="0"/>
    <x v="105"/>
    <x v="1"/>
    <x v="0"/>
    <x v="10"/>
    <n v="107"/>
    <n v="0.1401"/>
  </r>
  <r>
    <x v="0"/>
    <x v="105"/>
    <x v="1"/>
    <x v="0"/>
    <x v="11"/>
    <n v="110"/>
    <n v="0.1731"/>
  </r>
  <r>
    <x v="0"/>
    <x v="105"/>
    <x v="1"/>
    <x v="0"/>
    <x v="12"/>
    <n v="112"/>
    <n v="0.18579999999999999"/>
  </r>
  <r>
    <x v="0"/>
    <x v="105"/>
    <x v="1"/>
    <x v="0"/>
    <x v="13"/>
    <n v="105"/>
    <n v="7.4800000000000005E-2"/>
  </r>
  <r>
    <x v="1"/>
    <x v="106"/>
    <x v="1"/>
    <x v="0"/>
    <x v="0"/>
    <n v="107"/>
    <n v="3.7400000000000003E-2"/>
  </r>
  <r>
    <x v="1"/>
    <x v="106"/>
    <x v="1"/>
    <x v="0"/>
    <x v="1"/>
    <n v="96"/>
    <n v="7.1999999999999998E-3"/>
  </r>
  <r>
    <x v="1"/>
    <x v="106"/>
    <x v="1"/>
    <x v="0"/>
    <x v="2"/>
    <n v="105"/>
    <n v="1.84E-2"/>
  </r>
  <r>
    <x v="1"/>
    <x v="106"/>
    <x v="1"/>
    <x v="0"/>
    <x v="3"/>
    <n v="111"/>
    <n v="1.6199999999999999E-2"/>
  </r>
  <r>
    <x v="1"/>
    <x v="106"/>
    <x v="1"/>
    <x v="0"/>
    <x v="4"/>
    <n v="110"/>
    <n v="2.7199999999999998E-2"/>
  </r>
  <r>
    <x v="1"/>
    <x v="106"/>
    <x v="1"/>
    <x v="0"/>
    <x v="5"/>
    <n v="106"/>
    <n v="1.4E-2"/>
  </r>
  <r>
    <x v="1"/>
    <x v="106"/>
    <x v="1"/>
    <x v="0"/>
    <x v="6"/>
    <n v="99"/>
    <n v="1.1900000000000001E-2"/>
  </r>
  <r>
    <x v="1"/>
    <x v="106"/>
    <x v="1"/>
    <x v="0"/>
    <x v="7"/>
    <n v="108"/>
    <n v="2.1499999999999998E-2"/>
  </r>
  <r>
    <x v="1"/>
    <x v="106"/>
    <x v="1"/>
    <x v="0"/>
    <x v="8"/>
    <n v="96"/>
    <n v="5.4999999999999997E-3"/>
  </r>
  <r>
    <x v="1"/>
    <x v="106"/>
    <x v="1"/>
    <x v="0"/>
    <x v="9"/>
    <n v="114"/>
    <n v="1.44E-2"/>
  </r>
  <r>
    <x v="1"/>
    <x v="106"/>
    <x v="1"/>
    <x v="0"/>
    <x v="10"/>
    <n v="110"/>
    <n v="1.61E-2"/>
  </r>
  <r>
    <x v="1"/>
    <x v="106"/>
    <x v="1"/>
    <x v="0"/>
    <x v="11"/>
    <n v="111"/>
    <n v="1.72E-2"/>
  </r>
  <r>
    <x v="1"/>
    <x v="106"/>
    <x v="1"/>
    <x v="0"/>
    <x v="12"/>
    <n v="108"/>
    <n v="1.8499999999999999E-2"/>
  </r>
  <r>
    <x v="1"/>
    <x v="106"/>
    <x v="1"/>
    <x v="0"/>
    <x v="13"/>
    <n v="94"/>
    <n v="9.4999999999999998E-3"/>
  </r>
  <r>
    <x v="0"/>
    <x v="107"/>
    <x v="1"/>
    <x v="0"/>
    <x v="0"/>
    <n v="95"/>
    <n v="0.26879999999999998"/>
  </r>
  <r>
    <x v="0"/>
    <x v="107"/>
    <x v="1"/>
    <x v="0"/>
    <x v="1"/>
    <n v="101"/>
    <n v="4.2599999999999999E-2"/>
  </r>
  <r>
    <x v="0"/>
    <x v="107"/>
    <x v="1"/>
    <x v="0"/>
    <x v="2"/>
    <n v="98"/>
    <n v="0.11509999999999999"/>
  </r>
  <r>
    <x v="0"/>
    <x v="107"/>
    <x v="1"/>
    <x v="0"/>
    <x v="3"/>
    <n v="93"/>
    <n v="9.4E-2"/>
  </r>
  <r>
    <x v="0"/>
    <x v="107"/>
    <x v="1"/>
    <x v="0"/>
    <x v="4"/>
    <n v="95"/>
    <n v="0.19400000000000001"/>
  </r>
  <r>
    <x v="0"/>
    <x v="107"/>
    <x v="1"/>
    <x v="0"/>
    <x v="5"/>
    <n v="97"/>
    <n v="8.09E-2"/>
  </r>
  <r>
    <x v="0"/>
    <x v="107"/>
    <x v="1"/>
    <x v="0"/>
    <x v="6"/>
    <n v="97"/>
    <n v="7.1199999999999999E-2"/>
  </r>
  <r>
    <x v="0"/>
    <x v="107"/>
    <x v="1"/>
    <x v="0"/>
    <x v="7"/>
    <n v="92"/>
    <n v="0.13059999999999999"/>
  </r>
  <r>
    <x v="0"/>
    <x v="107"/>
    <x v="1"/>
    <x v="0"/>
    <x v="8"/>
    <n v="94"/>
    <n v="3.44E-2"/>
  </r>
  <r>
    <x v="0"/>
    <x v="107"/>
    <x v="1"/>
    <x v="0"/>
    <x v="9"/>
    <n v="92"/>
    <n v="7.4200000000000002E-2"/>
  </r>
  <r>
    <x v="0"/>
    <x v="107"/>
    <x v="1"/>
    <x v="0"/>
    <x v="10"/>
    <n v="95"/>
    <n v="9.7699999999999995E-2"/>
  </r>
  <r>
    <x v="0"/>
    <x v="107"/>
    <x v="1"/>
    <x v="0"/>
    <x v="11"/>
    <n v="96"/>
    <n v="0.1149"/>
  </r>
  <r>
    <x v="0"/>
    <x v="107"/>
    <x v="1"/>
    <x v="0"/>
    <x v="12"/>
    <n v="94"/>
    <n v="0.1186"/>
  </r>
  <r>
    <x v="0"/>
    <x v="107"/>
    <x v="1"/>
    <x v="0"/>
    <x v="13"/>
    <n v="97"/>
    <n v="6.3200000000000006E-2"/>
  </r>
  <r>
    <x v="1"/>
    <x v="108"/>
    <x v="1"/>
    <x v="0"/>
    <x v="0"/>
    <n v="85"/>
    <n v="9.7799999999999998E-2"/>
  </r>
  <r>
    <x v="1"/>
    <x v="108"/>
    <x v="1"/>
    <x v="0"/>
    <x v="1"/>
    <n v="76"/>
    <n v="1.21E-2"/>
  </r>
  <r>
    <x v="1"/>
    <x v="108"/>
    <x v="1"/>
    <x v="0"/>
    <x v="2"/>
    <n v="85"/>
    <n v="3.4500000000000003E-2"/>
  </r>
  <r>
    <x v="1"/>
    <x v="108"/>
    <x v="1"/>
    <x v="0"/>
    <x v="3"/>
    <n v="82"/>
    <n v="2.8000000000000001E-2"/>
  </r>
  <r>
    <x v="1"/>
    <x v="108"/>
    <x v="1"/>
    <x v="0"/>
    <x v="4"/>
    <n v="87"/>
    <n v="6.3E-2"/>
  </r>
  <r>
    <x v="1"/>
    <x v="108"/>
    <x v="1"/>
    <x v="0"/>
    <x v="5"/>
    <n v="85"/>
    <n v="2.2100000000000002E-2"/>
  </r>
  <r>
    <x v="1"/>
    <x v="108"/>
    <x v="1"/>
    <x v="0"/>
    <x v="6"/>
    <n v="79"/>
    <n v="2.1399999999999999E-2"/>
  </r>
  <r>
    <x v="1"/>
    <x v="108"/>
    <x v="1"/>
    <x v="0"/>
    <x v="7"/>
    <n v="87"/>
    <n v="5.04E-2"/>
  </r>
  <r>
    <x v="1"/>
    <x v="108"/>
    <x v="1"/>
    <x v="0"/>
    <x v="8"/>
    <n v="76"/>
    <n v="9.5999999999999992E-3"/>
  </r>
  <r>
    <x v="1"/>
    <x v="108"/>
    <x v="1"/>
    <x v="0"/>
    <x v="9"/>
    <n v="83"/>
    <n v="2.23E-2"/>
  </r>
  <r>
    <x v="1"/>
    <x v="108"/>
    <x v="1"/>
    <x v="0"/>
    <x v="10"/>
    <n v="84"/>
    <n v="2.29E-2"/>
  </r>
  <r>
    <x v="1"/>
    <x v="108"/>
    <x v="1"/>
    <x v="0"/>
    <x v="11"/>
    <n v="85"/>
    <n v="2.7199999999999998E-2"/>
  </r>
  <r>
    <x v="1"/>
    <x v="108"/>
    <x v="1"/>
    <x v="0"/>
    <x v="12"/>
    <n v="89"/>
    <n v="3.1899999999999998E-2"/>
  </r>
  <r>
    <x v="1"/>
    <x v="108"/>
    <x v="1"/>
    <x v="0"/>
    <x v="13"/>
    <n v="75"/>
    <n v="1.9099999999999999E-2"/>
  </r>
  <r>
    <x v="0"/>
    <x v="109"/>
    <x v="1"/>
    <x v="0"/>
    <x v="0"/>
    <n v="117"/>
    <n v="0.24859999999999999"/>
  </r>
  <r>
    <x v="0"/>
    <x v="109"/>
    <x v="1"/>
    <x v="0"/>
    <x v="1"/>
    <n v="116"/>
    <n v="6.6199999999999995E-2"/>
  </r>
  <r>
    <x v="0"/>
    <x v="109"/>
    <x v="1"/>
    <x v="0"/>
    <x v="2"/>
    <n v="118"/>
    <n v="0.1288"/>
  </r>
  <r>
    <x v="0"/>
    <x v="109"/>
    <x v="1"/>
    <x v="0"/>
    <x v="3"/>
    <n v="116"/>
    <n v="9.0899999999999995E-2"/>
  </r>
  <r>
    <x v="0"/>
    <x v="109"/>
    <x v="1"/>
    <x v="0"/>
    <x v="4"/>
    <n v="118"/>
    <n v="0.16500000000000001"/>
  </r>
  <r>
    <x v="0"/>
    <x v="109"/>
    <x v="1"/>
    <x v="0"/>
    <x v="5"/>
    <n v="125"/>
    <n v="6.4299999999999996E-2"/>
  </r>
  <r>
    <x v="0"/>
    <x v="109"/>
    <x v="1"/>
    <x v="0"/>
    <x v="6"/>
    <n v="113"/>
    <n v="6.59E-2"/>
  </r>
  <r>
    <x v="0"/>
    <x v="109"/>
    <x v="1"/>
    <x v="0"/>
    <x v="7"/>
    <n v="115"/>
    <n v="0.1439"/>
  </r>
  <r>
    <x v="0"/>
    <x v="109"/>
    <x v="1"/>
    <x v="0"/>
    <x v="8"/>
    <n v="114"/>
    <n v="4.41E-2"/>
  </r>
  <r>
    <x v="0"/>
    <x v="109"/>
    <x v="1"/>
    <x v="0"/>
    <x v="9"/>
    <n v="116"/>
    <n v="7.6700000000000004E-2"/>
  </r>
  <r>
    <x v="0"/>
    <x v="109"/>
    <x v="1"/>
    <x v="0"/>
    <x v="10"/>
    <n v="123"/>
    <n v="7.1900000000000006E-2"/>
  </r>
  <r>
    <x v="0"/>
    <x v="109"/>
    <x v="1"/>
    <x v="0"/>
    <x v="11"/>
    <n v="121"/>
    <n v="8.1000000000000003E-2"/>
  </r>
  <r>
    <x v="0"/>
    <x v="109"/>
    <x v="1"/>
    <x v="0"/>
    <x v="12"/>
    <n v="116"/>
    <n v="8.6400000000000005E-2"/>
  </r>
  <r>
    <x v="0"/>
    <x v="109"/>
    <x v="1"/>
    <x v="0"/>
    <x v="13"/>
    <n v="116"/>
    <n v="8.3900000000000002E-2"/>
  </r>
  <r>
    <x v="0"/>
    <x v="110"/>
    <x v="1"/>
    <x v="0"/>
    <x v="0"/>
    <n v="49"/>
    <n v="2.01E-2"/>
  </r>
  <r>
    <x v="0"/>
    <x v="110"/>
    <x v="1"/>
    <x v="0"/>
    <x v="1"/>
    <n v="111"/>
    <n v="1.2999999999999999E-3"/>
  </r>
  <r>
    <x v="0"/>
    <x v="110"/>
    <x v="1"/>
    <x v="0"/>
    <x v="2"/>
    <n v="38"/>
    <n v="5.4999999999999997E-3"/>
  </r>
  <r>
    <x v="0"/>
    <x v="110"/>
    <x v="1"/>
    <x v="0"/>
    <x v="3"/>
    <n v="72"/>
    <n v="3.5000000000000001E-3"/>
  </r>
  <r>
    <x v="0"/>
    <x v="110"/>
    <x v="1"/>
    <x v="0"/>
    <x v="4"/>
    <n v="57"/>
    <n v="1.0800000000000001E-2"/>
  </r>
  <r>
    <x v="0"/>
    <x v="110"/>
    <x v="1"/>
    <x v="0"/>
    <x v="5"/>
    <n v="38"/>
    <n v="2.7000000000000001E-3"/>
  </r>
  <r>
    <x v="0"/>
    <x v="110"/>
    <x v="1"/>
    <x v="0"/>
    <x v="6"/>
    <n v="47"/>
    <n v="3.5000000000000001E-3"/>
  </r>
  <r>
    <x v="0"/>
    <x v="110"/>
    <x v="1"/>
    <x v="0"/>
    <x v="7"/>
    <n v="37"/>
    <n v="7.0000000000000001E-3"/>
  </r>
  <r>
    <x v="0"/>
    <x v="110"/>
    <x v="1"/>
    <x v="0"/>
    <x v="8"/>
    <n v="74"/>
    <n v="1.5E-3"/>
  </r>
  <r>
    <x v="0"/>
    <x v="110"/>
    <x v="1"/>
    <x v="0"/>
    <x v="9"/>
    <n v="65"/>
    <n v="2.7000000000000001E-3"/>
  </r>
  <r>
    <x v="0"/>
    <x v="110"/>
    <x v="1"/>
    <x v="0"/>
    <x v="10"/>
    <n v="59"/>
    <n v="2.5000000000000001E-3"/>
  </r>
  <r>
    <x v="0"/>
    <x v="110"/>
    <x v="1"/>
    <x v="0"/>
    <x v="11"/>
    <n v="47"/>
    <n v="3.0000000000000001E-3"/>
  </r>
  <r>
    <x v="0"/>
    <x v="110"/>
    <x v="1"/>
    <x v="0"/>
    <x v="12"/>
    <n v="54"/>
    <n v="3.8E-3"/>
  </r>
  <r>
    <x v="0"/>
    <x v="110"/>
    <x v="1"/>
    <x v="0"/>
    <x v="13"/>
    <n v="88"/>
    <n v="2.3999999999999998E-3"/>
  </r>
  <r>
    <x v="0"/>
    <x v="111"/>
    <x v="1"/>
    <x v="0"/>
    <x v="0"/>
    <n v="105"/>
    <n v="0.14599999999999999"/>
  </r>
  <r>
    <x v="0"/>
    <x v="111"/>
    <x v="1"/>
    <x v="0"/>
    <x v="1"/>
    <n v="102"/>
    <n v="1.6400000000000001E-2"/>
  </r>
  <r>
    <x v="0"/>
    <x v="111"/>
    <x v="1"/>
    <x v="0"/>
    <x v="2"/>
    <n v="109"/>
    <n v="5.3400000000000003E-2"/>
  </r>
  <r>
    <x v="0"/>
    <x v="111"/>
    <x v="1"/>
    <x v="0"/>
    <x v="3"/>
    <n v="107"/>
    <n v="4.3299999999999998E-2"/>
  </r>
  <r>
    <x v="0"/>
    <x v="111"/>
    <x v="1"/>
    <x v="0"/>
    <x v="4"/>
    <n v="104"/>
    <n v="9.5899999999999999E-2"/>
  </r>
  <r>
    <x v="0"/>
    <x v="111"/>
    <x v="1"/>
    <x v="0"/>
    <x v="5"/>
    <n v="106"/>
    <n v="3.5999999999999997E-2"/>
  </r>
  <r>
    <x v="0"/>
    <x v="111"/>
    <x v="1"/>
    <x v="0"/>
    <x v="6"/>
    <n v="101"/>
    <n v="3.2800000000000003E-2"/>
  </r>
  <r>
    <x v="0"/>
    <x v="111"/>
    <x v="1"/>
    <x v="0"/>
    <x v="7"/>
    <n v="105"/>
    <n v="6.5699999999999995E-2"/>
  </r>
  <r>
    <x v="0"/>
    <x v="111"/>
    <x v="1"/>
    <x v="0"/>
    <x v="8"/>
    <n v="100"/>
    <n v="1.3899999999999999E-2"/>
  </r>
  <r>
    <x v="0"/>
    <x v="111"/>
    <x v="1"/>
    <x v="0"/>
    <x v="9"/>
    <n v="109"/>
    <n v="3.44E-2"/>
  </r>
  <r>
    <x v="0"/>
    <x v="111"/>
    <x v="1"/>
    <x v="0"/>
    <x v="10"/>
    <n v="103"/>
    <n v="3.78E-2"/>
  </r>
  <r>
    <x v="0"/>
    <x v="111"/>
    <x v="1"/>
    <x v="0"/>
    <x v="11"/>
    <n v="104"/>
    <n v="4.4299999999999999E-2"/>
  </r>
  <r>
    <x v="0"/>
    <x v="111"/>
    <x v="1"/>
    <x v="0"/>
    <x v="12"/>
    <n v="106"/>
    <n v="5.0599999999999999E-2"/>
  </r>
  <r>
    <x v="0"/>
    <x v="111"/>
    <x v="1"/>
    <x v="0"/>
    <x v="13"/>
    <n v="104"/>
    <n v="2.7099999999999999E-2"/>
  </r>
  <r>
    <x v="0"/>
    <x v="112"/>
    <x v="1"/>
    <x v="0"/>
    <x v="0"/>
    <n v="92"/>
    <n v="0.1943"/>
  </r>
  <r>
    <x v="0"/>
    <x v="112"/>
    <x v="1"/>
    <x v="0"/>
    <x v="1"/>
    <n v="109"/>
    <n v="1.32E-2"/>
  </r>
  <r>
    <x v="0"/>
    <x v="112"/>
    <x v="1"/>
    <x v="0"/>
    <x v="2"/>
    <n v="97"/>
    <n v="4.8099999999999997E-2"/>
  </r>
  <r>
    <x v="0"/>
    <x v="112"/>
    <x v="1"/>
    <x v="0"/>
    <x v="3"/>
    <n v="91"/>
    <n v="4.1700000000000001E-2"/>
  </r>
  <r>
    <x v="0"/>
    <x v="112"/>
    <x v="1"/>
    <x v="0"/>
    <x v="4"/>
    <n v="89"/>
    <n v="0.1187"/>
  </r>
  <r>
    <x v="0"/>
    <x v="112"/>
    <x v="1"/>
    <x v="0"/>
    <x v="5"/>
    <n v="89"/>
    <n v="4.0500000000000001E-2"/>
  </r>
  <r>
    <x v="0"/>
    <x v="112"/>
    <x v="1"/>
    <x v="0"/>
    <x v="6"/>
    <n v="91"/>
    <n v="3.6799999999999999E-2"/>
  </r>
  <r>
    <x v="0"/>
    <x v="112"/>
    <x v="1"/>
    <x v="0"/>
    <x v="7"/>
    <n v="93"/>
    <n v="7.85E-2"/>
  </r>
  <r>
    <x v="0"/>
    <x v="112"/>
    <x v="1"/>
    <x v="0"/>
    <x v="8"/>
    <n v="97"/>
    <n v="1.1599999999999999E-2"/>
  </r>
  <r>
    <x v="0"/>
    <x v="112"/>
    <x v="1"/>
    <x v="0"/>
    <x v="9"/>
    <n v="93"/>
    <n v="3.1099999999999999E-2"/>
  </r>
  <r>
    <x v="0"/>
    <x v="112"/>
    <x v="1"/>
    <x v="0"/>
    <x v="10"/>
    <n v="88"/>
    <n v="3.9800000000000002E-2"/>
  </r>
  <r>
    <x v="0"/>
    <x v="112"/>
    <x v="1"/>
    <x v="0"/>
    <x v="11"/>
    <n v="87"/>
    <n v="4.6100000000000002E-2"/>
  </r>
  <r>
    <x v="0"/>
    <x v="112"/>
    <x v="1"/>
    <x v="0"/>
    <x v="12"/>
    <n v="90"/>
    <n v="4.9599999999999998E-2"/>
  </r>
  <r>
    <x v="0"/>
    <x v="112"/>
    <x v="1"/>
    <x v="0"/>
    <x v="13"/>
    <n v="100"/>
    <n v="2.5600000000000001E-2"/>
  </r>
  <r>
    <x v="0"/>
    <x v="114"/>
    <x v="1"/>
    <x v="0"/>
    <x v="0"/>
    <n v="90"/>
    <n v="0.39889999999999998"/>
  </r>
  <r>
    <x v="0"/>
    <x v="114"/>
    <x v="1"/>
    <x v="0"/>
    <x v="1"/>
    <n v="86"/>
    <n v="4.1300000000000003E-2"/>
  </r>
  <r>
    <x v="0"/>
    <x v="114"/>
    <x v="1"/>
    <x v="0"/>
    <x v="2"/>
    <n v="92"/>
    <n v="0.1381"/>
  </r>
  <r>
    <x v="0"/>
    <x v="114"/>
    <x v="1"/>
    <x v="0"/>
    <x v="3"/>
    <n v="88"/>
    <n v="0.13100000000000001"/>
  </r>
  <r>
    <x v="0"/>
    <x v="114"/>
    <x v="1"/>
    <x v="0"/>
    <x v="4"/>
    <n v="89"/>
    <n v="0.29780000000000001"/>
  </r>
  <r>
    <x v="0"/>
    <x v="114"/>
    <x v="1"/>
    <x v="0"/>
    <x v="5"/>
    <n v="88"/>
    <n v="0.1116"/>
  </r>
  <r>
    <x v="0"/>
    <x v="114"/>
    <x v="1"/>
    <x v="0"/>
    <x v="6"/>
    <n v="86"/>
    <n v="9.6799999999999997E-2"/>
  </r>
  <r>
    <x v="0"/>
    <x v="114"/>
    <x v="1"/>
    <x v="0"/>
    <x v="7"/>
    <n v="92"/>
    <n v="0.1996"/>
  </r>
  <r>
    <x v="0"/>
    <x v="114"/>
    <x v="1"/>
    <x v="0"/>
    <x v="8"/>
    <n v="84"/>
    <n v="4.0099999999999997E-2"/>
  </r>
  <r>
    <x v="0"/>
    <x v="114"/>
    <x v="1"/>
    <x v="0"/>
    <x v="9"/>
    <n v="87"/>
    <n v="0.1022"/>
  </r>
  <r>
    <x v="0"/>
    <x v="114"/>
    <x v="1"/>
    <x v="0"/>
    <x v="10"/>
    <n v="88"/>
    <n v="0.12690000000000001"/>
  </r>
  <r>
    <x v="0"/>
    <x v="114"/>
    <x v="1"/>
    <x v="0"/>
    <x v="11"/>
    <n v="89"/>
    <n v="0.1497"/>
  </r>
  <r>
    <x v="0"/>
    <x v="114"/>
    <x v="1"/>
    <x v="0"/>
    <x v="12"/>
    <n v="91"/>
    <n v="0.1608"/>
  </r>
  <r>
    <x v="0"/>
    <x v="114"/>
    <x v="1"/>
    <x v="0"/>
    <x v="13"/>
    <n v="89"/>
    <n v="7.0599999999999996E-2"/>
  </r>
  <r>
    <x v="0"/>
    <x v="115"/>
    <x v="1"/>
    <x v="0"/>
    <x v="0"/>
    <n v="62"/>
    <n v="0.1676"/>
  </r>
  <r>
    <x v="0"/>
    <x v="115"/>
    <x v="1"/>
    <x v="0"/>
    <x v="1"/>
    <n v="69"/>
    <n v="1.7100000000000001E-2"/>
  </r>
  <r>
    <x v="0"/>
    <x v="115"/>
    <x v="1"/>
    <x v="0"/>
    <x v="2"/>
    <n v="60"/>
    <n v="5.11E-2"/>
  </r>
  <r>
    <x v="0"/>
    <x v="115"/>
    <x v="1"/>
    <x v="0"/>
    <x v="3"/>
    <n v="63"/>
    <n v="4.0800000000000003E-2"/>
  </r>
  <r>
    <x v="0"/>
    <x v="115"/>
    <x v="1"/>
    <x v="0"/>
    <x v="4"/>
    <n v="63"/>
    <n v="0.10879999999999999"/>
  </r>
  <r>
    <x v="0"/>
    <x v="115"/>
    <x v="1"/>
    <x v="0"/>
    <x v="5"/>
    <n v="61"/>
    <n v="3.9199999999999999E-2"/>
  </r>
  <r>
    <x v="0"/>
    <x v="115"/>
    <x v="1"/>
    <x v="0"/>
    <x v="6"/>
    <n v="60"/>
    <n v="3.7100000000000001E-2"/>
  </r>
  <r>
    <x v="0"/>
    <x v="115"/>
    <x v="1"/>
    <x v="0"/>
    <x v="7"/>
    <n v="63"/>
    <n v="7.3700000000000002E-2"/>
  </r>
  <r>
    <x v="0"/>
    <x v="115"/>
    <x v="1"/>
    <x v="0"/>
    <x v="8"/>
    <n v="59"/>
    <n v="1.5100000000000001E-2"/>
  </r>
  <r>
    <x v="0"/>
    <x v="115"/>
    <x v="1"/>
    <x v="0"/>
    <x v="9"/>
    <n v="60"/>
    <n v="3.0300000000000001E-2"/>
  </r>
  <r>
    <x v="0"/>
    <x v="115"/>
    <x v="1"/>
    <x v="0"/>
    <x v="10"/>
    <n v="60"/>
    <n v="3.8800000000000001E-2"/>
  </r>
  <r>
    <x v="0"/>
    <x v="115"/>
    <x v="1"/>
    <x v="0"/>
    <x v="11"/>
    <n v="61"/>
    <n v="4.7E-2"/>
  </r>
  <r>
    <x v="0"/>
    <x v="115"/>
    <x v="1"/>
    <x v="0"/>
    <x v="12"/>
    <n v="62"/>
    <n v="5.2600000000000001E-2"/>
  </r>
  <r>
    <x v="0"/>
    <x v="115"/>
    <x v="1"/>
    <x v="0"/>
    <x v="13"/>
    <n v="65"/>
    <n v="2.8500000000000001E-2"/>
  </r>
  <r>
    <x v="1"/>
    <x v="116"/>
    <x v="1"/>
    <x v="0"/>
    <x v="0"/>
    <n v="36"/>
    <n v="0.18090000000000001"/>
  </r>
  <r>
    <x v="1"/>
    <x v="116"/>
    <x v="1"/>
    <x v="0"/>
    <x v="1"/>
    <n v="38"/>
    <n v="1.6199999999999999E-2"/>
  </r>
  <r>
    <x v="1"/>
    <x v="116"/>
    <x v="1"/>
    <x v="0"/>
    <x v="2"/>
    <n v="35"/>
    <n v="5.5599999999999997E-2"/>
  </r>
  <r>
    <x v="1"/>
    <x v="116"/>
    <x v="1"/>
    <x v="0"/>
    <x v="3"/>
    <n v="42"/>
    <n v="3.9399999999999998E-2"/>
  </r>
  <r>
    <x v="1"/>
    <x v="116"/>
    <x v="1"/>
    <x v="0"/>
    <x v="4"/>
    <n v="36"/>
    <n v="0.1105"/>
  </r>
  <r>
    <x v="1"/>
    <x v="116"/>
    <x v="1"/>
    <x v="0"/>
    <x v="5"/>
    <n v="40"/>
    <n v="2.93E-2"/>
  </r>
  <r>
    <x v="1"/>
    <x v="116"/>
    <x v="1"/>
    <x v="0"/>
    <x v="6"/>
    <n v="43"/>
    <n v="2.9899999999999999E-2"/>
  </r>
  <r>
    <x v="1"/>
    <x v="116"/>
    <x v="1"/>
    <x v="0"/>
    <x v="7"/>
    <n v="33"/>
    <n v="8.43E-2"/>
  </r>
  <r>
    <x v="1"/>
    <x v="116"/>
    <x v="1"/>
    <x v="0"/>
    <x v="8"/>
    <n v="53"/>
    <n v="1.21E-2"/>
  </r>
  <r>
    <x v="1"/>
    <x v="116"/>
    <x v="1"/>
    <x v="0"/>
    <x v="9"/>
    <n v="42"/>
    <n v="2.9899999999999999E-2"/>
  </r>
  <r>
    <x v="1"/>
    <x v="116"/>
    <x v="1"/>
    <x v="0"/>
    <x v="10"/>
    <n v="40"/>
    <n v="3.1300000000000001E-2"/>
  </r>
  <r>
    <x v="1"/>
    <x v="116"/>
    <x v="1"/>
    <x v="0"/>
    <x v="11"/>
    <n v="35"/>
    <n v="4.0399999999999998E-2"/>
  </r>
  <r>
    <x v="1"/>
    <x v="116"/>
    <x v="1"/>
    <x v="0"/>
    <x v="12"/>
    <n v="34"/>
    <n v="4.6300000000000001E-2"/>
  </r>
  <r>
    <x v="1"/>
    <x v="116"/>
    <x v="1"/>
    <x v="0"/>
    <x v="13"/>
    <n v="44"/>
    <n v="2.7E-2"/>
  </r>
  <r>
    <x v="1"/>
    <x v="117"/>
    <x v="1"/>
    <x v="1"/>
    <x v="0"/>
    <n v="33"/>
    <n v="0.17249999999999999"/>
  </r>
  <r>
    <x v="1"/>
    <x v="117"/>
    <x v="1"/>
    <x v="1"/>
    <x v="1"/>
    <n v="31"/>
    <n v="1.9199999999999998E-2"/>
  </r>
  <r>
    <x v="1"/>
    <x v="117"/>
    <x v="1"/>
    <x v="1"/>
    <x v="2"/>
    <n v="35"/>
    <n v="5.3499999999999999E-2"/>
  </r>
  <r>
    <x v="1"/>
    <x v="117"/>
    <x v="1"/>
    <x v="1"/>
    <x v="3"/>
    <n v="32"/>
    <n v="4.2299999999999997E-2"/>
  </r>
  <r>
    <x v="1"/>
    <x v="117"/>
    <x v="1"/>
    <x v="1"/>
    <x v="4"/>
    <n v="32"/>
    <n v="0.10349999999999999"/>
  </r>
  <r>
    <x v="1"/>
    <x v="117"/>
    <x v="1"/>
    <x v="1"/>
    <x v="5"/>
    <n v="31"/>
    <n v="2.8000000000000001E-2"/>
  </r>
  <r>
    <x v="1"/>
    <x v="117"/>
    <x v="1"/>
    <x v="1"/>
    <x v="6"/>
    <n v="39"/>
    <n v="3.0700000000000002E-2"/>
  </r>
  <r>
    <x v="1"/>
    <x v="117"/>
    <x v="1"/>
    <x v="1"/>
    <x v="7"/>
    <n v="32"/>
    <n v="7.0699999999999999E-2"/>
  </r>
  <r>
    <x v="1"/>
    <x v="117"/>
    <x v="1"/>
    <x v="1"/>
    <x v="8"/>
    <n v="38"/>
    <n v="1.38E-2"/>
  </r>
  <r>
    <x v="1"/>
    <x v="117"/>
    <x v="1"/>
    <x v="1"/>
    <x v="9"/>
    <n v="33"/>
    <n v="3.27E-2"/>
  </r>
  <r>
    <x v="1"/>
    <x v="117"/>
    <x v="1"/>
    <x v="1"/>
    <x v="10"/>
    <n v="30"/>
    <n v="3.2300000000000002E-2"/>
  </r>
  <r>
    <x v="1"/>
    <x v="117"/>
    <x v="1"/>
    <x v="1"/>
    <x v="11"/>
    <n v="32"/>
    <n v="3.9899999999999998E-2"/>
  </r>
  <r>
    <x v="1"/>
    <x v="117"/>
    <x v="1"/>
    <x v="1"/>
    <x v="12"/>
    <n v="33"/>
    <n v="4.36E-2"/>
  </r>
  <r>
    <x v="1"/>
    <x v="117"/>
    <x v="1"/>
    <x v="1"/>
    <x v="13"/>
    <n v="32"/>
    <n v="2.9100000000000001E-2"/>
  </r>
  <r>
    <x v="1"/>
    <x v="118"/>
    <x v="1"/>
    <x v="0"/>
    <x v="0"/>
    <n v="117"/>
    <n v="0.1376"/>
  </r>
  <r>
    <x v="1"/>
    <x v="118"/>
    <x v="1"/>
    <x v="0"/>
    <x v="1"/>
    <n v="126"/>
    <n v="1.4E-2"/>
  </r>
  <r>
    <x v="1"/>
    <x v="118"/>
    <x v="1"/>
    <x v="0"/>
    <x v="2"/>
    <n v="114"/>
    <n v="5.7299999999999997E-2"/>
  </r>
  <r>
    <x v="1"/>
    <x v="118"/>
    <x v="1"/>
    <x v="0"/>
    <x v="3"/>
    <n v="123"/>
    <n v="4.7E-2"/>
  </r>
  <r>
    <x v="1"/>
    <x v="118"/>
    <x v="1"/>
    <x v="0"/>
    <x v="4"/>
    <n v="115"/>
    <n v="9.2399999999999996E-2"/>
  </r>
  <r>
    <x v="1"/>
    <x v="118"/>
    <x v="1"/>
    <x v="0"/>
    <x v="5"/>
    <n v="116"/>
    <n v="4.1500000000000002E-2"/>
  </r>
  <r>
    <x v="1"/>
    <x v="118"/>
    <x v="1"/>
    <x v="0"/>
    <x v="6"/>
    <n v="113"/>
    <n v="3.7199999999999997E-2"/>
  </r>
  <r>
    <x v="1"/>
    <x v="118"/>
    <x v="1"/>
    <x v="0"/>
    <x v="7"/>
    <n v="118"/>
    <n v="6.2799999999999995E-2"/>
  </r>
  <r>
    <x v="1"/>
    <x v="118"/>
    <x v="1"/>
    <x v="0"/>
    <x v="8"/>
    <n v="119"/>
    <n v="1.4500000000000001E-2"/>
  </r>
  <r>
    <x v="1"/>
    <x v="118"/>
    <x v="1"/>
    <x v="0"/>
    <x v="9"/>
    <n v="122"/>
    <n v="3.9399999999999998E-2"/>
  </r>
  <r>
    <x v="1"/>
    <x v="118"/>
    <x v="1"/>
    <x v="0"/>
    <x v="10"/>
    <n v="116"/>
    <n v="4.58E-2"/>
  </r>
  <r>
    <x v="1"/>
    <x v="118"/>
    <x v="1"/>
    <x v="0"/>
    <x v="11"/>
    <n v="112"/>
    <n v="4.7800000000000002E-2"/>
  </r>
  <r>
    <x v="1"/>
    <x v="118"/>
    <x v="1"/>
    <x v="0"/>
    <x v="12"/>
    <n v="112"/>
    <n v="5.0099999999999999E-2"/>
  </r>
  <r>
    <x v="1"/>
    <x v="118"/>
    <x v="1"/>
    <x v="0"/>
    <x v="13"/>
    <n v="120"/>
    <n v="2.3699999999999999E-2"/>
  </r>
  <r>
    <x v="0"/>
    <x v="119"/>
    <x v="1"/>
    <x v="0"/>
    <x v="0"/>
    <n v="106"/>
    <n v="0.5423"/>
  </r>
  <r>
    <x v="0"/>
    <x v="119"/>
    <x v="1"/>
    <x v="0"/>
    <x v="1"/>
    <n v="104"/>
    <n v="0.1225"/>
  </r>
  <r>
    <x v="0"/>
    <x v="119"/>
    <x v="1"/>
    <x v="0"/>
    <x v="2"/>
    <n v="111"/>
    <n v="0.30790000000000001"/>
  </r>
  <r>
    <x v="0"/>
    <x v="119"/>
    <x v="1"/>
    <x v="0"/>
    <x v="3"/>
    <n v="107"/>
    <n v="0.29459999999999997"/>
  </r>
  <r>
    <x v="0"/>
    <x v="119"/>
    <x v="1"/>
    <x v="0"/>
    <x v="4"/>
    <n v="103"/>
    <n v="0.4274"/>
  </r>
  <r>
    <x v="0"/>
    <x v="119"/>
    <x v="1"/>
    <x v="0"/>
    <x v="5"/>
    <n v="100"/>
    <n v="0.18720000000000001"/>
  </r>
  <r>
    <x v="0"/>
    <x v="119"/>
    <x v="1"/>
    <x v="0"/>
    <x v="6"/>
    <n v="100"/>
    <n v="0.15459999999999999"/>
  </r>
  <r>
    <x v="0"/>
    <x v="119"/>
    <x v="1"/>
    <x v="0"/>
    <x v="7"/>
    <n v="105"/>
    <n v="0.39"/>
  </r>
  <r>
    <x v="0"/>
    <x v="119"/>
    <x v="1"/>
    <x v="0"/>
    <x v="8"/>
    <n v="102"/>
    <n v="8.5500000000000007E-2"/>
  </r>
  <r>
    <x v="0"/>
    <x v="119"/>
    <x v="1"/>
    <x v="0"/>
    <x v="9"/>
    <n v="109"/>
    <n v="0.25750000000000001"/>
  </r>
  <r>
    <x v="0"/>
    <x v="119"/>
    <x v="1"/>
    <x v="0"/>
    <x v="10"/>
    <n v="101"/>
    <n v="0.23219999999999999"/>
  </r>
  <r>
    <x v="0"/>
    <x v="119"/>
    <x v="1"/>
    <x v="0"/>
    <x v="11"/>
    <n v="103"/>
    <n v="0.2661"/>
  </r>
  <r>
    <x v="0"/>
    <x v="119"/>
    <x v="1"/>
    <x v="0"/>
    <x v="12"/>
    <n v="104"/>
    <n v="0.28939999999999999"/>
  </r>
  <r>
    <x v="0"/>
    <x v="119"/>
    <x v="1"/>
    <x v="0"/>
    <x v="13"/>
    <n v="103"/>
    <n v="0.1739"/>
  </r>
  <r>
    <x v="0"/>
    <x v="120"/>
    <x v="1"/>
    <x v="0"/>
    <x v="0"/>
    <n v="70"/>
    <n v="0.17330000000000001"/>
  </r>
  <r>
    <x v="0"/>
    <x v="120"/>
    <x v="1"/>
    <x v="0"/>
    <x v="1"/>
    <n v="53"/>
    <n v="1.09E-2"/>
  </r>
  <r>
    <x v="0"/>
    <x v="120"/>
    <x v="1"/>
    <x v="0"/>
    <x v="2"/>
    <n v="68"/>
    <n v="4.0099999999999997E-2"/>
  </r>
  <r>
    <x v="0"/>
    <x v="120"/>
    <x v="1"/>
    <x v="0"/>
    <x v="3"/>
    <n v="67"/>
    <n v="3.32E-2"/>
  </r>
  <r>
    <x v="0"/>
    <x v="120"/>
    <x v="1"/>
    <x v="0"/>
    <x v="4"/>
    <n v="75"/>
    <n v="0.12540000000000001"/>
  </r>
  <r>
    <x v="0"/>
    <x v="120"/>
    <x v="1"/>
    <x v="0"/>
    <x v="5"/>
    <n v="73"/>
    <n v="4.0399999999999998E-2"/>
  </r>
  <r>
    <x v="0"/>
    <x v="120"/>
    <x v="1"/>
    <x v="0"/>
    <x v="6"/>
    <n v="64"/>
    <n v="3.2000000000000001E-2"/>
  </r>
  <r>
    <x v="0"/>
    <x v="120"/>
    <x v="1"/>
    <x v="0"/>
    <x v="7"/>
    <n v="68"/>
    <n v="7.0000000000000007E-2"/>
  </r>
  <r>
    <x v="0"/>
    <x v="120"/>
    <x v="1"/>
    <x v="0"/>
    <x v="8"/>
    <n v="56"/>
    <n v="1.0500000000000001E-2"/>
  </r>
  <r>
    <x v="0"/>
    <x v="120"/>
    <x v="1"/>
    <x v="0"/>
    <x v="9"/>
    <n v="67"/>
    <n v="2.4199999999999999E-2"/>
  </r>
  <r>
    <x v="0"/>
    <x v="120"/>
    <x v="1"/>
    <x v="0"/>
    <x v="10"/>
    <n v="72"/>
    <n v="4.8399999999999999E-2"/>
  </r>
  <r>
    <x v="0"/>
    <x v="120"/>
    <x v="1"/>
    <x v="0"/>
    <x v="11"/>
    <n v="75"/>
    <n v="5.7200000000000001E-2"/>
  </r>
  <r>
    <x v="0"/>
    <x v="120"/>
    <x v="1"/>
    <x v="0"/>
    <x v="12"/>
    <n v="75"/>
    <n v="6.2300000000000001E-2"/>
  </r>
  <r>
    <x v="0"/>
    <x v="120"/>
    <x v="1"/>
    <x v="0"/>
    <x v="13"/>
    <n v="53"/>
    <n v="1.8700000000000001E-2"/>
  </r>
  <r>
    <x v="0"/>
    <x v="122"/>
    <x v="1"/>
    <x v="0"/>
    <x v="0"/>
    <n v="108"/>
    <n v="0.2046"/>
  </r>
  <r>
    <x v="0"/>
    <x v="122"/>
    <x v="1"/>
    <x v="0"/>
    <x v="1"/>
    <n v="111"/>
    <n v="1.8499999999999999E-2"/>
  </r>
  <r>
    <x v="0"/>
    <x v="122"/>
    <x v="1"/>
    <x v="0"/>
    <x v="2"/>
    <n v="110"/>
    <n v="8.5099999999999995E-2"/>
  </r>
  <r>
    <x v="0"/>
    <x v="122"/>
    <x v="1"/>
    <x v="0"/>
    <x v="3"/>
    <n v="108"/>
    <n v="7.6700000000000004E-2"/>
  </r>
  <r>
    <x v="0"/>
    <x v="122"/>
    <x v="1"/>
    <x v="0"/>
    <x v="4"/>
    <n v="108"/>
    <n v="0.14430000000000001"/>
  </r>
  <r>
    <x v="0"/>
    <x v="122"/>
    <x v="1"/>
    <x v="0"/>
    <x v="5"/>
    <n v="108"/>
    <n v="6.5799999999999997E-2"/>
  </r>
  <r>
    <x v="0"/>
    <x v="122"/>
    <x v="1"/>
    <x v="0"/>
    <x v="6"/>
    <n v="101"/>
    <n v="5.6800000000000003E-2"/>
  </r>
  <r>
    <x v="0"/>
    <x v="122"/>
    <x v="1"/>
    <x v="0"/>
    <x v="7"/>
    <n v="110"/>
    <n v="9.8400000000000001E-2"/>
  </r>
  <r>
    <x v="0"/>
    <x v="122"/>
    <x v="1"/>
    <x v="0"/>
    <x v="8"/>
    <n v="100"/>
    <n v="2.2100000000000002E-2"/>
  </r>
  <r>
    <x v="0"/>
    <x v="122"/>
    <x v="1"/>
    <x v="0"/>
    <x v="9"/>
    <n v="107"/>
    <n v="6.2399999999999997E-2"/>
  </r>
  <r>
    <x v="0"/>
    <x v="122"/>
    <x v="1"/>
    <x v="0"/>
    <x v="10"/>
    <n v="107"/>
    <n v="7.0699999999999999E-2"/>
  </r>
  <r>
    <x v="0"/>
    <x v="122"/>
    <x v="1"/>
    <x v="0"/>
    <x v="11"/>
    <n v="107"/>
    <n v="7.6600000000000001E-2"/>
  </r>
  <r>
    <x v="0"/>
    <x v="122"/>
    <x v="1"/>
    <x v="0"/>
    <x v="12"/>
    <n v="107"/>
    <n v="8.3500000000000005E-2"/>
  </r>
  <r>
    <x v="0"/>
    <x v="122"/>
    <x v="1"/>
    <x v="0"/>
    <x v="13"/>
    <n v="102"/>
    <n v="3.4000000000000002E-2"/>
  </r>
  <r>
    <x v="0"/>
    <x v="0"/>
    <x v="2"/>
    <x v="0"/>
    <x v="0"/>
    <n v="96"/>
    <n v="0.27989999999999998"/>
  </r>
  <r>
    <x v="0"/>
    <x v="0"/>
    <x v="2"/>
    <x v="0"/>
    <x v="1"/>
    <n v="135"/>
    <n v="3.2500000000000001E-2"/>
  </r>
  <r>
    <x v="0"/>
    <x v="0"/>
    <x v="2"/>
    <x v="0"/>
    <x v="2"/>
    <n v="103"/>
    <n v="0.10829999999999999"/>
  </r>
  <r>
    <x v="0"/>
    <x v="0"/>
    <x v="2"/>
    <x v="0"/>
    <x v="3"/>
    <n v="90"/>
    <n v="8.3199999999999996E-2"/>
  </r>
  <r>
    <x v="0"/>
    <x v="0"/>
    <x v="2"/>
    <x v="0"/>
    <x v="4"/>
    <n v="91"/>
    <n v="0.19470000000000001"/>
  </r>
  <r>
    <x v="0"/>
    <x v="0"/>
    <x v="2"/>
    <x v="0"/>
    <x v="5"/>
    <n v="90"/>
    <n v="8.5500000000000007E-2"/>
  </r>
  <r>
    <x v="0"/>
    <x v="0"/>
    <x v="2"/>
    <x v="0"/>
    <x v="6"/>
    <n v="89"/>
    <n v="7.3400000000000007E-2"/>
  </r>
  <r>
    <x v="0"/>
    <x v="0"/>
    <x v="2"/>
    <x v="0"/>
    <x v="7"/>
    <n v="101"/>
    <n v="0.14380000000000001"/>
  </r>
  <r>
    <x v="0"/>
    <x v="0"/>
    <x v="2"/>
    <x v="0"/>
    <x v="8"/>
    <n v="78"/>
    <n v="2.4E-2"/>
  </r>
  <r>
    <x v="0"/>
    <x v="0"/>
    <x v="2"/>
    <x v="0"/>
    <x v="9"/>
    <n v="92"/>
    <n v="6.7900000000000002E-2"/>
  </r>
  <r>
    <x v="0"/>
    <x v="0"/>
    <x v="2"/>
    <x v="0"/>
    <x v="10"/>
    <n v="92"/>
    <n v="8.8200000000000001E-2"/>
  </r>
  <r>
    <x v="0"/>
    <x v="0"/>
    <x v="2"/>
    <x v="0"/>
    <x v="11"/>
    <n v="92"/>
    <n v="0.1079"/>
  </r>
  <r>
    <x v="0"/>
    <x v="0"/>
    <x v="2"/>
    <x v="0"/>
    <x v="12"/>
    <n v="92"/>
    <n v="0.11310000000000001"/>
  </r>
  <r>
    <x v="0"/>
    <x v="0"/>
    <x v="2"/>
    <x v="0"/>
    <x v="13"/>
    <n v="121"/>
    <n v="5.1999999999999998E-2"/>
  </r>
  <r>
    <x v="1"/>
    <x v="1"/>
    <x v="2"/>
    <x v="1"/>
    <x v="0"/>
    <n v="110"/>
    <n v="0.7782"/>
  </r>
  <r>
    <x v="1"/>
    <x v="1"/>
    <x v="2"/>
    <x v="1"/>
    <x v="1"/>
    <n v="101"/>
    <n v="0.22220000000000001"/>
  </r>
  <r>
    <x v="1"/>
    <x v="1"/>
    <x v="2"/>
    <x v="1"/>
    <x v="2"/>
    <n v="108"/>
    <n v="0.40339999999999998"/>
  </r>
  <r>
    <x v="1"/>
    <x v="1"/>
    <x v="2"/>
    <x v="1"/>
    <x v="3"/>
    <n v="117"/>
    <n v="0.40620000000000001"/>
  </r>
  <r>
    <x v="1"/>
    <x v="1"/>
    <x v="2"/>
    <x v="1"/>
    <x v="4"/>
    <n v="113"/>
    <n v="0.6946"/>
  </r>
  <r>
    <x v="1"/>
    <x v="1"/>
    <x v="2"/>
    <x v="1"/>
    <x v="5"/>
    <n v="111"/>
    <n v="0.34210000000000002"/>
  </r>
  <r>
    <x v="1"/>
    <x v="1"/>
    <x v="2"/>
    <x v="1"/>
    <x v="6"/>
    <n v="104"/>
    <n v="0.30320000000000003"/>
  </r>
  <r>
    <x v="1"/>
    <x v="1"/>
    <x v="2"/>
    <x v="1"/>
    <x v="7"/>
    <n v="106"/>
    <n v="0.57899999999999996"/>
  </r>
  <r>
    <x v="1"/>
    <x v="1"/>
    <x v="2"/>
    <x v="1"/>
    <x v="8"/>
    <n v="99"/>
    <n v="0.15390000000000001"/>
  </r>
  <r>
    <x v="1"/>
    <x v="1"/>
    <x v="2"/>
    <x v="1"/>
    <x v="9"/>
    <n v="112"/>
    <n v="0.31850000000000001"/>
  </r>
  <r>
    <x v="1"/>
    <x v="1"/>
    <x v="2"/>
    <x v="1"/>
    <x v="10"/>
    <n v="117"/>
    <n v="0.47220000000000001"/>
  </r>
  <r>
    <x v="1"/>
    <x v="1"/>
    <x v="2"/>
    <x v="1"/>
    <x v="11"/>
    <n v="105"/>
    <n v="0.49120000000000003"/>
  </r>
  <r>
    <x v="1"/>
    <x v="1"/>
    <x v="2"/>
    <x v="1"/>
    <x v="12"/>
    <n v="106"/>
    <n v="0.51280000000000003"/>
  </r>
  <r>
    <x v="1"/>
    <x v="1"/>
    <x v="2"/>
    <x v="1"/>
    <x v="13"/>
    <n v="102"/>
    <n v="0.30259999999999998"/>
  </r>
  <r>
    <x v="1"/>
    <x v="2"/>
    <x v="2"/>
    <x v="0"/>
    <x v="0"/>
    <n v="127"/>
    <n v="8.3999999999999995E-3"/>
  </r>
  <r>
    <x v="1"/>
    <x v="2"/>
    <x v="2"/>
    <x v="0"/>
    <x v="4"/>
    <n v="119"/>
    <n v="5.1000000000000004E-3"/>
  </r>
  <r>
    <x v="1"/>
    <x v="2"/>
    <x v="2"/>
    <x v="0"/>
    <x v="7"/>
    <n v="181"/>
    <n v="4.1000000000000003E-3"/>
  </r>
  <r>
    <x v="1"/>
    <x v="3"/>
    <x v="2"/>
    <x v="0"/>
    <x v="0"/>
    <n v="104"/>
    <n v="0.11899999999999999"/>
  </r>
  <r>
    <x v="1"/>
    <x v="3"/>
    <x v="2"/>
    <x v="0"/>
    <x v="1"/>
    <n v="108"/>
    <n v="1.3599999999999999E-2"/>
  </r>
  <r>
    <x v="1"/>
    <x v="3"/>
    <x v="2"/>
    <x v="0"/>
    <x v="2"/>
    <n v="109"/>
    <n v="4.2900000000000001E-2"/>
  </r>
  <r>
    <x v="1"/>
    <x v="3"/>
    <x v="2"/>
    <x v="0"/>
    <x v="3"/>
    <n v="105"/>
    <n v="3.1399999999999997E-2"/>
  </r>
  <r>
    <x v="1"/>
    <x v="3"/>
    <x v="2"/>
    <x v="0"/>
    <x v="4"/>
    <n v="105"/>
    <n v="7.22E-2"/>
  </r>
  <r>
    <x v="1"/>
    <x v="3"/>
    <x v="2"/>
    <x v="0"/>
    <x v="5"/>
    <n v="92"/>
    <n v="2.7199999999999998E-2"/>
  </r>
  <r>
    <x v="1"/>
    <x v="3"/>
    <x v="2"/>
    <x v="0"/>
    <x v="6"/>
    <n v="94"/>
    <n v="2.9100000000000001E-2"/>
  </r>
  <r>
    <x v="1"/>
    <x v="3"/>
    <x v="2"/>
    <x v="0"/>
    <x v="7"/>
    <n v="109"/>
    <n v="5.6300000000000003E-2"/>
  </r>
  <r>
    <x v="1"/>
    <x v="3"/>
    <x v="2"/>
    <x v="0"/>
    <x v="8"/>
    <n v="102"/>
    <n v="1.29E-2"/>
  </r>
  <r>
    <x v="1"/>
    <x v="3"/>
    <x v="2"/>
    <x v="0"/>
    <x v="9"/>
    <n v="109"/>
    <n v="2.5999999999999999E-2"/>
  </r>
  <r>
    <x v="1"/>
    <x v="3"/>
    <x v="2"/>
    <x v="0"/>
    <x v="10"/>
    <n v="97"/>
    <n v="2.6700000000000002E-2"/>
  </r>
  <r>
    <x v="1"/>
    <x v="3"/>
    <x v="2"/>
    <x v="0"/>
    <x v="11"/>
    <n v="99"/>
    <n v="3.3500000000000002E-2"/>
  </r>
  <r>
    <x v="1"/>
    <x v="3"/>
    <x v="2"/>
    <x v="0"/>
    <x v="12"/>
    <n v="111"/>
    <n v="3.6999999999999998E-2"/>
  </r>
  <r>
    <x v="1"/>
    <x v="3"/>
    <x v="2"/>
    <x v="0"/>
    <x v="13"/>
    <n v="103"/>
    <n v="2.3400000000000001E-2"/>
  </r>
  <r>
    <x v="0"/>
    <x v="4"/>
    <x v="2"/>
    <x v="0"/>
    <x v="0"/>
    <n v="90"/>
    <n v="0.37980000000000003"/>
  </r>
  <r>
    <x v="0"/>
    <x v="4"/>
    <x v="2"/>
    <x v="0"/>
    <x v="1"/>
    <n v="84"/>
    <n v="2.86E-2"/>
  </r>
  <r>
    <x v="0"/>
    <x v="4"/>
    <x v="2"/>
    <x v="0"/>
    <x v="2"/>
    <n v="98"/>
    <n v="0.15240000000000001"/>
  </r>
  <r>
    <x v="0"/>
    <x v="4"/>
    <x v="2"/>
    <x v="0"/>
    <x v="3"/>
    <n v="93"/>
    <n v="0.1336"/>
  </r>
  <r>
    <x v="0"/>
    <x v="4"/>
    <x v="2"/>
    <x v="0"/>
    <x v="4"/>
    <n v="88"/>
    <n v="0.27239999999999998"/>
  </r>
  <r>
    <x v="0"/>
    <x v="4"/>
    <x v="2"/>
    <x v="0"/>
    <x v="5"/>
    <n v="86"/>
    <n v="0.11799999999999999"/>
  </r>
  <r>
    <x v="0"/>
    <x v="4"/>
    <x v="2"/>
    <x v="0"/>
    <x v="6"/>
    <n v="87"/>
    <n v="0.11310000000000001"/>
  </r>
  <r>
    <x v="0"/>
    <x v="4"/>
    <x v="2"/>
    <x v="0"/>
    <x v="7"/>
    <n v="88"/>
    <n v="0.20250000000000001"/>
  </r>
  <r>
    <x v="0"/>
    <x v="4"/>
    <x v="2"/>
    <x v="0"/>
    <x v="8"/>
    <n v="82"/>
    <n v="3.5700000000000003E-2"/>
  </r>
  <r>
    <x v="0"/>
    <x v="4"/>
    <x v="2"/>
    <x v="0"/>
    <x v="9"/>
    <n v="96"/>
    <n v="0.10829999999999999"/>
  </r>
  <r>
    <x v="0"/>
    <x v="4"/>
    <x v="2"/>
    <x v="0"/>
    <x v="10"/>
    <n v="88"/>
    <n v="0.12230000000000001"/>
  </r>
  <r>
    <x v="0"/>
    <x v="4"/>
    <x v="2"/>
    <x v="0"/>
    <x v="11"/>
    <n v="88"/>
    <n v="0.1472"/>
  </r>
  <r>
    <x v="0"/>
    <x v="4"/>
    <x v="2"/>
    <x v="0"/>
    <x v="12"/>
    <n v="90"/>
    <n v="0.17169999999999999"/>
  </r>
  <r>
    <x v="0"/>
    <x v="4"/>
    <x v="2"/>
    <x v="0"/>
    <x v="13"/>
    <n v="89"/>
    <n v="7.3200000000000001E-2"/>
  </r>
  <r>
    <x v="0"/>
    <x v="5"/>
    <x v="2"/>
    <x v="0"/>
    <x v="0"/>
    <n v="116"/>
    <n v="0.27450000000000002"/>
  </r>
  <r>
    <x v="0"/>
    <x v="5"/>
    <x v="2"/>
    <x v="0"/>
    <x v="1"/>
    <n v="106"/>
    <n v="2.87E-2"/>
  </r>
  <r>
    <x v="0"/>
    <x v="5"/>
    <x v="2"/>
    <x v="0"/>
    <x v="2"/>
    <n v="117"/>
    <n v="8.1799999999999998E-2"/>
  </r>
  <r>
    <x v="0"/>
    <x v="5"/>
    <x v="2"/>
    <x v="0"/>
    <x v="3"/>
    <n v="114"/>
    <n v="6.8199999999999997E-2"/>
  </r>
  <r>
    <x v="0"/>
    <x v="5"/>
    <x v="2"/>
    <x v="0"/>
    <x v="4"/>
    <n v="117"/>
    <n v="0.18890000000000001"/>
  </r>
  <r>
    <x v="0"/>
    <x v="5"/>
    <x v="2"/>
    <x v="0"/>
    <x v="5"/>
    <n v="114"/>
    <n v="6.9099999999999995E-2"/>
  </r>
  <r>
    <x v="0"/>
    <x v="5"/>
    <x v="2"/>
    <x v="0"/>
    <x v="6"/>
    <n v="116"/>
    <n v="6.7799999999999999E-2"/>
  </r>
  <r>
    <x v="0"/>
    <x v="5"/>
    <x v="2"/>
    <x v="0"/>
    <x v="7"/>
    <n v="116"/>
    <n v="0.13750000000000001"/>
  </r>
  <r>
    <x v="0"/>
    <x v="5"/>
    <x v="2"/>
    <x v="0"/>
    <x v="8"/>
    <n v="112"/>
    <n v="2.81E-2"/>
  </r>
  <r>
    <x v="0"/>
    <x v="5"/>
    <x v="2"/>
    <x v="0"/>
    <x v="9"/>
    <n v="113"/>
    <n v="5.2499999999999998E-2"/>
  </r>
  <r>
    <x v="0"/>
    <x v="5"/>
    <x v="2"/>
    <x v="0"/>
    <x v="10"/>
    <n v="116"/>
    <n v="7.4800000000000005E-2"/>
  </r>
  <r>
    <x v="0"/>
    <x v="5"/>
    <x v="2"/>
    <x v="0"/>
    <x v="11"/>
    <n v="115"/>
    <n v="8.9800000000000005E-2"/>
  </r>
  <r>
    <x v="0"/>
    <x v="5"/>
    <x v="2"/>
    <x v="0"/>
    <x v="12"/>
    <n v="117"/>
    <n v="9.8500000000000004E-2"/>
  </r>
  <r>
    <x v="0"/>
    <x v="5"/>
    <x v="2"/>
    <x v="0"/>
    <x v="13"/>
    <n v="110"/>
    <n v="5.1400000000000001E-2"/>
  </r>
  <r>
    <x v="1"/>
    <x v="6"/>
    <x v="2"/>
    <x v="0"/>
    <x v="0"/>
    <n v="70"/>
    <n v="3.8100000000000002E-2"/>
  </r>
  <r>
    <x v="1"/>
    <x v="6"/>
    <x v="2"/>
    <x v="0"/>
    <x v="2"/>
    <n v="72"/>
    <n v="9.1000000000000004E-3"/>
  </r>
  <r>
    <x v="1"/>
    <x v="6"/>
    <x v="2"/>
    <x v="0"/>
    <x v="3"/>
    <n v="59"/>
    <n v="6.7000000000000002E-3"/>
  </r>
  <r>
    <x v="1"/>
    <x v="6"/>
    <x v="2"/>
    <x v="0"/>
    <x v="4"/>
    <n v="73"/>
    <n v="2.2499999999999999E-2"/>
  </r>
  <r>
    <x v="1"/>
    <x v="6"/>
    <x v="2"/>
    <x v="0"/>
    <x v="5"/>
    <n v="82"/>
    <n v="8.0000000000000002E-3"/>
  </r>
  <r>
    <x v="1"/>
    <x v="6"/>
    <x v="2"/>
    <x v="0"/>
    <x v="6"/>
    <n v="92"/>
    <n v="6.3E-3"/>
  </r>
  <r>
    <x v="1"/>
    <x v="6"/>
    <x v="2"/>
    <x v="0"/>
    <x v="7"/>
    <n v="65"/>
    <n v="1.38E-2"/>
  </r>
  <r>
    <x v="1"/>
    <x v="6"/>
    <x v="2"/>
    <x v="0"/>
    <x v="9"/>
    <n v="59"/>
    <n v="4.4999999999999997E-3"/>
  </r>
  <r>
    <x v="1"/>
    <x v="6"/>
    <x v="2"/>
    <x v="0"/>
    <x v="10"/>
    <n v="85"/>
    <n v="7.6E-3"/>
  </r>
  <r>
    <x v="1"/>
    <x v="6"/>
    <x v="2"/>
    <x v="0"/>
    <x v="11"/>
    <n v="85"/>
    <n v="7.9000000000000008E-3"/>
  </r>
  <r>
    <x v="1"/>
    <x v="6"/>
    <x v="2"/>
    <x v="0"/>
    <x v="12"/>
    <n v="80"/>
    <n v="8.2000000000000007E-3"/>
  </r>
  <r>
    <x v="1"/>
    <x v="6"/>
    <x v="2"/>
    <x v="0"/>
    <x v="13"/>
    <n v="46"/>
    <n v="4.5999999999999999E-3"/>
  </r>
  <r>
    <x v="1"/>
    <x v="7"/>
    <x v="2"/>
    <x v="0"/>
    <x v="0"/>
    <n v="116"/>
    <n v="5.0999999999999997E-2"/>
  </r>
  <r>
    <x v="1"/>
    <x v="7"/>
    <x v="2"/>
    <x v="0"/>
    <x v="2"/>
    <n v="120"/>
    <n v="1.6299999999999999E-2"/>
  </r>
  <r>
    <x v="1"/>
    <x v="7"/>
    <x v="2"/>
    <x v="0"/>
    <x v="3"/>
    <n v="93"/>
    <n v="1.23E-2"/>
  </r>
  <r>
    <x v="1"/>
    <x v="7"/>
    <x v="2"/>
    <x v="0"/>
    <x v="4"/>
    <n v="118"/>
    <n v="3.04E-2"/>
  </r>
  <r>
    <x v="1"/>
    <x v="7"/>
    <x v="2"/>
    <x v="0"/>
    <x v="5"/>
    <n v="109"/>
    <n v="1.0699999999999999E-2"/>
  </r>
  <r>
    <x v="1"/>
    <x v="7"/>
    <x v="2"/>
    <x v="0"/>
    <x v="6"/>
    <n v="140"/>
    <n v="9.4000000000000004E-3"/>
  </r>
  <r>
    <x v="1"/>
    <x v="7"/>
    <x v="2"/>
    <x v="0"/>
    <x v="7"/>
    <n v="99"/>
    <n v="2.35E-2"/>
  </r>
  <r>
    <x v="1"/>
    <x v="7"/>
    <x v="2"/>
    <x v="0"/>
    <x v="9"/>
    <n v="94"/>
    <n v="9.7000000000000003E-3"/>
  </r>
  <r>
    <x v="1"/>
    <x v="7"/>
    <x v="2"/>
    <x v="0"/>
    <x v="10"/>
    <n v="109"/>
    <n v="1.09E-2"/>
  </r>
  <r>
    <x v="1"/>
    <x v="7"/>
    <x v="2"/>
    <x v="0"/>
    <x v="11"/>
    <n v="95"/>
    <n v="1.38E-2"/>
  </r>
  <r>
    <x v="1"/>
    <x v="7"/>
    <x v="2"/>
    <x v="0"/>
    <x v="12"/>
    <n v="111"/>
    <n v="1.34E-2"/>
  </r>
  <r>
    <x v="1"/>
    <x v="7"/>
    <x v="2"/>
    <x v="0"/>
    <x v="13"/>
    <n v="321"/>
    <n v="4.0000000000000001E-3"/>
  </r>
  <r>
    <x v="1"/>
    <x v="123"/>
    <x v="2"/>
    <x v="0"/>
    <x v="0"/>
    <n v="103"/>
    <n v="0.42480000000000001"/>
  </r>
  <r>
    <x v="1"/>
    <x v="123"/>
    <x v="2"/>
    <x v="0"/>
    <x v="1"/>
    <n v="102"/>
    <n v="8.7800000000000003E-2"/>
  </r>
  <r>
    <x v="1"/>
    <x v="123"/>
    <x v="2"/>
    <x v="0"/>
    <x v="2"/>
    <n v="103"/>
    <n v="0.19209999999999999"/>
  </r>
  <r>
    <x v="1"/>
    <x v="123"/>
    <x v="2"/>
    <x v="0"/>
    <x v="3"/>
    <n v="105"/>
    <n v="0.1603"/>
  </r>
  <r>
    <x v="1"/>
    <x v="123"/>
    <x v="2"/>
    <x v="0"/>
    <x v="4"/>
    <n v="106"/>
    <n v="0.31769999999999998"/>
  </r>
  <r>
    <x v="1"/>
    <x v="123"/>
    <x v="2"/>
    <x v="0"/>
    <x v="5"/>
    <n v="105"/>
    <n v="0.1414"/>
  </r>
  <r>
    <x v="1"/>
    <x v="123"/>
    <x v="2"/>
    <x v="0"/>
    <x v="6"/>
    <n v="103"/>
    <n v="0.13370000000000001"/>
  </r>
  <r>
    <x v="1"/>
    <x v="123"/>
    <x v="2"/>
    <x v="0"/>
    <x v="7"/>
    <n v="95"/>
    <n v="0.25729999999999997"/>
  </r>
  <r>
    <x v="1"/>
    <x v="123"/>
    <x v="2"/>
    <x v="0"/>
    <x v="8"/>
    <n v="104"/>
    <n v="6.8000000000000005E-2"/>
  </r>
  <r>
    <x v="1"/>
    <x v="123"/>
    <x v="2"/>
    <x v="0"/>
    <x v="9"/>
    <n v="103"/>
    <n v="0.1318"/>
  </r>
  <r>
    <x v="1"/>
    <x v="123"/>
    <x v="2"/>
    <x v="0"/>
    <x v="10"/>
    <n v="104"/>
    <n v="0.1555"/>
  </r>
  <r>
    <x v="1"/>
    <x v="123"/>
    <x v="2"/>
    <x v="0"/>
    <x v="11"/>
    <n v="109"/>
    <n v="0.17280000000000001"/>
  </r>
  <r>
    <x v="1"/>
    <x v="123"/>
    <x v="2"/>
    <x v="0"/>
    <x v="12"/>
    <n v="108"/>
    <n v="0.18990000000000001"/>
  </r>
  <r>
    <x v="1"/>
    <x v="123"/>
    <x v="2"/>
    <x v="0"/>
    <x v="13"/>
    <n v="101"/>
    <n v="0.12609999999999999"/>
  </r>
  <r>
    <x v="1"/>
    <x v="8"/>
    <x v="2"/>
    <x v="0"/>
    <x v="0"/>
    <n v="101"/>
    <n v="0.17510000000000001"/>
  </r>
  <r>
    <x v="1"/>
    <x v="8"/>
    <x v="2"/>
    <x v="0"/>
    <x v="1"/>
    <n v="89"/>
    <n v="2.0899999999999998E-2"/>
  </r>
  <r>
    <x v="1"/>
    <x v="8"/>
    <x v="2"/>
    <x v="0"/>
    <x v="2"/>
    <n v="103"/>
    <n v="6.4199999999999993E-2"/>
  </r>
  <r>
    <x v="1"/>
    <x v="8"/>
    <x v="2"/>
    <x v="0"/>
    <x v="3"/>
    <n v="102"/>
    <n v="5.0999999999999997E-2"/>
  </r>
  <r>
    <x v="1"/>
    <x v="8"/>
    <x v="2"/>
    <x v="0"/>
    <x v="4"/>
    <n v="100"/>
    <n v="0.12"/>
  </r>
  <r>
    <x v="1"/>
    <x v="8"/>
    <x v="2"/>
    <x v="0"/>
    <x v="5"/>
    <n v="110"/>
    <n v="4.1500000000000002E-2"/>
  </r>
  <r>
    <x v="1"/>
    <x v="8"/>
    <x v="2"/>
    <x v="0"/>
    <x v="6"/>
    <n v="113"/>
    <n v="4.3299999999999998E-2"/>
  </r>
  <r>
    <x v="1"/>
    <x v="8"/>
    <x v="2"/>
    <x v="0"/>
    <x v="7"/>
    <n v="91"/>
    <n v="7.3499999999999996E-2"/>
  </r>
  <r>
    <x v="1"/>
    <x v="8"/>
    <x v="2"/>
    <x v="0"/>
    <x v="8"/>
    <n v="111"/>
    <n v="2.0299999999999999E-2"/>
  </r>
  <r>
    <x v="1"/>
    <x v="8"/>
    <x v="2"/>
    <x v="0"/>
    <x v="9"/>
    <n v="105"/>
    <n v="4.0500000000000001E-2"/>
  </r>
  <r>
    <x v="1"/>
    <x v="8"/>
    <x v="2"/>
    <x v="0"/>
    <x v="10"/>
    <n v="103"/>
    <n v="4.9099999999999998E-2"/>
  </r>
  <r>
    <x v="1"/>
    <x v="8"/>
    <x v="2"/>
    <x v="0"/>
    <x v="11"/>
    <n v="100"/>
    <n v="6.0400000000000002E-2"/>
  </r>
  <r>
    <x v="1"/>
    <x v="8"/>
    <x v="2"/>
    <x v="0"/>
    <x v="12"/>
    <n v="96"/>
    <n v="6.7500000000000004E-2"/>
  </r>
  <r>
    <x v="1"/>
    <x v="8"/>
    <x v="2"/>
    <x v="0"/>
    <x v="13"/>
    <n v="96"/>
    <n v="3.39E-2"/>
  </r>
  <r>
    <x v="1"/>
    <x v="9"/>
    <x v="2"/>
    <x v="0"/>
    <x v="0"/>
    <n v="115"/>
    <n v="1.17E-2"/>
  </r>
  <r>
    <x v="1"/>
    <x v="9"/>
    <x v="2"/>
    <x v="0"/>
    <x v="2"/>
    <n v="92"/>
    <n v="3.8999999999999998E-3"/>
  </r>
  <r>
    <x v="1"/>
    <x v="9"/>
    <x v="2"/>
    <x v="0"/>
    <x v="4"/>
    <n v="136"/>
    <n v="6.1000000000000004E-3"/>
  </r>
  <r>
    <x v="1"/>
    <x v="10"/>
    <x v="2"/>
    <x v="0"/>
    <x v="0"/>
    <n v="100"/>
    <n v="3.0700000000000002E-2"/>
  </r>
  <r>
    <x v="1"/>
    <x v="10"/>
    <x v="2"/>
    <x v="0"/>
    <x v="2"/>
    <n v="111"/>
    <n v="8.8000000000000005E-3"/>
  </r>
  <r>
    <x v="1"/>
    <x v="10"/>
    <x v="2"/>
    <x v="0"/>
    <x v="3"/>
    <n v="98"/>
    <n v="6.8999999999999999E-3"/>
  </r>
  <r>
    <x v="1"/>
    <x v="10"/>
    <x v="2"/>
    <x v="0"/>
    <x v="4"/>
    <n v="97"/>
    <n v="1.9300000000000001E-2"/>
  </r>
  <r>
    <x v="1"/>
    <x v="10"/>
    <x v="2"/>
    <x v="0"/>
    <x v="5"/>
    <n v="88"/>
    <n v="6.6E-3"/>
  </r>
  <r>
    <x v="1"/>
    <x v="10"/>
    <x v="2"/>
    <x v="0"/>
    <x v="6"/>
    <n v="102"/>
    <n v="7.6E-3"/>
  </r>
  <r>
    <x v="1"/>
    <x v="10"/>
    <x v="2"/>
    <x v="0"/>
    <x v="7"/>
    <n v="100"/>
    <n v="1.09E-2"/>
  </r>
  <r>
    <x v="1"/>
    <x v="10"/>
    <x v="2"/>
    <x v="0"/>
    <x v="9"/>
    <n v="96"/>
    <n v="5.7999999999999996E-3"/>
  </r>
  <r>
    <x v="1"/>
    <x v="10"/>
    <x v="2"/>
    <x v="0"/>
    <x v="10"/>
    <n v="93"/>
    <n v="6.6E-3"/>
  </r>
  <r>
    <x v="1"/>
    <x v="10"/>
    <x v="2"/>
    <x v="0"/>
    <x v="11"/>
    <n v="99"/>
    <n v="7.7999999999999996E-3"/>
  </r>
  <r>
    <x v="1"/>
    <x v="10"/>
    <x v="2"/>
    <x v="0"/>
    <x v="12"/>
    <n v="96"/>
    <n v="8.6E-3"/>
  </r>
  <r>
    <x v="1"/>
    <x v="10"/>
    <x v="2"/>
    <x v="0"/>
    <x v="13"/>
    <n v="112"/>
    <n v="5.0000000000000001E-3"/>
  </r>
  <r>
    <x v="0"/>
    <x v="11"/>
    <x v="2"/>
    <x v="0"/>
    <x v="0"/>
    <n v="104"/>
    <n v="4.5600000000000002E-2"/>
  </r>
  <r>
    <x v="0"/>
    <x v="11"/>
    <x v="2"/>
    <x v="0"/>
    <x v="2"/>
    <n v="143"/>
    <n v="7.6E-3"/>
  </r>
  <r>
    <x v="0"/>
    <x v="11"/>
    <x v="2"/>
    <x v="0"/>
    <x v="3"/>
    <n v="109"/>
    <n v="7.6E-3"/>
  </r>
  <r>
    <x v="0"/>
    <x v="11"/>
    <x v="2"/>
    <x v="0"/>
    <x v="4"/>
    <n v="103"/>
    <n v="3.0499999999999999E-2"/>
  </r>
  <r>
    <x v="0"/>
    <x v="11"/>
    <x v="2"/>
    <x v="0"/>
    <x v="5"/>
    <n v="96"/>
    <n v="5.3E-3"/>
  </r>
  <r>
    <x v="0"/>
    <x v="11"/>
    <x v="2"/>
    <x v="0"/>
    <x v="6"/>
    <n v="105"/>
    <n v="5.3E-3"/>
  </r>
  <r>
    <x v="0"/>
    <x v="11"/>
    <x v="2"/>
    <x v="0"/>
    <x v="7"/>
    <n v="101"/>
    <n v="1.9699999999999999E-2"/>
  </r>
  <r>
    <x v="0"/>
    <x v="11"/>
    <x v="2"/>
    <x v="0"/>
    <x v="9"/>
    <n v="116"/>
    <n v="4.5999999999999999E-3"/>
  </r>
  <r>
    <x v="0"/>
    <x v="11"/>
    <x v="2"/>
    <x v="0"/>
    <x v="10"/>
    <n v="100"/>
    <n v="8.6E-3"/>
  </r>
  <r>
    <x v="0"/>
    <x v="11"/>
    <x v="2"/>
    <x v="0"/>
    <x v="11"/>
    <n v="101"/>
    <n v="1.3299999999999999E-2"/>
  </r>
  <r>
    <x v="0"/>
    <x v="11"/>
    <x v="2"/>
    <x v="0"/>
    <x v="12"/>
    <n v="98"/>
    <n v="1.52E-2"/>
  </r>
  <r>
    <x v="0"/>
    <x v="12"/>
    <x v="2"/>
    <x v="0"/>
    <x v="0"/>
    <n v="63"/>
    <n v="0.1744"/>
  </r>
  <r>
    <x v="0"/>
    <x v="12"/>
    <x v="2"/>
    <x v="0"/>
    <x v="1"/>
    <n v="54"/>
    <n v="1.9800000000000002E-2"/>
  </r>
  <r>
    <x v="0"/>
    <x v="12"/>
    <x v="2"/>
    <x v="0"/>
    <x v="2"/>
    <n v="51"/>
    <n v="4.2099999999999999E-2"/>
  </r>
  <r>
    <x v="0"/>
    <x v="12"/>
    <x v="2"/>
    <x v="0"/>
    <x v="3"/>
    <n v="59"/>
    <n v="3.7600000000000001E-2"/>
  </r>
  <r>
    <x v="0"/>
    <x v="12"/>
    <x v="2"/>
    <x v="0"/>
    <x v="4"/>
    <n v="70"/>
    <n v="0.1258"/>
  </r>
  <r>
    <x v="0"/>
    <x v="12"/>
    <x v="2"/>
    <x v="0"/>
    <x v="5"/>
    <n v="63"/>
    <n v="4.9000000000000002E-2"/>
  </r>
  <r>
    <x v="0"/>
    <x v="12"/>
    <x v="2"/>
    <x v="0"/>
    <x v="6"/>
    <n v="58"/>
    <n v="4.5900000000000003E-2"/>
  </r>
  <r>
    <x v="0"/>
    <x v="12"/>
    <x v="2"/>
    <x v="0"/>
    <x v="7"/>
    <n v="67"/>
    <n v="8.0299999999999996E-2"/>
  </r>
  <r>
    <x v="0"/>
    <x v="12"/>
    <x v="2"/>
    <x v="0"/>
    <x v="8"/>
    <n v="58"/>
    <n v="1.9800000000000002E-2"/>
  </r>
  <r>
    <x v="0"/>
    <x v="12"/>
    <x v="2"/>
    <x v="0"/>
    <x v="9"/>
    <n v="51"/>
    <n v="2.5399999999999999E-2"/>
  </r>
  <r>
    <x v="0"/>
    <x v="12"/>
    <x v="2"/>
    <x v="0"/>
    <x v="10"/>
    <n v="64"/>
    <n v="5.0299999999999997E-2"/>
  </r>
  <r>
    <x v="0"/>
    <x v="12"/>
    <x v="2"/>
    <x v="0"/>
    <x v="11"/>
    <n v="65"/>
    <n v="6.2600000000000003E-2"/>
  </r>
  <r>
    <x v="0"/>
    <x v="12"/>
    <x v="2"/>
    <x v="0"/>
    <x v="12"/>
    <n v="72"/>
    <n v="6.6900000000000001E-2"/>
  </r>
  <r>
    <x v="0"/>
    <x v="12"/>
    <x v="2"/>
    <x v="0"/>
    <x v="13"/>
    <n v="58"/>
    <n v="3.0700000000000002E-2"/>
  </r>
  <r>
    <x v="1"/>
    <x v="13"/>
    <x v="2"/>
    <x v="0"/>
    <x v="0"/>
    <n v="76"/>
    <n v="3.4500000000000003E-2"/>
  </r>
  <r>
    <x v="1"/>
    <x v="13"/>
    <x v="2"/>
    <x v="0"/>
    <x v="1"/>
    <n v="57"/>
    <n v="6.0000000000000001E-3"/>
  </r>
  <r>
    <x v="1"/>
    <x v="13"/>
    <x v="2"/>
    <x v="0"/>
    <x v="2"/>
    <n v="64"/>
    <n v="1.3299999999999999E-2"/>
  </r>
  <r>
    <x v="1"/>
    <x v="13"/>
    <x v="2"/>
    <x v="0"/>
    <x v="3"/>
    <n v="76"/>
    <n v="9.1000000000000004E-3"/>
  </r>
  <r>
    <x v="1"/>
    <x v="13"/>
    <x v="2"/>
    <x v="0"/>
    <x v="4"/>
    <n v="84"/>
    <n v="1.8499999999999999E-2"/>
  </r>
  <r>
    <x v="1"/>
    <x v="13"/>
    <x v="2"/>
    <x v="0"/>
    <x v="5"/>
    <n v="116"/>
    <n v="6.3E-3"/>
  </r>
  <r>
    <x v="1"/>
    <x v="13"/>
    <x v="2"/>
    <x v="0"/>
    <x v="6"/>
    <n v="92"/>
    <n v="7.0000000000000001E-3"/>
  </r>
  <r>
    <x v="1"/>
    <x v="13"/>
    <x v="2"/>
    <x v="0"/>
    <x v="7"/>
    <n v="111"/>
    <n v="1.3299999999999999E-2"/>
  </r>
  <r>
    <x v="1"/>
    <x v="13"/>
    <x v="2"/>
    <x v="0"/>
    <x v="8"/>
    <n v="66"/>
    <n v="4.0000000000000001E-3"/>
  </r>
  <r>
    <x v="1"/>
    <x v="13"/>
    <x v="2"/>
    <x v="0"/>
    <x v="9"/>
    <n v="75"/>
    <n v="7.7000000000000002E-3"/>
  </r>
  <r>
    <x v="1"/>
    <x v="13"/>
    <x v="2"/>
    <x v="0"/>
    <x v="10"/>
    <n v="97"/>
    <n v="6.0000000000000001E-3"/>
  </r>
  <r>
    <x v="1"/>
    <x v="13"/>
    <x v="2"/>
    <x v="0"/>
    <x v="11"/>
    <n v="94"/>
    <n v="7.7999999999999996E-3"/>
  </r>
  <r>
    <x v="1"/>
    <x v="13"/>
    <x v="2"/>
    <x v="0"/>
    <x v="12"/>
    <n v="81"/>
    <n v="7.3000000000000001E-3"/>
  </r>
  <r>
    <x v="1"/>
    <x v="13"/>
    <x v="2"/>
    <x v="0"/>
    <x v="13"/>
    <n v="58"/>
    <n v="7.9000000000000008E-3"/>
  </r>
  <r>
    <x v="1"/>
    <x v="14"/>
    <x v="2"/>
    <x v="0"/>
    <x v="0"/>
    <n v="73"/>
    <n v="2.3099999999999999E-2"/>
  </r>
  <r>
    <x v="1"/>
    <x v="14"/>
    <x v="2"/>
    <x v="0"/>
    <x v="2"/>
    <n v="71"/>
    <n v="7.9000000000000008E-3"/>
  </r>
  <r>
    <x v="1"/>
    <x v="14"/>
    <x v="2"/>
    <x v="0"/>
    <x v="3"/>
    <n v="88"/>
    <n v="5.7000000000000002E-3"/>
  </r>
  <r>
    <x v="1"/>
    <x v="14"/>
    <x v="2"/>
    <x v="0"/>
    <x v="4"/>
    <n v="70"/>
    <n v="1.1900000000000001E-2"/>
  </r>
  <r>
    <x v="1"/>
    <x v="14"/>
    <x v="2"/>
    <x v="0"/>
    <x v="5"/>
    <n v="89"/>
    <n v="4.0000000000000001E-3"/>
  </r>
  <r>
    <x v="1"/>
    <x v="14"/>
    <x v="2"/>
    <x v="0"/>
    <x v="6"/>
    <n v="87"/>
    <n v="5.4000000000000003E-3"/>
  </r>
  <r>
    <x v="1"/>
    <x v="14"/>
    <x v="2"/>
    <x v="0"/>
    <x v="7"/>
    <n v="63"/>
    <n v="8.6999999999999994E-3"/>
  </r>
  <r>
    <x v="1"/>
    <x v="14"/>
    <x v="2"/>
    <x v="0"/>
    <x v="9"/>
    <n v="90"/>
    <n v="4.4000000000000003E-3"/>
  </r>
  <r>
    <x v="1"/>
    <x v="14"/>
    <x v="2"/>
    <x v="0"/>
    <x v="10"/>
    <n v="71"/>
    <n v="4.1000000000000003E-3"/>
  </r>
  <r>
    <x v="1"/>
    <x v="14"/>
    <x v="2"/>
    <x v="0"/>
    <x v="11"/>
    <n v="67"/>
    <n v="5.1000000000000004E-3"/>
  </r>
  <r>
    <x v="1"/>
    <x v="14"/>
    <x v="2"/>
    <x v="0"/>
    <x v="12"/>
    <n v="59"/>
    <n v="5.1000000000000004E-3"/>
  </r>
  <r>
    <x v="1"/>
    <x v="14"/>
    <x v="2"/>
    <x v="0"/>
    <x v="13"/>
    <n v="58"/>
    <n v="4.1000000000000003E-3"/>
  </r>
  <r>
    <x v="0"/>
    <x v="15"/>
    <x v="2"/>
    <x v="0"/>
    <x v="0"/>
    <n v="86"/>
    <n v="0.21490000000000001"/>
  </r>
  <r>
    <x v="0"/>
    <x v="15"/>
    <x v="2"/>
    <x v="0"/>
    <x v="1"/>
    <n v="83"/>
    <n v="2.1299999999999999E-2"/>
  </r>
  <r>
    <x v="0"/>
    <x v="15"/>
    <x v="2"/>
    <x v="0"/>
    <x v="2"/>
    <n v="85"/>
    <n v="6.1600000000000002E-2"/>
  </r>
  <r>
    <x v="0"/>
    <x v="15"/>
    <x v="2"/>
    <x v="0"/>
    <x v="3"/>
    <n v="88"/>
    <n v="4.9500000000000002E-2"/>
  </r>
  <r>
    <x v="0"/>
    <x v="15"/>
    <x v="2"/>
    <x v="0"/>
    <x v="4"/>
    <n v="84"/>
    <n v="0.14779999999999999"/>
  </r>
  <r>
    <x v="0"/>
    <x v="15"/>
    <x v="2"/>
    <x v="0"/>
    <x v="5"/>
    <n v="102"/>
    <n v="5.4800000000000001E-2"/>
  </r>
  <r>
    <x v="0"/>
    <x v="15"/>
    <x v="2"/>
    <x v="0"/>
    <x v="6"/>
    <n v="98"/>
    <n v="5.4800000000000001E-2"/>
  </r>
  <r>
    <x v="0"/>
    <x v="15"/>
    <x v="2"/>
    <x v="0"/>
    <x v="7"/>
    <n v="81"/>
    <n v="8.3900000000000002E-2"/>
  </r>
  <r>
    <x v="0"/>
    <x v="15"/>
    <x v="2"/>
    <x v="0"/>
    <x v="8"/>
    <n v="86"/>
    <n v="2.3099999999999999E-2"/>
  </r>
  <r>
    <x v="0"/>
    <x v="15"/>
    <x v="2"/>
    <x v="0"/>
    <x v="9"/>
    <n v="88"/>
    <n v="3.7699999999999997E-2"/>
  </r>
  <r>
    <x v="0"/>
    <x v="15"/>
    <x v="2"/>
    <x v="0"/>
    <x v="10"/>
    <n v="92"/>
    <n v="5.7799999999999997E-2"/>
  </r>
  <r>
    <x v="0"/>
    <x v="15"/>
    <x v="2"/>
    <x v="0"/>
    <x v="11"/>
    <n v="86"/>
    <n v="7.17E-2"/>
  </r>
  <r>
    <x v="0"/>
    <x v="15"/>
    <x v="2"/>
    <x v="0"/>
    <x v="12"/>
    <n v="82"/>
    <n v="7.9200000000000007E-2"/>
  </r>
  <r>
    <x v="0"/>
    <x v="15"/>
    <x v="2"/>
    <x v="0"/>
    <x v="13"/>
    <n v="86"/>
    <n v="3.5799999999999998E-2"/>
  </r>
  <r>
    <x v="1"/>
    <x v="124"/>
    <x v="2"/>
    <x v="0"/>
    <x v="0"/>
    <n v="20"/>
    <n v="5.1000000000000004E-3"/>
  </r>
  <r>
    <x v="0"/>
    <x v="16"/>
    <x v="2"/>
    <x v="0"/>
    <x v="0"/>
    <n v="84"/>
    <n v="0.1232"/>
  </r>
  <r>
    <x v="0"/>
    <x v="16"/>
    <x v="2"/>
    <x v="0"/>
    <x v="1"/>
    <n v="71"/>
    <n v="1.2800000000000001E-2"/>
  </r>
  <r>
    <x v="0"/>
    <x v="16"/>
    <x v="2"/>
    <x v="0"/>
    <x v="2"/>
    <n v="89"/>
    <n v="3.2000000000000001E-2"/>
  </r>
  <r>
    <x v="0"/>
    <x v="16"/>
    <x v="2"/>
    <x v="0"/>
    <x v="3"/>
    <n v="83"/>
    <n v="2.29E-2"/>
  </r>
  <r>
    <x v="0"/>
    <x v="16"/>
    <x v="2"/>
    <x v="0"/>
    <x v="4"/>
    <n v="80"/>
    <n v="6.83E-2"/>
  </r>
  <r>
    <x v="0"/>
    <x v="16"/>
    <x v="2"/>
    <x v="0"/>
    <x v="5"/>
    <n v="93"/>
    <n v="2.5899999999999999E-2"/>
  </r>
  <r>
    <x v="0"/>
    <x v="16"/>
    <x v="2"/>
    <x v="0"/>
    <x v="6"/>
    <n v="92"/>
    <n v="2.76E-2"/>
  </r>
  <r>
    <x v="0"/>
    <x v="16"/>
    <x v="2"/>
    <x v="0"/>
    <x v="7"/>
    <n v="82"/>
    <n v="4.7199999999999999E-2"/>
  </r>
  <r>
    <x v="0"/>
    <x v="16"/>
    <x v="2"/>
    <x v="0"/>
    <x v="8"/>
    <n v="94"/>
    <n v="1.2E-2"/>
  </r>
  <r>
    <x v="0"/>
    <x v="16"/>
    <x v="2"/>
    <x v="0"/>
    <x v="9"/>
    <n v="88"/>
    <n v="1.61E-2"/>
  </r>
  <r>
    <x v="0"/>
    <x v="16"/>
    <x v="2"/>
    <x v="0"/>
    <x v="10"/>
    <n v="88"/>
    <n v="2.3199999999999998E-2"/>
  </r>
  <r>
    <x v="0"/>
    <x v="16"/>
    <x v="2"/>
    <x v="0"/>
    <x v="11"/>
    <n v="78"/>
    <n v="2.8799999999999999E-2"/>
  </r>
  <r>
    <x v="0"/>
    <x v="16"/>
    <x v="2"/>
    <x v="0"/>
    <x v="12"/>
    <n v="73"/>
    <n v="3.2500000000000001E-2"/>
  </r>
  <r>
    <x v="0"/>
    <x v="16"/>
    <x v="2"/>
    <x v="0"/>
    <x v="13"/>
    <n v="82"/>
    <n v="2.1700000000000001E-2"/>
  </r>
  <r>
    <x v="1"/>
    <x v="17"/>
    <x v="2"/>
    <x v="1"/>
    <x v="0"/>
    <n v="113"/>
    <n v="0.75770000000000004"/>
  </r>
  <r>
    <x v="1"/>
    <x v="17"/>
    <x v="2"/>
    <x v="1"/>
    <x v="1"/>
    <n v="98"/>
    <n v="0.14219999999999999"/>
  </r>
  <r>
    <x v="1"/>
    <x v="17"/>
    <x v="2"/>
    <x v="1"/>
    <x v="2"/>
    <n v="104"/>
    <n v="0.3357"/>
  </r>
  <r>
    <x v="1"/>
    <x v="17"/>
    <x v="2"/>
    <x v="1"/>
    <x v="3"/>
    <n v="114"/>
    <n v="0.33289999999999997"/>
  </r>
  <r>
    <x v="1"/>
    <x v="17"/>
    <x v="2"/>
    <x v="1"/>
    <x v="4"/>
    <n v="121"/>
    <n v="0.67749999999999999"/>
  </r>
  <r>
    <x v="1"/>
    <x v="17"/>
    <x v="2"/>
    <x v="1"/>
    <x v="5"/>
    <n v="120"/>
    <n v="0.28710000000000002"/>
  </r>
  <r>
    <x v="1"/>
    <x v="17"/>
    <x v="2"/>
    <x v="1"/>
    <x v="6"/>
    <n v="110"/>
    <n v="0.2303"/>
  </r>
  <r>
    <x v="1"/>
    <x v="17"/>
    <x v="2"/>
    <x v="1"/>
    <x v="7"/>
    <n v="111"/>
    <n v="0.5181"/>
  </r>
  <r>
    <x v="1"/>
    <x v="17"/>
    <x v="2"/>
    <x v="1"/>
    <x v="8"/>
    <n v="103"/>
    <n v="9.6699999999999994E-2"/>
  </r>
  <r>
    <x v="1"/>
    <x v="17"/>
    <x v="2"/>
    <x v="1"/>
    <x v="9"/>
    <n v="110"/>
    <n v="0.23930000000000001"/>
  </r>
  <r>
    <x v="1"/>
    <x v="17"/>
    <x v="2"/>
    <x v="1"/>
    <x v="10"/>
    <n v="122"/>
    <n v="0.42649999999999999"/>
  </r>
  <r>
    <x v="1"/>
    <x v="17"/>
    <x v="2"/>
    <x v="1"/>
    <x v="11"/>
    <n v="118"/>
    <n v="0.4587"/>
  </r>
  <r>
    <x v="1"/>
    <x v="17"/>
    <x v="2"/>
    <x v="1"/>
    <x v="12"/>
    <n v="118"/>
    <n v="0.48820000000000002"/>
  </r>
  <r>
    <x v="1"/>
    <x v="17"/>
    <x v="2"/>
    <x v="1"/>
    <x v="13"/>
    <n v="100"/>
    <n v="0.21840000000000001"/>
  </r>
  <r>
    <x v="1"/>
    <x v="18"/>
    <x v="2"/>
    <x v="0"/>
    <x v="0"/>
    <n v="79"/>
    <n v="4.0899999999999999E-2"/>
  </r>
  <r>
    <x v="1"/>
    <x v="18"/>
    <x v="2"/>
    <x v="0"/>
    <x v="2"/>
    <n v="88"/>
    <n v="8.6E-3"/>
  </r>
  <r>
    <x v="1"/>
    <x v="18"/>
    <x v="2"/>
    <x v="0"/>
    <x v="3"/>
    <n v="84"/>
    <n v="6.7999999999999996E-3"/>
  </r>
  <r>
    <x v="1"/>
    <x v="18"/>
    <x v="2"/>
    <x v="0"/>
    <x v="4"/>
    <n v="89"/>
    <n v="2.53E-2"/>
  </r>
  <r>
    <x v="1"/>
    <x v="18"/>
    <x v="2"/>
    <x v="0"/>
    <x v="5"/>
    <n v="95"/>
    <n v="6.0000000000000001E-3"/>
  </r>
  <r>
    <x v="1"/>
    <x v="18"/>
    <x v="2"/>
    <x v="0"/>
    <x v="6"/>
    <n v="70"/>
    <n v="5.8999999999999999E-3"/>
  </r>
  <r>
    <x v="1"/>
    <x v="18"/>
    <x v="2"/>
    <x v="0"/>
    <x v="7"/>
    <n v="72"/>
    <n v="1.47E-2"/>
  </r>
  <r>
    <x v="1"/>
    <x v="18"/>
    <x v="2"/>
    <x v="0"/>
    <x v="9"/>
    <n v="92"/>
    <n v="4.4000000000000003E-3"/>
  </r>
  <r>
    <x v="1"/>
    <x v="18"/>
    <x v="2"/>
    <x v="0"/>
    <x v="10"/>
    <n v="88"/>
    <n v="8.6E-3"/>
  </r>
  <r>
    <x v="1"/>
    <x v="18"/>
    <x v="2"/>
    <x v="0"/>
    <x v="11"/>
    <n v="87"/>
    <n v="1.0699999999999999E-2"/>
  </r>
  <r>
    <x v="1"/>
    <x v="18"/>
    <x v="2"/>
    <x v="0"/>
    <x v="12"/>
    <n v="100"/>
    <n v="1.34E-2"/>
  </r>
  <r>
    <x v="1"/>
    <x v="18"/>
    <x v="2"/>
    <x v="0"/>
    <x v="13"/>
    <n v="37"/>
    <n v="4.3E-3"/>
  </r>
  <r>
    <x v="0"/>
    <x v="19"/>
    <x v="2"/>
    <x v="0"/>
    <x v="0"/>
    <n v="105"/>
    <n v="0.35370000000000001"/>
  </r>
  <r>
    <x v="0"/>
    <x v="19"/>
    <x v="2"/>
    <x v="0"/>
    <x v="1"/>
    <n v="101"/>
    <n v="4.1700000000000001E-2"/>
  </r>
  <r>
    <x v="0"/>
    <x v="19"/>
    <x v="2"/>
    <x v="0"/>
    <x v="2"/>
    <n v="102"/>
    <n v="0.11119999999999999"/>
  </r>
  <r>
    <x v="0"/>
    <x v="19"/>
    <x v="2"/>
    <x v="0"/>
    <x v="3"/>
    <n v="108"/>
    <n v="0.1389"/>
  </r>
  <r>
    <x v="0"/>
    <x v="19"/>
    <x v="2"/>
    <x v="0"/>
    <x v="4"/>
    <n v="107"/>
    <n v="0.24759999999999999"/>
  </r>
  <r>
    <x v="0"/>
    <x v="19"/>
    <x v="2"/>
    <x v="0"/>
    <x v="5"/>
    <n v="112"/>
    <n v="6.3399999999999998E-2"/>
  </r>
  <r>
    <x v="0"/>
    <x v="19"/>
    <x v="2"/>
    <x v="0"/>
    <x v="6"/>
    <n v="102"/>
    <n v="7.22E-2"/>
  </r>
  <r>
    <x v="0"/>
    <x v="19"/>
    <x v="2"/>
    <x v="0"/>
    <x v="7"/>
    <n v="110"/>
    <n v="0.19359999999999999"/>
  </r>
  <r>
    <x v="0"/>
    <x v="19"/>
    <x v="2"/>
    <x v="0"/>
    <x v="8"/>
    <n v="96"/>
    <n v="3.3599999999999998E-2"/>
  </r>
  <r>
    <x v="0"/>
    <x v="19"/>
    <x v="2"/>
    <x v="0"/>
    <x v="9"/>
    <n v="106"/>
    <n v="0.1075"/>
  </r>
  <r>
    <x v="0"/>
    <x v="19"/>
    <x v="2"/>
    <x v="0"/>
    <x v="10"/>
    <n v="105"/>
    <n v="7.8700000000000006E-2"/>
  </r>
  <r>
    <x v="0"/>
    <x v="19"/>
    <x v="2"/>
    <x v="0"/>
    <x v="11"/>
    <n v="109"/>
    <n v="0.1128"/>
  </r>
  <r>
    <x v="0"/>
    <x v="19"/>
    <x v="2"/>
    <x v="0"/>
    <x v="12"/>
    <n v="108"/>
    <n v="0.1231"/>
  </r>
  <r>
    <x v="0"/>
    <x v="19"/>
    <x v="2"/>
    <x v="0"/>
    <x v="13"/>
    <n v="103"/>
    <n v="6.88E-2"/>
  </r>
  <r>
    <x v="0"/>
    <x v="20"/>
    <x v="2"/>
    <x v="0"/>
    <x v="0"/>
    <n v="93"/>
    <n v="0.43149999999999999"/>
  </r>
  <r>
    <x v="0"/>
    <x v="20"/>
    <x v="2"/>
    <x v="0"/>
    <x v="1"/>
    <n v="86"/>
    <n v="0.1091"/>
  </r>
  <r>
    <x v="0"/>
    <x v="20"/>
    <x v="2"/>
    <x v="0"/>
    <x v="2"/>
    <n v="96"/>
    <n v="0.23599999999999999"/>
  </r>
  <r>
    <x v="0"/>
    <x v="20"/>
    <x v="2"/>
    <x v="0"/>
    <x v="3"/>
    <n v="95"/>
    <n v="0.191"/>
  </r>
  <r>
    <x v="0"/>
    <x v="20"/>
    <x v="2"/>
    <x v="0"/>
    <x v="4"/>
    <n v="92"/>
    <n v="0.31580000000000003"/>
  </r>
  <r>
    <x v="0"/>
    <x v="20"/>
    <x v="2"/>
    <x v="0"/>
    <x v="5"/>
    <n v="89"/>
    <n v="0.15820000000000001"/>
  </r>
  <r>
    <x v="0"/>
    <x v="20"/>
    <x v="2"/>
    <x v="0"/>
    <x v="6"/>
    <n v="86"/>
    <n v="0.14929999999999999"/>
  </r>
  <r>
    <x v="0"/>
    <x v="20"/>
    <x v="2"/>
    <x v="0"/>
    <x v="7"/>
    <n v="94"/>
    <n v="0.28889999999999999"/>
  </r>
  <r>
    <x v="0"/>
    <x v="20"/>
    <x v="2"/>
    <x v="0"/>
    <x v="8"/>
    <n v="84"/>
    <n v="7.7799999999999994E-2"/>
  </r>
  <r>
    <x v="0"/>
    <x v="20"/>
    <x v="2"/>
    <x v="0"/>
    <x v="9"/>
    <n v="97"/>
    <n v="0.1704"/>
  </r>
  <r>
    <x v="0"/>
    <x v="20"/>
    <x v="2"/>
    <x v="0"/>
    <x v="10"/>
    <n v="88"/>
    <n v="0.17979999999999999"/>
  </r>
  <r>
    <x v="0"/>
    <x v="20"/>
    <x v="2"/>
    <x v="0"/>
    <x v="11"/>
    <n v="90"/>
    <n v="0.19900000000000001"/>
  </r>
  <r>
    <x v="0"/>
    <x v="20"/>
    <x v="2"/>
    <x v="0"/>
    <x v="12"/>
    <n v="94"/>
    <n v="0.19950000000000001"/>
  </r>
  <r>
    <x v="0"/>
    <x v="20"/>
    <x v="2"/>
    <x v="0"/>
    <x v="13"/>
    <n v="87"/>
    <n v="0.15010000000000001"/>
  </r>
  <r>
    <x v="0"/>
    <x v="21"/>
    <x v="2"/>
    <x v="0"/>
    <x v="0"/>
    <n v="16"/>
    <n v="5.4000000000000003E-3"/>
  </r>
  <r>
    <x v="1"/>
    <x v="22"/>
    <x v="2"/>
    <x v="0"/>
    <x v="0"/>
    <n v="187"/>
    <n v="4.4000000000000003E-3"/>
  </r>
  <r>
    <x v="0"/>
    <x v="23"/>
    <x v="2"/>
    <x v="0"/>
    <x v="0"/>
    <n v="90"/>
    <n v="0.1883"/>
  </r>
  <r>
    <x v="0"/>
    <x v="23"/>
    <x v="2"/>
    <x v="0"/>
    <x v="1"/>
    <n v="82"/>
    <n v="1.5299999999999999E-2"/>
  </r>
  <r>
    <x v="0"/>
    <x v="23"/>
    <x v="2"/>
    <x v="0"/>
    <x v="2"/>
    <n v="101"/>
    <n v="5.2299999999999999E-2"/>
  </r>
  <r>
    <x v="0"/>
    <x v="23"/>
    <x v="2"/>
    <x v="0"/>
    <x v="3"/>
    <n v="95"/>
    <n v="3.9800000000000002E-2"/>
  </r>
  <r>
    <x v="0"/>
    <x v="23"/>
    <x v="2"/>
    <x v="0"/>
    <x v="4"/>
    <n v="86"/>
    <n v="0.12590000000000001"/>
  </r>
  <r>
    <x v="0"/>
    <x v="23"/>
    <x v="2"/>
    <x v="0"/>
    <x v="5"/>
    <n v="83"/>
    <n v="4.5499999999999999E-2"/>
  </r>
  <r>
    <x v="0"/>
    <x v="23"/>
    <x v="2"/>
    <x v="0"/>
    <x v="6"/>
    <n v="91"/>
    <n v="3.9399999999999998E-2"/>
  </r>
  <r>
    <x v="0"/>
    <x v="23"/>
    <x v="2"/>
    <x v="0"/>
    <x v="7"/>
    <n v="87"/>
    <n v="7.1800000000000003E-2"/>
  </r>
  <r>
    <x v="0"/>
    <x v="23"/>
    <x v="2"/>
    <x v="0"/>
    <x v="8"/>
    <n v="89"/>
    <n v="1.4200000000000001E-2"/>
  </r>
  <r>
    <x v="0"/>
    <x v="23"/>
    <x v="2"/>
    <x v="0"/>
    <x v="9"/>
    <n v="100"/>
    <n v="3.3599999999999998E-2"/>
  </r>
  <r>
    <x v="0"/>
    <x v="23"/>
    <x v="2"/>
    <x v="0"/>
    <x v="10"/>
    <n v="93"/>
    <n v="5.3699999999999998E-2"/>
  </r>
  <r>
    <x v="0"/>
    <x v="23"/>
    <x v="2"/>
    <x v="0"/>
    <x v="11"/>
    <n v="80"/>
    <n v="5.3199999999999997E-2"/>
  </r>
  <r>
    <x v="0"/>
    <x v="23"/>
    <x v="2"/>
    <x v="0"/>
    <x v="12"/>
    <n v="81"/>
    <n v="5.0099999999999999E-2"/>
  </r>
  <r>
    <x v="0"/>
    <x v="23"/>
    <x v="2"/>
    <x v="0"/>
    <x v="13"/>
    <n v="91"/>
    <n v="2.69E-2"/>
  </r>
  <r>
    <x v="0"/>
    <x v="24"/>
    <x v="2"/>
    <x v="0"/>
    <x v="0"/>
    <n v="105"/>
    <n v="6.59E-2"/>
  </r>
  <r>
    <x v="0"/>
    <x v="24"/>
    <x v="2"/>
    <x v="0"/>
    <x v="1"/>
    <n v="113"/>
    <n v="7.6E-3"/>
  </r>
  <r>
    <x v="0"/>
    <x v="24"/>
    <x v="2"/>
    <x v="0"/>
    <x v="2"/>
    <n v="99"/>
    <n v="2.69E-2"/>
  </r>
  <r>
    <x v="0"/>
    <x v="24"/>
    <x v="2"/>
    <x v="0"/>
    <x v="3"/>
    <n v="105"/>
    <n v="2.12E-2"/>
  </r>
  <r>
    <x v="0"/>
    <x v="24"/>
    <x v="2"/>
    <x v="0"/>
    <x v="4"/>
    <n v="110"/>
    <n v="4.3200000000000002E-2"/>
  </r>
  <r>
    <x v="0"/>
    <x v="24"/>
    <x v="2"/>
    <x v="0"/>
    <x v="5"/>
    <n v="104"/>
    <n v="1.7899999999999999E-2"/>
  </r>
  <r>
    <x v="0"/>
    <x v="24"/>
    <x v="2"/>
    <x v="0"/>
    <x v="6"/>
    <n v="92"/>
    <n v="1.5800000000000002E-2"/>
  </r>
  <r>
    <x v="0"/>
    <x v="24"/>
    <x v="2"/>
    <x v="0"/>
    <x v="7"/>
    <n v="110"/>
    <n v="3.2000000000000001E-2"/>
  </r>
  <r>
    <x v="0"/>
    <x v="24"/>
    <x v="2"/>
    <x v="0"/>
    <x v="8"/>
    <n v="96"/>
    <n v="5.7000000000000002E-3"/>
  </r>
  <r>
    <x v="0"/>
    <x v="24"/>
    <x v="2"/>
    <x v="0"/>
    <x v="9"/>
    <n v="99"/>
    <n v="1.8200000000000001E-2"/>
  </r>
  <r>
    <x v="0"/>
    <x v="24"/>
    <x v="2"/>
    <x v="0"/>
    <x v="10"/>
    <n v="107"/>
    <n v="1.9E-2"/>
  </r>
  <r>
    <x v="0"/>
    <x v="24"/>
    <x v="2"/>
    <x v="0"/>
    <x v="11"/>
    <n v="106"/>
    <n v="2.1899999999999999E-2"/>
  </r>
  <r>
    <x v="0"/>
    <x v="24"/>
    <x v="2"/>
    <x v="0"/>
    <x v="12"/>
    <n v="112"/>
    <n v="2.23E-2"/>
  </r>
  <r>
    <x v="0"/>
    <x v="24"/>
    <x v="2"/>
    <x v="0"/>
    <x v="13"/>
    <n v="114"/>
    <n v="1.29E-2"/>
  </r>
  <r>
    <x v="0"/>
    <x v="25"/>
    <x v="2"/>
    <x v="0"/>
    <x v="0"/>
    <n v="102"/>
    <n v="0.22600000000000001"/>
  </r>
  <r>
    <x v="0"/>
    <x v="25"/>
    <x v="2"/>
    <x v="0"/>
    <x v="1"/>
    <n v="54"/>
    <n v="1.54E-2"/>
  </r>
  <r>
    <x v="0"/>
    <x v="25"/>
    <x v="2"/>
    <x v="0"/>
    <x v="2"/>
    <n v="97"/>
    <n v="5.3800000000000001E-2"/>
  </r>
  <r>
    <x v="0"/>
    <x v="25"/>
    <x v="2"/>
    <x v="0"/>
    <x v="3"/>
    <n v="103"/>
    <n v="4.19E-2"/>
  </r>
  <r>
    <x v="0"/>
    <x v="25"/>
    <x v="2"/>
    <x v="0"/>
    <x v="4"/>
    <n v="101"/>
    <n v="0.1462"/>
  </r>
  <r>
    <x v="0"/>
    <x v="25"/>
    <x v="2"/>
    <x v="0"/>
    <x v="5"/>
    <n v="115"/>
    <n v="5.5800000000000002E-2"/>
  </r>
  <r>
    <x v="0"/>
    <x v="25"/>
    <x v="2"/>
    <x v="0"/>
    <x v="6"/>
    <n v="111"/>
    <n v="5.3499999999999999E-2"/>
  </r>
  <r>
    <x v="0"/>
    <x v="25"/>
    <x v="2"/>
    <x v="0"/>
    <x v="7"/>
    <n v="99"/>
    <n v="0.11849999999999999"/>
  </r>
  <r>
    <x v="0"/>
    <x v="25"/>
    <x v="2"/>
    <x v="0"/>
    <x v="8"/>
    <n v="67"/>
    <n v="1.95E-2"/>
  </r>
  <r>
    <x v="0"/>
    <x v="25"/>
    <x v="2"/>
    <x v="0"/>
    <x v="9"/>
    <n v="105"/>
    <n v="3.39E-2"/>
  </r>
  <r>
    <x v="0"/>
    <x v="25"/>
    <x v="2"/>
    <x v="0"/>
    <x v="10"/>
    <n v="105"/>
    <n v="6.3E-2"/>
  </r>
  <r>
    <x v="0"/>
    <x v="25"/>
    <x v="2"/>
    <x v="0"/>
    <x v="11"/>
    <n v="105"/>
    <n v="6.9900000000000004E-2"/>
  </r>
  <r>
    <x v="0"/>
    <x v="25"/>
    <x v="2"/>
    <x v="0"/>
    <x v="12"/>
    <n v="101"/>
    <n v="7.1300000000000002E-2"/>
  </r>
  <r>
    <x v="0"/>
    <x v="25"/>
    <x v="2"/>
    <x v="0"/>
    <x v="13"/>
    <n v="80"/>
    <n v="3.4500000000000003E-2"/>
  </r>
  <r>
    <x v="1"/>
    <x v="26"/>
    <x v="2"/>
    <x v="0"/>
    <x v="0"/>
    <n v="88"/>
    <n v="5.0999999999999997E-2"/>
  </r>
  <r>
    <x v="1"/>
    <x v="26"/>
    <x v="2"/>
    <x v="0"/>
    <x v="2"/>
    <n v="80"/>
    <n v="1.38E-2"/>
  </r>
  <r>
    <x v="1"/>
    <x v="26"/>
    <x v="2"/>
    <x v="0"/>
    <x v="3"/>
    <n v="104"/>
    <n v="9.7000000000000003E-3"/>
  </r>
  <r>
    <x v="1"/>
    <x v="26"/>
    <x v="2"/>
    <x v="0"/>
    <x v="4"/>
    <n v="95"/>
    <n v="2.7300000000000001E-2"/>
  </r>
  <r>
    <x v="1"/>
    <x v="26"/>
    <x v="2"/>
    <x v="0"/>
    <x v="5"/>
    <n v="92"/>
    <n v="8.6E-3"/>
  </r>
  <r>
    <x v="1"/>
    <x v="26"/>
    <x v="2"/>
    <x v="0"/>
    <x v="6"/>
    <n v="65"/>
    <n v="9.7999999999999997E-3"/>
  </r>
  <r>
    <x v="1"/>
    <x v="26"/>
    <x v="2"/>
    <x v="0"/>
    <x v="7"/>
    <n v="96"/>
    <n v="2.1499999999999998E-2"/>
  </r>
  <r>
    <x v="1"/>
    <x v="26"/>
    <x v="2"/>
    <x v="0"/>
    <x v="8"/>
    <n v="62"/>
    <n v="4.0000000000000001E-3"/>
  </r>
  <r>
    <x v="1"/>
    <x v="26"/>
    <x v="2"/>
    <x v="0"/>
    <x v="9"/>
    <n v="111"/>
    <n v="7.9000000000000008E-3"/>
  </r>
  <r>
    <x v="1"/>
    <x v="26"/>
    <x v="2"/>
    <x v="0"/>
    <x v="10"/>
    <n v="98"/>
    <n v="9.1000000000000004E-3"/>
  </r>
  <r>
    <x v="1"/>
    <x v="26"/>
    <x v="2"/>
    <x v="0"/>
    <x v="11"/>
    <n v="98"/>
    <n v="0.01"/>
  </r>
  <r>
    <x v="1"/>
    <x v="26"/>
    <x v="2"/>
    <x v="0"/>
    <x v="12"/>
    <n v="104"/>
    <n v="1.12E-2"/>
  </r>
  <r>
    <x v="1"/>
    <x v="26"/>
    <x v="2"/>
    <x v="0"/>
    <x v="13"/>
    <n v="63"/>
    <n v="7.4000000000000003E-3"/>
  </r>
  <r>
    <x v="1"/>
    <x v="27"/>
    <x v="2"/>
    <x v="1"/>
    <x v="0"/>
    <n v="97"/>
    <n v="0.51970000000000005"/>
  </r>
  <r>
    <x v="1"/>
    <x v="27"/>
    <x v="2"/>
    <x v="1"/>
    <x v="1"/>
    <n v="82"/>
    <n v="5.7299999999999997E-2"/>
  </r>
  <r>
    <x v="1"/>
    <x v="27"/>
    <x v="2"/>
    <x v="1"/>
    <x v="2"/>
    <n v="86"/>
    <n v="0.1452"/>
  </r>
  <r>
    <x v="1"/>
    <x v="27"/>
    <x v="2"/>
    <x v="1"/>
    <x v="3"/>
    <n v="103"/>
    <n v="0.1368"/>
  </r>
  <r>
    <x v="1"/>
    <x v="27"/>
    <x v="2"/>
    <x v="1"/>
    <x v="4"/>
    <n v="102"/>
    <n v="0.38"/>
  </r>
  <r>
    <x v="1"/>
    <x v="27"/>
    <x v="2"/>
    <x v="1"/>
    <x v="5"/>
    <n v="106"/>
    <n v="0.1201"/>
  </r>
  <r>
    <x v="1"/>
    <x v="27"/>
    <x v="2"/>
    <x v="1"/>
    <x v="6"/>
    <n v="100"/>
    <n v="0.12130000000000001"/>
  </r>
  <r>
    <x v="1"/>
    <x v="27"/>
    <x v="2"/>
    <x v="1"/>
    <x v="7"/>
    <n v="100"/>
    <n v="0.24410000000000001"/>
  </r>
  <r>
    <x v="1"/>
    <x v="27"/>
    <x v="2"/>
    <x v="1"/>
    <x v="8"/>
    <n v="91"/>
    <n v="5.0799999999999998E-2"/>
  </r>
  <r>
    <x v="1"/>
    <x v="27"/>
    <x v="2"/>
    <x v="1"/>
    <x v="9"/>
    <n v="99"/>
    <n v="0.1012"/>
  </r>
  <r>
    <x v="1"/>
    <x v="27"/>
    <x v="2"/>
    <x v="1"/>
    <x v="10"/>
    <n v="101"/>
    <n v="0.1285"/>
  </r>
  <r>
    <x v="1"/>
    <x v="27"/>
    <x v="2"/>
    <x v="1"/>
    <x v="11"/>
    <n v="98"/>
    <n v="0.16300000000000001"/>
  </r>
  <r>
    <x v="1"/>
    <x v="27"/>
    <x v="2"/>
    <x v="1"/>
    <x v="12"/>
    <n v="96"/>
    <n v="0.19450000000000001"/>
  </r>
  <r>
    <x v="1"/>
    <x v="27"/>
    <x v="2"/>
    <x v="1"/>
    <x v="13"/>
    <n v="91"/>
    <n v="9.7600000000000006E-2"/>
  </r>
  <r>
    <x v="1"/>
    <x v="29"/>
    <x v="2"/>
    <x v="0"/>
    <x v="0"/>
    <n v="106"/>
    <n v="6.8000000000000005E-2"/>
  </r>
  <r>
    <x v="1"/>
    <x v="29"/>
    <x v="2"/>
    <x v="0"/>
    <x v="1"/>
    <n v="60"/>
    <n v="7.9000000000000008E-3"/>
  </r>
  <r>
    <x v="1"/>
    <x v="29"/>
    <x v="2"/>
    <x v="0"/>
    <x v="2"/>
    <n v="86"/>
    <n v="2.3E-2"/>
  </r>
  <r>
    <x v="1"/>
    <x v="29"/>
    <x v="2"/>
    <x v="0"/>
    <x v="3"/>
    <n v="109"/>
    <n v="1.6E-2"/>
  </r>
  <r>
    <x v="1"/>
    <x v="29"/>
    <x v="2"/>
    <x v="0"/>
    <x v="4"/>
    <n v="121"/>
    <n v="3.8800000000000001E-2"/>
  </r>
  <r>
    <x v="1"/>
    <x v="29"/>
    <x v="2"/>
    <x v="0"/>
    <x v="5"/>
    <n v="110"/>
    <n v="1.6799999999999999E-2"/>
  </r>
  <r>
    <x v="1"/>
    <x v="29"/>
    <x v="2"/>
    <x v="0"/>
    <x v="6"/>
    <n v="108"/>
    <n v="1.7299999999999999E-2"/>
  </r>
  <r>
    <x v="1"/>
    <x v="29"/>
    <x v="2"/>
    <x v="0"/>
    <x v="7"/>
    <n v="119"/>
    <n v="2.98E-2"/>
  </r>
  <r>
    <x v="1"/>
    <x v="29"/>
    <x v="2"/>
    <x v="0"/>
    <x v="8"/>
    <n v="71"/>
    <n v="7.6E-3"/>
  </r>
  <r>
    <x v="1"/>
    <x v="29"/>
    <x v="2"/>
    <x v="0"/>
    <x v="9"/>
    <n v="108"/>
    <n v="1.29E-2"/>
  </r>
  <r>
    <x v="1"/>
    <x v="29"/>
    <x v="2"/>
    <x v="0"/>
    <x v="10"/>
    <n v="112"/>
    <n v="1.49E-2"/>
  </r>
  <r>
    <x v="1"/>
    <x v="29"/>
    <x v="2"/>
    <x v="0"/>
    <x v="11"/>
    <n v="121"/>
    <n v="1.83E-2"/>
  </r>
  <r>
    <x v="1"/>
    <x v="29"/>
    <x v="2"/>
    <x v="0"/>
    <x v="12"/>
    <n v="118"/>
    <n v="1.9800000000000002E-2"/>
  </r>
  <r>
    <x v="1"/>
    <x v="29"/>
    <x v="2"/>
    <x v="0"/>
    <x v="13"/>
    <n v="96"/>
    <n v="1.4500000000000001E-2"/>
  </r>
  <r>
    <x v="1"/>
    <x v="30"/>
    <x v="2"/>
    <x v="0"/>
    <x v="0"/>
    <n v="96"/>
    <n v="4.3700000000000003E-2"/>
  </r>
  <r>
    <x v="1"/>
    <x v="30"/>
    <x v="2"/>
    <x v="0"/>
    <x v="2"/>
    <n v="57"/>
    <n v="6.0000000000000001E-3"/>
  </r>
  <r>
    <x v="1"/>
    <x v="30"/>
    <x v="2"/>
    <x v="0"/>
    <x v="3"/>
    <n v="63"/>
    <n v="6.6E-3"/>
  </r>
  <r>
    <x v="1"/>
    <x v="30"/>
    <x v="2"/>
    <x v="0"/>
    <x v="4"/>
    <n v="100"/>
    <n v="2.6200000000000001E-2"/>
  </r>
  <r>
    <x v="1"/>
    <x v="30"/>
    <x v="2"/>
    <x v="0"/>
    <x v="5"/>
    <n v="111"/>
    <n v="7.6E-3"/>
  </r>
  <r>
    <x v="1"/>
    <x v="30"/>
    <x v="2"/>
    <x v="0"/>
    <x v="6"/>
    <n v="123"/>
    <n v="7.9000000000000008E-3"/>
  </r>
  <r>
    <x v="1"/>
    <x v="30"/>
    <x v="2"/>
    <x v="0"/>
    <x v="7"/>
    <n v="94"/>
    <n v="1.4500000000000001E-2"/>
  </r>
  <r>
    <x v="1"/>
    <x v="30"/>
    <x v="2"/>
    <x v="0"/>
    <x v="10"/>
    <n v="84"/>
    <n v="8.5000000000000006E-3"/>
  </r>
  <r>
    <x v="1"/>
    <x v="30"/>
    <x v="2"/>
    <x v="0"/>
    <x v="11"/>
    <n v="94"/>
    <n v="9.2999999999999992E-3"/>
  </r>
  <r>
    <x v="1"/>
    <x v="30"/>
    <x v="2"/>
    <x v="0"/>
    <x v="12"/>
    <n v="96"/>
    <n v="1.0999999999999999E-2"/>
  </r>
  <r>
    <x v="1"/>
    <x v="30"/>
    <x v="2"/>
    <x v="0"/>
    <x v="13"/>
    <n v="74"/>
    <n v="3.8E-3"/>
  </r>
  <r>
    <x v="0"/>
    <x v="31"/>
    <x v="2"/>
    <x v="0"/>
    <x v="0"/>
    <n v="104"/>
    <n v="0.43469999999999998"/>
  </r>
  <r>
    <x v="0"/>
    <x v="31"/>
    <x v="2"/>
    <x v="0"/>
    <x v="1"/>
    <n v="90"/>
    <n v="6.08E-2"/>
  </r>
  <r>
    <x v="0"/>
    <x v="31"/>
    <x v="2"/>
    <x v="0"/>
    <x v="2"/>
    <n v="109"/>
    <n v="0.16700000000000001"/>
  </r>
  <r>
    <x v="0"/>
    <x v="31"/>
    <x v="2"/>
    <x v="0"/>
    <x v="3"/>
    <n v="101"/>
    <n v="0.13059999999999999"/>
  </r>
  <r>
    <x v="0"/>
    <x v="31"/>
    <x v="2"/>
    <x v="0"/>
    <x v="4"/>
    <n v="106"/>
    <n v="0.2954"/>
  </r>
  <r>
    <x v="0"/>
    <x v="31"/>
    <x v="2"/>
    <x v="0"/>
    <x v="5"/>
    <n v="96"/>
    <n v="0.11509999999999999"/>
  </r>
  <r>
    <x v="0"/>
    <x v="31"/>
    <x v="2"/>
    <x v="0"/>
    <x v="6"/>
    <n v="97"/>
    <n v="0.113"/>
  </r>
  <r>
    <x v="0"/>
    <x v="31"/>
    <x v="2"/>
    <x v="0"/>
    <x v="7"/>
    <n v="104"/>
    <n v="0.24840000000000001"/>
  </r>
  <r>
    <x v="0"/>
    <x v="31"/>
    <x v="2"/>
    <x v="0"/>
    <x v="8"/>
    <n v="92"/>
    <n v="5.0900000000000001E-2"/>
  </r>
  <r>
    <x v="0"/>
    <x v="31"/>
    <x v="2"/>
    <x v="0"/>
    <x v="9"/>
    <n v="103"/>
    <n v="0.1046"/>
  </r>
  <r>
    <x v="0"/>
    <x v="31"/>
    <x v="2"/>
    <x v="0"/>
    <x v="10"/>
    <n v="96"/>
    <n v="0.1318"/>
  </r>
  <r>
    <x v="0"/>
    <x v="31"/>
    <x v="2"/>
    <x v="0"/>
    <x v="11"/>
    <n v="106"/>
    <n v="0.15720000000000001"/>
  </r>
  <r>
    <x v="0"/>
    <x v="31"/>
    <x v="2"/>
    <x v="0"/>
    <x v="12"/>
    <n v="107"/>
    <n v="0.1681"/>
  </r>
  <r>
    <x v="0"/>
    <x v="31"/>
    <x v="2"/>
    <x v="0"/>
    <x v="13"/>
    <n v="94"/>
    <n v="9.4100000000000003E-2"/>
  </r>
  <r>
    <x v="0"/>
    <x v="32"/>
    <x v="2"/>
    <x v="0"/>
    <x v="0"/>
    <n v="20"/>
    <n v="7.7999999999999996E-3"/>
  </r>
  <r>
    <x v="1"/>
    <x v="33"/>
    <x v="2"/>
    <x v="0"/>
    <x v="0"/>
    <n v="107"/>
    <n v="4.7800000000000002E-2"/>
  </r>
  <r>
    <x v="1"/>
    <x v="33"/>
    <x v="2"/>
    <x v="0"/>
    <x v="1"/>
    <n v="107"/>
    <n v="5.8999999999999999E-3"/>
  </r>
  <r>
    <x v="1"/>
    <x v="33"/>
    <x v="2"/>
    <x v="0"/>
    <x v="2"/>
    <n v="108"/>
    <n v="1.77E-2"/>
  </r>
  <r>
    <x v="1"/>
    <x v="33"/>
    <x v="2"/>
    <x v="0"/>
    <x v="3"/>
    <n v="97"/>
    <n v="1.21E-2"/>
  </r>
  <r>
    <x v="1"/>
    <x v="33"/>
    <x v="2"/>
    <x v="0"/>
    <x v="4"/>
    <n v="107"/>
    <n v="2.7699999999999999E-2"/>
  </r>
  <r>
    <x v="1"/>
    <x v="33"/>
    <x v="2"/>
    <x v="0"/>
    <x v="5"/>
    <n v="98"/>
    <n v="1.2999999999999999E-2"/>
  </r>
  <r>
    <x v="1"/>
    <x v="33"/>
    <x v="2"/>
    <x v="0"/>
    <x v="6"/>
    <n v="112"/>
    <n v="1.3899999999999999E-2"/>
  </r>
  <r>
    <x v="1"/>
    <x v="33"/>
    <x v="2"/>
    <x v="0"/>
    <x v="7"/>
    <n v="111"/>
    <n v="1.9300000000000001E-2"/>
  </r>
  <r>
    <x v="1"/>
    <x v="33"/>
    <x v="2"/>
    <x v="0"/>
    <x v="8"/>
    <n v="116"/>
    <n v="6.3E-3"/>
  </r>
  <r>
    <x v="1"/>
    <x v="33"/>
    <x v="2"/>
    <x v="0"/>
    <x v="9"/>
    <n v="98"/>
    <n v="9.7999999999999997E-3"/>
  </r>
  <r>
    <x v="1"/>
    <x v="33"/>
    <x v="2"/>
    <x v="0"/>
    <x v="10"/>
    <n v="94"/>
    <n v="1.2200000000000001E-2"/>
  </r>
  <r>
    <x v="1"/>
    <x v="33"/>
    <x v="2"/>
    <x v="0"/>
    <x v="11"/>
    <n v="109"/>
    <n v="1.41E-2"/>
  </r>
  <r>
    <x v="1"/>
    <x v="33"/>
    <x v="2"/>
    <x v="0"/>
    <x v="12"/>
    <n v="108"/>
    <n v="1.41E-2"/>
  </r>
  <r>
    <x v="1"/>
    <x v="33"/>
    <x v="2"/>
    <x v="0"/>
    <x v="13"/>
    <n v="116"/>
    <n v="1.03E-2"/>
  </r>
  <r>
    <x v="1"/>
    <x v="34"/>
    <x v="2"/>
    <x v="0"/>
    <x v="0"/>
    <n v="56"/>
    <n v="0.1462"/>
  </r>
  <r>
    <x v="1"/>
    <x v="34"/>
    <x v="2"/>
    <x v="0"/>
    <x v="1"/>
    <n v="37"/>
    <n v="9.7999999999999997E-3"/>
  </r>
  <r>
    <x v="1"/>
    <x v="34"/>
    <x v="2"/>
    <x v="0"/>
    <x v="2"/>
    <n v="49"/>
    <n v="3.3500000000000002E-2"/>
  </r>
  <r>
    <x v="1"/>
    <x v="34"/>
    <x v="2"/>
    <x v="0"/>
    <x v="3"/>
    <n v="56"/>
    <n v="2.8799999999999999E-2"/>
  </r>
  <r>
    <x v="1"/>
    <x v="34"/>
    <x v="2"/>
    <x v="0"/>
    <x v="4"/>
    <n v="62"/>
    <n v="8.8300000000000003E-2"/>
  </r>
  <r>
    <x v="1"/>
    <x v="34"/>
    <x v="2"/>
    <x v="0"/>
    <x v="5"/>
    <n v="64"/>
    <n v="1.4800000000000001E-2"/>
  </r>
  <r>
    <x v="1"/>
    <x v="34"/>
    <x v="2"/>
    <x v="0"/>
    <x v="6"/>
    <n v="52"/>
    <n v="1.55E-2"/>
  </r>
  <r>
    <x v="1"/>
    <x v="34"/>
    <x v="2"/>
    <x v="0"/>
    <x v="7"/>
    <n v="62"/>
    <n v="5.8700000000000002E-2"/>
  </r>
  <r>
    <x v="1"/>
    <x v="34"/>
    <x v="2"/>
    <x v="0"/>
    <x v="8"/>
    <n v="52"/>
    <n v="6.1999999999999998E-3"/>
  </r>
  <r>
    <x v="1"/>
    <x v="34"/>
    <x v="2"/>
    <x v="0"/>
    <x v="9"/>
    <n v="57"/>
    <n v="2.2200000000000001E-2"/>
  </r>
  <r>
    <x v="1"/>
    <x v="34"/>
    <x v="2"/>
    <x v="0"/>
    <x v="10"/>
    <n v="59"/>
    <n v="1.7999999999999999E-2"/>
  </r>
  <r>
    <x v="1"/>
    <x v="34"/>
    <x v="2"/>
    <x v="0"/>
    <x v="11"/>
    <n v="60"/>
    <n v="2.2499999999999999E-2"/>
  </r>
  <r>
    <x v="1"/>
    <x v="34"/>
    <x v="2"/>
    <x v="0"/>
    <x v="12"/>
    <n v="67"/>
    <n v="3.6700000000000003E-2"/>
  </r>
  <r>
    <x v="1"/>
    <x v="34"/>
    <x v="2"/>
    <x v="0"/>
    <x v="13"/>
    <n v="41"/>
    <n v="1.7100000000000001E-2"/>
  </r>
  <r>
    <x v="1"/>
    <x v="35"/>
    <x v="2"/>
    <x v="0"/>
    <x v="0"/>
    <n v="89"/>
    <n v="2.87E-2"/>
  </r>
  <r>
    <x v="1"/>
    <x v="35"/>
    <x v="2"/>
    <x v="0"/>
    <x v="2"/>
    <n v="40"/>
    <n v="6.0000000000000001E-3"/>
  </r>
  <r>
    <x v="1"/>
    <x v="35"/>
    <x v="2"/>
    <x v="0"/>
    <x v="3"/>
    <n v="141"/>
    <n v="5.7999999999999996E-3"/>
  </r>
  <r>
    <x v="1"/>
    <x v="35"/>
    <x v="2"/>
    <x v="0"/>
    <x v="4"/>
    <n v="123"/>
    <n v="1.47E-2"/>
  </r>
  <r>
    <x v="1"/>
    <x v="35"/>
    <x v="2"/>
    <x v="0"/>
    <x v="5"/>
    <n v="93"/>
    <n v="3.8999999999999998E-3"/>
  </r>
  <r>
    <x v="1"/>
    <x v="35"/>
    <x v="2"/>
    <x v="0"/>
    <x v="6"/>
    <n v="72"/>
    <n v="5.1000000000000004E-3"/>
  </r>
  <r>
    <x v="1"/>
    <x v="35"/>
    <x v="2"/>
    <x v="0"/>
    <x v="7"/>
    <n v="104"/>
    <n v="8.9999999999999993E-3"/>
  </r>
  <r>
    <x v="1"/>
    <x v="35"/>
    <x v="2"/>
    <x v="0"/>
    <x v="9"/>
    <n v="142"/>
    <n v="4.1000000000000003E-3"/>
  </r>
  <r>
    <x v="1"/>
    <x v="35"/>
    <x v="2"/>
    <x v="0"/>
    <x v="11"/>
    <n v="148"/>
    <n v="4.1000000000000003E-3"/>
  </r>
  <r>
    <x v="1"/>
    <x v="35"/>
    <x v="2"/>
    <x v="0"/>
    <x v="12"/>
    <n v="136"/>
    <n v="5.4999999999999997E-3"/>
  </r>
  <r>
    <x v="0"/>
    <x v="36"/>
    <x v="2"/>
    <x v="0"/>
    <x v="0"/>
    <n v="93"/>
    <n v="0.19539999999999999"/>
  </r>
  <r>
    <x v="0"/>
    <x v="36"/>
    <x v="2"/>
    <x v="0"/>
    <x v="1"/>
    <n v="90"/>
    <n v="1.8100000000000002E-2"/>
  </r>
  <r>
    <x v="0"/>
    <x v="36"/>
    <x v="2"/>
    <x v="0"/>
    <x v="2"/>
    <n v="100"/>
    <n v="6.3500000000000001E-2"/>
  </r>
  <r>
    <x v="0"/>
    <x v="36"/>
    <x v="2"/>
    <x v="0"/>
    <x v="3"/>
    <n v="97"/>
    <n v="4.24E-2"/>
  </r>
  <r>
    <x v="0"/>
    <x v="36"/>
    <x v="2"/>
    <x v="0"/>
    <x v="4"/>
    <n v="89"/>
    <n v="0.1242"/>
  </r>
  <r>
    <x v="0"/>
    <x v="36"/>
    <x v="2"/>
    <x v="0"/>
    <x v="5"/>
    <n v="92"/>
    <n v="4.7199999999999999E-2"/>
  </r>
  <r>
    <x v="0"/>
    <x v="36"/>
    <x v="2"/>
    <x v="0"/>
    <x v="6"/>
    <n v="95"/>
    <n v="4.5600000000000002E-2"/>
  </r>
  <r>
    <x v="0"/>
    <x v="36"/>
    <x v="2"/>
    <x v="0"/>
    <x v="7"/>
    <n v="90"/>
    <n v="8.72E-2"/>
  </r>
  <r>
    <x v="0"/>
    <x v="36"/>
    <x v="2"/>
    <x v="0"/>
    <x v="8"/>
    <n v="91"/>
    <n v="1.7999999999999999E-2"/>
  </r>
  <r>
    <x v="0"/>
    <x v="36"/>
    <x v="2"/>
    <x v="0"/>
    <x v="9"/>
    <n v="96"/>
    <n v="3.2500000000000001E-2"/>
  </r>
  <r>
    <x v="0"/>
    <x v="36"/>
    <x v="2"/>
    <x v="0"/>
    <x v="10"/>
    <n v="89"/>
    <n v="4.5999999999999999E-2"/>
  </r>
  <r>
    <x v="0"/>
    <x v="36"/>
    <x v="2"/>
    <x v="0"/>
    <x v="11"/>
    <n v="90"/>
    <n v="5.0700000000000002E-2"/>
  </r>
  <r>
    <x v="0"/>
    <x v="36"/>
    <x v="2"/>
    <x v="0"/>
    <x v="12"/>
    <n v="89"/>
    <n v="5.5899999999999998E-2"/>
  </r>
  <r>
    <x v="0"/>
    <x v="36"/>
    <x v="2"/>
    <x v="0"/>
    <x v="13"/>
    <n v="84"/>
    <n v="2.9399999999999999E-2"/>
  </r>
  <r>
    <x v="0"/>
    <x v="37"/>
    <x v="2"/>
    <x v="0"/>
    <x v="0"/>
    <n v="81"/>
    <n v="0.39340000000000003"/>
  </r>
  <r>
    <x v="0"/>
    <x v="37"/>
    <x v="2"/>
    <x v="0"/>
    <x v="1"/>
    <n v="79"/>
    <n v="6.1899999999999997E-2"/>
  </r>
  <r>
    <x v="0"/>
    <x v="37"/>
    <x v="2"/>
    <x v="0"/>
    <x v="2"/>
    <n v="77"/>
    <n v="0.1467"/>
  </r>
  <r>
    <x v="0"/>
    <x v="37"/>
    <x v="2"/>
    <x v="0"/>
    <x v="3"/>
    <n v="87"/>
    <n v="0.12909999999999999"/>
  </r>
  <r>
    <x v="0"/>
    <x v="37"/>
    <x v="2"/>
    <x v="0"/>
    <x v="4"/>
    <n v="85"/>
    <n v="0.30959999999999999"/>
  </r>
  <r>
    <x v="0"/>
    <x v="37"/>
    <x v="2"/>
    <x v="0"/>
    <x v="5"/>
    <n v="79"/>
    <n v="0.1222"/>
  </r>
  <r>
    <x v="0"/>
    <x v="37"/>
    <x v="2"/>
    <x v="0"/>
    <x v="6"/>
    <n v="70"/>
    <n v="0.1056"/>
  </r>
  <r>
    <x v="0"/>
    <x v="37"/>
    <x v="2"/>
    <x v="0"/>
    <x v="7"/>
    <n v="84"/>
    <n v="0.24379999999999999"/>
  </r>
  <r>
    <x v="0"/>
    <x v="37"/>
    <x v="2"/>
    <x v="0"/>
    <x v="8"/>
    <n v="65"/>
    <n v="4.7500000000000001E-2"/>
  </r>
  <r>
    <x v="0"/>
    <x v="37"/>
    <x v="2"/>
    <x v="0"/>
    <x v="9"/>
    <n v="89"/>
    <n v="0.1016"/>
  </r>
  <r>
    <x v="0"/>
    <x v="37"/>
    <x v="2"/>
    <x v="0"/>
    <x v="10"/>
    <n v="81"/>
    <n v="0.16170000000000001"/>
  </r>
  <r>
    <x v="0"/>
    <x v="37"/>
    <x v="2"/>
    <x v="0"/>
    <x v="11"/>
    <n v="86"/>
    <n v="0.19209999999999999"/>
  </r>
  <r>
    <x v="0"/>
    <x v="37"/>
    <x v="2"/>
    <x v="0"/>
    <x v="12"/>
    <n v="86"/>
    <n v="0.2034"/>
  </r>
  <r>
    <x v="0"/>
    <x v="37"/>
    <x v="2"/>
    <x v="0"/>
    <x v="13"/>
    <n v="77"/>
    <n v="9.5899999999999999E-2"/>
  </r>
  <r>
    <x v="0"/>
    <x v="38"/>
    <x v="2"/>
    <x v="0"/>
    <x v="0"/>
    <n v="27"/>
    <n v="2.5999999999999999E-2"/>
  </r>
  <r>
    <x v="0"/>
    <x v="38"/>
    <x v="2"/>
    <x v="0"/>
    <x v="2"/>
    <n v="27"/>
    <n v="6.8999999999999999E-3"/>
  </r>
  <r>
    <x v="0"/>
    <x v="38"/>
    <x v="2"/>
    <x v="0"/>
    <x v="3"/>
    <n v="36"/>
    <n v="6.0000000000000001E-3"/>
  </r>
  <r>
    <x v="0"/>
    <x v="38"/>
    <x v="2"/>
    <x v="0"/>
    <x v="4"/>
    <n v="30"/>
    <n v="1.3100000000000001E-2"/>
  </r>
  <r>
    <x v="0"/>
    <x v="38"/>
    <x v="2"/>
    <x v="0"/>
    <x v="7"/>
    <n v="27"/>
    <n v="1.03E-2"/>
  </r>
  <r>
    <x v="0"/>
    <x v="38"/>
    <x v="2"/>
    <x v="0"/>
    <x v="9"/>
    <n v="37"/>
    <n v="4.4000000000000003E-3"/>
  </r>
  <r>
    <x v="0"/>
    <x v="38"/>
    <x v="2"/>
    <x v="0"/>
    <x v="11"/>
    <n v="23"/>
    <n v="5.5999999999999999E-3"/>
  </r>
  <r>
    <x v="0"/>
    <x v="38"/>
    <x v="2"/>
    <x v="0"/>
    <x v="12"/>
    <n v="38"/>
    <n v="6.4999999999999997E-3"/>
  </r>
  <r>
    <x v="0"/>
    <x v="39"/>
    <x v="2"/>
    <x v="0"/>
    <x v="0"/>
    <n v="93"/>
    <n v="0.33029999999999998"/>
  </r>
  <r>
    <x v="0"/>
    <x v="39"/>
    <x v="2"/>
    <x v="0"/>
    <x v="1"/>
    <n v="80"/>
    <n v="3.9600000000000003E-2"/>
  </r>
  <r>
    <x v="0"/>
    <x v="39"/>
    <x v="2"/>
    <x v="0"/>
    <x v="2"/>
    <n v="90"/>
    <n v="0.1181"/>
  </r>
  <r>
    <x v="0"/>
    <x v="39"/>
    <x v="2"/>
    <x v="0"/>
    <x v="3"/>
    <n v="85"/>
    <n v="9.7900000000000001E-2"/>
  </r>
  <r>
    <x v="0"/>
    <x v="39"/>
    <x v="2"/>
    <x v="0"/>
    <x v="4"/>
    <n v="100"/>
    <n v="0.2263"/>
  </r>
  <r>
    <x v="0"/>
    <x v="39"/>
    <x v="2"/>
    <x v="0"/>
    <x v="5"/>
    <n v="88"/>
    <n v="7.9399999999999998E-2"/>
  </r>
  <r>
    <x v="0"/>
    <x v="39"/>
    <x v="2"/>
    <x v="0"/>
    <x v="6"/>
    <n v="82"/>
    <n v="7.4800000000000005E-2"/>
  </r>
  <r>
    <x v="0"/>
    <x v="39"/>
    <x v="2"/>
    <x v="0"/>
    <x v="7"/>
    <n v="96"/>
    <n v="0.1966"/>
  </r>
  <r>
    <x v="0"/>
    <x v="39"/>
    <x v="2"/>
    <x v="0"/>
    <x v="8"/>
    <n v="77"/>
    <n v="2.8899999999999999E-2"/>
  </r>
  <r>
    <x v="0"/>
    <x v="39"/>
    <x v="2"/>
    <x v="0"/>
    <x v="9"/>
    <n v="87"/>
    <n v="7.6200000000000004E-2"/>
  </r>
  <r>
    <x v="0"/>
    <x v="39"/>
    <x v="2"/>
    <x v="0"/>
    <x v="10"/>
    <n v="94"/>
    <n v="0.1002"/>
  </r>
  <r>
    <x v="0"/>
    <x v="39"/>
    <x v="2"/>
    <x v="0"/>
    <x v="11"/>
    <n v="99"/>
    <n v="0.1208"/>
  </r>
  <r>
    <x v="0"/>
    <x v="39"/>
    <x v="2"/>
    <x v="0"/>
    <x v="12"/>
    <n v="101"/>
    <n v="0.1351"/>
  </r>
  <r>
    <x v="0"/>
    <x v="39"/>
    <x v="2"/>
    <x v="0"/>
    <x v="13"/>
    <n v="80"/>
    <n v="6.2799999999999995E-2"/>
  </r>
  <r>
    <x v="1"/>
    <x v="40"/>
    <x v="2"/>
    <x v="0"/>
    <x v="0"/>
    <n v="78"/>
    <n v="5.0099999999999999E-2"/>
  </r>
  <r>
    <x v="1"/>
    <x v="40"/>
    <x v="2"/>
    <x v="0"/>
    <x v="2"/>
    <n v="70"/>
    <n v="1.43E-2"/>
  </r>
  <r>
    <x v="1"/>
    <x v="40"/>
    <x v="2"/>
    <x v="0"/>
    <x v="3"/>
    <n v="42"/>
    <n v="0.01"/>
  </r>
  <r>
    <x v="1"/>
    <x v="40"/>
    <x v="2"/>
    <x v="0"/>
    <x v="4"/>
    <n v="103"/>
    <n v="2.9499999999999998E-2"/>
  </r>
  <r>
    <x v="1"/>
    <x v="40"/>
    <x v="2"/>
    <x v="0"/>
    <x v="5"/>
    <n v="108"/>
    <n v="5.3E-3"/>
  </r>
  <r>
    <x v="1"/>
    <x v="40"/>
    <x v="2"/>
    <x v="0"/>
    <x v="6"/>
    <n v="95"/>
    <n v="5.8999999999999999E-3"/>
  </r>
  <r>
    <x v="1"/>
    <x v="40"/>
    <x v="2"/>
    <x v="0"/>
    <x v="7"/>
    <n v="122"/>
    <n v="1.9300000000000001E-2"/>
  </r>
  <r>
    <x v="1"/>
    <x v="40"/>
    <x v="2"/>
    <x v="0"/>
    <x v="9"/>
    <n v="40"/>
    <n v="5.8999999999999999E-3"/>
  </r>
  <r>
    <x v="1"/>
    <x v="40"/>
    <x v="2"/>
    <x v="0"/>
    <x v="10"/>
    <n v="141"/>
    <n v="8.0999999999999996E-3"/>
  </r>
  <r>
    <x v="1"/>
    <x v="40"/>
    <x v="2"/>
    <x v="0"/>
    <x v="11"/>
    <n v="107"/>
    <n v="1.0200000000000001E-2"/>
  </r>
  <r>
    <x v="1"/>
    <x v="40"/>
    <x v="2"/>
    <x v="0"/>
    <x v="12"/>
    <n v="108"/>
    <n v="1.3299999999999999E-2"/>
  </r>
  <r>
    <x v="1"/>
    <x v="40"/>
    <x v="2"/>
    <x v="0"/>
    <x v="13"/>
    <n v="87"/>
    <n v="4.7000000000000002E-3"/>
  </r>
  <r>
    <x v="0"/>
    <x v="41"/>
    <x v="2"/>
    <x v="0"/>
    <x v="0"/>
    <n v="81"/>
    <n v="5.62E-2"/>
  </r>
  <r>
    <x v="0"/>
    <x v="41"/>
    <x v="2"/>
    <x v="0"/>
    <x v="2"/>
    <n v="82"/>
    <n v="1.29E-2"/>
  </r>
  <r>
    <x v="0"/>
    <x v="41"/>
    <x v="2"/>
    <x v="0"/>
    <x v="3"/>
    <n v="115"/>
    <n v="1.0200000000000001E-2"/>
  </r>
  <r>
    <x v="0"/>
    <x v="41"/>
    <x v="2"/>
    <x v="0"/>
    <x v="4"/>
    <n v="102"/>
    <n v="3.39E-2"/>
  </r>
  <r>
    <x v="0"/>
    <x v="41"/>
    <x v="2"/>
    <x v="0"/>
    <x v="5"/>
    <n v="66"/>
    <n v="6.0000000000000001E-3"/>
  </r>
  <r>
    <x v="0"/>
    <x v="41"/>
    <x v="2"/>
    <x v="0"/>
    <x v="6"/>
    <n v="52"/>
    <n v="6.3E-3"/>
  </r>
  <r>
    <x v="0"/>
    <x v="41"/>
    <x v="2"/>
    <x v="0"/>
    <x v="7"/>
    <n v="81"/>
    <n v="1.9699999999999999E-2"/>
  </r>
  <r>
    <x v="0"/>
    <x v="41"/>
    <x v="2"/>
    <x v="0"/>
    <x v="9"/>
    <n v="134"/>
    <n v="7.1999999999999998E-3"/>
  </r>
  <r>
    <x v="0"/>
    <x v="41"/>
    <x v="2"/>
    <x v="0"/>
    <x v="10"/>
    <n v="100"/>
    <n v="8.6999999999999994E-3"/>
  </r>
  <r>
    <x v="0"/>
    <x v="41"/>
    <x v="2"/>
    <x v="0"/>
    <x v="11"/>
    <n v="106"/>
    <n v="1.17E-2"/>
  </r>
  <r>
    <x v="0"/>
    <x v="41"/>
    <x v="2"/>
    <x v="0"/>
    <x v="12"/>
    <n v="105"/>
    <n v="1.5900000000000001E-2"/>
  </r>
  <r>
    <x v="0"/>
    <x v="41"/>
    <x v="2"/>
    <x v="0"/>
    <x v="13"/>
    <n v="28"/>
    <n v="4.7999999999999996E-3"/>
  </r>
  <r>
    <x v="0"/>
    <x v="42"/>
    <x v="2"/>
    <x v="0"/>
    <x v="0"/>
    <n v="101"/>
    <n v="0.30059999999999998"/>
  </r>
  <r>
    <x v="0"/>
    <x v="42"/>
    <x v="2"/>
    <x v="0"/>
    <x v="1"/>
    <n v="107"/>
    <n v="4.2799999999999998E-2"/>
  </r>
  <r>
    <x v="0"/>
    <x v="42"/>
    <x v="2"/>
    <x v="0"/>
    <x v="2"/>
    <n v="102"/>
    <n v="0.123"/>
  </r>
  <r>
    <x v="0"/>
    <x v="42"/>
    <x v="2"/>
    <x v="0"/>
    <x v="3"/>
    <n v="96"/>
    <n v="0.1023"/>
  </r>
  <r>
    <x v="0"/>
    <x v="42"/>
    <x v="2"/>
    <x v="0"/>
    <x v="4"/>
    <n v="97"/>
    <n v="0.21299999999999999"/>
  </r>
  <r>
    <x v="0"/>
    <x v="42"/>
    <x v="2"/>
    <x v="0"/>
    <x v="5"/>
    <n v="102"/>
    <n v="9.8000000000000004E-2"/>
  </r>
  <r>
    <x v="0"/>
    <x v="42"/>
    <x v="2"/>
    <x v="0"/>
    <x v="6"/>
    <n v="102"/>
    <n v="9.0300000000000005E-2"/>
  </r>
  <r>
    <x v="0"/>
    <x v="42"/>
    <x v="2"/>
    <x v="0"/>
    <x v="7"/>
    <n v="105"/>
    <n v="0.18240000000000001"/>
  </r>
  <r>
    <x v="0"/>
    <x v="42"/>
    <x v="2"/>
    <x v="0"/>
    <x v="8"/>
    <n v="102"/>
    <n v="3.6499999999999998E-2"/>
  </r>
  <r>
    <x v="0"/>
    <x v="42"/>
    <x v="2"/>
    <x v="0"/>
    <x v="9"/>
    <n v="98"/>
    <n v="8.4900000000000003E-2"/>
  </r>
  <r>
    <x v="0"/>
    <x v="42"/>
    <x v="2"/>
    <x v="0"/>
    <x v="10"/>
    <n v="100"/>
    <n v="0.109"/>
  </r>
  <r>
    <x v="0"/>
    <x v="42"/>
    <x v="2"/>
    <x v="0"/>
    <x v="11"/>
    <n v="99"/>
    <n v="0.1249"/>
  </r>
  <r>
    <x v="0"/>
    <x v="42"/>
    <x v="2"/>
    <x v="0"/>
    <x v="12"/>
    <n v="98"/>
    <n v="0.1336"/>
  </r>
  <r>
    <x v="0"/>
    <x v="42"/>
    <x v="2"/>
    <x v="0"/>
    <x v="13"/>
    <n v="98"/>
    <n v="7.8200000000000006E-2"/>
  </r>
  <r>
    <x v="1"/>
    <x v="43"/>
    <x v="2"/>
    <x v="1"/>
    <x v="0"/>
    <n v="99"/>
    <n v="0.77680000000000005"/>
  </r>
  <r>
    <x v="1"/>
    <x v="43"/>
    <x v="2"/>
    <x v="1"/>
    <x v="1"/>
    <n v="90"/>
    <n v="0.28470000000000001"/>
  </r>
  <r>
    <x v="1"/>
    <x v="43"/>
    <x v="2"/>
    <x v="1"/>
    <x v="2"/>
    <n v="102"/>
    <n v="0.45419999999999999"/>
  </r>
  <r>
    <x v="1"/>
    <x v="43"/>
    <x v="2"/>
    <x v="1"/>
    <x v="3"/>
    <n v="99"/>
    <n v="0.40860000000000002"/>
  </r>
  <r>
    <x v="1"/>
    <x v="43"/>
    <x v="2"/>
    <x v="1"/>
    <x v="4"/>
    <n v="102"/>
    <n v="0.66739999999999999"/>
  </r>
  <r>
    <x v="1"/>
    <x v="43"/>
    <x v="2"/>
    <x v="1"/>
    <x v="5"/>
    <n v="101"/>
    <n v="0.29959999999999998"/>
  </r>
  <r>
    <x v="1"/>
    <x v="43"/>
    <x v="2"/>
    <x v="1"/>
    <x v="6"/>
    <n v="95"/>
    <n v="0.28149999999999997"/>
  </r>
  <r>
    <x v="1"/>
    <x v="43"/>
    <x v="2"/>
    <x v="1"/>
    <x v="7"/>
    <n v="100"/>
    <n v="0.55079999999999996"/>
  </r>
  <r>
    <x v="1"/>
    <x v="43"/>
    <x v="2"/>
    <x v="1"/>
    <x v="8"/>
    <n v="89"/>
    <n v="0.18390000000000001"/>
  </r>
  <r>
    <x v="1"/>
    <x v="43"/>
    <x v="2"/>
    <x v="1"/>
    <x v="9"/>
    <n v="98"/>
    <n v="0.34250000000000003"/>
  </r>
  <r>
    <x v="1"/>
    <x v="43"/>
    <x v="2"/>
    <x v="1"/>
    <x v="10"/>
    <n v="99"/>
    <n v="0.40379999999999999"/>
  </r>
  <r>
    <x v="1"/>
    <x v="43"/>
    <x v="2"/>
    <x v="1"/>
    <x v="11"/>
    <n v="104"/>
    <n v="0.47710000000000002"/>
  </r>
  <r>
    <x v="1"/>
    <x v="43"/>
    <x v="2"/>
    <x v="1"/>
    <x v="12"/>
    <n v="105"/>
    <n v="0.45519999999999999"/>
  </r>
  <r>
    <x v="1"/>
    <x v="43"/>
    <x v="2"/>
    <x v="1"/>
    <x v="13"/>
    <n v="91"/>
    <n v="0.34539999999999998"/>
  </r>
  <r>
    <x v="0"/>
    <x v="44"/>
    <x v="2"/>
    <x v="0"/>
    <x v="0"/>
    <n v="117"/>
    <n v="0.15640000000000001"/>
  </r>
  <r>
    <x v="0"/>
    <x v="44"/>
    <x v="2"/>
    <x v="0"/>
    <x v="1"/>
    <n v="104"/>
    <n v="3.2000000000000001E-2"/>
  </r>
  <r>
    <x v="0"/>
    <x v="44"/>
    <x v="2"/>
    <x v="0"/>
    <x v="2"/>
    <n v="119"/>
    <n v="6.7199999999999996E-2"/>
  </r>
  <r>
    <x v="0"/>
    <x v="44"/>
    <x v="2"/>
    <x v="0"/>
    <x v="3"/>
    <n v="131"/>
    <n v="5.5E-2"/>
  </r>
  <r>
    <x v="0"/>
    <x v="44"/>
    <x v="2"/>
    <x v="0"/>
    <x v="4"/>
    <n v="108"/>
    <n v="0.1022"/>
  </r>
  <r>
    <x v="0"/>
    <x v="44"/>
    <x v="2"/>
    <x v="0"/>
    <x v="5"/>
    <n v="101"/>
    <n v="3.4799999999999998E-2"/>
  </r>
  <r>
    <x v="0"/>
    <x v="44"/>
    <x v="2"/>
    <x v="0"/>
    <x v="6"/>
    <n v="98"/>
    <n v="3.4599999999999999E-2"/>
  </r>
  <r>
    <x v="0"/>
    <x v="44"/>
    <x v="2"/>
    <x v="0"/>
    <x v="7"/>
    <n v="108"/>
    <n v="5.79E-2"/>
  </r>
  <r>
    <x v="0"/>
    <x v="44"/>
    <x v="2"/>
    <x v="0"/>
    <x v="8"/>
    <n v="107"/>
    <n v="1.7399999999999999E-2"/>
  </r>
  <r>
    <x v="0"/>
    <x v="44"/>
    <x v="2"/>
    <x v="0"/>
    <x v="9"/>
    <n v="130"/>
    <n v="4.9399999999999999E-2"/>
  </r>
  <r>
    <x v="0"/>
    <x v="44"/>
    <x v="2"/>
    <x v="0"/>
    <x v="10"/>
    <n v="105"/>
    <n v="3.6499999999999998E-2"/>
  </r>
  <r>
    <x v="0"/>
    <x v="44"/>
    <x v="2"/>
    <x v="0"/>
    <x v="11"/>
    <n v="103"/>
    <n v="4.4400000000000002E-2"/>
  </r>
  <r>
    <x v="0"/>
    <x v="44"/>
    <x v="2"/>
    <x v="0"/>
    <x v="12"/>
    <n v="101"/>
    <n v="4.7399999999999998E-2"/>
  </r>
  <r>
    <x v="0"/>
    <x v="44"/>
    <x v="2"/>
    <x v="0"/>
    <x v="13"/>
    <n v="103"/>
    <n v="4.1300000000000003E-2"/>
  </r>
  <r>
    <x v="0"/>
    <x v="45"/>
    <x v="2"/>
    <x v="0"/>
    <x v="0"/>
    <n v="84"/>
    <n v="0.33729999999999999"/>
  </r>
  <r>
    <x v="0"/>
    <x v="45"/>
    <x v="2"/>
    <x v="0"/>
    <x v="1"/>
    <n v="75"/>
    <n v="3.1899999999999998E-2"/>
  </r>
  <r>
    <x v="0"/>
    <x v="45"/>
    <x v="2"/>
    <x v="0"/>
    <x v="2"/>
    <n v="87"/>
    <n v="0.1313"/>
  </r>
  <r>
    <x v="0"/>
    <x v="45"/>
    <x v="2"/>
    <x v="0"/>
    <x v="3"/>
    <n v="88"/>
    <n v="9.98E-2"/>
  </r>
  <r>
    <x v="0"/>
    <x v="45"/>
    <x v="2"/>
    <x v="0"/>
    <x v="4"/>
    <n v="83"/>
    <n v="0.24349999999999999"/>
  </r>
  <r>
    <x v="0"/>
    <x v="45"/>
    <x v="2"/>
    <x v="0"/>
    <x v="5"/>
    <n v="86"/>
    <n v="0.1011"/>
  </r>
  <r>
    <x v="0"/>
    <x v="45"/>
    <x v="2"/>
    <x v="0"/>
    <x v="6"/>
    <n v="85"/>
    <n v="8.5900000000000004E-2"/>
  </r>
  <r>
    <x v="0"/>
    <x v="45"/>
    <x v="2"/>
    <x v="0"/>
    <x v="7"/>
    <n v="80"/>
    <n v="0.15909999999999999"/>
  </r>
  <r>
    <x v="0"/>
    <x v="45"/>
    <x v="2"/>
    <x v="0"/>
    <x v="8"/>
    <n v="81"/>
    <n v="1.9599999999999999E-2"/>
  </r>
  <r>
    <x v="0"/>
    <x v="45"/>
    <x v="2"/>
    <x v="0"/>
    <x v="9"/>
    <n v="92"/>
    <n v="7.9500000000000001E-2"/>
  </r>
  <r>
    <x v="0"/>
    <x v="45"/>
    <x v="2"/>
    <x v="0"/>
    <x v="10"/>
    <n v="82"/>
    <n v="0.1086"/>
  </r>
  <r>
    <x v="0"/>
    <x v="45"/>
    <x v="2"/>
    <x v="0"/>
    <x v="11"/>
    <n v="86"/>
    <n v="0.12870000000000001"/>
  </r>
  <r>
    <x v="0"/>
    <x v="45"/>
    <x v="2"/>
    <x v="0"/>
    <x v="12"/>
    <n v="85"/>
    <n v="0.13980000000000001"/>
  </r>
  <r>
    <x v="0"/>
    <x v="45"/>
    <x v="2"/>
    <x v="0"/>
    <x v="13"/>
    <n v="76"/>
    <n v="5.04E-2"/>
  </r>
  <r>
    <x v="0"/>
    <x v="46"/>
    <x v="2"/>
    <x v="0"/>
    <x v="0"/>
    <n v="39"/>
    <n v="4.2799999999999998E-2"/>
  </r>
  <r>
    <x v="0"/>
    <x v="46"/>
    <x v="2"/>
    <x v="0"/>
    <x v="2"/>
    <n v="49"/>
    <n v="1.09E-2"/>
  </r>
  <r>
    <x v="0"/>
    <x v="46"/>
    <x v="2"/>
    <x v="0"/>
    <x v="3"/>
    <n v="46"/>
    <n v="7.6E-3"/>
  </r>
  <r>
    <x v="0"/>
    <x v="46"/>
    <x v="2"/>
    <x v="0"/>
    <x v="4"/>
    <n v="39"/>
    <n v="2.3400000000000001E-2"/>
  </r>
  <r>
    <x v="0"/>
    <x v="46"/>
    <x v="2"/>
    <x v="0"/>
    <x v="5"/>
    <n v="27"/>
    <n v="6.4999999999999997E-3"/>
  </r>
  <r>
    <x v="0"/>
    <x v="46"/>
    <x v="2"/>
    <x v="0"/>
    <x v="6"/>
    <n v="47"/>
    <n v="5.5999999999999999E-3"/>
  </r>
  <r>
    <x v="0"/>
    <x v="46"/>
    <x v="2"/>
    <x v="0"/>
    <x v="7"/>
    <n v="29"/>
    <n v="1.4999999999999999E-2"/>
  </r>
  <r>
    <x v="0"/>
    <x v="46"/>
    <x v="2"/>
    <x v="0"/>
    <x v="9"/>
    <n v="46"/>
    <n v="6.0000000000000001E-3"/>
  </r>
  <r>
    <x v="0"/>
    <x v="46"/>
    <x v="2"/>
    <x v="0"/>
    <x v="10"/>
    <n v="33"/>
    <n v="6.8999999999999999E-3"/>
  </r>
  <r>
    <x v="0"/>
    <x v="46"/>
    <x v="2"/>
    <x v="0"/>
    <x v="11"/>
    <n v="40"/>
    <n v="8.0999999999999996E-3"/>
  </r>
  <r>
    <x v="0"/>
    <x v="46"/>
    <x v="2"/>
    <x v="0"/>
    <x v="12"/>
    <n v="37"/>
    <n v="9.5999999999999992E-3"/>
  </r>
  <r>
    <x v="0"/>
    <x v="46"/>
    <x v="2"/>
    <x v="0"/>
    <x v="13"/>
    <n v="62"/>
    <n v="4.4000000000000003E-3"/>
  </r>
  <r>
    <x v="0"/>
    <x v="47"/>
    <x v="2"/>
    <x v="0"/>
    <x v="0"/>
    <n v="114"/>
    <n v="0.45679999999999998"/>
  </r>
  <r>
    <x v="0"/>
    <x v="47"/>
    <x v="2"/>
    <x v="0"/>
    <x v="1"/>
    <n v="108"/>
    <n v="0.18659999999999999"/>
  </r>
  <r>
    <x v="0"/>
    <x v="47"/>
    <x v="2"/>
    <x v="0"/>
    <x v="2"/>
    <n v="116"/>
    <n v="0.31069999999999998"/>
  </r>
  <r>
    <x v="0"/>
    <x v="47"/>
    <x v="2"/>
    <x v="0"/>
    <x v="3"/>
    <n v="117"/>
    <n v="0.29399999999999998"/>
  </r>
  <r>
    <x v="0"/>
    <x v="47"/>
    <x v="2"/>
    <x v="0"/>
    <x v="4"/>
    <n v="114"/>
    <n v="0.37109999999999999"/>
  </r>
  <r>
    <x v="0"/>
    <x v="47"/>
    <x v="2"/>
    <x v="0"/>
    <x v="5"/>
    <n v="111"/>
    <n v="0.22789999999999999"/>
  </r>
  <r>
    <x v="0"/>
    <x v="47"/>
    <x v="2"/>
    <x v="0"/>
    <x v="6"/>
    <n v="110"/>
    <n v="0.21590000000000001"/>
  </r>
  <r>
    <x v="0"/>
    <x v="47"/>
    <x v="2"/>
    <x v="0"/>
    <x v="7"/>
    <n v="114"/>
    <n v="0.35310000000000002"/>
  </r>
  <r>
    <x v="0"/>
    <x v="47"/>
    <x v="2"/>
    <x v="0"/>
    <x v="8"/>
    <n v="103"/>
    <n v="0.12870000000000001"/>
  </r>
  <r>
    <x v="0"/>
    <x v="47"/>
    <x v="2"/>
    <x v="0"/>
    <x v="9"/>
    <n v="118"/>
    <n v="0.27239999999999998"/>
  </r>
  <r>
    <x v="0"/>
    <x v="47"/>
    <x v="2"/>
    <x v="0"/>
    <x v="10"/>
    <n v="111"/>
    <n v="0.26750000000000002"/>
  </r>
  <r>
    <x v="0"/>
    <x v="47"/>
    <x v="2"/>
    <x v="0"/>
    <x v="11"/>
    <n v="112"/>
    <n v="0.2823"/>
  </r>
  <r>
    <x v="0"/>
    <x v="47"/>
    <x v="2"/>
    <x v="0"/>
    <x v="12"/>
    <n v="115"/>
    <n v="0.29299999999999998"/>
  </r>
  <r>
    <x v="0"/>
    <x v="47"/>
    <x v="2"/>
    <x v="0"/>
    <x v="13"/>
    <n v="108"/>
    <n v="0.22570000000000001"/>
  </r>
  <r>
    <x v="1"/>
    <x v="48"/>
    <x v="2"/>
    <x v="0"/>
    <x v="0"/>
    <n v="124"/>
    <n v="5.4399999999999997E-2"/>
  </r>
  <r>
    <x v="1"/>
    <x v="48"/>
    <x v="2"/>
    <x v="0"/>
    <x v="2"/>
    <n v="136"/>
    <n v="1.9300000000000001E-2"/>
  </r>
  <r>
    <x v="1"/>
    <x v="48"/>
    <x v="2"/>
    <x v="0"/>
    <x v="3"/>
    <n v="138"/>
    <n v="1.4500000000000001E-2"/>
  </r>
  <r>
    <x v="1"/>
    <x v="48"/>
    <x v="2"/>
    <x v="0"/>
    <x v="4"/>
    <n v="101"/>
    <n v="3.0800000000000001E-2"/>
  </r>
  <r>
    <x v="1"/>
    <x v="48"/>
    <x v="2"/>
    <x v="0"/>
    <x v="5"/>
    <n v="96"/>
    <n v="6.0000000000000001E-3"/>
  </r>
  <r>
    <x v="1"/>
    <x v="48"/>
    <x v="2"/>
    <x v="0"/>
    <x v="6"/>
    <n v="74"/>
    <n v="6.3E-3"/>
  </r>
  <r>
    <x v="1"/>
    <x v="48"/>
    <x v="2"/>
    <x v="0"/>
    <x v="7"/>
    <n v="151"/>
    <n v="2.0799999999999999E-2"/>
  </r>
  <r>
    <x v="1"/>
    <x v="48"/>
    <x v="2"/>
    <x v="0"/>
    <x v="9"/>
    <n v="149"/>
    <n v="1.2E-2"/>
  </r>
  <r>
    <x v="1"/>
    <x v="48"/>
    <x v="2"/>
    <x v="0"/>
    <x v="10"/>
    <n v="84"/>
    <n v="6.0000000000000001E-3"/>
  </r>
  <r>
    <x v="1"/>
    <x v="48"/>
    <x v="2"/>
    <x v="0"/>
    <x v="11"/>
    <n v="102"/>
    <n v="9.7999999999999997E-3"/>
  </r>
  <r>
    <x v="1"/>
    <x v="48"/>
    <x v="2"/>
    <x v="0"/>
    <x v="12"/>
    <n v="104"/>
    <n v="1.4999999999999999E-2"/>
  </r>
  <r>
    <x v="1"/>
    <x v="48"/>
    <x v="2"/>
    <x v="0"/>
    <x v="13"/>
    <n v="87"/>
    <n v="5.8999999999999999E-3"/>
  </r>
  <r>
    <x v="0"/>
    <x v="49"/>
    <x v="2"/>
    <x v="0"/>
    <x v="0"/>
    <n v="109"/>
    <n v="0.2742"/>
  </r>
  <r>
    <x v="0"/>
    <x v="49"/>
    <x v="2"/>
    <x v="0"/>
    <x v="1"/>
    <n v="99"/>
    <n v="2.0899999999999998E-2"/>
  </r>
  <r>
    <x v="0"/>
    <x v="49"/>
    <x v="2"/>
    <x v="0"/>
    <x v="2"/>
    <n v="117"/>
    <n v="7.3099999999999998E-2"/>
  </r>
  <r>
    <x v="0"/>
    <x v="49"/>
    <x v="2"/>
    <x v="0"/>
    <x v="3"/>
    <n v="98"/>
    <n v="6.4600000000000005E-2"/>
  </r>
  <r>
    <x v="0"/>
    <x v="49"/>
    <x v="2"/>
    <x v="0"/>
    <x v="4"/>
    <n v="108"/>
    <n v="0.1938"/>
  </r>
  <r>
    <x v="0"/>
    <x v="49"/>
    <x v="2"/>
    <x v="0"/>
    <x v="5"/>
    <n v="114"/>
    <n v="5.4399999999999997E-2"/>
  </r>
  <r>
    <x v="0"/>
    <x v="49"/>
    <x v="2"/>
    <x v="0"/>
    <x v="6"/>
    <n v="112"/>
    <n v="4.7600000000000003E-2"/>
  </r>
  <r>
    <x v="0"/>
    <x v="49"/>
    <x v="2"/>
    <x v="0"/>
    <x v="7"/>
    <n v="107"/>
    <n v="0.12720000000000001"/>
  </r>
  <r>
    <x v="0"/>
    <x v="49"/>
    <x v="2"/>
    <x v="0"/>
    <x v="8"/>
    <n v="101"/>
    <n v="1.8200000000000001E-2"/>
  </r>
  <r>
    <x v="0"/>
    <x v="49"/>
    <x v="2"/>
    <x v="0"/>
    <x v="9"/>
    <n v="99"/>
    <n v="4.4299999999999999E-2"/>
  </r>
  <r>
    <x v="0"/>
    <x v="49"/>
    <x v="2"/>
    <x v="0"/>
    <x v="10"/>
    <n v="114"/>
    <n v="7.2300000000000003E-2"/>
  </r>
  <r>
    <x v="0"/>
    <x v="49"/>
    <x v="2"/>
    <x v="0"/>
    <x v="11"/>
    <n v="114"/>
    <n v="0.1019"/>
  </r>
  <r>
    <x v="0"/>
    <x v="49"/>
    <x v="2"/>
    <x v="0"/>
    <x v="12"/>
    <n v="107"/>
    <n v="0.1154"/>
  </r>
  <r>
    <x v="0"/>
    <x v="49"/>
    <x v="2"/>
    <x v="0"/>
    <x v="13"/>
    <n v="108"/>
    <n v="3.6400000000000002E-2"/>
  </r>
  <r>
    <x v="1"/>
    <x v="125"/>
    <x v="2"/>
    <x v="0"/>
    <x v="0"/>
    <n v="95"/>
    <n v="0.1905"/>
  </r>
  <r>
    <x v="1"/>
    <x v="125"/>
    <x v="2"/>
    <x v="0"/>
    <x v="1"/>
    <n v="89"/>
    <n v="1.0800000000000001E-2"/>
  </r>
  <r>
    <x v="1"/>
    <x v="125"/>
    <x v="2"/>
    <x v="0"/>
    <x v="2"/>
    <n v="96"/>
    <n v="5.5800000000000002E-2"/>
  </r>
  <r>
    <x v="1"/>
    <x v="125"/>
    <x v="2"/>
    <x v="0"/>
    <x v="3"/>
    <n v="87"/>
    <n v="3.39E-2"/>
  </r>
  <r>
    <x v="1"/>
    <x v="125"/>
    <x v="2"/>
    <x v="0"/>
    <x v="4"/>
    <n v="94"/>
    <n v="0.1106"/>
  </r>
  <r>
    <x v="1"/>
    <x v="125"/>
    <x v="2"/>
    <x v="0"/>
    <x v="5"/>
    <n v="94"/>
    <n v="2.9700000000000001E-2"/>
  </r>
  <r>
    <x v="1"/>
    <x v="125"/>
    <x v="2"/>
    <x v="0"/>
    <x v="6"/>
    <n v="95"/>
    <n v="3.1E-2"/>
  </r>
  <r>
    <x v="1"/>
    <x v="125"/>
    <x v="2"/>
    <x v="0"/>
    <x v="7"/>
    <n v="101"/>
    <n v="9.3200000000000005E-2"/>
  </r>
  <r>
    <x v="1"/>
    <x v="125"/>
    <x v="2"/>
    <x v="0"/>
    <x v="8"/>
    <n v="101"/>
    <n v="1.15E-2"/>
  </r>
  <r>
    <x v="1"/>
    <x v="125"/>
    <x v="2"/>
    <x v="0"/>
    <x v="9"/>
    <n v="92"/>
    <n v="2.47E-2"/>
  </r>
  <r>
    <x v="1"/>
    <x v="125"/>
    <x v="2"/>
    <x v="0"/>
    <x v="10"/>
    <n v="89"/>
    <n v="3.32E-2"/>
  </r>
  <r>
    <x v="1"/>
    <x v="125"/>
    <x v="2"/>
    <x v="0"/>
    <x v="11"/>
    <n v="87"/>
    <n v="4.3099999999999999E-2"/>
  </r>
  <r>
    <x v="1"/>
    <x v="125"/>
    <x v="2"/>
    <x v="0"/>
    <x v="12"/>
    <n v="97"/>
    <n v="4.5100000000000001E-2"/>
  </r>
  <r>
    <x v="1"/>
    <x v="125"/>
    <x v="2"/>
    <x v="0"/>
    <x v="13"/>
    <n v="92"/>
    <n v="2.63E-2"/>
  </r>
  <r>
    <x v="0"/>
    <x v="51"/>
    <x v="2"/>
    <x v="0"/>
    <x v="0"/>
    <n v="86"/>
    <n v="0.15079999999999999"/>
  </r>
  <r>
    <x v="0"/>
    <x v="51"/>
    <x v="2"/>
    <x v="0"/>
    <x v="1"/>
    <n v="45"/>
    <n v="6.3E-3"/>
  </r>
  <r>
    <x v="0"/>
    <x v="51"/>
    <x v="2"/>
    <x v="0"/>
    <x v="2"/>
    <n v="89"/>
    <n v="4.7399999999999998E-2"/>
  </r>
  <r>
    <x v="0"/>
    <x v="51"/>
    <x v="2"/>
    <x v="0"/>
    <x v="3"/>
    <n v="92"/>
    <n v="4.7600000000000003E-2"/>
  </r>
  <r>
    <x v="0"/>
    <x v="51"/>
    <x v="2"/>
    <x v="0"/>
    <x v="4"/>
    <n v="83"/>
    <n v="9.4600000000000004E-2"/>
  </r>
  <r>
    <x v="0"/>
    <x v="51"/>
    <x v="2"/>
    <x v="0"/>
    <x v="5"/>
    <n v="100"/>
    <n v="2.4899999999999999E-2"/>
  </r>
  <r>
    <x v="0"/>
    <x v="51"/>
    <x v="2"/>
    <x v="0"/>
    <x v="6"/>
    <n v="91"/>
    <n v="2.0899999999999998E-2"/>
  </r>
  <r>
    <x v="0"/>
    <x v="51"/>
    <x v="2"/>
    <x v="0"/>
    <x v="7"/>
    <n v="87"/>
    <n v="6.5100000000000005E-2"/>
  </r>
  <r>
    <x v="0"/>
    <x v="51"/>
    <x v="2"/>
    <x v="0"/>
    <x v="8"/>
    <n v="61"/>
    <n v="4.7000000000000002E-3"/>
  </r>
  <r>
    <x v="0"/>
    <x v="51"/>
    <x v="2"/>
    <x v="0"/>
    <x v="9"/>
    <n v="96"/>
    <n v="3.8300000000000001E-2"/>
  </r>
  <r>
    <x v="0"/>
    <x v="51"/>
    <x v="2"/>
    <x v="0"/>
    <x v="10"/>
    <n v="75"/>
    <n v="2.7699999999999999E-2"/>
  </r>
  <r>
    <x v="0"/>
    <x v="51"/>
    <x v="2"/>
    <x v="0"/>
    <x v="11"/>
    <n v="82"/>
    <n v="4.3400000000000001E-2"/>
  </r>
  <r>
    <x v="0"/>
    <x v="51"/>
    <x v="2"/>
    <x v="0"/>
    <x v="12"/>
    <n v="82"/>
    <n v="5.1299999999999998E-2"/>
  </r>
  <r>
    <x v="0"/>
    <x v="51"/>
    <x v="2"/>
    <x v="0"/>
    <x v="13"/>
    <n v="68"/>
    <n v="1.3899999999999999E-2"/>
  </r>
  <r>
    <x v="1"/>
    <x v="52"/>
    <x v="2"/>
    <x v="0"/>
    <x v="0"/>
    <n v="72"/>
    <n v="4.4200000000000003E-2"/>
  </r>
  <r>
    <x v="1"/>
    <x v="52"/>
    <x v="2"/>
    <x v="0"/>
    <x v="2"/>
    <n v="91"/>
    <n v="7.9000000000000008E-3"/>
  </r>
  <r>
    <x v="1"/>
    <x v="52"/>
    <x v="2"/>
    <x v="0"/>
    <x v="3"/>
    <n v="115"/>
    <n v="5.7000000000000002E-3"/>
  </r>
  <r>
    <x v="1"/>
    <x v="52"/>
    <x v="2"/>
    <x v="0"/>
    <x v="4"/>
    <n v="70"/>
    <n v="2.6599999999999999E-2"/>
  </r>
  <r>
    <x v="1"/>
    <x v="52"/>
    <x v="2"/>
    <x v="0"/>
    <x v="5"/>
    <n v="75"/>
    <n v="1.2699999999999999E-2"/>
  </r>
  <r>
    <x v="1"/>
    <x v="52"/>
    <x v="2"/>
    <x v="0"/>
    <x v="6"/>
    <n v="70"/>
    <n v="1.3100000000000001E-2"/>
  </r>
  <r>
    <x v="1"/>
    <x v="52"/>
    <x v="2"/>
    <x v="0"/>
    <x v="7"/>
    <n v="48"/>
    <n v="7.9000000000000008E-3"/>
  </r>
  <r>
    <x v="1"/>
    <x v="52"/>
    <x v="2"/>
    <x v="0"/>
    <x v="8"/>
    <n v="59"/>
    <n v="4.7999999999999996E-3"/>
  </r>
  <r>
    <x v="1"/>
    <x v="52"/>
    <x v="2"/>
    <x v="0"/>
    <x v="9"/>
    <n v="110"/>
    <n v="4.4999999999999997E-3"/>
  </r>
  <r>
    <x v="1"/>
    <x v="52"/>
    <x v="2"/>
    <x v="0"/>
    <x v="10"/>
    <n v="70"/>
    <n v="1.06E-2"/>
  </r>
  <r>
    <x v="1"/>
    <x v="52"/>
    <x v="2"/>
    <x v="0"/>
    <x v="11"/>
    <n v="68"/>
    <n v="9.9000000000000008E-3"/>
  </r>
  <r>
    <x v="1"/>
    <x v="52"/>
    <x v="2"/>
    <x v="0"/>
    <x v="12"/>
    <n v="74"/>
    <n v="1.0800000000000001E-2"/>
  </r>
  <r>
    <x v="1"/>
    <x v="52"/>
    <x v="2"/>
    <x v="0"/>
    <x v="13"/>
    <n v="44"/>
    <n v="5.4999999999999997E-3"/>
  </r>
  <r>
    <x v="1"/>
    <x v="53"/>
    <x v="2"/>
    <x v="0"/>
    <x v="0"/>
    <n v="102"/>
    <n v="7.0699999999999999E-2"/>
  </r>
  <r>
    <x v="1"/>
    <x v="53"/>
    <x v="2"/>
    <x v="0"/>
    <x v="1"/>
    <n v="114"/>
    <n v="1.01E-2"/>
  </r>
  <r>
    <x v="1"/>
    <x v="53"/>
    <x v="2"/>
    <x v="0"/>
    <x v="2"/>
    <n v="118"/>
    <n v="3.04E-2"/>
  </r>
  <r>
    <x v="1"/>
    <x v="53"/>
    <x v="2"/>
    <x v="0"/>
    <x v="3"/>
    <n v="104"/>
    <n v="1.9300000000000001E-2"/>
  </r>
  <r>
    <x v="1"/>
    <x v="53"/>
    <x v="2"/>
    <x v="0"/>
    <x v="4"/>
    <n v="92"/>
    <n v="4.4299999999999999E-2"/>
  </r>
  <r>
    <x v="1"/>
    <x v="53"/>
    <x v="2"/>
    <x v="0"/>
    <x v="5"/>
    <n v="93"/>
    <n v="2.0199999999999999E-2"/>
  </r>
  <r>
    <x v="1"/>
    <x v="53"/>
    <x v="2"/>
    <x v="0"/>
    <x v="6"/>
    <n v="101"/>
    <n v="2.0899999999999998E-2"/>
  </r>
  <r>
    <x v="1"/>
    <x v="53"/>
    <x v="2"/>
    <x v="0"/>
    <x v="7"/>
    <n v="99"/>
    <n v="3.2500000000000001E-2"/>
  </r>
  <r>
    <x v="1"/>
    <x v="53"/>
    <x v="2"/>
    <x v="0"/>
    <x v="8"/>
    <n v="103"/>
    <n v="9.1000000000000004E-3"/>
  </r>
  <r>
    <x v="1"/>
    <x v="53"/>
    <x v="2"/>
    <x v="0"/>
    <x v="9"/>
    <n v="105"/>
    <n v="1.4500000000000001E-2"/>
  </r>
  <r>
    <x v="1"/>
    <x v="53"/>
    <x v="2"/>
    <x v="0"/>
    <x v="10"/>
    <n v="88"/>
    <n v="2.1999999999999999E-2"/>
  </r>
  <r>
    <x v="1"/>
    <x v="53"/>
    <x v="2"/>
    <x v="0"/>
    <x v="11"/>
    <n v="92"/>
    <n v="2.3300000000000001E-2"/>
  </r>
  <r>
    <x v="1"/>
    <x v="53"/>
    <x v="2"/>
    <x v="0"/>
    <x v="12"/>
    <n v="87"/>
    <n v="2.3400000000000001E-2"/>
  </r>
  <r>
    <x v="1"/>
    <x v="53"/>
    <x v="2"/>
    <x v="0"/>
    <x v="13"/>
    <n v="101"/>
    <n v="1.5800000000000002E-2"/>
  </r>
  <r>
    <x v="1"/>
    <x v="54"/>
    <x v="2"/>
    <x v="0"/>
    <x v="0"/>
    <n v="107"/>
    <n v="6.9199999999999998E-2"/>
  </r>
  <r>
    <x v="1"/>
    <x v="54"/>
    <x v="2"/>
    <x v="0"/>
    <x v="1"/>
    <n v="116"/>
    <n v="1.0999999999999999E-2"/>
  </r>
  <r>
    <x v="1"/>
    <x v="54"/>
    <x v="2"/>
    <x v="0"/>
    <x v="2"/>
    <n v="117"/>
    <n v="2.7199999999999998E-2"/>
  </r>
  <r>
    <x v="1"/>
    <x v="54"/>
    <x v="2"/>
    <x v="0"/>
    <x v="3"/>
    <n v="109"/>
    <n v="2.1100000000000001E-2"/>
  </r>
  <r>
    <x v="1"/>
    <x v="54"/>
    <x v="2"/>
    <x v="0"/>
    <x v="4"/>
    <n v="109"/>
    <n v="4.5900000000000003E-2"/>
  </r>
  <r>
    <x v="1"/>
    <x v="54"/>
    <x v="2"/>
    <x v="0"/>
    <x v="5"/>
    <n v="94"/>
    <n v="1.8800000000000001E-2"/>
  </r>
  <r>
    <x v="1"/>
    <x v="54"/>
    <x v="2"/>
    <x v="0"/>
    <x v="6"/>
    <n v="99"/>
    <n v="2.06E-2"/>
  </r>
  <r>
    <x v="1"/>
    <x v="54"/>
    <x v="2"/>
    <x v="0"/>
    <x v="7"/>
    <n v="102"/>
    <n v="3.2099999999999997E-2"/>
  </r>
  <r>
    <x v="1"/>
    <x v="54"/>
    <x v="2"/>
    <x v="0"/>
    <x v="8"/>
    <n v="98"/>
    <n v="8.5000000000000006E-3"/>
  </r>
  <r>
    <x v="1"/>
    <x v="54"/>
    <x v="2"/>
    <x v="0"/>
    <x v="9"/>
    <n v="109"/>
    <n v="1.78E-2"/>
  </r>
  <r>
    <x v="1"/>
    <x v="54"/>
    <x v="2"/>
    <x v="0"/>
    <x v="10"/>
    <n v="88"/>
    <n v="1.9300000000000001E-2"/>
  </r>
  <r>
    <x v="1"/>
    <x v="54"/>
    <x v="2"/>
    <x v="0"/>
    <x v="11"/>
    <n v="95"/>
    <n v="2.2100000000000002E-2"/>
  </r>
  <r>
    <x v="1"/>
    <x v="54"/>
    <x v="2"/>
    <x v="0"/>
    <x v="12"/>
    <n v="111"/>
    <n v="2.3400000000000001E-2"/>
  </r>
  <r>
    <x v="1"/>
    <x v="54"/>
    <x v="2"/>
    <x v="0"/>
    <x v="13"/>
    <n v="104"/>
    <n v="1.7100000000000001E-2"/>
  </r>
  <r>
    <x v="1"/>
    <x v="55"/>
    <x v="2"/>
    <x v="0"/>
    <x v="0"/>
    <n v="81"/>
    <n v="7.3700000000000002E-2"/>
  </r>
  <r>
    <x v="1"/>
    <x v="55"/>
    <x v="2"/>
    <x v="0"/>
    <x v="1"/>
    <n v="64"/>
    <n v="8.6E-3"/>
  </r>
  <r>
    <x v="1"/>
    <x v="55"/>
    <x v="2"/>
    <x v="0"/>
    <x v="2"/>
    <n v="89"/>
    <n v="3.4200000000000001E-2"/>
  </r>
  <r>
    <x v="1"/>
    <x v="55"/>
    <x v="2"/>
    <x v="0"/>
    <x v="3"/>
    <n v="75"/>
    <n v="1.1299999999999999E-2"/>
  </r>
  <r>
    <x v="1"/>
    <x v="55"/>
    <x v="2"/>
    <x v="0"/>
    <x v="4"/>
    <n v="80"/>
    <n v="3.1099999999999999E-2"/>
  </r>
  <r>
    <x v="1"/>
    <x v="55"/>
    <x v="2"/>
    <x v="0"/>
    <x v="5"/>
    <n v="78"/>
    <n v="1.17E-2"/>
  </r>
  <r>
    <x v="1"/>
    <x v="55"/>
    <x v="2"/>
    <x v="0"/>
    <x v="6"/>
    <n v="88"/>
    <n v="1.3299999999999999E-2"/>
  </r>
  <r>
    <x v="1"/>
    <x v="55"/>
    <x v="2"/>
    <x v="0"/>
    <x v="7"/>
    <n v="74"/>
    <n v="2.1499999999999998E-2"/>
  </r>
  <r>
    <x v="1"/>
    <x v="55"/>
    <x v="2"/>
    <x v="0"/>
    <x v="9"/>
    <n v="73"/>
    <n v="8.6999999999999994E-3"/>
  </r>
  <r>
    <x v="1"/>
    <x v="55"/>
    <x v="2"/>
    <x v="0"/>
    <x v="10"/>
    <n v="79"/>
    <n v="1.09E-2"/>
  </r>
  <r>
    <x v="1"/>
    <x v="55"/>
    <x v="2"/>
    <x v="0"/>
    <x v="11"/>
    <n v="89"/>
    <n v="1.26E-2"/>
  </r>
  <r>
    <x v="1"/>
    <x v="55"/>
    <x v="2"/>
    <x v="0"/>
    <x v="12"/>
    <n v="82"/>
    <n v="1.5299999999999999E-2"/>
  </r>
  <r>
    <x v="1"/>
    <x v="55"/>
    <x v="2"/>
    <x v="0"/>
    <x v="13"/>
    <n v="63"/>
    <n v="1.2699999999999999E-2"/>
  </r>
  <r>
    <x v="0"/>
    <x v="56"/>
    <x v="2"/>
    <x v="0"/>
    <x v="0"/>
    <n v="128"/>
    <n v="8.09E-2"/>
  </r>
  <r>
    <x v="0"/>
    <x v="56"/>
    <x v="2"/>
    <x v="0"/>
    <x v="1"/>
    <n v="116"/>
    <n v="8.8000000000000005E-3"/>
  </r>
  <r>
    <x v="0"/>
    <x v="56"/>
    <x v="2"/>
    <x v="0"/>
    <x v="2"/>
    <n v="147"/>
    <n v="3.44E-2"/>
  </r>
  <r>
    <x v="0"/>
    <x v="56"/>
    <x v="2"/>
    <x v="0"/>
    <x v="3"/>
    <n v="127"/>
    <n v="2.4899999999999999E-2"/>
  </r>
  <r>
    <x v="0"/>
    <x v="56"/>
    <x v="2"/>
    <x v="0"/>
    <x v="4"/>
    <n v="123"/>
    <n v="4.9599999999999998E-2"/>
  </r>
  <r>
    <x v="0"/>
    <x v="56"/>
    <x v="2"/>
    <x v="0"/>
    <x v="5"/>
    <n v="110"/>
    <n v="2.0199999999999999E-2"/>
  </r>
  <r>
    <x v="0"/>
    <x v="56"/>
    <x v="2"/>
    <x v="0"/>
    <x v="6"/>
    <n v="113"/>
    <n v="2.0799999999999999E-2"/>
  </r>
  <r>
    <x v="0"/>
    <x v="56"/>
    <x v="2"/>
    <x v="0"/>
    <x v="7"/>
    <n v="131"/>
    <n v="3.0800000000000001E-2"/>
  </r>
  <r>
    <x v="0"/>
    <x v="56"/>
    <x v="2"/>
    <x v="0"/>
    <x v="8"/>
    <n v="120"/>
    <n v="8.3999999999999995E-3"/>
  </r>
  <r>
    <x v="0"/>
    <x v="56"/>
    <x v="2"/>
    <x v="0"/>
    <x v="9"/>
    <n v="123"/>
    <n v="1.9800000000000002E-2"/>
  </r>
  <r>
    <x v="0"/>
    <x v="56"/>
    <x v="2"/>
    <x v="0"/>
    <x v="10"/>
    <n v="110"/>
    <n v="1.9900000000000001E-2"/>
  </r>
  <r>
    <x v="0"/>
    <x v="56"/>
    <x v="2"/>
    <x v="0"/>
    <x v="11"/>
    <n v="117"/>
    <n v="2.3199999999999998E-2"/>
  </r>
  <r>
    <x v="0"/>
    <x v="56"/>
    <x v="2"/>
    <x v="0"/>
    <x v="12"/>
    <n v="126"/>
    <n v="2.5000000000000001E-2"/>
  </r>
  <r>
    <x v="0"/>
    <x v="56"/>
    <x v="2"/>
    <x v="0"/>
    <x v="13"/>
    <n v="145"/>
    <n v="1.6199999999999999E-2"/>
  </r>
  <r>
    <x v="0"/>
    <x v="57"/>
    <x v="2"/>
    <x v="0"/>
    <x v="0"/>
    <n v="27"/>
    <n v="8.8499999999999995E-2"/>
  </r>
  <r>
    <x v="0"/>
    <x v="57"/>
    <x v="2"/>
    <x v="0"/>
    <x v="1"/>
    <n v="44"/>
    <n v="5.3E-3"/>
  </r>
  <r>
    <x v="0"/>
    <x v="57"/>
    <x v="2"/>
    <x v="0"/>
    <x v="2"/>
    <n v="27"/>
    <n v="2.1100000000000001E-2"/>
  </r>
  <r>
    <x v="0"/>
    <x v="57"/>
    <x v="2"/>
    <x v="0"/>
    <x v="3"/>
    <n v="31"/>
    <n v="1.2E-2"/>
  </r>
  <r>
    <x v="0"/>
    <x v="57"/>
    <x v="2"/>
    <x v="0"/>
    <x v="4"/>
    <n v="23"/>
    <n v="4.8500000000000001E-2"/>
  </r>
  <r>
    <x v="0"/>
    <x v="57"/>
    <x v="2"/>
    <x v="0"/>
    <x v="5"/>
    <n v="24"/>
    <n v="1.2E-2"/>
  </r>
  <r>
    <x v="0"/>
    <x v="57"/>
    <x v="2"/>
    <x v="0"/>
    <x v="6"/>
    <n v="44"/>
    <n v="1.29E-2"/>
  </r>
  <r>
    <x v="0"/>
    <x v="57"/>
    <x v="2"/>
    <x v="0"/>
    <x v="7"/>
    <n v="29"/>
    <n v="3.1E-2"/>
  </r>
  <r>
    <x v="0"/>
    <x v="57"/>
    <x v="2"/>
    <x v="0"/>
    <x v="8"/>
    <n v="53"/>
    <n v="4.3E-3"/>
  </r>
  <r>
    <x v="0"/>
    <x v="57"/>
    <x v="2"/>
    <x v="0"/>
    <x v="9"/>
    <n v="29"/>
    <n v="8.6E-3"/>
  </r>
  <r>
    <x v="0"/>
    <x v="57"/>
    <x v="2"/>
    <x v="0"/>
    <x v="10"/>
    <n v="23"/>
    <n v="1.26E-2"/>
  </r>
  <r>
    <x v="0"/>
    <x v="57"/>
    <x v="2"/>
    <x v="0"/>
    <x v="11"/>
    <n v="19"/>
    <n v="1.6299999999999999E-2"/>
  </r>
  <r>
    <x v="0"/>
    <x v="57"/>
    <x v="2"/>
    <x v="0"/>
    <x v="12"/>
    <n v="24"/>
    <n v="1.9599999999999999E-2"/>
  </r>
  <r>
    <x v="0"/>
    <x v="57"/>
    <x v="2"/>
    <x v="0"/>
    <x v="13"/>
    <n v="50"/>
    <n v="9.1999999999999998E-3"/>
  </r>
  <r>
    <x v="0"/>
    <x v="58"/>
    <x v="2"/>
    <x v="0"/>
    <x v="0"/>
    <n v="111"/>
    <n v="0.1835"/>
  </r>
  <r>
    <x v="0"/>
    <x v="58"/>
    <x v="2"/>
    <x v="0"/>
    <x v="1"/>
    <n v="117"/>
    <n v="1.78E-2"/>
  </r>
  <r>
    <x v="0"/>
    <x v="58"/>
    <x v="2"/>
    <x v="0"/>
    <x v="2"/>
    <n v="120"/>
    <n v="7.5600000000000001E-2"/>
  </r>
  <r>
    <x v="0"/>
    <x v="58"/>
    <x v="2"/>
    <x v="0"/>
    <x v="3"/>
    <n v="117"/>
    <n v="7.51E-2"/>
  </r>
  <r>
    <x v="0"/>
    <x v="58"/>
    <x v="2"/>
    <x v="0"/>
    <x v="4"/>
    <n v="103"/>
    <n v="0.1202"/>
  </r>
  <r>
    <x v="0"/>
    <x v="58"/>
    <x v="2"/>
    <x v="0"/>
    <x v="5"/>
    <n v="99"/>
    <n v="3.5099999999999999E-2"/>
  </r>
  <r>
    <x v="0"/>
    <x v="58"/>
    <x v="2"/>
    <x v="0"/>
    <x v="6"/>
    <n v="93"/>
    <n v="3.4200000000000001E-2"/>
  </r>
  <r>
    <x v="0"/>
    <x v="58"/>
    <x v="2"/>
    <x v="0"/>
    <x v="7"/>
    <n v="114"/>
    <n v="0.1173"/>
  </r>
  <r>
    <x v="0"/>
    <x v="58"/>
    <x v="2"/>
    <x v="0"/>
    <x v="8"/>
    <n v="99"/>
    <n v="1.44E-2"/>
  </r>
  <r>
    <x v="0"/>
    <x v="58"/>
    <x v="2"/>
    <x v="0"/>
    <x v="9"/>
    <n v="118"/>
    <n v="6.6299999999999998E-2"/>
  </r>
  <r>
    <x v="0"/>
    <x v="58"/>
    <x v="2"/>
    <x v="0"/>
    <x v="10"/>
    <n v="96"/>
    <n v="4.53E-2"/>
  </r>
  <r>
    <x v="0"/>
    <x v="58"/>
    <x v="2"/>
    <x v="0"/>
    <x v="11"/>
    <n v="100"/>
    <n v="5.6300000000000003E-2"/>
  </r>
  <r>
    <x v="0"/>
    <x v="58"/>
    <x v="2"/>
    <x v="0"/>
    <x v="12"/>
    <n v="102"/>
    <n v="6.0900000000000003E-2"/>
  </r>
  <r>
    <x v="0"/>
    <x v="58"/>
    <x v="2"/>
    <x v="0"/>
    <x v="13"/>
    <n v="113"/>
    <n v="2.9399999999999999E-2"/>
  </r>
  <r>
    <x v="1"/>
    <x v="59"/>
    <x v="2"/>
    <x v="0"/>
    <x v="0"/>
    <n v="134"/>
    <n v="6.9400000000000003E-2"/>
  </r>
  <r>
    <x v="1"/>
    <x v="59"/>
    <x v="2"/>
    <x v="0"/>
    <x v="1"/>
    <n v="164"/>
    <n v="1.26E-2"/>
  </r>
  <r>
    <x v="1"/>
    <x v="59"/>
    <x v="2"/>
    <x v="0"/>
    <x v="2"/>
    <n v="144"/>
    <n v="2.81E-2"/>
  </r>
  <r>
    <x v="1"/>
    <x v="59"/>
    <x v="2"/>
    <x v="0"/>
    <x v="3"/>
    <n v="143"/>
    <n v="2.4E-2"/>
  </r>
  <r>
    <x v="1"/>
    <x v="59"/>
    <x v="2"/>
    <x v="0"/>
    <x v="4"/>
    <n v="122"/>
    <n v="4.5699999999999998E-2"/>
  </r>
  <r>
    <x v="1"/>
    <x v="59"/>
    <x v="2"/>
    <x v="0"/>
    <x v="5"/>
    <n v="113"/>
    <n v="1.9599999999999999E-2"/>
  </r>
  <r>
    <x v="1"/>
    <x v="59"/>
    <x v="2"/>
    <x v="0"/>
    <x v="6"/>
    <n v="132"/>
    <n v="1.9800000000000002E-2"/>
  </r>
  <r>
    <x v="1"/>
    <x v="59"/>
    <x v="2"/>
    <x v="0"/>
    <x v="7"/>
    <n v="136"/>
    <n v="3.2899999999999999E-2"/>
  </r>
  <r>
    <x v="1"/>
    <x v="59"/>
    <x v="2"/>
    <x v="0"/>
    <x v="8"/>
    <n v="159"/>
    <n v="1.12E-2"/>
  </r>
  <r>
    <x v="1"/>
    <x v="59"/>
    <x v="2"/>
    <x v="0"/>
    <x v="9"/>
    <n v="152"/>
    <n v="1.9400000000000001E-2"/>
  </r>
  <r>
    <x v="1"/>
    <x v="59"/>
    <x v="2"/>
    <x v="0"/>
    <x v="10"/>
    <n v="113"/>
    <n v="2.1899999999999999E-2"/>
  </r>
  <r>
    <x v="1"/>
    <x v="59"/>
    <x v="2"/>
    <x v="0"/>
    <x v="11"/>
    <n v="120"/>
    <n v="2.5399999999999999E-2"/>
  </r>
  <r>
    <x v="1"/>
    <x v="59"/>
    <x v="2"/>
    <x v="0"/>
    <x v="12"/>
    <n v="123"/>
    <n v="2.58E-2"/>
  </r>
  <r>
    <x v="1"/>
    <x v="59"/>
    <x v="2"/>
    <x v="0"/>
    <x v="13"/>
    <n v="158"/>
    <n v="1.84E-2"/>
  </r>
  <r>
    <x v="0"/>
    <x v="60"/>
    <x v="2"/>
    <x v="0"/>
    <x v="0"/>
    <n v="117"/>
    <n v="0.18090000000000001"/>
  </r>
  <r>
    <x v="0"/>
    <x v="60"/>
    <x v="2"/>
    <x v="0"/>
    <x v="1"/>
    <n v="112"/>
    <n v="2.4E-2"/>
  </r>
  <r>
    <x v="0"/>
    <x v="60"/>
    <x v="2"/>
    <x v="0"/>
    <x v="2"/>
    <n v="128"/>
    <n v="8.2000000000000003E-2"/>
  </r>
  <r>
    <x v="0"/>
    <x v="60"/>
    <x v="2"/>
    <x v="0"/>
    <x v="3"/>
    <n v="129"/>
    <n v="6.6600000000000006E-2"/>
  </r>
  <r>
    <x v="0"/>
    <x v="60"/>
    <x v="2"/>
    <x v="0"/>
    <x v="4"/>
    <n v="114"/>
    <n v="0.12230000000000001"/>
  </r>
  <r>
    <x v="0"/>
    <x v="60"/>
    <x v="2"/>
    <x v="0"/>
    <x v="5"/>
    <n v="113"/>
    <n v="6.3899999999999998E-2"/>
  </r>
  <r>
    <x v="0"/>
    <x v="60"/>
    <x v="2"/>
    <x v="0"/>
    <x v="6"/>
    <n v="107"/>
    <n v="6.2899999999999998E-2"/>
  </r>
  <r>
    <x v="0"/>
    <x v="60"/>
    <x v="2"/>
    <x v="0"/>
    <x v="7"/>
    <n v="117"/>
    <n v="8.9399999999999993E-2"/>
  </r>
  <r>
    <x v="0"/>
    <x v="60"/>
    <x v="2"/>
    <x v="0"/>
    <x v="8"/>
    <n v="99"/>
    <n v="2.8799999999999999E-2"/>
  </r>
  <r>
    <x v="0"/>
    <x v="60"/>
    <x v="2"/>
    <x v="0"/>
    <x v="9"/>
    <n v="132"/>
    <n v="5.7299999999999997E-2"/>
  </r>
  <r>
    <x v="0"/>
    <x v="60"/>
    <x v="2"/>
    <x v="0"/>
    <x v="10"/>
    <n v="113"/>
    <n v="6.7400000000000002E-2"/>
  </r>
  <r>
    <x v="0"/>
    <x v="60"/>
    <x v="2"/>
    <x v="0"/>
    <x v="11"/>
    <n v="114"/>
    <n v="7.3499999999999996E-2"/>
  </r>
  <r>
    <x v="0"/>
    <x v="60"/>
    <x v="2"/>
    <x v="0"/>
    <x v="12"/>
    <n v="107"/>
    <n v="7.2999999999999995E-2"/>
  </r>
  <r>
    <x v="0"/>
    <x v="60"/>
    <x v="2"/>
    <x v="0"/>
    <x v="13"/>
    <n v="110"/>
    <n v="3.4099999999999998E-2"/>
  </r>
  <r>
    <x v="0"/>
    <x v="61"/>
    <x v="2"/>
    <x v="0"/>
    <x v="0"/>
    <n v="110"/>
    <n v="0.2989"/>
  </r>
  <r>
    <x v="0"/>
    <x v="61"/>
    <x v="2"/>
    <x v="0"/>
    <x v="1"/>
    <n v="109"/>
    <n v="4.0099999999999997E-2"/>
  </r>
  <r>
    <x v="0"/>
    <x v="61"/>
    <x v="2"/>
    <x v="0"/>
    <x v="2"/>
    <n v="106"/>
    <n v="0.12379999999999999"/>
  </r>
  <r>
    <x v="0"/>
    <x v="61"/>
    <x v="2"/>
    <x v="0"/>
    <x v="3"/>
    <n v="115"/>
    <n v="0.11269999999999999"/>
  </r>
  <r>
    <x v="0"/>
    <x v="61"/>
    <x v="2"/>
    <x v="0"/>
    <x v="4"/>
    <n v="115"/>
    <n v="0.2263"/>
  </r>
  <r>
    <x v="0"/>
    <x v="61"/>
    <x v="2"/>
    <x v="0"/>
    <x v="5"/>
    <n v="100"/>
    <n v="9.3200000000000005E-2"/>
  </r>
  <r>
    <x v="0"/>
    <x v="61"/>
    <x v="2"/>
    <x v="0"/>
    <x v="6"/>
    <n v="99"/>
    <n v="8.8499999999999995E-2"/>
  </r>
  <r>
    <x v="0"/>
    <x v="61"/>
    <x v="2"/>
    <x v="0"/>
    <x v="7"/>
    <n v="111"/>
    <n v="0.17560000000000001"/>
  </r>
  <r>
    <x v="0"/>
    <x v="61"/>
    <x v="2"/>
    <x v="0"/>
    <x v="8"/>
    <n v="99"/>
    <n v="3.8600000000000002E-2"/>
  </r>
  <r>
    <x v="0"/>
    <x v="61"/>
    <x v="2"/>
    <x v="0"/>
    <x v="9"/>
    <n v="119"/>
    <n v="9.6699999999999994E-2"/>
  </r>
  <r>
    <x v="0"/>
    <x v="61"/>
    <x v="2"/>
    <x v="0"/>
    <x v="10"/>
    <n v="105"/>
    <n v="0.1144"/>
  </r>
  <r>
    <x v="0"/>
    <x v="61"/>
    <x v="2"/>
    <x v="0"/>
    <x v="11"/>
    <n v="115"/>
    <n v="0.1477"/>
  </r>
  <r>
    <x v="0"/>
    <x v="61"/>
    <x v="2"/>
    <x v="0"/>
    <x v="12"/>
    <n v="119"/>
    <n v="0.15210000000000001"/>
  </r>
  <r>
    <x v="0"/>
    <x v="61"/>
    <x v="2"/>
    <x v="0"/>
    <x v="13"/>
    <n v="107"/>
    <n v="6.9800000000000001E-2"/>
  </r>
  <r>
    <x v="1"/>
    <x v="62"/>
    <x v="2"/>
    <x v="0"/>
    <x v="0"/>
    <n v="100"/>
    <n v="6.8900000000000003E-2"/>
  </r>
  <r>
    <x v="1"/>
    <x v="62"/>
    <x v="2"/>
    <x v="0"/>
    <x v="1"/>
    <n v="96"/>
    <n v="9.9000000000000008E-3"/>
  </r>
  <r>
    <x v="1"/>
    <x v="62"/>
    <x v="2"/>
    <x v="0"/>
    <x v="2"/>
    <n v="107"/>
    <n v="2.69E-2"/>
  </r>
  <r>
    <x v="1"/>
    <x v="62"/>
    <x v="2"/>
    <x v="0"/>
    <x v="3"/>
    <n v="112"/>
    <n v="1.77E-2"/>
  </r>
  <r>
    <x v="1"/>
    <x v="62"/>
    <x v="2"/>
    <x v="0"/>
    <x v="4"/>
    <n v="102"/>
    <n v="4.1099999999999998E-2"/>
  </r>
  <r>
    <x v="1"/>
    <x v="62"/>
    <x v="2"/>
    <x v="0"/>
    <x v="5"/>
    <n v="70"/>
    <n v="1.49E-2"/>
  </r>
  <r>
    <x v="1"/>
    <x v="62"/>
    <x v="2"/>
    <x v="0"/>
    <x v="6"/>
    <n v="88"/>
    <n v="1.83E-2"/>
  </r>
  <r>
    <x v="1"/>
    <x v="62"/>
    <x v="2"/>
    <x v="0"/>
    <x v="7"/>
    <n v="105"/>
    <n v="3.3700000000000001E-2"/>
  </r>
  <r>
    <x v="1"/>
    <x v="62"/>
    <x v="2"/>
    <x v="0"/>
    <x v="8"/>
    <n v="109"/>
    <n v="8.5000000000000006E-3"/>
  </r>
  <r>
    <x v="1"/>
    <x v="62"/>
    <x v="2"/>
    <x v="0"/>
    <x v="9"/>
    <n v="111"/>
    <n v="1.61E-2"/>
  </r>
  <r>
    <x v="1"/>
    <x v="62"/>
    <x v="2"/>
    <x v="0"/>
    <x v="10"/>
    <n v="77"/>
    <n v="1.37E-2"/>
  </r>
  <r>
    <x v="1"/>
    <x v="62"/>
    <x v="2"/>
    <x v="0"/>
    <x v="11"/>
    <n v="91"/>
    <n v="1.9599999999999999E-2"/>
  </r>
  <r>
    <x v="1"/>
    <x v="62"/>
    <x v="2"/>
    <x v="0"/>
    <x v="12"/>
    <n v="112"/>
    <n v="2.06E-2"/>
  </r>
  <r>
    <x v="1"/>
    <x v="62"/>
    <x v="2"/>
    <x v="0"/>
    <x v="13"/>
    <n v="100"/>
    <n v="1.6299999999999999E-2"/>
  </r>
  <r>
    <x v="1"/>
    <x v="63"/>
    <x v="2"/>
    <x v="0"/>
    <x v="0"/>
    <n v="120"/>
    <n v="0.23849999999999999"/>
  </r>
  <r>
    <x v="1"/>
    <x v="63"/>
    <x v="2"/>
    <x v="0"/>
    <x v="1"/>
    <n v="122"/>
    <n v="4.2200000000000001E-2"/>
  </r>
  <r>
    <x v="1"/>
    <x v="63"/>
    <x v="2"/>
    <x v="0"/>
    <x v="2"/>
    <n v="122"/>
    <n v="0.1016"/>
  </r>
  <r>
    <x v="1"/>
    <x v="63"/>
    <x v="2"/>
    <x v="0"/>
    <x v="3"/>
    <n v="115"/>
    <n v="8.8099999999999998E-2"/>
  </r>
  <r>
    <x v="1"/>
    <x v="63"/>
    <x v="2"/>
    <x v="0"/>
    <x v="4"/>
    <n v="126"/>
    <n v="0.1696"/>
  </r>
  <r>
    <x v="1"/>
    <x v="63"/>
    <x v="2"/>
    <x v="0"/>
    <x v="5"/>
    <n v="119"/>
    <n v="6.7199999999999996E-2"/>
  </r>
  <r>
    <x v="1"/>
    <x v="63"/>
    <x v="2"/>
    <x v="0"/>
    <x v="6"/>
    <n v="116"/>
    <n v="7.0000000000000007E-2"/>
  </r>
  <r>
    <x v="1"/>
    <x v="63"/>
    <x v="2"/>
    <x v="0"/>
    <x v="7"/>
    <n v="119"/>
    <n v="0.13469999999999999"/>
  </r>
  <r>
    <x v="1"/>
    <x v="63"/>
    <x v="2"/>
    <x v="0"/>
    <x v="8"/>
    <n v="115"/>
    <n v="3.9300000000000002E-2"/>
  </r>
  <r>
    <x v="1"/>
    <x v="63"/>
    <x v="2"/>
    <x v="0"/>
    <x v="9"/>
    <n v="115"/>
    <n v="7.22E-2"/>
  </r>
  <r>
    <x v="1"/>
    <x v="63"/>
    <x v="2"/>
    <x v="0"/>
    <x v="10"/>
    <n v="125"/>
    <n v="7.3599999999999999E-2"/>
  </r>
  <r>
    <x v="1"/>
    <x v="63"/>
    <x v="2"/>
    <x v="0"/>
    <x v="11"/>
    <n v="128"/>
    <n v="9.7000000000000003E-2"/>
  </r>
  <r>
    <x v="1"/>
    <x v="63"/>
    <x v="2"/>
    <x v="0"/>
    <x v="12"/>
    <n v="129"/>
    <n v="0.109"/>
  </r>
  <r>
    <x v="1"/>
    <x v="63"/>
    <x v="2"/>
    <x v="0"/>
    <x v="13"/>
    <n v="118"/>
    <n v="6.0600000000000001E-2"/>
  </r>
  <r>
    <x v="0"/>
    <x v="64"/>
    <x v="2"/>
    <x v="0"/>
    <x v="0"/>
    <n v="94"/>
    <n v="0.20930000000000001"/>
  </r>
  <r>
    <x v="0"/>
    <x v="64"/>
    <x v="2"/>
    <x v="0"/>
    <x v="1"/>
    <n v="103"/>
    <n v="3.1199999999999999E-2"/>
  </r>
  <r>
    <x v="0"/>
    <x v="64"/>
    <x v="2"/>
    <x v="0"/>
    <x v="2"/>
    <n v="92"/>
    <n v="7.8399999999999997E-2"/>
  </r>
  <r>
    <x v="0"/>
    <x v="64"/>
    <x v="2"/>
    <x v="0"/>
    <x v="3"/>
    <n v="100"/>
    <n v="5.2400000000000002E-2"/>
  </r>
  <r>
    <x v="0"/>
    <x v="64"/>
    <x v="2"/>
    <x v="0"/>
    <x v="4"/>
    <n v="93"/>
    <n v="0.1308"/>
  </r>
  <r>
    <x v="0"/>
    <x v="64"/>
    <x v="2"/>
    <x v="0"/>
    <x v="5"/>
    <n v="92"/>
    <n v="5.2900000000000003E-2"/>
  </r>
  <r>
    <x v="0"/>
    <x v="64"/>
    <x v="2"/>
    <x v="0"/>
    <x v="6"/>
    <n v="93"/>
    <n v="5.8900000000000001E-2"/>
  </r>
  <r>
    <x v="0"/>
    <x v="64"/>
    <x v="2"/>
    <x v="0"/>
    <x v="7"/>
    <n v="92"/>
    <n v="9.7299999999999998E-2"/>
  </r>
  <r>
    <x v="0"/>
    <x v="64"/>
    <x v="2"/>
    <x v="0"/>
    <x v="8"/>
    <n v="101"/>
    <n v="2.8400000000000002E-2"/>
  </r>
  <r>
    <x v="0"/>
    <x v="64"/>
    <x v="2"/>
    <x v="0"/>
    <x v="9"/>
    <n v="100"/>
    <n v="4.2700000000000002E-2"/>
  </r>
  <r>
    <x v="0"/>
    <x v="64"/>
    <x v="2"/>
    <x v="0"/>
    <x v="10"/>
    <n v="94"/>
    <n v="5.5100000000000003E-2"/>
  </r>
  <r>
    <x v="0"/>
    <x v="64"/>
    <x v="2"/>
    <x v="0"/>
    <x v="11"/>
    <n v="91"/>
    <n v="6.5199999999999994E-2"/>
  </r>
  <r>
    <x v="0"/>
    <x v="64"/>
    <x v="2"/>
    <x v="0"/>
    <x v="12"/>
    <n v="92"/>
    <n v="6.5600000000000006E-2"/>
  </r>
  <r>
    <x v="0"/>
    <x v="64"/>
    <x v="2"/>
    <x v="0"/>
    <x v="13"/>
    <n v="101"/>
    <n v="4.9500000000000002E-2"/>
  </r>
  <r>
    <x v="0"/>
    <x v="126"/>
    <x v="2"/>
    <x v="0"/>
    <x v="0"/>
    <n v="23"/>
    <n v="5.7000000000000002E-3"/>
  </r>
  <r>
    <x v="0"/>
    <x v="65"/>
    <x v="2"/>
    <x v="0"/>
    <x v="0"/>
    <n v="105"/>
    <n v="0.3649"/>
  </r>
  <r>
    <x v="0"/>
    <x v="65"/>
    <x v="2"/>
    <x v="0"/>
    <x v="1"/>
    <n v="109"/>
    <n v="5.91E-2"/>
  </r>
  <r>
    <x v="0"/>
    <x v="65"/>
    <x v="2"/>
    <x v="0"/>
    <x v="2"/>
    <n v="109"/>
    <n v="0.16800000000000001"/>
  </r>
  <r>
    <x v="0"/>
    <x v="65"/>
    <x v="2"/>
    <x v="0"/>
    <x v="3"/>
    <n v="108"/>
    <n v="0.1487"/>
  </r>
  <r>
    <x v="0"/>
    <x v="65"/>
    <x v="2"/>
    <x v="0"/>
    <x v="4"/>
    <n v="105"/>
    <n v="0.28110000000000002"/>
  </r>
  <r>
    <x v="0"/>
    <x v="65"/>
    <x v="2"/>
    <x v="0"/>
    <x v="5"/>
    <n v="103"/>
    <n v="0.13439999999999999"/>
  </r>
  <r>
    <x v="0"/>
    <x v="65"/>
    <x v="2"/>
    <x v="0"/>
    <x v="6"/>
    <n v="107"/>
    <n v="0.12139999999999999"/>
  </r>
  <r>
    <x v="0"/>
    <x v="65"/>
    <x v="2"/>
    <x v="0"/>
    <x v="7"/>
    <n v="101"/>
    <n v="0.2165"/>
  </r>
  <r>
    <x v="0"/>
    <x v="65"/>
    <x v="2"/>
    <x v="0"/>
    <x v="8"/>
    <n v="108"/>
    <n v="5.8000000000000003E-2"/>
  </r>
  <r>
    <x v="0"/>
    <x v="65"/>
    <x v="2"/>
    <x v="0"/>
    <x v="9"/>
    <n v="110"/>
    <n v="0.1265"/>
  </r>
  <r>
    <x v="0"/>
    <x v="65"/>
    <x v="2"/>
    <x v="0"/>
    <x v="10"/>
    <n v="105"/>
    <n v="0.14810000000000001"/>
  </r>
  <r>
    <x v="0"/>
    <x v="65"/>
    <x v="2"/>
    <x v="0"/>
    <x v="11"/>
    <n v="105"/>
    <n v="0.18099999999999999"/>
  </r>
  <r>
    <x v="0"/>
    <x v="65"/>
    <x v="2"/>
    <x v="0"/>
    <x v="12"/>
    <n v="106"/>
    <n v="0.1951"/>
  </r>
  <r>
    <x v="0"/>
    <x v="65"/>
    <x v="2"/>
    <x v="0"/>
    <x v="13"/>
    <n v="107"/>
    <n v="0.09"/>
  </r>
  <r>
    <x v="1"/>
    <x v="66"/>
    <x v="2"/>
    <x v="0"/>
    <x v="0"/>
    <n v="97"/>
    <n v="9.8900000000000002E-2"/>
  </r>
  <r>
    <x v="1"/>
    <x v="66"/>
    <x v="2"/>
    <x v="0"/>
    <x v="1"/>
    <n v="91"/>
    <n v="1.4200000000000001E-2"/>
  </r>
  <r>
    <x v="1"/>
    <x v="66"/>
    <x v="2"/>
    <x v="0"/>
    <x v="2"/>
    <n v="96"/>
    <n v="3.5900000000000001E-2"/>
  </r>
  <r>
    <x v="1"/>
    <x v="66"/>
    <x v="2"/>
    <x v="0"/>
    <x v="3"/>
    <n v="101"/>
    <n v="2.7199999999999998E-2"/>
  </r>
  <r>
    <x v="1"/>
    <x v="66"/>
    <x v="2"/>
    <x v="0"/>
    <x v="4"/>
    <n v="101"/>
    <n v="6.1800000000000001E-2"/>
  </r>
  <r>
    <x v="1"/>
    <x v="66"/>
    <x v="2"/>
    <x v="0"/>
    <x v="5"/>
    <n v="94"/>
    <n v="3.09E-2"/>
  </r>
  <r>
    <x v="1"/>
    <x v="66"/>
    <x v="2"/>
    <x v="0"/>
    <x v="6"/>
    <n v="86"/>
    <n v="3.2000000000000001E-2"/>
  </r>
  <r>
    <x v="1"/>
    <x v="66"/>
    <x v="2"/>
    <x v="0"/>
    <x v="7"/>
    <n v="102"/>
    <n v="4.3799999999999999E-2"/>
  </r>
  <r>
    <x v="1"/>
    <x v="66"/>
    <x v="2"/>
    <x v="0"/>
    <x v="8"/>
    <n v="75"/>
    <n v="1.24E-2"/>
  </r>
  <r>
    <x v="1"/>
    <x v="66"/>
    <x v="2"/>
    <x v="0"/>
    <x v="9"/>
    <n v="90"/>
    <n v="2.18E-2"/>
  </r>
  <r>
    <x v="1"/>
    <x v="66"/>
    <x v="2"/>
    <x v="0"/>
    <x v="10"/>
    <n v="97"/>
    <n v="3.0099999999999998E-2"/>
  </r>
  <r>
    <x v="1"/>
    <x v="66"/>
    <x v="2"/>
    <x v="0"/>
    <x v="11"/>
    <n v="97"/>
    <n v="3.2000000000000001E-2"/>
  </r>
  <r>
    <x v="1"/>
    <x v="66"/>
    <x v="2"/>
    <x v="0"/>
    <x v="12"/>
    <n v="99"/>
    <n v="3.3599999999999998E-2"/>
  </r>
  <r>
    <x v="1"/>
    <x v="66"/>
    <x v="2"/>
    <x v="0"/>
    <x v="13"/>
    <n v="90"/>
    <n v="2.52E-2"/>
  </r>
  <r>
    <x v="0"/>
    <x v="67"/>
    <x v="2"/>
    <x v="0"/>
    <x v="0"/>
    <n v="93"/>
    <n v="0.23139999999999999"/>
  </r>
  <r>
    <x v="0"/>
    <x v="67"/>
    <x v="2"/>
    <x v="0"/>
    <x v="1"/>
    <n v="86"/>
    <n v="3.9600000000000003E-2"/>
  </r>
  <r>
    <x v="0"/>
    <x v="67"/>
    <x v="2"/>
    <x v="0"/>
    <x v="2"/>
    <n v="101"/>
    <n v="9.6299999999999997E-2"/>
  </r>
  <r>
    <x v="0"/>
    <x v="67"/>
    <x v="2"/>
    <x v="0"/>
    <x v="3"/>
    <n v="102"/>
    <n v="7.7299999999999994E-2"/>
  </r>
  <r>
    <x v="0"/>
    <x v="67"/>
    <x v="2"/>
    <x v="0"/>
    <x v="4"/>
    <n v="90"/>
    <n v="0.1593"/>
  </r>
  <r>
    <x v="0"/>
    <x v="67"/>
    <x v="2"/>
    <x v="0"/>
    <x v="5"/>
    <n v="93"/>
    <n v="7.6300000000000007E-2"/>
  </r>
  <r>
    <x v="0"/>
    <x v="67"/>
    <x v="2"/>
    <x v="0"/>
    <x v="6"/>
    <n v="89"/>
    <n v="7.5399999999999995E-2"/>
  </r>
  <r>
    <x v="0"/>
    <x v="67"/>
    <x v="2"/>
    <x v="0"/>
    <x v="7"/>
    <n v="94"/>
    <n v="0.1154"/>
  </r>
  <r>
    <x v="0"/>
    <x v="67"/>
    <x v="2"/>
    <x v="0"/>
    <x v="8"/>
    <n v="80"/>
    <n v="3.78E-2"/>
  </r>
  <r>
    <x v="0"/>
    <x v="67"/>
    <x v="2"/>
    <x v="0"/>
    <x v="9"/>
    <n v="103"/>
    <n v="6.5600000000000006E-2"/>
  </r>
  <r>
    <x v="0"/>
    <x v="67"/>
    <x v="2"/>
    <x v="0"/>
    <x v="10"/>
    <n v="87"/>
    <n v="7.6700000000000004E-2"/>
  </r>
  <r>
    <x v="0"/>
    <x v="67"/>
    <x v="2"/>
    <x v="0"/>
    <x v="11"/>
    <n v="90"/>
    <n v="8.5099999999999995E-2"/>
  </r>
  <r>
    <x v="0"/>
    <x v="67"/>
    <x v="2"/>
    <x v="0"/>
    <x v="12"/>
    <n v="92"/>
    <n v="9.2200000000000004E-2"/>
  </r>
  <r>
    <x v="0"/>
    <x v="67"/>
    <x v="2"/>
    <x v="0"/>
    <x v="13"/>
    <n v="84"/>
    <n v="5.7700000000000001E-2"/>
  </r>
  <r>
    <x v="1"/>
    <x v="68"/>
    <x v="2"/>
    <x v="1"/>
    <x v="0"/>
    <n v="108"/>
    <n v="0.34420000000000001"/>
  </r>
  <r>
    <x v="1"/>
    <x v="68"/>
    <x v="2"/>
    <x v="1"/>
    <x v="1"/>
    <n v="96"/>
    <n v="4.7800000000000002E-2"/>
  </r>
  <r>
    <x v="1"/>
    <x v="68"/>
    <x v="2"/>
    <x v="1"/>
    <x v="2"/>
    <n v="104"/>
    <n v="0.1525"/>
  </r>
  <r>
    <x v="1"/>
    <x v="68"/>
    <x v="2"/>
    <x v="1"/>
    <x v="3"/>
    <n v="105"/>
    <n v="0.1242"/>
  </r>
  <r>
    <x v="1"/>
    <x v="68"/>
    <x v="2"/>
    <x v="1"/>
    <x v="4"/>
    <n v="109"/>
    <n v="0.25729999999999997"/>
  </r>
  <r>
    <x v="1"/>
    <x v="68"/>
    <x v="2"/>
    <x v="1"/>
    <x v="5"/>
    <n v="105"/>
    <n v="0.12039999999999999"/>
  </r>
  <r>
    <x v="1"/>
    <x v="68"/>
    <x v="2"/>
    <x v="1"/>
    <x v="6"/>
    <n v="102"/>
    <n v="0.10349999999999999"/>
  </r>
  <r>
    <x v="1"/>
    <x v="68"/>
    <x v="2"/>
    <x v="1"/>
    <x v="7"/>
    <n v="115"/>
    <n v="0.17780000000000001"/>
  </r>
  <r>
    <x v="1"/>
    <x v="68"/>
    <x v="2"/>
    <x v="1"/>
    <x v="8"/>
    <n v="92"/>
    <n v="3.5799999999999998E-2"/>
  </r>
  <r>
    <x v="1"/>
    <x v="68"/>
    <x v="2"/>
    <x v="1"/>
    <x v="9"/>
    <n v="107"/>
    <n v="0.1061"/>
  </r>
  <r>
    <x v="1"/>
    <x v="68"/>
    <x v="2"/>
    <x v="1"/>
    <x v="10"/>
    <n v="104"/>
    <n v="0.14080000000000001"/>
  </r>
  <r>
    <x v="1"/>
    <x v="68"/>
    <x v="2"/>
    <x v="1"/>
    <x v="11"/>
    <n v="109"/>
    <n v="0.1552"/>
  </r>
  <r>
    <x v="1"/>
    <x v="68"/>
    <x v="2"/>
    <x v="1"/>
    <x v="12"/>
    <n v="111"/>
    <n v="0.16420000000000001"/>
  </r>
  <r>
    <x v="1"/>
    <x v="68"/>
    <x v="2"/>
    <x v="1"/>
    <x v="13"/>
    <n v="97"/>
    <n v="7.5399999999999995E-2"/>
  </r>
  <r>
    <x v="0"/>
    <x v="69"/>
    <x v="2"/>
    <x v="0"/>
    <x v="0"/>
    <n v="68"/>
    <n v="0.14530000000000001"/>
  </r>
  <r>
    <x v="0"/>
    <x v="69"/>
    <x v="2"/>
    <x v="0"/>
    <x v="1"/>
    <n v="73"/>
    <n v="1.9300000000000001E-2"/>
  </r>
  <r>
    <x v="0"/>
    <x v="69"/>
    <x v="2"/>
    <x v="0"/>
    <x v="2"/>
    <n v="69"/>
    <n v="5.2299999999999999E-2"/>
  </r>
  <r>
    <x v="0"/>
    <x v="69"/>
    <x v="2"/>
    <x v="0"/>
    <x v="3"/>
    <n v="71"/>
    <n v="3.9899999999999998E-2"/>
  </r>
  <r>
    <x v="0"/>
    <x v="69"/>
    <x v="2"/>
    <x v="0"/>
    <x v="4"/>
    <n v="69"/>
    <n v="9.0499999999999997E-2"/>
  </r>
  <r>
    <x v="0"/>
    <x v="69"/>
    <x v="2"/>
    <x v="0"/>
    <x v="5"/>
    <n v="65"/>
    <n v="4.1399999999999999E-2"/>
  </r>
  <r>
    <x v="0"/>
    <x v="69"/>
    <x v="2"/>
    <x v="0"/>
    <x v="6"/>
    <n v="67"/>
    <n v="3.7400000000000003E-2"/>
  </r>
  <r>
    <x v="0"/>
    <x v="69"/>
    <x v="2"/>
    <x v="0"/>
    <x v="7"/>
    <n v="65"/>
    <n v="6.8900000000000003E-2"/>
  </r>
  <r>
    <x v="0"/>
    <x v="69"/>
    <x v="2"/>
    <x v="0"/>
    <x v="8"/>
    <n v="74"/>
    <n v="1.6400000000000001E-2"/>
  </r>
  <r>
    <x v="0"/>
    <x v="69"/>
    <x v="2"/>
    <x v="0"/>
    <x v="9"/>
    <n v="72"/>
    <n v="3.32E-2"/>
  </r>
  <r>
    <x v="0"/>
    <x v="69"/>
    <x v="2"/>
    <x v="0"/>
    <x v="10"/>
    <n v="64"/>
    <n v="3.7699999999999997E-2"/>
  </r>
  <r>
    <x v="0"/>
    <x v="69"/>
    <x v="2"/>
    <x v="0"/>
    <x v="11"/>
    <n v="68"/>
    <n v="4.9200000000000001E-2"/>
  </r>
  <r>
    <x v="0"/>
    <x v="69"/>
    <x v="2"/>
    <x v="0"/>
    <x v="12"/>
    <n v="71"/>
    <n v="4.7199999999999999E-2"/>
  </r>
  <r>
    <x v="0"/>
    <x v="69"/>
    <x v="2"/>
    <x v="0"/>
    <x v="13"/>
    <n v="70"/>
    <n v="2.8799999999999999E-2"/>
  </r>
  <r>
    <x v="1"/>
    <x v="127"/>
    <x v="2"/>
    <x v="0"/>
    <x v="0"/>
    <n v="75"/>
    <n v="8.2000000000000007E-3"/>
  </r>
  <r>
    <x v="1"/>
    <x v="127"/>
    <x v="2"/>
    <x v="0"/>
    <x v="4"/>
    <n v="50"/>
    <n v="4.0000000000000001E-3"/>
  </r>
  <r>
    <x v="0"/>
    <x v="70"/>
    <x v="2"/>
    <x v="0"/>
    <x v="0"/>
    <n v="105"/>
    <n v="0.3024"/>
  </r>
  <r>
    <x v="0"/>
    <x v="70"/>
    <x v="2"/>
    <x v="0"/>
    <x v="1"/>
    <n v="105"/>
    <n v="3.2599999999999997E-2"/>
  </r>
  <r>
    <x v="0"/>
    <x v="70"/>
    <x v="2"/>
    <x v="0"/>
    <x v="2"/>
    <n v="117"/>
    <n v="0.11070000000000001"/>
  </r>
  <r>
    <x v="0"/>
    <x v="70"/>
    <x v="2"/>
    <x v="0"/>
    <x v="3"/>
    <n v="121"/>
    <n v="8.8700000000000001E-2"/>
  </r>
  <r>
    <x v="0"/>
    <x v="70"/>
    <x v="2"/>
    <x v="0"/>
    <x v="4"/>
    <n v="103"/>
    <n v="0.21360000000000001"/>
  </r>
  <r>
    <x v="0"/>
    <x v="70"/>
    <x v="2"/>
    <x v="0"/>
    <x v="5"/>
    <n v="107"/>
    <n v="9.8500000000000004E-2"/>
  </r>
  <r>
    <x v="0"/>
    <x v="70"/>
    <x v="2"/>
    <x v="0"/>
    <x v="6"/>
    <n v="108"/>
    <n v="8.7499999999999994E-2"/>
  </r>
  <r>
    <x v="0"/>
    <x v="70"/>
    <x v="2"/>
    <x v="0"/>
    <x v="7"/>
    <n v="75"/>
    <n v="0.15210000000000001"/>
  </r>
  <r>
    <x v="0"/>
    <x v="70"/>
    <x v="2"/>
    <x v="0"/>
    <x v="8"/>
    <n v="110"/>
    <n v="2.9700000000000001E-2"/>
  </r>
  <r>
    <x v="0"/>
    <x v="70"/>
    <x v="2"/>
    <x v="0"/>
    <x v="9"/>
    <n v="124"/>
    <n v="7.5600000000000001E-2"/>
  </r>
  <r>
    <x v="0"/>
    <x v="70"/>
    <x v="2"/>
    <x v="0"/>
    <x v="10"/>
    <n v="104"/>
    <n v="0.10580000000000001"/>
  </r>
  <r>
    <x v="0"/>
    <x v="70"/>
    <x v="2"/>
    <x v="0"/>
    <x v="11"/>
    <n v="107"/>
    <n v="0.12659999999999999"/>
  </r>
  <r>
    <x v="0"/>
    <x v="70"/>
    <x v="2"/>
    <x v="0"/>
    <x v="12"/>
    <n v="104"/>
    <n v="0.13320000000000001"/>
  </r>
  <r>
    <x v="0"/>
    <x v="70"/>
    <x v="2"/>
    <x v="0"/>
    <x v="13"/>
    <n v="103"/>
    <n v="5.0700000000000002E-2"/>
  </r>
  <r>
    <x v="1"/>
    <x v="71"/>
    <x v="2"/>
    <x v="0"/>
    <x v="0"/>
    <n v="83"/>
    <n v="3.0200000000000001E-2"/>
  </r>
  <r>
    <x v="1"/>
    <x v="71"/>
    <x v="2"/>
    <x v="0"/>
    <x v="2"/>
    <n v="92"/>
    <n v="7.1999999999999998E-3"/>
  </r>
  <r>
    <x v="1"/>
    <x v="71"/>
    <x v="2"/>
    <x v="0"/>
    <x v="3"/>
    <n v="94"/>
    <n v="6.7999999999999996E-3"/>
  </r>
  <r>
    <x v="1"/>
    <x v="71"/>
    <x v="2"/>
    <x v="0"/>
    <x v="4"/>
    <n v="77"/>
    <n v="1.7999999999999999E-2"/>
  </r>
  <r>
    <x v="1"/>
    <x v="71"/>
    <x v="2"/>
    <x v="0"/>
    <x v="5"/>
    <n v="77"/>
    <n v="7.1000000000000004E-3"/>
  </r>
  <r>
    <x v="1"/>
    <x v="71"/>
    <x v="2"/>
    <x v="0"/>
    <x v="6"/>
    <n v="80"/>
    <n v="6.7999999999999996E-3"/>
  </r>
  <r>
    <x v="1"/>
    <x v="71"/>
    <x v="2"/>
    <x v="0"/>
    <x v="7"/>
    <n v="85"/>
    <n v="1.3100000000000001E-2"/>
  </r>
  <r>
    <x v="1"/>
    <x v="71"/>
    <x v="2"/>
    <x v="0"/>
    <x v="9"/>
    <n v="98"/>
    <n v="4.8999999999999998E-3"/>
  </r>
  <r>
    <x v="1"/>
    <x v="71"/>
    <x v="2"/>
    <x v="0"/>
    <x v="10"/>
    <n v="75"/>
    <n v="7.4999999999999997E-3"/>
  </r>
  <r>
    <x v="1"/>
    <x v="71"/>
    <x v="2"/>
    <x v="0"/>
    <x v="11"/>
    <n v="85"/>
    <n v="7.7999999999999996E-3"/>
  </r>
  <r>
    <x v="1"/>
    <x v="71"/>
    <x v="2"/>
    <x v="0"/>
    <x v="12"/>
    <n v="75"/>
    <n v="8.0000000000000002E-3"/>
  </r>
  <r>
    <x v="1"/>
    <x v="71"/>
    <x v="2"/>
    <x v="0"/>
    <x v="13"/>
    <n v="84"/>
    <n v="5.3E-3"/>
  </r>
  <r>
    <x v="0"/>
    <x v="72"/>
    <x v="2"/>
    <x v="0"/>
    <x v="0"/>
    <n v="121"/>
    <n v="0.1239"/>
  </r>
  <r>
    <x v="0"/>
    <x v="72"/>
    <x v="2"/>
    <x v="0"/>
    <x v="1"/>
    <n v="119"/>
    <n v="1.8700000000000001E-2"/>
  </r>
  <r>
    <x v="0"/>
    <x v="72"/>
    <x v="2"/>
    <x v="0"/>
    <x v="2"/>
    <n v="127"/>
    <n v="5.4699999999999999E-2"/>
  </r>
  <r>
    <x v="0"/>
    <x v="72"/>
    <x v="2"/>
    <x v="0"/>
    <x v="3"/>
    <n v="125"/>
    <n v="4.5400000000000003E-2"/>
  </r>
  <r>
    <x v="0"/>
    <x v="72"/>
    <x v="2"/>
    <x v="0"/>
    <x v="4"/>
    <n v="119"/>
    <n v="8.6199999999999999E-2"/>
  </r>
  <r>
    <x v="0"/>
    <x v="72"/>
    <x v="2"/>
    <x v="0"/>
    <x v="5"/>
    <n v="119"/>
    <n v="3.8300000000000001E-2"/>
  </r>
  <r>
    <x v="0"/>
    <x v="72"/>
    <x v="2"/>
    <x v="0"/>
    <x v="6"/>
    <n v="124"/>
    <n v="3.61E-2"/>
  </r>
  <r>
    <x v="0"/>
    <x v="72"/>
    <x v="2"/>
    <x v="0"/>
    <x v="7"/>
    <n v="116"/>
    <n v="6.6600000000000006E-2"/>
  </r>
  <r>
    <x v="0"/>
    <x v="72"/>
    <x v="2"/>
    <x v="0"/>
    <x v="8"/>
    <n v="124"/>
    <n v="1.6299999999999999E-2"/>
  </r>
  <r>
    <x v="0"/>
    <x v="72"/>
    <x v="2"/>
    <x v="0"/>
    <x v="9"/>
    <n v="130"/>
    <n v="3.8899999999999997E-2"/>
  </r>
  <r>
    <x v="0"/>
    <x v="72"/>
    <x v="2"/>
    <x v="0"/>
    <x v="10"/>
    <n v="111"/>
    <n v="4.4699999999999997E-2"/>
  </r>
  <r>
    <x v="0"/>
    <x v="72"/>
    <x v="2"/>
    <x v="0"/>
    <x v="11"/>
    <n v="115"/>
    <n v="5.1900000000000002E-2"/>
  </r>
  <r>
    <x v="0"/>
    <x v="72"/>
    <x v="2"/>
    <x v="0"/>
    <x v="12"/>
    <n v="125"/>
    <n v="5.3900000000000003E-2"/>
  </r>
  <r>
    <x v="0"/>
    <x v="72"/>
    <x v="2"/>
    <x v="0"/>
    <x v="13"/>
    <n v="120"/>
    <n v="2.98E-2"/>
  </r>
  <r>
    <x v="0"/>
    <x v="73"/>
    <x v="2"/>
    <x v="0"/>
    <x v="0"/>
    <n v="99"/>
    <n v="0.33789999999999998"/>
  </r>
  <r>
    <x v="0"/>
    <x v="73"/>
    <x v="2"/>
    <x v="0"/>
    <x v="1"/>
    <n v="90"/>
    <n v="8.9700000000000002E-2"/>
  </r>
  <r>
    <x v="0"/>
    <x v="73"/>
    <x v="2"/>
    <x v="0"/>
    <x v="2"/>
    <n v="102"/>
    <n v="0.1769"/>
  </r>
  <r>
    <x v="0"/>
    <x v="73"/>
    <x v="2"/>
    <x v="0"/>
    <x v="3"/>
    <n v="103"/>
    <n v="0.1565"/>
  </r>
  <r>
    <x v="0"/>
    <x v="73"/>
    <x v="2"/>
    <x v="0"/>
    <x v="4"/>
    <n v="98"/>
    <n v="0.24379999999999999"/>
  </r>
  <r>
    <x v="0"/>
    <x v="73"/>
    <x v="2"/>
    <x v="0"/>
    <x v="5"/>
    <n v="97"/>
    <n v="0.13009999999999999"/>
  </r>
  <r>
    <x v="0"/>
    <x v="73"/>
    <x v="2"/>
    <x v="0"/>
    <x v="6"/>
    <n v="96"/>
    <n v="0.12740000000000001"/>
  </r>
  <r>
    <x v="0"/>
    <x v="73"/>
    <x v="2"/>
    <x v="0"/>
    <x v="7"/>
    <n v="98"/>
    <n v="0.20219999999999999"/>
  </r>
  <r>
    <x v="0"/>
    <x v="73"/>
    <x v="2"/>
    <x v="0"/>
    <x v="8"/>
    <n v="97"/>
    <n v="6.9400000000000003E-2"/>
  </r>
  <r>
    <x v="0"/>
    <x v="73"/>
    <x v="2"/>
    <x v="0"/>
    <x v="9"/>
    <n v="106"/>
    <n v="0.1404"/>
  </r>
  <r>
    <x v="0"/>
    <x v="73"/>
    <x v="2"/>
    <x v="0"/>
    <x v="10"/>
    <n v="99"/>
    <n v="0.14169999999999999"/>
  </r>
  <r>
    <x v="0"/>
    <x v="73"/>
    <x v="2"/>
    <x v="0"/>
    <x v="11"/>
    <n v="101"/>
    <n v="0.1525"/>
  </r>
  <r>
    <x v="0"/>
    <x v="73"/>
    <x v="2"/>
    <x v="0"/>
    <x v="12"/>
    <n v="99"/>
    <n v="0.15890000000000001"/>
  </r>
  <r>
    <x v="0"/>
    <x v="73"/>
    <x v="2"/>
    <x v="0"/>
    <x v="13"/>
    <n v="92"/>
    <n v="0.1198"/>
  </r>
  <r>
    <x v="0"/>
    <x v="74"/>
    <x v="2"/>
    <x v="0"/>
    <x v="0"/>
    <n v="96"/>
    <n v="8.9200000000000002E-2"/>
  </r>
  <r>
    <x v="0"/>
    <x v="74"/>
    <x v="2"/>
    <x v="0"/>
    <x v="1"/>
    <n v="48"/>
    <n v="5.0000000000000001E-3"/>
  </r>
  <r>
    <x v="0"/>
    <x v="74"/>
    <x v="2"/>
    <x v="0"/>
    <x v="2"/>
    <n v="104"/>
    <n v="3.5000000000000003E-2"/>
  </r>
  <r>
    <x v="0"/>
    <x v="74"/>
    <x v="2"/>
    <x v="0"/>
    <x v="3"/>
    <n v="102"/>
    <n v="2.8199999999999999E-2"/>
  </r>
  <r>
    <x v="0"/>
    <x v="74"/>
    <x v="2"/>
    <x v="0"/>
    <x v="4"/>
    <n v="95"/>
    <n v="5.5300000000000002E-2"/>
  </r>
  <r>
    <x v="0"/>
    <x v="74"/>
    <x v="2"/>
    <x v="0"/>
    <x v="5"/>
    <n v="79"/>
    <n v="1.2E-2"/>
  </r>
  <r>
    <x v="0"/>
    <x v="74"/>
    <x v="2"/>
    <x v="0"/>
    <x v="6"/>
    <n v="65"/>
    <n v="1.23E-2"/>
  </r>
  <r>
    <x v="0"/>
    <x v="74"/>
    <x v="2"/>
    <x v="0"/>
    <x v="7"/>
    <n v="102"/>
    <n v="4.6399999999999997E-2"/>
  </r>
  <r>
    <x v="0"/>
    <x v="74"/>
    <x v="2"/>
    <x v="0"/>
    <x v="9"/>
    <n v="108"/>
    <n v="2.53E-2"/>
  </r>
  <r>
    <x v="0"/>
    <x v="74"/>
    <x v="2"/>
    <x v="0"/>
    <x v="10"/>
    <n v="88"/>
    <n v="1.6799999999999999E-2"/>
  </r>
  <r>
    <x v="0"/>
    <x v="74"/>
    <x v="2"/>
    <x v="0"/>
    <x v="11"/>
    <n v="96"/>
    <n v="2.23E-2"/>
  </r>
  <r>
    <x v="0"/>
    <x v="74"/>
    <x v="2"/>
    <x v="0"/>
    <x v="12"/>
    <n v="98"/>
    <n v="2.8199999999999999E-2"/>
  </r>
  <r>
    <x v="0"/>
    <x v="74"/>
    <x v="2"/>
    <x v="0"/>
    <x v="13"/>
    <n v="58"/>
    <n v="9.5999999999999992E-3"/>
  </r>
  <r>
    <x v="1"/>
    <x v="75"/>
    <x v="2"/>
    <x v="0"/>
    <x v="0"/>
    <n v="105"/>
    <n v="0.13270000000000001"/>
  </r>
  <r>
    <x v="1"/>
    <x v="75"/>
    <x v="2"/>
    <x v="0"/>
    <x v="1"/>
    <n v="109"/>
    <n v="1.8100000000000002E-2"/>
  </r>
  <r>
    <x v="1"/>
    <x v="75"/>
    <x v="2"/>
    <x v="0"/>
    <x v="2"/>
    <n v="109"/>
    <n v="4.8500000000000001E-2"/>
  </r>
  <r>
    <x v="1"/>
    <x v="75"/>
    <x v="2"/>
    <x v="0"/>
    <x v="3"/>
    <n v="106"/>
    <n v="4.24E-2"/>
  </r>
  <r>
    <x v="1"/>
    <x v="75"/>
    <x v="2"/>
    <x v="0"/>
    <x v="4"/>
    <n v="103"/>
    <n v="8.6800000000000002E-2"/>
  </r>
  <r>
    <x v="1"/>
    <x v="75"/>
    <x v="2"/>
    <x v="0"/>
    <x v="5"/>
    <n v="98"/>
    <n v="3.4200000000000001E-2"/>
  </r>
  <r>
    <x v="1"/>
    <x v="75"/>
    <x v="2"/>
    <x v="0"/>
    <x v="6"/>
    <n v="97"/>
    <n v="3.44E-2"/>
  </r>
  <r>
    <x v="1"/>
    <x v="75"/>
    <x v="2"/>
    <x v="0"/>
    <x v="7"/>
    <n v="109"/>
    <n v="6.3E-2"/>
  </r>
  <r>
    <x v="1"/>
    <x v="75"/>
    <x v="2"/>
    <x v="0"/>
    <x v="8"/>
    <n v="97"/>
    <n v="1.7000000000000001E-2"/>
  </r>
  <r>
    <x v="1"/>
    <x v="75"/>
    <x v="2"/>
    <x v="0"/>
    <x v="9"/>
    <n v="107"/>
    <n v="3.39E-2"/>
  </r>
  <r>
    <x v="1"/>
    <x v="75"/>
    <x v="2"/>
    <x v="0"/>
    <x v="10"/>
    <n v="99"/>
    <n v="3.8199999999999998E-2"/>
  </r>
  <r>
    <x v="1"/>
    <x v="75"/>
    <x v="2"/>
    <x v="0"/>
    <x v="11"/>
    <n v="104"/>
    <n v="4.3200000000000002E-2"/>
  </r>
  <r>
    <x v="1"/>
    <x v="75"/>
    <x v="2"/>
    <x v="0"/>
    <x v="12"/>
    <n v="104"/>
    <n v="4.7899999999999998E-2"/>
  </r>
  <r>
    <x v="1"/>
    <x v="75"/>
    <x v="2"/>
    <x v="0"/>
    <x v="13"/>
    <n v="103"/>
    <n v="2.9399999999999999E-2"/>
  </r>
  <r>
    <x v="0"/>
    <x v="76"/>
    <x v="2"/>
    <x v="0"/>
    <x v="0"/>
    <n v="87"/>
    <n v="0.2132"/>
  </r>
  <r>
    <x v="0"/>
    <x v="76"/>
    <x v="2"/>
    <x v="0"/>
    <x v="1"/>
    <n v="95"/>
    <n v="2.0199999999999999E-2"/>
  </r>
  <r>
    <x v="0"/>
    <x v="76"/>
    <x v="2"/>
    <x v="0"/>
    <x v="2"/>
    <n v="103"/>
    <n v="5.7700000000000001E-2"/>
  </r>
  <r>
    <x v="0"/>
    <x v="76"/>
    <x v="2"/>
    <x v="0"/>
    <x v="3"/>
    <n v="95"/>
    <n v="5.7099999999999998E-2"/>
  </r>
  <r>
    <x v="0"/>
    <x v="76"/>
    <x v="2"/>
    <x v="0"/>
    <x v="4"/>
    <n v="69"/>
    <n v="0.14960000000000001"/>
  </r>
  <r>
    <x v="0"/>
    <x v="76"/>
    <x v="2"/>
    <x v="0"/>
    <x v="5"/>
    <n v="71"/>
    <n v="5.2600000000000001E-2"/>
  </r>
  <r>
    <x v="0"/>
    <x v="76"/>
    <x v="2"/>
    <x v="0"/>
    <x v="6"/>
    <n v="80"/>
    <n v="5.21E-2"/>
  </r>
  <r>
    <x v="0"/>
    <x v="76"/>
    <x v="2"/>
    <x v="0"/>
    <x v="7"/>
    <n v="98"/>
    <n v="9.2999999999999999E-2"/>
  </r>
  <r>
    <x v="0"/>
    <x v="76"/>
    <x v="2"/>
    <x v="0"/>
    <x v="8"/>
    <n v="92"/>
    <n v="2.1299999999999999E-2"/>
  </r>
  <r>
    <x v="0"/>
    <x v="76"/>
    <x v="2"/>
    <x v="0"/>
    <x v="9"/>
    <n v="98"/>
    <n v="4.3700000000000003E-2"/>
  </r>
  <r>
    <x v="0"/>
    <x v="76"/>
    <x v="2"/>
    <x v="0"/>
    <x v="10"/>
    <n v="68"/>
    <n v="5.3499999999999999E-2"/>
  </r>
  <r>
    <x v="0"/>
    <x v="76"/>
    <x v="2"/>
    <x v="0"/>
    <x v="11"/>
    <n v="66"/>
    <n v="6.0299999999999999E-2"/>
  </r>
  <r>
    <x v="0"/>
    <x v="76"/>
    <x v="2"/>
    <x v="0"/>
    <x v="12"/>
    <n v="67"/>
    <n v="7.3800000000000004E-2"/>
  </r>
  <r>
    <x v="0"/>
    <x v="76"/>
    <x v="2"/>
    <x v="0"/>
    <x v="13"/>
    <n v="92"/>
    <n v="3.15E-2"/>
  </r>
  <r>
    <x v="0"/>
    <x v="77"/>
    <x v="2"/>
    <x v="0"/>
    <x v="0"/>
    <n v="81"/>
    <n v="5.5800000000000002E-2"/>
  </r>
  <r>
    <x v="0"/>
    <x v="77"/>
    <x v="2"/>
    <x v="0"/>
    <x v="1"/>
    <n v="90"/>
    <n v="5.3E-3"/>
  </r>
  <r>
    <x v="0"/>
    <x v="77"/>
    <x v="2"/>
    <x v="0"/>
    <x v="2"/>
    <n v="120"/>
    <n v="1.49E-2"/>
  </r>
  <r>
    <x v="0"/>
    <x v="77"/>
    <x v="2"/>
    <x v="0"/>
    <x v="3"/>
    <n v="94"/>
    <n v="1.14E-2"/>
  </r>
  <r>
    <x v="0"/>
    <x v="77"/>
    <x v="2"/>
    <x v="0"/>
    <x v="4"/>
    <n v="82"/>
    <n v="2.8799999999999999E-2"/>
  </r>
  <r>
    <x v="0"/>
    <x v="77"/>
    <x v="2"/>
    <x v="0"/>
    <x v="5"/>
    <n v="55"/>
    <n v="7.4000000000000003E-3"/>
  </r>
  <r>
    <x v="0"/>
    <x v="77"/>
    <x v="2"/>
    <x v="0"/>
    <x v="6"/>
    <n v="67"/>
    <n v="9.4999999999999998E-3"/>
  </r>
  <r>
    <x v="0"/>
    <x v="77"/>
    <x v="2"/>
    <x v="0"/>
    <x v="7"/>
    <n v="57"/>
    <n v="1.9199999999999998E-2"/>
  </r>
  <r>
    <x v="0"/>
    <x v="77"/>
    <x v="2"/>
    <x v="0"/>
    <x v="8"/>
    <n v="78"/>
    <n v="4.7000000000000002E-3"/>
  </r>
  <r>
    <x v="0"/>
    <x v="77"/>
    <x v="2"/>
    <x v="0"/>
    <x v="9"/>
    <n v="100"/>
    <n v="8.0000000000000002E-3"/>
  </r>
  <r>
    <x v="0"/>
    <x v="77"/>
    <x v="2"/>
    <x v="0"/>
    <x v="10"/>
    <n v="74"/>
    <n v="7.6E-3"/>
  </r>
  <r>
    <x v="0"/>
    <x v="77"/>
    <x v="2"/>
    <x v="0"/>
    <x v="11"/>
    <n v="87"/>
    <n v="1.17E-2"/>
  </r>
  <r>
    <x v="0"/>
    <x v="77"/>
    <x v="2"/>
    <x v="0"/>
    <x v="12"/>
    <n v="85"/>
    <n v="1.14E-2"/>
  </r>
  <r>
    <x v="0"/>
    <x v="77"/>
    <x v="2"/>
    <x v="0"/>
    <x v="13"/>
    <n v="82"/>
    <n v="8.3000000000000001E-3"/>
  </r>
  <r>
    <x v="1"/>
    <x v="78"/>
    <x v="2"/>
    <x v="0"/>
    <x v="0"/>
    <n v="129"/>
    <n v="5.5E-2"/>
  </r>
  <r>
    <x v="1"/>
    <x v="78"/>
    <x v="2"/>
    <x v="0"/>
    <x v="1"/>
    <n v="107"/>
    <n v="4.7000000000000002E-3"/>
  </r>
  <r>
    <x v="1"/>
    <x v="78"/>
    <x v="2"/>
    <x v="0"/>
    <x v="2"/>
    <n v="131"/>
    <n v="2.0899999999999998E-2"/>
  </r>
  <r>
    <x v="1"/>
    <x v="78"/>
    <x v="2"/>
    <x v="0"/>
    <x v="3"/>
    <n v="123"/>
    <n v="1.4999999999999999E-2"/>
  </r>
  <r>
    <x v="1"/>
    <x v="78"/>
    <x v="2"/>
    <x v="0"/>
    <x v="4"/>
    <n v="134"/>
    <n v="3.49E-2"/>
  </r>
  <r>
    <x v="1"/>
    <x v="78"/>
    <x v="2"/>
    <x v="0"/>
    <x v="5"/>
    <n v="127"/>
    <n v="1.49E-2"/>
  </r>
  <r>
    <x v="1"/>
    <x v="78"/>
    <x v="2"/>
    <x v="0"/>
    <x v="6"/>
    <n v="129"/>
    <n v="1.0999999999999999E-2"/>
  </r>
  <r>
    <x v="1"/>
    <x v="78"/>
    <x v="2"/>
    <x v="0"/>
    <x v="7"/>
    <n v="120"/>
    <n v="2.2599999999999999E-2"/>
  </r>
  <r>
    <x v="1"/>
    <x v="78"/>
    <x v="2"/>
    <x v="0"/>
    <x v="9"/>
    <n v="129"/>
    <n v="1.17E-2"/>
  </r>
  <r>
    <x v="1"/>
    <x v="78"/>
    <x v="2"/>
    <x v="0"/>
    <x v="10"/>
    <n v="130"/>
    <n v="1.5800000000000002E-2"/>
  </r>
  <r>
    <x v="1"/>
    <x v="78"/>
    <x v="2"/>
    <x v="0"/>
    <x v="11"/>
    <n v="138"/>
    <n v="1.7999999999999999E-2"/>
  </r>
  <r>
    <x v="1"/>
    <x v="78"/>
    <x v="2"/>
    <x v="0"/>
    <x v="12"/>
    <n v="136"/>
    <n v="1.9599999999999999E-2"/>
  </r>
  <r>
    <x v="1"/>
    <x v="78"/>
    <x v="2"/>
    <x v="0"/>
    <x v="13"/>
    <n v="116"/>
    <n v="7.7999999999999996E-3"/>
  </r>
  <r>
    <x v="1"/>
    <x v="79"/>
    <x v="2"/>
    <x v="1"/>
    <x v="0"/>
    <n v="115"/>
    <n v="0.88939999999999997"/>
  </r>
  <r>
    <x v="1"/>
    <x v="79"/>
    <x v="2"/>
    <x v="1"/>
    <x v="1"/>
    <n v="109"/>
    <n v="0.28589999999999999"/>
  </r>
  <r>
    <x v="1"/>
    <x v="79"/>
    <x v="2"/>
    <x v="1"/>
    <x v="2"/>
    <n v="117"/>
    <n v="0.56020000000000003"/>
  </r>
  <r>
    <x v="1"/>
    <x v="79"/>
    <x v="2"/>
    <x v="1"/>
    <x v="3"/>
    <n v="122"/>
    <n v="0.56200000000000006"/>
  </r>
  <r>
    <x v="1"/>
    <x v="79"/>
    <x v="2"/>
    <x v="1"/>
    <x v="4"/>
    <n v="114"/>
    <n v="0.85440000000000005"/>
  </r>
  <r>
    <x v="1"/>
    <x v="79"/>
    <x v="2"/>
    <x v="1"/>
    <x v="5"/>
    <n v="114"/>
    <n v="0.49459999999999998"/>
  </r>
  <r>
    <x v="1"/>
    <x v="79"/>
    <x v="2"/>
    <x v="1"/>
    <x v="6"/>
    <n v="111"/>
    <n v="0.41959999999999997"/>
  </r>
  <r>
    <x v="1"/>
    <x v="79"/>
    <x v="2"/>
    <x v="1"/>
    <x v="7"/>
    <n v="112"/>
    <n v="0.79090000000000005"/>
  </r>
  <r>
    <x v="1"/>
    <x v="79"/>
    <x v="2"/>
    <x v="1"/>
    <x v="8"/>
    <n v="108"/>
    <n v="0.20569999999999999"/>
  </r>
  <r>
    <x v="1"/>
    <x v="79"/>
    <x v="2"/>
    <x v="1"/>
    <x v="9"/>
    <n v="123"/>
    <n v="0.49459999999999998"/>
  </r>
  <r>
    <x v="1"/>
    <x v="79"/>
    <x v="2"/>
    <x v="1"/>
    <x v="10"/>
    <n v="114"/>
    <n v="0.64039999999999997"/>
  </r>
  <r>
    <x v="1"/>
    <x v="79"/>
    <x v="2"/>
    <x v="1"/>
    <x v="11"/>
    <n v="115"/>
    <n v="0.7399"/>
  </r>
  <r>
    <x v="1"/>
    <x v="79"/>
    <x v="2"/>
    <x v="1"/>
    <x v="12"/>
    <n v="115"/>
    <n v="0.75949999999999995"/>
  </r>
  <r>
    <x v="1"/>
    <x v="79"/>
    <x v="2"/>
    <x v="1"/>
    <x v="13"/>
    <n v="110"/>
    <n v="0.40989999999999999"/>
  </r>
  <r>
    <x v="0"/>
    <x v="80"/>
    <x v="2"/>
    <x v="0"/>
    <x v="0"/>
    <n v="96"/>
    <n v="0.30020000000000002"/>
  </r>
  <r>
    <x v="0"/>
    <x v="80"/>
    <x v="2"/>
    <x v="0"/>
    <x v="1"/>
    <n v="89"/>
    <n v="1.9199999999999998E-2"/>
  </r>
  <r>
    <x v="0"/>
    <x v="80"/>
    <x v="2"/>
    <x v="0"/>
    <x v="2"/>
    <n v="100"/>
    <n v="0.1176"/>
  </r>
  <r>
    <x v="0"/>
    <x v="80"/>
    <x v="2"/>
    <x v="0"/>
    <x v="3"/>
    <n v="94"/>
    <n v="9.4799999999999995E-2"/>
  </r>
  <r>
    <x v="0"/>
    <x v="80"/>
    <x v="2"/>
    <x v="0"/>
    <x v="4"/>
    <n v="99"/>
    <n v="0.21199999999999999"/>
  </r>
  <r>
    <x v="0"/>
    <x v="80"/>
    <x v="2"/>
    <x v="0"/>
    <x v="5"/>
    <n v="87"/>
    <n v="7.9600000000000004E-2"/>
  </r>
  <r>
    <x v="0"/>
    <x v="80"/>
    <x v="2"/>
    <x v="0"/>
    <x v="6"/>
    <n v="84"/>
    <n v="7.6799999999999993E-2"/>
  </r>
  <r>
    <x v="0"/>
    <x v="80"/>
    <x v="2"/>
    <x v="0"/>
    <x v="7"/>
    <n v="95"/>
    <n v="0.13619999999999999"/>
  </r>
  <r>
    <x v="0"/>
    <x v="80"/>
    <x v="2"/>
    <x v="0"/>
    <x v="8"/>
    <n v="90"/>
    <n v="2.93E-2"/>
  </r>
  <r>
    <x v="0"/>
    <x v="80"/>
    <x v="2"/>
    <x v="0"/>
    <x v="9"/>
    <n v="96"/>
    <n v="7.6899999999999996E-2"/>
  </r>
  <r>
    <x v="0"/>
    <x v="80"/>
    <x v="2"/>
    <x v="0"/>
    <x v="10"/>
    <n v="96"/>
    <n v="8.8999999999999996E-2"/>
  </r>
  <r>
    <x v="0"/>
    <x v="80"/>
    <x v="2"/>
    <x v="0"/>
    <x v="11"/>
    <n v="100"/>
    <n v="0.1067"/>
  </r>
  <r>
    <x v="0"/>
    <x v="80"/>
    <x v="2"/>
    <x v="0"/>
    <x v="12"/>
    <n v="100"/>
    <n v="0.1173"/>
  </r>
  <r>
    <x v="0"/>
    <x v="80"/>
    <x v="2"/>
    <x v="0"/>
    <x v="13"/>
    <n v="84"/>
    <n v="3.6999999999999998E-2"/>
  </r>
  <r>
    <x v="1"/>
    <x v="81"/>
    <x v="2"/>
    <x v="0"/>
    <x v="0"/>
    <n v="102"/>
    <n v="1.9599999999999999E-2"/>
  </r>
  <r>
    <x v="1"/>
    <x v="81"/>
    <x v="2"/>
    <x v="0"/>
    <x v="2"/>
    <n v="102"/>
    <n v="5.1999999999999998E-3"/>
  </r>
  <r>
    <x v="1"/>
    <x v="81"/>
    <x v="2"/>
    <x v="0"/>
    <x v="3"/>
    <n v="98"/>
    <n v="4.7999999999999996E-3"/>
  </r>
  <r>
    <x v="1"/>
    <x v="81"/>
    <x v="2"/>
    <x v="0"/>
    <x v="4"/>
    <n v="125"/>
    <n v="1.21E-2"/>
  </r>
  <r>
    <x v="1"/>
    <x v="81"/>
    <x v="2"/>
    <x v="0"/>
    <x v="5"/>
    <n v="86"/>
    <n v="4.1999999999999997E-3"/>
  </r>
  <r>
    <x v="1"/>
    <x v="81"/>
    <x v="2"/>
    <x v="0"/>
    <x v="7"/>
    <n v="124"/>
    <n v="8.0000000000000002E-3"/>
  </r>
  <r>
    <x v="1"/>
    <x v="81"/>
    <x v="2"/>
    <x v="0"/>
    <x v="10"/>
    <n v="105"/>
    <n v="4.1000000000000003E-3"/>
  </r>
  <r>
    <x v="1"/>
    <x v="81"/>
    <x v="2"/>
    <x v="0"/>
    <x v="11"/>
    <n v="122"/>
    <n v="5.7999999999999996E-3"/>
  </r>
  <r>
    <x v="1"/>
    <x v="81"/>
    <x v="2"/>
    <x v="0"/>
    <x v="12"/>
    <n v="131"/>
    <n v="6.4999999999999997E-3"/>
  </r>
  <r>
    <x v="0"/>
    <x v="82"/>
    <x v="2"/>
    <x v="0"/>
    <x v="0"/>
    <n v="57"/>
    <n v="4.3700000000000003E-2"/>
  </r>
  <r>
    <x v="0"/>
    <x v="82"/>
    <x v="2"/>
    <x v="0"/>
    <x v="2"/>
    <n v="51"/>
    <n v="1.01E-2"/>
  </r>
  <r>
    <x v="0"/>
    <x v="82"/>
    <x v="2"/>
    <x v="0"/>
    <x v="3"/>
    <n v="58"/>
    <n v="8.8000000000000005E-3"/>
  </r>
  <r>
    <x v="0"/>
    <x v="82"/>
    <x v="2"/>
    <x v="0"/>
    <x v="4"/>
    <n v="66"/>
    <n v="2.92E-2"/>
  </r>
  <r>
    <x v="0"/>
    <x v="82"/>
    <x v="2"/>
    <x v="0"/>
    <x v="5"/>
    <n v="55"/>
    <n v="1.03E-2"/>
  </r>
  <r>
    <x v="0"/>
    <x v="82"/>
    <x v="2"/>
    <x v="0"/>
    <x v="6"/>
    <n v="41"/>
    <n v="8.0999999999999996E-3"/>
  </r>
  <r>
    <x v="0"/>
    <x v="82"/>
    <x v="2"/>
    <x v="0"/>
    <x v="7"/>
    <n v="54"/>
    <n v="1.6400000000000001E-2"/>
  </r>
  <r>
    <x v="0"/>
    <x v="82"/>
    <x v="2"/>
    <x v="0"/>
    <x v="9"/>
    <n v="58"/>
    <n v="6.3E-3"/>
  </r>
  <r>
    <x v="0"/>
    <x v="82"/>
    <x v="2"/>
    <x v="0"/>
    <x v="10"/>
    <n v="68"/>
    <n v="1.37E-2"/>
  </r>
  <r>
    <x v="0"/>
    <x v="82"/>
    <x v="2"/>
    <x v="0"/>
    <x v="11"/>
    <n v="61"/>
    <n v="1.52E-2"/>
  </r>
  <r>
    <x v="0"/>
    <x v="82"/>
    <x v="2"/>
    <x v="0"/>
    <x v="12"/>
    <n v="64"/>
    <n v="1.5599999999999999E-2"/>
  </r>
  <r>
    <x v="0"/>
    <x v="82"/>
    <x v="2"/>
    <x v="0"/>
    <x v="13"/>
    <n v="26"/>
    <n v="5.3E-3"/>
  </r>
  <r>
    <x v="1"/>
    <x v="83"/>
    <x v="2"/>
    <x v="0"/>
    <x v="0"/>
    <n v="26"/>
    <n v="1.04E-2"/>
  </r>
  <r>
    <x v="1"/>
    <x v="83"/>
    <x v="2"/>
    <x v="0"/>
    <x v="4"/>
    <n v="22"/>
    <n v="6.0000000000000001E-3"/>
  </r>
  <r>
    <x v="1"/>
    <x v="83"/>
    <x v="2"/>
    <x v="0"/>
    <x v="7"/>
    <n v="23"/>
    <n v="4.4999999999999997E-3"/>
  </r>
  <r>
    <x v="0"/>
    <x v="84"/>
    <x v="2"/>
    <x v="0"/>
    <x v="0"/>
    <n v="80"/>
    <n v="0.1333"/>
  </r>
  <r>
    <x v="0"/>
    <x v="84"/>
    <x v="2"/>
    <x v="0"/>
    <x v="1"/>
    <n v="73"/>
    <n v="1.4200000000000001E-2"/>
  </r>
  <r>
    <x v="0"/>
    <x v="84"/>
    <x v="2"/>
    <x v="0"/>
    <x v="2"/>
    <n v="88"/>
    <n v="4.4499999999999998E-2"/>
  </r>
  <r>
    <x v="0"/>
    <x v="84"/>
    <x v="2"/>
    <x v="0"/>
    <x v="3"/>
    <n v="78"/>
    <n v="3.7100000000000001E-2"/>
  </r>
  <r>
    <x v="0"/>
    <x v="84"/>
    <x v="2"/>
    <x v="0"/>
    <x v="4"/>
    <n v="80"/>
    <n v="8.9200000000000002E-2"/>
  </r>
  <r>
    <x v="0"/>
    <x v="84"/>
    <x v="2"/>
    <x v="0"/>
    <x v="5"/>
    <n v="70"/>
    <n v="2.87E-2"/>
  </r>
  <r>
    <x v="0"/>
    <x v="84"/>
    <x v="2"/>
    <x v="0"/>
    <x v="6"/>
    <n v="75"/>
    <n v="2.5399999999999999E-2"/>
  </r>
  <r>
    <x v="0"/>
    <x v="84"/>
    <x v="2"/>
    <x v="0"/>
    <x v="7"/>
    <n v="84"/>
    <n v="7.0900000000000005E-2"/>
  </r>
  <r>
    <x v="0"/>
    <x v="84"/>
    <x v="2"/>
    <x v="0"/>
    <x v="8"/>
    <n v="75"/>
    <n v="1.12E-2"/>
  </r>
  <r>
    <x v="0"/>
    <x v="84"/>
    <x v="2"/>
    <x v="0"/>
    <x v="9"/>
    <n v="80"/>
    <n v="3.0099999999999998E-2"/>
  </r>
  <r>
    <x v="0"/>
    <x v="84"/>
    <x v="2"/>
    <x v="0"/>
    <x v="10"/>
    <n v="71"/>
    <n v="3.2500000000000001E-2"/>
  </r>
  <r>
    <x v="0"/>
    <x v="84"/>
    <x v="2"/>
    <x v="0"/>
    <x v="11"/>
    <n v="85"/>
    <n v="4.1799999999999997E-2"/>
  </r>
  <r>
    <x v="0"/>
    <x v="84"/>
    <x v="2"/>
    <x v="0"/>
    <x v="12"/>
    <n v="87"/>
    <n v="4.7899999999999998E-2"/>
  </r>
  <r>
    <x v="0"/>
    <x v="84"/>
    <x v="2"/>
    <x v="0"/>
    <x v="13"/>
    <n v="76"/>
    <n v="2.2800000000000001E-2"/>
  </r>
  <r>
    <x v="1"/>
    <x v="85"/>
    <x v="2"/>
    <x v="0"/>
    <x v="0"/>
    <n v="84"/>
    <n v="2.2800000000000001E-2"/>
  </r>
  <r>
    <x v="1"/>
    <x v="85"/>
    <x v="2"/>
    <x v="0"/>
    <x v="2"/>
    <n v="64"/>
    <n v="5.7999999999999996E-3"/>
  </r>
  <r>
    <x v="1"/>
    <x v="85"/>
    <x v="2"/>
    <x v="0"/>
    <x v="3"/>
    <n v="83"/>
    <n v="6.1999999999999998E-3"/>
  </r>
  <r>
    <x v="1"/>
    <x v="85"/>
    <x v="2"/>
    <x v="0"/>
    <x v="4"/>
    <n v="88"/>
    <n v="1.14E-2"/>
  </r>
  <r>
    <x v="1"/>
    <x v="85"/>
    <x v="2"/>
    <x v="0"/>
    <x v="7"/>
    <n v="84"/>
    <n v="9.1000000000000004E-3"/>
  </r>
  <r>
    <x v="1"/>
    <x v="85"/>
    <x v="2"/>
    <x v="0"/>
    <x v="9"/>
    <n v="88"/>
    <n v="5.0000000000000001E-3"/>
  </r>
  <r>
    <x v="1"/>
    <x v="85"/>
    <x v="2"/>
    <x v="0"/>
    <x v="12"/>
    <n v="82"/>
    <n v="4.4000000000000003E-3"/>
  </r>
  <r>
    <x v="1"/>
    <x v="85"/>
    <x v="2"/>
    <x v="0"/>
    <x v="13"/>
    <n v="102"/>
    <n v="3.8E-3"/>
  </r>
  <r>
    <x v="1"/>
    <x v="86"/>
    <x v="2"/>
    <x v="0"/>
    <x v="0"/>
    <n v="63"/>
    <n v="2.0400000000000001E-2"/>
  </r>
  <r>
    <x v="1"/>
    <x v="86"/>
    <x v="2"/>
    <x v="0"/>
    <x v="2"/>
    <n v="59"/>
    <n v="6.4000000000000003E-3"/>
  </r>
  <r>
    <x v="1"/>
    <x v="86"/>
    <x v="2"/>
    <x v="0"/>
    <x v="3"/>
    <n v="63"/>
    <n v="4.7000000000000002E-3"/>
  </r>
  <r>
    <x v="1"/>
    <x v="86"/>
    <x v="2"/>
    <x v="0"/>
    <x v="4"/>
    <n v="66"/>
    <n v="1.04E-2"/>
  </r>
  <r>
    <x v="1"/>
    <x v="86"/>
    <x v="2"/>
    <x v="0"/>
    <x v="7"/>
    <n v="55"/>
    <n v="7.1000000000000004E-3"/>
  </r>
  <r>
    <x v="1"/>
    <x v="86"/>
    <x v="2"/>
    <x v="0"/>
    <x v="10"/>
    <n v="70"/>
    <n v="4.0000000000000001E-3"/>
  </r>
  <r>
    <x v="0"/>
    <x v="87"/>
    <x v="2"/>
    <x v="0"/>
    <x v="0"/>
    <n v="94"/>
    <n v="0.191"/>
  </r>
  <r>
    <x v="0"/>
    <x v="87"/>
    <x v="2"/>
    <x v="0"/>
    <x v="1"/>
    <n v="87"/>
    <n v="2.0199999999999999E-2"/>
  </r>
  <r>
    <x v="0"/>
    <x v="87"/>
    <x v="2"/>
    <x v="0"/>
    <x v="2"/>
    <n v="79"/>
    <n v="4.36E-2"/>
  </r>
  <r>
    <x v="0"/>
    <x v="87"/>
    <x v="2"/>
    <x v="0"/>
    <x v="3"/>
    <n v="63"/>
    <n v="3.4299999999999997E-2"/>
  </r>
  <r>
    <x v="0"/>
    <x v="87"/>
    <x v="2"/>
    <x v="0"/>
    <x v="4"/>
    <n v="99"/>
    <n v="0.1211"/>
  </r>
  <r>
    <x v="0"/>
    <x v="87"/>
    <x v="2"/>
    <x v="0"/>
    <x v="5"/>
    <n v="106"/>
    <n v="6.1800000000000001E-2"/>
  </r>
  <r>
    <x v="0"/>
    <x v="87"/>
    <x v="2"/>
    <x v="0"/>
    <x v="6"/>
    <n v="101"/>
    <n v="5.9299999999999999E-2"/>
  </r>
  <r>
    <x v="0"/>
    <x v="87"/>
    <x v="2"/>
    <x v="0"/>
    <x v="7"/>
    <n v="63"/>
    <n v="7.0400000000000004E-2"/>
  </r>
  <r>
    <x v="0"/>
    <x v="87"/>
    <x v="2"/>
    <x v="0"/>
    <x v="8"/>
    <n v="97"/>
    <n v="2.2499999999999999E-2"/>
  </r>
  <r>
    <x v="0"/>
    <x v="87"/>
    <x v="2"/>
    <x v="0"/>
    <x v="9"/>
    <n v="60"/>
    <n v="2.6599999999999999E-2"/>
  </r>
  <r>
    <x v="0"/>
    <x v="87"/>
    <x v="2"/>
    <x v="0"/>
    <x v="10"/>
    <n v="103"/>
    <n v="6.0100000000000001E-2"/>
  </r>
  <r>
    <x v="0"/>
    <x v="87"/>
    <x v="2"/>
    <x v="0"/>
    <x v="11"/>
    <n v="95"/>
    <n v="6.8400000000000002E-2"/>
  </r>
  <r>
    <x v="0"/>
    <x v="87"/>
    <x v="2"/>
    <x v="0"/>
    <x v="12"/>
    <n v="93"/>
    <n v="5.2900000000000003E-2"/>
  </r>
  <r>
    <x v="0"/>
    <x v="87"/>
    <x v="2"/>
    <x v="0"/>
    <x v="13"/>
    <n v="87"/>
    <n v="3.2899999999999999E-2"/>
  </r>
  <r>
    <x v="0"/>
    <x v="88"/>
    <x v="2"/>
    <x v="0"/>
    <x v="0"/>
    <n v="104"/>
    <n v="0.28149999999999997"/>
  </r>
  <r>
    <x v="0"/>
    <x v="88"/>
    <x v="2"/>
    <x v="0"/>
    <x v="1"/>
    <n v="100"/>
    <n v="4.5699999999999998E-2"/>
  </r>
  <r>
    <x v="0"/>
    <x v="88"/>
    <x v="2"/>
    <x v="0"/>
    <x v="2"/>
    <n v="107"/>
    <n v="0.1173"/>
  </r>
  <r>
    <x v="0"/>
    <x v="88"/>
    <x v="2"/>
    <x v="0"/>
    <x v="3"/>
    <n v="109"/>
    <n v="0.1077"/>
  </r>
  <r>
    <x v="0"/>
    <x v="88"/>
    <x v="2"/>
    <x v="0"/>
    <x v="4"/>
    <n v="104"/>
    <n v="0.18140000000000001"/>
  </r>
  <r>
    <x v="0"/>
    <x v="88"/>
    <x v="2"/>
    <x v="0"/>
    <x v="5"/>
    <n v="103"/>
    <n v="8.3699999999999997E-2"/>
  </r>
  <r>
    <x v="0"/>
    <x v="88"/>
    <x v="2"/>
    <x v="0"/>
    <x v="6"/>
    <n v="105"/>
    <n v="7.9899999999999999E-2"/>
  </r>
  <r>
    <x v="0"/>
    <x v="88"/>
    <x v="2"/>
    <x v="0"/>
    <x v="7"/>
    <n v="98"/>
    <n v="0.1246"/>
  </r>
  <r>
    <x v="0"/>
    <x v="88"/>
    <x v="2"/>
    <x v="0"/>
    <x v="8"/>
    <n v="103"/>
    <n v="4.0500000000000001E-2"/>
  </r>
  <r>
    <x v="0"/>
    <x v="88"/>
    <x v="2"/>
    <x v="0"/>
    <x v="9"/>
    <n v="109"/>
    <n v="9.2399999999999996E-2"/>
  </r>
  <r>
    <x v="0"/>
    <x v="88"/>
    <x v="2"/>
    <x v="0"/>
    <x v="10"/>
    <n v="102"/>
    <n v="9.0499999999999997E-2"/>
  </r>
  <r>
    <x v="0"/>
    <x v="88"/>
    <x v="2"/>
    <x v="0"/>
    <x v="11"/>
    <n v="103"/>
    <n v="9.8599999999999993E-2"/>
  </r>
  <r>
    <x v="0"/>
    <x v="88"/>
    <x v="2"/>
    <x v="0"/>
    <x v="12"/>
    <n v="103"/>
    <n v="0.1052"/>
  </r>
  <r>
    <x v="0"/>
    <x v="88"/>
    <x v="2"/>
    <x v="0"/>
    <x v="13"/>
    <n v="99"/>
    <n v="6.6299999999999998E-2"/>
  </r>
  <r>
    <x v="0"/>
    <x v="89"/>
    <x v="2"/>
    <x v="0"/>
    <x v="0"/>
    <n v="86"/>
    <n v="0.1759"/>
  </r>
  <r>
    <x v="0"/>
    <x v="89"/>
    <x v="2"/>
    <x v="0"/>
    <x v="1"/>
    <n v="103"/>
    <n v="1.9E-2"/>
  </r>
  <r>
    <x v="0"/>
    <x v="89"/>
    <x v="2"/>
    <x v="0"/>
    <x v="2"/>
    <n v="100"/>
    <n v="4.7E-2"/>
  </r>
  <r>
    <x v="0"/>
    <x v="89"/>
    <x v="2"/>
    <x v="0"/>
    <x v="3"/>
    <n v="99"/>
    <n v="3.9199999999999999E-2"/>
  </r>
  <r>
    <x v="0"/>
    <x v="89"/>
    <x v="2"/>
    <x v="0"/>
    <x v="4"/>
    <n v="76"/>
    <n v="0.1099"/>
  </r>
  <r>
    <x v="0"/>
    <x v="89"/>
    <x v="2"/>
    <x v="0"/>
    <x v="5"/>
    <n v="81"/>
    <n v="4.5100000000000001E-2"/>
  </r>
  <r>
    <x v="0"/>
    <x v="89"/>
    <x v="2"/>
    <x v="0"/>
    <x v="6"/>
    <n v="85"/>
    <n v="4.6600000000000003E-2"/>
  </r>
  <r>
    <x v="0"/>
    <x v="89"/>
    <x v="2"/>
    <x v="0"/>
    <x v="7"/>
    <n v="87"/>
    <n v="7.6999999999999999E-2"/>
  </r>
  <r>
    <x v="0"/>
    <x v="89"/>
    <x v="2"/>
    <x v="0"/>
    <x v="8"/>
    <n v="103"/>
    <n v="2.23E-2"/>
  </r>
  <r>
    <x v="0"/>
    <x v="89"/>
    <x v="2"/>
    <x v="0"/>
    <x v="9"/>
    <n v="104"/>
    <n v="3.0700000000000002E-2"/>
  </r>
  <r>
    <x v="0"/>
    <x v="89"/>
    <x v="2"/>
    <x v="0"/>
    <x v="10"/>
    <n v="77"/>
    <n v="4.4699999999999997E-2"/>
  </r>
  <r>
    <x v="0"/>
    <x v="89"/>
    <x v="2"/>
    <x v="0"/>
    <x v="11"/>
    <n v="79"/>
    <n v="5.1999999999999998E-2"/>
  </r>
  <r>
    <x v="0"/>
    <x v="89"/>
    <x v="2"/>
    <x v="0"/>
    <x v="12"/>
    <n v="78"/>
    <n v="5.5399999999999998E-2"/>
  </r>
  <r>
    <x v="0"/>
    <x v="89"/>
    <x v="2"/>
    <x v="0"/>
    <x v="13"/>
    <n v="90"/>
    <n v="3.2500000000000001E-2"/>
  </r>
  <r>
    <x v="1"/>
    <x v="90"/>
    <x v="2"/>
    <x v="0"/>
    <x v="0"/>
    <n v="137"/>
    <n v="2.06E-2"/>
  </r>
  <r>
    <x v="1"/>
    <x v="90"/>
    <x v="2"/>
    <x v="0"/>
    <x v="2"/>
    <n v="104"/>
    <n v="7.6E-3"/>
  </r>
  <r>
    <x v="1"/>
    <x v="90"/>
    <x v="2"/>
    <x v="0"/>
    <x v="3"/>
    <n v="131"/>
    <n v="6.1999999999999998E-3"/>
  </r>
  <r>
    <x v="1"/>
    <x v="90"/>
    <x v="2"/>
    <x v="0"/>
    <x v="4"/>
    <n v="171"/>
    <n v="1.18E-2"/>
  </r>
  <r>
    <x v="1"/>
    <x v="90"/>
    <x v="2"/>
    <x v="0"/>
    <x v="5"/>
    <n v="147"/>
    <n v="4.4999999999999997E-3"/>
  </r>
  <r>
    <x v="1"/>
    <x v="90"/>
    <x v="2"/>
    <x v="0"/>
    <x v="6"/>
    <n v="144"/>
    <n v="4.7999999999999996E-3"/>
  </r>
  <r>
    <x v="1"/>
    <x v="90"/>
    <x v="2"/>
    <x v="0"/>
    <x v="7"/>
    <n v="121"/>
    <n v="9.7999999999999997E-3"/>
  </r>
  <r>
    <x v="1"/>
    <x v="90"/>
    <x v="2"/>
    <x v="0"/>
    <x v="9"/>
    <n v="113"/>
    <n v="5.3E-3"/>
  </r>
  <r>
    <x v="1"/>
    <x v="90"/>
    <x v="2"/>
    <x v="0"/>
    <x v="10"/>
    <n v="155"/>
    <n v="5.3E-3"/>
  </r>
  <r>
    <x v="1"/>
    <x v="90"/>
    <x v="2"/>
    <x v="0"/>
    <x v="11"/>
    <n v="195"/>
    <n v="5.1999999999999998E-3"/>
  </r>
  <r>
    <x v="1"/>
    <x v="90"/>
    <x v="2"/>
    <x v="0"/>
    <x v="12"/>
    <n v="177"/>
    <n v="6.3E-3"/>
  </r>
  <r>
    <x v="1"/>
    <x v="90"/>
    <x v="2"/>
    <x v="0"/>
    <x v="13"/>
    <n v="132"/>
    <n v="5.0000000000000001E-3"/>
  </r>
  <r>
    <x v="1"/>
    <x v="91"/>
    <x v="2"/>
    <x v="0"/>
    <x v="0"/>
    <n v="120"/>
    <n v="5.2200000000000003E-2"/>
  </r>
  <r>
    <x v="1"/>
    <x v="91"/>
    <x v="2"/>
    <x v="0"/>
    <x v="1"/>
    <n v="120"/>
    <n v="7.0000000000000001E-3"/>
  </r>
  <r>
    <x v="1"/>
    <x v="91"/>
    <x v="2"/>
    <x v="0"/>
    <x v="2"/>
    <n v="132"/>
    <n v="2.3599999999999999E-2"/>
  </r>
  <r>
    <x v="1"/>
    <x v="91"/>
    <x v="2"/>
    <x v="0"/>
    <x v="3"/>
    <n v="116"/>
    <n v="1.9300000000000001E-2"/>
  </r>
  <r>
    <x v="1"/>
    <x v="91"/>
    <x v="2"/>
    <x v="0"/>
    <x v="4"/>
    <n v="122"/>
    <n v="3.5499999999999997E-2"/>
  </r>
  <r>
    <x v="1"/>
    <x v="91"/>
    <x v="2"/>
    <x v="0"/>
    <x v="5"/>
    <n v="94"/>
    <n v="1.7100000000000001E-2"/>
  </r>
  <r>
    <x v="1"/>
    <x v="91"/>
    <x v="2"/>
    <x v="0"/>
    <x v="6"/>
    <n v="78"/>
    <n v="1.26E-2"/>
  </r>
  <r>
    <x v="1"/>
    <x v="91"/>
    <x v="2"/>
    <x v="0"/>
    <x v="7"/>
    <n v="131"/>
    <n v="2.5100000000000001E-2"/>
  </r>
  <r>
    <x v="1"/>
    <x v="91"/>
    <x v="2"/>
    <x v="0"/>
    <x v="9"/>
    <n v="119"/>
    <n v="1.6500000000000001E-2"/>
  </r>
  <r>
    <x v="1"/>
    <x v="91"/>
    <x v="2"/>
    <x v="0"/>
    <x v="10"/>
    <n v="117"/>
    <n v="1.9E-2"/>
  </r>
  <r>
    <x v="1"/>
    <x v="91"/>
    <x v="2"/>
    <x v="0"/>
    <x v="11"/>
    <n v="130"/>
    <n v="2.0400000000000001E-2"/>
  </r>
  <r>
    <x v="1"/>
    <x v="91"/>
    <x v="2"/>
    <x v="0"/>
    <x v="12"/>
    <n v="128"/>
    <n v="2.29E-2"/>
  </r>
  <r>
    <x v="1"/>
    <x v="91"/>
    <x v="2"/>
    <x v="0"/>
    <x v="13"/>
    <n v="109"/>
    <n v="1.01E-2"/>
  </r>
  <r>
    <x v="0"/>
    <x v="92"/>
    <x v="2"/>
    <x v="0"/>
    <x v="0"/>
    <n v="89"/>
    <n v="0.19500000000000001"/>
  </r>
  <r>
    <x v="0"/>
    <x v="92"/>
    <x v="2"/>
    <x v="0"/>
    <x v="1"/>
    <n v="96"/>
    <n v="3.4099999999999998E-2"/>
  </r>
  <r>
    <x v="0"/>
    <x v="92"/>
    <x v="2"/>
    <x v="0"/>
    <x v="2"/>
    <n v="95"/>
    <n v="7.6499999999999999E-2"/>
  </r>
  <r>
    <x v="0"/>
    <x v="92"/>
    <x v="2"/>
    <x v="0"/>
    <x v="3"/>
    <n v="88"/>
    <n v="5.96E-2"/>
  </r>
  <r>
    <x v="0"/>
    <x v="92"/>
    <x v="2"/>
    <x v="0"/>
    <x v="4"/>
    <n v="87"/>
    <n v="0.12820000000000001"/>
  </r>
  <r>
    <x v="0"/>
    <x v="92"/>
    <x v="2"/>
    <x v="0"/>
    <x v="5"/>
    <n v="86"/>
    <n v="6.3399999999999998E-2"/>
  </r>
  <r>
    <x v="0"/>
    <x v="92"/>
    <x v="2"/>
    <x v="0"/>
    <x v="6"/>
    <n v="87"/>
    <n v="6.7699999999999996E-2"/>
  </r>
  <r>
    <x v="0"/>
    <x v="92"/>
    <x v="2"/>
    <x v="0"/>
    <x v="7"/>
    <n v="85"/>
    <n v="9.7900000000000001E-2"/>
  </r>
  <r>
    <x v="0"/>
    <x v="92"/>
    <x v="2"/>
    <x v="0"/>
    <x v="8"/>
    <n v="90"/>
    <n v="3.61E-2"/>
  </r>
  <r>
    <x v="0"/>
    <x v="92"/>
    <x v="2"/>
    <x v="0"/>
    <x v="9"/>
    <n v="90"/>
    <n v="5.0099999999999999E-2"/>
  </r>
  <r>
    <x v="0"/>
    <x v="92"/>
    <x v="2"/>
    <x v="0"/>
    <x v="10"/>
    <n v="87"/>
    <n v="6.3700000000000007E-2"/>
  </r>
  <r>
    <x v="0"/>
    <x v="92"/>
    <x v="2"/>
    <x v="0"/>
    <x v="11"/>
    <n v="89"/>
    <n v="7.0699999999999999E-2"/>
  </r>
  <r>
    <x v="0"/>
    <x v="92"/>
    <x v="2"/>
    <x v="0"/>
    <x v="12"/>
    <n v="87"/>
    <n v="7.3800000000000004E-2"/>
  </r>
  <r>
    <x v="0"/>
    <x v="92"/>
    <x v="2"/>
    <x v="0"/>
    <x v="13"/>
    <n v="94"/>
    <n v="5.3900000000000003E-2"/>
  </r>
  <r>
    <x v="0"/>
    <x v="93"/>
    <x v="2"/>
    <x v="0"/>
    <x v="0"/>
    <n v="88"/>
    <n v="0.33510000000000001"/>
  </r>
  <r>
    <x v="0"/>
    <x v="93"/>
    <x v="2"/>
    <x v="0"/>
    <x v="1"/>
    <n v="103"/>
    <n v="2.8500000000000001E-2"/>
  </r>
  <r>
    <x v="0"/>
    <x v="93"/>
    <x v="2"/>
    <x v="0"/>
    <x v="2"/>
    <n v="84"/>
    <n v="8.4000000000000005E-2"/>
  </r>
  <r>
    <x v="0"/>
    <x v="93"/>
    <x v="2"/>
    <x v="0"/>
    <x v="3"/>
    <n v="88"/>
    <n v="9.1800000000000007E-2"/>
  </r>
  <r>
    <x v="0"/>
    <x v="93"/>
    <x v="2"/>
    <x v="0"/>
    <x v="4"/>
    <n v="89"/>
    <n v="0.25419999999999998"/>
  </r>
  <r>
    <x v="0"/>
    <x v="93"/>
    <x v="2"/>
    <x v="0"/>
    <x v="5"/>
    <n v="86"/>
    <n v="0.1023"/>
  </r>
  <r>
    <x v="0"/>
    <x v="93"/>
    <x v="2"/>
    <x v="0"/>
    <x v="6"/>
    <n v="86"/>
    <n v="9.4600000000000004E-2"/>
  </r>
  <r>
    <x v="0"/>
    <x v="93"/>
    <x v="2"/>
    <x v="0"/>
    <x v="7"/>
    <n v="91"/>
    <n v="0.14829999999999999"/>
  </r>
  <r>
    <x v="0"/>
    <x v="93"/>
    <x v="2"/>
    <x v="0"/>
    <x v="8"/>
    <n v="94"/>
    <n v="3.39E-2"/>
  </r>
  <r>
    <x v="0"/>
    <x v="93"/>
    <x v="2"/>
    <x v="0"/>
    <x v="9"/>
    <n v="87"/>
    <n v="5.8599999999999999E-2"/>
  </r>
  <r>
    <x v="0"/>
    <x v="93"/>
    <x v="2"/>
    <x v="0"/>
    <x v="10"/>
    <n v="86"/>
    <n v="0.1132"/>
  </r>
  <r>
    <x v="0"/>
    <x v="93"/>
    <x v="2"/>
    <x v="0"/>
    <x v="11"/>
    <n v="87"/>
    <n v="0.13150000000000001"/>
  </r>
  <r>
    <x v="0"/>
    <x v="93"/>
    <x v="2"/>
    <x v="0"/>
    <x v="12"/>
    <n v="90"/>
    <n v="0.1464"/>
  </r>
  <r>
    <x v="0"/>
    <x v="93"/>
    <x v="2"/>
    <x v="0"/>
    <x v="13"/>
    <n v="99"/>
    <n v="5.3699999999999998E-2"/>
  </r>
  <r>
    <x v="1"/>
    <x v="94"/>
    <x v="2"/>
    <x v="1"/>
    <x v="0"/>
    <n v="126"/>
    <n v="0.46129999999999999"/>
  </r>
  <r>
    <x v="1"/>
    <x v="94"/>
    <x v="2"/>
    <x v="1"/>
    <x v="1"/>
    <n v="105"/>
    <n v="3.1899999999999998E-2"/>
  </r>
  <r>
    <x v="1"/>
    <x v="94"/>
    <x v="2"/>
    <x v="1"/>
    <x v="2"/>
    <n v="67"/>
    <n v="8.0500000000000002E-2"/>
  </r>
  <r>
    <x v="1"/>
    <x v="94"/>
    <x v="2"/>
    <x v="1"/>
    <x v="3"/>
    <n v="95"/>
    <n v="7.6399999999999996E-2"/>
  </r>
  <r>
    <x v="1"/>
    <x v="94"/>
    <x v="2"/>
    <x v="1"/>
    <x v="4"/>
    <n v="134"/>
    <n v="0.37140000000000001"/>
  </r>
  <r>
    <x v="1"/>
    <x v="94"/>
    <x v="2"/>
    <x v="1"/>
    <x v="5"/>
    <n v="123"/>
    <n v="0.1216"/>
  </r>
  <r>
    <x v="1"/>
    <x v="94"/>
    <x v="2"/>
    <x v="1"/>
    <x v="6"/>
    <n v="115"/>
    <n v="0.1069"/>
  </r>
  <r>
    <x v="1"/>
    <x v="94"/>
    <x v="2"/>
    <x v="1"/>
    <x v="7"/>
    <n v="122"/>
    <n v="0.26629999999999998"/>
  </r>
  <r>
    <x v="1"/>
    <x v="94"/>
    <x v="2"/>
    <x v="1"/>
    <x v="8"/>
    <n v="107"/>
    <n v="3.5499999999999997E-2"/>
  </r>
  <r>
    <x v="1"/>
    <x v="94"/>
    <x v="2"/>
    <x v="1"/>
    <x v="9"/>
    <n v="87"/>
    <n v="4.4600000000000001E-2"/>
  </r>
  <r>
    <x v="1"/>
    <x v="94"/>
    <x v="2"/>
    <x v="1"/>
    <x v="10"/>
    <n v="129"/>
    <n v="0.16139999999999999"/>
  </r>
  <r>
    <x v="1"/>
    <x v="94"/>
    <x v="2"/>
    <x v="1"/>
    <x v="11"/>
    <n v="136"/>
    <n v="0.20030000000000001"/>
  </r>
  <r>
    <x v="1"/>
    <x v="94"/>
    <x v="2"/>
    <x v="1"/>
    <x v="12"/>
    <n v="136"/>
    <n v="0.23599999999999999"/>
  </r>
  <r>
    <x v="1"/>
    <x v="94"/>
    <x v="2"/>
    <x v="1"/>
    <x v="13"/>
    <n v="109"/>
    <n v="6.9699999999999998E-2"/>
  </r>
  <r>
    <x v="1"/>
    <x v="95"/>
    <x v="2"/>
    <x v="0"/>
    <x v="0"/>
    <n v="109"/>
    <n v="0.15340000000000001"/>
  </r>
  <r>
    <x v="1"/>
    <x v="95"/>
    <x v="2"/>
    <x v="0"/>
    <x v="1"/>
    <n v="94"/>
    <n v="2.4400000000000002E-2"/>
  </r>
  <r>
    <x v="1"/>
    <x v="95"/>
    <x v="2"/>
    <x v="0"/>
    <x v="2"/>
    <n v="110"/>
    <n v="5.6599999999999998E-2"/>
  </r>
  <r>
    <x v="1"/>
    <x v="95"/>
    <x v="2"/>
    <x v="0"/>
    <x v="3"/>
    <n v="111"/>
    <n v="4.5499999999999999E-2"/>
  </r>
  <r>
    <x v="1"/>
    <x v="95"/>
    <x v="2"/>
    <x v="0"/>
    <x v="4"/>
    <n v="109"/>
    <n v="9.5100000000000004E-2"/>
  </r>
  <r>
    <x v="1"/>
    <x v="95"/>
    <x v="2"/>
    <x v="0"/>
    <x v="5"/>
    <n v="111"/>
    <n v="4.5499999999999999E-2"/>
  </r>
  <r>
    <x v="1"/>
    <x v="95"/>
    <x v="2"/>
    <x v="0"/>
    <x v="6"/>
    <n v="107"/>
    <n v="4.7399999999999998E-2"/>
  </r>
  <r>
    <x v="1"/>
    <x v="95"/>
    <x v="2"/>
    <x v="0"/>
    <x v="7"/>
    <n v="110"/>
    <n v="8.2100000000000006E-2"/>
  </r>
  <r>
    <x v="1"/>
    <x v="95"/>
    <x v="2"/>
    <x v="0"/>
    <x v="8"/>
    <n v="97"/>
    <n v="2.3400000000000001E-2"/>
  </r>
  <r>
    <x v="1"/>
    <x v="95"/>
    <x v="2"/>
    <x v="0"/>
    <x v="9"/>
    <n v="113"/>
    <n v="3.9899999999999998E-2"/>
  </r>
  <r>
    <x v="1"/>
    <x v="95"/>
    <x v="2"/>
    <x v="0"/>
    <x v="10"/>
    <n v="110"/>
    <n v="4.3700000000000003E-2"/>
  </r>
  <r>
    <x v="1"/>
    <x v="95"/>
    <x v="2"/>
    <x v="0"/>
    <x v="11"/>
    <n v="111"/>
    <n v="4.9000000000000002E-2"/>
  </r>
  <r>
    <x v="1"/>
    <x v="95"/>
    <x v="2"/>
    <x v="0"/>
    <x v="12"/>
    <n v="112"/>
    <n v="4.9000000000000002E-2"/>
  </r>
  <r>
    <x v="1"/>
    <x v="95"/>
    <x v="2"/>
    <x v="0"/>
    <x v="13"/>
    <n v="104"/>
    <n v="3.85E-2"/>
  </r>
  <r>
    <x v="1"/>
    <x v="96"/>
    <x v="2"/>
    <x v="0"/>
    <x v="0"/>
    <n v="104"/>
    <n v="8.1299999999999997E-2"/>
  </r>
  <r>
    <x v="1"/>
    <x v="96"/>
    <x v="2"/>
    <x v="0"/>
    <x v="2"/>
    <n v="110"/>
    <n v="2.7199999999999998E-2"/>
  </r>
  <r>
    <x v="1"/>
    <x v="96"/>
    <x v="2"/>
    <x v="0"/>
    <x v="3"/>
    <n v="108"/>
    <n v="1.9300000000000001E-2"/>
  </r>
  <r>
    <x v="1"/>
    <x v="96"/>
    <x v="2"/>
    <x v="0"/>
    <x v="4"/>
    <n v="102"/>
    <n v="4.99E-2"/>
  </r>
  <r>
    <x v="1"/>
    <x v="96"/>
    <x v="2"/>
    <x v="0"/>
    <x v="5"/>
    <n v="104"/>
    <n v="2.69E-2"/>
  </r>
  <r>
    <x v="1"/>
    <x v="96"/>
    <x v="2"/>
    <x v="0"/>
    <x v="6"/>
    <n v="102"/>
    <n v="2.1700000000000001E-2"/>
  </r>
  <r>
    <x v="1"/>
    <x v="96"/>
    <x v="2"/>
    <x v="0"/>
    <x v="7"/>
    <n v="103"/>
    <n v="3.8699999999999998E-2"/>
  </r>
  <r>
    <x v="1"/>
    <x v="96"/>
    <x v="2"/>
    <x v="0"/>
    <x v="9"/>
    <n v="113"/>
    <n v="1.5699999999999999E-2"/>
  </r>
  <r>
    <x v="1"/>
    <x v="96"/>
    <x v="2"/>
    <x v="0"/>
    <x v="10"/>
    <n v="106"/>
    <n v="2.7300000000000001E-2"/>
  </r>
  <r>
    <x v="1"/>
    <x v="96"/>
    <x v="2"/>
    <x v="0"/>
    <x v="11"/>
    <n v="105"/>
    <n v="2.7900000000000001E-2"/>
  </r>
  <r>
    <x v="1"/>
    <x v="96"/>
    <x v="2"/>
    <x v="0"/>
    <x v="12"/>
    <n v="102"/>
    <n v="2.9899999999999999E-2"/>
  </r>
  <r>
    <x v="1"/>
    <x v="96"/>
    <x v="2"/>
    <x v="0"/>
    <x v="13"/>
    <n v="95"/>
    <n v="1.11E-2"/>
  </r>
  <r>
    <x v="1"/>
    <x v="97"/>
    <x v="2"/>
    <x v="0"/>
    <x v="0"/>
    <n v="117"/>
    <n v="9.1999999999999998E-2"/>
  </r>
  <r>
    <x v="1"/>
    <x v="97"/>
    <x v="2"/>
    <x v="0"/>
    <x v="1"/>
    <n v="115"/>
    <n v="1.23E-2"/>
  </r>
  <r>
    <x v="1"/>
    <x v="97"/>
    <x v="2"/>
    <x v="0"/>
    <x v="2"/>
    <n v="117"/>
    <n v="3.49E-2"/>
  </r>
  <r>
    <x v="1"/>
    <x v="97"/>
    <x v="2"/>
    <x v="0"/>
    <x v="3"/>
    <n v="118"/>
    <n v="2.6700000000000002E-2"/>
  </r>
  <r>
    <x v="1"/>
    <x v="97"/>
    <x v="2"/>
    <x v="0"/>
    <x v="4"/>
    <n v="125"/>
    <n v="6.0299999999999999E-2"/>
  </r>
  <r>
    <x v="1"/>
    <x v="97"/>
    <x v="2"/>
    <x v="0"/>
    <x v="5"/>
    <n v="97"/>
    <n v="2.47E-2"/>
  </r>
  <r>
    <x v="1"/>
    <x v="97"/>
    <x v="2"/>
    <x v="0"/>
    <x v="6"/>
    <n v="98"/>
    <n v="2.47E-2"/>
  </r>
  <r>
    <x v="1"/>
    <x v="97"/>
    <x v="2"/>
    <x v="0"/>
    <x v="7"/>
    <n v="127"/>
    <n v="4.2200000000000001E-2"/>
  </r>
  <r>
    <x v="1"/>
    <x v="97"/>
    <x v="2"/>
    <x v="0"/>
    <x v="8"/>
    <n v="110"/>
    <n v="1.1599999999999999E-2"/>
  </r>
  <r>
    <x v="1"/>
    <x v="97"/>
    <x v="2"/>
    <x v="0"/>
    <x v="9"/>
    <n v="124"/>
    <n v="2.1899999999999999E-2"/>
  </r>
  <r>
    <x v="1"/>
    <x v="97"/>
    <x v="2"/>
    <x v="0"/>
    <x v="10"/>
    <n v="114"/>
    <n v="2.53E-2"/>
  </r>
  <r>
    <x v="1"/>
    <x v="97"/>
    <x v="2"/>
    <x v="0"/>
    <x v="11"/>
    <n v="118"/>
    <n v="3.0300000000000001E-2"/>
  </r>
  <r>
    <x v="1"/>
    <x v="97"/>
    <x v="2"/>
    <x v="0"/>
    <x v="12"/>
    <n v="129"/>
    <n v="3.2300000000000002E-2"/>
  </r>
  <r>
    <x v="1"/>
    <x v="97"/>
    <x v="2"/>
    <x v="0"/>
    <x v="13"/>
    <n v="115"/>
    <n v="1.9599999999999999E-2"/>
  </r>
  <r>
    <x v="0"/>
    <x v="98"/>
    <x v="2"/>
    <x v="0"/>
    <x v="0"/>
    <n v="99"/>
    <n v="0.17349999999999999"/>
  </r>
  <r>
    <x v="0"/>
    <x v="98"/>
    <x v="2"/>
    <x v="0"/>
    <x v="1"/>
    <n v="69"/>
    <n v="1.0699999999999999E-2"/>
  </r>
  <r>
    <x v="0"/>
    <x v="98"/>
    <x v="2"/>
    <x v="0"/>
    <x v="2"/>
    <n v="95"/>
    <n v="4.7600000000000003E-2"/>
  </r>
  <r>
    <x v="0"/>
    <x v="98"/>
    <x v="2"/>
    <x v="0"/>
    <x v="3"/>
    <n v="60"/>
    <n v="3.2800000000000003E-2"/>
  </r>
  <r>
    <x v="0"/>
    <x v="98"/>
    <x v="2"/>
    <x v="0"/>
    <x v="4"/>
    <n v="103"/>
    <n v="0.1147"/>
  </r>
  <r>
    <x v="0"/>
    <x v="98"/>
    <x v="2"/>
    <x v="0"/>
    <x v="5"/>
    <n v="94"/>
    <n v="2.7199999999999998E-2"/>
  </r>
  <r>
    <x v="0"/>
    <x v="98"/>
    <x v="2"/>
    <x v="0"/>
    <x v="6"/>
    <n v="99"/>
    <n v="2.86E-2"/>
  </r>
  <r>
    <x v="0"/>
    <x v="98"/>
    <x v="2"/>
    <x v="0"/>
    <x v="7"/>
    <n v="104"/>
    <n v="8.2000000000000003E-2"/>
  </r>
  <r>
    <x v="0"/>
    <x v="98"/>
    <x v="2"/>
    <x v="0"/>
    <x v="8"/>
    <n v="100"/>
    <n v="1.2E-2"/>
  </r>
  <r>
    <x v="0"/>
    <x v="98"/>
    <x v="2"/>
    <x v="0"/>
    <x v="9"/>
    <n v="51"/>
    <n v="1.9900000000000001E-2"/>
  </r>
  <r>
    <x v="0"/>
    <x v="98"/>
    <x v="2"/>
    <x v="0"/>
    <x v="10"/>
    <n v="99"/>
    <n v="3.7199999999999997E-2"/>
  </r>
  <r>
    <x v="0"/>
    <x v="98"/>
    <x v="2"/>
    <x v="0"/>
    <x v="11"/>
    <n v="109"/>
    <n v="5.4300000000000001E-2"/>
  </r>
  <r>
    <x v="0"/>
    <x v="98"/>
    <x v="2"/>
    <x v="0"/>
    <x v="12"/>
    <n v="106"/>
    <n v="6.6799999999999998E-2"/>
  </r>
  <r>
    <x v="0"/>
    <x v="98"/>
    <x v="2"/>
    <x v="0"/>
    <x v="13"/>
    <n v="79"/>
    <n v="1.9699999999999999E-2"/>
  </r>
  <r>
    <x v="1"/>
    <x v="99"/>
    <x v="2"/>
    <x v="0"/>
    <x v="0"/>
    <n v="103"/>
    <n v="0.1047"/>
  </r>
  <r>
    <x v="1"/>
    <x v="99"/>
    <x v="2"/>
    <x v="0"/>
    <x v="1"/>
    <n v="90"/>
    <n v="1.49E-2"/>
  </r>
  <r>
    <x v="1"/>
    <x v="99"/>
    <x v="2"/>
    <x v="0"/>
    <x v="2"/>
    <n v="108"/>
    <n v="4.4400000000000002E-2"/>
  </r>
  <r>
    <x v="1"/>
    <x v="99"/>
    <x v="2"/>
    <x v="0"/>
    <x v="3"/>
    <n v="109"/>
    <n v="3.5499999999999997E-2"/>
  </r>
  <r>
    <x v="1"/>
    <x v="99"/>
    <x v="2"/>
    <x v="0"/>
    <x v="4"/>
    <n v="100"/>
    <n v="7.1300000000000002E-2"/>
  </r>
  <r>
    <x v="1"/>
    <x v="99"/>
    <x v="2"/>
    <x v="0"/>
    <x v="5"/>
    <n v="91"/>
    <n v="2.93E-2"/>
  </r>
  <r>
    <x v="1"/>
    <x v="99"/>
    <x v="2"/>
    <x v="0"/>
    <x v="6"/>
    <n v="89"/>
    <n v="2.8799999999999999E-2"/>
  </r>
  <r>
    <x v="1"/>
    <x v="99"/>
    <x v="2"/>
    <x v="0"/>
    <x v="7"/>
    <n v="120"/>
    <n v="4.9000000000000002E-2"/>
  </r>
  <r>
    <x v="1"/>
    <x v="99"/>
    <x v="2"/>
    <x v="0"/>
    <x v="8"/>
    <n v="83"/>
    <n v="1.3100000000000001E-2"/>
  </r>
  <r>
    <x v="1"/>
    <x v="99"/>
    <x v="2"/>
    <x v="0"/>
    <x v="9"/>
    <n v="114"/>
    <n v="3.09E-2"/>
  </r>
  <r>
    <x v="1"/>
    <x v="99"/>
    <x v="2"/>
    <x v="0"/>
    <x v="10"/>
    <n v="87"/>
    <n v="3.1199999999999999E-2"/>
  </r>
  <r>
    <x v="1"/>
    <x v="99"/>
    <x v="2"/>
    <x v="0"/>
    <x v="11"/>
    <n v="99"/>
    <n v="3.8600000000000002E-2"/>
  </r>
  <r>
    <x v="1"/>
    <x v="99"/>
    <x v="2"/>
    <x v="0"/>
    <x v="12"/>
    <n v="102"/>
    <n v="4.2000000000000003E-2"/>
  </r>
  <r>
    <x v="1"/>
    <x v="99"/>
    <x v="2"/>
    <x v="0"/>
    <x v="13"/>
    <n v="91"/>
    <n v="2.41E-2"/>
  </r>
  <r>
    <x v="1"/>
    <x v="101"/>
    <x v="2"/>
    <x v="0"/>
    <x v="0"/>
    <n v="108"/>
    <n v="0.1149"/>
  </r>
  <r>
    <x v="1"/>
    <x v="101"/>
    <x v="2"/>
    <x v="0"/>
    <x v="1"/>
    <n v="112"/>
    <n v="1.83E-2"/>
  </r>
  <r>
    <x v="1"/>
    <x v="101"/>
    <x v="2"/>
    <x v="0"/>
    <x v="2"/>
    <n v="110"/>
    <n v="4.7E-2"/>
  </r>
  <r>
    <x v="1"/>
    <x v="101"/>
    <x v="2"/>
    <x v="0"/>
    <x v="3"/>
    <n v="109"/>
    <n v="3.6700000000000003E-2"/>
  </r>
  <r>
    <x v="1"/>
    <x v="101"/>
    <x v="2"/>
    <x v="0"/>
    <x v="4"/>
    <n v="108"/>
    <n v="7.6899999999999996E-2"/>
  </r>
  <r>
    <x v="1"/>
    <x v="101"/>
    <x v="2"/>
    <x v="0"/>
    <x v="5"/>
    <n v="100"/>
    <n v="3.78E-2"/>
  </r>
  <r>
    <x v="1"/>
    <x v="101"/>
    <x v="2"/>
    <x v="0"/>
    <x v="6"/>
    <n v="107"/>
    <n v="3.9899999999999998E-2"/>
  </r>
  <r>
    <x v="1"/>
    <x v="101"/>
    <x v="2"/>
    <x v="0"/>
    <x v="7"/>
    <n v="108"/>
    <n v="6.0400000000000002E-2"/>
  </r>
  <r>
    <x v="1"/>
    <x v="101"/>
    <x v="2"/>
    <x v="0"/>
    <x v="8"/>
    <n v="113"/>
    <n v="1.95E-2"/>
  </r>
  <r>
    <x v="1"/>
    <x v="101"/>
    <x v="2"/>
    <x v="0"/>
    <x v="9"/>
    <n v="112"/>
    <n v="3.0800000000000001E-2"/>
  </r>
  <r>
    <x v="1"/>
    <x v="101"/>
    <x v="2"/>
    <x v="0"/>
    <x v="10"/>
    <n v="103"/>
    <n v="3.85E-2"/>
  </r>
  <r>
    <x v="1"/>
    <x v="101"/>
    <x v="2"/>
    <x v="0"/>
    <x v="11"/>
    <n v="113"/>
    <n v="3.9600000000000003E-2"/>
  </r>
  <r>
    <x v="1"/>
    <x v="101"/>
    <x v="2"/>
    <x v="0"/>
    <x v="12"/>
    <n v="113"/>
    <n v="4.1700000000000001E-2"/>
  </r>
  <r>
    <x v="1"/>
    <x v="101"/>
    <x v="2"/>
    <x v="0"/>
    <x v="13"/>
    <n v="113"/>
    <n v="2.8799999999999999E-2"/>
  </r>
  <r>
    <x v="0"/>
    <x v="102"/>
    <x v="2"/>
    <x v="0"/>
    <x v="0"/>
    <n v="90"/>
    <n v="0.2273"/>
  </r>
  <r>
    <x v="0"/>
    <x v="102"/>
    <x v="2"/>
    <x v="0"/>
    <x v="1"/>
    <n v="97"/>
    <n v="3.32E-2"/>
  </r>
  <r>
    <x v="0"/>
    <x v="102"/>
    <x v="2"/>
    <x v="0"/>
    <x v="2"/>
    <n v="99"/>
    <n v="8.43E-2"/>
  </r>
  <r>
    <x v="0"/>
    <x v="102"/>
    <x v="2"/>
    <x v="0"/>
    <x v="3"/>
    <n v="100"/>
    <n v="6.3E-2"/>
  </r>
  <r>
    <x v="0"/>
    <x v="102"/>
    <x v="2"/>
    <x v="0"/>
    <x v="4"/>
    <n v="81"/>
    <n v="0.14849999999999999"/>
  </r>
  <r>
    <x v="0"/>
    <x v="102"/>
    <x v="2"/>
    <x v="0"/>
    <x v="5"/>
    <n v="89"/>
    <n v="5.45E-2"/>
  </r>
  <r>
    <x v="0"/>
    <x v="102"/>
    <x v="2"/>
    <x v="0"/>
    <x v="6"/>
    <n v="89"/>
    <n v="6.2300000000000001E-2"/>
  </r>
  <r>
    <x v="0"/>
    <x v="102"/>
    <x v="2"/>
    <x v="0"/>
    <x v="7"/>
    <n v="93"/>
    <n v="9.4500000000000001E-2"/>
  </r>
  <r>
    <x v="0"/>
    <x v="102"/>
    <x v="2"/>
    <x v="0"/>
    <x v="8"/>
    <n v="92"/>
    <n v="3.1199999999999999E-2"/>
  </r>
  <r>
    <x v="0"/>
    <x v="102"/>
    <x v="2"/>
    <x v="0"/>
    <x v="9"/>
    <n v="104"/>
    <n v="5.0700000000000002E-2"/>
  </r>
  <r>
    <x v="0"/>
    <x v="102"/>
    <x v="2"/>
    <x v="0"/>
    <x v="10"/>
    <n v="84"/>
    <n v="6.4100000000000004E-2"/>
  </r>
  <r>
    <x v="0"/>
    <x v="102"/>
    <x v="2"/>
    <x v="0"/>
    <x v="11"/>
    <n v="81"/>
    <n v="7.22E-2"/>
  </r>
  <r>
    <x v="0"/>
    <x v="102"/>
    <x v="2"/>
    <x v="0"/>
    <x v="12"/>
    <n v="80"/>
    <n v="7.2700000000000001E-2"/>
  </r>
  <r>
    <x v="0"/>
    <x v="102"/>
    <x v="2"/>
    <x v="0"/>
    <x v="13"/>
    <n v="92"/>
    <n v="4.8599999999999997E-2"/>
  </r>
  <r>
    <x v="0"/>
    <x v="103"/>
    <x v="2"/>
    <x v="0"/>
    <x v="0"/>
    <n v="94"/>
    <n v="0.36770000000000003"/>
  </r>
  <r>
    <x v="0"/>
    <x v="103"/>
    <x v="2"/>
    <x v="0"/>
    <x v="1"/>
    <n v="95"/>
    <n v="4.3299999999999998E-2"/>
  </r>
  <r>
    <x v="0"/>
    <x v="103"/>
    <x v="2"/>
    <x v="0"/>
    <x v="2"/>
    <n v="101"/>
    <n v="0.11360000000000001"/>
  </r>
  <r>
    <x v="0"/>
    <x v="103"/>
    <x v="2"/>
    <x v="0"/>
    <x v="3"/>
    <n v="96"/>
    <n v="0.1057"/>
  </r>
  <r>
    <x v="0"/>
    <x v="103"/>
    <x v="2"/>
    <x v="0"/>
    <x v="4"/>
    <n v="93"/>
    <n v="0.25819999999999999"/>
  </r>
  <r>
    <x v="0"/>
    <x v="103"/>
    <x v="2"/>
    <x v="0"/>
    <x v="5"/>
    <n v="93"/>
    <n v="9.7900000000000001E-2"/>
  </r>
  <r>
    <x v="0"/>
    <x v="103"/>
    <x v="2"/>
    <x v="0"/>
    <x v="6"/>
    <n v="92"/>
    <n v="9.3200000000000005E-2"/>
  </r>
  <r>
    <x v="0"/>
    <x v="103"/>
    <x v="2"/>
    <x v="0"/>
    <x v="7"/>
    <n v="88"/>
    <n v="0.1721"/>
  </r>
  <r>
    <x v="0"/>
    <x v="103"/>
    <x v="2"/>
    <x v="0"/>
    <x v="8"/>
    <n v="89"/>
    <n v="3.5900000000000001E-2"/>
  </r>
  <r>
    <x v="0"/>
    <x v="103"/>
    <x v="2"/>
    <x v="0"/>
    <x v="9"/>
    <n v="95"/>
    <n v="8.6499999999999994E-2"/>
  </r>
  <r>
    <x v="0"/>
    <x v="103"/>
    <x v="2"/>
    <x v="0"/>
    <x v="10"/>
    <n v="94"/>
    <n v="0.11219999999999999"/>
  </r>
  <r>
    <x v="0"/>
    <x v="103"/>
    <x v="2"/>
    <x v="0"/>
    <x v="11"/>
    <n v="94"/>
    <n v="0.1366"/>
  </r>
  <r>
    <x v="0"/>
    <x v="103"/>
    <x v="2"/>
    <x v="0"/>
    <x v="12"/>
    <n v="94"/>
    <n v="0.1477"/>
  </r>
  <r>
    <x v="0"/>
    <x v="103"/>
    <x v="2"/>
    <x v="0"/>
    <x v="13"/>
    <n v="93"/>
    <n v="6.6500000000000004E-2"/>
  </r>
  <r>
    <x v="1"/>
    <x v="104"/>
    <x v="2"/>
    <x v="0"/>
    <x v="0"/>
    <n v="30"/>
    <n v="0.25080000000000002"/>
  </r>
  <r>
    <x v="1"/>
    <x v="104"/>
    <x v="2"/>
    <x v="0"/>
    <x v="1"/>
    <n v="38"/>
    <n v="1.6799999999999999E-2"/>
  </r>
  <r>
    <x v="1"/>
    <x v="104"/>
    <x v="2"/>
    <x v="0"/>
    <x v="2"/>
    <n v="28"/>
    <n v="5.3800000000000001E-2"/>
  </r>
  <r>
    <x v="1"/>
    <x v="104"/>
    <x v="2"/>
    <x v="0"/>
    <x v="3"/>
    <n v="30"/>
    <n v="3.6700000000000003E-2"/>
  </r>
  <r>
    <x v="1"/>
    <x v="104"/>
    <x v="2"/>
    <x v="0"/>
    <x v="4"/>
    <n v="27"/>
    <n v="0.15629999999999999"/>
  </r>
  <r>
    <x v="1"/>
    <x v="104"/>
    <x v="2"/>
    <x v="0"/>
    <x v="5"/>
    <n v="32"/>
    <n v="2.81E-2"/>
  </r>
  <r>
    <x v="1"/>
    <x v="104"/>
    <x v="2"/>
    <x v="0"/>
    <x v="6"/>
    <n v="42"/>
    <n v="2.81E-2"/>
  </r>
  <r>
    <x v="1"/>
    <x v="104"/>
    <x v="2"/>
    <x v="0"/>
    <x v="7"/>
    <n v="32"/>
    <n v="0.128"/>
  </r>
  <r>
    <x v="1"/>
    <x v="104"/>
    <x v="2"/>
    <x v="0"/>
    <x v="8"/>
    <n v="59"/>
    <n v="1.14E-2"/>
  </r>
  <r>
    <x v="1"/>
    <x v="104"/>
    <x v="2"/>
    <x v="0"/>
    <x v="9"/>
    <n v="33"/>
    <n v="2.76E-2"/>
  </r>
  <r>
    <x v="1"/>
    <x v="104"/>
    <x v="2"/>
    <x v="0"/>
    <x v="10"/>
    <n v="26"/>
    <n v="3.4000000000000002E-2"/>
  </r>
  <r>
    <x v="1"/>
    <x v="104"/>
    <x v="2"/>
    <x v="0"/>
    <x v="11"/>
    <n v="27"/>
    <n v="4.7500000000000001E-2"/>
  </r>
  <r>
    <x v="1"/>
    <x v="104"/>
    <x v="2"/>
    <x v="0"/>
    <x v="12"/>
    <n v="26"/>
    <n v="5.6399999999999999E-2"/>
  </r>
  <r>
    <x v="1"/>
    <x v="104"/>
    <x v="2"/>
    <x v="0"/>
    <x v="13"/>
    <n v="39"/>
    <n v="2.7099999999999999E-2"/>
  </r>
  <r>
    <x v="0"/>
    <x v="105"/>
    <x v="2"/>
    <x v="0"/>
    <x v="0"/>
    <n v="109"/>
    <n v="0.34399999999999997"/>
  </r>
  <r>
    <x v="0"/>
    <x v="105"/>
    <x v="2"/>
    <x v="0"/>
    <x v="1"/>
    <n v="93"/>
    <n v="4.3900000000000002E-2"/>
  </r>
  <r>
    <x v="0"/>
    <x v="105"/>
    <x v="2"/>
    <x v="0"/>
    <x v="2"/>
    <n v="112"/>
    <n v="0.14530000000000001"/>
  </r>
  <r>
    <x v="0"/>
    <x v="105"/>
    <x v="2"/>
    <x v="0"/>
    <x v="3"/>
    <n v="113"/>
    <n v="0.122"/>
  </r>
  <r>
    <x v="0"/>
    <x v="105"/>
    <x v="2"/>
    <x v="0"/>
    <x v="4"/>
    <n v="112"/>
    <n v="0.251"/>
  </r>
  <r>
    <x v="0"/>
    <x v="105"/>
    <x v="2"/>
    <x v="0"/>
    <x v="5"/>
    <n v="102"/>
    <n v="0.107"/>
  </r>
  <r>
    <x v="0"/>
    <x v="105"/>
    <x v="2"/>
    <x v="0"/>
    <x v="6"/>
    <n v="101"/>
    <n v="9.2200000000000004E-2"/>
  </r>
  <r>
    <x v="0"/>
    <x v="105"/>
    <x v="2"/>
    <x v="0"/>
    <x v="7"/>
    <n v="109"/>
    <n v="0.1807"/>
  </r>
  <r>
    <x v="0"/>
    <x v="105"/>
    <x v="2"/>
    <x v="0"/>
    <x v="8"/>
    <n v="87"/>
    <n v="3.04E-2"/>
  </r>
  <r>
    <x v="0"/>
    <x v="105"/>
    <x v="2"/>
    <x v="0"/>
    <x v="9"/>
    <n v="115"/>
    <n v="0.1003"/>
  </r>
  <r>
    <x v="0"/>
    <x v="105"/>
    <x v="2"/>
    <x v="0"/>
    <x v="10"/>
    <n v="105"/>
    <n v="0.1211"/>
  </r>
  <r>
    <x v="0"/>
    <x v="105"/>
    <x v="2"/>
    <x v="0"/>
    <x v="11"/>
    <n v="110"/>
    <n v="0.1477"/>
  </r>
  <r>
    <x v="0"/>
    <x v="105"/>
    <x v="2"/>
    <x v="0"/>
    <x v="12"/>
    <n v="114"/>
    <n v="0.15720000000000001"/>
  </r>
  <r>
    <x v="0"/>
    <x v="105"/>
    <x v="2"/>
    <x v="0"/>
    <x v="13"/>
    <n v="93"/>
    <n v="6.8199999999999997E-2"/>
  </r>
  <r>
    <x v="1"/>
    <x v="106"/>
    <x v="2"/>
    <x v="0"/>
    <x v="0"/>
    <n v="95"/>
    <n v="0.19989999999999999"/>
  </r>
  <r>
    <x v="1"/>
    <x v="106"/>
    <x v="2"/>
    <x v="0"/>
    <x v="1"/>
    <n v="83"/>
    <n v="3.3700000000000001E-2"/>
  </r>
  <r>
    <x v="1"/>
    <x v="106"/>
    <x v="2"/>
    <x v="0"/>
    <x v="2"/>
    <n v="96"/>
    <n v="9.0300000000000005E-2"/>
  </r>
  <r>
    <x v="1"/>
    <x v="106"/>
    <x v="2"/>
    <x v="0"/>
    <x v="3"/>
    <n v="95"/>
    <n v="8.2299999999999998E-2"/>
  </r>
  <r>
    <x v="1"/>
    <x v="106"/>
    <x v="2"/>
    <x v="0"/>
    <x v="4"/>
    <n v="97"/>
    <n v="0.14710000000000001"/>
  </r>
  <r>
    <x v="1"/>
    <x v="106"/>
    <x v="2"/>
    <x v="0"/>
    <x v="5"/>
    <n v="95"/>
    <n v="7.51E-2"/>
  </r>
  <r>
    <x v="1"/>
    <x v="106"/>
    <x v="2"/>
    <x v="0"/>
    <x v="6"/>
    <n v="87"/>
    <n v="6.6799999999999998E-2"/>
  </r>
  <r>
    <x v="1"/>
    <x v="106"/>
    <x v="2"/>
    <x v="0"/>
    <x v="7"/>
    <n v="97"/>
    <n v="0.12609999999999999"/>
  </r>
  <r>
    <x v="1"/>
    <x v="106"/>
    <x v="2"/>
    <x v="0"/>
    <x v="8"/>
    <n v="83"/>
    <n v="2.7199999999999998E-2"/>
  </r>
  <r>
    <x v="1"/>
    <x v="106"/>
    <x v="2"/>
    <x v="0"/>
    <x v="9"/>
    <n v="95"/>
    <n v="7.1400000000000005E-2"/>
  </r>
  <r>
    <x v="1"/>
    <x v="106"/>
    <x v="2"/>
    <x v="0"/>
    <x v="10"/>
    <n v="92"/>
    <n v="8.5900000000000004E-2"/>
  </r>
  <r>
    <x v="1"/>
    <x v="106"/>
    <x v="2"/>
    <x v="0"/>
    <x v="11"/>
    <n v="96"/>
    <n v="9.4200000000000006E-2"/>
  </r>
  <r>
    <x v="1"/>
    <x v="106"/>
    <x v="2"/>
    <x v="0"/>
    <x v="12"/>
    <n v="96"/>
    <n v="0.10059999999999999"/>
  </r>
  <r>
    <x v="1"/>
    <x v="106"/>
    <x v="2"/>
    <x v="0"/>
    <x v="13"/>
    <n v="83"/>
    <n v="4.4699999999999997E-2"/>
  </r>
  <r>
    <x v="0"/>
    <x v="107"/>
    <x v="2"/>
    <x v="0"/>
    <x v="0"/>
    <n v="91"/>
    <n v="0.23350000000000001"/>
  </r>
  <r>
    <x v="0"/>
    <x v="107"/>
    <x v="2"/>
    <x v="0"/>
    <x v="1"/>
    <n v="114"/>
    <n v="3.3099999999999997E-2"/>
  </r>
  <r>
    <x v="0"/>
    <x v="107"/>
    <x v="2"/>
    <x v="0"/>
    <x v="2"/>
    <n v="99"/>
    <n v="9.3799999999999994E-2"/>
  </r>
  <r>
    <x v="0"/>
    <x v="107"/>
    <x v="2"/>
    <x v="0"/>
    <x v="3"/>
    <n v="90"/>
    <n v="6.9699999999999998E-2"/>
  </r>
  <r>
    <x v="0"/>
    <x v="107"/>
    <x v="2"/>
    <x v="0"/>
    <x v="4"/>
    <n v="90"/>
    <n v="0.1525"/>
  </r>
  <r>
    <x v="0"/>
    <x v="107"/>
    <x v="2"/>
    <x v="0"/>
    <x v="5"/>
    <n v="91"/>
    <n v="6.5500000000000003E-2"/>
  </r>
  <r>
    <x v="0"/>
    <x v="107"/>
    <x v="2"/>
    <x v="0"/>
    <x v="6"/>
    <n v="89"/>
    <n v="6.4000000000000001E-2"/>
  </r>
  <r>
    <x v="0"/>
    <x v="107"/>
    <x v="2"/>
    <x v="0"/>
    <x v="7"/>
    <n v="86"/>
    <n v="0.1069"/>
  </r>
  <r>
    <x v="0"/>
    <x v="107"/>
    <x v="2"/>
    <x v="0"/>
    <x v="8"/>
    <n v="89"/>
    <n v="2.8500000000000001E-2"/>
  </r>
  <r>
    <x v="0"/>
    <x v="107"/>
    <x v="2"/>
    <x v="0"/>
    <x v="9"/>
    <n v="90"/>
    <n v="5.7000000000000002E-2"/>
  </r>
  <r>
    <x v="0"/>
    <x v="107"/>
    <x v="2"/>
    <x v="0"/>
    <x v="10"/>
    <n v="93"/>
    <n v="7.1599999999999997E-2"/>
  </r>
  <r>
    <x v="0"/>
    <x v="107"/>
    <x v="2"/>
    <x v="0"/>
    <x v="11"/>
    <n v="92"/>
    <n v="8.6499999999999994E-2"/>
  </r>
  <r>
    <x v="0"/>
    <x v="107"/>
    <x v="2"/>
    <x v="0"/>
    <x v="12"/>
    <n v="90"/>
    <n v="8.5199999999999998E-2"/>
  </r>
  <r>
    <x v="0"/>
    <x v="107"/>
    <x v="2"/>
    <x v="0"/>
    <x v="13"/>
    <n v="97"/>
    <n v="5.3900000000000003E-2"/>
  </r>
  <r>
    <x v="1"/>
    <x v="108"/>
    <x v="2"/>
    <x v="0"/>
    <x v="0"/>
    <n v="96"/>
    <n v="3.7600000000000001E-2"/>
  </r>
  <r>
    <x v="1"/>
    <x v="108"/>
    <x v="2"/>
    <x v="0"/>
    <x v="1"/>
    <n v="85"/>
    <n v="7.9000000000000008E-3"/>
  </r>
  <r>
    <x v="1"/>
    <x v="108"/>
    <x v="2"/>
    <x v="0"/>
    <x v="2"/>
    <n v="102"/>
    <n v="1.7100000000000001E-2"/>
  </r>
  <r>
    <x v="1"/>
    <x v="108"/>
    <x v="2"/>
    <x v="0"/>
    <x v="3"/>
    <n v="99"/>
    <n v="1.55E-2"/>
  </r>
  <r>
    <x v="1"/>
    <x v="108"/>
    <x v="2"/>
    <x v="0"/>
    <x v="4"/>
    <n v="94"/>
    <n v="2.4299999999999999E-2"/>
  </r>
  <r>
    <x v="1"/>
    <x v="108"/>
    <x v="2"/>
    <x v="0"/>
    <x v="5"/>
    <n v="79"/>
    <n v="1.0999999999999999E-2"/>
  </r>
  <r>
    <x v="1"/>
    <x v="108"/>
    <x v="2"/>
    <x v="0"/>
    <x v="6"/>
    <n v="80"/>
    <n v="1.2E-2"/>
  </r>
  <r>
    <x v="1"/>
    <x v="108"/>
    <x v="2"/>
    <x v="0"/>
    <x v="7"/>
    <n v="104"/>
    <n v="2.3599999999999999E-2"/>
  </r>
  <r>
    <x v="1"/>
    <x v="108"/>
    <x v="2"/>
    <x v="0"/>
    <x v="8"/>
    <n v="94"/>
    <n v="6.7000000000000002E-3"/>
  </r>
  <r>
    <x v="1"/>
    <x v="108"/>
    <x v="2"/>
    <x v="0"/>
    <x v="9"/>
    <n v="97"/>
    <n v="1.37E-2"/>
  </r>
  <r>
    <x v="1"/>
    <x v="108"/>
    <x v="2"/>
    <x v="0"/>
    <x v="10"/>
    <n v="80"/>
    <n v="1.26E-2"/>
  </r>
  <r>
    <x v="1"/>
    <x v="108"/>
    <x v="2"/>
    <x v="0"/>
    <x v="11"/>
    <n v="90"/>
    <n v="1.2699999999999999E-2"/>
  </r>
  <r>
    <x v="1"/>
    <x v="108"/>
    <x v="2"/>
    <x v="0"/>
    <x v="12"/>
    <n v="95"/>
    <n v="1.55E-2"/>
  </r>
  <r>
    <x v="1"/>
    <x v="108"/>
    <x v="2"/>
    <x v="0"/>
    <x v="13"/>
    <n v="87"/>
    <n v="1.18E-2"/>
  </r>
  <r>
    <x v="0"/>
    <x v="109"/>
    <x v="2"/>
    <x v="0"/>
    <x v="0"/>
    <n v="104"/>
    <n v="0.24129999999999999"/>
  </r>
  <r>
    <x v="0"/>
    <x v="109"/>
    <x v="2"/>
    <x v="0"/>
    <x v="1"/>
    <n v="103"/>
    <n v="4.07E-2"/>
  </r>
  <r>
    <x v="0"/>
    <x v="109"/>
    <x v="2"/>
    <x v="0"/>
    <x v="2"/>
    <n v="112"/>
    <n v="0.1022"/>
  </r>
  <r>
    <x v="0"/>
    <x v="109"/>
    <x v="2"/>
    <x v="0"/>
    <x v="3"/>
    <n v="104"/>
    <n v="7.1400000000000005E-2"/>
  </r>
  <r>
    <x v="0"/>
    <x v="109"/>
    <x v="2"/>
    <x v="0"/>
    <x v="4"/>
    <n v="105"/>
    <n v="0.15659999999999999"/>
  </r>
  <r>
    <x v="0"/>
    <x v="109"/>
    <x v="2"/>
    <x v="0"/>
    <x v="5"/>
    <n v="93"/>
    <n v="6.2100000000000002E-2"/>
  </r>
  <r>
    <x v="0"/>
    <x v="109"/>
    <x v="2"/>
    <x v="0"/>
    <x v="6"/>
    <n v="97"/>
    <n v="6.4899999999999999E-2"/>
  </r>
  <r>
    <x v="0"/>
    <x v="109"/>
    <x v="2"/>
    <x v="0"/>
    <x v="7"/>
    <n v="102"/>
    <n v="0.1356"/>
  </r>
  <r>
    <x v="0"/>
    <x v="109"/>
    <x v="2"/>
    <x v="0"/>
    <x v="8"/>
    <n v="99"/>
    <n v="3.2000000000000001E-2"/>
  </r>
  <r>
    <x v="0"/>
    <x v="109"/>
    <x v="2"/>
    <x v="0"/>
    <x v="9"/>
    <n v="102"/>
    <n v="5.8900000000000001E-2"/>
  </r>
  <r>
    <x v="0"/>
    <x v="109"/>
    <x v="2"/>
    <x v="0"/>
    <x v="10"/>
    <n v="98"/>
    <n v="6.2799999999999995E-2"/>
  </r>
  <r>
    <x v="0"/>
    <x v="109"/>
    <x v="2"/>
    <x v="0"/>
    <x v="11"/>
    <n v="102"/>
    <n v="7.8100000000000003E-2"/>
  </r>
  <r>
    <x v="0"/>
    <x v="109"/>
    <x v="2"/>
    <x v="0"/>
    <x v="12"/>
    <n v="108"/>
    <n v="7.9000000000000001E-2"/>
  </r>
  <r>
    <x v="0"/>
    <x v="109"/>
    <x v="2"/>
    <x v="0"/>
    <x v="13"/>
    <n v="100"/>
    <n v="5.96E-2"/>
  </r>
  <r>
    <x v="1"/>
    <x v="110"/>
    <x v="2"/>
    <x v="0"/>
    <x v="0"/>
    <n v="43"/>
    <n v="8.5000000000000006E-3"/>
  </r>
  <r>
    <x v="0"/>
    <x v="111"/>
    <x v="2"/>
    <x v="0"/>
    <x v="0"/>
    <n v="111"/>
    <n v="0.18779999999999999"/>
  </r>
  <r>
    <x v="0"/>
    <x v="111"/>
    <x v="2"/>
    <x v="0"/>
    <x v="1"/>
    <n v="89"/>
    <n v="1.6799999999999999E-2"/>
  </r>
  <r>
    <x v="0"/>
    <x v="111"/>
    <x v="2"/>
    <x v="0"/>
    <x v="2"/>
    <n v="111"/>
    <n v="7.3499999999999996E-2"/>
  </r>
  <r>
    <x v="0"/>
    <x v="111"/>
    <x v="2"/>
    <x v="0"/>
    <x v="3"/>
    <n v="111"/>
    <n v="5.7599999999999998E-2"/>
  </r>
  <r>
    <x v="0"/>
    <x v="111"/>
    <x v="2"/>
    <x v="0"/>
    <x v="4"/>
    <n v="116"/>
    <n v="0.1195"/>
  </r>
  <r>
    <x v="0"/>
    <x v="111"/>
    <x v="2"/>
    <x v="0"/>
    <x v="5"/>
    <n v="100"/>
    <n v="4.3499999999999997E-2"/>
  </r>
  <r>
    <x v="0"/>
    <x v="111"/>
    <x v="2"/>
    <x v="0"/>
    <x v="6"/>
    <n v="100"/>
    <n v="4.1799999999999997E-2"/>
  </r>
  <r>
    <x v="0"/>
    <x v="111"/>
    <x v="2"/>
    <x v="0"/>
    <x v="7"/>
    <n v="115"/>
    <n v="7.8700000000000006E-2"/>
  </r>
  <r>
    <x v="0"/>
    <x v="111"/>
    <x v="2"/>
    <x v="0"/>
    <x v="8"/>
    <n v="106"/>
    <n v="1.23E-2"/>
  </r>
  <r>
    <x v="0"/>
    <x v="111"/>
    <x v="2"/>
    <x v="0"/>
    <x v="9"/>
    <n v="112"/>
    <n v="4.6199999999999998E-2"/>
  </r>
  <r>
    <x v="0"/>
    <x v="111"/>
    <x v="2"/>
    <x v="0"/>
    <x v="10"/>
    <n v="110"/>
    <n v="4.5699999999999998E-2"/>
  </r>
  <r>
    <x v="0"/>
    <x v="111"/>
    <x v="2"/>
    <x v="0"/>
    <x v="11"/>
    <n v="115"/>
    <n v="5.6000000000000001E-2"/>
  </r>
  <r>
    <x v="0"/>
    <x v="111"/>
    <x v="2"/>
    <x v="0"/>
    <x v="12"/>
    <n v="118"/>
    <n v="6.1499999999999999E-2"/>
  </r>
  <r>
    <x v="0"/>
    <x v="111"/>
    <x v="2"/>
    <x v="0"/>
    <x v="13"/>
    <n v="95"/>
    <n v="2.9399999999999999E-2"/>
  </r>
  <r>
    <x v="0"/>
    <x v="112"/>
    <x v="2"/>
    <x v="0"/>
    <x v="0"/>
    <n v="85"/>
    <n v="0.24410000000000001"/>
  </r>
  <r>
    <x v="0"/>
    <x v="112"/>
    <x v="2"/>
    <x v="0"/>
    <x v="1"/>
    <n v="102"/>
    <n v="1.3299999999999999E-2"/>
  </r>
  <r>
    <x v="0"/>
    <x v="112"/>
    <x v="2"/>
    <x v="0"/>
    <x v="2"/>
    <n v="101"/>
    <n v="5.5899999999999998E-2"/>
  </r>
  <r>
    <x v="0"/>
    <x v="112"/>
    <x v="2"/>
    <x v="0"/>
    <x v="3"/>
    <n v="98"/>
    <n v="4.7500000000000001E-2"/>
  </r>
  <r>
    <x v="0"/>
    <x v="112"/>
    <x v="2"/>
    <x v="0"/>
    <x v="4"/>
    <n v="76"/>
    <n v="0.14580000000000001"/>
  </r>
  <r>
    <x v="0"/>
    <x v="112"/>
    <x v="2"/>
    <x v="0"/>
    <x v="5"/>
    <n v="84"/>
    <n v="5.45E-2"/>
  </r>
  <r>
    <x v="0"/>
    <x v="112"/>
    <x v="2"/>
    <x v="0"/>
    <x v="6"/>
    <n v="86"/>
    <n v="4.9700000000000001E-2"/>
  </r>
  <r>
    <x v="0"/>
    <x v="112"/>
    <x v="2"/>
    <x v="0"/>
    <x v="7"/>
    <n v="81"/>
    <n v="0.1137"/>
  </r>
  <r>
    <x v="0"/>
    <x v="112"/>
    <x v="2"/>
    <x v="0"/>
    <x v="8"/>
    <n v="93"/>
    <n v="1.0800000000000001E-2"/>
  </r>
  <r>
    <x v="0"/>
    <x v="112"/>
    <x v="2"/>
    <x v="0"/>
    <x v="9"/>
    <n v="99"/>
    <n v="3.7199999999999997E-2"/>
  </r>
  <r>
    <x v="0"/>
    <x v="112"/>
    <x v="2"/>
    <x v="0"/>
    <x v="10"/>
    <n v="79"/>
    <n v="5.1900000000000002E-2"/>
  </r>
  <r>
    <x v="0"/>
    <x v="112"/>
    <x v="2"/>
    <x v="0"/>
    <x v="11"/>
    <n v="76"/>
    <n v="5.9700000000000003E-2"/>
  </r>
  <r>
    <x v="0"/>
    <x v="112"/>
    <x v="2"/>
    <x v="0"/>
    <x v="12"/>
    <n v="77"/>
    <n v="5.8900000000000001E-2"/>
  </r>
  <r>
    <x v="0"/>
    <x v="112"/>
    <x v="2"/>
    <x v="0"/>
    <x v="13"/>
    <n v="99"/>
    <n v="3.04E-2"/>
  </r>
  <r>
    <x v="1"/>
    <x v="113"/>
    <x v="2"/>
    <x v="0"/>
    <x v="0"/>
    <n v="24"/>
    <n v="2.1899999999999999E-2"/>
  </r>
  <r>
    <x v="1"/>
    <x v="113"/>
    <x v="2"/>
    <x v="0"/>
    <x v="2"/>
    <n v="32"/>
    <n v="7.0000000000000001E-3"/>
  </r>
  <r>
    <x v="1"/>
    <x v="113"/>
    <x v="2"/>
    <x v="0"/>
    <x v="3"/>
    <n v="32"/>
    <n v="5.4000000000000003E-3"/>
  </r>
  <r>
    <x v="1"/>
    <x v="113"/>
    <x v="2"/>
    <x v="0"/>
    <x v="4"/>
    <n v="21"/>
    <n v="1.21E-2"/>
  </r>
  <r>
    <x v="1"/>
    <x v="113"/>
    <x v="2"/>
    <x v="0"/>
    <x v="5"/>
    <n v="20"/>
    <n v="5.0000000000000001E-3"/>
  </r>
  <r>
    <x v="1"/>
    <x v="113"/>
    <x v="2"/>
    <x v="0"/>
    <x v="6"/>
    <n v="29"/>
    <n v="4.4000000000000003E-3"/>
  </r>
  <r>
    <x v="1"/>
    <x v="113"/>
    <x v="2"/>
    <x v="0"/>
    <x v="7"/>
    <n v="27"/>
    <n v="8.3000000000000001E-3"/>
  </r>
  <r>
    <x v="1"/>
    <x v="113"/>
    <x v="2"/>
    <x v="0"/>
    <x v="9"/>
    <n v="31"/>
    <n v="4.3E-3"/>
  </r>
  <r>
    <x v="1"/>
    <x v="113"/>
    <x v="2"/>
    <x v="0"/>
    <x v="10"/>
    <n v="18"/>
    <n v="5.4999999999999997E-3"/>
  </r>
  <r>
    <x v="1"/>
    <x v="113"/>
    <x v="2"/>
    <x v="0"/>
    <x v="11"/>
    <n v="20"/>
    <n v="6.7000000000000002E-3"/>
  </r>
  <r>
    <x v="1"/>
    <x v="113"/>
    <x v="2"/>
    <x v="0"/>
    <x v="12"/>
    <n v="22"/>
    <n v="6.4000000000000003E-3"/>
  </r>
  <r>
    <x v="0"/>
    <x v="114"/>
    <x v="2"/>
    <x v="0"/>
    <x v="0"/>
    <n v="90"/>
    <n v="0.38129999999999997"/>
  </r>
  <r>
    <x v="0"/>
    <x v="114"/>
    <x v="2"/>
    <x v="0"/>
    <x v="1"/>
    <n v="84"/>
    <n v="3.9899999999999998E-2"/>
  </r>
  <r>
    <x v="0"/>
    <x v="114"/>
    <x v="2"/>
    <x v="0"/>
    <x v="2"/>
    <n v="100"/>
    <n v="0.1333"/>
  </r>
  <r>
    <x v="0"/>
    <x v="114"/>
    <x v="2"/>
    <x v="0"/>
    <x v="3"/>
    <n v="88"/>
    <n v="0.11269999999999999"/>
  </r>
  <r>
    <x v="0"/>
    <x v="114"/>
    <x v="2"/>
    <x v="0"/>
    <x v="4"/>
    <n v="85"/>
    <n v="0.2601"/>
  </r>
  <r>
    <x v="0"/>
    <x v="114"/>
    <x v="2"/>
    <x v="0"/>
    <x v="5"/>
    <n v="89"/>
    <n v="0.1195"/>
  </r>
  <r>
    <x v="0"/>
    <x v="114"/>
    <x v="2"/>
    <x v="0"/>
    <x v="6"/>
    <n v="89"/>
    <n v="0.1108"/>
  </r>
  <r>
    <x v="0"/>
    <x v="114"/>
    <x v="2"/>
    <x v="0"/>
    <x v="7"/>
    <n v="90"/>
    <n v="0.18029999999999999"/>
  </r>
  <r>
    <x v="0"/>
    <x v="114"/>
    <x v="2"/>
    <x v="0"/>
    <x v="8"/>
    <n v="81"/>
    <n v="3.9100000000000003E-2"/>
  </r>
  <r>
    <x v="0"/>
    <x v="114"/>
    <x v="2"/>
    <x v="0"/>
    <x v="9"/>
    <n v="90"/>
    <n v="8.9599999999999999E-2"/>
  </r>
  <r>
    <x v="0"/>
    <x v="114"/>
    <x v="2"/>
    <x v="0"/>
    <x v="10"/>
    <n v="90"/>
    <n v="0.1193"/>
  </r>
  <r>
    <x v="0"/>
    <x v="114"/>
    <x v="2"/>
    <x v="0"/>
    <x v="11"/>
    <n v="89"/>
    <n v="0.13250000000000001"/>
  </r>
  <r>
    <x v="0"/>
    <x v="114"/>
    <x v="2"/>
    <x v="0"/>
    <x v="12"/>
    <n v="82"/>
    <n v="0.12520000000000001"/>
  </r>
  <r>
    <x v="0"/>
    <x v="114"/>
    <x v="2"/>
    <x v="0"/>
    <x v="13"/>
    <n v="84"/>
    <n v="6.9199999999999998E-2"/>
  </r>
  <r>
    <x v="1"/>
    <x v="115"/>
    <x v="2"/>
    <x v="0"/>
    <x v="0"/>
    <n v="61"/>
    <n v="0.12139999999999999"/>
  </r>
  <r>
    <x v="1"/>
    <x v="115"/>
    <x v="2"/>
    <x v="0"/>
    <x v="1"/>
    <n v="61"/>
    <n v="1.26E-2"/>
  </r>
  <r>
    <x v="1"/>
    <x v="115"/>
    <x v="2"/>
    <x v="0"/>
    <x v="2"/>
    <n v="58"/>
    <n v="3.44E-2"/>
  </r>
  <r>
    <x v="1"/>
    <x v="115"/>
    <x v="2"/>
    <x v="0"/>
    <x v="3"/>
    <n v="65"/>
    <n v="2.3900000000000001E-2"/>
  </r>
  <r>
    <x v="1"/>
    <x v="115"/>
    <x v="2"/>
    <x v="0"/>
    <x v="4"/>
    <n v="61"/>
    <n v="8.0199999999999994E-2"/>
  </r>
  <r>
    <x v="1"/>
    <x v="115"/>
    <x v="2"/>
    <x v="0"/>
    <x v="5"/>
    <n v="64"/>
    <n v="3.4799999999999998E-2"/>
  </r>
  <r>
    <x v="1"/>
    <x v="115"/>
    <x v="2"/>
    <x v="0"/>
    <x v="6"/>
    <n v="70"/>
    <n v="3.2800000000000003E-2"/>
  </r>
  <r>
    <x v="1"/>
    <x v="115"/>
    <x v="2"/>
    <x v="0"/>
    <x v="7"/>
    <n v="57"/>
    <n v="5.3100000000000001E-2"/>
  </r>
  <r>
    <x v="1"/>
    <x v="115"/>
    <x v="2"/>
    <x v="0"/>
    <x v="8"/>
    <n v="72"/>
    <n v="1.26E-2"/>
  </r>
  <r>
    <x v="1"/>
    <x v="115"/>
    <x v="2"/>
    <x v="0"/>
    <x v="9"/>
    <n v="58"/>
    <n v="1.77E-2"/>
  </r>
  <r>
    <x v="1"/>
    <x v="115"/>
    <x v="2"/>
    <x v="0"/>
    <x v="10"/>
    <n v="60"/>
    <n v="3.2599999999999997E-2"/>
  </r>
  <r>
    <x v="1"/>
    <x v="115"/>
    <x v="2"/>
    <x v="0"/>
    <x v="11"/>
    <n v="57"/>
    <n v="3.6400000000000002E-2"/>
  </r>
  <r>
    <x v="1"/>
    <x v="115"/>
    <x v="2"/>
    <x v="0"/>
    <x v="12"/>
    <n v="59"/>
    <n v="4.0500000000000001E-2"/>
  </r>
  <r>
    <x v="1"/>
    <x v="115"/>
    <x v="2"/>
    <x v="0"/>
    <x v="13"/>
    <n v="62"/>
    <n v="2.2499999999999999E-2"/>
  </r>
  <r>
    <x v="1"/>
    <x v="116"/>
    <x v="2"/>
    <x v="0"/>
    <x v="0"/>
    <n v="34"/>
    <n v="0.15720000000000001"/>
  </r>
  <r>
    <x v="1"/>
    <x v="116"/>
    <x v="2"/>
    <x v="0"/>
    <x v="1"/>
    <n v="41"/>
    <n v="7.4000000000000003E-3"/>
  </r>
  <r>
    <x v="1"/>
    <x v="116"/>
    <x v="2"/>
    <x v="0"/>
    <x v="2"/>
    <n v="36"/>
    <n v="3.8399999999999997E-2"/>
  </r>
  <r>
    <x v="1"/>
    <x v="116"/>
    <x v="2"/>
    <x v="0"/>
    <x v="3"/>
    <n v="44"/>
    <n v="2.6800000000000001E-2"/>
  </r>
  <r>
    <x v="1"/>
    <x v="116"/>
    <x v="2"/>
    <x v="0"/>
    <x v="4"/>
    <n v="32"/>
    <n v="9.0200000000000002E-2"/>
  </r>
  <r>
    <x v="1"/>
    <x v="116"/>
    <x v="2"/>
    <x v="0"/>
    <x v="5"/>
    <n v="40"/>
    <n v="2.35E-2"/>
  </r>
  <r>
    <x v="1"/>
    <x v="116"/>
    <x v="2"/>
    <x v="0"/>
    <x v="6"/>
    <n v="39"/>
    <n v="2.18E-2"/>
  </r>
  <r>
    <x v="1"/>
    <x v="116"/>
    <x v="2"/>
    <x v="0"/>
    <x v="7"/>
    <n v="30"/>
    <n v="7.0099999999999996E-2"/>
  </r>
  <r>
    <x v="1"/>
    <x v="116"/>
    <x v="2"/>
    <x v="0"/>
    <x v="8"/>
    <n v="34"/>
    <n v="6.0000000000000001E-3"/>
  </r>
  <r>
    <x v="1"/>
    <x v="116"/>
    <x v="2"/>
    <x v="0"/>
    <x v="9"/>
    <n v="41"/>
    <n v="2.18E-2"/>
  </r>
  <r>
    <x v="1"/>
    <x v="116"/>
    <x v="2"/>
    <x v="0"/>
    <x v="10"/>
    <n v="35"/>
    <n v="1.9699999999999999E-2"/>
  </r>
  <r>
    <x v="1"/>
    <x v="116"/>
    <x v="2"/>
    <x v="0"/>
    <x v="11"/>
    <n v="32"/>
    <n v="2.98E-2"/>
  </r>
  <r>
    <x v="1"/>
    <x v="116"/>
    <x v="2"/>
    <x v="0"/>
    <x v="12"/>
    <n v="31"/>
    <n v="3.6999999999999998E-2"/>
  </r>
  <r>
    <x v="1"/>
    <x v="116"/>
    <x v="2"/>
    <x v="0"/>
    <x v="13"/>
    <n v="38"/>
    <n v="1.26E-2"/>
  </r>
  <r>
    <x v="1"/>
    <x v="117"/>
    <x v="2"/>
    <x v="1"/>
    <x v="0"/>
    <n v="28"/>
    <n v="0.1837"/>
  </r>
  <r>
    <x v="1"/>
    <x v="117"/>
    <x v="2"/>
    <x v="1"/>
    <x v="1"/>
    <n v="23"/>
    <n v="2.0199999999999999E-2"/>
  </r>
  <r>
    <x v="1"/>
    <x v="117"/>
    <x v="2"/>
    <x v="1"/>
    <x v="2"/>
    <n v="28"/>
    <n v="5.8599999999999999E-2"/>
  </r>
  <r>
    <x v="1"/>
    <x v="117"/>
    <x v="2"/>
    <x v="1"/>
    <x v="3"/>
    <n v="28"/>
    <n v="4.2500000000000003E-2"/>
  </r>
  <r>
    <x v="1"/>
    <x v="117"/>
    <x v="2"/>
    <x v="1"/>
    <x v="4"/>
    <n v="28"/>
    <n v="0.1018"/>
  </r>
  <r>
    <x v="1"/>
    <x v="117"/>
    <x v="2"/>
    <x v="1"/>
    <x v="5"/>
    <n v="26"/>
    <n v="3.04E-2"/>
  </r>
  <r>
    <x v="1"/>
    <x v="117"/>
    <x v="2"/>
    <x v="1"/>
    <x v="6"/>
    <n v="27"/>
    <n v="3.5799999999999998E-2"/>
  </r>
  <r>
    <x v="1"/>
    <x v="117"/>
    <x v="2"/>
    <x v="1"/>
    <x v="7"/>
    <n v="30"/>
    <n v="7.7899999999999997E-2"/>
  </r>
  <r>
    <x v="1"/>
    <x v="117"/>
    <x v="2"/>
    <x v="1"/>
    <x v="8"/>
    <n v="24"/>
    <n v="1.61E-2"/>
  </r>
  <r>
    <x v="1"/>
    <x v="117"/>
    <x v="2"/>
    <x v="1"/>
    <x v="9"/>
    <n v="30"/>
    <n v="3.3000000000000002E-2"/>
  </r>
  <r>
    <x v="1"/>
    <x v="117"/>
    <x v="2"/>
    <x v="1"/>
    <x v="10"/>
    <n v="25"/>
    <n v="3.3500000000000002E-2"/>
  </r>
  <r>
    <x v="1"/>
    <x v="117"/>
    <x v="2"/>
    <x v="1"/>
    <x v="11"/>
    <n v="31"/>
    <n v="4.0899999999999999E-2"/>
  </r>
  <r>
    <x v="1"/>
    <x v="117"/>
    <x v="2"/>
    <x v="1"/>
    <x v="12"/>
    <n v="30"/>
    <n v="4.1500000000000002E-2"/>
  </r>
  <r>
    <x v="1"/>
    <x v="117"/>
    <x v="2"/>
    <x v="1"/>
    <x v="13"/>
    <n v="24"/>
    <n v="3.2500000000000001E-2"/>
  </r>
  <r>
    <x v="1"/>
    <x v="118"/>
    <x v="2"/>
    <x v="0"/>
    <x v="0"/>
    <n v="99"/>
    <n v="8.5599999999999996E-2"/>
  </r>
  <r>
    <x v="1"/>
    <x v="118"/>
    <x v="2"/>
    <x v="0"/>
    <x v="1"/>
    <n v="80"/>
    <n v="7.9000000000000008E-3"/>
  </r>
  <r>
    <x v="1"/>
    <x v="118"/>
    <x v="2"/>
    <x v="0"/>
    <x v="2"/>
    <n v="94"/>
    <n v="3.2500000000000001E-2"/>
  </r>
  <r>
    <x v="1"/>
    <x v="118"/>
    <x v="2"/>
    <x v="0"/>
    <x v="3"/>
    <n v="91"/>
    <n v="2.52E-2"/>
  </r>
  <r>
    <x v="1"/>
    <x v="118"/>
    <x v="2"/>
    <x v="0"/>
    <x v="4"/>
    <n v="96"/>
    <n v="0.05"/>
  </r>
  <r>
    <x v="1"/>
    <x v="118"/>
    <x v="2"/>
    <x v="0"/>
    <x v="5"/>
    <n v="119"/>
    <n v="2.5100000000000001E-2"/>
  </r>
  <r>
    <x v="1"/>
    <x v="118"/>
    <x v="2"/>
    <x v="0"/>
    <x v="6"/>
    <n v="109"/>
    <n v="2.4400000000000002E-2"/>
  </r>
  <r>
    <x v="1"/>
    <x v="118"/>
    <x v="2"/>
    <x v="0"/>
    <x v="7"/>
    <n v="98"/>
    <n v="3.5000000000000003E-2"/>
  </r>
  <r>
    <x v="1"/>
    <x v="118"/>
    <x v="2"/>
    <x v="0"/>
    <x v="8"/>
    <n v="78"/>
    <n v="7.7999999999999996E-3"/>
  </r>
  <r>
    <x v="1"/>
    <x v="118"/>
    <x v="2"/>
    <x v="0"/>
    <x v="9"/>
    <n v="91"/>
    <n v="2.1299999999999999E-2"/>
  </r>
  <r>
    <x v="1"/>
    <x v="118"/>
    <x v="2"/>
    <x v="0"/>
    <x v="10"/>
    <n v="117"/>
    <n v="2.6599999999999999E-2"/>
  </r>
  <r>
    <x v="1"/>
    <x v="118"/>
    <x v="2"/>
    <x v="0"/>
    <x v="11"/>
    <n v="95"/>
    <n v="2.53E-2"/>
  </r>
  <r>
    <x v="1"/>
    <x v="118"/>
    <x v="2"/>
    <x v="0"/>
    <x v="12"/>
    <n v="93"/>
    <n v="2.5899999999999999E-2"/>
  </r>
  <r>
    <x v="1"/>
    <x v="118"/>
    <x v="2"/>
    <x v="0"/>
    <x v="13"/>
    <n v="86"/>
    <n v="1.3299999999999999E-2"/>
  </r>
  <r>
    <x v="0"/>
    <x v="119"/>
    <x v="2"/>
    <x v="0"/>
    <x v="0"/>
    <n v="111"/>
    <n v="0.46489999999999998"/>
  </r>
  <r>
    <x v="0"/>
    <x v="119"/>
    <x v="2"/>
    <x v="0"/>
    <x v="1"/>
    <n v="114"/>
    <n v="0.1023"/>
  </r>
  <r>
    <x v="0"/>
    <x v="119"/>
    <x v="2"/>
    <x v="0"/>
    <x v="2"/>
    <n v="119"/>
    <n v="0.24729999999999999"/>
  </r>
  <r>
    <x v="0"/>
    <x v="119"/>
    <x v="2"/>
    <x v="0"/>
    <x v="3"/>
    <n v="113"/>
    <n v="0.22539999999999999"/>
  </r>
  <r>
    <x v="0"/>
    <x v="119"/>
    <x v="2"/>
    <x v="0"/>
    <x v="4"/>
    <n v="104"/>
    <n v="0.35749999999999998"/>
  </r>
  <r>
    <x v="0"/>
    <x v="119"/>
    <x v="2"/>
    <x v="0"/>
    <x v="5"/>
    <n v="104"/>
    <n v="0.17069999999999999"/>
  </r>
  <r>
    <x v="0"/>
    <x v="119"/>
    <x v="2"/>
    <x v="0"/>
    <x v="6"/>
    <n v="104"/>
    <n v="0.161"/>
  </r>
  <r>
    <x v="0"/>
    <x v="119"/>
    <x v="2"/>
    <x v="0"/>
    <x v="7"/>
    <n v="115"/>
    <n v="0.31319999999999998"/>
  </r>
  <r>
    <x v="0"/>
    <x v="119"/>
    <x v="2"/>
    <x v="0"/>
    <x v="8"/>
    <n v="108"/>
    <n v="8.1100000000000005E-2"/>
  </r>
  <r>
    <x v="0"/>
    <x v="119"/>
    <x v="2"/>
    <x v="0"/>
    <x v="9"/>
    <n v="114"/>
    <n v="0.19850000000000001"/>
  </r>
  <r>
    <x v="0"/>
    <x v="119"/>
    <x v="2"/>
    <x v="0"/>
    <x v="10"/>
    <n v="101"/>
    <n v="0.2026"/>
  </r>
  <r>
    <x v="0"/>
    <x v="119"/>
    <x v="2"/>
    <x v="0"/>
    <x v="11"/>
    <n v="101"/>
    <n v="0.22600000000000001"/>
  </r>
  <r>
    <x v="0"/>
    <x v="119"/>
    <x v="2"/>
    <x v="0"/>
    <x v="12"/>
    <n v="101"/>
    <n v="0.2392"/>
  </r>
  <r>
    <x v="0"/>
    <x v="119"/>
    <x v="2"/>
    <x v="0"/>
    <x v="13"/>
    <n v="111"/>
    <n v="0.1414"/>
  </r>
  <r>
    <x v="0"/>
    <x v="120"/>
    <x v="2"/>
    <x v="0"/>
    <x v="0"/>
    <n v="69"/>
    <n v="0.2104"/>
  </r>
  <r>
    <x v="0"/>
    <x v="120"/>
    <x v="2"/>
    <x v="0"/>
    <x v="1"/>
    <n v="46"/>
    <n v="1.12E-2"/>
  </r>
  <r>
    <x v="0"/>
    <x v="120"/>
    <x v="2"/>
    <x v="0"/>
    <x v="2"/>
    <n v="59"/>
    <n v="4.4400000000000002E-2"/>
  </r>
  <r>
    <x v="0"/>
    <x v="120"/>
    <x v="2"/>
    <x v="0"/>
    <x v="3"/>
    <n v="68"/>
    <n v="3.1E-2"/>
  </r>
  <r>
    <x v="0"/>
    <x v="120"/>
    <x v="2"/>
    <x v="0"/>
    <x v="4"/>
    <n v="75"/>
    <n v="0.15659999999999999"/>
  </r>
  <r>
    <x v="0"/>
    <x v="120"/>
    <x v="2"/>
    <x v="0"/>
    <x v="5"/>
    <n v="75"/>
    <n v="5.3499999999999999E-2"/>
  </r>
  <r>
    <x v="0"/>
    <x v="120"/>
    <x v="2"/>
    <x v="0"/>
    <x v="6"/>
    <n v="61"/>
    <n v="4.2099999999999999E-2"/>
  </r>
  <r>
    <x v="0"/>
    <x v="120"/>
    <x v="2"/>
    <x v="0"/>
    <x v="7"/>
    <n v="66"/>
    <n v="7.5999999999999998E-2"/>
  </r>
  <r>
    <x v="0"/>
    <x v="120"/>
    <x v="2"/>
    <x v="0"/>
    <x v="8"/>
    <n v="54"/>
    <n v="1.03E-2"/>
  </r>
  <r>
    <x v="0"/>
    <x v="120"/>
    <x v="2"/>
    <x v="0"/>
    <x v="9"/>
    <n v="71"/>
    <n v="2.0899999999999998E-2"/>
  </r>
  <r>
    <x v="0"/>
    <x v="120"/>
    <x v="2"/>
    <x v="0"/>
    <x v="10"/>
    <n v="78"/>
    <n v="6.3200000000000006E-2"/>
  </r>
  <r>
    <x v="0"/>
    <x v="120"/>
    <x v="2"/>
    <x v="0"/>
    <x v="11"/>
    <n v="80"/>
    <n v="7.7100000000000002E-2"/>
  </r>
  <r>
    <x v="0"/>
    <x v="120"/>
    <x v="2"/>
    <x v="0"/>
    <x v="12"/>
    <n v="75"/>
    <n v="7.7799999999999994E-2"/>
  </r>
  <r>
    <x v="0"/>
    <x v="120"/>
    <x v="2"/>
    <x v="0"/>
    <x v="13"/>
    <n v="54"/>
    <n v="2.0199999999999999E-2"/>
  </r>
  <r>
    <x v="1"/>
    <x v="121"/>
    <x v="2"/>
    <x v="0"/>
    <x v="0"/>
    <n v="86"/>
    <n v="6.5199999999999994E-2"/>
  </r>
  <r>
    <x v="1"/>
    <x v="121"/>
    <x v="2"/>
    <x v="0"/>
    <x v="2"/>
    <n v="81"/>
    <n v="1.8100000000000002E-2"/>
  </r>
  <r>
    <x v="1"/>
    <x v="121"/>
    <x v="2"/>
    <x v="0"/>
    <x v="3"/>
    <n v="68"/>
    <n v="1.2999999999999999E-2"/>
  </r>
  <r>
    <x v="1"/>
    <x v="121"/>
    <x v="2"/>
    <x v="0"/>
    <x v="4"/>
    <n v="86"/>
    <n v="3.95E-2"/>
  </r>
  <r>
    <x v="1"/>
    <x v="121"/>
    <x v="2"/>
    <x v="0"/>
    <x v="5"/>
    <n v="97"/>
    <n v="1.24E-2"/>
  </r>
  <r>
    <x v="1"/>
    <x v="121"/>
    <x v="2"/>
    <x v="0"/>
    <x v="6"/>
    <n v="91"/>
    <n v="1.35E-2"/>
  </r>
  <r>
    <x v="1"/>
    <x v="121"/>
    <x v="2"/>
    <x v="0"/>
    <x v="7"/>
    <n v="93"/>
    <n v="2.3099999999999999E-2"/>
  </r>
  <r>
    <x v="1"/>
    <x v="121"/>
    <x v="2"/>
    <x v="0"/>
    <x v="8"/>
    <n v="101"/>
    <n v="4.4999999999999997E-3"/>
  </r>
  <r>
    <x v="1"/>
    <x v="121"/>
    <x v="2"/>
    <x v="0"/>
    <x v="9"/>
    <n v="72"/>
    <n v="1.0200000000000001E-2"/>
  </r>
  <r>
    <x v="1"/>
    <x v="121"/>
    <x v="2"/>
    <x v="0"/>
    <x v="10"/>
    <n v="92"/>
    <n v="1.4200000000000001E-2"/>
  </r>
  <r>
    <x v="1"/>
    <x v="121"/>
    <x v="2"/>
    <x v="0"/>
    <x v="11"/>
    <n v="86"/>
    <n v="1.55E-2"/>
  </r>
  <r>
    <x v="1"/>
    <x v="121"/>
    <x v="2"/>
    <x v="0"/>
    <x v="12"/>
    <n v="91"/>
    <n v="1.5699999999999999E-2"/>
  </r>
  <r>
    <x v="1"/>
    <x v="121"/>
    <x v="2"/>
    <x v="0"/>
    <x v="13"/>
    <n v="102"/>
    <n v="7.1999999999999998E-3"/>
  </r>
  <r>
    <x v="1"/>
    <x v="128"/>
    <x v="2"/>
    <x v="0"/>
    <x v="0"/>
    <n v="51"/>
    <n v="4.1000000000000003E-3"/>
  </r>
  <r>
    <x v="0"/>
    <x v="122"/>
    <x v="2"/>
    <x v="0"/>
    <x v="0"/>
    <n v="123"/>
    <n v="0.1106"/>
  </r>
  <r>
    <x v="0"/>
    <x v="122"/>
    <x v="2"/>
    <x v="0"/>
    <x v="1"/>
    <n v="83"/>
    <n v="8.2000000000000007E-3"/>
  </r>
  <r>
    <x v="0"/>
    <x v="122"/>
    <x v="2"/>
    <x v="0"/>
    <x v="2"/>
    <n v="130"/>
    <n v="4.6699999999999998E-2"/>
  </r>
  <r>
    <x v="0"/>
    <x v="122"/>
    <x v="2"/>
    <x v="0"/>
    <x v="3"/>
    <n v="141"/>
    <n v="4.0899999999999999E-2"/>
  </r>
  <r>
    <x v="0"/>
    <x v="122"/>
    <x v="2"/>
    <x v="0"/>
    <x v="4"/>
    <n v="118"/>
    <n v="7.6700000000000004E-2"/>
  </r>
  <r>
    <x v="0"/>
    <x v="122"/>
    <x v="2"/>
    <x v="0"/>
    <x v="5"/>
    <n v="112"/>
    <n v="3.6999999999999998E-2"/>
  </r>
  <r>
    <x v="0"/>
    <x v="122"/>
    <x v="2"/>
    <x v="0"/>
    <x v="6"/>
    <n v="100"/>
    <n v="3.5200000000000002E-2"/>
  </r>
  <r>
    <x v="0"/>
    <x v="122"/>
    <x v="2"/>
    <x v="0"/>
    <x v="7"/>
    <n v="128"/>
    <n v="5.1900000000000002E-2"/>
  </r>
  <r>
    <x v="0"/>
    <x v="122"/>
    <x v="2"/>
    <x v="0"/>
    <x v="8"/>
    <n v="80"/>
    <n v="1.0699999999999999E-2"/>
  </r>
  <r>
    <x v="0"/>
    <x v="122"/>
    <x v="2"/>
    <x v="0"/>
    <x v="9"/>
    <n v="142"/>
    <n v="3.5499999999999997E-2"/>
  </r>
  <r>
    <x v="0"/>
    <x v="122"/>
    <x v="2"/>
    <x v="0"/>
    <x v="10"/>
    <n v="113"/>
    <n v="4.0899999999999999E-2"/>
  </r>
  <r>
    <x v="0"/>
    <x v="122"/>
    <x v="2"/>
    <x v="0"/>
    <x v="11"/>
    <n v="118"/>
    <n v="4.53E-2"/>
  </r>
  <r>
    <x v="0"/>
    <x v="122"/>
    <x v="2"/>
    <x v="0"/>
    <x v="12"/>
    <n v="114"/>
    <n v="4.6100000000000002E-2"/>
  </r>
  <r>
    <x v="0"/>
    <x v="122"/>
    <x v="2"/>
    <x v="0"/>
    <x v="13"/>
    <n v="74"/>
    <n v="1.3299999999999999E-2"/>
  </r>
  <r>
    <x v="0"/>
    <x v="0"/>
    <x v="3"/>
    <x v="0"/>
    <x v="0"/>
    <n v="96"/>
    <n v="0.2883"/>
  </r>
  <r>
    <x v="0"/>
    <x v="0"/>
    <x v="3"/>
    <x v="0"/>
    <x v="1"/>
    <n v="103"/>
    <n v="4.4400000000000002E-2"/>
  </r>
  <r>
    <x v="0"/>
    <x v="0"/>
    <x v="3"/>
    <x v="0"/>
    <x v="2"/>
    <n v="98"/>
    <n v="0.1234"/>
  </r>
  <r>
    <x v="0"/>
    <x v="0"/>
    <x v="3"/>
    <x v="0"/>
    <x v="3"/>
    <n v="94"/>
    <n v="0.1106"/>
  </r>
  <r>
    <x v="0"/>
    <x v="0"/>
    <x v="3"/>
    <x v="0"/>
    <x v="4"/>
    <n v="95"/>
    <n v="0.19420000000000001"/>
  </r>
  <r>
    <x v="0"/>
    <x v="0"/>
    <x v="3"/>
    <x v="0"/>
    <x v="5"/>
    <n v="94"/>
    <n v="6.25E-2"/>
  </r>
  <r>
    <x v="0"/>
    <x v="0"/>
    <x v="3"/>
    <x v="0"/>
    <x v="6"/>
    <n v="96"/>
    <n v="5.91E-2"/>
  </r>
  <r>
    <x v="0"/>
    <x v="0"/>
    <x v="3"/>
    <x v="0"/>
    <x v="7"/>
    <n v="100"/>
    <n v="0.15010000000000001"/>
  </r>
  <r>
    <x v="0"/>
    <x v="0"/>
    <x v="3"/>
    <x v="0"/>
    <x v="8"/>
    <n v="97"/>
    <n v="2.3E-2"/>
  </r>
  <r>
    <x v="0"/>
    <x v="0"/>
    <x v="3"/>
    <x v="0"/>
    <x v="9"/>
    <n v="94"/>
    <n v="8.7300000000000003E-2"/>
  </r>
  <r>
    <x v="0"/>
    <x v="0"/>
    <x v="3"/>
    <x v="0"/>
    <x v="10"/>
    <n v="92"/>
    <n v="7.1199999999999999E-2"/>
  </r>
  <r>
    <x v="0"/>
    <x v="0"/>
    <x v="3"/>
    <x v="0"/>
    <x v="11"/>
    <n v="94"/>
    <n v="9.2499999999999999E-2"/>
  </r>
  <r>
    <x v="0"/>
    <x v="0"/>
    <x v="3"/>
    <x v="0"/>
    <x v="12"/>
    <n v="96"/>
    <n v="0.1077"/>
  </r>
  <r>
    <x v="0"/>
    <x v="0"/>
    <x v="3"/>
    <x v="0"/>
    <x v="13"/>
    <n v="101"/>
    <n v="6.8900000000000003E-2"/>
  </r>
  <r>
    <x v="1"/>
    <x v="1"/>
    <x v="3"/>
    <x v="1"/>
    <x v="0"/>
    <n v="115"/>
    <n v="0.8669"/>
  </r>
  <r>
    <x v="1"/>
    <x v="1"/>
    <x v="3"/>
    <x v="1"/>
    <x v="1"/>
    <n v="110"/>
    <n v="0.34039999999999998"/>
  </r>
  <r>
    <x v="1"/>
    <x v="1"/>
    <x v="3"/>
    <x v="1"/>
    <x v="2"/>
    <n v="116"/>
    <n v="0.51160000000000005"/>
  </r>
  <r>
    <x v="1"/>
    <x v="1"/>
    <x v="3"/>
    <x v="1"/>
    <x v="3"/>
    <n v="120"/>
    <n v="0.57120000000000004"/>
  </r>
  <r>
    <x v="1"/>
    <x v="1"/>
    <x v="3"/>
    <x v="1"/>
    <x v="4"/>
    <n v="118"/>
    <n v="0.74029999999999996"/>
  </r>
  <r>
    <x v="1"/>
    <x v="1"/>
    <x v="3"/>
    <x v="1"/>
    <x v="5"/>
    <n v="115"/>
    <n v="0.32850000000000001"/>
  </r>
  <r>
    <x v="1"/>
    <x v="1"/>
    <x v="3"/>
    <x v="1"/>
    <x v="6"/>
    <n v="108"/>
    <n v="0.35260000000000002"/>
  </r>
  <r>
    <x v="1"/>
    <x v="1"/>
    <x v="3"/>
    <x v="1"/>
    <x v="7"/>
    <n v="105"/>
    <n v="0.65159999999999996"/>
  </r>
  <r>
    <x v="1"/>
    <x v="1"/>
    <x v="3"/>
    <x v="1"/>
    <x v="8"/>
    <n v="105"/>
    <n v="0.24990000000000001"/>
  </r>
  <r>
    <x v="1"/>
    <x v="1"/>
    <x v="3"/>
    <x v="1"/>
    <x v="9"/>
    <n v="119"/>
    <n v="0.48409999999999997"/>
  </r>
  <r>
    <x v="1"/>
    <x v="1"/>
    <x v="3"/>
    <x v="1"/>
    <x v="10"/>
    <n v="116"/>
    <n v="0.42259999999999998"/>
  </r>
  <r>
    <x v="1"/>
    <x v="1"/>
    <x v="3"/>
    <x v="1"/>
    <x v="11"/>
    <n v="116"/>
    <n v="0.4582"/>
  </r>
  <r>
    <x v="1"/>
    <x v="1"/>
    <x v="3"/>
    <x v="1"/>
    <x v="12"/>
    <n v="115"/>
    <n v="0.51"/>
  </r>
  <r>
    <x v="1"/>
    <x v="1"/>
    <x v="3"/>
    <x v="1"/>
    <x v="13"/>
    <n v="109"/>
    <n v="0.43709999999999999"/>
  </r>
  <r>
    <x v="0"/>
    <x v="2"/>
    <x v="3"/>
    <x v="0"/>
    <x v="0"/>
    <n v="132"/>
    <n v="3.78E-2"/>
  </r>
  <r>
    <x v="0"/>
    <x v="2"/>
    <x v="3"/>
    <x v="0"/>
    <x v="1"/>
    <n v="122"/>
    <n v="1.1999999999999999E-3"/>
  </r>
  <r>
    <x v="0"/>
    <x v="2"/>
    <x v="3"/>
    <x v="0"/>
    <x v="2"/>
    <n v="110"/>
    <n v="6.7000000000000002E-3"/>
  </r>
  <r>
    <x v="0"/>
    <x v="2"/>
    <x v="3"/>
    <x v="0"/>
    <x v="3"/>
    <n v="106"/>
    <n v="7.0000000000000001E-3"/>
  </r>
  <r>
    <x v="0"/>
    <x v="2"/>
    <x v="3"/>
    <x v="0"/>
    <x v="4"/>
    <n v="139"/>
    <n v="2.47E-2"/>
  </r>
  <r>
    <x v="0"/>
    <x v="2"/>
    <x v="3"/>
    <x v="0"/>
    <x v="5"/>
    <n v="127"/>
    <n v="7.6E-3"/>
  </r>
  <r>
    <x v="0"/>
    <x v="2"/>
    <x v="3"/>
    <x v="0"/>
    <x v="6"/>
    <n v="114"/>
    <n v="5.8999999999999999E-3"/>
  </r>
  <r>
    <x v="0"/>
    <x v="2"/>
    <x v="3"/>
    <x v="0"/>
    <x v="7"/>
    <n v="130"/>
    <n v="1.41E-2"/>
  </r>
  <r>
    <x v="0"/>
    <x v="2"/>
    <x v="3"/>
    <x v="0"/>
    <x v="8"/>
    <n v="115"/>
    <n v="1.4E-3"/>
  </r>
  <r>
    <x v="0"/>
    <x v="2"/>
    <x v="3"/>
    <x v="0"/>
    <x v="9"/>
    <n v="107"/>
    <n v="4.4000000000000003E-3"/>
  </r>
  <r>
    <x v="0"/>
    <x v="2"/>
    <x v="3"/>
    <x v="0"/>
    <x v="10"/>
    <n v="128"/>
    <n v="8.0000000000000002E-3"/>
  </r>
  <r>
    <x v="0"/>
    <x v="2"/>
    <x v="3"/>
    <x v="0"/>
    <x v="11"/>
    <n v="131"/>
    <n v="9.9000000000000008E-3"/>
  </r>
  <r>
    <x v="0"/>
    <x v="2"/>
    <x v="3"/>
    <x v="0"/>
    <x v="12"/>
    <n v="140"/>
    <n v="1.12E-2"/>
  </r>
  <r>
    <x v="0"/>
    <x v="2"/>
    <x v="3"/>
    <x v="0"/>
    <x v="13"/>
    <n v="120"/>
    <n v="2.3E-3"/>
  </r>
  <r>
    <x v="0"/>
    <x v="3"/>
    <x v="3"/>
    <x v="0"/>
    <x v="0"/>
    <n v="121"/>
    <n v="8.8499999999999995E-2"/>
  </r>
  <r>
    <x v="0"/>
    <x v="3"/>
    <x v="3"/>
    <x v="0"/>
    <x v="1"/>
    <n v="126"/>
    <n v="9.1999999999999998E-3"/>
  </r>
  <r>
    <x v="0"/>
    <x v="3"/>
    <x v="3"/>
    <x v="0"/>
    <x v="2"/>
    <n v="114"/>
    <n v="2.75E-2"/>
  </r>
  <r>
    <x v="0"/>
    <x v="3"/>
    <x v="3"/>
    <x v="0"/>
    <x v="3"/>
    <n v="120"/>
    <n v="2.4899999999999999E-2"/>
  </r>
  <r>
    <x v="0"/>
    <x v="3"/>
    <x v="3"/>
    <x v="0"/>
    <x v="4"/>
    <n v="123"/>
    <n v="5.74E-2"/>
  </r>
  <r>
    <x v="0"/>
    <x v="3"/>
    <x v="3"/>
    <x v="0"/>
    <x v="5"/>
    <n v="119"/>
    <n v="3.3399999999999999E-2"/>
  </r>
  <r>
    <x v="0"/>
    <x v="3"/>
    <x v="3"/>
    <x v="0"/>
    <x v="6"/>
    <n v="119"/>
    <n v="3.2800000000000003E-2"/>
  </r>
  <r>
    <x v="0"/>
    <x v="3"/>
    <x v="3"/>
    <x v="0"/>
    <x v="7"/>
    <n v="125"/>
    <n v="3.56E-2"/>
  </r>
  <r>
    <x v="0"/>
    <x v="3"/>
    <x v="3"/>
    <x v="0"/>
    <x v="8"/>
    <n v="128"/>
    <n v="1.17E-2"/>
  </r>
  <r>
    <x v="0"/>
    <x v="3"/>
    <x v="3"/>
    <x v="0"/>
    <x v="9"/>
    <n v="120"/>
    <n v="1.9800000000000002E-2"/>
  </r>
  <r>
    <x v="0"/>
    <x v="3"/>
    <x v="3"/>
    <x v="0"/>
    <x v="10"/>
    <n v="120"/>
    <n v="2.9399999999999999E-2"/>
  </r>
  <r>
    <x v="0"/>
    <x v="3"/>
    <x v="3"/>
    <x v="0"/>
    <x v="11"/>
    <n v="124"/>
    <n v="2.81E-2"/>
  </r>
  <r>
    <x v="0"/>
    <x v="3"/>
    <x v="3"/>
    <x v="0"/>
    <x v="12"/>
    <n v="123"/>
    <n v="2.6700000000000002E-2"/>
  </r>
  <r>
    <x v="0"/>
    <x v="3"/>
    <x v="3"/>
    <x v="0"/>
    <x v="13"/>
    <n v="122"/>
    <n v="1.49E-2"/>
  </r>
  <r>
    <x v="0"/>
    <x v="4"/>
    <x v="3"/>
    <x v="0"/>
    <x v="0"/>
    <n v="89"/>
    <n v="0.4037"/>
  </r>
  <r>
    <x v="0"/>
    <x v="4"/>
    <x v="3"/>
    <x v="0"/>
    <x v="1"/>
    <n v="94"/>
    <n v="3.7100000000000001E-2"/>
  </r>
  <r>
    <x v="0"/>
    <x v="4"/>
    <x v="3"/>
    <x v="0"/>
    <x v="2"/>
    <n v="91"/>
    <n v="0.17369999999999999"/>
  </r>
  <r>
    <x v="0"/>
    <x v="4"/>
    <x v="3"/>
    <x v="0"/>
    <x v="3"/>
    <n v="91"/>
    <n v="0.18440000000000001"/>
  </r>
  <r>
    <x v="0"/>
    <x v="4"/>
    <x v="3"/>
    <x v="0"/>
    <x v="4"/>
    <n v="88"/>
    <n v="0.28360000000000002"/>
  </r>
  <r>
    <x v="0"/>
    <x v="4"/>
    <x v="3"/>
    <x v="0"/>
    <x v="5"/>
    <n v="88"/>
    <n v="9.0300000000000005E-2"/>
  </r>
  <r>
    <x v="0"/>
    <x v="4"/>
    <x v="3"/>
    <x v="0"/>
    <x v="6"/>
    <n v="90"/>
    <n v="9.1899999999999996E-2"/>
  </r>
  <r>
    <x v="0"/>
    <x v="4"/>
    <x v="3"/>
    <x v="0"/>
    <x v="7"/>
    <n v="89"/>
    <n v="0.22459999999999999"/>
  </r>
  <r>
    <x v="0"/>
    <x v="4"/>
    <x v="3"/>
    <x v="0"/>
    <x v="8"/>
    <n v="92"/>
    <n v="3.4700000000000002E-2"/>
  </r>
  <r>
    <x v="0"/>
    <x v="4"/>
    <x v="3"/>
    <x v="0"/>
    <x v="9"/>
    <n v="91"/>
    <n v="0.14530000000000001"/>
  </r>
  <r>
    <x v="0"/>
    <x v="4"/>
    <x v="3"/>
    <x v="0"/>
    <x v="10"/>
    <n v="89"/>
    <n v="0.10349999999999999"/>
  </r>
  <r>
    <x v="0"/>
    <x v="4"/>
    <x v="3"/>
    <x v="0"/>
    <x v="11"/>
    <n v="89"/>
    <n v="0.1338"/>
  </r>
  <r>
    <x v="0"/>
    <x v="4"/>
    <x v="3"/>
    <x v="0"/>
    <x v="12"/>
    <n v="90"/>
    <n v="0.1628"/>
  </r>
  <r>
    <x v="0"/>
    <x v="4"/>
    <x v="3"/>
    <x v="0"/>
    <x v="13"/>
    <n v="89"/>
    <n v="8.9099999999999999E-2"/>
  </r>
  <r>
    <x v="0"/>
    <x v="5"/>
    <x v="3"/>
    <x v="0"/>
    <x v="0"/>
    <n v="112"/>
    <n v="0.32540000000000002"/>
  </r>
  <r>
    <x v="0"/>
    <x v="5"/>
    <x v="3"/>
    <x v="0"/>
    <x v="1"/>
    <n v="105"/>
    <n v="4.5699999999999998E-2"/>
  </r>
  <r>
    <x v="0"/>
    <x v="5"/>
    <x v="3"/>
    <x v="0"/>
    <x v="2"/>
    <n v="115"/>
    <n v="0.10920000000000001"/>
  </r>
  <r>
    <x v="0"/>
    <x v="5"/>
    <x v="3"/>
    <x v="0"/>
    <x v="3"/>
    <n v="102"/>
    <n v="0.1009"/>
  </r>
  <r>
    <x v="0"/>
    <x v="5"/>
    <x v="3"/>
    <x v="0"/>
    <x v="4"/>
    <n v="112"/>
    <n v="0.1981"/>
  </r>
  <r>
    <x v="0"/>
    <x v="5"/>
    <x v="3"/>
    <x v="0"/>
    <x v="5"/>
    <n v="109"/>
    <n v="5.2299999999999999E-2"/>
  </r>
  <r>
    <x v="0"/>
    <x v="5"/>
    <x v="3"/>
    <x v="0"/>
    <x v="6"/>
    <n v="108"/>
    <n v="5.79E-2"/>
  </r>
  <r>
    <x v="0"/>
    <x v="5"/>
    <x v="3"/>
    <x v="0"/>
    <x v="7"/>
    <n v="117"/>
    <n v="0.186"/>
  </r>
  <r>
    <x v="0"/>
    <x v="5"/>
    <x v="3"/>
    <x v="0"/>
    <x v="8"/>
    <n v="106"/>
    <n v="3.1899999999999998E-2"/>
  </r>
  <r>
    <x v="0"/>
    <x v="5"/>
    <x v="3"/>
    <x v="0"/>
    <x v="9"/>
    <n v="104"/>
    <n v="7.6899999999999996E-2"/>
  </r>
  <r>
    <x v="0"/>
    <x v="5"/>
    <x v="3"/>
    <x v="0"/>
    <x v="10"/>
    <n v="110"/>
    <n v="5.8599999999999999E-2"/>
  </r>
  <r>
    <x v="0"/>
    <x v="5"/>
    <x v="3"/>
    <x v="0"/>
    <x v="11"/>
    <n v="110"/>
    <n v="8.0699999999999994E-2"/>
  </r>
  <r>
    <x v="0"/>
    <x v="5"/>
    <x v="3"/>
    <x v="0"/>
    <x v="12"/>
    <n v="112"/>
    <n v="9.9099999999999994E-2"/>
  </r>
  <r>
    <x v="0"/>
    <x v="5"/>
    <x v="3"/>
    <x v="0"/>
    <x v="13"/>
    <n v="106"/>
    <n v="7.5800000000000006E-2"/>
  </r>
  <r>
    <x v="0"/>
    <x v="6"/>
    <x v="3"/>
    <x v="0"/>
    <x v="0"/>
    <n v="76"/>
    <n v="4.2200000000000001E-2"/>
  </r>
  <r>
    <x v="0"/>
    <x v="6"/>
    <x v="3"/>
    <x v="0"/>
    <x v="1"/>
    <n v="114"/>
    <n v="2.0999999999999999E-3"/>
  </r>
  <r>
    <x v="0"/>
    <x v="6"/>
    <x v="3"/>
    <x v="0"/>
    <x v="2"/>
    <n v="53"/>
    <n v="8.2000000000000007E-3"/>
  </r>
  <r>
    <x v="0"/>
    <x v="6"/>
    <x v="3"/>
    <x v="0"/>
    <x v="3"/>
    <n v="54"/>
    <n v="6.1000000000000004E-3"/>
  </r>
  <r>
    <x v="0"/>
    <x v="6"/>
    <x v="3"/>
    <x v="0"/>
    <x v="4"/>
    <n v="82"/>
    <n v="2.3199999999999998E-2"/>
  </r>
  <r>
    <x v="0"/>
    <x v="6"/>
    <x v="3"/>
    <x v="0"/>
    <x v="5"/>
    <n v="83"/>
    <n v="1.12E-2"/>
  </r>
  <r>
    <x v="0"/>
    <x v="6"/>
    <x v="3"/>
    <x v="0"/>
    <x v="6"/>
    <n v="105"/>
    <n v="9.1999999999999998E-3"/>
  </r>
  <r>
    <x v="0"/>
    <x v="6"/>
    <x v="3"/>
    <x v="0"/>
    <x v="7"/>
    <n v="59"/>
    <n v="1.1599999999999999E-2"/>
  </r>
  <r>
    <x v="0"/>
    <x v="6"/>
    <x v="3"/>
    <x v="0"/>
    <x v="8"/>
    <n v="189"/>
    <n v="1.9E-3"/>
  </r>
  <r>
    <x v="0"/>
    <x v="6"/>
    <x v="3"/>
    <x v="0"/>
    <x v="9"/>
    <n v="50"/>
    <n v="4.0000000000000001E-3"/>
  </r>
  <r>
    <x v="0"/>
    <x v="6"/>
    <x v="3"/>
    <x v="0"/>
    <x v="10"/>
    <n v="88"/>
    <n v="8.5000000000000006E-3"/>
  </r>
  <r>
    <x v="0"/>
    <x v="6"/>
    <x v="3"/>
    <x v="0"/>
    <x v="11"/>
    <n v="81"/>
    <n v="7.7000000000000002E-3"/>
  </r>
  <r>
    <x v="0"/>
    <x v="6"/>
    <x v="3"/>
    <x v="0"/>
    <x v="12"/>
    <n v="71"/>
    <n v="7.3000000000000001E-3"/>
  </r>
  <r>
    <x v="0"/>
    <x v="6"/>
    <x v="3"/>
    <x v="0"/>
    <x v="13"/>
    <n v="125"/>
    <n v="3.8E-3"/>
  </r>
  <r>
    <x v="1"/>
    <x v="7"/>
    <x v="3"/>
    <x v="0"/>
    <x v="0"/>
    <n v="113"/>
    <n v="5.4800000000000001E-2"/>
  </r>
  <r>
    <x v="1"/>
    <x v="7"/>
    <x v="3"/>
    <x v="0"/>
    <x v="1"/>
    <n v="85"/>
    <n v="1.5E-3"/>
  </r>
  <r>
    <x v="1"/>
    <x v="7"/>
    <x v="3"/>
    <x v="0"/>
    <x v="2"/>
    <n v="109"/>
    <n v="1.4999999999999999E-2"/>
  </r>
  <r>
    <x v="1"/>
    <x v="7"/>
    <x v="3"/>
    <x v="0"/>
    <x v="3"/>
    <n v="114"/>
    <n v="1.23E-2"/>
  </r>
  <r>
    <x v="1"/>
    <x v="7"/>
    <x v="3"/>
    <x v="0"/>
    <x v="4"/>
    <n v="114"/>
    <n v="3.2199999999999999E-2"/>
  </r>
  <r>
    <x v="1"/>
    <x v="7"/>
    <x v="3"/>
    <x v="0"/>
    <x v="5"/>
    <n v="115"/>
    <n v="1.8599999999999998E-2"/>
  </r>
  <r>
    <x v="1"/>
    <x v="7"/>
    <x v="3"/>
    <x v="0"/>
    <x v="6"/>
    <n v="109"/>
    <n v="1.6E-2"/>
  </r>
  <r>
    <x v="1"/>
    <x v="7"/>
    <x v="3"/>
    <x v="0"/>
    <x v="7"/>
    <n v="116"/>
    <n v="1.9699999999999999E-2"/>
  </r>
  <r>
    <x v="1"/>
    <x v="7"/>
    <x v="3"/>
    <x v="0"/>
    <x v="8"/>
    <n v="126"/>
    <n v="2.2000000000000001E-3"/>
  </r>
  <r>
    <x v="1"/>
    <x v="7"/>
    <x v="3"/>
    <x v="0"/>
    <x v="9"/>
    <n v="111"/>
    <n v="9.2999999999999992E-3"/>
  </r>
  <r>
    <x v="1"/>
    <x v="7"/>
    <x v="3"/>
    <x v="0"/>
    <x v="10"/>
    <n v="118"/>
    <n v="1.5800000000000002E-2"/>
  </r>
  <r>
    <x v="1"/>
    <x v="7"/>
    <x v="3"/>
    <x v="0"/>
    <x v="11"/>
    <n v="108"/>
    <n v="1.5599999999999999E-2"/>
  </r>
  <r>
    <x v="1"/>
    <x v="7"/>
    <x v="3"/>
    <x v="0"/>
    <x v="12"/>
    <n v="116"/>
    <n v="1.2800000000000001E-2"/>
  </r>
  <r>
    <x v="1"/>
    <x v="7"/>
    <x v="3"/>
    <x v="0"/>
    <x v="13"/>
    <n v="99"/>
    <n v="2.5999999999999999E-3"/>
  </r>
  <r>
    <x v="1"/>
    <x v="123"/>
    <x v="3"/>
    <x v="0"/>
    <x v="0"/>
    <n v="44"/>
    <n v="0.1328"/>
  </r>
  <r>
    <x v="1"/>
    <x v="123"/>
    <x v="3"/>
    <x v="0"/>
    <x v="1"/>
    <n v="54"/>
    <n v="1.29E-2"/>
  </r>
  <r>
    <x v="1"/>
    <x v="123"/>
    <x v="3"/>
    <x v="0"/>
    <x v="2"/>
    <n v="46"/>
    <n v="4.2200000000000001E-2"/>
  </r>
  <r>
    <x v="1"/>
    <x v="123"/>
    <x v="3"/>
    <x v="0"/>
    <x v="3"/>
    <n v="46"/>
    <n v="3.1899999999999998E-2"/>
  </r>
  <r>
    <x v="1"/>
    <x v="123"/>
    <x v="3"/>
    <x v="0"/>
    <x v="4"/>
    <n v="41"/>
    <n v="6.7299999999999999E-2"/>
  </r>
  <r>
    <x v="1"/>
    <x v="123"/>
    <x v="3"/>
    <x v="0"/>
    <x v="5"/>
    <n v="53"/>
    <n v="1.0699999999999999E-2"/>
  </r>
  <r>
    <x v="1"/>
    <x v="123"/>
    <x v="3"/>
    <x v="0"/>
    <x v="6"/>
    <n v="70"/>
    <n v="1.41E-2"/>
  </r>
  <r>
    <x v="1"/>
    <x v="123"/>
    <x v="3"/>
    <x v="0"/>
    <x v="7"/>
    <n v="42"/>
    <n v="5.4899999999999997E-2"/>
  </r>
  <r>
    <x v="1"/>
    <x v="123"/>
    <x v="3"/>
    <x v="0"/>
    <x v="8"/>
    <n v="56"/>
    <n v="6.7000000000000002E-3"/>
  </r>
  <r>
    <x v="1"/>
    <x v="123"/>
    <x v="3"/>
    <x v="0"/>
    <x v="9"/>
    <n v="48"/>
    <n v="2.1000000000000001E-2"/>
  </r>
  <r>
    <x v="1"/>
    <x v="123"/>
    <x v="3"/>
    <x v="0"/>
    <x v="10"/>
    <n v="38"/>
    <n v="9.4999999999999998E-3"/>
  </r>
  <r>
    <x v="1"/>
    <x v="123"/>
    <x v="3"/>
    <x v="0"/>
    <x v="11"/>
    <n v="38"/>
    <n v="1.8700000000000001E-2"/>
  </r>
  <r>
    <x v="1"/>
    <x v="123"/>
    <x v="3"/>
    <x v="0"/>
    <x v="12"/>
    <n v="39"/>
    <n v="2.63E-2"/>
  </r>
  <r>
    <x v="1"/>
    <x v="123"/>
    <x v="3"/>
    <x v="0"/>
    <x v="13"/>
    <n v="53"/>
    <n v="2.1100000000000001E-2"/>
  </r>
  <r>
    <x v="0"/>
    <x v="8"/>
    <x v="3"/>
    <x v="0"/>
    <x v="0"/>
    <n v="96"/>
    <n v="0.21210000000000001"/>
  </r>
  <r>
    <x v="0"/>
    <x v="8"/>
    <x v="3"/>
    <x v="0"/>
    <x v="1"/>
    <n v="104"/>
    <n v="2.86E-2"/>
  </r>
  <r>
    <x v="0"/>
    <x v="8"/>
    <x v="3"/>
    <x v="0"/>
    <x v="2"/>
    <n v="99"/>
    <n v="8.3599999999999994E-2"/>
  </r>
  <r>
    <x v="0"/>
    <x v="8"/>
    <x v="3"/>
    <x v="0"/>
    <x v="3"/>
    <n v="99"/>
    <n v="8.1600000000000006E-2"/>
  </r>
  <r>
    <x v="0"/>
    <x v="8"/>
    <x v="3"/>
    <x v="0"/>
    <x v="4"/>
    <n v="96"/>
    <n v="0.14030000000000001"/>
  </r>
  <r>
    <x v="0"/>
    <x v="8"/>
    <x v="3"/>
    <x v="0"/>
    <x v="5"/>
    <n v="102"/>
    <n v="3.61E-2"/>
  </r>
  <r>
    <x v="0"/>
    <x v="8"/>
    <x v="3"/>
    <x v="0"/>
    <x v="6"/>
    <n v="109"/>
    <n v="3.9399999999999998E-2"/>
  </r>
  <r>
    <x v="0"/>
    <x v="8"/>
    <x v="3"/>
    <x v="0"/>
    <x v="7"/>
    <n v="85"/>
    <n v="9.0300000000000005E-2"/>
  </r>
  <r>
    <x v="0"/>
    <x v="8"/>
    <x v="3"/>
    <x v="0"/>
    <x v="8"/>
    <n v="111"/>
    <n v="2.1899999999999999E-2"/>
  </r>
  <r>
    <x v="0"/>
    <x v="8"/>
    <x v="3"/>
    <x v="0"/>
    <x v="9"/>
    <n v="100"/>
    <n v="6.3700000000000007E-2"/>
  </r>
  <r>
    <x v="0"/>
    <x v="8"/>
    <x v="3"/>
    <x v="0"/>
    <x v="10"/>
    <n v="98"/>
    <n v="4.4200000000000003E-2"/>
  </r>
  <r>
    <x v="0"/>
    <x v="8"/>
    <x v="3"/>
    <x v="0"/>
    <x v="11"/>
    <n v="97"/>
    <n v="6.0199999999999997E-2"/>
  </r>
  <r>
    <x v="0"/>
    <x v="8"/>
    <x v="3"/>
    <x v="0"/>
    <x v="12"/>
    <n v="96"/>
    <n v="7.4099999999999999E-2"/>
  </r>
  <r>
    <x v="0"/>
    <x v="8"/>
    <x v="3"/>
    <x v="0"/>
    <x v="13"/>
    <n v="100"/>
    <n v="4.6399999999999997E-2"/>
  </r>
  <r>
    <x v="1"/>
    <x v="9"/>
    <x v="3"/>
    <x v="0"/>
    <x v="0"/>
    <n v="64"/>
    <n v="2.3099999999999999E-2"/>
  </r>
  <r>
    <x v="1"/>
    <x v="9"/>
    <x v="3"/>
    <x v="0"/>
    <x v="1"/>
    <n v="83"/>
    <n v="6.9999999999999999E-4"/>
  </r>
  <r>
    <x v="1"/>
    <x v="9"/>
    <x v="3"/>
    <x v="0"/>
    <x v="2"/>
    <n v="63"/>
    <n v="6.0000000000000001E-3"/>
  </r>
  <r>
    <x v="1"/>
    <x v="9"/>
    <x v="3"/>
    <x v="0"/>
    <x v="3"/>
    <n v="58"/>
    <n v="4.5999999999999999E-3"/>
  </r>
  <r>
    <x v="1"/>
    <x v="9"/>
    <x v="3"/>
    <x v="0"/>
    <x v="4"/>
    <n v="61"/>
    <n v="1.3299999999999999E-2"/>
  </r>
  <r>
    <x v="1"/>
    <x v="9"/>
    <x v="3"/>
    <x v="0"/>
    <x v="5"/>
    <n v="61"/>
    <n v="5.0000000000000001E-3"/>
  </r>
  <r>
    <x v="1"/>
    <x v="9"/>
    <x v="3"/>
    <x v="0"/>
    <x v="6"/>
    <n v="66"/>
    <n v="4.4999999999999997E-3"/>
  </r>
  <r>
    <x v="1"/>
    <x v="9"/>
    <x v="3"/>
    <x v="0"/>
    <x v="7"/>
    <n v="68"/>
    <n v="7.7999999999999996E-3"/>
  </r>
  <r>
    <x v="1"/>
    <x v="9"/>
    <x v="3"/>
    <x v="0"/>
    <x v="9"/>
    <n v="54"/>
    <n v="3.3E-3"/>
  </r>
  <r>
    <x v="1"/>
    <x v="9"/>
    <x v="3"/>
    <x v="0"/>
    <x v="10"/>
    <n v="64"/>
    <n v="5.1999999999999998E-3"/>
  </r>
  <r>
    <x v="1"/>
    <x v="9"/>
    <x v="3"/>
    <x v="0"/>
    <x v="11"/>
    <n v="69"/>
    <n v="5.3E-3"/>
  </r>
  <r>
    <x v="1"/>
    <x v="9"/>
    <x v="3"/>
    <x v="0"/>
    <x v="12"/>
    <n v="48"/>
    <n v="3.8E-3"/>
  </r>
  <r>
    <x v="1"/>
    <x v="9"/>
    <x v="3"/>
    <x v="0"/>
    <x v="13"/>
    <n v="87"/>
    <n v="1.2999999999999999E-3"/>
  </r>
  <r>
    <x v="1"/>
    <x v="10"/>
    <x v="3"/>
    <x v="0"/>
    <x v="0"/>
    <n v="65"/>
    <n v="2.8000000000000001E-2"/>
  </r>
  <r>
    <x v="1"/>
    <x v="10"/>
    <x v="3"/>
    <x v="0"/>
    <x v="1"/>
    <n v="96"/>
    <n v="1.5E-3"/>
  </r>
  <r>
    <x v="1"/>
    <x v="10"/>
    <x v="3"/>
    <x v="0"/>
    <x v="2"/>
    <n v="58"/>
    <n v="6.0000000000000001E-3"/>
  </r>
  <r>
    <x v="1"/>
    <x v="10"/>
    <x v="3"/>
    <x v="0"/>
    <x v="3"/>
    <n v="51"/>
    <n v="4.4000000000000003E-3"/>
  </r>
  <r>
    <x v="1"/>
    <x v="10"/>
    <x v="3"/>
    <x v="0"/>
    <x v="4"/>
    <n v="63"/>
    <n v="1.5800000000000002E-2"/>
  </r>
  <r>
    <x v="1"/>
    <x v="10"/>
    <x v="3"/>
    <x v="0"/>
    <x v="5"/>
    <n v="61"/>
    <n v="7.7000000000000002E-3"/>
  </r>
  <r>
    <x v="1"/>
    <x v="10"/>
    <x v="3"/>
    <x v="0"/>
    <x v="6"/>
    <n v="67"/>
    <n v="7.7000000000000002E-3"/>
  </r>
  <r>
    <x v="1"/>
    <x v="10"/>
    <x v="3"/>
    <x v="0"/>
    <x v="7"/>
    <n v="77"/>
    <n v="8.8999999999999999E-3"/>
  </r>
  <r>
    <x v="1"/>
    <x v="10"/>
    <x v="3"/>
    <x v="0"/>
    <x v="8"/>
    <n v="79"/>
    <n v="2.2000000000000001E-3"/>
  </r>
  <r>
    <x v="1"/>
    <x v="10"/>
    <x v="3"/>
    <x v="0"/>
    <x v="9"/>
    <n v="55"/>
    <n v="3.3999999999999998E-3"/>
  </r>
  <r>
    <x v="1"/>
    <x v="10"/>
    <x v="3"/>
    <x v="0"/>
    <x v="10"/>
    <n v="65"/>
    <n v="6.7999999999999996E-3"/>
  </r>
  <r>
    <x v="1"/>
    <x v="10"/>
    <x v="3"/>
    <x v="0"/>
    <x v="11"/>
    <n v="67"/>
    <n v="6.4999999999999997E-3"/>
  </r>
  <r>
    <x v="1"/>
    <x v="10"/>
    <x v="3"/>
    <x v="0"/>
    <x v="12"/>
    <n v="64"/>
    <n v="6.1000000000000004E-3"/>
  </r>
  <r>
    <x v="1"/>
    <x v="10"/>
    <x v="3"/>
    <x v="0"/>
    <x v="13"/>
    <n v="80"/>
    <n v="3.0000000000000001E-3"/>
  </r>
  <r>
    <x v="0"/>
    <x v="11"/>
    <x v="3"/>
    <x v="0"/>
    <x v="0"/>
    <n v="130"/>
    <n v="1.7299999999999999E-2"/>
  </r>
  <r>
    <x v="0"/>
    <x v="11"/>
    <x v="3"/>
    <x v="0"/>
    <x v="2"/>
    <n v="81"/>
    <n v="2.0999999999999999E-3"/>
  </r>
  <r>
    <x v="0"/>
    <x v="11"/>
    <x v="3"/>
    <x v="0"/>
    <x v="3"/>
    <n v="99"/>
    <n v="3.0999999999999999E-3"/>
  </r>
  <r>
    <x v="0"/>
    <x v="11"/>
    <x v="3"/>
    <x v="0"/>
    <x v="4"/>
    <n v="140"/>
    <n v="1.34E-2"/>
  </r>
  <r>
    <x v="0"/>
    <x v="11"/>
    <x v="3"/>
    <x v="0"/>
    <x v="5"/>
    <n v="123"/>
    <n v="5.3E-3"/>
  </r>
  <r>
    <x v="0"/>
    <x v="11"/>
    <x v="3"/>
    <x v="0"/>
    <x v="6"/>
    <n v="136"/>
    <n v="3.5000000000000001E-3"/>
  </r>
  <r>
    <x v="0"/>
    <x v="11"/>
    <x v="3"/>
    <x v="0"/>
    <x v="7"/>
    <n v="120"/>
    <n v="7.1999999999999998E-3"/>
  </r>
  <r>
    <x v="0"/>
    <x v="11"/>
    <x v="3"/>
    <x v="0"/>
    <x v="8"/>
    <n v="110"/>
    <n v="8.0000000000000004E-4"/>
  </r>
  <r>
    <x v="0"/>
    <x v="11"/>
    <x v="3"/>
    <x v="0"/>
    <x v="9"/>
    <n v="88"/>
    <n v="1.6000000000000001E-3"/>
  </r>
  <r>
    <x v="0"/>
    <x v="11"/>
    <x v="3"/>
    <x v="0"/>
    <x v="10"/>
    <n v="133"/>
    <n v="7.4999999999999997E-3"/>
  </r>
  <r>
    <x v="0"/>
    <x v="11"/>
    <x v="3"/>
    <x v="0"/>
    <x v="11"/>
    <n v="145"/>
    <n v="8.3000000000000001E-3"/>
  </r>
  <r>
    <x v="0"/>
    <x v="11"/>
    <x v="3"/>
    <x v="0"/>
    <x v="12"/>
    <n v="149"/>
    <n v="7.3000000000000001E-3"/>
  </r>
  <r>
    <x v="0"/>
    <x v="11"/>
    <x v="3"/>
    <x v="0"/>
    <x v="13"/>
    <n v="89"/>
    <n v="8.0000000000000004E-4"/>
  </r>
  <r>
    <x v="0"/>
    <x v="12"/>
    <x v="3"/>
    <x v="0"/>
    <x v="0"/>
    <n v="68"/>
    <n v="0.19650000000000001"/>
  </r>
  <r>
    <x v="0"/>
    <x v="12"/>
    <x v="3"/>
    <x v="0"/>
    <x v="1"/>
    <n v="67"/>
    <n v="1.72E-2"/>
  </r>
  <r>
    <x v="0"/>
    <x v="12"/>
    <x v="3"/>
    <x v="0"/>
    <x v="2"/>
    <n v="64"/>
    <n v="4.9000000000000002E-2"/>
  </r>
  <r>
    <x v="0"/>
    <x v="12"/>
    <x v="3"/>
    <x v="0"/>
    <x v="3"/>
    <n v="67"/>
    <n v="5.0799999999999998E-2"/>
  </r>
  <r>
    <x v="0"/>
    <x v="12"/>
    <x v="3"/>
    <x v="0"/>
    <x v="4"/>
    <n v="70"/>
    <n v="0.12809999999999999"/>
  </r>
  <r>
    <x v="0"/>
    <x v="12"/>
    <x v="3"/>
    <x v="0"/>
    <x v="5"/>
    <n v="62"/>
    <n v="3.2199999999999999E-2"/>
  </r>
  <r>
    <x v="0"/>
    <x v="12"/>
    <x v="3"/>
    <x v="0"/>
    <x v="6"/>
    <n v="60"/>
    <n v="3.3000000000000002E-2"/>
  </r>
  <r>
    <x v="0"/>
    <x v="12"/>
    <x v="3"/>
    <x v="0"/>
    <x v="7"/>
    <n v="74"/>
    <n v="9.2700000000000005E-2"/>
  </r>
  <r>
    <x v="0"/>
    <x v="12"/>
    <x v="3"/>
    <x v="0"/>
    <x v="8"/>
    <n v="62"/>
    <n v="1.3899999999999999E-2"/>
  </r>
  <r>
    <x v="0"/>
    <x v="12"/>
    <x v="3"/>
    <x v="0"/>
    <x v="9"/>
    <n v="66"/>
    <n v="3.3700000000000001E-2"/>
  </r>
  <r>
    <x v="0"/>
    <x v="12"/>
    <x v="3"/>
    <x v="0"/>
    <x v="10"/>
    <n v="66"/>
    <n v="3.5099999999999999E-2"/>
  </r>
  <r>
    <x v="0"/>
    <x v="12"/>
    <x v="3"/>
    <x v="0"/>
    <x v="11"/>
    <n v="70"/>
    <n v="5.04E-2"/>
  </r>
  <r>
    <x v="0"/>
    <x v="12"/>
    <x v="3"/>
    <x v="0"/>
    <x v="12"/>
    <n v="73"/>
    <n v="5.9499999999999997E-2"/>
  </r>
  <r>
    <x v="0"/>
    <x v="12"/>
    <x v="3"/>
    <x v="0"/>
    <x v="13"/>
    <n v="68"/>
    <n v="3.15E-2"/>
  </r>
  <r>
    <x v="0"/>
    <x v="13"/>
    <x v="3"/>
    <x v="0"/>
    <x v="0"/>
    <n v="105"/>
    <n v="3.9100000000000003E-2"/>
  </r>
  <r>
    <x v="0"/>
    <x v="13"/>
    <x v="3"/>
    <x v="0"/>
    <x v="1"/>
    <n v="104"/>
    <n v="4.8999999999999998E-3"/>
  </r>
  <r>
    <x v="0"/>
    <x v="13"/>
    <x v="3"/>
    <x v="0"/>
    <x v="2"/>
    <n v="106"/>
    <n v="1.49E-2"/>
  </r>
  <r>
    <x v="0"/>
    <x v="13"/>
    <x v="3"/>
    <x v="0"/>
    <x v="3"/>
    <n v="112"/>
    <n v="1.17E-2"/>
  </r>
  <r>
    <x v="0"/>
    <x v="13"/>
    <x v="3"/>
    <x v="0"/>
    <x v="4"/>
    <n v="98"/>
    <n v="2.0500000000000001E-2"/>
  </r>
  <r>
    <x v="0"/>
    <x v="13"/>
    <x v="3"/>
    <x v="0"/>
    <x v="5"/>
    <n v="111"/>
    <n v="1.0200000000000001E-2"/>
  </r>
  <r>
    <x v="0"/>
    <x v="13"/>
    <x v="3"/>
    <x v="0"/>
    <x v="6"/>
    <n v="104"/>
    <n v="1.1599999999999999E-2"/>
  </r>
  <r>
    <x v="0"/>
    <x v="13"/>
    <x v="3"/>
    <x v="0"/>
    <x v="7"/>
    <n v="112"/>
    <n v="1.26E-2"/>
  </r>
  <r>
    <x v="0"/>
    <x v="13"/>
    <x v="3"/>
    <x v="0"/>
    <x v="8"/>
    <n v="103"/>
    <n v="4.8999999999999998E-3"/>
  </r>
  <r>
    <x v="0"/>
    <x v="13"/>
    <x v="3"/>
    <x v="0"/>
    <x v="9"/>
    <n v="114"/>
    <n v="9.9000000000000008E-3"/>
  </r>
  <r>
    <x v="0"/>
    <x v="13"/>
    <x v="3"/>
    <x v="0"/>
    <x v="10"/>
    <n v="102"/>
    <n v="8.5000000000000006E-3"/>
  </r>
  <r>
    <x v="0"/>
    <x v="13"/>
    <x v="3"/>
    <x v="0"/>
    <x v="11"/>
    <n v="96"/>
    <n v="8.6999999999999994E-3"/>
  </r>
  <r>
    <x v="0"/>
    <x v="13"/>
    <x v="3"/>
    <x v="0"/>
    <x v="12"/>
    <n v="95"/>
    <n v="8.8999999999999999E-3"/>
  </r>
  <r>
    <x v="0"/>
    <x v="13"/>
    <x v="3"/>
    <x v="0"/>
    <x v="13"/>
    <n v="104"/>
    <n v="7.0000000000000001E-3"/>
  </r>
  <r>
    <x v="0"/>
    <x v="14"/>
    <x v="3"/>
    <x v="0"/>
    <x v="0"/>
    <n v="83"/>
    <n v="3.0499999999999999E-2"/>
  </r>
  <r>
    <x v="0"/>
    <x v="14"/>
    <x v="3"/>
    <x v="0"/>
    <x v="1"/>
    <n v="97"/>
    <n v="2.2000000000000001E-3"/>
  </r>
  <r>
    <x v="0"/>
    <x v="14"/>
    <x v="3"/>
    <x v="0"/>
    <x v="2"/>
    <n v="81"/>
    <n v="8.3999999999999995E-3"/>
  </r>
  <r>
    <x v="0"/>
    <x v="14"/>
    <x v="3"/>
    <x v="0"/>
    <x v="3"/>
    <n v="80"/>
    <n v="6.1999999999999998E-3"/>
  </r>
  <r>
    <x v="0"/>
    <x v="14"/>
    <x v="3"/>
    <x v="0"/>
    <x v="4"/>
    <n v="78"/>
    <n v="1.6500000000000001E-2"/>
  </r>
  <r>
    <x v="0"/>
    <x v="14"/>
    <x v="3"/>
    <x v="0"/>
    <x v="5"/>
    <n v="80"/>
    <n v="6.4999999999999997E-3"/>
  </r>
  <r>
    <x v="0"/>
    <x v="14"/>
    <x v="3"/>
    <x v="0"/>
    <x v="6"/>
    <n v="95"/>
    <n v="7.7000000000000002E-3"/>
  </r>
  <r>
    <x v="0"/>
    <x v="14"/>
    <x v="3"/>
    <x v="0"/>
    <x v="7"/>
    <n v="85"/>
    <n v="8.9999999999999993E-3"/>
  </r>
  <r>
    <x v="0"/>
    <x v="14"/>
    <x v="3"/>
    <x v="0"/>
    <x v="8"/>
    <n v="107"/>
    <n v="3.3E-3"/>
  </r>
  <r>
    <x v="0"/>
    <x v="14"/>
    <x v="3"/>
    <x v="0"/>
    <x v="9"/>
    <n v="85"/>
    <n v="4.4000000000000003E-3"/>
  </r>
  <r>
    <x v="0"/>
    <x v="14"/>
    <x v="3"/>
    <x v="0"/>
    <x v="10"/>
    <n v="81"/>
    <n v="6.0000000000000001E-3"/>
  </r>
  <r>
    <x v="0"/>
    <x v="14"/>
    <x v="3"/>
    <x v="0"/>
    <x v="11"/>
    <n v="82"/>
    <n v="6.7999999999999996E-3"/>
  </r>
  <r>
    <x v="0"/>
    <x v="14"/>
    <x v="3"/>
    <x v="0"/>
    <x v="12"/>
    <n v="86"/>
    <n v="6.1999999999999998E-3"/>
  </r>
  <r>
    <x v="0"/>
    <x v="14"/>
    <x v="3"/>
    <x v="0"/>
    <x v="13"/>
    <n v="101"/>
    <n v="3.8E-3"/>
  </r>
  <r>
    <x v="0"/>
    <x v="15"/>
    <x v="3"/>
    <x v="0"/>
    <x v="0"/>
    <n v="93"/>
    <n v="0.27379999999999999"/>
  </r>
  <r>
    <x v="0"/>
    <x v="15"/>
    <x v="3"/>
    <x v="0"/>
    <x v="1"/>
    <n v="99"/>
    <n v="4.2299999999999997E-2"/>
  </r>
  <r>
    <x v="0"/>
    <x v="15"/>
    <x v="3"/>
    <x v="0"/>
    <x v="2"/>
    <n v="98"/>
    <n v="0.1002"/>
  </r>
  <r>
    <x v="0"/>
    <x v="15"/>
    <x v="3"/>
    <x v="0"/>
    <x v="3"/>
    <n v="94"/>
    <n v="9.6699999999999994E-2"/>
  </r>
  <r>
    <x v="0"/>
    <x v="15"/>
    <x v="3"/>
    <x v="0"/>
    <x v="4"/>
    <n v="90"/>
    <n v="0.18790000000000001"/>
  </r>
  <r>
    <x v="0"/>
    <x v="15"/>
    <x v="3"/>
    <x v="0"/>
    <x v="5"/>
    <n v="93"/>
    <n v="5.91E-2"/>
  </r>
  <r>
    <x v="0"/>
    <x v="15"/>
    <x v="3"/>
    <x v="0"/>
    <x v="6"/>
    <n v="98"/>
    <n v="6.0699999999999997E-2"/>
  </r>
  <r>
    <x v="0"/>
    <x v="15"/>
    <x v="3"/>
    <x v="0"/>
    <x v="7"/>
    <n v="92"/>
    <n v="0.12180000000000001"/>
  </r>
  <r>
    <x v="0"/>
    <x v="15"/>
    <x v="3"/>
    <x v="0"/>
    <x v="8"/>
    <n v="103"/>
    <n v="3.2599999999999997E-2"/>
  </r>
  <r>
    <x v="0"/>
    <x v="15"/>
    <x v="3"/>
    <x v="0"/>
    <x v="9"/>
    <n v="95"/>
    <n v="7.4399999999999994E-2"/>
  </r>
  <r>
    <x v="0"/>
    <x v="15"/>
    <x v="3"/>
    <x v="0"/>
    <x v="10"/>
    <n v="92"/>
    <n v="6.9699999999999998E-2"/>
  </r>
  <r>
    <x v="0"/>
    <x v="15"/>
    <x v="3"/>
    <x v="0"/>
    <x v="11"/>
    <n v="91"/>
    <n v="8.9700000000000002E-2"/>
  </r>
  <r>
    <x v="0"/>
    <x v="15"/>
    <x v="3"/>
    <x v="0"/>
    <x v="12"/>
    <n v="89"/>
    <n v="0.1061"/>
  </r>
  <r>
    <x v="0"/>
    <x v="15"/>
    <x v="3"/>
    <x v="0"/>
    <x v="13"/>
    <n v="98"/>
    <n v="6.1600000000000002E-2"/>
  </r>
  <r>
    <x v="1"/>
    <x v="124"/>
    <x v="3"/>
    <x v="0"/>
    <x v="0"/>
    <n v="20"/>
    <n v="3.3E-3"/>
  </r>
  <r>
    <x v="1"/>
    <x v="124"/>
    <x v="3"/>
    <x v="0"/>
    <x v="4"/>
    <n v="25"/>
    <n v="1.8E-3"/>
  </r>
  <r>
    <x v="1"/>
    <x v="124"/>
    <x v="3"/>
    <x v="0"/>
    <x v="5"/>
    <n v="21"/>
    <n v="8.0000000000000004E-4"/>
  </r>
  <r>
    <x v="1"/>
    <x v="124"/>
    <x v="3"/>
    <x v="0"/>
    <x v="7"/>
    <n v="16"/>
    <n v="1.1000000000000001E-3"/>
  </r>
  <r>
    <x v="0"/>
    <x v="16"/>
    <x v="3"/>
    <x v="0"/>
    <x v="0"/>
    <n v="80"/>
    <n v="0.1459"/>
  </r>
  <r>
    <x v="0"/>
    <x v="16"/>
    <x v="3"/>
    <x v="0"/>
    <x v="1"/>
    <n v="80"/>
    <n v="1.5699999999999999E-2"/>
  </r>
  <r>
    <x v="0"/>
    <x v="16"/>
    <x v="3"/>
    <x v="0"/>
    <x v="2"/>
    <n v="68"/>
    <n v="3.9399999999999998E-2"/>
  </r>
  <r>
    <x v="0"/>
    <x v="16"/>
    <x v="3"/>
    <x v="0"/>
    <x v="3"/>
    <n v="68"/>
    <n v="3.8399999999999997E-2"/>
  </r>
  <r>
    <x v="0"/>
    <x v="16"/>
    <x v="3"/>
    <x v="0"/>
    <x v="4"/>
    <n v="84"/>
    <n v="7.9200000000000007E-2"/>
  </r>
  <r>
    <x v="0"/>
    <x v="16"/>
    <x v="3"/>
    <x v="0"/>
    <x v="5"/>
    <n v="85"/>
    <n v="2.4199999999999999E-2"/>
  </r>
  <r>
    <x v="0"/>
    <x v="16"/>
    <x v="3"/>
    <x v="0"/>
    <x v="6"/>
    <n v="90"/>
    <n v="2.5899999999999999E-2"/>
  </r>
  <r>
    <x v="0"/>
    <x v="16"/>
    <x v="3"/>
    <x v="0"/>
    <x v="7"/>
    <n v="73"/>
    <n v="5.57E-2"/>
  </r>
  <r>
    <x v="0"/>
    <x v="16"/>
    <x v="3"/>
    <x v="0"/>
    <x v="8"/>
    <n v="99"/>
    <n v="1.2800000000000001E-2"/>
  </r>
  <r>
    <x v="0"/>
    <x v="16"/>
    <x v="3"/>
    <x v="0"/>
    <x v="9"/>
    <n v="65"/>
    <n v="2.6800000000000001E-2"/>
  </r>
  <r>
    <x v="0"/>
    <x v="16"/>
    <x v="3"/>
    <x v="0"/>
    <x v="10"/>
    <n v="85"/>
    <n v="2.5100000000000001E-2"/>
  </r>
  <r>
    <x v="0"/>
    <x v="16"/>
    <x v="3"/>
    <x v="0"/>
    <x v="11"/>
    <n v="86"/>
    <n v="3.2000000000000001E-2"/>
  </r>
  <r>
    <x v="0"/>
    <x v="16"/>
    <x v="3"/>
    <x v="0"/>
    <x v="12"/>
    <n v="86"/>
    <n v="3.6700000000000003E-2"/>
  </r>
  <r>
    <x v="0"/>
    <x v="16"/>
    <x v="3"/>
    <x v="0"/>
    <x v="13"/>
    <n v="83"/>
    <n v="2.63E-2"/>
  </r>
  <r>
    <x v="1"/>
    <x v="17"/>
    <x v="3"/>
    <x v="1"/>
    <x v="0"/>
    <n v="112"/>
    <n v="0.89129999999999998"/>
  </r>
  <r>
    <x v="1"/>
    <x v="17"/>
    <x v="3"/>
    <x v="1"/>
    <x v="1"/>
    <n v="112"/>
    <n v="0.2792"/>
  </r>
  <r>
    <x v="1"/>
    <x v="17"/>
    <x v="3"/>
    <x v="1"/>
    <x v="2"/>
    <n v="107"/>
    <n v="0.45689999999999997"/>
  </r>
  <r>
    <x v="1"/>
    <x v="17"/>
    <x v="3"/>
    <x v="1"/>
    <x v="3"/>
    <n v="113"/>
    <n v="0.47339999999999999"/>
  </r>
  <r>
    <x v="1"/>
    <x v="17"/>
    <x v="3"/>
    <x v="1"/>
    <x v="4"/>
    <n v="113"/>
    <n v="0.74129999999999996"/>
  </r>
  <r>
    <x v="1"/>
    <x v="17"/>
    <x v="3"/>
    <x v="1"/>
    <x v="5"/>
    <n v="116"/>
    <n v="0.2893"/>
  </r>
  <r>
    <x v="1"/>
    <x v="17"/>
    <x v="3"/>
    <x v="1"/>
    <x v="6"/>
    <n v="112"/>
    <n v="0.2969"/>
  </r>
  <r>
    <x v="1"/>
    <x v="17"/>
    <x v="3"/>
    <x v="1"/>
    <x v="7"/>
    <n v="116"/>
    <n v="0.70279999999999998"/>
  </r>
  <r>
    <x v="1"/>
    <x v="17"/>
    <x v="3"/>
    <x v="1"/>
    <x v="8"/>
    <n v="109"/>
    <n v="0.18890000000000001"/>
  </r>
  <r>
    <x v="1"/>
    <x v="17"/>
    <x v="3"/>
    <x v="1"/>
    <x v="9"/>
    <n v="113"/>
    <n v="0.3881"/>
  </r>
  <r>
    <x v="1"/>
    <x v="17"/>
    <x v="3"/>
    <x v="1"/>
    <x v="10"/>
    <n v="116"/>
    <n v="0.37619999999999998"/>
  </r>
  <r>
    <x v="1"/>
    <x v="17"/>
    <x v="3"/>
    <x v="1"/>
    <x v="11"/>
    <n v="116"/>
    <n v="0.42809999999999998"/>
  </r>
  <r>
    <x v="1"/>
    <x v="17"/>
    <x v="3"/>
    <x v="1"/>
    <x v="12"/>
    <n v="116"/>
    <n v="0.49049999999999999"/>
  </r>
  <r>
    <x v="1"/>
    <x v="17"/>
    <x v="3"/>
    <x v="1"/>
    <x v="13"/>
    <n v="112"/>
    <n v="0.39190000000000003"/>
  </r>
  <r>
    <x v="1"/>
    <x v="18"/>
    <x v="3"/>
    <x v="0"/>
    <x v="0"/>
    <n v="103"/>
    <n v="4.9299999999999997E-2"/>
  </r>
  <r>
    <x v="1"/>
    <x v="18"/>
    <x v="3"/>
    <x v="0"/>
    <x v="1"/>
    <n v="62"/>
    <n v="1.6999999999999999E-3"/>
  </r>
  <r>
    <x v="1"/>
    <x v="18"/>
    <x v="3"/>
    <x v="0"/>
    <x v="2"/>
    <n v="91"/>
    <n v="1.01E-2"/>
  </r>
  <r>
    <x v="1"/>
    <x v="18"/>
    <x v="3"/>
    <x v="0"/>
    <x v="3"/>
    <n v="101"/>
    <n v="1.11E-2"/>
  </r>
  <r>
    <x v="1"/>
    <x v="18"/>
    <x v="3"/>
    <x v="0"/>
    <x v="4"/>
    <n v="110"/>
    <n v="3.0499999999999999E-2"/>
  </r>
  <r>
    <x v="1"/>
    <x v="18"/>
    <x v="3"/>
    <x v="0"/>
    <x v="5"/>
    <n v="105"/>
    <n v="1.4500000000000001E-2"/>
  </r>
  <r>
    <x v="1"/>
    <x v="18"/>
    <x v="3"/>
    <x v="0"/>
    <x v="6"/>
    <n v="99"/>
    <n v="1.3299999999999999E-2"/>
  </r>
  <r>
    <x v="1"/>
    <x v="18"/>
    <x v="3"/>
    <x v="0"/>
    <x v="7"/>
    <n v="116"/>
    <n v="1.5100000000000001E-2"/>
  </r>
  <r>
    <x v="1"/>
    <x v="18"/>
    <x v="3"/>
    <x v="0"/>
    <x v="8"/>
    <n v="71"/>
    <n v="3.0000000000000001E-3"/>
  </r>
  <r>
    <x v="1"/>
    <x v="18"/>
    <x v="3"/>
    <x v="0"/>
    <x v="9"/>
    <n v="99"/>
    <n v="6.8999999999999999E-3"/>
  </r>
  <r>
    <x v="1"/>
    <x v="18"/>
    <x v="3"/>
    <x v="0"/>
    <x v="10"/>
    <n v="99"/>
    <n v="1.35E-2"/>
  </r>
  <r>
    <x v="1"/>
    <x v="18"/>
    <x v="3"/>
    <x v="0"/>
    <x v="11"/>
    <n v="107"/>
    <n v="1.43E-2"/>
  </r>
  <r>
    <x v="1"/>
    <x v="18"/>
    <x v="3"/>
    <x v="0"/>
    <x v="12"/>
    <n v="116"/>
    <n v="1.2999999999999999E-2"/>
  </r>
  <r>
    <x v="1"/>
    <x v="18"/>
    <x v="3"/>
    <x v="0"/>
    <x v="13"/>
    <n v="70"/>
    <n v="3.7000000000000002E-3"/>
  </r>
  <r>
    <x v="0"/>
    <x v="19"/>
    <x v="3"/>
    <x v="0"/>
    <x v="0"/>
    <n v="103"/>
    <n v="0.37459999999999999"/>
  </r>
  <r>
    <x v="0"/>
    <x v="19"/>
    <x v="3"/>
    <x v="0"/>
    <x v="1"/>
    <n v="92"/>
    <n v="4.0099999999999997E-2"/>
  </r>
  <r>
    <x v="0"/>
    <x v="19"/>
    <x v="3"/>
    <x v="0"/>
    <x v="2"/>
    <n v="99"/>
    <n v="0.1207"/>
  </r>
  <r>
    <x v="0"/>
    <x v="19"/>
    <x v="3"/>
    <x v="0"/>
    <x v="3"/>
    <n v="108"/>
    <n v="0.14499999999999999"/>
  </r>
  <r>
    <x v="0"/>
    <x v="19"/>
    <x v="3"/>
    <x v="0"/>
    <x v="4"/>
    <n v="109"/>
    <n v="0.27310000000000001"/>
  </r>
  <r>
    <x v="0"/>
    <x v="19"/>
    <x v="3"/>
    <x v="0"/>
    <x v="5"/>
    <n v="101"/>
    <n v="0.1075"/>
  </r>
  <r>
    <x v="0"/>
    <x v="19"/>
    <x v="3"/>
    <x v="0"/>
    <x v="6"/>
    <n v="99"/>
    <n v="0.1125"/>
  </r>
  <r>
    <x v="0"/>
    <x v="19"/>
    <x v="3"/>
    <x v="0"/>
    <x v="7"/>
    <n v="116"/>
    <n v="0.17"/>
  </r>
  <r>
    <x v="0"/>
    <x v="19"/>
    <x v="3"/>
    <x v="0"/>
    <x v="8"/>
    <n v="92"/>
    <n v="4.0300000000000002E-2"/>
  </r>
  <r>
    <x v="0"/>
    <x v="19"/>
    <x v="3"/>
    <x v="0"/>
    <x v="9"/>
    <n v="106"/>
    <n v="0.1162"/>
  </r>
  <r>
    <x v="0"/>
    <x v="19"/>
    <x v="3"/>
    <x v="0"/>
    <x v="10"/>
    <n v="101"/>
    <n v="0.11310000000000001"/>
  </r>
  <r>
    <x v="0"/>
    <x v="19"/>
    <x v="3"/>
    <x v="0"/>
    <x v="11"/>
    <n v="106"/>
    <n v="0.13930000000000001"/>
  </r>
  <r>
    <x v="0"/>
    <x v="19"/>
    <x v="3"/>
    <x v="0"/>
    <x v="12"/>
    <n v="107"/>
    <n v="0.14330000000000001"/>
  </r>
  <r>
    <x v="0"/>
    <x v="19"/>
    <x v="3"/>
    <x v="0"/>
    <x v="13"/>
    <n v="92"/>
    <n v="6.0400000000000002E-2"/>
  </r>
  <r>
    <x v="0"/>
    <x v="20"/>
    <x v="3"/>
    <x v="0"/>
    <x v="0"/>
    <n v="102"/>
    <n v="0.54590000000000005"/>
  </r>
  <r>
    <x v="0"/>
    <x v="20"/>
    <x v="3"/>
    <x v="0"/>
    <x v="1"/>
    <n v="99"/>
    <n v="0.11020000000000001"/>
  </r>
  <r>
    <x v="0"/>
    <x v="20"/>
    <x v="3"/>
    <x v="0"/>
    <x v="2"/>
    <n v="102"/>
    <n v="0.2969"/>
  </r>
  <r>
    <x v="0"/>
    <x v="20"/>
    <x v="3"/>
    <x v="0"/>
    <x v="3"/>
    <n v="106"/>
    <n v="0.26340000000000002"/>
  </r>
  <r>
    <x v="0"/>
    <x v="20"/>
    <x v="3"/>
    <x v="0"/>
    <x v="4"/>
    <n v="103"/>
    <n v="0.43030000000000002"/>
  </r>
  <r>
    <x v="0"/>
    <x v="20"/>
    <x v="3"/>
    <x v="0"/>
    <x v="5"/>
    <n v="99"/>
    <n v="0.29389999999999999"/>
  </r>
  <r>
    <x v="0"/>
    <x v="20"/>
    <x v="3"/>
    <x v="0"/>
    <x v="6"/>
    <n v="99"/>
    <n v="0.2828"/>
  </r>
  <r>
    <x v="0"/>
    <x v="20"/>
    <x v="3"/>
    <x v="0"/>
    <x v="7"/>
    <n v="101"/>
    <n v="0.36959999999999998"/>
  </r>
  <r>
    <x v="0"/>
    <x v="20"/>
    <x v="3"/>
    <x v="0"/>
    <x v="8"/>
    <n v="97"/>
    <n v="0.11650000000000001"/>
  </r>
  <r>
    <x v="0"/>
    <x v="20"/>
    <x v="3"/>
    <x v="0"/>
    <x v="9"/>
    <n v="106"/>
    <n v="0.2387"/>
  </r>
  <r>
    <x v="0"/>
    <x v="20"/>
    <x v="3"/>
    <x v="0"/>
    <x v="10"/>
    <n v="97"/>
    <n v="0.29170000000000001"/>
  </r>
  <r>
    <x v="0"/>
    <x v="20"/>
    <x v="3"/>
    <x v="0"/>
    <x v="11"/>
    <n v="97"/>
    <n v="0.28720000000000001"/>
  </r>
  <r>
    <x v="0"/>
    <x v="20"/>
    <x v="3"/>
    <x v="0"/>
    <x v="12"/>
    <n v="103"/>
    <n v="0.27879999999999999"/>
  </r>
  <r>
    <x v="0"/>
    <x v="20"/>
    <x v="3"/>
    <x v="0"/>
    <x v="13"/>
    <n v="98"/>
    <n v="0.1542"/>
  </r>
  <r>
    <x v="0"/>
    <x v="21"/>
    <x v="3"/>
    <x v="0"/>
    <x v="0"/>
    <n v="41"/>
    <n v="9.9000000000000008E-3"/>
  </r>
  <r>
    <x v="0"/>
    <x v="21"/>
    <x v="3"/>
    <x v="0"/>
    <x v="2"/>
    <n v="46"/>
    <n v="4.0000000000000001E-3"/>
  </r>
  <r>
    <x v="0"/>
    <x v="21"/>
    <x v="3"/>
    <x v="0"/>
    <x v="3"/>
    <n v="40"/>
    <n v="3.5000000000000001E-3"/>
  </r>
  <r>
    <x v="0"/>
    <x v="21"/>
    <x v="3"/>
    <x v="0"/>
    <x v="4"/>
    <n v="42"/>
    <n v="6.7999999999999996E-3"/>
  </r>
  <r>
    <x v="0"/>
    <x v="21"/>
    <x v="3"/>
    <x v="0"/>
    <x v="5"/>
    <n v="39"/>
    <n v="4.0000000000000001E-3"/>
  </r>
  <r>
    <x v="0"/>
    <x v="21"/>
    <x v="3"/>
    <x v="0"/>
    <x v="6"/>
    <n v="40"/>
    <n v="3.2000000000000002E-3"/>
  </r>
  <r>
    <x v="0"/>
    <x v="21"/>
    <x v="3"/>
    <x v="0"/>
    <x v="7"/>
    <n v="37"/>
    <n v="5.3E-3"/>
  </r>
  <r>
    <x v="0"/>
    <x v="21"/>
    <x v="3"/>
    <x v="0"/>
    <x v="8"/>
    <n v="42"/>
    <n v="8.0000000000000004E-4"/>
  </r>
  <r>
    <x v="0"/>
    <x v="21"/>
    <x v="3"/>
    <x v="0"/>
    <x v="9"/>
    <n v="41"/>
    <n v="2.8E-3"/>
  </r>
  <r>
    <x v="0"/>
    <x v="21"/>
    <x v="3"/>
    <x v="0"/>
    <x v="10"/>
    <n v="42"/>
    <n v="3.7000000000000002E-3"/>
  </r>
  <r>
    <x v="0"/>
    <x v="21"/>
    <x v="3"/>
    <x v="0"/>
    <x v="11"/>
    <n v="43"/>
    <n v="3.5999999999999999E-3"/>
  </r>
  <r>
    <x v="0"/>
    <x v="21"/>
    <x v="3"/>
    <x v="0"/>
    <x v="12"/>
    <n v="48"/>
    <n v="3.0999999999999999E-3"/>
  </r>
  <r>
    <x v="0"/>
    <x v="21"/>
    <x v="3"/>
    <x v="0"/>
    <x v="13"/>
    <n v="44"/>
    <n v="1.1999999999999999E-3"/>
  </r>
  <r>
    <x v="1"/>
    <x v="22"/>
    <x v="3"/>
    <x v="0"/>
    <x v="0"/>
    <n v="115"/>
    <n v="2.0999999999999999E-3"/>
  </r>
  <r>
    <x v="1"/>
    <x v="22"/>
    <x v="3"/>
    <x v="0"/>
    <x v="4"/>
    <n v="142"/>
    <n v="1.1999999999999999E-3"/>
  </r>
  <r>
    <x v="1"/>
    <x v="22"/>
    <x v="3"/>
    <x v="0"/>
    <x v="5"/>
    <n v="140"/>
    <n v="8.0000000000000004E-4"/>
  </r>
  <r>
    <x v="1"/>
    <x v="22"/>
    <x v="3"/>
    <x v="0"/>
    <x v="6"/>
    <n v="100"/>
    <n v="8.0000000000000004E-4"/>
  </r>
  <r>
    <x v="0"/>
    <x v="23"/>
    <x v="3"/>
    <x v="0"/>
    <x v="0"/>
    <n v="91"/>
    <n v="0.24"/>
  </r>
  <r>
    <x v="0"/>
    <x v="23"/>
    <x v="3"/>
    <x v="0"/>
    <x v="1"/>
    <n v="92"/>
    <n v="2.4500000000000001E-2"/>
  </r>
  <r>
    <x v="0"/>
    <x v="23"/>
    <x v="3"/>
    <x v="0"/>
    <x v="2"/>
    <n v="89"/>
    <n v="7.4300000000000005E-2"/>
  </r>
  <r>
    <x v="0"/>
    <x v="23"/>
    <x v="3"/>
    <x v="0"/>
    <x v="3"/>
    <n v="91"/>
    <n v="7.4800000000000005E-2"/>
  </r>
  <r>
    <x v="0"/>
    <x v="23"/>
    <x v="3"/>
    <x v="0"/>
    <x v="4"/>
    <n v="91"/>
    <n v="0.15659999999999999"/>
  </r>
  <r>
    <x v="0"/>
    <x v="23"/>
    <x v="3"/>
    <x v="0"/>
    <x v="5"/>
    <n v="95"/>
    <n v="4.65E-2"/>
  </r>
  <r>
    <x v="0"/>
    <x v="23"/>
    <x v="3"/>
    <x v="0"/>
    <x v="6"/>
    <n v="96"/>
    <n v="4.3700000000000003E-2"/>
  </r>
  <r>
    <x v="0"/>
    <x v="23"/>
    <x v="3"/>
    <x v="0"/>
    <x v="7"/>
    <n v="88"/>
    <n v="0.1077"/>
  </r>
  <r>
    <x v="0"/>
    <x v="23"/>
    <x v="3"/>
    <x v="0"/>
    <x v="8"/>
    <n v="102"/>
    <n v="1.9099999999999999E-2"/>
  </r>
  <r>
    <x v="0"/>
    <x v="23"/>
    <x v="3"/>
    <x v="0"/>
    <x v="9"/>
    <n v="93"/>
    <n v="6.0699999999999997E-2"/>
  </r>
  <r>
    <x v="0"/>
    <x v="23"/>
    <x v="3"/>
    <x v="0"/>
    <x v="10"/>
    <n v="101"/>
    <n v="5.9299999999999999E-2"/>
  </r>
  <r>
    <x v="0"/>
    <x v="23"/>
    <x v="3"/>
    <x v="0"/>
    <x v="11"/>
    <n v="89"/>
    <n v="6.3200000000000006E-2"/>
  </r>
  <r>
    <x v="0"/>
    <x v="23"/>
    <x v="3"/>
    <x v="0"/>
    <x v="12"/>
    <n v="87"/>
    <n v="6.83E-2"/>
  </r>
  <r>
    <x v="0"/>
    <x v="23"/>
    <x v="3"/>
    <x v="0"/>
    <x v="13"/>
    <n v="94"/>
    <n v="3.9600000000000003E-2"/>
  </r>
  <r>
    <x v="0"/>
    <x v="24"/>
    <x v="3"/>
    <x v="0"/>
    <x v="0"/>
    <n v="114"/>
    <n v="8.0399999999999999E-2"/>
  </r>
  <r>
    <x v="0"/>
    <x v="24"/>
    <x v="3"/>
    <x v="0"/>
    <x v="1"/>
    <n v="127"/>
    <n v="7.0000000000000001E-3"/>
  </r>
  <r>
    <x v="0"/>
    <x v="24"/>
    <x v="3"/>
    <x v="0"/>
    <x v="2"/>
    <n v="121"/>
    <n v="2.63E-2"/>
  </r>
  <r>
    <x v="0"/>
    <x v="24"/>
    <x v="3"/>
    <x v="0"/>
    <x v="3"/>
    <n v="122"/>
    <n v="2.4199999999999999E-2"/>
  </r>
  <r>
    <x v="0"/>
    <x v="24"/>
    <x v="3"/>
    <x v="0"/>
    <x v="4"/>
    <n v="110"/>
    <n v="5.28E-2"/>
  </r>
  <r>
    <x v="0"/>
    <x v="24"/>
    <x v="3"/>
    <x v="0"/>
    <x v="5"/>
    <n v="111"/>
    <n v="3.1800000000000002E-2"/>
  </r>
  <r>
    <x v="0"/>
    <x v="24"/>
    <x v="3"/>
    <x v="0"/>
    <x v="6"/>
    <n v="111"/>
    <n v="2.9499999999999998E-2"/>
  </r>
  <r>
    <x v="0"/>
    <x v="24"/>
    <x v="3"/>
    <x v="0"/>
    <x v="7"/>
    <n v="112"/>
    <n v="3.2899999999999999E-2"/>
  </r>
  <r>
    <x v="0"/>
    <x v="24"/>
    <x v="3"/>
    <x v="0"/>
    <x v="8"/>
    <n v="114"/>
    <n v="8.8999999999999999E-3"/>
  </r>
  <r>
    <x v="0"/>
    <x v="24"/>
    <x v="3"/>
    <x v="0"/>
    <x v="9"/>
    <n v="123"/>
    <n v="1.95E-2"/>
  </r>
  <r>
    <x v="0"/>
    <x v="24"/>
    <x v="3"/>
    <x v="0"/>
    <x v="10"/>
    <n v="108"/>
    <n v="2.8299999999999999E-2"/>
  </r>
  <r>
    <x v="0"/>
    <x v="24"/>
    <x v="3"/>
    <x v="0"/>
    <x v="11"/>
    <n v="109"/>
    <n v="2.7799999999999998E-2"/>
  </r>
  <r>
    <x v="0"/>
    <x v="24"/>
    <x v="3"/>
    <x v="0"/>
    <x v="12"/>
    <n v="108"/>
    <n v="2.5499999999999998E-2"/>
  </r>
  <r>
    <x v="0"/>
    <x v="24"/>
    <x v="3"/>
    <x v="0"/>
    <x v="13"/>
    <n v="123"/>
    <n v="1.29E-2"/>
  </r>
  <r>
    <x v="0"/>
    <x v="25"/>
    <x v="3"/>
    <x v="0"/>
    <x v="0"/>
    <n v="102"/>
    <n v="9.2100000000000001E-2"/>
  </r>
  <r>
    <x v="0"/>
    <x v="25"/>
    <x v="3"/>
    <x v="0"/>
    <x v="1"/>
    <n v="87"/>
    <n v="8.3999999999999995E-3"/>
  </r>
  <r>
    <x v="0"/>
    <x v="25"/>
    <x v="3"/>
    <x v="0"/>
    <x v="2"/>
    <n v="99"/>
    <n v="2.5000000000000001E-2"/>
  </r>
  <r>
    <x v="0"/>
    <x v="25"/>
    <x v="3"/>
    <x v="0"/>
    <x v="3"/>
    <n v="93"/>
    <n v="2.12E-2"/>
  </r>
  <r>
    <x v="0"/>
    <x v="25"/>
    <x v="3"/>
    <x v="0"/>
    <x v="4"/>
    <n v="102"/>
    <n v="5.33E-2"/>
  </r>
  <r>
    <x v="0"/>
    <x v="25"/>
    <x v="3"/>
    <x v="0"/>
    <x v="5"/>
    <n v="103"/>
    <n v="1.61E-2"/>
  </r>
  <r>
    <x v="0"/>
    <x v="25"/>
    <x v="3"/>
    <x v="0"/>
    <x v="6"/>
    <n v="108"/>
    <n v="1.6500000000000001E-2"/>
  </r>
  <r>
    <x v="0"/>
    <x v="25"/>
    <x v="3"/>
    <x v="0"/>
    <x v="7"/>
    <n v="110"/>
    <n v="4.6800000000000001E-2"/>
  </r>
  <r>
    <x v="0"/>
    <x v="25"/>
    <x v="3"/>
    <x v="0"/>
    <x v="8"/>
    <n v="101"/>
    <n v="7.1000000000000004E-3"/>
  </r>
  <r>
    <x v="0"/>
    <x v="25"/>
    <x v="3"/>
    <x v="0"/>
    <x v="9"/>
    <n v="92"/>
    <n v="1.6799999999999999E-2"/>
  </r>
  <r>
    <x v="0"/>
    <x v="25"/>
    <x v="3"/>
    <x v="0"/>
    <x v="10"/>
    <n v="99"/>
    <n v="1.7600000000000001E-2"/>
  </r>
  <r>
    <x v="0"/>
    <x v="25"/>
    <x v="3"/>
    <x v="0"/>
    <x v="11"/>
    <n v="103"/>
    <n v="2.1100000000000001E-2"/>
  </r>
  <r>
    <x v="0"/>
    <x v="25"/>
    <x v="3"/>
    <x v="0"/>
    <x v="12"/>
    <n v="105"/>
    <n v="2.4199999999999999E-2"/>
  </r>
  <r>
    <x v="0"/>
    <x v="25"/>
    <x v="3"/>
    <x v="0"/>
    <x v="13"/>
    <n v="98"/>
    <n v="1.6E-2"/>
  </r>
  <r>
    <x v="1"/>
    <x v="26"/>
    <x v="3"/>
    <x v="0"/>
    <x v="0"/>
    <n v="106"/>
    <n v="5.7099999999999998E-2"/>
  </r>
  <r>
    <x v="1"/>
    <x v="26"/>
    <x v="3"/>
    <x v="0"/>
    <x v="1"/>
    <n v="99"/>
    <n v="3.8E-3"/>
  </r>
  <r>
    <x v="1"/>
    <x v="26"/>
    <x v="3"/>
    <x v="0"/>
    <x v="2"/>
    <n v="101"/>
    <n v="1.34E-2"/>
  </r>
  <r>
    <x v="1"/>
    <x v="26"/>
    <x v="3"/>
    <x v="0"/>
    <x v="3"/>
    <n v="92"/>
    <n v="1.06E-2"/>
  </r>
  <r>
    <x v="1"/>
    <x v="26"/>
    <x v="3"/>
    <x v="0"/>
    <x v="4"/>
    <n v="115"/>
    <n v="3.27E-2"/>
  </r>
  <r>
    <x v="1"/>
    <x v="26"/>
    <x v="3"/>
    <x v="0"/>
    <x v="5"/>
    <n v="109"/>
    <n v="1.7000000000000001E-2"/>
  </r>
  <r>
    <x v="1"/>
    <x v="26"/>
    <x v="3"/>
    <x v="0"/>
    <x v="6"/>
    <n v="99"/>
    <n v="1.7299999999999999E-2"/>
  </r>
  <r>
    <x v="1"/>
    <x v="26"/>
    <x v="3"/>
    <x v="0"/>
    <x v="7"/>
    <n v="106"/>
    <n v="2.1700000000000001E-2"/>
  </r>
  <r>
    <x v="1"/>
    <x v="26"/>
    <x v="3"/>
    <x v="0"/>
    <x v="8"/>
    <n v="90"/>
    <n v="5.1999999999999998E-3"/>
  </r>
  <r>
    <x v="1"/>
    <x v="26"/>
    <x v="3"/>
    <x v="0"/>
    <x v="9"/>
    <n v="95"/>
    <n v="8.3999999999999995E-3"/>
  </r>
  <r>
    <x v="1"/>
    <x v="26"/>
    <x v="3"/>
    <x v="0"/>
    <x v="10"/>
    <n v="115"/>
    <n v="1.41E-2"/>
  </r>
  <r>
    <x v="1"/>
    <x v="26"/>
    <x v="3"/>
    <x v="0"/>
    <x v="11"/>
    <n v="112"/>
    <n v="1.34E-2"/>
  </r>
  <r>
    <x v="1"/>
    <x v="26"/>
    <x v="3"/>
    <x v="0"/>
    <x v="12"/>
    <n v="116"/>
    <n v="1.2800000000000001E-2"/>
  </r>
  <r>
    <x v="1"/>
    <x v="26"/>
    <x v="3"/>
    <x v="0"/>
    <x v="13"/>
    <n v="96"/>
    <n v="7.1999999999999998E-3"/>
  </r>
  <r>
    <x v="1"/>
    <x v="27"/>
    <x v="3"/>
    <x v="1"/>
    <x v="0"/>
    <n v="104"/>
    <n v="0.79610000000000003"/>
  </r>
  <r>
    <x v="1"/>
    <x v="27"/>
    <x v="3"/>
    <x v="1"/>
    <x v="1"/>
    <n v="101"/>
    <n v="0.36880000000000002"/>
  </r>
  <r>
    <x v="1"/>
    <x v="27"/>
    <x v="3"/>
    <x v="1"/>
    <x v="2"/>
    <n v="105"/>
    <n v="0.52039999999999997"/>
  </r>
  <r>
    <x v="1"/>
    <x v="27"/>
    <x v="3"/>
    <x v="1"/>
    <x v="3"/>
    <n v="104"/>
    <n v="0.44790000000000002"/>
  </r>
  <r>
    <x v="1"/>
    <x v="27"/>
    <x v="3"/>
    <x v="1"/>
    <x v="4"/>
    <n v="107"/>
    <n v="0.60870000000000002"/>
  </r>
  <r>
    <x v="1"/>
    <x v="27"/>
    <x v="3"/>
    <x v="1"/>
    <x v="5"/>
    <n v="110"/>
    <n v="0.24129999999999999"/>
  </r>
  <r>
    <x v="1"/>
    <x v="27"/>
    <x v="3"/>
    <x v="1"/>
    <x v="6"/>
    <n v="99"/>
    <n v="0.27600000000000002"/>
  </r>
  <r>
    <x v="1"/>
    <x v="27"/>
    <x v="3"/>
    <x v="1"/>
    <x v="7"/>
    <n v="103"/>
    <n v="0.57320000000000004"/>
  </r>
  <r>
    <x v="1"/>
    <x v="27"/>
    <x v="3"/>
    <x v="1"/>
    <x v="8"/>
    <n v="96"/>
    <n v="0.2482"/>
  </r>
  <r>
    <x v="1"/>
    <x v="27"/>
    <x v="3"/>
    <x v="1"/>
    <x v="9"/>
    <n v="106"/>
    <n v="0.39419999999999999"/>
  </r>
  <r>
    <x v="1"/>
    <x v="27"/>
    <x v="3"/>
    <x v="1"/>
    <x v="10"/>
    <n v="113"/>
    <n v="0.3014"/>
  </r>
  <r>
    <x v="1"/>
    <x v="27"/>
    <x v="3"/>
    <x v="1"/>
    <x v="11"/>
    <n v="112"/>
    <n v="0.37080000000000002"/>
  </r>
  <r>
    <x v="1"/>
    <x v="27"/>
    <x v="3"/>
    <x v="1"/>
    <x v="12"/>
    <n v="105"/>
    <n v="0.35170000000000001"/>
  </r>
  <r>
    <x v="1"/>
    <x v="27"/>
    <x v="3"/>
    <x v="1"/>
    <x v="13"/>
    <n v="100"/>
    <n v="0.44009999999999999"/>
  </r>
  <r>
    <x v="0"/>
    <x v="29"/>
    <x v="3"/>
    <x v="0"/>
    <x v="0"/>
    <n v="123"/>
    <n v="8.4400000000000003E-2"/>
  </r>
  <r>
    <x v="0"/>
    <x v="29"/>
    <x v="3"/>
    <x v="0"/>
    <x v="1"/>
    <n v="121"/>
    <n v="8.0000000000000002E-3"/>
  </r>
  <r>
    <x v="0"/>
    <x v="29"/>
    <x v="3"/>
    <x v="0"/>
    <x v="2"/>
    <n v="125"/>
    <n v="2.52E-2"/>
  </r>
  <r>
    <x v="0"/>
    <x v="29"/>
    <x v="3"/>
    <x v="0"/>
    <x v="3"/>
    <n v="132"/>
    <n v="2.1600000000000001E-2"/>
  </r>
  <r>
    <x v="0"/>
    <x v="29"/>
    <x v="3"/>
    <x v="0"/>
    <x v="4"/>
    <n v="124"/>
    <n v="5.11E-2"/>
  </r>
  <r>
    <x v="0"/>
    <x v="29"/>
    <x v="3"/>
    <x v="0"/>
    <x v="5"/>
    <n v="119"/>
    <n v="2.93E-2"/>
  </r>
  <r>
    <x v="0"/>
    <x v="29"/>
    <x v="3"/>
    <x v="0"/>
    <x v="6"/>
    <n v="114"/>
    <n v="2.8500000000000001E-2"/>
  </r>
  <r>
    <x v="0"/>
    <x v="29"/>
    <x v="3"/>
    <x v="0"/>
    <x v="7"/>
    <n v="122"/>
    <n v="3.2899999999999999E-2"/>
  </r>
  <r>
    <x v="0"/>
    <x v="29"/>
    <x v="3"/>
    <x v="0"/>
    <x v="8"/>
    <n v="116"/>
    <n v="9.4000000000000004E-3"/>
  </r>
  <r>
    <x v="0"/>
    <x v="29"/>
    <x v="3"/>
    <x v="0"/>
    <x v="9"/>
    <n v="135"/>
    <n v="1.77E-2"/>
  </r>
  <r>
    <x v="0"/>
    <x v="29"/>
    <x v="3"/>
    <x v="0"/>
    <x v="10"/>
    <n v="124"/>
    <n v="2.4799999999999999E-2"/>
  </r>
  <r>
    <x v="0"/>
    <x v="29"/>
    <x v="3"/>
    <x v="0"/>
    <x v="11"/>
    <n v="126"/>
    <n v="2.4E-2"/>
  </r>
  <r>
    <x v="0"/>
    <x v="29"/>
    <x v="3"/>
    <x v="0"/>
    <x v="12"/>
    <n v="125"/>
    <n v="2.3199999999999998E-2"/>
  </r>
  <r>
    <x v="0"/>
    <x v="29"/>
    <x v="3"/>
    <x v="0"/>
    <x v="13"/>
    <n v="120"/>
    <n v="1.29E-2"/>
  </r>
  <r>
    <x v="1"/>
    <x v="30"/>
    <x v="3"/>
    <x v="0"/>
    <x v="0"/>
    <n v="127"/>
    <n v="4.24E-2"/>
  </r>
  <r>
    <x v="1"/>
    <x v="30"/>
    <x v="3"/>
    <x v="0"/>
    <x v="1"/>
    <n v="147"/>
    <n v="1.1999999999999999E-3"/>
  </r>
  <r>
    <x v="1"/>
    <x v="30"/>
    <x v="3"/>
    <x v="0"/>
    <x v="2"/>
    <n v="91"/>
    <n v="5.1000000000000004E-3"/>
  </r>
  <r>
    <x v="1"/>
    <x v="30"/>
    <x v="3"/>
    <x v="0"/>
    <x v="3"/>
    <n v="116"/>
    <n v="6.4999999999999997E-3"/>
  </r>
  <r>
    <x v="1"/>
    <x v="30"/>
    <x v="3"/>
    <x v="0"/>
    <x v="4"/>
    <n v="130"/>
    <n v="2.64E-2"/>
  </r>
  <r>
    <x v="1"/>
    <x v="30"/>
    <x v="3"/>
    <x v="0"/>
    <x v="5"/>
    <n v="134"/>
    <n v="1.24E-2"/>
  </r>
  <r>
    <x v="1"/>
    <x v="30"/>
    <x v="3"/>
    <x v="0"/>
    <x v="6"/>
    <n v="133"/>
    <n v="1.2E-2"/>
  </r>
  <r>
    <x v="1"/>
    <x v="30"/>
    <x v="3"/>
    <x v="0"/>
    <x v="7"/>
    <n v="124"/>
    <n v="1.12E-2"/>
  </r>
  <r>
    <x v="1"/>
    <x v="30"/>
    <x v="3"/>
    <x v="0"/>
    <x v="8"/>
    <n v="148"/>
    <n v="2.5999999999999999E-3"/>
  </r>
  <r>
    <x v="1"/>
    <x v="30"/>
    <x v="3"/>
    <x v="0"/>
    <x v="9"/>
    <n v="114"/>
    <n v="4.1999999999999997E-3"/>
  </r>
  <r>
    <x v="1"/>
    <x v="30"/>
    <x v="3"/>
    <x v="0"/>
    <x v="10"/>
    <n v="123"/>
    <n v="1.1599999999999999E-2"/>
  </r>
  <r>
    <x v="1"/>
    <x v="30"/>
    <x v="3"/>
    <x v="0"/>
    <x v="11"/>
    <n v="128"/>
    <n v="1.0800000000000001E-2"/>
  </r>
  <r>
    <x v="1"/>
    <x v="30"/>
    <x v="3"/>
    <x v="0"/>
    <x v="12"/>
    <n v="127"/>
    <n v="1.03E-2"/>
  </r>
  <r>
    <x v="1"/>
    <x v="30"/>
    <x v="3"/>
    <x v="0"/>
    <x v="13"/>
    <n v="147"/>
    <n v="4.0000000000000001E-3"/>
  </r>
  <r>
    <x v="0"/>
    <x v="31"/>
    <x v="3"/>
    <x v="0"/>
    <x v="0"/>
    <n v="107"/>
    <n v="0.32490000000000002"/>
  </r>
  <r>
    <x v="0"/>
    <x v="31"/>
    <x v="3"/>
    <x v="0"/>
    <x v="1"/>
    <n v="109"/>
    <n v="5.1900000000000002E-2"/>
  </r>
  <r>
    <x v="0"/>
    <x v="31"/>
    <x v="3"/>
    <x v="0"/>
    <x v="2"/>
    <n v="109"/>
    <n v="0.12989999999999999"/>
  </r>
  <r>
    <x v="0"/>
    <x v="31"/>
    <x v="3"/>
    <x v="0"/>
    <x v="3"/>
    <n v="106"/>
    <n v="0.1305"/>
  </r>
  <r>
    <x v="0"/>
    <x v="31"/>
    <x v="3"/>
    <x v="0"/>
    <x v="4"/>
    <n v="107"/>
    <n v="0.21709999999999999"/>
  </r>
  <r>
    <x v="0"/>
    <x v="31"/>
    <x v="3"/>
    <x v="0"/>
    <x v="5"/>
    <n v="105"/>
    <n v="6.9500000000000006E-2"/>
  </r>
  <r>
    <x v="0"/>
    <x v="31"/>
    <x v="3"/>
    <x v="0"/>
    <x v="6"/>
    <n v="106"/>
    <n v="7.0999999999999994E-2"/>
  </r>
  <r>
    <x v="0"/>
    <x v="31"/>
    <x v="3"/>
    <x v="0"/>
    <x v="7"/>
    <n v="107"/>
    <n v="0.18440000000000001"/>
  </r>
  <r>
    <x v="0"/>
    <x v="31"/>
    <x v="3"/>
    <x v="0"/>
    <x v="8"/>
    <n v="109"/>
    <n v="3.7400000000000003E-2"/>
  </r>
  <r>
    <x v="0"/>
    <x v="31"/>
    <x v="3"/>
    <x v="0"/>
    <x v="9"/>
    <n v="107"/>
    <n v="0.1026"/>
  </r>
  <r>
    <x v="0"/>
    <x v="31"/>
    <x v="3"/>
    <x v="0"/>
    <x v="10"/>
    <n v="106"/>
    <n v="8.2699999999999996E-2"/>
  </r>
  <r>
    <x v="0"/>
    <x v="31"/>
    <x v="3"/>
    <x v="0"/>
    <x v="11"/>
    <n v="107"/>
    <n v="0.1072"/>
  </r>
  <r>
    <x v="0"/>
    <x v="31"/>
    <x v="3"/>
    <x v="0"/>
    <x v="12"/>
    <n v="108"/>
    <n v="0.12820000000000001"/>
  </r>
  <r>
    <x v="0"/>
    <x v="31"/>
    <x v="3"/>
    <x v="0"/>
    <x v="13"/>
    <n v="107"/>
    <n v="7.7399999999999997E-2"/>
  </r>
  <r>
    <x v="0"/>
    <x v="32"/>
    <x v="3"/>
    <x v="0"/>
    <x v="0"/>
    <n v="28"/>
    <n v="9.4999999999999998E-3"/>
  </r>
  <r>
    <x v="0"/>
    <x v="32"/>
    <x v="3"/>
    <x v="0"/>
    <x v="2"/>
    <n v="24"/>
    <n v="3.2000000000000002E-3"/>
  </r>
  <r>
    <x v="0"/>
    <x v="32"/>
    <x v="3"/>
    <x v="0"/>
    <x v="3"/>
    <n v="26"/>
    <n v="3.0999999999999999E-3"/>
  </r>
  <r>
    <x v="0"/>
    <x v="32"/>
    <x v="3"/>
    <x v="0"/>
    <x v="4"/>
    <n v="32"/>
    <n v="6.4000000000000003E-3"/>
  </r>
  <r>
    <x v="0"/>
    <x v="32"/>
    <x v="3"/>
    <x v="0"/>
    <x v="5"/>
    <n v="29"/>
    <n v="4.1999999999999997E-3"/>
  </r>
  <r>
    <x v="0"/>
    <x v="32"/>
    <x v="3"/>
    <x v="0"/>
    <x v="6"/>
    <n v="29"/>
    <n v="3.5000000000000001E-3"/>
  </r>
  <r>
    <x v="0"/>
    <x v="32"/>
    <x v="3"/>
    <x v="0"/>
    <x v="7"/>
    <n v="25"/>
    <n v="4.1999999999999997E-3"/>
  </r>
  <r>
    <x v="0"/>
    <x v="32"/>
    <x v="3"/>
    <x v="0"/>
    <x v="8"/>
    <n v="28"/>
    <n v="1E-3"/>
  </r>
  <r>
    <x v="0"/>
    <x v="32"/>
    <x v="3"/>
    <x v="0"/>
    <x v="9"/>
    <n v="26"/>
    <n v="2.5000000000000001E-3"/>
  </r>
  <r>
    <x v="0"/>
    <x v="32"/>
    <x v="3"/>
    <x v="0"/>
    <x v="10"/>
    <n v="31"/>
    <n v="3.8E-3"/>
  </r>
  <r>
    <x v="0"/>
    <x v="32"/>
    <x v="3"/>
    <x v="0"/>
    <x v="11"/>
    <n v="32"/>
    <n v="3.8E-3"/>
  </r>
  <r>
    <x v="0"/>
    <x v="32"/>
    <x v="3"/>
    <x v="0"/>
    <x v="12"/>
    <n v="29"/>
    <n v="3.3E-3"/>
  </r>
  <r>
    <x v="0"/>
    <x v="32"/>
    <x v="3"/>
    <x v="0"/>
    <x v="13"/>
    <n v="28"/>
    <n v="1.1999999999999999E-3"/>
  </r>
  <r>
    <x v="0"/>
    <x v="33"/>
    <x v="3"/>
    <x v="0"/>
    <x v="0"/>
    <n v="103"/>
    <n v="4.7399999999999998E-2"/>
  </r>
  <r>
    <x v="0"/>
    <x v="33"/>
    <x v="3"/>
    <x v="0"/>
    <x v="1"/>
    <n v="90"/>
    <n v="4.3E-3"/>
  </r>
  <r>
    <x v="0"/>
    <x v="33"/>
    <x v="3"/>
    <x v="0"/>
    <x v="2"/>
    <n v="101"/>
    <n v="1.34E-2"/>
  </r>
  <r>
    <x v="0"/>
    <x v="33"/>
    <x v="3"/>
    <x v="0"/>
    <x v="3"/>
    <n v="100"/>
    <n v="1.2E-2"/>
  </r>
  <r>
    <x v="0"/>
    <x v="33"/>
    <x v="3"/>
    <x v="0"/>
    <x v="4"/>
    <n v="110"/>
    <n v="2.75E-2"/>
  </r>
  <r>
    <x v="0"/>
    <x v="33"/>
    <x v="3"/>
    <x v="0"/>
    <x v="5"/>
    <n v="105"/>
    <n v="1.7000000000000001E-2"/>
  </r>
  <r>
    <x v="0"/>
    <x v="33"/>
    <x v="3"/>
    <x v="0"/>
    <x v="6"/>
    <n v="99"/>
    <n v="1.7100000000000001E-2"/>
  </r>
  <r>
    <x v="0"/>
    <x v="33"/>
    <x v="3"/>
    <x v="0"/>
    <x v="7"/>
    <n v="97"/>
    <n v="1.49E-2"/>
  </r>
  <r>
    <x v="0"/>
    <x v="33"/>
    <x v="3"/>
    <x v="0"/>
    <x v="8"/>
    <n v="80"/>
    <n v="4.4999999999999997E-3"/>
  </r>
  <r>
    <x v="0"/>
    <x v="33"/>
    <x v="3"/>
    <x v="0"/>
    <x v="9"/>
    <n v="98"/>
    <n v="9.2999999999999992E-3"/>
  </r>
  <r>
    <x v="0"/>
    <x v="33"/>
    <x v="3"/>
    <x v="0"/>
    <x v="10"/>
    <n v="111"/>
    <n v="1.3599999999999999E-2"/>
  </r>
  <r>
    <x v="0"/>
    <x v="33"/>
    <x v="3"/>
    <x v="0"/>
    <x v="11"/>
    <n v="106"/>
    <n v="1.29E-2"/>
  </r>
  <r>
    <x v="0"/>
    <x v="33"/>
    <x v="3"/>
    <x v="0"/>
    <x v="12"/>
    <n v="107"/>
    <n v="1.1299999999999999E-2"/>
  </r>
  <r>
    <x v="0"/>
    <x v="33"/>
    <x v="3"/>
    <x v="0"/>
    <x v="13"/>
    <n v="93"/>
    <n v="7.7000000000000002E-3"/>
  </r>
  <r>
    <x v="1"/>
    <x v="34"/>
    <x v="3"/>
    <x v="0"/>
    <x v="0"/>
    <n v="65"/>
    <n v="0.18290000000000001"/>
  </r>
  <r>
    <x v="1"/>
    <x v="34"/>
    <x v="3"/>
    <x v="0"/>
    <x v="1"/>
    <n v="64"/>
    <n v="2.0899999999999998E-2"/>
  </r>
  <r>
    <x v="1"/>
    <x v="34"/>
    <x v="3"/>
    <x v="0"/>
    <x v="2"/>
    <n v="65"/>
    <n v="5.2600000000000001E-2"/>
  </r>
  <r>
    <x v="1"/>
    <x v="34"/>
    <x v="3"/>
    <x v="0"/>
    <x v="3"/>
    <n v="67"/>
    <n v="5.2400000000000002E-2"/>
  </r>
  <r>
    <x v="1"/>
    <x v="34"/>
    <x v="3"/>
    <x v="0"/>
    <x v="4"/>
    <n v="63"/>
    <n v="0.10249999999999999"/>
  </r>
  <r>
    <x v="1"/>
    <x v="34"/>
    <x v="3"/>
    <x v="0"/>
    <x v="5"/>
    <n v="67"/>
    <n v="1.4500000000000001E-2"/>
  </r>
  <r>
    <x v="1"/>
    <x v="34"/>
    <x v="3"/>
    <x v="0"/>
    <x v="6"/>
    <n v="74"/>
    <n v="1.9199999999999998E-2"/>
  </r>
  <r>
    <x v="1"/>
    <x v="34"/>
    <x v="3"/>
    <x v="0"/>
    <x v="7"/>
    <n v="67"/>
    <n v="7.6499999999999999E-2"/>
  </r>
  <r>
    <x v="1"/>
    <x v="34"/>
    <x v="3"/>
    <x v="0"/>
    <x v="8"/>
    <n v="76"/>
    <n v="1.26E-2"/>
  </r>
  <r>
    <x v="1"/>
    <x v="34"/>
    <x v="3"/>
    <x v="0"/>
    <x v="9"/>
    <n v="66"/>
    <n v="3.8899999999999997E-2"/>
  </r>
  <r>
    <x v="1"/>
    <x v="34"/>
    <x v="3"/>
    <x v="0"/>
    <x v="10"/>
    <n v="58"/>
    <n v="1.6500000000000001E-2"/>
  </r>
  <r>
    <x v="1"/>
    <x v="34"/>
    <x v="3"/>
    <x v="0"/>
    <x v="11"/>
    <n v="62"/>
    <n v="2.4E-2"/>
  </r>
  <r>
    <x v="1"/>
    <x v="34"/>
    <x v="3"/>
    <x v="0"/>
    <x v="12"/>
    <n v="64"/>
    <n v="4.0399999999999998E-2"/>
  </r>
  <r>
    <x v="1"/>
    <x v="34"/>
    <x v="3"/>
    <x v="0"/>
    <x v="13"/>
    <n v="65"/>
    <n v="3.1300000000000001E-2"/>
  </r>
  <r>
    <x v="0"/>
    <x v="35"/>
    <x v="3"/>
    <x v="0"/>
    <x v="0"/>
    <n v="76"/>
    <n v="1.7100000000000001E-2"/>
  </r>
  <r>
    <x v="0"/>
    <x v="35"/>
    <x v="3"/>
    <x v="0"/>
    <x v="1"/>
    <n v="77"/>
    <n v="1.6000000000000001E-3"/>
  </r>
  <r>
    <x v="0"/>
    <x v="35"/>
    <x v="3"/>
    <x v="0"/>
    <x v="2"/>
    <n v="78"/>
    <n v="4.3E-3"/>
  </r>
  <r>
    <x v="0"/>
    <x v="35"/>
    <x v="3"/>
    <x v="0"/>
    <x v="3"/>
    <n v="67"/>
    <n v="4.4000000000000003E-3"/>
  </r>
  <r>
    <x v="0"/>
    <x v="35"/>
    <x v="3"/>
    <x v="0"/>
    <x v="4"/>
    <n v="73"/>
    <n v="6.8999999999999999E-3"/>
  </r>
  <r>
    <x v="0"/>
    <x v="35"/>
    <x v="3"/>
    <x v="0"/>
    <x v="5"/>
    <n v="68"/>
    <n v="1.9E-3"/>
  </r>
  <r>
    <x v="0"/>
    <x v="35"/>
    <x v="3"/>
    <x v="0"/>
    <x v="6"/>
    <n v="72"/>
    <n v="2.2000000000000001E-3"/>
  </r>
  <r>
    <x v="0"/>
    <x v="35"/>
    <x v="3"/>
    <x v="0"/>
    <x v="7"/>
    <n v="71"/>
    <n v="5.0000000000000001E-3"/>
  </r>
  <r>
    <x v="0"/>
    <x v="35"/>
    <x v="3"/>
    <x v="0"/>
    <x v="8"/>
    <n v="80"/>
    <n v="1E-3"/>
  </r>
  <r>
    <x v="0"/>
    <x v="35"/>
    <x v="3"/>
    <x v="0"/>
    <x v="9"/>
    <n v="69"/>
    <n v="3.0999999999999999E-3"/>
  </r>
  <r>
    <x v="0"/>
    <x v="35"/>
    <x v="3"/>
    <x v="0"/>
    <x v="10"/>
    <n v="81"/>
    <n v="1.8E-3"/>
  </r>
  <r>
    <x v="0"/>
    <x v="35"/>
    <x v="3"/>
    <x v="0"/>
    <x v="11"/>
    <n v="79"/>
    <n v="1.6999999999999999E-3"/>
  </r>
  <r>
    <x v="0"/>
    <x v="35"/>
    <x v="3"/>
    <x v="0"/>
    <x v="12"/>
    <n v="82"/>
    <n v="2E-3"/>
  </r>
  <r>
    <x v="0"/>
    <x v="35"/>
    <x v="3"/>
    <x v="0"/>
    <x v="13"/>
    <n v="76"/>
    <n v="2.3999999999999998E-3"/>
  </r>
  <r>
    <x v="0"/>
    <x v="36"/>
    <x v="3"/>
    <x v="0"/>
    <x v="0"/>
    <n v="97"/>
    <n v="0.28520000000000001"/>
  </r>
  <r>
    <x v="0"/>
    <x v="36"/>
    <x v="3"/>
    <x v="0"/>
    <x v="1"/>
    <n v="97"/>
    <n v="3.7699999999999997E-2"/>
  </r>
  <r>
    <x v="0"/>
    <x v="36"/>
    <x v="3"/>
    <x v="0"/>
    <x v="2"/>
    <n v="98"/>
    <n v="0.1012"/>
  </r>
  <r>
    <x v="0"/>
    <x v="36"/>
    <x v="3"/>
    <x v="0"/>
    <x v="3"/>
    <n v="98"/>
    <n v="9.0200000000000002E-2"/>
  </r>
  <r>
    <x v="0"/>
    <x v="36"/>
    <x v="3"/>
    <x v="0"/>
    <x v="4"/>
    <n v="93"/>
    <n v="0.1709"/>
  </r>
  <r>
    <x v="0"/>
    <x v="36"/>
    <x v="3"/>
    <x v="0"/>
    <x v="5"/>
    <n v="99"/>
    <n v="5.1799999999999999E-2"/>
  </r>
  <r>
    <x v="0"/>
    <x v="36"/>
    <x v="3"/>
    <x v="0"/>
    <x v="6"/>
    <n v="100"/>
    <n v="5.5500000000000001E-2"/>
  </r>
  <r>
    <x v="0"/>
    <x v="36"/>
    <x v="3"/>
    <x v="0"/>
    <x v="7"/>
    <n v="99"/>
    <n v="0.14560000000000001"/>
  </r>
  <r>
    <x v="0"/>
    <x v="36"/>
    <x v="3"/>
    <x v="0"/>
    <x v="8"/>
    <n v="100"/>
    <n v="2.8400000000000002E-2"/>
  </r>
  <r>
    <x v="0"/>
    <x v="36"/>
    <x v="3"/>
    <x v="0"/>
    <x v="9"/>
    <n v="99"/>
    <n v="6.8400000000000002E-2"/>
  </r>
  <r>
    <x v="0"/>
    <x v="36"/>
    <x v="3"/>
    <x v="0"/>
    <x v="10"/>
    <n v="96"/>
    <n v="5.4399999999999997E-2"/>
  </r>
  <r>
    <x v="0"/>
    <x v="36"/>
    <x v="3"/>
    <x v="0"/>
    <x v="11"/>
    <n v="95"/>
    <n v="7.0199999999999999E-2"/>
  </r>
  <r>
    <x v="0"/>
    <x v="36"/>
    <x v="3"/>
    <x v="0"/>
    <x v="12"/>
    <n v="92"/>
    <n v="8.09E-2"/>
  </r>
  <r>
    <x v="0"/>
    <x v="36"/>
    <x v="3"/>
    <x v="0"/>
    <x v="13"/>
    <n v="99"/>
    <n v="6.13E-2"/>
  </r>
  <r>
    <x v="0"/>
    <x v="37"/>
    <x v="3"/>
    <x v="0"/>
    <x v="0"/>
    <n v="88"/>
    <n v="0.4289"/>
  </r>
  <r>
    <x v="0"/>
    <x v="37"/>
    <x v="3"/>
    <x v="0"/>
    <x v="1"/>
    <n v="91"/>
    <n v="5.1200000000000002E-2"/>
  </r>
  <r>
    <x v="0"/>
    <x v="37"/>
    <x v="3"/>
    <x v="0"/>
    <x v="2"/>
    <n v="82"/>
    <n v="0.15060000000000001"/>
  </r>
  <r>
    <x v="0"/>
    <x v="37"/>
    <x v="3"/>
    <x v="0"/>
    <x v="3"/>
    <n v="88"/>
    <n v="0.14449999999999999"/>
  </r>
  <r>
    <x v="0"/>
    <x v="37"/>
    <x v="3"/>
    <x v="0"/>
    <x v="4"/>
    <n v="89"/>
    <n v="0.33679999999999999"/>
  </r>
  <r>
    <x v="0"/>
    <x v="37"/>
    <x v="3"/>
    <x v="0"/>
    <x v="5"/>
    <n v="87"/>
    <n v="0.20660000000000001"/>
  </r>
  <r>
    <x v="0"/>
    <x v="37"/>
    <x v="3"/>
    <x v="0"/>
    <x v="6"/>
    <n v="90"/>
    <n v="0.18210000000000001"/>
  </r>
  <r>
    <x v="0"/>
    <x v="37"/>
    <x v="3"/>
    <x v="0"/>
    <x v="7"/>
    <n v="89"/>
    <n v="0.22689999999999999"/>
  </r>
  <r>
    <x v="0"/>
    <x v="37"/>
    <x v="3"/>
    <x v="0"/>
    <x v="8"/>
    <n v="90"/>
    <n v="5.4800000000000001E-2"/>
  </r>
  <r>
    <x v="0"/>
    <x v="37"/>
    <x v="3"/>
    <x v="0"/>
    <x v="9"/>
    <n v="87"/>
    <n v="0.114"/>
  </r>
  <r>
    <x v="0"/>
    <x v="37"/>
    <x v="3"/>
    <x v="0"/>
    <x v="10"/>
    <n v="85"/>
    <n v="0.21099999999999999"/>
  </r>
  <r>
    <x v="0"/>
    <x v="37"/>
    <x v="3"/>
    <x v="0"/>
    <x v="11"/>
    <n v="88"/>
    <n v="0.219"/>
  </r>
  <r>
    <x v="0"/>
    <x v="37"/>
    <x v="3"/>
    <x v="0"/>
    <x v="12"/>
    <n v="89"/>
    <n v="0.20710000000000001"/>
  </r>
  <r>
    <x v="0"/>
    <x v="37"/>
    <x v="3"/>
    <x v="0"/>
    <x v="13"/>
    <n v="92"/>
    <n v="8.6400000000000005E-2"/>
  </r>
  <r>
    <x v="0"/>
    <x v="38"/>
    <x v="3"/>
    <x v="0"/>
    <x v="0"/>
    <n v="34"/>
    <n v="3.7600000000000001E-2"/>
  </r>
  <r>
    <x v="0"/>
    <x v="38"/>
    <x v="3"/>
    <x v="0"/>
    <x v="1"/>
    <n v="30"/>
    <n v="1.8E-3"/>
  </r>
  <r>
    <x v="0"/>
    <x v="38"/>
    <x v="3"/>
    <x v="0"/>
    <x v="2"/>
    <n v="33"/>
    <n v="1.2699999999999999E-2"/>
  </r>
  <r>
    <x v="0"/>
    <x v="38"/>
    <x v="3"/>
    <x v="0"/>
    <x v="3"/>
    <n v="37"/>
    <n v="1.24E-2"/>
  </r>
  <r>
    <x v="0"/>
    <x v="38"/>
    <x v="3"/>
    <x v="0"/>
    <x v="4"/>
    <n v="38"/>
    <n v="2.3400000000000001E-2"/>
  </r>
  <r>
    <x v="0"/>
    <x v="38"/>
    <x v="3"/>
    <x v="0"/>
    <x v="5"/>
    <n v="31"/>
    <n v="1.18E-2"/>
  </r>
  <r>
    <x v="0"/>
    <x v="38"/>
    <x v="3"/>
    <x v="0"/>
    <x v="6"/>
    <n v="32"/>
    <n v="0.01"/>
  </r>
  <r>
    <x v="0"/>
    <x v="38"/>
    <x v="3"/>
    <x v="0"/>
    <x v="7"/>
    <n v="32"/>
    <n v="1.72E-2"/>
  </r>
  <r>
    <x v="0"/>
    <x v="38"/>
    <x v="3"/>
    <x v="0"/>
    <x v="8"/>
    <n v="35"/>
    <n v="2E-3"/>
  </r>
  <r>
    <x v="0"/>
    <x v="38"/>
    <x v="3"/>
    <x v="0"/>
    <x v="9"/>
    <n v="36"/>
    <n v="1.03E-2"/>
  </r>
  <r>
    <x v="0"/>
    <x v="38"/>
    <x v="3"/>
    <x v="0"/>
    <x v="10"/>
    <n v="36"/>
    <n v="1.14E-2"/>
  </r>
  <r>
    <x v="0"/>
    <x v="38"/>
    <x v="3"/>
    <x v="0"/>
    <x v="11"/>
    <n v="37"/>
    <n v="1.23E-2"/>
  </r>
  <r>
    <x v="0"/>
    <x v="38"/>
    <x v="3"/>
    <x v="0"/>
    <x v="12"/>
    <n v="40"/>
    <n v="1.11E-2"/>
  </r>
  <r>
    <x v="0"/>
    <x v="38"/>
    <x v="3"/>
    <x v="0"/>
    <x v="13"/>
    <n v="33"/>
    <n v="4.0000000000000001E-3"/>
  </r>
  <r>
    <x v="0"/>
    <x v="39"/>
    <x v="3"/>
    <x v="0"/>
    <x v="0"/>
    <n v="94"/>
    <n v="0.33160000000000001"/>
  </r>
  <r>
    <x v="0"/>
    <x v="39"/>
    <x v="3"/>
    <x v="0"/>
    <x v="1"/>
    <n v="104"/>
    <n v="2.92E-2"/>
  </r>
  <r>
    <x v="0"/>
    <x v="39"/>
    <x v="3"/>
    <x v="0"/>
    <x v="2"/>
    <n v="86"/>
    <n v="0.1101"/>
  </r>
  <r>
    <x v="0"/>
    <x v="39"/>
    <x v="3"/>
    <x v="0"/>
    <x v="3"/>
    <n v="89"/>
    <n v="9.9400000000000002E-2"/>
  </r>
  <r>
    <x v="0"/>
    <x v="39"/>
    <x v="3"/>
    <x v="0"/>
    <x v="4"/>
    <n v="98"/>
    <n v="0.22220000000000001"/>
  </r>
  <r>
    <x v="0"/>
    <x v="39"/>
    <x v="3"/>
    <x v="0"/>
    <x v="5"/>
    <n v="95"/>
    <n v="0.1191"/>
  </r>
  <r>
    <x v="0"/>
    <x v="39"/>
    <x v="3"/>
    <x v="0"/>
    <x v="6"/>
    <n v="93"/>
    <n v="0.1076"/>
  </r>
  <r>
    <x v="0"/>
    <x v="39"/>
    <x v="3"/>
    <x v="0"/>
    <x v="7"/>
    <n v="97"/>
    <n v="0.15310000000000001"/>
  </r>
  <r>
    <x v="0"/>
    <x v="39"/>
    <x v="3"/>
    <x v="0"/>
    <x v="8"/>
    <n v="97"/>
    <n v="3.1E-2"/>
  </r>
  <r>
    <x v="0"/>
    <x v="39"/>
    <x v="3"/>
    <x v="0"/>
    <x v="9"/>
    <n v="88"/>
    <n v="7.8700000000000006E-2"/>
  </r>
  <r>
    <x v="0"/>
    <x v="39"/>
    <x v="3"/>
    <x v="0"/>
    <x v="10"/>
    <n v="97"/>
    <n v="0.1168"/>
  </r>
  <r>
    <x v="0"/>
    <x v="39"/>
    <x v="3"/>
    <x v="0"/>
    <x v="11"/>
    <n v="98"/>
    <n v="0.11840000000000001"/>
  </r>
  <r>
    <x v="0"/>
    <x v="39"/>
    <x v="3"/>
    <x v="0"/>
    <x v="12"/>
    <n v="99"/>
    <n v="0.11260000000000001"/>
  </r>
  <r>
    <x v="0"/>
    <x v="39"/>
    <x v="3"/>
    <x v="0"/>
    <x v="13"/>
    <n v="99"/>
    <n v="4.7800000000000002E-2"/>
  </r>
  <r>
    <x v="0"/>
    <x v="40"/>
    <x v="3"/>
    <x v="0"/>
    <x v="0"/>
    <n v="98"/>
    <n v="5.6399999999999999E-2"/>
  </r>
  <r>
    <x v="0"/>
    <x v="40"/>
    <x v="3"/>
    <x v="0"/>
    <x v="1"/>
    <n v="89"/>
    <n v="3.0000000000000001E-3"/>
  </r>
  <r>
    <x v="0"/>
    <x v="40"/>
    <x v="3"/>
    <x v="0"/>
    <x v="2"/>
    <n v="101"/>
    <n v="1.66E-2"/>
  </r>
  <r>
    <x v="0"/>
    <x v="40"/>
    <x v="3"/>
    <x v="0"/>
    <x v="3"/>
    <n v="84"/>
    <n v="1.4200000000000001E-2"/>
  </r>
  <r>
    <x v="0"/>
    <x v="40"/>
    <x v="3"/>
    <x v="0"/>
    <x v="4"/>
    <n v="105"/>
    <n v="3.5999999999999997E-2"/>
  </r>
  <r>
    <x v="0"/>
    <x v="40"/>
    <x v="3"/>
    <x v="0"/>
    <x v="5"/>
    <n v="88"/>
    <n v="1.23E-2"/>
  </r>
  <r>
    <x v="0"/>
    <x v="40"/>
    <x v="3"/>
    <x v="0"/>
    <x v="6"/>
    <n v="87"/>
    <n v="1.0999999999999999E-2"/>
  </r>
  <r>
    <x v="0"/>
    <x v="40"/>
    <x v="3"/>
    <x v="0"/>
    <x v="7"/>
    <n v="85"/>
    <n v="1.67E-2"/>
  </r>
  <r>
    <x v="0"/>
    <x v="40"/>
    <x v="3"/>
    <x v="0"/>
    <x v="8"/>
    <n v="80"/>
    <n v="3.0000000000000001E-3"/>
  </r>
  <r>
    <x v="0"/>
    <x v="40"/>
    <x v="3"/>
    <x v="0"/>
    <x v="9"/>
    <n v="81"/>
    <n v="1.0200000000000001E-2"/>
  </r>
  <r>
    <x v="0"/>
    <x v="40"/>
    <x v="3"/>
    <x v="0"/>
    <x v="10"/>
    <n v="105"/>
    <n v="1.2999999999999999E-2"/>
  </r>
  <r>
    <x v="0"/>
    <x v="40"/>
    <x v="3"/>
    <x v="0"/>
    <x v="11"/>
    <n v="109"/>
    <n v="1.5599999999999999E-2"/>
  </r>
  <r>
    <x v="0"/>
    <x v="40"/>
    <x v="3"/>
    <x v="0"/>
    <x v="12"/>
    <n v="107"/>
    <n v="1.5699999999999999E-2"/>
  </r>
  <r>
    <x v="0"/>
    <x v="40"/>
    <x v="3"/>
    <x v="0"/>
    <x v="13"/>
    <n v="92"/>
    <n v="4.7000000000000002E-3"/>
  </r>
  <r>
    <x v="0"/>
    <x v="41"/>
    <x v="3"/>
    <x v="0"/>
    <x v="0"/>
    <n v="129"/>
    <n v="6.3299999999999995E-2"/>
  </r>
  <r>
    <x v="0"/>
    <x v="41"/>
    <x v="3"/>
    <x v="0"/>
    <x v="1"/>
    <n v="151"/>
    <n v="2.8999999999999998E-3"/>
  </r>
  <r>
    <x v="0"/>
    <x v="41"/>
    <x v="3"/>
    <x v="0"/>
    <x v="2"/>
    <n v="130"/>
    <n v="1.3299999999999999E-2"/>
  </r>
  <r>
    <x v="0"/>
    <x v="41"/>
    <x v="3"/>
    <x v="0"/>
    <x v="3"/>
    <n v="124"/>
    <n v="1.2E-2"/>
  </r>
  <r>
    <x v="0"/>
    <x v="41"/>
    <x v="3"/>
    <x v="0"/>
    <x v="4"/>
    <n v="125"/>
    <n v="3.6700000000000003E-2"/>
  </r>
  <r>
    <x v="0"/>
    <x v="41"/>
    <x v="3"/>
    <x v="0"/>
    <x v="5"/>
    <n v="127"/>
    <n v="1.3599999999999999E-2"/>
  </r>
  <r>
    <x v="0"/>
    <x v="41"/>
    <x v="3"/>
    <x v="0"/>
    <x v="6"/>
    <n v="121"/>
    <n v="1.2200000000000001E-2"/>
  </r>
  <r>
    <x v="0"/>
    <x v="41"/>
    <x v="3"/>
    <x v="0"/>
    <x v="7"/>
    <n v="129"/>
    <n v="1.9800000000000002E-2"/>
  </r>
  <r>
    <x v="0"/>
    <x v="41"/>
    <x v="3"/>
    <x v="0"/>
    <x v="8"/>
    <n v="132"/>
    <n v="3.2000000000000002E-3"/>
  </r>
  <r>
    <x v="0"/>
    <x v="41"/>
    <x v="3"/>
    <x v="0"/>
    <x v="9"/>
    <n v="122"/>
    <n v="8.6E-3"/>
  </r>
  <r>
    <x v="0"/>
    <x v="41"/>
    <x v="3"/>
    <x v="0"/>
    <x v="10"/>
    <n v="123"/>
    <n v="1.2800000000000001E-2"/>
  </r>
  <r>
    <x v="0"/>
    <x v="41"/>
    <x v="3"/>
    <x v="0"/>
    <x v="11"/>
    <n v="128"/>
    <n v="1.5100000000000001E-2"/>
  </r>
  <r>
    <x v="0"/>
    <x v="41"/>
    <x v="3"/>
    <x v="0"/>
    <x v="12"/>
    <n v="136"/>
    <n v="1.4500000000000001E-2"/>
  </r>
  <r>
    <x v="0"/>
    <x v="41"/>
    <x v="3"/>
    <x v="0"/>
    <x v="13"/>
    <n v="140"/>
    <n v="5.0000000000000001E-3"/>
  </r>
  <r>
    <x v="0"/>
    <x v="42"/>
    <x v="3"/>
    <x v="0"/>
    <x v="0"/>
    <n v="105"/>
    <n v="0.3599"/>
  </r>
  <r>
    <x v="0"/>
    <x v="42"/>
    <x v="3"/>
    <x v="0"/>
    <x v="1"/>
    <n v="108"/>
    <n v="6.6000000000000003E-2"/>
  </r>
  <r>
    <x v="0"/>
    <x v="42"/>
    <x v="3"/>
    <x v="0"/>
    <x v="2"/>
    <n v="108"/>
    <n v="0.1608"/>
  </r>
  <r>
    <x v="0"/>
    <x v="42"/>
    <x v="3"/>
    <x v="0"/>
    <x v="3"/>
    <n v="105"/>
    <n v="0.16450000000000001"/>
  </r>
  <r>
    <x v="0"/>
    <x v="42"/>
    <x v="3"/>
    <x v="0"/>
    <x v="4"/>
    <n v="104"/>
    <n v="0.25040000000000001"/>
  </r>
  <r>
    <x v="0"/>
    <x v="42"/>
    <x v="3"/>
    <x v="0"/>
    <x v="5"/>
    <n v="100"/>
    <n v="9.06E-2"/>
  </r>
  <r>
    <x v="0"/>
    <x v="42"/>
    <x v="3"/>
    <x v="0"/>
    <x v="6"/>
    <n v="100"/>
    <n v="8.5900000000000004E-2"/>
  </r>
  <r>
    <x v="0"/>
    <x v="42"/>
    <x v="3"/>
    <x v="0"/>
    <x v="7"/>
    <n v="107"/>
    <n v="0.2233"/>
  </r>
  <r>
    <x v="0"/>
    <x v="42"/>
    <x v="3"/>
    <x v="0"/>
    <x v="8"/>
    <n v="106"/>
    <n v="4.3400000000000001E-2"/>
  </r>
  <r>
    <x v="0"/>
    <x v="42"/>
    <x v="3"/>
    <x v="0"/>
    <x v="9"/>
    <n v="106"/>
    <n v="0.1361"/>
  </r>
  <r>
    <x v="0"/>
    <x v="42"/>
    <x v="3"/>
    <x v="0"/>
    <x v="10"/>
    <n v="103"/>
    <n v="0.105"/>
  </r>
  <r>
    <x v="0"/>
    <x v="42"/>
    <x v="3"/>
    <x v="0"/>
    <x v="11"/>
    <n v="106"/>
    <n v="0.13159999999999999"/>
  </r>
  <r>
    <x v="0"/>
    <x v="42"/>
    <x v="3"/>
    <x v="0"/>
    <x v="12"/>
    <n v="106"/>
    <n v="0.15479999999999999"/>
  </r>
  <r>
    <x v="0"/>
    <x v="42"/>
    <x v="3"/>
    <x v="0"/>
    <x v="13"/>
    <n v="105"/>
    <n v="0.11700000000000001"/>
  </r>
  <r>
    <x v="1"/>
    <x v="43"/>
    <x v="3"/>
    <x v="1"/>
    <x v="0"/>
    <n v="95"/>
    <n v="0.65159999999999996"/>
  </r>
  <r>
    <x v="1"/>
    <x v="43"/>
    <x v="3"/>
    <x v="1"/>
    <x v="1"/>
    <n v="82"/>
    <n v="0.1431"/>
  </r>
  <r>
    <x v="1"/>
    <x v="43"/>
    <x v="3"/>
    <x v="1"/>
    <x v="2"/>
    <n v="90"/>
    <n v="0.26629999999999998"/>
  </r>
  <r>
    <x v="1"/>
    <x v="43"/>
    <x v="3"/>
    <x v="1"/>
    <x v="3"/>
    <n v="100"/>
    <n v="0.28439999999999999"/>
  </r>
  <r>
    <x v="1"/>
    <x v="43"/>
    <x v="3"/>
    <x v="1"/>
    <x v="4"/>
    <n v="97"/>
    <n v="0.44990000000000002"/>
  </r>
  <r>
    <x v="1"/>
    <x v="43"/>
    <x v="3"/>
    <x v="1"/>
    <x v="5"/>
    <n v="87"/>
    <n v="0.10970000000000001"/>
  </r>
  <r>
    <x v="1"/>
    <x v="43"/>
    <x v="3"/>
    <x v="1"/>
    <x v="6"/>
    <n v="85"/>
    <n v="0.1217"/>
  </r>
  <r>
    <x v="1"/>
    <x v="43"/>
    <x v="3"/>
    <x v="1"/>
    <x v="7"/>
    <n v="111"/>
    <n v="0.38419999999999999"/>
  </r>
  <r>
    <x v="1"/>
    <x v="43"/>
    <x v="3"/>
    <x v="1"/>
    <x v="8"/>
    <n v="81"/>
    <n v="9.1300000000000006E-2"/>
  </r>
  <r>
    <x v="1"/>
    <x v="43"/>
    <x v="3"/>
    <x v="1"/>
    <x v="9"/>
    <n v="102"/>
    <n v="0.23"/>
  </r>
  <r>
    <x v="1"/>
    <x v="43"/>
    <x v="3"/>
    <x v="1"/>
    <x v="10"/>
    <n v="92"/>
    <n v="0.13719999999999999"/>
  </r>
  <r>
    <x v="1"/>
    <x v="43"/>
    <x v="3"/>
    <x v="1"/>
    <x v="11"/>
    <n v="92"/>
    <n v="0.19739999999999999"/>
  </r>
  <r>
    <x v="1"/>
    <x v="43"/>
    <x v="3"/>
    <x v="1"/>
    <x v="12"/>
    <n v="101"/>
    <n v="0.247"/>
  </r>
  <r>
    <x v="1"/>
    <x v="43"/>
    <x v="3"/>
    <x v="1"/>
    <x v="13"/>
    <n v="82"/>
    <n v="0.19420000000000001"/>
  </r>
  <r>
    <x v="0"/>
    <x v="44"/>
    <x v="3"/>
    <x v="0"/>
    <x v="0"/>
    <n v="119"/>
    <n v="0.2019"/>
  </r>
  <r>
    <x v="0"/>
    <x v="44"/>
    <x v="3"/>
    <x v="0"/>
    <x v="1"/>
    <n v="117"/>
    <n v="2.86E-2"/>
  </r>
  <r>
    <x v="0"/>
    <x v="44"/>
    <x v="3"/>
    <x v="0"/>
    <x v="2"/>
    <n v="121"/>
    <n v="7.4999999999999997E-2"/>
  </r>
  <r>
    <x v="0"/>
    <x v="44"/>
    <x v="3"/>
    <x v="0"/>
    <x v="3"/>
    <n v="120"/>
    <n v="6.6199999999999995E-2"/>
  </r>
  <r>
    <x v="0"/>
    <x v="44"/>
    <x v="3"/>
    <x v="0"/>
    <x v="4"/>
    <n v="112"/>
    <n v="0.1346"/>
  </r>
  <r>
    <x v="0"/>
    <x v="44"/>
    <x v="3"/>
    <x v="0"/>
    <x v="5"/>
    <n v="120"/>
    <n v="6.5799999999999997E-2"/>
  </r>
  <r>
    <x v="0"/>
    <x v="44"/>
    <x v="3"/>
    <x v="0"/>
    <x v="6"/>
    <n v="125"/>
    <n v="6.2100000000000002E-2"/>
  </r>
  <r>
    <x v="0"/>
    <x v="44"/>
    <x v="3"/>
    <x v="0"/>
    <x v="7"/>
    <n v="115"/>
    <n v="6.6699999999999995E-2"/>
  </r>
  <r>
    <x v="0"/>
    <x v="44"/>
    <x v="3"/>
    <x v="0"/>
    <x v="8"/>
    <n v="124"/>
    <n v="2.3599999999999999E-2"/>
  </r>
  <r>
    <x v="0"/>
    <x v="44"/>
    <x v="3"/>
    <x v="0"/>
    <x v="9"/>
    <n v="120"/>
    <n v="5.7599999999999998E-2"/>
  </r>
  <r>
    <x v="0"/>
    <x v="44"/>
    <x v="3"/>
    <x v="0"/>
    <x v="10"/>
    <n v="110"/>
    <n v="6.4699999999999994E-2"/>
  </r>
  <r>
    <x v="0"/>
    <x v="44"/>
    <x v="3"/>
    <x v="0"/>
    <x v="11"/>
    <n v="106"/>
    <n v="6.1600000000000002E-2"/>
  </r>
  <r>
    <x v="0"/>
    <x v="44"/>
    <x v="3"/>
    <x v="0"/>
    <x v="12"/>
    <n v="107"/>
    <n v="6.1199999999999997E-2"/>
  </r>
  <r>
    <x v="0"/>
    <x v="44"/>
    <x v="3"/>
    <x v="0"/>
    <x v="13"/>
    <n v="118"/>
    <n v="3.8199999999999998E-2"/>
  </r>
  <r>
    <x v="0"/>
    <x v="45"/>
    <x v="3"/>
    <x v="0"/>
    <x v="0"/>
    <n v="89"/>
    <n v="0.37359999999999999"/>
  </r>
  <r>
    <x v="0"/>
    <x v="45"/>
    <x v="3"/>
    <x v="0"/>
    <x v="1"/>
    <n v="97"/>
    <n v="4.8899999999999999E-2"/>
  </r>
  <r>
    <x v="0"/>
    <x v="45"/>
    <x v="3"/>
    <x v="0"/>
    <x v="2"/>
    <n v="89"/>
    <n v="0.15509999999999999"/>
  </r>
  <r>
    <x v="0"/>
    <x v="45"/>
    <x v="3"/>
    <x v="0"/>
    <x v="3"/>
    <n v="89"/>
    <n v="0.15110000000000001"/>
  </r>
  <r>
    <x v="0"/>
    <x v="45"/>
    <x v="3"/>
    <x v="0"/>
    <x v="4"/>
    <n v="90"/>
    <n v="0.25950000000000001"/>
  </r>
  <r>
    <x v="0"/>
    <x v="45"/>
    <x v="3"/>
    <x v="0"/>
    <x v="5"/>
    <n v="87"/>
    <n v="7.8E-2"/>
  </r>
  <r>
    <x v="0"/>
    <x v="45"/>
    <x v="3"/>
    <x v="0"/>
    <x v="6"/>
    <n v="88"/>
    <n v="7.1599999999999997E-2"/>
  </r>
  <r>
    <x v="0"/>
    <x v="45"/>
    <x v="3"/>
    <x v="0"/>
    <x v="7"/>
    <n v="89"/>
    <n v="0.18659999999999999"/>
  </r>
  <r>
    <x v="0"/>
    <x v="45"/>
    <x v="3"/>
    <x v="0"/>
    <x v="8"/>
    <n v="94"/>
    <n v="2.1399999999999999E-2"/>
  </r>
  <r>
    <x v="0"/>
    <x v="45"/>
    <x v="3"/>
    <x v="0"/>
    <x v="9"/>
    <n v="90"/>
    <n v="0.1163"/>
  </r>
  <r>
    <x v="0"/>
    <x v="45"/>
    <x v="3"/>
    <x v="0"/>
    <x v="10"/>
    <n v="90"/>
    <n v="9.0899999999999995E-2"/>
  </r>
  <r>
    <x v="0"/>
    <x v="45"/>
    <x v="3"/>
    <x v="0"/>
    <x v="11"/>
    <n v="92"/>
    <n v="0.1201"/>
  </r>
  <r>
    <x v="0"/>
    <x v="45"/>
    <x v="3"/>
    <x v="0"/>
    <x v="12"/>
    <n v="91"/>
    <n v="0.14099999999999999"/>
  </r>
  <r>
    <x v="0"/>
    <x v="45"/>
    <x v="3"/>
    <x v="0"/>
    <x v="13"/>
    <n v="94"/>
    <n v="7.6300000000000007E-2"/>
  </r>
  <r>
    <x v="0"/>
    <x v="46"/>
    <x v="3"/>
    <x v="0"/>
    <x v="0"/>
    <n v="35"/>
    <n v="4.53E-2"/>
  </r>
  <r>
    <x v="0"/>
    <x v="46"/>
    <x v="3"/>
    <x v="0"/>
    <x v="1"/>
    <n v="53"/>
    <n v="2.0999999999999999E-3"/>
  </r>
  <r>
    <x v="0"/>
    <x v="46"/>
    <x v="3"/>
    <x v="0"/>
    <x v="2"/>
    <n v="38"/>
    <n v="1.26E-2"/>
  </r>
  <r>
    <x v="0"/>
    <x v="46"/>
    <x v="3"/>
    <x v="0"/>
    <x v="3"/>
    <n v="35"/>
    <n v="1.21E-2"/>
  </r>
  <r>
    <x v="0"/>
    <x v="46"/>
    <x v="3"/>
    <x v="0"/>
    <x v="4"/>
    <n v="34"/>
    <n v="2.8400000000000002E-2"/>
  </r>
  <r>
    <x v="0"/>
    <x v="46"/>
    <x v="3"/>
    <x v="0"/>
    <x v="5"/>
    <n v="33"/>
    <n v="1.24E-2"/>
  </r>
  <r>
    <x v="0"/>
    <x v="46"/>
    <x v="3"/>
    <x v="0"/>
    <x v="6"/>
    <n v="35"/>
    <n v="1.0500000000000001E-2"/>
  </r>
  <r>
    <x v="0"/>
    <x v="46"/>
    <x v="3"/>
    <x v="0"/>
    <x v="7"/>
    <n v="34"/>
    <n v="1.8800000000000001E-2"/>
  </r>
  <r>
    <x v="0"/>
    <x v="46"/>
    <x v="3"/>
    <x v="0"/>
    <x v="8"/>
    <n v="56"/>
    <n v="2.2000000000000001E-3"/>
  </r>
  <r>
    <x v="0"/>
    <x v="46"/>
    <x v="3"/>
    <x v="0"/>
    <x v="9"/>
    <n v="38"/>
    <n v="9.4999999999999998E-3"/>
  </r>
  <r>
    <x v="0"/>
    <x v="46"/>
    <x v="3"/>
    <x v="0"/>
    <x v="10"/>
    <n v="35"/>
    <n v="1.2800000000000001E-2"/>
  </r>
  <r>
    <x v="0"/>
    <x v="46"/>
    <x v="3"/>
    <x v="0"/>
    <x v="11"/>
    <n v="35"/>
    <n v="1.4500000000000001E-2"/>
  </r>
  <r>
    <x v="0"/>
    <x v="46"/>
    <x v="3"/>
    <x v="0"/>
    <x v="12"/>
    <n v="34"/>
    <n v="1.34E-2"/>
  </r>
  <r>
    <x v="0"/>
    <x v="46"/>
    <x v="3"/>
    <x v="0"/>
    <x v="13"/>
    <n v="48"/>
    <n v="3.8E-3"/>
  </r>
  <r>
    <x v="0"/>
    <x v="47"/>
    <x v="3"/>
    <x v="0"/>
    <x v="0"/>
    <n v="116"/>
    <n v="0.49109999999999998"/>
  </r>
  <r>
    <x v="0"/>
    <x v="47"/>
    <x v="3"/>
    <x v="0"/>
    <x v="1"/>
    <n v="111"/>
    <n v="0.1351"/>
  </r>
  <r>
    <x v="0"/>
    <x v="47"/>
    <x v="3"/>
    <x v="0"/>
    <x v="2"/>
    <n v="118"/>
    <n v="0.30330000000000001"/>
  </r>
  <r>
    <x v="0"/>
    <x v="47"/>
    <x v="3"/>
    <x v="0"/>
    <x v="3"/>
    <n v="119"/>
    <n v="0.28460000000000002"/>
  </r>
  <r>
    <x v="0"/>
    <x v="47"/>
    <x v="3"/>
    <x v="0"/>
    <x v="4"/>
    <n v="118"/>
    <n v="0.39400000000000002"/>
  </r>
  <r>
    <x v="0"/>
    <x v="47"/>
    <x v="3"/>
    <x v="0"/>
    <x v="5"/>
    <n v="113"/>
    <n v="0.29339999999999999"/>
  </r>
  <r>
    <x v="0"/>
    <x v="47"/>
    <x v="3"/>
    <x v="0"/>
    <x v="6"/>
    <n v="111"/>
    <n v="0.28010000000000002"/>
  </r>
  <r>
    <x v="0"/>
    <x v="47"/>
    <x v="3"/>
    <x v="0"/>
    <x v="7"/>
    <n v="114"/>
    <n v="0.34720000000000001"/>
  </r>
  <r>
    <x v="0"/>
    <x v="47"/>
    <x v="3"/>
    <x v="0"/>
    <x v="8"/>
    <n v="108"/>
    <n v="0.13639999999999999"/>
  </r>
  <r>
    <x v="0"/>
    <x v="47"/>
    <x v="3"/>
    <x v="0"/>
    <x v="9"/>
    <n v="120"/>
    <n v="0.26090000000000002"/>
  </r>
  <r>
    <x v="0"/>
    <x v="47"/>
    <x v="3"/>
    <x v="0"/>
    <x v="10"/>
    <n v="113"/>
    <n v="0.2954"/>
  </r>
  <r>
    <x v="0"/>
    <x v="47"/>
    <x v="3"/>
    <x v="0"/>
    <x v="11"/>
    <n v="117"/>
    <n v="0.29220000000000002"/>
  </r>
  <r>
    <x v="0"/>
    <x v="47"/>
    <x v="3"/>
    <x v="0"/>
    <x v="12"/>
    <n v="118"/>
    <n v="0.2999"/>
  </r>
  <r>
    <x v="0"/>
    <x v="47"/>
    <x v="3"/>
    <x v="0"/>
    <x v="13"/>
    <n v="110"/>
    <n v="0.17430000000000001"/>
  </r>
  <r>
    <x v="0"/>
    <x v="48"/>
    <x v="3"/>
    <x v="0"/>
    <x v="0"/>
    <n v="108"/>
    <n v="6.88E-2"/>
  </r>
  <r>
    <x v="0"/>
    <x v="48"/>
    <x v="3"/>
    <x v="0"/>
    <x v="1"/>
    <n v="113"/>
    <n v="2.5999999999999999E-3"/>
  </r>
  <r>
    <x v="0"/>
    <x v="48"/>
    <x v="3"/>
    <x v="0"/>
    <x v="2"/>
    <n v="116"/>
    <n v="0.02"/>
  </r>
  <r>
    <x v="0"/>
    <x v="48"/>
    <x v="3"/>
    <x v="0"/>
    <x v="3"/>
    <n v="106"/>
    <n v="1.7299999999999999E-2"/>
  </r>
  <r>
    <x v="0"/>
    <x v="48"/>
    <x v="3"/>
    <x v="0"/>
    <x v="4"/>
    <n v="109"/>
    <n v="4.36E-2"/>
  </r>
  <r>
    <x v="0"/>
    <x v="48"/>
    <x v="3"/>
    <x v="0"/>
    <x v="5"/>
    <n v="105"/>
    <n v="1.5900000000000001E-2"/>
  </r>
  <r>
    <x v="0"/>
    <x v="48"/>
    <x v="3"/>
    <x v="0"/>
    <x v="6"/>
    <n v="101"/>
    <n v="1.3299999999999999E-2"/>
  </r>
  <r>
    <x v="0"/>
    <x v="48"/>
    <x v="3"/>
    <x v="0"/>
    <x v="7"/>
    <n v="105"/>
    <n v="2.3400000000000001E-2"/>
  </r>
  <r>
    <x v="0"/>
    <x v="48"/>
    <x v="3"/>
    <x v="0"/>
    <x v="8"/>
    <n v="106"/>
    <n v="2.5000000000000001E-3"/>
  </r>
  <r>
    <x v="0"/>
    <x v="48"/>
    <x v="3"/>
    <x v="0"/>
    <x v="9"/>
    <n v="108"/>
    <n v="1.32E-2"/>
  </r>
  <r>
    <x v="0"/>
    <x v="48"/>
    <x v="3"/>
    <x v="0"/>
    <x v="10"/>
    <n v="103"/>
    <n v="1.6E-2"/>
  </r>
  <r>
    <x v="0"/>
    <x v="48"/>
    <x v="3"/>
    <x v="0"/>
    <x v="11"/>
    <n v="102"/>
    <n v="1.66E-2"/>
  </r>
  <r>
    <x v="0"/>
    <x v="48"/>
    <x v="3"/>
    <x v="0"/>
    <x v="12"/>
    <n v="111"/>
    <n v="1.84E-2"/>
  </r>
  <r>
    <x v="0"/>
    <x v="48"/>
    <x v="3"/>
    <x v="0"/>
    <x v="13"/>
    <n v="106"/>
    <n v="4.3E-3"/>
  </r>
  <r>
    <x v="0"/>
    <x v="49"/>
    <x v="3"/>
    <x v="0"/>
    <x v="0"/>
    <n v="113"/>
    <n v="0.2858"/>
  </r>
  <r>
    <x v="0"/>
    <x v="49"/>
    <x v="3"/>
    <x v="0"/>
    <x v="1"/>
    <n v="124"/>
    <n v="1.78E-2"/>
  </r>
  <r>
    <x v="0"/>
    <x v="49"/>
    <x v="3"/>
    <x v="0"/>
    <x v="2"/>
    <n v="106"/>
    <n v="7.8E-2"/>
  </r>
  <r>
    <x v="0"/>
    <x v="49"/>
    <x v="3"/>
    <x v="0"/>
    <x v="3"/>
    <n v="109"/>
    <n v="7.1099999999999997E-2"/>
  </r>
  <r>
    <x v="0"/>
    <x v="49"/>
    <x v="3"/>
    <x v="0"/>
    <x v="4"/>
    <n v="118"/>
    <n v="0.20169999999999999"/>
  </r>
  <r>
    <x v="0"/>
    <x v="49"/>
    <x v="3"/>
    <x v="0"/>
    <x v="5"/>
    <n v="113"/>
    <n v="0.1032"/>
  </r>
  <r>
    <x v="0"/>
    <x v="49"/>
    <x v="3"/>
    <x v="0"/>
    <x v="6"/>
    <n v="113"/>
    <n v="8.8999999999999996E-2"/>
  </r>
  <r>
    <x v="0"/>
    <x v="49"/>
    <x v="3"/>
    <x v="0"/>
    <x v="7"/>
    <n v="116"/>
    <n v="0.1162"/>
  </r>
  <r>
    <x v="0"/>
    <x v="49"/>
    <x v="3"/>
    <x v="0"/>
    <x v="8"/>
    <n v="118"/>
    <n v="2.0299999999999999E-2"/>
  </r>
  <r>
    <x v="0"/>
    <x v="49"/>
    <x v="3"/>
    <x v="0"/>
    <x v="9"/>
    <n v="109"/>
    <n v="5.2200000000000003E-2"/>
  </r>
  <r>
    <x v="0"/>
    <x v="49"/>
    <x v="3"/>
    <x v="0"/>
    <x v="10"/>
    <n v="116"/>
    <n v="0.1067"/>
  </r>
  <r>
    <x v="0"/>
    <x v="49"/>
    <x v="3"/>
    <x v="0"/>
    <x v="11"/>
    <n v="117"/>
    <n v="0.111"/>
  </r>
  <r>
    <x v="0"/>
    <x v="49"/>
    <x v="3"/>
    <x v="0"/>
    <x v="12"/>
    <n v="118"/>
    <n v="0.105"/>
  </r>
  <r>
    <x v="0"/>
    <x v="49"/>
    <x v="3"/>
    <x v="0"/>
    <x v="13"/>
    <n v="120"/>
    <n v="2.9899999999999999E-2"/>
  </r>
  <r>
    <x v="1"/>
    <x v="129"/>
    <x v="3"/>
    <x v="0"/>
    <x v="0"/>
    <n v="95"/>
    <n v="2.7000000000000001E-3"/>
  </r>
  <r>
    <x v="1"/>
    <x v="129"/>
    <x v="3"/>
    <x v="0"/>
    <x v="3"/>
    <n v="111"/>
    <n v="1.1000000000000001E-3"/>
  </r>
  <r>
    <x v="1"/>
    <x v="129"/>
    <x v="3"/>
    <x v="0"/>
    <x v="4"/>
    <n v="93"/>
    <n v="1.8E-3"/>
  </r>
  <r>
    <x v="1"/>
    <x v="129"/>
    <x v="3"/>
    <x v="0"/>
    <x v="7"/>
    <n v="95"/>
    <n v="1.2999999999999999E-3"/>
  </r>
  <r>
    <x v="1"/>
    <x v="129"/>
    <x v="3"/>
    <x v="0"/>
    <x v="9"/>
    <n v="144"/>
    <n v="8.0000000000000004E-4"/>
  </r>
  <r>
    <x v="1"/>
    <x v="129"/>
    <x v="3"/>
    <x v="0"/>
    <x v="12"/>
    <n v="94"/>
    <n v="1E-3"/>
  </r>
  <r>
    <x v="1"/>
    <x v="130"/>
    <x v="3"/>
    <x v="0"/>
    <x v="0"/>
    <n v="102"/>
    <n v="0.19989999999999999"/>
  </r>
  <r>
    <x v="1"/>
    <x v="130"/>
    <x v="3"/>
    <x v="0"/>
    <x v="1"/>
    <n v="72"/>
    <n v="1.7600000000000001E-2"/>
  </r>
  <r>
    <x v="1"/>
    <x v="130"/>
    <x v="3"/>
    <x v="0"/>
    <x v="2"/>
    <n v="91"/>
    <n v="5.33E-2"/>
  </r>
  <r>
    <x v="1"/>
    <x v="130"/>
    <x v="3"/>
    <x v="0"/>
    <x v="3"/>
    <n v="101"/>
    <n v="6.6900000000000001E-2"/>
  </r>
  <r>
    <x v="1"/>
    <x v="130"/>
    <x v="3"/>
    <x v="0"/>
    <x v="4"/>
    <n v="105"/>
    <n v="0.1172"/>
  </r>
  <r>
    <x v="1"/>
    <x v="130"/>
    <x v="3"/>
    <x v="0"/>
    <x v="5"/>
    <n v="98"/>
    <n v="1.9300000000000001E-2"/>
  </r>
  <r>
    <x v="1"/>
    <x v="130"/>
    <x v="3"/>
    <x v="0"/>
    <x v="6"/>
    <n v="91"/>
    <n v="2.0500000000000001E-2"/>
  </r>
  <r>
    <x v="1"/>
    <x v="130"/>
    <x v="3"/>
    <x v="0"/>
    <x v="7"/>
    <n v="105"/>
    <n v="0.1014"/>
  </r>
  <r>
    <x v="1"/>
    <x v="130"/>
    <x v="3"/>
    <x v="0"/>
    <x v="8"/>
    <n v="74"/>
    <n v="8.3999999999999995E-3"/>
  </r>
  <r>
    <x v="1"/>
    <x v="130"/>
    <x v="3"/>
    <x v="0"/>
    <x v="9"/>
    <n v="100"/>
    <n v="4.5699999999999998E-2"/>
  </r>
  <r>
    <x v="1"/>
    <x v="130"/>
    <x v="3"/>
    <x v="0"/>
    <x v="10"/>
    <n v="104"/>
    <n v="2.1399999999999999E-2"/>
  </r>
  <r>
    <x v="1"/>
    <x v="130"/>
    <x v="3"/>
    <x v="0"/>
    <x v="11"/>
    <n v="104"/>
    <n v="3.4700000000000002E-2"/>
  </r>
  <r>
    <x v="1"/>
    <x v="130"/>
    <x v="3"/>
    <x v="0"/>
    <x v="12"/>
    <n v="105"/>
    <n v="5.1200000000000002E-2"/>
  </r>
  <r>
    <x v="1"/>
    <x v="130"/>
    <x v="3"/>
    <x v="0"/>
    <x v="13"/>
    <n v="92"/>
    <n v="3.1600000000000003E-2"/>
  </r>
  <r>
    <x v="0"/>
    <x v="51"/>
    <x v="3"/>
    <x v="0"/>
    <x v="0"/>
    <n v="86"/>
    <n v="0.16439999999999999"/>
  </r>
  <r>
    <x v="0"/>
    <x v="51"/>
    <x v="3"/>
    <x v="0"/>
    <x v="1"/>
    <n v="75"/>
    <n v="1.15E-2"/>
  </r>
  <r>
    <x v="0"/>
    <x v="51"/>
    <x v="3"/>
    <x v="0"/>
    <x v="2"/>
    <n v="92"/>
    <n v="5.5500000000000001E-2"/>
  </r>
  <r>
    <x v="0"/>
    <x v="51"/>
    <x v="3"/>
    <x v="0"/>
    <x v="3"/>
    <n v="91"/>
    <n v="6.4399999999999999E-2"/>
  </r>
  <r>
    <x v="0"/>
    <x v="51"/>
    <x v="3"/>
    <x v="0"/>
    <x v="4"/>
    <n v="82"/>
    <n v="0.1023"/>
  </r>
  <r>
    <x v="0"/>
    <x v="51"/>
    <x v="3"/>
    <x v="0"/>
    <x v="5"/>
    <n v="95"/>
    <n v="0.02"/>
  </r>
  <r>
    <x v="0"/>
    <x v="51"/>
    <x v="3"/>
    <x v="0"/>
    <x v="6"/>
    <n v="105"/>
    <n v="1.6799999999999999E-2"/>
  </r>
  <r>
    <x v="0"/>
    <x v="51"/>
    <x v="3"/>
    <x v="0"/>
    <x v="7"/>
    <n v="81"/>
    <n v="6.9000000000000006E-2"/>
  </r>
  <r>
    <x v="0"/>
    <x v="51"/>
    <x v="3"/>
    <x v="0"/>
    <x v="8"/>
    <n v="109"/>
    <n v="6.4000000000000003E-3"/>
  </r>
  <r>
    <x v="0"/>
    <x v="51"/>
    <x v="3"/>
    <x v="0"/>
    <x v="9"/>
    <n v="92"/>
    <n v="4.8800000000000003E-2"/>
  </r>
  <r>
    <x v="0"/>
    <x v="51"/>
    <x v="3"/>
    <x v="0"/>
    <x v="10"/>
    <n v="80"/>
    <n v="2.5499999999999998E-2"/>
  </r>
  <r>
    <x v="0"/>
    <x v="51"/>
    <x v="3"/>
    <x v="0"/>
    <x v="11"/>
    <n v="82"/>
    <n v="3.9899999999999998E-2"/>
  </r>
  <r>
    <x v="0"/>
    <x v="51"/>
    <x v="3"/>
    <x v="0"/>
    <x v="12"/>
    <n v="80"/>
    <n v="5.0700000000000002E-2"/>
  </r>
  <r>
    <x v="0"/>
    <x v="51"/>
    <x v="3"/>
    <x v="0"/>
    <x v="13"/>
    <n v="87"/>
    <n v="2.1499999999999998E-2"/>
  </r>
  <r>
    <x v="1"/>
    <x v="131"/>
    <x v="3"/>
    <x v="0"/>
    <x v="0"/>
    <n v="82"/>
    <n v="0.20369999999999999"/>
  </r>
  <r>
    <x v="1"/>
    <x v="131"/>
    <x v="3"/>
    <x v="0"/>
    <x v="1"/>
    <n v="95"/>
    <n v="1.55E-2"/>
  </r>
  <r>
    <x v="1"/>
    <x v="131"/>
    <x v="3"/>
    <x v="0"/>
    <x v="2"/>
    <n v="87"/>
    <n v="4.7300000000000002E-2"/>
  </r>
  <r>
    <x v="1"/>
    <x v="131"/>
    <x v="3"/>
    <x v="0"/>
    <x v="3"/>
    <n v="82"/>
    <n v="7.2499999999999995E-2"/>
  </r>
  <r>
    <x v="1"/>
    <x v="131"/>
    <x v="3"/>
    <x v="0"/>
    <x v="4"/>
    <n v="81"/>
    <n v="0.1328"/>
  </r>
  <r>
    <x v="1"/>
    <x v="131"/>
    <x v="3"/>
    <x v="0"/>
    <x v="5"/>
    <n v="82"/>
    <n v="2.07E-2"/>
  </r>
  <r>
    <x v="1"/>
    <x v="131"/>
    <x v="3"/>
    <x v="0"/>
    <x v="6"/>
    <n v="80"/>
    <n v="2.01E-2"/>
  </r>
  <r>
    <x v="1"/>
    <x v="131"/>
    <x v="3"/>
    <x v="0"/>
    <x v="7"/>
    <n v="85"/>
    <n v="0.1052"/>
  </r>
  <r>
    <x v="1"/>
    <x v="131"/>
    <x v="3"/>
    <x v="0"/>
    <x v="8"/>
    <n v="93"/>
    <n v="6.7000000000000002E-3"/>
  </r>
  <r>
    <x v="1"/>
    <x v="131"/>
    <x v="3"/>
    <x v="0"/>
    <x v="9"/>
    <n v="82"/>
    <n v="5.2600000000000001E-2"/>
  </r>
  <r>
    <x v="1"/>
    <x v="131"/>
    <x v="3"/>
    <x v="0"/>
    <x v="10"/>
    <n v="82"/>
    <n v="2.7099999999999999E-2"/>
  </r>
  <r>
    <x v="1"/>
    <x v="131"/>
    <x v="3"/>
    <x v="0"/>
    <x v="11"/>
    <n v="81"/>
    <n v="4.8399999999999999E-2"/>
  </r>
  <r>
    <x v="1"/>
    <x v="131"/>
    <x v="3"/>
    <x v="0"/>
    <x v="12"/>
    <n v="80"/>
    <n v="6.6299999999999998E-2"/>
  </r>
  <r>
    <x v="1"/>
    <x v="131"/>
    <x v="3"/>
    <x v="0"/>
    <x v="13"/>
    <n v="94"/>
    <n v="2.5399999999999999E-2"/>
  </r>
  <r>
    <x v="0"/>
    <x v="52"/>
    <x v="3"/>
    <x v="0"/>
    <x v="0"/>
    <n v="90"/>
    <n v="6.3700000000000007E-2"/>
  </r>
  <r>
    <x v="0"/>
    <x v="52"/>
    <x v="3"/>
    <x v="0"/>
    <x v="1"/>
    <n v="94"/>
    <n v="3.7000000000000002E-3"/>
  </r>
  <r>
    <x v="0"/>
    <x v="52"/>
    <x v="3"/>
    <x v="0"/>
    <x v="2"/>
    <n v="69"/>
    <n v="1.21E-2"/>
  </r>
  <r>
    <x v="0"/>
    <x v="52"/>
    <x v="3"/>
    <x v="0"/>
    <x v="3"/>
    <n v="103"/>
    <n v="1.34E-2"/>
  </r>
  <r>
    <x v="0"/>
    <x v="52"/>
    <x v="3"/>
    <x v="0"/>
    <x v="4"/>
    <n v="95"/>
    <n v="4.1000000000000002E-2"/>
  </r>
  <r>
    <x v="0"/>
    <x v="52"/>
    <x v="3"/>
    <x v="0"/>
    <x v="5"/>
    <n v="86"/>
    <n v="8.8000000000000005E-3"/>
  </r>
  <r>
    <x v="0"/>
    <x v="52"/>
    <x v="3"/>
    <x v="0"/>
    <x v="6"/>
    <n v="106"/>
    <n v="9.7999999999999997E-3"/>
  </r>
  <r>
    <x v="0"/>
    <x v="52"/>
    <x v="3"/>
    <x v="0"/>
    <x v="7"/>
    <n v="88"/>
    <n v="1.49E-2"/>
  </r>
  <r>
    <x v="0"/>
    <x v="52"/>
    <x v="3"/>
    <x v="0"/>
    <x v="8"/>
    <n v="105"/>
    <n v="2.8E-3"/>
  </r>
  <r>
    <x v="0"/>
    <x v="52"/>
    <x v="3"/>
    <x v="0"/>
    <x v="9"/>
    <n v="103"/>
    <n v="6.8999999999999999E-3"/>
  </r>
  <r>
    <x v="0"/>
    <x v="52"/>
    <x v="3"/>
    <x v="0"/>
    <x v="10"/>
    <n v="91"/>
    <n v="7.6E-3"/>
  </r>
  <r>
    <x v="0"/>
    <x v="52"/>
    <x v="3"/>
    <x v="0"/>
    <x v="11"/>
    <n v="91"/>
    <n v="1.18E-2"/>
  </r>
  <r>
    <x v="0"/>
    <x v="52"/>
    <x v="3"/>
    <x v="0"/>
    <x v="12"/>
    <n v="98"/>
    <n v="1.6199999999999999E-2"/>
  </r>
  <r>
    <x v="0"/>
    <x v="52"/>
    <x v="3"/>
    <x v="0"/>
    <x v="13"/>
    <n v="100"/>
    <n v="6.4000000000000003E-3"/>
  </r>
  <r>
    <x v="1"/>
    <x v="53"/>
    <x v="3"/>
    <x v="0"/>
    <x v="0"/>
    <n v="113"/>
    <n v="9.1200000000000003E-2"/>
  </r>
  <r>
    <x v="1"/>
    <x v="53"/>
    <x v="3"/>
    <x v="0"/>
    <x v="1"/>
    <n v="107"/>
    <n v="1.38E-2"/>
  </r>
  <r>
    <x v="1"/>
    <x v="53"/>
    <x v="3"/>
    <x v="0"/>
    <x v="2"/>
    <n v="122"/>
    <n v="3.85E-2"/>
  </r>
  <r>
    <x v="1"/>
    <x v="53"/>
    <x v="3"/>
    <x v="0"/>
    <x v="3"/>
    <n v="121"/>
    <n v="2.9499999999999998E-2"/>
  </r>
  <r>
    <x v="1"/>
    <x v="53"/>
    <x v="3"/>
    <x v="0"/>
    <x v="4"/>
    <n v="110"/>
    <n v="6.25E-2"/>
  </r>
  <r>
    <x v="1"/>
    <x v="53"/>
    <x v="3"/>
    <x v="0"/>
    <x v="5"/>
    <n v="106"/>
    <n v="3.7600000000000001E-2"/>
  </r>
  <r>
    <x v="1"/>
    <x v="53"/>
    <x v="3"/>
    <x v="0"/>
    <x v="6"/>
    <n v="107"/>
    <n v="3.8699999999999998E-2"/>
  </r>
  <r>
    <x v="1"/>
    <x v="53"/>
    <x v="3"/>
    <x v="0"/>
    <x v="7"/>
    <n v="112"/>
    <n v="4.1500000000000002E-2"/>
  </r>
  <r>
    <x v="1"/>
    <x v="53"/>
    <x v="3"/>
    <x v="0"/>
    <x v="8"/>
    <n v="107"/>
    <n v="1.5599999999999999E-2"/>
  </r>
  <r>
    <x v="1"/>
    <x v="53"/>
    <x v="3"/>
    <x v="0"/>
    <x v="9"/>
    <n v="123"/>
    <n v="2.41E-2"/>
  </r>
  <r>
    <x v="1"/>
    <x v="53"/>
    <x v="3"/>
    <x v="0"/>
    <x v="10"/>
    <n v="108"/>
    <n v="3.6200000000000003E-2"/>
  </r>
  <r>
    <x v="1"/>
    <x v="53"/>
    <x v="3"/>
    <x v="0"/>
    <x v="11"/>
    <n v="108"/>
    <n v="3.4700000000000002E-2"/>
  </r>
  <r>
    <x v="1"/>
    <x v="53"/>
    <x v="3"/>
    <x v="0"/>
    <x v="12"/>
    <n v="108"/>
    <n v="3.27E-2"/>
  </r>
  <r>
    <x v="1"/>
    <x v="53"/>
    <x v="3"/>
    <x v="0"/>
    <x v="13"/>
    <n v="108"/>
    <n v="2.0500000000000001E-2"/>
  </r>
  <r>
    <x v="1"/>
    <x v="54"/>
    <x v="3"/>
    <x v="0"/>
    <x v="0"/>
    <n v="114"/>
    <n v="5.45E-2"/>
  </r>
  <r>
    <x v="1"/>
    <x v="54"/>
    <x v="3"/>
    <x v="0"/>
    <x v="1"/>
    <n v="99"/>
    <n v="5.8999999999999999E-3"/>
  </r>
  <r>
    <x v="1"/>
    <x v="54"/>
    <x v="3"/>
    <x v="0"/>
    <x v="2"/>
    <n v="116"/>
    <n v="1.9099999999999999E-2"/>
  </r>
  <r>
    <x v="1"/>
    <x v="54"/>
    <x v="3"/>
    <x v="0"/>
    <x v="3"/>
    <n v="117"/>
    <n v="1.67E-2"/>
  </r>
  <r>
    <x v="1"/>
    <x v="54"/>
    <x v="3"/>
    <x v="0"/>
    <x v="4"/>
    <n v="117"/>
    <n v="3.4500000000000003E-2"/>
  </r>
  <r>
    <x v="1"/>
    <x v="54"/>
    <x v="3"/>
    <x v="0"/>
    <x v="5"/>
    <n v="119"/>
    <n v="2.2499999999999999E-2"/>
  </r>
  <r>
    <x v="1"/>
    <x v="54"/>
    <x v="3"/>
    <x v="0"/>
    <x v="6"/>
    <n v="107"/>
    <n v="2.3E-2"/>
  </r>
  <r>
    <x v="1"/>
    <x v="54"/>
    <x v="3"/>
    <x v="0"/>
    <x v="7"/>
    <n v="114"/>
    <n v="2.2599999999999999E-2"/>
  </r>
  <r>
    <x v="1"/>
    <x v="54"/>
    <x v="3"/>
    <x v="0"/>
    <x v="8"/>
    <n v="95"/>
    <n v="7.9000000000000008E-3"/>
  </r>
  <r>
    <x v="1"/>
    <x v="54"/>
    <x v="3"/>
    <x v="0"/>
    <x v="9"/>
    <n v="116"/>
    <n v="1.3599999999999999E-2"/>
  </r>
  <r>
    <x v="1"/>
    <x v="54"/>
    <x v="3"/>
    <x v="0"/>
    <x v="10"/>
    <n v="114"/>
    <n v="1.78E-2"/>
  </r>
  <r>
    <x v="1"/>
    <x v="54"/>
    <x v="3"/>
    <x v="0"/>
    <x v="11"/>
    <n v="119"/>
    <n v="1.67E-2"/>
  </r>
  <r>
    <x v="1"/>
    <x v="54"/>
    <x v="3"/>
    <x v="0"/>
    <x v="12"/>
    <n v="117"/>
    <n v="1.5800000000000002E-2"/>
  </r>
  <r>
    <x v="1"/>
    <x v="54"/>
    <x v="3"/>
    <x v="0"/>
    <x v="13"/>
    <n v="105"/>
    <n v="1.0699999999999999E-2"/>
  </r>
  <r>
    <x v="1"/>
    <x v="55"/>
    <x v="3"/>
    <x v="0"/>
    <x v="0"/>
    <n v="84"/>
    <n v="0.1"/>
  </r>
  <r>
    <x v="1"/>
    <x v="55"/>
    <x v="3"/>
    <x v="0"/>
    <x v="1"/>
    <n v="82"/>
    <n v="1.46E-2"/>
  </r>
  <r>
    <x v="1"/>
    <x v="55"/>
    <x v="3"/>
    <x v="0"/>
    <x v="2"/>
    <n v="90"/>
    <n v="4.7500000000000001E-2"/>
  </r>
  <r>
    <x v="1"/>
    <x v="55"/>
    <x v="3"/>
    <x v="0"/>
    <x v="3"/>
    <n v="87"/>
    <n v="2.1399999999999999E-2"/>
  </r>
  <r>
    <x v="1"/>
    <x v="55"/>
    <x v="3"/>
    <x v="0"/>
    <x v="4"/>
    <n v="80"/>
    <n v="4.0399999999999998E-2"/>
  </r>
  <r>
    <x v="1"/>
    <x v="55"/>
    <x v="3"/>
    <x v="0"/>
    <x v="5"/>
    <n v="71"/>
    <n v="1.23E-2"/>
  </r>
  <r>
    <x v="1"/>
    <x v="55"/>
    <x v="3"/>
    <x v="0"/>
    <x v="6"/>
    <n v="85"/>
    <n v="1.38E-2"/>
  </r>
  <r>
    <x v="1"/>
    <x v="55"/>
    <x v="3"/>
    <x v="0"/>
    <x v="7"/>
    <n v="88"/>
    <n v="2.9700000000000001E-2"/>
  </r>
  <r>
    <x v="1"/>
    <x v="55"/>
    <x v="3"/>
    <x v="0"/>
    <x v="8"/>
    <n v="99"/>
    <n v="6.1000000000000004E-3"/>
  </r>
  <r>
    <x v="1"/>
    <x v="55"/>
    <x v="3"/>
    <x v="0"/>
    <x v="9"/>
    <n v="86"/>
    <n v="1.66E-2"/>
  </r>
  <r>
    <x v="1"/>
    <x v="55"/>
    <x v="3"/>
    <x v="0"/>
    <x v="10"/>
    <n v="76"/>
    <n v="1.21E-2"/>
  </r>
  <r>
    <x v="1"/>
    <x v="55"/>
    <x v="3"/>
    <x v="0"/>
    <x v="11"/>
    <n v="78"/>
    <n v="1.46E-2"/>
  </r>
  <r>
    <x v="1"/>
    <x v="55"/>
    <x v="3"/>
    <x v="0"/>
    <x v="12"/>
    <n v="81"/>
    <n v="1.8200000000000001E-2"/>
  </r>
  <r>
    <x v="1"/>
    <x v="55"/>
    <x v="3"/>
    <x v="0"/>
    <x v="13"/>
    <n v="83"/>
    <n v="2.1000000000000001E-2"/>
  </r>
  <r>
    <x v="0"/>
    <x v="56"/>
    <x v="3"/>
    <x v="0"/>
    <x v="0"/>
    <n v="101"/>
    <n v="9.3700000000000006E-2"/>
  </r>
  <r>
    <x v="0"/>
    <x v="56"/>
    <x v="3"/>
    <x v="0"/>
    <x v="1"/>
    <n v="103"/>
    <n v="1.0800000000000001E-2"/>
  </r>
  <r>
    <x v="0"/>
    <x v="56"/>
    <x v="3"/>
    <x v="0"/>
    <x v="2"/>
    <n v="101"/>
    <n v="3.8199999999999998E-2"/>
  </r>
  <r>
    <x v="0"/>
    <x v="56"/>
    <x v="3"/>
    <x v="0"/>
    <x v="3"/>
    <n v="104"/>
    <n v="3.3500000000000002E-2"/>
  </r>
  <r>
    <x v="0"/>
    <x v="56"/>
    <x v="3"/>
    <x v="0"/>
    <x v="4"/>
    <n v="102"/>
    <n v="5.5500000000000001E-2"/>
  </r>
  <r>
    <x v="0"/>
    <x v="56"/>
    <x v="3"/>
    <x v="0"/>
    <x v="5"/>
    <n v="100"/>
    <n v="1.66E-2"/>
  </r>
  <r>
    <x v="0"/>
    <x v="56"/>
    <x v="3"/>
    <x v="0"/>
    <x v="6"/>
    <n v="103"/>
    <n v="1.7999999999999999E-2"/>
  </r>
  <r>
    <x v="0"/>
    <x v="56"/>
    <x v="3"/>
    <x v="0"/>
    <x v="7"/>
    <n v="93"/>
    <n v="3.7199999999999997E-2"/>
  </r>
  <r>
    <x v="0"/>
    <x v="56"/>
    <x v="3"/>
    <x v="0"/>
    <x v="8"/>
    <n v="106"/>
    <n v="7.4000000000000003E-3"/>
  </r>
  <r>
    <x v="0"/>
    <x v="56"/>
    <x v="3"/>
    <x v="0"/>
    <x v="9"/>
    <n v="100"/>
    <n v="2.53E-2"/>
  </r>
  <r>
    <x v="0"/>
    <x v="56"/>
    <x v="3"/>
    <x v="0"/>
    <x v="10"/>
    <n v="95"/>
    <n v="1.7100000000000001E-2"/>
  </r>
  <r>
    <x v="0"/>
    <x v="56"/>
    <x v="3"/>
    <x v="0"/>
    <x v="11"/>
    <n v="98"/>
    <n v="2.29E-2"/>
  </r>
  <r>
    <x v="0"/>
    <x v="56"/>
    <x v="3"/>
    <x v="0"/>
    <x v="12"/>
    <n v="104"/>
    <n v="2.6700000000000002E-2"/>
  </r>
  <r>
    <x v="0"/>
    <x v="56"/>
    <x v="3"/>
    <x v="0"/>
    <x v="13"/>
    <n v="101"/>
    <n v="1.8499999999999999E-2"/>
  </r>
  <r>
    <x v="0"/>
    <x v="57"/>
    <x v="3"/>
    <x v="0"/>
    <x v="0"/>
    <n v="39"/>
    <n v="0.12130000000000001"/>
  </r>
  <r>
    <x v="0"/>
    <x v="57"/>
    <x v="3"/>
    <x v="0"/>
    <x v="1"/>
    <n v="36"/>
    <n v="1.32E-2"/>
  </r>
  <r>
    <x v="0"/>
    <x v="57"/>
    <x v="3"/>
    <x v="0"/>
    <x v="2"/>
    <n v="41"/>
    <n v="3.7900000000000003E-2"/>
  </r>
  <r>
    <x v="0"/>
    <x v="57"/>
    <x v="3"/>
    <x v="0"/>
    <x v="3"/>
    <n v="42"/>
    <n v="3.1800000000000002E-2"/>
  </r>
  <r>
    <x v="0"/>
    <x v="57"/>
    <x v="3"/>
    <x v="0"/>
    <x v="4"/>
    <n v="38"/>
    <n v="6.4199999999999993E-2"/>
  </r>
  <r>
    <x v="0"/>
    <x v="57"/>
    <x v="3"/>
    <x v="0"/>
    <x v="5"/>
    <n v="38"/>
    <n v="1.41E-2"/>
  </r>
  <r>
    <x v="0"/>
    <x v="57"/>
    <x v="3"/>
    <x v="0"/>
    <x v="6"/>
    <n v="44"/>
    <n v="1.7500000000000002E-2"/>
  </r>
  <r>
    <x v="0"/>
    <x v="57"/>
    <x v="3"/>
    <x v="0"/>
    <x v="7"/>
    <n v="40"/>
    <n v="4.7500000000000001E-2"/>
  </r>
  <r>
    <x v="0"/>
    <x v="57"/>
    <x v="3"/>
    <x v="0"/>
    <x v="8"/>
    <n v="47"/>
    <n v="8.6E-3"/>
  </r>
  <r>
    <x v="0"/>
    <x v="57"/>
    <x v="3"/>
    <x v="0"/>
    <x v="9"/>
    <n v="44"/>
    <n v="2.2499999999999999E-2"/>
  </r>
  <r>
    <x v="0"/>
    <x v="57"/>
    <x v="3"/>
    <x v="0"/>
    <x v="10"/>
    <n v="39"/>
    <n v="1.3899999999999999E-2"/>
  </r>
  <r>
    <x v="0"/>
    <x v="57"/>
    <x v="3"/>
    <x v="0"/>
    <x v="11"/>
    <n v="38"/>
    <n v="2.0500000000000001E-2"/>
  </r>
  <r>
    <x v="0"/>
    <x v="57"/>
    <x v="3"/>
    <x v="0"/>
    <x v="12"/>
    <n v="38"/>
    <n v="2.6200000000000001E-2"/>
  </r>
  <r>
    <x v="0"/>
    <x v="57"/>
    <x v="3"/>
    <x v="0"/>
    <x v="13"/>
    <n v="43"/>
    <n v="2.12E-2"/>
  </r>
  <r>
    <x v="0"/>
    <x v="58"/>
    <x v="3"/>
    <x v="0"/>
    <x v="0"/>
    <n v="117"/>
    <n v="0.18110000000000001"/>
  </r>
  <r>
    <x v="0"/>
    <x v="58"/>
    <x v="3"/>
    <x v="0"/>
    <x v="1"/>
    <n v="117"/>
    <n v="1.5699999999999999E-2"/>
  </r>
  <r>
    <x v="0"/>
    <x v="58"/>
    <x v="3"/>
    <x v="0"/>
    <x v="2"/>
    <n v="117"/>
    <n v="7.8899999999999998E-2"/>
  </r>
  <r>
    <x v="0"/>
    <x v="58"/>
    <x v="3"/>
    <x v="0"/>
    <x v="3"/>
    <n v="126"/>
    <n v="8.4900000000000003E-2"/>
  </r>
  <r>
    <x v="0"/>
    <x v="58"/>
    <x v="3"/>
    <x v="0"/>
    <x v="4"/>
    <n v="116"/>
    <n v="0.1305"/>
  </r>
  <r>
    <x v="0"/>
    <x v="58"/>
    <x v="3"/>
    <x v="0"/>
    <x v="5"/>
    <n v="108"/>
    <n v="6.6900000000000001E-2"/>
  </r>
  <r>
    <x v="0"/>
    <x v="58"/>
    <x v="3"/>
    <x v="0"/>
    <x v="6"/>
    <n v="106"/>
    <n v="5.8700000000000002E-2"/>
  </r>
  <r>
    <x v="0"/>
    <x v="58"/>
    <x v="3"/>
    <x v="0"/>
    <x v="7"/>
    <n v="118"/>
    <n v="0.115"/>
  </r>
  <r>
    <x v="0"/>
    <x v="58"/>
    <x v="3"/>
    <x v="0"/>
    <x v="8"/>
    <n v="105"/>
    <n v="1.7299999999999999E-2"/>
  </r>
  <r>
    <x v="0"/>
    <x v="58"/>
    <x v="3"/>
    <x v="0"/>
    <x v="9"/>
    <n v="127"/>
    <n v="7.5300000000000006E-2"/>
  </r>
  <r>
    <x v="0"/>
    <x v="58"/>
    <x v="3"/>
    <x v="0"/>
    <x v="10"/>
    <n v="109"/>
    <n v="6.5100000000000005E-2"/>
  </r>
  <r>
    <x v="0"/>
    <x v="58"/>
    <x v="3"/>
    <x v="0"/>
    <x v="11"/>
    <n v="110"/>
    <n v="7.0999999999999994E-2"/>
  </r>
  <r>
    <x v="0"/>
    <x v="58"/>
    <x v="3"/>
    <x v="0"/>
    <x v="12"/>
    <n v="114"/>
    <n v="7.4700000000000003E-2"/>
  </r>
  <r>
    <x v="0"/>
    <x v="58"/>
    <x v="3"/>
    <x v="0"/>
    <x v="13"/>
    <n v="115"/>
    <n v="2.5499999999999998E-2"/>
  </r>
  <r>
    <x v="1"/>
    <x v="59"/>
    <x v="3"/>
    <x v="0"/>
    <x v="0"/>
    <n v="140"/>
    <n v="6.3E-3"/>
  </r>
  <r>
    <x v="1"/>
    <x v="59"/>
    <x v="3"/>
    <x v="0"/>
    <x v="1"/>
    <n v="118"/>
    <n v="1.2999999999999999E-3"/>
  </r>
  <r>
    <x v="1"/>
    <x v="59"/>
    <x v="3"/>
    <x v="0"/>
    <x v="2"/>
    <n v="119"/>
    <n v="2.8999999999999998E-3"/>
  </r>
  <r>
    <x v="1"/>
    <x v="59"/>
    <x v="3"/>
    <x v="0"/>
    <x v="3"/>
    <n v="147"/>
    <n v="2.8999999999999998E-3"/>
  </r>
  <r>
    <x v="1"/>
    <x v="59"/>
    <x v="3"/>
    <x v="0"/>
    <x v="4"/>
    <n v="148"/>
    <n v="4.1999999999999997E-3"/>
  </r>
  <r>
    <x v="1"/>
    <x v="59"/>
    <x v="3"/>
    <x v="0"/>
    <x v="5"/>
    <n v="151"/>
    <n v="1.8E-3"/>
  </r>
  <r>
    <x v="1"/>
    <x v="59"/>
    <x v="3"/>
    <x v="0"/>
    <x v="6"/>
    <n v="153"/>
    <n v="2E-3"/>
  </r>
  <r>
    <x v="1"/>
    <x v="59"/>
    <x v="3"/>
    <x v="0"/>
    <x v="7"/>
    <n v="130"/>
    <n v="3.3999999999999998E-3"/>
  </r>
  <r>
    <x v="1"/>
    <x v="59"/>
    <x v="3"/>
    <x v="0"/>
    <x v="8"/>
    <n v="157"/>
    <n v="1.1000000000000001E-3"/>
  </r>
  <r>
    <x v="1"/>
    <x v="59"/>
    <x v="3"/>
    <x v="0"/>
    <x v="9"/>
    <n v="146"/>
    <n v="2.5000000000000001E-3"/>
  </r>
  <r>
    <x v="1"/>
    <x v="59"/>
    <x v="3"/>
    <x v="0"/>
    <x v="10"/>
    <n v="141"/>
    <n v="2.2000000000000001E-3"/>
  </r>
  <r>
    <x v="1"/>
    <x v="59"/>
    <x v="3"/>
    <x v="0"/>
    <x v="11"/>
    <n v="152"/>
    <n v="2.3E-3"/>
  </r>
  <r>
    <x v="1"/>
    <x v="59"/>
    <x v="3"/>
    <x v="0"/>
    <x v="12"/>
    <n v="156"/>
    <n v="2.5000000000000001E-3"/>
  </r>
  <r>
    <x v="1"/>
    <x v="59"/>
    <x v="3"/>
    <x v="0"/>
    <x v="13"/>
    <n v="134"/>
    <n v="2.0999999999999999E-3"/>
  </r>
  <r>
    <x v="0"/>
    <x v="60"/>
    <x v="3"/>
    <x v="0"/>
    <x v="0"/>
    <n v="115"/>
    <n v="0.11020000000000001"/>
  </r>
  <r>
    <x v="0"/>
    <x v="60"/>
    <x v="3"/>
    <x v="0"/>
    <x v="1"/>
    <n v="111"/>
    <n v="1.6199999999999999E-2"/>
  </r>
  <r>
    <x v="0"/>
    <x v="60"/>
    <x v="3"/>
    <x v="0"/>
    <x v="2"/>
    <n v="113"/>
    <n v="4.3200000000000002E-2"/>
  </r>
  <r>
    <x v="0"/>
    <x v="60"/>
    <x v="3"/>
    <x v="0"/>
    <x v="3"/>
    <n v="118"/>
    <n v="4.0399999999999998E-2"/>
  </r>
  <r>
    <x v="0"/>
    <x v="60"/>
    <x v="3"/>
    <x v="0"/>
    <x v="4"/>
    <n v="121"/>
    <n v="7.2499999999999995E-2"/>
  </r>
  <r>
    <x v="0"/>
    <x v="60"/>
    <x v="3"/>
    <x v="0"/>
    <x v="5"/>
    <n v="112"/>
    <n v="4.9599999999999998E-2"/>
  </r>
  <r>
    <x v="0"/>
    <x v="60"/>
    <x v="3"/>
    <x v="0"/>
    <x v="6"/>
    <n v="111"/>
    <n v="0.05"/>
  </r>
  <r>
    <x v="0"/>
    <x v="60"/>
    <x v="3"/>
    <x v="0"/>
    <x v="7"/>
    <n v="117"/>
    <n v="4.8000000000000001E-2"/>
  </r>
  <r>
    <x v="0"/>
    <x v="60"/>
    <x v="3"/>
    <x v="0"/>
    <x v="8"/>
    <n v="112"/>
    <n v="2.2700000000000001E-2"/>
  </r>
  <r>
    <x v="0"/>
    <x v="60"/>
    <x v="3"/>
    <x v="0"/>
    <x v="9"/>
    <n v="116"/>
    <n v="3.3799999999999997E-2"/>
  </r>
  <r>
    <x v="0"/>
    <x v="60"/>
    <x v="3"/>
    <x v="0"/>
    <x v="10"/>
    <n v="117"/>
    <n v="4.1200000000000001E-2"/>
  </r>
  <r>
    <x v="0"/>
    <x v="60"/>
    <x v="3"/>
    <x v="0"/>
    <x v="11"/>
    <n v="120"/>
    <n v="4.2299999999999997E-2"/>
  </r>
  <r>
    <x v="0"/>
    <x v="60"/>
    <x v="3"/>
    <x v="0"/>
    <x v="12"/>
    <n v="122"/>
    <n v="4.1599999999999998E-2"/>
  </r>
  <r>
    <x v="0"/>
    <x v="60"/>
    <x v="3"/>
    <x v="0"/>
    <x v="13"/>
    <n v="112"/>
    <n v="2.3800000000000002E-2"/>
  </r>
  <r>
    <x v="0"/>
    <x v="61"/>
    <x v="3"/>
    <x v="0"/>
    <x v="0"/>
    <n v="117"/>
    <n v="0.32650000000000001"/>
  </r>
  <r>
    <x v="0"/>
    <x v="61"/>
    <x v="3"/>
    <x v="0"/>
    <x v="1"/>
    <n v="105"/>
    <n v="5.6300000000000003E-2"/>
  </r>
  <r>
    <x v="0"/>
    <x v="61"/>
    <x v="3"/>
    <x v="0"/>
    <x v="2"/>
    <n v="114"/>
    <n v="0.15079999999999999"/>
  </r>
  <r>
    <x v="0"/>
    <x v="61"/>
    <x v="3"/>
    <x v="0"/>
    <x v="3"/>
    <n v="119"/>
    <n v="0.15190000000000001"/>
  </r>
  <r>
    <x v="0"/>
    <x v="61"/>
    <x v="3"/>
    <x v="0"/>
    <x v="4"/>
    <n v="121"/>
    <n v="0.23480000000000001"/>
  </r>
  <r>
    <x v="0"/>
    <x v="61"/>
    <x v="3"/>
    <x v="0"/>
    <x v="5"/>
    <n v="111"/>
    <n v="8.9399999999999993E-2"/>
  </r>
  <r>
    <x v="0"/>
    <x v="61"/>
    <x v="3"/>
    <x v="0"/>
    <x v="6"/>
    <n v="108"/>
    <n v="8.8099999999999998E-2"/>
  </r>
  <r>
    <x v="0"/>
    <x v="61"/>
    <x v="3"/>
    <x v="0"/>
    <x v="7"/>
    <n v="119"/>
    <n v="0.19450000000000001"/>
  </r>
  <r>
    <x v="0"/>
    <x v="61"/>
    <x v="3"/>
    <x v="0"/>
    <x v="8"/>
    <n v="109"/>
    <n v="4.6199999999999998E-2"/>
  </r>
  <r>
    <x v="0"/>
    <x v="61"/>
    <x v="3"/>
    <x v="0"/>
    <x v="9"/>
    <n v="119"/>
    <n v="0.1268"/>
  </r>
  <r>
    <x v="0"/>
    <x v="61"/>
    <x v="3"/>
    <x v="0"/>
    <x v="10"/>
    <n v="115"/>
    <n v="0.1079"/>
  </r>
  <r>
    <x v="0"/>
    <x v="61"/>
    <x v="3"/>
    <x v="0"/>
    <x v="11"/>
    <n v="119"/>
    <n v="0.13850000000000001"/>
  </r>
  <r>
    <x v="0"/>
    <x v="61"/>
    <x v="3"/>
    <x v="0"/>
    <x v="12"/>
    <n v="123"/>
    <n v="0.15079999999999999"/>
  </r>
  <r>
    <x v="0"/>
    <x v="61"/>
    <x v="3"/>
    <x v="0"/>
    <x v="13"/>
    <n v="107"/>
    <n v="9.3100000000000002E-2"/>
  </r>
  <r>
    <x v="1"/>
    <x v="62"/>
    <x v="3"/>
    <x v="0"/>
    <x v="0"/>
    <n v="122"/>
    <n v="6.6699999999999995E-2"/>
  </r>
  <r>
    <x v="1"/>
    <x v="62"/>
    <x v="3"/>
    <x v="0"/>
    <x v="1"/>
    <n v="123"/>
    <n v="7.1000000000000004E-3"/>
  </r>
  <r>
    <x v="1"/>
    <x v="62"/>
    <x v="3"/>
    <x v="0"/>
    <x v="2"/>
    <n v="117"/>
    <n v="2.1100000000000001E-2"/>
  </r>
  <r>
    <x v="1"/>
    <x v="62"/>
    <x v="3"/>
    <x v="0"/>
    <x v="3"/>
    <n v="124"/>
    <n v="1.95E-2"/>
  </r>
  <r>
    <x v="1"/>
    <x v="62"/>
    <x v="3"/>
    <x v="0"/>
    <x v="4"/>
    <n v="127"/>
    <n v="4.0300000000000002E-2"/>
  </r>
  <r>
    <x v="1"/>
    <x v="62"/>
    <x v="3"/>
    <x v="0"/>
    <x v="5"/>
    <n v="118"/>
    <n v="1.9599999999999999E-2"/>
  </r>
  <r>
    <x v="1"/>
    <x v="62"/>
    <x v="3"/>
    <x v="0"/>
    <x v="6"/>
    <n v="120"/>
    <n v="2.01E-2"/>
  </r>
  <r>
    <x v="1"/>
    <x v="62"/>
    <x v="3"/>
    <x v="0"/>
    <x v="7"/>
    <n v="123"/>
    <n v="2.63E-2"/>
  </r>
  <r>
    <x v="1"/>
    <x v="62"/>
    <x v="3"/>
    <x v="0"/>
    <x v="8"/>
    <n v="121"/>
    <n v="7.6E-3"/>
  </r>
  <r>
    <x v="1"/>
    <x v="62"/>
    <x v="3"/>
    <x v="0"/>
    <x v="9"/>
    <n v="120"/>
    <n v="1.61E-2"/>
  </r>
  <r>
    <x v="1"/>
    <x v="62"/>
    <x v="3"/>
    <x v="0"/>
    <x v="10"/>
    <n v="109"/>
    <n v="1.7899999999999999E-2"/>
  </r>
  <r>
    <x v="1"/>
    <x v="62"/>
    <x v="3"/>
    <x v="0"/>
    <x v="11"/>
    <n v="116"/>
    <n v="1.9099999999999999E-2"/>
  </r>
  <r>
    <x v="1"/>
    <x v="62"/>
    <x v="3"/>
    <x v="0"/>
    <x v="12"/>
    <n v="134"/>
    <n v="1.7899999999999999E-2"/>
  </r>
  <r>
    <x v="1"/>
    <x v="62"/>
    <x v="3"/>
    <x v="0"/>
    <x v="13"/>
    <n v="122"/>
    <n v="1.0999999999999999E-2"/>
  </r>
  <r>
    <x v="1"/>
    <x v="63"/>
    <x v="3"/>
    <x v="0"/>
    <x v="0"/>
    <n v="128"/>
    <n v="0.2351"/>
  </r>
  <r>
    <x v="1"/>
    <x v="63"/>
    <x v="3"/>
    <x v="0"/>
    <x v="1"/>
    <n v="123"/>
    <n v="4.4400000000000002E-2"/>
  </r>
  <r>
    <x v="1"/>
    <x v="63"/>
    <x v="3"/>
    <x v="0"/>
    <x v="2"/>
    <n v="127"/>
    <n v="9.74E-2"/>
  </r>
  <r>
    <x v="1"/>
    <x v="63"/>
    <x v="3"/>
    <x v="0"/>
    <x v="3"/>
    <n v="127"/>
    <n v="0.1003"/>
  </r>
  <r>
    <x v="1"/>
    <x v="63"/>
    <x v="3"/>
    <x v="0"/>
    <x v="4"/>
    <n v="131"/>
    <n v="0.16300000000000001"/>
  </r>
  <r>
    <x v="1"/>
    <x v="63"/>
    <x v="3"/>
    <x v="0"/>
    <x v="5"/>
    <n v="130"/>
    <n v="5.5399999999999998E-2"/>
  </r>
  <r>
    <x v="1"/>
    <x v="63"/>
    <x v="3"/>
    <x v="0"/>
    <x v="6"/>
    <n v="127"/>
    <n v="0.06"/>
  </r>
  <r>
    <x v="1"/>
    <x v="63"/>
    <x v="3"/>
    <x v="0"/>
    <x v="7"/>
    <n v="129"/>
    <n v="0.13289999999999999"/>
  </r>
  <r>
    <x v="1"/>
    <x v="63"/>
    <x v="3"/>
    <x v="0"/>
    <x v="8"/>
    <n v="125"/>
    <n v="3.6200000000000003E-2"/>
  </r>
  <r>
    <x v="1"/>
    <x v="63"/>
    <x v="3"/>
    <x v="0"/>
    <x v="9"/>
    <n v="125"/>
    <n v="7.6100000000000001E-2"/>
  </r>
  <r>
    <x v="1"/>
    <x v="63"/>
    <x v="3"/>
    <x v="0"/>
    <x v="10"/>
    <n v="130"/>
    <n v="6.1400000000000003E-2"/>
  </r>
  <r>
    <x v="1"/>
    <x v="63"/>
    <x v="3"/>
    <x v="0"/>
    <x v="11"/>
    <n v="128"/>
    <n v="8.3799999999999999E-2"/>
  </r>
  <r>
    <x v="1"/>
    <x v="63"/>
    <x v="3"/>
    <x v="0"/>
    <x v="12"/>
    <n v="131"/>
    <n v="9.6699999999999994E-2"/>
  </r>
  <r>
    <x v="1"/>
    <x v="63"/>
    <x v="3"/>
    <x v="0"/>
    <x v="13"/>
    <n v="122"/>
    <n v="6.3700000000000007E-2"/>
  </r>
  <r>
    <x v="0"/>
    <x v="64"/>
    <x v="3"/>
    <x v="0"/>
    <x v="0"/>
    <n v="105"/>
    <n v="0.2424"/>
  </r>
  <r>
    <x v="0"/>
    <x v="64"/>
    <x v="3"/>
    <x v="0"/>
    <x v="1"/>
    <n v="107"/>
    <n v="3.3599999999999998E-2"/>
  </r>
  <r>
    <x v="0"/>
    <x v="64"/>
    <x v="3"/>
    <x v="0"/>
    <x v="2"/>
    <n v="105"/>
    <n v="8.6499999999999994E-2"/>
  </r>
  <r>
    <x v="0"/>
    <x v="64"/>
    <x v="3"/>
    <x v="0"/>
    <x v="3"/>
    <n v="111"/>
    <n v="6.9500000000000006E-2"/>
  </r>
  <r>
    <x v="0"/>
    <x v="64"/>
    <x v="3"/>
    <x v="0"/>
    <x v="4"/>
    <n v="108"/>
    <n v="0.14649999999999999"/>
  </r>
  <r>
    <x v="0"/>
    <x v="64"/>
    <x v="3"/>
    <x v="0"/>
    <x v="5"/>
    <n v="105"/>
    <n v="8.6099999999999996E-2"/>
  </r>
  <r>
    <x v="0"/>
    <x v="64"/>
    <x v="3"/>
    <x v="0"/>
    <x v="6"/>
    <n v="102"/>
    <n v="8.8099999999999998E-2"/>
  </r>
  <r>
    <x v="0"/>
    <x v="64"/>
    <x v="3"/>
    <x v="0"/>
    <x v="7"/>
    <n v="104"/>
    <n v="9.8199999999999996E-2"/>
  </r>
  <r>
    <x v="0"/>
    <x v="64"/>
    <x v="3"/>
    <x v="0"/>
    <x v="8"/>
    <n v="102"/>
    <n v="3.4099999999999998E-2"/>
  </r>
  <r>
    <x v="0"/>
    <x v="64"/>
    <x v="3"/>
    <x v="0"/>
    <x v="9"/>
    <n v="111"/>
    <n v="5.62E-2"/>
  </r>
  <r>
    <x v="0"/>
    <x v="64"/>
    <x v="3"/>
    <x v="0"/>
    <x v="10"/>
    <n v="106"/>
    <n v="7.2599999999999998E-2"/>
  </r>
  <r>
    <x v="0"/>
    <x v="64"/>
    <x v="3"/>
    <x v="0"/>
    <x v="11"/>
    <n v="106"/>
    <n v="7.0400000000000004E-2"/>
  </r>
  <r>
    <x v="0"/>
    <x v="64"/>
    <x v="3"/>
    <x v="0"/>
    <x v="12"/>
    <n v="105"/>
    <n v="6.7199999999999996E-2"/>
  </r>
  <r>
    <x v="0"/>
    <x v="64"/>
    <x v="3"/>
    <x v="0"/>
    <x v="13"/>
    <n v="103"/>
    <n v="5.0500000000000003E-2"/>
  </r>
  <r>
    <x v="0"/>
    <x v="126"/>
    <x v="3"/>
    <x v="0"/>
    <x v="0"/>
    <n v="30"/>
    <n v="7.9000000000000008E-3"/>
  </r>
  <r>
    <x v="0"/>
    <x v="126"/>
    <x v="3"/>
    <x v="0"/>
    <x v="2"/>
    <n v="29"/>
    <n v="2.5999999999999999E-3"/>
  </r>
  <r>
    <x v="0"/>
    <x v="126"/>
    <x v="3"/>
    <x v="0"/>
    <x v="3"/>
    <n v="29"/>
    <n v="2.8E-3"/>
  </r>
  <r>
    <x v="0"/>
    <x v="126"/>
    <x v="3"/>
    <x v="0"/>
    <x v="4"/>
    <n v="29"/>
    <n v="5.7000000000000002E-3"/>
  </r>
  <r>
    <x v="0"/>
    <x v="126"/>
    <x v="3"/>
    <x v="0"/>
    <x v="5"/>
    <n v="28"/>
    <n v="3.5000000000000001E-3"/>
  </r>
  <r>
    <x v="0"/>
    <x v="126"/>
    <x v="3"/>
    <x v="0"/>
    <x v="6"/>
    <n v="32"/>
    <n v="3.0000000000000001E-3"/>
  </r>
  <r>
    <x v="0"/>
    <x v="126"/>
    <x v="3"/>
    <x v="0"/>
    <x v="7"/>
    <n v="36"/>
    <n v="3.3999999999999998E-3"/>
  </r>
  <r>
    <x v="0"/>
    <x v="126"/>
    <x v="3"/>
    <x v="0"/>
    <x v="9"/>
    <n v="30"/>
    <n v="2.2000000000000001E-3"/>
  </r>
  <r>
    <x v="0"/>
    <x v="126"/>
    <x v="3"/>
    <x v="0"/>
    <x v="10"/>
    <n v="29"/>
    <n v="3.2000000000000002E-3"/>
  </r>
  <r>
    <x v="0"/>
    <x v="126"/>
    <x v="3"/>
    <x v="0"/>
    <x v="11"/>
    <n v="29"/>
    <n v="3.2000000000000002E-3"/>
  </r>
  <r>
    <x v="0"/>
    <x v="126"/>
    <x v="3"/>
    <x v="0"/>
    <x v="12"/>
    <n v="25"/>
    <n v="2.8E-3"/>
  </r>
  <r>
    <x v="0"/>
    <x v="126"/>
    <x v="3"/>
    <x v="0"/>
    <x v="13"/>
    <n v="34"/>
    <n v="1E-3"/>
  </r>
  <r>
    <x v="0"/>
    <x v="65"/>
    <x v="3"/>
    <x v="0"/>
    <x v="0"/>
    <n v="111"/>
    <n v="0.38179999999999997"/>
  </r>
  <r>
    <x v="0"/>
    <x v="65"/>
    <x v="3"/>
    <x v="0"/>
    <x v="1"/>
    <n v="110"/>
    <n v="8.2000000000000003E-2"/>
  </r>
  <r>
    <x v="0"/>
    <x v="65"/>
    <x v="3"/>
    <x v="0"/>
    <x v="2"/>
    <n v="112"/>
    <n v="0.18770000000000001"/>
  </r>
  <r>
    <x v="0"/>
    <x v="65"/>
    <x v="3"/>
    <x v="0"/>
    <x v="3"/>
    <n v="113"/>
    <n v="0.19059999999999999"/>
  </r>
  <r>
    <x v="0"/>
    <x v="65"/>
    <x v="3"/>
    <x v="0"/>
    <x v="4"/>
    <n v="111"/>
    <n v="0.28239999999999998"/>
  </r>
  <r>
    <x v="0"/>
    <x v="65"/>
    <x v="3"/>
    <x v="0"/>
    <x v="5"/>
    <n v="109"/>
    <n v="0.11169999999999999"/>
  </r>
  <r>
    <x v="0"/>
    <x v="65"/>
    <x v="3"/>
    <x v="0"/>
    <x v="6"/>
    <n v="109"/>
    <n v="0.1056"/>
  </r>
  <r>
    <x v="0"/>
    <x v="65"/>
    <x v="3"/>
    <x v="0"/>
    <x v="7"/>
    <n v="109"/>
    <n v="0.2326"/>
  </r>
  <r>
    <x v="0"/>
    <x v="65"/>
    <x v="3"/>
    <x v="0"/>
    <x v="8"/>
    <n v="112"/>
    <n v="5.9799999999999999E-2"/>
  </r>
  <r>
    <x v="0"/>
    <x v="65"/>
    <x v="3"/>
    <x v="0"/>
    <x v="9"/>
    <n v="114"/>
    <n v="0.15690000000000001"/>
  </r>
  <r>
    <x v="0"/>
    <x v="65"/>
    <x v="3"/>
    <x v="0"/>
    <x v="10"/>
    <n v="109"/>
    <n v="0.1313"/>
  </r>
  <r>
    <x v="0"/>
    <x v="65"/>
    <x v="3"/>
    <x v="0"/>
    <x v="11"/>
    <n v="111"/>
    <n v="0.16500000000000001"/>
  </r>
  <r>
    <x v="0"/>
    <x v="65"/>
    <x v="3"/>
    <x v="0"/>
    <x v="12"/>
    <n v="112"/>
    <n v="0.1875"/>
  </r>
  <r>
    <x v="0"/>
    <x v="65"/>
    <x v="3"/>
    <x v="0"/>
    <x v="13"/>
    <n v="109"/>
    <n v="0.1191"/>
  </r>
  <r>
    <x v="1"/>
    <x v="66"/>
    <x v="3"/>
    <x v="0"/>
    <x v="0"/>
    <n v="109"/>
    <n v="0.1231"/>
  </r>
  <r>
    <x v="1"/>
    <x v="66"/>
    <x v="3"/>
    <x v="0"/>
    <x v="1"/>
    <n v="105"/>
    <n v="2.1600000000000001E-2"/>
  </r>
  <r>
    <x v="1"/>
    <x v="66"/>
    <x v="3"/>
    <x v="0"/>
    <x v="2"/>
    <n v="109"/>
    <n v="4.99E-2"/>
  </r>
  <r>
    <x v="1"/>
    <x v="66"/>
    <x v="3"/>
    <x v="0"/>
    <x v="3"/>
    <n v="114"/>
    <n v="4.7500000000000001E-2"/>
  </r>
  <r>
    <x v="1"/>
    <x v="66"/>
    <x v="3"/>
    <x v="0"/>
    <x v="4"/>
    <n v="109"/>
    <n v="7.9399999999999998E-2"/>
  </r>
  <r>
    <x v="1"/>
    <x v="66"/>
    <x v="3"/>
    <x v="0"/>
    <x v="5"/>
    <n v="111"/>
    <n v="3.0700000000000002E-2"/>
  </r>
  <r>
    <x v="1"/>
    <x v="66"/>
    <x v="3"/>
    <x v="0"/>
    <x v="6"/>
    <n v="109"/>
    <n v="3.4000000000000002E-2"/>
  </r>
  <r>
    <x v="1"/>
    <x v="66"/>
    <x v="3"/>
    <x v="0"/>
    <x v="7"/>
    <n v="104"/>
    <n v="5.9400000000000001E-2"/>
  </r>
  <r>
    <x v="1"/>
    <x v="66"/>
    <x v="3"/>
    <x v="0"/>
    <x v="8"/>
    <n v="113"/>
    <n v="1.7100000000000001E-2"/>
  </r>
  <r>
    <x v="1"/>
    <x v="66"/>
    <x v="3"/>
    <x v="0"/>
    <x v="9"/>
    <n v="115"/>
    <n v="3.8300000000000001E-2"/>
  </r>
  <r>
    <x v="1"/>
    <x v="66"/>
    <x v="3"/>
    <x v="0"/>
    <x v="10"/>
    <n v="111"/>
    <n v="3.1300000000000001E-2"/>
  </r>
  <r>
    <x v="1"/>
    <x v="66"/>
    <x v="3"/>
    <x v="0"/>
    <x v="11"/>
    <n v="110"/>
    <n v="3.8100000000000002E-2"/>
  </r>
  <r>
    <x v="1"/>
    <x v="66"/>
    <x v="3"/>
    <x v="0"/>
    <x v="12"/>
    <n v="107"/>
    <n v="4.1799999999999997E-2"/>
  </r>
  <r>
    <x v="1"/>
    <x v="66"/>
    <x v="3"/>
    <x v="0"/>
    <x v="13"/>
    <n v="107"/>
    <n v="3.4700000000000002E-2"/>
  </r>
  <r>
    <x v="0"/>
    <x v="67"/>
    <x v="3"/>
    <x v="0"/>
    <x v="0"/>
    <n v="90"/>
    <n v="0.22389999999999999"/>
  </r>
  <r>
    <x v="0"/>
    <x v="67"/>
    <x v="3"/>
    <x v="0"/>
    <x v="1"/>
    <n v="84"/>
    <n v="2.92E-2"/>
  </r>
  <r>
    <x v="0"/>
    <x v="67"/>
    <x v="3"/>
    <x v="0"/>
    <x v="2"/>
    <n v="90"/>
    <n v="7.7299999999999994E-2"/>
  </r>
  <r>
    <x v="0"/>
    <x v="67"/>
    <x v="3"/>
    <x v="0"/>
    <x v="3"/>
    <n v="95"/>
    <n v="7.1499999999999994E-2"/>
  </r>
  <r>
    <x v="0"/>
    <x v="67"/>
    <x v="3"/>
    <x v="0"/>
    <x v="4"/>
    <n v="92"/>
    <n v="0.1469"/>
  </r>
  <r>
    <x v="0"/>
    <x v="67"/>
    <x v="3"/>
    <x v="0"/>
    <x v="5"/>
    <n v="91"/>
    <n v="9.7799999999999998E-2"/>
  </r>
  <r>
    <x v="0"/>
    <x v="67"/>
    <x v="3"/>
    <x v="0"/>
    <x v="6"/>
    <n v="88"/>
    <n v="9.7699999999999995E-2"/>
  </r>
  <r>
    <x v="0"/>
    <x v="67"/>
    <x v="3"/>
    <x v="0"/>
    <x v="7"/>
    <n v="90"/>
    <n v="9.3299999999999994E-2"/>
  </r>
  <r>
    <x v="0"/>
    <x v="67"/>
    <x v="3"/>
    <x v="0"/>
    <x v="8"/>
    <n v="84"/>
    <n v="3.7199999999999997E-2"/>
  </r>
  <r>
    <x v="0"/>
    <x v="67"/>
    <x v="3"/>
    <x v="0"/>
    <x v="9"/>
    <n v="95"/>
    <n v="5.9299999999999999E-2"/>
  </r>
  <r>
    <x v="0"/>
    <x v="67"/>
    <x v="3"/>
    <x v="0"/>
    <x v="10"/>
    <n v="91"/>
    <n v="8.2000000000000003E-2"/>
  </r>
  <r>
    <x v="0"/>
    <x v="67"/>
    <x v="3"/>
    <x v="0"/>
    <x v="11"/>
    <n v="90"/>
    <n v="7.6399999999999996E-2"/>
  </r>
  <r>
    <x v="0"/>
    <x v="67"/>
    <x v="3"/>
    <x v="0"/>
    <x v="12"/>
    <n v="92"/>
    <n v="7.3700000000000002E-2"/>
  </r>
  <r>
    <x v="0"/>
    <x v="67"/>
    <x v="3"/>
    <x v="0"/>
    <x v="13"/>
    <n v="84"/>
    <n v="4.58E-2"/>
  </r>
  <r>
    <x v="1"/>
    <x v="68"/>
    <x v="3"/>
    <x v="1"/>
    <x v="0"/>
    <n v="110"/>
    <n v="0.31530000000000002"/>
  </r>
  <r>
    <x v="1"/>
    <x v="68"/>
    <x v="3"/>
    <x v="1"/>
    <x v="1"/>
    <n v="104"/>
    <n v="5.3100000000000001E-2"/>
  </r>
  <r>
    <x v="1"/>
    <x v="68"/>
    <x v="3"/>
    <x v="1"/>
    <x v="2"/>
    <n v="110"/>
    <n v="0.13950000000000001"/>
  </r>
  <r>
    <x v="1"/>
    <x v="68"/>
    <x v="3"/>
    <x v="1"/>
    <x v="3"/>
    <n v="108"/>
    <n v="0.13689999999999999"/>
  </r>
  <r>
    <x v="1"/>
    <x v="68"/>
    <x v="3"/>
    <x v="1"/>
    <x v="4"/>
    <n v="110"/>
    <n v="0.216"/>
  </r>
  <r>
    <x v="1"/>
    <x v="68"/>
    <x v="3"/>
    <x v="1"/>
    <x v="5"/>
    <n v="106"/>
    <n v="8.1000000000000003E-2"/>
  </r>
  <r>
    <x v="1"/>
    <x v="68"/>
    <x v="3"/>
    <x v="1"/>
    <x v="6"/>
    <n v="105"/>
    <n v="7.4999999999999997E-2"/>
  </r>
  <r>
    <x v="1"/>
    <x v="68"/>
    <x v="3"/>
    <x v="1"/>
    <x v="7"/>
    <n v="114"/>
    <n v="0.1583"/>
  </r>
  <r>
    <x v="1"/>
    <x v="68"/>
    <x v="3"/>
    <x v="1"/>
    <x v="8"/>
    <n v="103"/>
    <n v="3.3500000000000002E-2"/>
  </r>
  <r>
    <x v="1"/>
    <x v="68"/>
    <x v="3"/>
    <x v="1"/>
    <x v="9"/>
    <n v="109"/>
    <n v="0.1125"/>
  </r>
  <r>
    <x v="1"/>
    <x v="68"/>
    <x v="3"/>
    <x v="1"/>
    <x v="10"/>
    <n v="107"/>
    <n v="9.5699999999999993E-2"/>
  </r>
  <r>
    <x v="1"/>
    <x v="68"/>
    <x v="3"/>
    <x v="1"/>
    <x v="11"/>
    <n v="109"/>
    <n v="0.1168"/>
  </r>
  <r>
    <x v="1"/>
    <x v="68"/>
    <x v="3"/>
    <x v="1"/>
    <x v="12"/>
    <n v="110"/>
    <n v="0.13089999999999999"/>
  </r>
  <r>
    <x v="1"/>
    <x v="68"/>
    <x v="3"/>
    <x v="1"/>
    <x v="13"/>
    <n v="103"/>
    <n v="7.9500000000000001E-2"/>
  </r>
  <r>
    <x v="0"/>
    <x v="69"/>
    <x v="3"/>
    <x v="0"/>
    <x v="0"/>
    <n v="86"/>
    <n v="0.1244"/>
  </r>
  <r>
    <x v="0"/>
    <x v="69"/>
    <x v="3"/>
    <x v="0"/>
    <x v="1"/>
    <n v="78"/>
    <n v="1.06E-2"/>
  </r>
  <r>
    <x v="0"/>
    <x v="69"/>
    <x v="3"/>
    <x v="0"/>
    <x v="2"/>
    <n v="86"/>
    <n v="3.9800000000000002E-2"/>
  </r>
  <r>
    <x v="0"/>
    <x v="69"/>
    <x v="3"/>
    <x v="0"/>
    <x v="3"/>
    <n v="90"/>
    <n v="3.5900000000000001E-2"/>
  </r>
  <r>
    <x v="0"/>
    <x v="69"/>
    <x v="3"/>
    <x v="0"/>
    <x v="4"/>
    <n v="87"/>
    <n v="7.9399999999999998E-2"/>
  </r>
  <r>
    <x v="0"/>
    <x v="69"/>
    <x v="3"/>
    <x v="0"/>
    <x v="5"/>
    <n v="85"/>
    <n v="4.7899999999999998E-2"/>
  </r>
  <r>
    <x v="0"/>
    <x v="69"/>
    <x v="3"/>
    <x v="0"/>
    <x v="6"/>
    <n v="88"/>
    <n v="4.9700000000000001E-2"/>
  </r>
  <r>
    <x v="0"/>
    <x v="69"/>
    <x v="3"/>
    <x v="0"/>
    <x v="7"/>
    <n v="84"/>
    <n v="5.0900000000000001E-2"/>
  </r>
  <r>
    <x v="0"/>
    <x v="69"/>
    <x v="3"/>
    <x v="0"/>
    <x v="8"/>
    <n v="83"/>
    <n v="1.7500000000000002E-2"/>
  </r>
  <r>
    <x v="0"/>
    <x v="69"/>
    <x v="3"/>
    <x v="0"/>
    <x v="9"/>
    <n v="90"/>
    <n v="2.92E-2"/>
  </r>
  <r>
    <x v="0"/>
    <x v="69"/>
    <x v="3"/>
    <x v="0"/>
    <x v="10"/>
    <n v="86"/>
    <n v="4.3099999999999999E-2"/>
  </r>
  <r>
    <x v="0"/>
    <x v="69"/>
    <x v="3"/>
    <x v="0"/>
    <x v="11"/>
    <n v="86"/>
    <n v="3.6600000000000001E-2"/>
  </r>
  <r>
    <x v="0"/>
    <x v="69"/>
    <x v="3"/>
    <x v="0"/>
    <x v="12"/>
    <n v="88"/>
    <n v="3.73E-2"/>
  </r>
  <r>
    <x v="0"/>
    <x v="69"/>
    <x v="3"/>
    <x v="0"/>
    <x v="13"/>
    <n v="84"/>
    <n v="1.9900000000000001E-2"/>
  </r>
  <r>
    <x v="0"/>
    <x v="127"/>
    <x v="3"/>
    <x v="0"/>
    <x v="0"/>
    <n v="125"/>
    <n v="3.1099999999999999E-2"/>
  </r>
  <r>
    <x v="0"/>
    <x v="127"/>
    <x v="3"/>
    <x v="0"/>
    <x v="1"/>
    <n v="125"/>
    <n v="1.6000000000000001E-3"/>
  </r>
  <r>
    <x v="0"/>
    <x v="127"/>
    <x v="3"/>
    <x v="0"/>
    <x v="2"/>
    <n v="111"/>
    <n v="6.7000000000000002E-3"/>
  </r>
  <r>
    <x v="0"/>
    <x v="127"/>
    <x v="3"/>
    <x v="0"/>
    <x v="3"/>
    <n v="93"/>
    <n v="4.4999999999999997E-3"/>
  </r>
  <r>
    <x v="0"/>
    <x v="127"/>
    <x v="3"/>
    <x v="0"/>
    <x v="4"/>
    <n v="137"/>
    <n v="1.4800000000000001E-2"/>
  </r>
  <r>
    <x v="0"/>
    <x v="127"/>
    <x v="3"/>
    <x v="0"/>
    <x v="5"/>
    <n v="83"/>
    <n v="6.3E-3"/>
  </r>
  <r>
    <x v="0"/>
    <x v="127"/>
    <x v="3"/>
    <x v="0"/>
    <x v="6"/>
    <n v="76"/>
    <n v="7.4999999999999997E-3"/>
  </r>
  <r>
    <x v="0"/>
    <x v="127"/>
    <x v="3"/>
    <x v="0"/>
    <x v="7"/>
    <n v="118"/>
    <n v="7.7999999999999996E-3"/>
  </r>
  <r>
    <x v="0"/>
    <x v="127"/>
    <x v="3"/>
    <x v="0"/>
    <x v="8"/>
    <n v="107"/>
    <n v="1.1999999999999999E-3"/>
  </r>
  <r>
    <x v="0"/>
    <x v="127"/>
    <x v="3"/>
    <x v="0"/>
    <x v="9"/>
    <n v="81"/>
    <n v="3.0999999999999999E-3"/>
  </r>
  <r>
    <x v="0"/>
    <x v="127"/>
    <x v="3"/>
    <x v="0"/>
    <x v="10"/>
    <n v="88"/>
    <n v="4.5999999999999999E-3"/>
  </r>
  <r>
    <x v="0"/>
    <x v="127"/>
    <x v="3"/>
    <x v="0"/>
    <x v="11"/>
    <n v="82"/>
    <n v="4.3E-3"/>
  </r>
  <r>
    <x v="0"/>
    <x v="127"/>
    <x v="3"/>
    <x v="0"/>
    <x v="12"/>
    <n v="91"/>
    <n v="4.1000000000000003E-3"/>
  </r>
  <r>
    <x v="0"/>
    <x v="127"/>
    <x v="3"/>
    <x v="0"/>
    <x v="13"/>
    <n v="110"/>
    <n v="3.0999999999999999E-3"/>
  </r>
  <r>
    <x v="0"/>
    <x v="70"/>
    <x v="3"/>
    <x v="0"/>
    <x v="0"/>
    <n v="109"/>
    <n v="0.29649999999999999"/>
  </r>
  <r>
    <x v="0"/>
    <x v="70"/>
    <x v="3"/>
    <x v="0"/>
    <x v="1"/>
    <n v="124"/>
    <n v="3.9399999999999998E-2"/>
  </r>
  <r>
    <x v="0"/>
    <x v="70"/>
    <x v="3"/>
    <x v="0"/>
    <x v="2"/>
    <n v="123"/>
    <n v="0.1138"/>
  </r>
  <r>
    <x v="0"/>
    <x v="70"/>
    <x v="3"/>
    <x v="0"/>
    <x v="3"/>
    <n v="119"/>
    <n v="0.106"/>
  </r>
  <r>
    <x v="0"/>
    <x v="70"/>
    <x v="3"/>
    <x v="0"/>
    <x v="4"/>
    <n v="106"/>
    <n v="0.1966"/>
  </r>
  <r>
    <x v="0"/>
    <x v="70"/>
    <x v="3"/>
    <x v="0"/>
    <x v="5"/>
    <n v="104"/>
    <n v="6.8900000000000003E-2"/>
  </r>
  <r>
    <x v="0"/>
    <x v="70"/>
    <x v="3"/>
    <x v="0"/>
    <x v="6"/>
    <n v="106"/>
    <n v="6.3899999999999998E-2"/>
  </r>
  <r>
    <x v="0"/>
    <x v="70"/>
    <x v="3"/>
    <x v="0"/>
    <x v="7"/>
    <n v="81"/>
    <n v="0.14099999999999999"/>
  </r>
  <r>
    <x v="0"/>
    <x v="70"/>
    <x v="3"/>
    <x v="0"/>
    <x v="8"/>
    <n v="119"/>
    <n v="2.6800000000000001E-2"/>
  </r>
  <r>
    <x v="0"/>
    <x v="70"/>
    <x v="3"/>
    <x v="0"/>
    <x v="9"/>
    <n v="121"/>
    <n v="8.5099999999999995E-2"/>
  </r>
  <r>
    <x v="0"/>
    <x v="70"/>
    <x v="3"/>
    <x v="0"/>
    <x v="10"/>
    <n v="105"/>
    <n v="7.5600000000000001E-2"/>
  </r>
  <r>
    <x v="0"/>
    <x v="70"/>
    <x v="3"/>
    <x v="0"/>
    <x v="11"/>
    <n v="108"/>
    <n v="9.9299999999999999E-2"/>
  </r>
  <r>
    <x v="0"/>
    <x v="70"/>
    <x v="3"/>
    <x v="0"/>
    <x v="12"/>
    <n v="107"/>
    <n v="0.1111"/>
  </r>
  <r>
    <x v="0"/>
    <x v="70"/>
    <x v="3"/>
    <x v="0"/>
    <x v="13"/>
    <n v="122"/>
    <n v="5.8099999999999999E-2"/>
  </r>
  <r>
    <x v="0"/>
    <x v="71"/>
    <x v="3"/>
    <x v="0"/>
    <x v="0"/>
    <n v="89"/>
    <n v="3.2599999999999997E-2"/>
  </r>
  <r>
    <x v="0"/>
    <x v="71"/>
    <x v="3"/>
    <x v="0"/>
    <x v="1"/>
    <n v="73"/>
    <n v="2.5999999999999999E-3"/>
  </r>
  <r>
    <x v="0"/>
    <x v="71"/>
    <x v="3"/>
    <x v="0"/>
    <x v="2"/>
    <n v="86"/>
    <n v="7.6E-3"/>
  </r>
  <r>
    <x v="0"/>
    <x v="71"/>
    <x v="3"/>
    <x v="0"/>
    <x v="3"/>
    <n v="74"/>
    <n v="7.7999999999999996E-3"/>
  </r>
  <r>
    <x v="0"/>
    <x v="71"/>
    <x v="3"/>
    <x v="0"/>
    <x v="4"/>
    <n v="83"/>
    <n v="1.89E-2"/>
  </r>
  <r>
    <x v="0"/>
    <x v="71"/>
    <x v="3"/>
    <x v="0"/>
    <x v="5"/>
    <n v="76"/>
    <n v="5.1999999999999998E-3"/>
  </r>
  <r>
    <x v="0"/>
    <x v="71"/>
    <x v="3"/>
    <x v="0"/>
    <x v="6"/>
    <n v="77"/>
    <n v="5.1000000000000004E-3"/>
  </r>
  <r>
    <x v="0"/>
    <x v="71"/>
    <x v="3"/>
    <x v="0"/>
    <x v="7"/>
    <n v="93"/>
    <n v="1.21E-2"/>
  </r>
  <r>
    <x v="0"/>
    <x v="71"/>
    <x v="3"/>
    <x v="0"/>
    <x v="8"/>
    <n v="76"/>
    <n v="2.0999999999999999E-3"/>
  </r>
  <r>
    <x v="0"/>
    <x v="71"/>
    <x v="3"/>
    <x v="0"/>
    <x v="9"/>
    <n v="76"/>
    <n v="5.7999999999999996E-3"/>
  </r>
  <r>
    <x v="0"/>
    <x v="71"/>
    <x v="3"/>
    <x v="0"/>
    <x v="10"/>
    <n v="81"/>
    <n v="5.7999999999999996E-3"/>
  </r>
  <r>
    <x v="0"/>
    <x v="71"/>
    <x v="3"/>
    <x v="0"/>
    <x v="11"/>
    <n v="84"/>
    <n v="6.6E-3"/>
  </r>
  <r>
    <x v="0"/>
    <x v="71"/>
    <x v="3"/>
    <x v="0"/>
    <x v="12"/>
    <n v="81"/>
    <n v="7.7999999999999996E-3"/>
  </r>
  <r>
    <x v="0"/>
    <x v="71"/>
    <x v="3"/>
    <x v="0"/>
    <x v="13"/>
    <n v="76"/>
    <n v="4.7000000000000002E-3"/>
  </r>
  <r>
    <x v="0"/>
    <x v="72"/>
    <x v="3"/>
    <x v="0"/>
    <x v="0"/>
    <n v="118"/>
    <n v="0.1108"/>
  </r>
  <r>
    <x v="0"/>
    <x v="72"/>
    <x v="3"/>
    <x v="0"/>
    <x v="1"/>
    <n v="117"/>
    <n v="1.9800000000000002E-2"/>
  </r>
  <r>
    <x v="0"/>
    <x v="72"/>
    <x v="3"/>
    <x v="0"/>
    <x v="2"/>
    <n v="119"/>
    <n v="4.8500000000000001E-2"/>
  </r>
  <r>
    <x v="0"/>
    <x v="72"/>
    <x v="3"/>
    <x v="0"/>
    <x v="3"/>
    <n v="124"/>
    <n v="4.6899999999999997E-2"/>
  </r>
  <r>
    <x v="0"/>
    <x v="72"/>
    <x v="3"/>
    <x v="0"/>
    <x v="4"/>
    <n v="116"/>
    <n v="7.0000000000000007E-2"/>
  </r>
  <r>
    <x v="0"/>
    <x v="72"/>
    <x v="3"/>
    <x v="0"/>
    <x v="5"/>
    <n v="117"/>
    <n v="2.1399999999999999E-2"/>
  </r>
  <r>
    <x v="0"/>
    <x v="72"/>
    <x v="3"/>
    <x v="0"/>
    <x v="6"/>
    <n v="124"/>
    <n v="2.3199999999999998E-2"/>
  </r>
  <r>
    <x v="0"/>
    <x v="72"/>
    <x v="3"/>
    <x v="0"/>
    <x v="7"/>
    <n v="114"/>
    <n v="5.6800000000000003E-2"/>
  </r>
  <r>
    <x v="0"/>
    <x v="72"/>
    <x v="3"/>
    <x v="0"/>
    <x v="8"/>
    <n v="121"/>
    <n v="1.3299999999999999E-2"/>
  </r>
  <r>
    <x v="0"/>
    <x v="72"/>
    <x v="3"/>
    <x v="0"/>
    <x v="9"/>
    <n v="125"/>
    <n v="3.7999999999999999E-2"/>
  </r>
  <r>
    <x v="0"/>
    <x v="72"/>
    <x v="3"/>
    <x v="0"/>
    <x v="10"/>
    <n v="110"/>
    <n v="2.47E-2"/>
  </r>
  <r>
    <x v="0"/>
    <x v="72"/>
    <x v="3"/>
    <x v="0"/>
    <x v="11"/>
    <n v="113"/>
    <n v="3.2500000000000001E-2"/>
  </r>
  <r>
    <x v="0"/>
    <x v="72"/>
    <x v="3"/>
    <x v="0"/>
    <x v="12"/>
    <n v="115"/>
    <n v="0.04"/>
  </r>
  <r>
    <x v="0"/>
    <x v="72"/>
    <x v="3"/>
    <x v="0"/>
    <x v="13"/>
    <n v="114"/>
    <n v="2.98E-2"/>
  </r>
  <r>
    <x v="0"/>
    <x v="73"/>
    <x v="3"/>
    <x v="0"/>
    <x v="0"/>
    <n v="109"/>
    <n v="0.4103"/>
  </r>
  <r>
    <x v="0"/>
    <x v="73"/>
    <x v="3"/>
    <x v="0"/>
    <x v="1"/>
    <n v="104"/>
    <n v="0.16850000000000001"/>
  </r>
  <r>
    <x v="0"/>
    <x v="73"/>
    <x v="3"/>
    <x v="0"/>
    <x v="2"/>
    <n v="110"/>
    <n v="0.25840000000000002"/>
  </r>
  <r>
    <x v="0"/>
    <x v="73"/>
    <x v="3"/>
    <x v="0"/>
    <x v="3"/>
    <n v="112"/>
    <n v="0.27079999999999999"/>
  </r>
  <r>
    <x v="0"/>
    <x v="73"/>
    <x v="3"/>
    <x v="0"/>
    <x v="4"/>
    <n v="110"/>
    <n v="0.3483"/>
  </r>
  <r>
    <x v="0"/>
    <x v="73"/>
    <x v="3"/>
    <x v="0"/>
    <x v="5"/>
    <n v="107"/>
    <n v="0.251"/>
  </r>
  <r>
    <x v="0"/>
    <x v="73"/>
    <x v="3"/>
    <x v="0"/>
    <x v="6"/>
    <n v="104"/>
    <n v="0.2407"/>
  </r>
  <r>
    <x v="0"/>
    <x v="73"/>
    <x v="3"/>
    <x v="0"/>
    <x v="7"/>
    <n v="107"/>
    <n v="0.27110000000000001"/>
  </r>
  <r>
    <x v="0"/>
    <x v="73"/>
    <x v="3"/>
    <x v="0"/>
    <x v="8"/>
    <n v="102"/>
    <n v="0.13850000000000001"/>
  </r>
  <r>
    <x v="0"/>
    <x v="73"/>
    <x v="3"/>
    <x v="0"/>
    <x v="9"/>
    <n v="112"/>
    <n v="0.2445"/>
  </r>
  <r>
    <x v="0"/>
    <x v="73"/>
    <x v="3"/>
    <x v="0"/>
    <x v="10"/>
    <n v="107"/>
    <n v="0.25119999999999998"/>
  </r>
  <r>
    <x v="0"/>
    <x v="73"/>
    <x v="3"/>
    <x v="0"/>
    <x v="11"/>
    <n v="110"/>
    <n v="0.25530000000000003"/>
  </r>
  <r>
    <x v="0"/>
    <x v="73"/>
    <x v="3"/>
    <x v="0"/>
    <x v="12"/>
    <n v="111"/>
    <n v="0.25840000000000002"/>
  </r>
  <r>
    <x v="0"/>
    <x v="73"/>
    <x v="3"/>
    <x v="0"/>
    <x v="13"/>
    <n v="103"/>
    <n v="0.2069"/>
  </r>
  <r>
    <x v="0"/>
    <x v="74"/>
    <x v="3"/>
    <x v="0"/>
    <x v="0"/>
    <n v="100"/>
    <n v="9.6699999999999994E-2"/>
  </r>
  <r>
    <x v="0"/>
    <x v="74"/>
    <x v="3"/>
    <x v="0"/>
    <x v="1"/>
    <n v="101"/>
    <n v="7.1000000000000004E-3"/>
  </r>
  <r>
    <x v="0"/>
    <x v="74"/>
    <x v="3"/>
    <x v="0"/>
    <x v="2"/>
    <n v="102"/>
    <n v="3.9100000000000003E-2"/>
  </r>
  <r>
    <x v="0"/>
    <x v="74"/>
    <x v="3"/>
    <x v="0"/>
    <x v="3"/>
    <n v="106"/>
    <n v="3.9399999999999998E-2"/>
  </r>
  <r>
    <x v="0"/>
    <x v="74"/>
    <x v="3"/>
    <x v="0"/>
    <x v="4"/>
    <n v="99"/>
    <n v="6.4500000000000002E-2"/>
  </r>
  <r>
    <x v="0"/>
    <x v="74"/>
    <x v="3"/>
    <x v="0"/>
    <x v="5"/>
    <n v="99"/>
    <n v="2.8000000000000001E-2"/>
  </r>
  <r>
    <x v="0"/>
    <x v="74"/>
    <x v="3"/>
    <x v="0"/>
    <x v="6"/>
    <n v="103"/>
    <n v="2.4199999999999999E-2"/>
  </r>
  <r>
    <x v="0"/>
    <x v="74"/>
    <x v="3"/>
    <x v="0"/>
    <x v="7"/>
    <n v="95"/>
    <n v="4.9299999999999997E-2"/>
  </r>
  <r>
    <x v="0"/>
    <x v="74"/>
    <x v="3"/>
    <x v="0"/>
    <x v="8"/>
    <n v="102"/>
    <n v="7.6E-3"/>
  </r>
  <r>
    <x v="0"/>
    <x v="74"/>
    <x v="3"/>
    <x v="0"/>
    <x v="9"/>
    <n v="107"/>
    <n v="3.39E-2"/>
  </r>
  <r>
    <x v="0"/>
    <x v="74"/>
    <x v="3"/>
    <x v="0"/>
    <x v="10"/>
    <n v="91"/>
    <n v="2.8199999999999999E-2"/>
  </r>
  <r>
    <x v="0"/>
    <x v="74"/>
    <x v="3"/>
    <x v="0"/>
    <x v="11"/>
    <n v="91"/>
    <n v="3.2000000000000001E-2"/>
  </r>
  <r>
    <x v="0"/>
    <x v="74"/>
    <x v="3"/>
    <x v="0"/>
    <x v="12"/>
    <n v="97"/>
    <n v="3.44E-2"/>
  </r>
  <r>
    <x v="0"/>
    <x v="74"/>
    <x v="3"/>
    <x v="0"/>
    <x v="13"/>
    <n v="97"/>
    <n v="1.0699999999999999E-2"/>
  </r>
  <r>
    <x v="1"/>
    <x v="75"/>
    <x v="3"/>
    <x v="0"/>
    <x v="0"/>
    <n v="103"/>
    <n v="0.1537"/>
  </r>
  <r>
    <x v="1"/>
    <x v="75"/>
    <x v="3"/>
    <x v="0"/>
    <x v="1"/>
    <n v="106"/>
    <n v="1.7299999999999999E-2"/>
  </r>
  <r>
    <x v="1"/>
    <x v="75"/>
    <x v="3"/>
    <x v="0"/>
    <x v="2"/>
    <n v="108"/>
    <n v="5.79E-2"/>
  </r>
  <r>
    <x v="1"/>
    <x v="75"/>
    <x v="3"/>
    <x v="0"/>
    <x v="3"/>
    <n v="110"/>
    <n v="5.3800000000000001E-2"/>
  </r>
  <r>
    <x v="1"/>
    <x v="75"/>
    <x v="3"/>
    <x v="0"/>
    <x v="4"/>
    <n v="102"/>
    <n v="0.10440000000000001"/>
  </r>
  <r>
    <x v="1"/>
    <x v="75"/>
    <x v="3"/>
    <x v="0"/>
    <x v="5"/>
    <n v="99"/>
    <n v="6.4100000000000004E-2"/>
  </r>
  <r>
    <x v="1"/>
    <x v="75"/>
    <x v="3"/>
    <x v="0"/>
    <x v="6"/>
    <n v="98"/>
    <n v="5.8900000000000001E-2"/>
  </r>
  <r>
    <x v="1"/>
    <x v="75"/>
    <x v="3"/>
    <x v="0"/>
    <x v="7"/>
    <n v="100"/>
    <n v="6.9000000000000006E-2"/>
  </r>
  <r>
    <x v="1"/>
    <x v="75"/>
    <x v="3"/>
    <x v="0"/>
    <x v="8"/>
    <n v="96"/>
    <n v="2.0299999999999999E-2"/>
  </r>
  <r>
    <x v="1"/>
    <x v="75"/>
    <x v="3"/>
    <x v="0"/>
    <x v="9"/>
    <n v="109"/>
    <n v="4.5199999999999997E-2"/>
  </r>
  <r>
    <x v="1"/>
    <x v="75"/>
    <x v="3"/>
    <x v="0"/>
    <x v="10"/>
    <n v="98"/>
    <n v="0.06"/>
  </r>
  <r>
    <x v="1"/>
    <x v="75"/>
    <x v="3"/>
    <x v="0"/>
    <x v="11"/>
    <n v="100"/>
    <n v="5.8099999999999999E-2"/>
  </r>
  <r>
    <x v="1"/>
    <x v="75"/>
    <x v="3"/>
    <x v="0"/>
    <x v="12"/>
    <n v="100"/>
    <n v="5.7799999999999997E-2"/>
  </r>
  <r>
    <x v="1"/>
    <x v="75"/>
    <x v="3"/>
    <x v="0"/>
    <x v="13"/>
    <n v="102"/>
    <n v="2.7099999999999999E-2"/>
  </r>
  <r>
    <x v="0"/>
    <x v="76"/>
    <x v="3"/>
    <x v="0"/>
    <x v="0"/>
    <n v="95"/>
    <n v="0.25729999999999997"/>
  </r>
  <r>
    <x v="0"/>
    <x v="76"/>
    <x v="3"/>
    <x v="0"/>
    <x v="1"/>
    <n v="98"/>
    <n v="3.2099999999999997E-2"/>
  </r>
  <r>
    <x v="0"/>
    <x v="76"/>
    <x v="3"/>
    <x v="0"/>
    <x v="2"/>
    <n v="100"/>
    <n v="8.4400000000000003E-2"/>
  </r>
  <r>
    <x v="0"/>
    <x v="76"/>
    <x v="3"/>
    <x v="0"/>
    <x v="3"/>
    <n v="102"/>
    <n v="9.2700000000000005E-2"/>
  </r>
  <r>
    <x v="0"/>
    <x v="76"/>
    <x v="3"/>
    <x v="0"/>
    <x v="4"/>
    <n v="82"/>
    <n v="0.17929999999999999"/>
  </r>
  <r>
    <x v="0"/>
    <x v="76"/>
    <x v="3"/>
    <x v="0"/>
    <x v="5"/>
    <n v="84"/>
    <n v="4.8500000000000001E-2"/>
  </r>
  <r>
    <x v="0"/>
    <x v="76"/>
    <x v="3"/>
    <x v="0"/>
    <x v="6"/>
    <n v="87"/>
    <n v="4.8800000000000003E-2"/>
  </r>
  <r>
    <x v="0"/>
    <x v="76"/>
    <x v="3"/>
    <x v="0"/>
    <x v="7"/>
    <n v="104"/>
    <n v="0.12180000000000001"/>
  </r>
  <r>
    <x v="0"/>
    <x v="76"/>
    <x v="3"/>
    <x v="0"/>
    <x v="8"/>
    <n v="91"/>
    <n v="2.3699999999999999E-2"/>
  </r>
  <r>
    <x v="0"/>
    <x v="76"/>
    <x v="3"/>
    <x v="0"/>
    <x v="9"/>
    <n v="105"/>
    <n v="7.0800000000000002E-2"/>
  </r>
  <r>
    <x v="0"/>
    <x v="76"/>
    <x v="3"/>
    <x v="0"/>
    <x v="10"/>
    <n v="82"/>
    <n v="5.28E-2"/>
  </r>
  <r>
    <x v="0"/>
    <x v="76"/>
    <x v="3"/>
    <x v="0"/>
    <x v="11"/>
    <n v="80"/>
    <n v="6.8500000000000005E-2"/>
  </r>
  <r>
    <x v="0"/>
    <x v="76"/>
    <x v="3"/>
    <x v="0"/>
    <x v="12"/>
    <n v="80"/>
    <n v="8.4900000000000003E-2"/>
  </r>
  <r>
    <x v="0"/>
    <x v="76"/>
    <x v="3"/>
    <x v="0"/>
    <x v="13"/>
    <n v="96"/>
    <n v="4.87E-2"/>
  </r>
  <r>
    <x v="0"/>
    <x v="77"/>
    <x v="3"/>
    <x v="0"/>
    <x v="0"/>
    <n v="85"/>
    <n v="4.6600000000000003E-2"/>
  </r>
  <r>
    <x v="0"/>
    <x v="77"/>
    <x v="3"/>
    <x v="0"/>
    <x v="1"/>
    <n v="88"/>
    <n v="4.7000000000000002E-3"/>
  </r>
  <r>
    <x v="0"/>
    <x v="77"/>
    <x v="3"/>
    <x v="0"/>
    <x v="2"/>
    <n v="100"/>
    <n v="1.3299999999999999E-2"/>
  </r>
  <r>
    <x v="0"/>
    <x v="77"/>
    <x v="3"/>
    <x v="0"/>
    <x v="3"/>
    <n v="94"/>
    <n v="1.24E-2"/>
  </r>
  <r>
    <x v="0"/>
    <x v="77"/>
    <x v="3"/>
    <x v="0"/>
    <x v="4"/>
    <n v="83"/>
    <n v="2.5499999999999998E-2"/>
  </r>
  <r>
    <x v="0"/>
    <x v="77"/>
    <x v="3"/>
    <x v="0"/>
    <x v="5"/>
    <n v="68"/>
    <n v="5.4000000000000003E-3"/>
  </r>
  <r>
    <x v="0"/>
    <x v="77"/>
    <x v="3"/>
    <x v="0"/>
    <x v="6"/>
    <n v="71"/>
    <n v="6.4999999999999997E-3"/>
  </r>
  <r>
    <x v="0"/>
    <x v="77"/>
    <x v="3"/>
    <x v="0"/>
    <x v="7"/>
    <n v="68"/>
    <n v="1.4200000000000001E-2"/>
  </r>
  <r>
    <x v="0"/>
    <x v="77"/>
    <x v="3"/>
    <x v="0"/>
    <x v="8"/>
    <n v="85"/>
    <n v="3.5999999999999999E-3"/>
  </r>
  <r>
    <x v="0"/>
    <x v="77"/>
    <x v="3"/>
    <x v="0"/>
    <x v="9"/>
    <n v="96"/>
    <n v="8.3999999999999995E-3"/>
  </r>
  <r>
    <x v="0"/>
    <x v="77"/>
    <x v="3"/>
    <x v="0"/>
    <x v="10"/>
    <n v="72"/>
    <n v="5.8999999999999999E-3"/>
  </r>
  <r>
    <x v="0"/>
    <x v="77"/>
    <x v="3"/>
    <x v="0"/>
    <x v="11"/>
    <n v="84"/>
    <n v="8.6999999999999994E-3"/>
  </r>
  <r>
    <x v="0"/>
    <x v="77"/>
    <x v="3"/>
    <x v="0"/>
    <x v="12"/>
    <n v="86"/>
    <n v="1.12E-2"/>
  </r>
  <r>
    <x v="0"/>
    <x v="77"/>
    <x v="3"/>
    <x v="0"/>
    <x v="13"/>
    <n v="77"/>
    <n v="7.1000000000000004E-3"/>
  </r>
  <r>
    <x v="1"/>
    <x v="78"/>
    <x v="3"/>
    <x v="0"/>
    <x v="0"/>
    <n v="122"/>
    <n v="7.7200000000000005E-2"/>
  </r>
  <r>
    <x v="1"/>
    <x v="78"/>
    <x v="3"/>
    <x v="0"/>
    <x v="1"/>
    <n v="113"/>
    <n v="4.8999999999999998E-3"/>
  </r>
  <r>
    <x v="1"/>
    <x v="78"/>
    <x v="3"/>
    <x v="0"/>
    <x v="2"/>
    <n v="110"/>
    <n v="2.3099999999999999E-2"/>
  </r>
  <r>
    <x v="1"/>
    <x v="78"/>
    <x v="3"/>
    <x v="0"/>
    <x v="3"/>
    <n v="121"/>
    <n v="2.18E-2"/>
  </r>
  <r>
    <x v="1"/>
    <x v="78"/>
    <x v="3"/>
    <x v="0"/>
    <x v="4"/>
    <n v="125"/>
    <n v="4.82E-2"/>
  </r>
  <r>
    <x v="1"/>
    <x v="78"/>
    <x v="3"/>
    <x v="0"/>
    <x v="5"/>
    <n v="125"/>
    <n v="0.03"/>
  </r>
  <r>
    <x v="1"/>
    <x v="78"/>
    <x v="3"/>
    <x v="0"/>
    <x v="6"/>
    <n v="124"/>
    <n v="2.5000000000000001E-2"/>
  </r>
  <r>
    <x v="1"/>
    <x v="78"/>
    <x v="3"/>
    <x v="0"/>
    <x v="7"/>
    <n v="120"/>
    <n v="2.5999999999999999E-2"/>
  </r>
  <r>
    <x v="1"/>
    <x v="78"/>
    <x v="3"/>
    <x v="0"/>
    <x v="8"/>
    <n v="118"/>
    <n v="3.8E-3"/>
  </r>
  <r>
    <x v="1"/>
    <x v="78"/>
    <x v="3"/>
    <x v="0"/>
    <x v="9"/>
    <n v="118"/>
    <n v="1.7500000000000002E-2"/>
  </r>
  <r>
    <x v="1"/>
    <x v="78"/>
    <x v="3"/>
    <x v="0"/>
    <x v="10"/>
    <n v="124"/>
    <n v="2.5600000000000001E-2"/>
  </r>
  <r>
    <x v="1"/>
    <x v="78"/>
    <x v="3"/>
    <x v="0"/>
    <x v="11"/>
    <n v="125"/>
    <n v="2.47E-2"/>
  </r>
  <r>
    <x v="1"/>
    <x v="78"/>
    <x v="3"/>
    <x v="0"/>
    <x v="12"/>
    <n v="123"/>
    <n v="2.4E-2"/>
  </r>
  <r>
    <x v="1"/>
    <x v="78"/>
    <x v="3"/>
    <x v="0"/>
    <x v="13"/>
    <n v="110"/>
    <n v="7.7999999999999996E-3"/>
  </r>
  <r>
    <x v="1"/>
    <x v="79"/>
    <x v="3"/>
    <x v="1"/>
    <x v="0"/>
    <n v="115"/>
    <n v="0.98329999999999995"/>
  </r>
  <r>
    <x v="1"/>
    <x v="79"/>
    <x v="3"/>
    <x v="1"/>
    <x v="1"/>
    <n v="114"/>
    <n v="0.39460000000000001"/>
  </r>
  <r>
    <x v="1"/>
    <x v="79"/>
    <x v="3"/>
    <x v="1"/>
    <x v="2"/>
    <n v="122"/>
    <n v="0.66020000000000001"/>
  </r>
  <r>
    <x v="1"/>
    <x v="79"/>
    <x v="3"/>
    <x v="1"/>
    <x v="3"/>
    <n v="121"/>
    <n v="0.61299999999999999"/>
  </r>
  <r>
    <x v="1"/>
    <x v="79"/>
    <x v="3"/>
    <x v="1"/>
    <x v="4"/>
    <n v="117"/>
    <n v="0.88400000000000001"/>
  </r>
  <r>
    <x v="1"/>
    <x v="79"/>
    <x v="3"/>
    <x v="1"/>
    <x v="5"/>
    <n v="116"/>
    <n v="0.43869999999999998"/>
  </r>
  <r>
    <x v="1"/>
    <x v="79"/>
    <x v="3"/>
    <x v="1"/>
    <x v="6"/>
    <n v="114"/>
    <n v="0.4335"/>
  </r>
  <r>
    <x v="1"/>
    <x v="79"/>
    <x v="3"/>
    <x v="1"/>
    <x v="7"/>
    <n v="108"/>
    <n v="0.90500000000000003"/>
  </r>
  <r>
    <x v="1"/>
    <x v="79"/>
    <x v="3"/>
    <x v="1"/>
    <x v="8"/>
    <n v="111"/>
    <n v="0.27979999999999999"/>
  </r>
  <r>
    <x v="1"/>
    <x v="79"/>
    <x v="3"/>
    <x v="1"/>
    <x v="9"/>
    <n v="121"/>
    <n v="0.5413"/>
  </r>
  <r>
    <x v="1"/>
    <x v="79"/>
    <x v="3"/>
    <x v="1"/>
    <x v="10"/>
    <n v="118"/>
    <n v="0.55089999999999995"/>
  </r>
  <r>
    <x v="1"/>
    <x v="79"/>
    <x v="3"/>
    <x v="1"/>
    <x v="11"/>
    <n v="118"/>
    <n v="0.64119999999999999"/>
  </r>
  <r>
    <x v="1"/>
    <x v="79"/>
    <x v="3"/>
    <x v="1"/>
    <x v="12"/>
    <n v="118"/>
    <n v="0.6986"/>
  </r>
  <r>
    <x v="1"/>
    <x v="79"/>
    <x v="3"/>
    <x v="1"/>
    <x v="13"/>
    <n v="113"/>
    <n v="0.55069999999999997"/>
  </r>
  <r>
    <x v="0"/>
    <x v="80"/>
    <x v="3"/>
    <x v="0"/>
    <x v="0"/>
    <n v="101"/>
    <n v="0.28739999999999999"/>
  </r>
  <r>
    <x v="0"/>
    <x v="80"/>
    <x v="3"/>
    <x v="0"/>
    <x v="1"/>
    <n v="98"/>
    <n v="2.8400000000000002E-2"/>
  </r>
  <r>
    <x v="0"/>
    <x v="80"/>
    <x v="3"/>
    <x v="0"/>
    <x v="2"/>
    <n v="106"/>
    <n v="8.3299999999999999E-2"/>
  </r>
  <r>
    <x v="0"/>
    <x v="80"/>
    <x v="3"/>
    <x v="0"/>
    <x v="3"/>
    <n v="106"/>
    <n v="8.7900000000000006E-2"/>
  </r>
  <r>
    <x v="0"/>
    <x v="80"/>
    <x v="3"/>
    <x v="0"/>
    <x v="4"/>
    <n v="102"/>
    <n v="0.20549999999999999"/>
  </r>
  <r>
    <x v="0"/>
    <x v="80"/>
    <x v="3"/>
    <x v="0"/>
    <x v="5"/>
    <n v="100"/>
    <n v="0.1313"/>
  </r>
  <r>
    <x v="0"/>
    <x v="80"/>
    <x v="3"/>
    <x v="0"/>
    <x v="6"/>
    <n v="98"/>
    <n v="0.1242"/>
  </r>
  <r>
    <x v="0"/>
    <x v="80"/>
    <x v="3"/>
    <x v="0"/>
    <x v="7"/>
    <n v="96"/>
    <n v="0.10589999999999999"/>
  </r>
  <r>
    <x v="0"/>
    <x v="80"/>
    <x v="3"/>
    <x v="0"/>
    <x v="8"/>
    <n v="96"/>
    <n v="0.04"/>
  </r>
  <r>
    <x v="0"/>
    <x v="80"/>
    <x v="3"/>
    <x v="0"/>
    <x v="9"/>
    <n v="105"/>
    <n v="7.0199999999999999E-2"/>
  </r>
  <r>
    <x v="0"/>
    <x v="80"/>
    <x v="3"/>
    <x v="0"/>
    <x v="10"/>
    <n v="100"/>
    <n v="0.1203"/>
  </r>
  <r>
    <x v="0"/>
    <x v="80"/>
    <x v="3"/>
    <x v="0"/>
    <x v="11"/>
    <n v="101"/>
    <n v="0.1116"/>
  </r>
  <r>
    <x v="0"/>
    <x v="80"/>
    <x v="3"/>
    <x v="0"/>
    <x v="12"/>
    <n v="103"/>
    <n v="0.10349999999999999"/>
  </r>
  <r>
    <x v="0"/>
    <x v="80"/>
    <x v="3"/>
    <x v="0"/>
    <x v="13"/>
    <n v="95"/>
    <n v="4.7300000000000002E-2"/>
  </r>
  <r>
    <x v="0"/>
    <x v="81"/>
    <x v="3"/>
    <x v="0"/>
    <x v="0"/>
    <n v="114"/>
    <n v="2.86E-2"/>
  </r>
  <r>
    <x v="0"/>
    <x v="81"/>
    <x v="3"/>
    <x v="0"/>
    <x v="1"/>
    <n v="122"/>
    <n v="1.5E-3"/>
  </r>
  <r>
    <x v="0"/>
    <x v="81"/>
    <x v="3"/>
    <x v="0"/>
    <x v="2"/>
    <n v="116"/>
    <n v="7.0000000000000001E-3"/>
  </r>
  <r>
    <x v="0"/>
    <x v="81"/>
    <x v="3"/>
    <x v="0"/>
    <x v="3"/>
    <n v="110"/>
    <n v="6.4999999999999997E-3"/>
  </r>
  <r>
    <x v="0"/>
    <x v="81"/>
    <x v="3"/>
    <x v="0"/>
    <x v="4"/>
    <n v="117"/>
    <n v="1.8700000000000001E-2"/>
  </r>
  <r>
    <x v="0"/>
    <x v="81"/>
    <x v="3"/>
    <x v="0"/>
    <x v="5"/>
    <n v="117"/>
    <n v="8.0999999999999996E-3"/>
  </r>
  <r>
    <x v="0"/>
    <x v="81"/>
    <x v="3"/>
    <x v="0"/>
    <x v="6"/>
    <n v="103"/>
    <n v="7.4000000000000003E-3"/>
  </r>
  <r>
    <x v="0"/>
    <x v="81"/>
    <x v="3"/>
    <x v="0"/>
    <x v="7"/>
    <n v="114"/>
    <n v="9.5999999999999992E-3"/>
  </r>
  <r>
    <x v="0"/>
    <x v="81"/>
    <x v="3"/>
    <x v="0"/>
    <x v="8"/>
    <n v="86"/>
    <n v="1.6999999999999999E-3"/>
  </r>
  <r>
    <x v="0"/>
    <x v="81"/>
    <x v="3"/>
    <x v="0"/>
    <x v="9"/>
    <n v="97"/>
    <n v="4.1999999999999997E-3"/>
  </r>
  <r>
    <x v="0"/>
    <x v="81"/>
    <x v="3"/>
    <x v="0"/>
    <x v="10"/>
    <n v="112"/>
    <n v="7.7000000000000002E-3"/>
  </r>
  <r>
    <x v="0"/>
    <x v="81"/>
    <x v="3"/>
    <x v="0"/>
    <x v="11"/>
    <n v="116"/>
    <n v="9.1000000000000004E-3"/>
  </r>
  <r>
    <x v="0"/>
    <x v="81"/>
    <x v="3"/>
    <x v="0"/>
    <x v="12"/>
    <n v="119"/>
    <n v="9.4999999999999998E-3"/>
  </r>
  <r>
    <x v="0"/>
    <x v="81"/>
    <x v="3"/>
    <x v="0"/>
    <x v="13"/>
    <n v="106"/>
    <n v="2.5000000000000001E-3"/>
  </r>
  <r>
    <x v="0"/>
    <x v="82"/>
    <x v="3"/>
    <x v="0"/>
    <x v="0"/>
    <n v="80"/>
    <n v="5.91E-2"/>
  </r>
  <r>
    <x v="0"/>
    <x v="82"/>
    <x v="3"/>
    <x v="0"/>
    <x v="1"/>
    <n v="68"/>
    <n v="2.7000000000000001E-3"/>
  </r>
  <r>
    <x v="0"/>
    <x v="82"/>
    <x v="3"/>
    <x v="0"/>
    <x v="2"/>
    <n v="87"/>
    <n v="1.4200000000000001E-2"/>
  </r>
  <r>
    <x v="0"/>
    <x v="82"/>
    <x v="3"/>
    <x v="0"/>
    <x v="3"/>
    <n v="88"/>
    <n v="1.4E-2"/>
  </r>
  <r>
    <x v="0"/>
    <x v="82"/>
    <x v="3"/>
    <x v="0"/>
    <x v="4"/>
    <n v="78"/>
    <n v="4.3700000000000003E-2"/>
  </r>
  <r>
    <x v="0"/>
    <x v="82"/>
    <x v="3"/>
    <x v="0"/>
    <x v="5"/>
    <n v="84"/>
    <n v="1.72E-2"/>
  </r>
  <r>
    <x v="0"/>
    <x v="82"/>
    <x v="3"/>
    <x v="0"/>
    <x v="6"/>
    <n v="82"/>
    <n v="1.4E-2"/>
  </r>
  <r>
    <x v="0"/>
    <x v="82"/>
    <x v="3"/>
    <x v="0"/>
    <x v="7"/>
    <n v="74"/>
    <n v="2.18E-2"/>
  </r>
  <r>
    <x v="0"/>
    <x v="82"/>
    <x v="3"/>
    <x v="0"/>
    <x v="8"/>
    <n v="69"/>
    <n v="3.3E-3"/>
  </r>
  <r>
    <x v="0"/>
    <x v="82"/>
    <x v="3"/>
    <x v="0"/>
    <x v="9"/>
    <n v="85"/>
    <n v="9.4000000000000004E-3"/>
  </r>
  <r>
    <x v="0"/>
    <x v="82"/>
    <x v="3"/>
    <x v="0"/>
    <x v="10"/>
    <n v="78"/>
    <n v="1.9E-2"/>
  </r>
  <r>
    <x v="0"/>
    <x v="82"/>
    <x v="3"/>
    <x v="0"/>
    <x v="11"/>
    <n v="77"/>
    <n v="2.2200000000000001E-2"/>
  </r>
  <r>
    <x v="0"/>
    <x v="82"/>
    <x v="3"/>
    <x v="0"/>
    <x v="12"/>
    <n v="77"/>
    <n v="2.1000000000000001E-2"/>
  </r>
  <r>
    <x v="0"/>
    <x v="82"/>
    <x v="3"/>
    <x v="0"/>
    <x v="13"/>
    <n v="67"/>
    <n v="4.7999999999999996E-3"/>
  </r>
  <r>
    <x v="0"/>
    <x v="83"/>
    <x v="3"/>
    <x v="0"/>
    <x v="0"/>
    <n v="36"/>
    <n v="1.6299999999999999E-2"/>
  </r>
  <r>
    <x v="0"/>
    <x v="83"/>
    <x v="3"/>
    <x v="0"/>
    <x v="1"/>
    <n v="34"/>
    <n v="2.3999999999999998E-3"/>
  </r>
  <r>
    <x v="0"/>
    <x v="83"/>
    <x v="3"/>
    <x v="0"/>
    <x v="2"/>
    <n v="32"/>
    <n v="6.3E-3"/>
  </r>
  <r>
    <x v="0"/>
    <x v="83"/>
    <x v="3"/>
    <x v="0"/>
    <x v="3"/>
    <n v="35"/>
    <n v="5.4999999999999997E-3"/>
  </r>
  <r>
    <x v="0"/>
    <x v="83"/>
    <x v="3"/>
    <x v="0"/>
    <x v="4"/>
    <n v="36"/>
    <n v="8.9999999999999993E-3"/>
  </r>
  <r>
    <x v="0"/>
    <x v="83"/>
    <x v="3"/>
    <x v="0"/>
    <x v="5"/>
    <n v="33"/>
    <n v="2.3999999999999998E-3"/>
  </r>
  <r>
    <x v="0"/>
    <x v="83"/>
    <x v="3"/>
    <x v="0"/>
    <x v="6"/>
    <n v="46"/>
    <n v="2.8E-3"/>
  </r>
  <r>
    <x v="0"/>
    <x v="83"/>
    <x v="3"/>
    <x v="0"/>
    <x v="7"/>
    <n v="33"/>
    <n v="9.2999999999999992E-3"/>
  </r>
  <r>
    <x v="0"/>
    <x v="83"/>
    <x v="3"/>
    <x v="0"/>
    <x v="8"/>
    <n v="52"/>
    <n v="1.6000000000000001E-3"/>
  </r>
  <r>
    <x v="0"/>
    <x v="83"/>
    <x v="3"/>
    <x v="0"/>
    <x v="9"/>
    <n v="35"/>
    <n v="4.4999999999999997E-3"/>
  </r>
  <r>
    <x v="0"/>
    <x v="83"/>
    <x v="3"/>
    <x v="0"/>
    <x v="10"/>
    <n v="35"/>
    <n v="2.8999999999999998E-3"/>
  </r>
  <r>
    <x v="0"/>
    <x v="83"/>
    <x v="3"/>
    <x v="0"/>
    <x v="11"/>
    <n v="34"/>
    <n v="4.3E-3"/>
  </r>
  <r>
    <x v="0"/>
    <x v="83"/>
    <x v="3"/>
    <x v="0"/>
    <x v="12"/>
    <n v="36"/>
    <n v="5.3E-3"/>
  </r>
  <r>
    <x v="0"/>
    <x v="83"/>
    <x v="3"/>
    <x v="0"/>
    <x v="13"/>
    <n v="37"/>
    <n v="4.3E-3"/>
  </r>
  <r>
    <x v="0"/>
    <x v="84"/>
    <x v="3"/>
    <x v="0"/>
    <x v="0"/>
    <n v="98"/>
    <n v="0.12970000000000001"/>
  </r>
  <r>
    <x v="0"/>
    <x v="84"/>
    <x v="3"/>
    <x v="0"/>
    <x v="1"/>
    <n v="108"/>
    <n v="9.9000000000000008E-3"/>
  </r>
  <r>
    <x v="0"/>
    <x v="84"/>
    <x v="3"/>
    <x v="0"/>
    <x v="2"/>
    <n v="100"/>
    <n v="3.9300000000000002E-2"/>
  </r>
  <r>
    <x v="0"/>
    <x v="84"/>
    <x v="3"/>
    <x v="0"/>
    <x v="3"/>
    <n v="96"/>
    <n v="3.6600000000000001E-2"/>
  </r>
  <r>
    <x v="0"/>
    <x v="84"/>
    <x v="3"/>
    <x v="0"/>
    <x v="4"/>
    <n v="99"/>
    <n v="8.7499999999999994E-2"/>
  </r>
  <r>
    <x v="0"/>
    <x v="84"/>
    <x v="3"/>
    <x v="0"/>
    <x v="5"/>
    <n v="97"/>
    <n v="3.9699999999999999E-2"/>
  </r>
  <r>
    <x v="0"/>
    <x v="84"/>
    <x v="3"/>
    <x v="0"/>
    <x v="6"/>
    <n v="102"/>
    <n v="3.61E-2"/>
  </r>
  <r>
    <x v="0"/>
    <x v="84"/>
    <x v="3"/>
    <x v="0"/>
    <x v="7"/>
    <n v="93"/>
    <n v="6.2899999999999998E-2"/>
  </r>
  <r>
    <x v="0"/>
    <x v="84"/>
    <x v="3"/>
    <x v="0"/>
    <x v="8"/>
    <n v="109"/>
    <n v="1.1299999999999999E-2"/>
  </r>
  <r>
    <x v="0"/>
    <x v="84"/>
    <x v="3"/>
    <x v="0"/>
    <x v="9"/>
    <n v="97"/>
    <n v="2.9000000000000001E-2"/>
  </r>
  <r>
    <x v="0"/>
    <x v="84"/>
    <x v="3"/>
    <x v="0"/>
    <x v="10"/>
    <n v="94"/>
    <n v="4.0599999999999997E-2"/>
  </r>
  <r>
    <x v="0"/>
    <x v="84"/>
    <x v="3"/>
    <x v="0"/>
    <x v="11"/>
    <n v="99"/>
    <n v="4.4200000000000003E-2"/>
  </r>
  <r>
    <x v="0"/>
    <x v="84"/>
    <x v="3"/>
    <x v="0"/>
    <x v="12"/>
    <n v="100"/>
    <n v="4.41E-2"/>
  </r>
  <r>
    <x v="0"/>
    <x v="84"/>
    <x v="3"/>
    <x v="0"/>
    <x v="13"/>
    <n v="105"/>
    <n v="1.67E-2"/>
  </r>
  <r>
    <x v="1"/>
    <x v="85"/>
    <x v="3"/>
    <x v="0"/>
    <x v="0"/>
    <n v="68"/>
    <n v="3.1099999999999999E-2"/>
  </r>
  <r>
    <x v="1"/>
    <x v="85"/>
    <x v="3"/>
    <x v="0"/>
    <x v="1"/>
    <n v="113"/>
    <n v="1.6000000000000001E-3"/>
  </r>
  <r>
    <x v="1"/>
    <x v="85"/>
    <x v="3"/>
    <x v="0"/>
    <x v="2"/>
    <n v="66"/>
    <n v="8.3999999999999995E-3"/>
  </r>
  <r>
    <x v="1"/>
    <x v="85"/>
    <x v="3"/>
    <x v="0"/>
    <x v="3"/>
    <n v="65"/>
    <n v="7.4000000000000003E-3"/>
  </r>
  <r>
    <x v="1"/>
    <x v="85"/>
    <x v="3"/>
    <x v="0"/>
    <x v="4"/>
    <n v="68"/>
    <n v="1.7000000000000001E-2"/>
  </r>
  <r>
    <x v="1"/>
    <x v="85"/>
    <x v="3"/>
    <x v="0"/>
    <x v="5"/>
    <n v="67"/>
    <n v="6.1999999999999998E-3"/>
  </r>
  <r>
    <x v="1"/>
    <x v="85"/>
    <x v="3"/>
    <x v="0"/>
    <x v="6"/>
    <n v="62"/>
    <n v="6.7000000000000002E-3"/>
  </r>
  <r>
    <x v="1"/>
    <x v="85"/>
    <x v="3"/>
    <x v="0"/>
    <x v="7"/>
    <n v="67"/>
    <n v="9.7000000000000003E-3"/>
  </r>
  <r>
    <x v="1"/>
    <x v="85"/>
    <x v="3"/>
    <x v="0"/>
    <x v="8"/>
    <n v="86"/>
    <n v="1.6999999999999999E-3"/>
  </r>
  <r>
    <x v="1"/>
    <x v="85"/>
    <x v="3"/>
    <x v="0"/>
    <x v="9"/>
    <n v="54"/>
    <n v="4.4999999999999997E-3"/>
  </r>
  <r>
    <x v="1"/>
    <x v="85"/>
    <x v="3"/>
    <x v="0"/>
    <x v="10"/>
    <n v="65"/>
    <n v="6.4000000000000003E-3"/>
  </r>
  <r>
    <x v="1"/>
    <x v="85"/>
    <x v="3"/>
    <x v="0"/>
    <x v="11"/>
    <n v="67"/>
    <n v="7.1999999999999998E-3"/>
  </r>
  <r>
    <x v="1"/>
    <x v="85"/>
    <x v="3"/>
    <x v="0"/>
    <x v="12"/>
    <n v="66"/>
    <n v="6.7999999999999996E-3"/>
  </r>
  <r>
    <x v="1"/>
    <x v="85"/>
    <x v="3"/>
    <x v="0"/>
    <x v="13"/>
    <n v="105"/>
    <n v="2.3999999999999998E-3"/>
  </r>
  <r>
    <x v="1"/>
    <x v="86"/>
    <x v="3"/>
    <x v="0"/>
    <x v="0"/>
    <n v="79"/>
    <n v="2.7400000000000001E-2"/>
  </r>
  <r>
    <x v="1"/>
    <x v="86"/>
    <x v="3"/>
    <x v="0"/>
    <x v="1"/>
    <n v="79"/>
    <n v="2.0999999999999999E-3"/>
  </r>
  <r>
    <x v="1"/>
    <x v="86"/>
    <x v="3"/>
    <x v="0"/>
    <x v="2"/>
    <n v="67"/>
    <n v="6.8999999999999999E-3"/>
  </r>
  <r>
    <x v="1"/>
    <x v="86"/>
    <x v="3"/>
    <x v="0"/>
    <x v="3"/>
    <n v="68"/>
    <n v="5.8999999999999999E-3"/>
  </r>
  <r>
    <x v="1"/>
    <x v="86"/>
    <x v="3"/>
    <x v="0"/>
    <x v="4"/>
    <n v="77"/>
    <n v="1.3899999999999999E-2"/>
  </r>
  <r>
    <x v="1"/>
    <x v="86"/>
    <x v="3"/>
    <x v="0"/>
    <x v="5"/>
    <n v="80"/>
    <n v="6.4000000000000003E-3"/>
  </r>
  <r>
    <x v="1"/>
    <x v="86"/>
    <x v="3"/>
    <x v="0"/>
    <x v="6"/>
    <n v="80"/>
    <n v="6.7000000000000002E-3"/>
  </r>
  <r>
    <x v="1"/>
    <x v="86"/>
    <x v="3"/>
    <x v="0"/>
    <x v="7"/>
    <n v="82"/>
    <n v="8.2000000000000007E-3"/>
  </r>
  <r>
    <x v="1"/>
    <x v="86"/>
    <x v="3"/>
    <x v="0"/>
    <x v="8"/>
    <n v="79"/>
    <n v="2.3E-3"/>
  </r>
  <r>
    <x v="1"/>
    <x v="86"/>
    <x v="3"/>
    <x v="0"/>
    <x v="9"/>
    <n v="68"/>
    <n v="4.7999999999999996E-3"/>
  </r>
  <r>
    <x v="1"/>
    <x v="86"/>
    <x v="3"/>
    <x v="0"/>
    <x v="10"/>
    <n v="84"/>
    <n v="5.5999999999999999E-3"/>
  </r>
  <r>
    <x v="1"/>
    <x v="86"/>
    <x v="3"/>
    <x v="0"/>
    <x v="11"/>
    <n v="83"/>
    <n v="5.7999999999999996E-3"/>
  </r>
  <r>
    <x v="1"/>
    <x v="86"/>
    <x v="3"/>
    <x v="0"/>
    <x v="12"/>
    <n v="76"/>
    <n v="5.3E-3"/>
  </r>
  <r>
    <x v="1"/>
    <x v="86"/>
    <x v="3"/>
    <x v="0"/>
    <x v="13"/>
    <n v="84"/>
    <n v="3.2000000000000002E-3"/>
  </r>
  <r>
    <x v="0"/>
    <x v="87"/>
    <x v="3"/>
    <x v="0"/>
    <x v="0"/>
    <n v="93"/>
    <n v="0.21679999999999999"/>
  </r>
  <r>
    <x v="0"/>
    <x v="87"/>
    <x v="3"/>
    <x v="0"/>
    <x v="1"/>
    <n v="75"/>
    <n v="2.64E-2"/>
  </r>
  <r>
    <x v="0"/>
    <x v="87"/>
    <x v="3"/>
    <x v="0"/>
    <x v="2"/>
    <n v="67"/>
    <n v="5.3600000000000002E-2"/>
  </r>
  <r>
    <x v="0"/>
    <x v="87"/>
    <x v="3"/>
    <x v="0"/>
    <x v="3"/>
    <n v="70"/>
    <n v="5.1200000000000002E-2"/>
  </r>
  <r>
    <x v="0"/>
    <x v="87"/>
    <x v="3"/>
    <x v="0"/>
    <x v="4"/>
    <n v="101"/>
    <n v="0.13930000000000001"/>
  </r>
  <r>
    <x v="0"/>
    <x v="87"/>
    <x v="3"/>
    <x v="0"/>
    <x v="5"/>
    <n v="106"/>
    <n v="5.6399999999999999E-2"/>
  </r>
  <r>
    <x v="0"/>
    <x v="87"/>
    <x v="3"/>
    <x v="0"/>
    <x v="6"/>
    <n v="97"/>
    <n v="5.6399999999999999E-2"/>
  </r>
  <r>
    <x v="0"/>
    <x v="87"/>
    <x v="3"/>
    <x v="0"/>
    <x v="7"/>
    <n v="72"/>
    <n v="7.9100000000000004E-2"/>
  </r>
  <r>
    <x v="0"/>
    <x v="87"/>
    <x v="3"/>
    <x v="0"/>
    <x v="8"/>
    <n v="91"/>
    <n v="2.5899999999999999E-2"/>
  </r>
  <r>
    <x v="0"/>
    <x v="87"/>
    <x v="3"/>
    <x v="0"/>
    <x v="9"/>
    <n v="71"/>
    <n v="3.9300000000000002E-2"/>
  </r>
  <r>
    <x v="0"/>
    <x v="87"/>
    <x v="3"/>
    <x v="0"/>
    <x v="10"/>
    <n v="108"/>
    <n v="5.9700000000000003E-2"/>
  </r>
  <r>
    <x v="0"/>
    <x v="87"/>
    <x v="3"/>
    <x v="0"/>
    <x v="11"/>
    <n v="105"/>
    <n v="6.9900000000000004E-2"/>
  </r>
  <r>
    <x v="0"/>
    <x v="87"/>
    <x v="3"/>
    <x v="0"/>
    <x v="12"/>
    <n v="98"/>
    <n v="6.7299999999999999E-2"/>
  </r>
  <r>
    <x v="0"/>
    <x v="87"/>
    <x v="3"/>
    <x v="0"/>
    <x v="13"/>
    <n v="81"/>
    <n v="4.3400000000000001E-2"/>
  </r>
  <r>
    <x v="0"/>
    <x v="88"/>
    <x v="3"/>
    <x v="0"/>
    <x v="0"/>
    <n v="107"/>
    <n v="0.29770000000000002"/>
  </r>
  <r>
    <x v="0"/>
    <x v="88"/>
    <x v="3"/>
    <x v="0"/>
    <x v="1"/>
    <n v="101"/>
    <n v="5.5199999999999999E-2"/>
  </r>
  <r>
    <x v="0"/>
    <x v="88"/>
    <x v="3"/>
    <x v="0"/>
    <x v="2"/>
    <n v="116"/>
    <n v="0.1148"/>
  </r>
  <r>
    <x v="0"/>
    <x v="88"/>
    <x v="3"/>
    <x v="0"/>
    <x v="3"/>
    <n v="113"/>
    <n v="0.11020000000000001"/>
  </r>
  <r>
    <x v="0"/>
    <x v="88"/>
    <x v="3"/>
    <x v="0"/>
    <x v="4"/>
    <n v="107"/>
    <n v="0.19520000000000001"/>
  </r>
  <r>
    <x v="0"/>
    <x v="88"/>
    <x v="3"/>
    <x v="0"/>
    <x v="5"/>
    <n v="100"/>
    <n v="7.5200000000000003E-2"/>
  </r>
  <r>
    <x v="0"/>
    <x v="88"/>
    <x v="3"/>
    <x v="0"/>
    <x v="6"/>
    <n v="99"/>
    <n v="7.7399999999999997E-2"/>
  </r>
  <r>
    <x v="0"/>
    <x v="88"/>
    <x v="3"/>
    <x v="0"/>
    <x v="7"/>
    <n v="108"/>
    <n v="0.1482"/>
  </r>
  <r>
    <x v="0"/>
    <x v="88"/>
    <x v="3"/>
    <x v="0"/>
    <x v="8"/>
    <n v="102"/>
    <n v="4.3200000000000002E-2"/>
  </r>
  <r>
    <x v="0"/>
    <x v="88"/>
    <x v="3"/>
    <x v="0"/>
    <x v="9"/>
    <n v="114"/>
    <n v="8.7400000000000005E-2"/>
  </r>
  <r>
    <x v="0"/>
    <x v="88"/>
    <x v="3"/>
    <x v="0"/>
    <x v="10"/>
    <n v="104"/>
    <n v="8.7099999999999997E-2"/>
  </r>
  <r>
    <x v="0"/>
    <x v="88"/>
    <x v="3"/>
    <x v="0"/>
    <x v="11"/>
    <n v="107"/>
    <n v="0.10100000000000001"/>
  </r>
  <r>
    <x v="0"/>
    <x v="88"/>
    <x v="3"/>
    <x v="0"/>
    <x v="12"/>
    <n v="108"/>
    <n v="0.1116"/>
  </r>
  <r>
    <x v="0"/>
    <x v="88"/>
    <x v="3"/>
    <x v="0"/>
    <x v="13"/>
    <n v="104"/>
    <n v="8.3900000000000002E-2"/>
  </r>
  <r>
    <x v="0"/>
    <x v="89"/>
    <x v="3"/>
    <x v="0"/>
    <x v="0"/>
    <n v="98"/>
    <n v="0.14380000000000001"/>
  </r>
  <r>
    <x v="0"/>
    <x v="89"/>
    <x v="3"/>
    <x v="0"/>
    <x v="1"/>
    <n v="100"/>
    <n v="1.6299999999999999E-2"/>
  </r>
  <r>
    <x v="0"/>
    <x v="89"/>
    <x v="3"/>
    <x v="0"/>
    <x v="2"/>
    <n v="99"/>
    <n v="4.5699999999999998E-2"/>
  </r>
  <r>
    <x v="0"/>
    <x v="89"/>
    <x v="3"/>
    <x v="0"/>
    <x v="3"/>
    <n v="101"/>
    <n v="4.2599999999999999E-2"/>
  </r>
  <r>
    <x v="0"/>
    <x v="89"/>
    <x v="3"/>
    <x v="0"/>
    <x v="4"/>
    <n v="95"/>
    <n v="8.2699999999999996E-2"/>
  </r>
  <r>
    <x v="0"/>
    <x v="89"/>
    <x v="3"/>
    <x v="0"/>
    <x v="5"/>
    <n v="93"/>
    <n v="2.5600000000000001E-2"/>
  </r>
  <r>
    <x v="0"/>
    <x v="89"/>
    <x v="3"/>
    <x v="0"/>
    <x v="6"/>
    <n v="97"/>
    <n v="2.8199999999999999E-2"/>
  </r>
  <r>
    <x v="0"/>
    <x v="89"/>
    <x v="3"/>
    <x v="0"/>
    <x v="7"/>
    <n v="99"/>
    <n v="6.4500000000000002E-2"/>
  </r>
  <r>
    <x v="0"/>
    <x v="89"/>
    <x v="3"/>
    <x v="0"/>
    <x v="8"/>
    <n v="101"/>
    <n v="1.44E-2"/>
  </r>
  <r>
    <x v="0"/>
    <x v="89"/>
    <x v="3"/>
    <x v="0"/>
    <x v="9"/>
    <n v="105"/>
    <n v="3.2399999999999998E-2"/>
  </r>
  <r>
    <x v="0"/>
    <x v="89"/>
    <x v="3"/>
    <x v="0"/>
    <x v="10"/>
    <n v="91"/>
    <n v="2.52E-2"/>
  </r>
  <r>
    <x v="0"/>
    <x v="89"/>
    <x v="3"/>
    <x v="0"/>
    <x v="11"/>
    <n v="97"/>
    <n v="3.3599999999999998E-2"/>
  </r>
  <r>
    <x v="0"/>
    <x v="89"/>
    <x v="3"/>
    <x v="0"/>
    <x v="12"/>
    <n v="99"/>
    <n v="4.07E-2"/>
  </r>
  <r>
    <x v="0"/>
    <x v="89"/>
    <x v="3"/>
    <x v="0"/>
    <x v="13"/>
    <n v="95"/>
    <n v="2.6700000000000002E-2"/>
  </r>
  <r>
    <x v="0"/>
    <x v="90"/>
    <x v="3"/>
    <x v="0"/>
    <x v="0"/>
    <n v="118"/>
    <n v="1.83E-2"/>
  </r>
  <r>
    <x v="0"/>
    <x v="90"/>
    <x v="3"/>
    <x v="0"/>
    <x v="1"/>
    <n v="105"/>
    <n v="1.1999999999999999E-3"/>
  </r>
  <r>
    <x v="0"/>
    <x v="90"/>
    <x v="3"/>
    <x v="0"/>
    <x v="2"/>
    <n v="99"/>
    <n v="4.7000000000000002E-3"/>
  </r>
  <r>
    <x v="0"/>
    <x v="90"/>
    <x v="3"/>
    <x v="0"/>
    <x v="3"/>
    <n v="124"/>
    <n v="4.3E-3"/>
  </r>
  <r>
    <x v="0"/>
    <x v="90"/>
    <x v="3"/>
    <x v="0"/>
    <x v="4"/>
    <n v="126"/>
    <n v="1.0699999999999999E-2"/>
  </r>
  <r>
    <x v="0"/>
    <x v="90"/>
    <x v="3"/>
    <x v="0"/>
    <x v="5"/>
    <n v="94"/>
    <n v="4.0000000000000001E-3"/>
  </r>
  <r>
    <x v="0"/>
    <x v="90"/>
    <x v="3"/>
    <x v="0"/>
    <x v="6"/>
    <n v="80"/>
    <n v="4.1999999999999997E-3"/>
  </r>
  <r>
    <x v="0"/>
    <x v="90"/>
    <x v="3"/>
    <x v="0"/>
    <x v="7"/>
    <n v="122"/>
    <n v="6.1999999999999998E-3"/>
  </r>
  <r>
    <x v="0"/>
    <x v="90"/>
    <x v="3"/>
    <x v="0"/>
    <x v="8"/>
    <n v="62"/>
    <n v="1.1000000000000001E-3"/>
  </r>
  <r>
    <x v="0"/>
    <x v="90"/>
    <x v="3"/>
    <x v="0"/>
    <x v="9"/>
    <n v="120"/>
    <n v="3.3E-3"/>
  </r>
  <r>
    <x v="0"/>
    <x v="90"/>
    <x v="3"/>
    <x v="0"/>
    <x v="10"/>
    <n v="99"/>
    <n v="3.3999999999999998E-3"/>
  </r>
  <r>
    <x v="0"/>
    <x v="90"/>
    <x v="3"/>
    <x v="0"/>
    <x v="11"/>
    <n v="102"/>
    <n v="4.0000000000000001E-3"/>
  </r>
  <r>
    <x v="0"/>
    <x v="90"/>
    <x v="3"/>
    <x v="0"/>
    <x v="12"/>
    <n v="108"/>
    <n v="3.7000000000000002E-3"/>
  </r>
  <r>
    <x v="0"/>
    <x v="90"/>
    <x v="3"/>
    <x v="0"/>
    <x v="13"/>
    <n v="99"/>
    <n v="1.9E-3"/>
  </r>
  <r>
    <x v="1"/>
    <x v="91"/>
    <x v="3"/>
    <x v="0"/>
    <x v="0"/>
    <n v="137"/>
    <n v="5.3199999999999997E-2"/>
  </r>
  <r>
    <x v="1"/>
    <x v="91"/>
    <x v="3"/>
    <x v="0"/>
    <x v="1"/>
    <n v="147"/>
    <n v="5.5999999999999999E-3"/>
  </r>
  <r>
    <x v="1"/>
    <x v="91"/>
    <x v="3"/>
    <x v="0"/>
    <x v="2"/>
    <n v="132"/>
    <n v="1.9900000000000001E-2"/>
  </r>
  <r>
    <x v="1"/>
    <x v="91"/>
    <x v="3"/>
    <x v="0"/>
    <x v="3"/>
    <n v="141"/>
    <n v="1.7600000000000001E-2"/>
  </r>
  <r>
    <x v="1"/>
    <x v="91"/>
    <x v="3"/>
    <x v="0"/>
    <x v="4"/>
    <n v="137"/>
    <n v="3.6700000000000003E-2"/>
  </r>
  <r>
    <x v="1"/>
    <x v="91"/>
    <x v="3"/>
    <x v="0"/>
    <x v="5"/>
    <n v="137"/>
    <n v="2.24E-2"/>
  </r>
  <r>
    <x v="1"/>
    <x v="91"/>
    <x v="3"/>
    <x v="0"/>
    <x v="6"/>
    <n v="137"/>
    <n v="1.9300000000000001E-2"/>
  </r>
  <r>
    <x v="1"/>
    <x v="91"/>
    <x v="3"/>
    <x v="0"/>
    <x v="7"/>
    <n v="135"/>
    <n v="2.23E-2"/>
  </r>
  <r>
    <x v="1"/>
    <x v="91"/>
    <x v="3"/>
    <x v="0"/>
    <x v="8"/>
    <n v="180"/>
    <n v="4.8999999999999998E-3"/>
  </r>
  <r>
    <x v="1"/>
    <x v="91"/>
    <x v="3"/>
    <x v="0"/>
    <x v="9"/>
    <n v="143"/>
    <n v="1.4999999999999999E-2"/>
  </r>
  <r>
    <x v="1"/>
    <x v="91"/>
    <x v="3"/>
    <x v="0"/>
    <x v="10"/>
    <n v="139"/>
    <n v="2.2100000000000002E-2"/>
  </r>
  <r>
    <x v="1"/>
    <x v="91"/>
    <x v="3"/>
    <x v="0"/>
    <x v="11"/>
    <n v="134"/>
    <n v="2.1299999999999999E-2"/>
  </r>
  <r>
    <x v="1"/>
    <x v="91"/>
    <x v="3"/>
    <x v="0"/>
    <x v="12"/>
    <n v="136"/>
    <n v="1.9699999999999999E-2"/>
  </r>
  <r>
    <x v="1"/>
    <x v="91"/>
    <x v="3"/>
    <x v="0"/>
    <x v="13"/>
    <n v="152"/>
    <n v="8.2000000000000007E-3"/>
  </r>
  <r>
    <x v="0"/>
    <x v="92"/>
    <x v="3"/>
    <x v="0"/>
    <x v="0"/>
    <n v="97"/>
    <n v="0.2044"/>
  </r>
  <r>
    <x v="0"/>
    <x v="92"/>
    <x v="3"/>
    <x v="0"/>
    <x v="1"/>
    <n v="98"/>
    <n v="3.6700000000000003E-2"/>
  </r>
  <r>
    <x v="0"/>
    <x v="92"/>
    <x v="3"/>
    <x v="0"/>
    <x v="2"/>
    <n v="97"/>
    <n v="8.1100000000000005E-2"/>
  </r>
  <r>
    <x v="0"/>
    <x v="92"/>
    <x v="3"/>
    <x v="0"/>
    <x v="3"/>
    <n v="98"/>
    <n v="7.5399999999999995E-2"/>
  </r>
  <r>
    <x v="0"/>
    <x v="92"/>
    <x v="3"/>
    <x v="0"/>
    <x v="4"/>
    <n v="97"/>
    <n v="0.1295"/>
  </r>
  <r>
    <x v="0"/>
    <x v="92"/>
    <x v="3"/>
    <x v="0"/>
    <x v="5"/>
    <n v="95"/>
    <n v="4.7399999999999998E-2"/>
  </r>
  <r>
    <x v="0"/>
    <x v="92"/>
    <x v="3"/>
    <x v="0"/>
    <x v="6"/>
    <n v="98"/>
    <n v="5.4199999999999998E-2"/>
  </r>
  <r>
    <x v="0"/>
    <x v="92"/>
    <x v="3"/>
    <x v="0"/>
    <x v="7"/>
    <n v="95"/>
    <n v="9.8100000000000007E-2"/>
  </r>
  <r>
    <x v="0"/>
    <x v="92"/>
    <x v="3"/>
    <x v="0"/>
    <x v="8"/>
    <n v="101"/>
    <n v="3.1199999999999999E-2"/>
  </r>
  <r>
    <x v="0"/>
    <x v="92"/>
    <x v="3"/>
    <x v="0"/>
    <x v="9"/>
    <n v="98"/>
    <n v="6.0299999999999999E-2"/>
  </r>
  <r>
    <x v="0"/>
    <x v="92"/>
    <x v="3"/>
    <x v="0"/>
    <x v="10"/>
    <n v="96"/>
    <n v="5.2200000000000003E-2"/>
  </r>
  <r>
    <x v="0"/>
    <x v="92"/>
    <x v="3"/>
    <x v="0"/>
    <x v="11"/>
    <n v="97"/>
    <n v="6.6100000000000006E-2"/>
  </r>
  <r>
    <x v="0"/>
    <x v="92"/>
    <x v="3"/>
    <x v="0"/>
    <x v="12"/>
    <n v="98"/>
    <n v="7.3499999999999996E-2"/>
  </r>
  <r>
    <x v="0"/>
    <x v="92"/>
    <x v="3"/>
    <x v="0"/>
    <x v="13"/>
    <n v="98"/>
    <n v="5.7099999999999998E-2"/>
  </r>
  <r>
    <x v="0"/>
    <x v="93"/>
    <x v="3"/>
    <x v="0"/>
    <x v="0"/>
    <n v="96"/>
    <n v="0.36349999999999999"/>
  </r>
  <r>
    <x v="0"/>
    <x v="93"/>
    <x v="3"/>
    <x v="0"/>
    <x v="1"/>
    <n v="103"/>
    <n v="4.0300000000000002E-2"/>
  </r>
  <r>
    <x v="0"/>
    <x v="93"/>
    <x v="3"/>
    <x v="0"/>
    <x v="2"/>
    <n v="102"/>
    <n v="0.10489999999999999"/>
  </r>
  <r>
    <x v="0"/>
    <x v="93"/>
    <x v="3"/>
    <x v="0"/>
    <x v="3"/>
    <n v="97"/>
    <n v="0.1426"/>
  </r>
  <r>
    <x v="0"/>
    <x v="93"/>
    <x v="3"/>
    <x v="0"/>
    <x v="4"/>
    <n v="92"/>
    <n v="0.2636"/>
  </r>
  <r>
    <x v="0"/>
    <x v="93"/>
    <x v="3"/>
    <x v="0"/>
    <x v="5"/>
    <n v="93"/>
    <n v="8.5599999999999996E-2"/>
  </r>
  <r>
    <x v="0"/>
    <x v="93"/>
    <x v="3"/>
    <x v="0"/>
    <x v="6"/>
    <n v="95"/>
    <n v="8.5400000000000004E-2"/>
  </r>
  <r>
    <x v="0"/>
    <x v="93"/>
    <x v="3"/>
    <x v="0"/>
    <x v="7"/>
    <n v="100"/>
    <n v="0.17460000000000001"/>
  </r>
  <r>
    <x v="0"/>
    <x v="93"/>
    <x v="3"/>
    <x v="0"/>
    <x v="8"/>
    <n v="102"/>
    <n v="3.8800000000000001E-2"/>
  </r>
  <r>
    <x v="0"/>
    <x v="93"/>
    <x v="3"/>
    <x v="0"/>
    <x v="9"/>
    <n v="100"/>
    <n v="8.6300000000000002E-2"/>
  </r>
  <r>
    <x v="0"/>
    <x v="93"/>
    <x v="3"/>
    <x v="0"/>
    <x v="10"/>
    <n v="94"/>
    <n v="0.1"/>
  </r>
  <r>
    <x v="0"/>
    <x v="93"/>
    <x v="3"/>
    <x v="0"/>
    <x v="11"/>
    <n v="93"/>
    <n v="0.12520000000000001"/>
  </r>
  <r>
    <x v="0"/>
    <x v="93"/>
    <x v="3"/>
    <x v="0"/>
    <x v="12"/>
    <n v="91"/>
    <n v="0.14799999999999999"/>
  </r>
  <r>
    <x v="0"/>
    <x v="93"/>
    <x v="3"/>
    <x v="0"/>
    <x v="13"/>
    <n v="102"/>
    <n v="7.1999999999999995E-2"/>
  </r>
  <r>
    <x v="1"/>
    <x v="94"/>
    <x v="3"/>
    <x v="1"/>
    <x v="0"/>
    <n v="119"/>
    <n v="0.52749999999999997"/>
  </r>
  <r>
    <x v="1"/>
    <x v="94"/>
    <x v="3"/>
    <x v="1"/>
    <x v="1"/>
    <n v="91"/>
    <n v="6.4199999999999993E-2"/>
  </r>
  <r>
    <x v="1"/>
    <x v="94"/>
    <x v="3"/>
    <x v="1"/>
    <x v="2"/>
    <n v="105"/>
    <n v="0.18759999999999999"/>
  </r>
  <r>
    <x v="1"/>
    <x v="94"/>
    <x v="3"/>
    <x v="1"/>
    <x v="3"/>
    <n v="123"/>
    <n v="0.22"/>
  </r>
  <r>
    <x v="1"/>
    <x v="94"/>
    <x v="3"/>
    <x v="1"/>
    <x v="4"/>
    <n v="123"/>
    <n v="0.39090000000000003"/>
  </r>
  <r>
    <x v="1"/>
    <x v="94"/>
    <x v="3"/>
    <x v="1"/>
    <x v="5"/>
    <n v="116"/>
    <n v="0.1163"/>
  </r>
  <r>
    <x v="1"/>
    <x v="94"/>
    <x v="3"/>
    <x v="1"/>
    <x v="6"/>
    <n v="117"/>
    <n v="0.11940000000000001"/>
  </r>
  <r>
    <x v="1"/>
    <x v="94"/>
    <x v="3"/>
    <x v="1"/>
    <x v="7"/>
    <n v="114"/>
    <n v="0.31009999999999999"/>
  </r>
  <r>
    <x v="1"/>
    <x v="94"/>
    <x v="3"/>
    <x v="1"/>
    <x v="8"/>
    <n v="117"/>
    <n v="5.7599999999999998E-2"/>
  </r>
  <r>
    <x v="1"/>
    <x v="94"/>
    <x v="3"/>
    <x v="1"/>
    <x v="9"/>
    <n v="117"/>
    <n v="0.1676"/>
  </r>
  <r>
    <x v="1"/>
    <x v="94"/>
    <x v="3"/>
    <x v="1"/>
    <x v="10"/>
    <n v="119"/>
    <n v="0.14460000000000001"/>
  </r>
  <r>
    <x v="1"/>
    <x v="94"/>
    <x v="3"/>
    <x v="1"/>
    <x v="11"/>
    <n v="123"/>
    <n v="0.19239999999999999"/>
  </r>
  <r>
    <x v="1"/>
    <x v="94"/>
    <x v="3"/>
    <x v="1"/>
    <x v="12"/>
    <n v="126"/>
    <n v="0.2409"/>
  </r>
  <r>
    <x v="1"/>
    <x v="94"/>
    <x v="3"/>
    <x v="1"/>
    <x v="13"/>
    <n v="102"/>
    <n v="0.1183"/>
  </r>
  <r>
    <x v="1"/>
    <x v="95"/>
    <x v="3"/>
    <x v="0"/>
    <x v="0"/>
    <n v="112"/>
    <n v="9.9000000000000005E-2"/>
  </r>
  <r>
    <x v="1"/>
    <x v="95"/>
    <x v="3"/>
    <x v="0"/>
    <x v="1"/>
    <n v="116"/>
    <n v="1.5100000000000001E-2"/>
  </r>
  <r>
    <x v="1"/>
    <x v="95"/>
    <x v="3"/>
    <x v="0"/>
    <x v="2"/>
    <n v="115"/>
    <n v="3.5299999999999998E-2"/>
  </r>
  <r>
    <x v="1"/>
    <x v="95"/>
    <x v="3"/>
    <x v="0"/>
    <x v="3"/>
    <n v="116"/>
    <n v="3.1099999999999999E-2"/>
  </r>
  <r>
    <x v="1"/>
    <x v="95"/>
    <x v="3"/>
    <x v="0"/>
    <x v="4"/>
    <n v="111"/>
    <n v="5.5300000000000002E-2"/>
  </r>
  <r>
    <x v="1"/>
    <x v="95"/>
    <x v="3"/>
    <x v="0"/>
    <x v="5"/>
    <n v="106"/>
    <n v="1.8700000000000001E-2"/>
  </r>
  <r>
    <x v="1"/>
    <x v="95"/>
    <x v="3"/>
    <x v="0"/>
    <x v="6"/>
    <n v="110"/>
    <n v="2.1000000000000001E-2"/>
  </r>
  <r>
    <x v="1"/>
    <x v="95"/>
    <x v="3"/>
    <x v="0"/>
    <x v="7"/>
    <n v="112"/>
    <n v="5.0299999999999997E-2"/>
  </r>
  <r>
    <x v="1"/>
    <x v="95"/>
    <x v="3"/>
    <x v="0"/>
    <x v="8"/>
    <n v="113"/>
    <n v="1.2500000000000001E-2"/>
  </r>
  <r>
    <x v="1"/>
    <x v="95"/>
    <x v="3"/>
    <x v="0"/>
    <x v="9"/>
    <n v="117"/>
    <n v="2.58E-2"/>
  </r>
  <r>
    <x v="1"/>
    <x v="95"/>
    <x v="3"/>
    <x v="0"/>
    <x v="10"/>
    <n v="109"/>
    <n v="1.8499999999999999E-2"/>
  </r>
  <r>
    <x v="1"/>
    <x v="95"/>
    <x v="3"/>
    <x v="0"/>
    <x v="11"/>
    <n v="107"/>
    <n v="2.24E-2"/>
  </r>
  <r>
    <x v="1"/>
    <x v="95"/>
    <x v="3"/>
    <x v="0"/>
    <x v="12"/>
    <n v="113"/>
    <n v="2.63E-2"/>
  </r>
  <r>
    <x v="1"/>
    <x v="95"/>
    <x v="3"/>
    <x v="0"/>
    <x v="13"/>
    <n v="117"/>
    <n v="2.35E-2"/>
  </r>
  <r>
    <x v="1"/>
    <x v="96"/>
    <x v="3"/>
    <x v="0"/>
    <x v="0"/>
    <n v="109"/>
    <n v="8.8900000000000007E-2"/>
  </r>
  <r>
    <x v="1"/>
    <x v="96"/>
    <x v="3"/>
    <x v="0"/>
    <x v="1"/>
    <n v="114"/>
    <n v="3.5000000000000001E-3"/>
  </r>
  <r>
    <x v="1"/>
    <x v="96"/>
    <x v="3"/>
    <x v="0"/>
    <x v="2"/>
    <n v="108"/>
    <n v="2.75E-2"/>
  </r>
  <r>
    <x v="1"/>
    <x v="96"/>
    <x v="3"/>
    <x v="0"/>
    <x v="3"/>
    <n v="111"/>
    <n v="2.4500000000000001E-2"/>
  </r>
  <r>
    <x v="1"/>
    <x v="96"/>
    <x v="3"/>
    <x v="0"/>
    <x v="4"/>
    <n v="110"/>
    <n v="5.7099999999999998E-2"/>
  </r>
  <r>
    <x v="1"/>
    <x v="96"/>
    <x v="3"/>
    <x v="0"/>
    <x v="5"/>
    <n v="108"/>
    <n v="3.7699999999999997E-2"/>
  </r>
  <r>
    <x v="1"/>
    <x v="96"/>
    <x v="3"/>
    <x v="0"/>
    <x v="6"/>
    <n v="108"/>
    <n v="3.1899999999999998E-2"/>
  </r>
  <r>
    <x v="1"/>
    <x v="96"/>
    <x v="3"/>
    <x v="0"/>
    <x v="7"/>
    <n v="108"/>
    <n v="3.5400000000000001E-2"/>
  </r>
  <r>
    <x v="1"/>
    <x v="96"/>
    <x v="3"/>
    <x v="0"/>
    <x v="8"/>
    <n v="113"/>
    <n v="5.1999999999999998E-3"/>
  </r>
  <r>
    <x v="1"/>
    <x v="96"/>
    <x v="3"/>
    <x v="0"/>
    <x v="9"/>
    <n v="114"/>
    <n v="2.07E-2"/>
  </r>
  <r>
    <x v="1"/>
    <x v="96"/>
    <x v="3"/>
    <x v="0"/>
    <x v="10"/>
    <n v="111"/>
    <n v="3.44E-2"/>
  </r>
  <r>
    <x v="1"/>
    <x v="96"/>
    <x v="3"/>
    <x v="0"/>
    <x v="11"/>
    <n v="110"/>
    <n v="3.2300000000000002E-2"/>
  </r>
  <r>
    <x v="1"/>
    <x v="96"/>
    <x v="3"/>
    <x v="0"/>
    <x v="12"/>
    <n v="112"/>
    <n v="3.0800000000000001E-2"/>
  </r>
  <r>
    <x v="1"/>
    <x v="96"/>
    <x v="3"/>
    <x v="0"/>
    <x v="13"/>
    <n v="107"/>
    <n v="9.4000000000000004E-3"/>
  </r>
  <r>
    <x v="0"/>
    <x v="97"/>
    <x v="3"/>
    <x v="0"/>
    <x v="0"/>
    <n v="124"/>
    <n v="0.10979999999999999"/>
  </r>
  <r>
    <x v="0"/>
    <x v="97"/>
    <x v="3"/>
    <x v="0"/>
    <x v="1"/>
    <n v="130"/>
    <n v="1.18E-2"/>
  </r>
  <r>
    <x v="0"/>
    <x v="97"/>
    <x v="3"/>
    <x v="0"/>
    <x v="2"/>
    <n v="123"/>
    <n v="3.5900000000000001E-2"/>
  </r>
  <r>
    <x v="0"/>
    <x v="97"/>
    <x v="3"/>
    <x v="0"/>
    <x v="3"/>
    <n v="124"/>
    <n v="3.1199999999999999E-2"/>
  </r>
  <r>
    <x v="0"/>
    <x v="97"/>
    <x v="3"/>
    <x v="0"/>
    <x v="4"/>
    <n v="130"/>
    <n v="7.1900000000000006E-2"/>
  </r>
  <r>
    <x v="0"/>
    <x v="97"/>
    <x v="3"/>
    <x v="0"/>
    <x v="5"/>
    <n v="125"/>
    <n v="4.3700000000000003E-2"/>
  </r>
  <r>
    <x v="0"/>
    <x v="97"/>
    <x v="3"/>
    <x v="0"/>
    <x v="6"/>
    <n v="120"/>
    <n v="4.24E-2"/>
  </r>
  <r>
    <x v="0"/>
    <x v="97"/>
    <x v="3"/>
    <x v="0"/>
    <x v="7"/>
    <n v="115"/>
    <n v="4.53E-2"/>
  </r>
  <r>
    <x v="0"/>
    <x v="97"/>
    <x v="3"/>
    <x v="0"/>
    <x v="8"/>
    <n v="130"/>
    <n v="1.5100000000000001E-2"/>
  </r>
  <r>
    <x v="0"/>
    <x v="97"/>
    <x v="3"/>
    <x v="0"/>
    <x v="9"/>
    <n v="125"/>
    <n v="2.5000000000000001E-2"/>
  </r>
  <r>
    <x v="0"/>
    <x v="97"/>
    <x v="3"/>
    <x v="0"/>
    <x v="10"/>
    <n v="134"/>
    <n v="3.9699999999999999E-2"/>
  </r>
  <r>
    <x v="0"/>
    <x v="97"/>
    <x v="3"/>
    <x v="0"/>
    <x v="11"/>
    <n v="131"/>
    <n v="3.6600000000000001E-2"/>
  </r>
  <r>
    <x v="0"/>
    <x v="97"/>
    <x v="3"/>
    <x v="0"/>
    <x v="12"/>
    <n v="128"/>
    <n v="3.4200000000000001E-2"/>
  </r>
  <r>
    <x v="0"/>
    <x v="97"/>
    <x v="3"/>
    <x v="0"/>
    <x v="13"/>
    <n v="128"/>
    <n v="1.9E-2"/>
  </r>
  <r>
    <x v="0"/>
    <x v="98"/>
    <x v="3"/>
    <x v="0"/>
    <x v="0"/>
    <n v="110"/>
    <n v="8.9599999999999999E-2"/>
  </r>
  <r>
    <x v="0"/>
    <x v="98"/>
    <x v="3"/>
    <x v="0"/>
    <x v="1"/>
    <n v="85"/>
    <n v="4.1999999999999997E-3"/>
  </r>
  <r>
    <x v="0"/>
    <x v="98"/>
    <x v="3"/>
    <x v="0"/>
    <x v="2"/>
    <n v="92"/>
    <n v="0.02"/>
  </r>
  <r>
    <x v="0"/>
    <x v="98"/>
    <x v="3"/>
    <x v="0"/>
    <x v="3"/>
    <n v="110"/>
    <n v="1.5800000000000002E-2"/>
  </r>
  <r>
    <x v="0"/>
    <x v="98"/>
    <x v="3"/>
    <x v="0"/>
    <x v="4"/>
    <n v="116"/>
    <n v="5.6000000000000001E-2"/>
  </r>
  <r>
    <x v="0"/>
    <x v="98"/>
    <x v="3"/>
    <x v="0"/>
    <x v="5"/>
    <n v="105"/>
    <n v="1.8499999999999999E-2"/>
  </r>
  <r>
    <x v="0"/>
    <x v="98"/>
    <x v="3"/>
    <x v="0"/>
    <x v="6"/>
    <n v="103"/>
    <n v="2.07E-2"/>
  </r>
  <r>
    <x v="0"/>
    <x v="98"/>
    <x v="3"/>
    <x v="0"/>
    <x v="7"/>
    <n v="110"/>
    <n v="2.93E-2"/>
  </r>
  <r>
    <x v="0"/>
    <x v="98"/>
    <x v="3"/>
    <x v="0"/>
    <x v="8"/>
    <n v="88"/>
    <n v="5.8999999999999999E-3"/>
  </r>
  <r>
    <x v="0"/>
    <x v="98"/>
    <x v="3"/>
    <x v="0"/>
    <x v="9"/>
    <n v="102"/>
    <n v="9.1999999999999998E-3"/>
  </r>
  <r>
    <x v="0"/>
    <x v="98"/>
    <x v="3"/>
    <x v="0"/>
    <x v="10"/>
    <n v="114"/>
    <n v="1.9E-2"/>
  </r>
  <r>
    <x v="0"/>
    <x v="98"/>
    <x v="3"/>
    <x v="0"/>
    <x v="11"/>
    <n v="115"/>
    <n v="2.29E-2"/>
  </r>
  <r>
    <x v="0"/>
    <x v="98"/>
    <x v="3"/>
    <x v="0"/>
    <x v="12"/>
    <n v="116"/>
    <n v="2.47E-2"/>
  </r>
  <r>
    <x v="0"/>
    <x v="98"/>
    <x v="3"/>
    <x v="0"/>
    <x v="13"/>
    <n v="92"/>
    <n v="7.3000000000000001E-3"/>
  </r>
  <r>
    <x v="1"/>
    <x v="99"/>
    <x v="3"/>
    <x v="0"/>
    <x v="0"/>
    <n v="115"/>
    <n v="0.1067"/>
  </r>
  <r>
    <x v="1"/>
    <x v="99"/>
    <x v="3"/>
    <x v="0"/>
    <x v="1"/>
    <n v="102"/>
    <n v="1.84E-2"/>
  </r>
  <r>
    <x v="1"/>
    <x v="99"/>
    <x v="3"/>
    <x v="0"/>
    <x v="2"/>
    <n v="115"/>
    <n v="4.4900000000000002E-2"/>
  </r>
  <r>
    <x v="1"/>
    <x v="99"/>
    <x v="3"/>
    <x v="0"/>
    <x v="3"/>
    <n v="115"/>
    <n v="4.2299999999999997E-2"/>
  </r>
  <r>
    <x v="1"/>
    <x v="99"/>
    <x v="3"/>
    <x v="0"/>
    <x v="4"/>
    <n v="119"/>
    <n v="7.1099999999999997E-2"/>
  </r>
  <r>
    <x v="1"/>
    <x v="99"/>
    <x v="3"/>
    <x v="0"/>
    <x v="5"/>
    <n v="116"/>
    <n v="2.1600000000000001E-2"/>
  </r>
  <r>
    <x v="1"/>
    <x v="99"/>
    <x v="3"/>
    <x v="0"/>
    <x v="6"/>
    <n v="116"/>
    <n v="2.1999999999999999E-2"/>
  </r>
  <r>
    <x v="1"/>
    <x v="99"/>
    <x v="3"/>
    <x v="0"/>
    <x v="7"/>
    <n v="113"/>
    <n v="4.9399999999999999E-2"/>
  </r>
  <r>
    <x v="1"/>
    <x v="99"/>
    <x v="3"/>
    <x v="0"/>
    <x v="8"/>
    <n v="112"/>
    <n v="1.18E-2"/>
  </r>
  <r>
    <x v="1"/>
    <x v="99"/>
    <x v="3"/>
    <x v="0"/>
    <x v="9"/>
    <n v="116"/>
    <n v="3.3599999999999998E-2"/>
  </r>
  <r>
    <x v="1"/>
    <x v="99"/>
    <x v="3"/>
    <x v="0"/>
    <x v="10"/>
    <n v="118"/>
    <n v="2.46E-2"/>
  </r>
  <r>
    <x v="1"/>
    <x v="99"/>
    <x v="3"/>
    <x v="0"/>
    <x v="11"/>
    <n v="118"/>
    <n v="3.2800000000000003E-2"/>
  </r>
  <r>
    <x v="1"/>
    <x v="99"/>
    <x v="3"/>
    <x v="0"/>
    <x v="12"/>
    <n v="120"/>
    <n v="3.8300000000000001E-2"/>
  </r>
  <r>
    <x v="1"/>
    <x v="99"/>
    <x v="3"/>
    <x v="0"/>
    <x v="13"/>
    <n v="107"/>
    <n v="2.7799999999999998E-2"/>
  </r>
  <r>
    <x v="0"/>
    <x v="132"/>
    <x v="3"/>
    <x v="0"/>
    <x v="0"/>
    <n v="91"/>
    <n v="0.85089999999999999"/>
  </r>
  <r>
    <x v="0"/>
    <x v="132"/>
    <x v="3"/>
    <x v="0"/>
    <x v="1"/>
    <n v="87"/>
    <n v="0.51119999999999999"/>
  </r>
  <r>
    <x v="0"/>
    <x v="132"/>
    <x v="3"/>
    <x v="0"/>
    <x v="2"/>
    <n v="93"/>
    <n v="0.68540000000000001"/>
  </r>
  <r>
    <x v="0"/>
    <x v="132"/>
    <x v="3"/>
    <x v="0"/>
    <x v="3"/>
    <n v="92"/>
    <n v="0.66949999999999998"/>
  </r>
  <r>
    <x v="0"/>
    <x v="132"/>
    <x v="3"/>
    <x v="0"/>
    <x v="4"/>
    <n v="92"/>
    <n v="0.73499999999999999"/>
  </r>
  <r>
    <x v="0"/>
    <x v="132"/>
    <x v="3"/>
    <x v="0"/>
    <x v="5"/>
    <n v="90"/>
    <n v="0.3891"/>
  </r>
  <r>
    <x v="0"/>
    <x v="132"/>
    <x v="3"/>
    <x v="0"/>
    <x v="6"/>
    <n v="87"/>
    <n v="0.44009999999999999"/>
  </r>
  <r>
    <x v="0"/>
    <x v="132"/>
    <x v="3"/>
    <x v="0"/>
    <x v="7"/>
    <n v="90"/>
    <n v="0.72529999999999994"/>
  </r>
  <r>
    <x v="0"/>
    <x v="132"/>
    <x v="3"/>
    <x v="0"/>
    <x v="8"/>
    <n v="85"/>
    <n v="0.37340000000000001"/>
  </r>
  <r>
    <x v="0"/>
    <x v="132"/>
    <x v="3"/>
    <x v="0"/>
    <x v="9"/>
    <n v="92"/>
    <n v="0.61829999999999996"/>
  </r>
  <r>
    <x v="0"/>
    <x v="132"/>
    <x v="3"/>
    <x v="0"/>
    <x v="10"/>
    <n v="91"/>
    <n v="0.42780000000000001"/>
  </r>
  <r>
    <x v="0"/>
    <x v="132"/>
    <x v="3"/>
    <x v="0"/>
    <x v="11"/>
    <n v="91"/>
    <n v="0.49459999999999998"/>
  </r>
  <r>
    <x v="0"/>
    <x v="132"/>
    <x v="3"/>
    <x v="0"/>
    <x v="12"/>
    <n v="92"/>
    <n v="0.54890000000000005"/>
  </r>
  <r>
    <x v="0"/>
    <x v="132"/>
    <x v="3"/>
    <x v="0"/>
    <x v="13"/>
    <n v="87"/>
    <n v="0.58360000000000001"/>
  </r>
  <r>
    <x v="0"/>
    <x v="133"/>
    <x v="3"/>
    <x v="0"/>
    <x v="0"/>
    <n v="82"/>
    <n v="0.26719999999999999"/>
  </r>
  <r>
    <x v="0"/>
    <x v="133"/>
    <x v="3"/>
    <x v="0"/>
    <x v="1"/>
    <n v="87"/>
    <n v="1.2699999999999999E-2"/>
  </r>
  <r>
    <x v="0"/>
    <x v="133"/>
    <x v="3"/>
    <x v="0"/>
    <x v="2"/>
    <n v="85"/>
    <n v="6.1100000000000002E-2"/>
  </r>
  <r>
    <x v="0"/>
    <x v="133"/>
    <x v="3"/>
    <x v="0"/>
    <x v="3"/>
    <n v="84"/>
    <n v="5.8299999999999998E-2"/>
  </r>
  <r>
    <x v="0"/>
    <x v="133"/>
    <x v="3"/>
    <x v="0"/>
    <x v="4"/>
    <n v="82"/>
    <n v="0.20799999999999999"/>
  </r>
  <r>
    <x v="0"/>
    <x v="133"/>
    <x v="3"/>
    <x v="0"/>
    <x v="5"/>
    <n v="80"/>
    <n v="0.14419999999999999"/>
  </r>
  <r>
    <x v="0"/>
    <x v="133"/>
    <x v="3"/>
    <x v="0"/>
    <x v="6"/>
    <n v="81"/>
    <n v="0.1158"/>
  </r>
  <r>
    <x v="0"/>
    <x v="133"/>
    <x v="3"/>
    <x v="0"/>
    <x v="7"/>
    <n v="78"/>
    <n v="9.2700000000000005E-2"/>
  </r>
  <r>
    <x v="0"/>
    <x v="133"/>
    <x v="3"/>
    <x v="0"/>
    <x v="8"/>
    <n v="88"/>
    <n v="2.29E-2"/>
  </r>
  <r>
    <x v="0"/>
    <x v="133"/>
    <x v="3"/>
    <x v="0"/>
    <x v="9"/>
    <n v="83"/>
    <n v="4.1300000000000003E-2"/>
  </r>
  <r>
    <x v="0"/>
    <x v="133"/>
    <x v="3"/>
    <x v="0"/>
    <x v="10"/>
    <n v="80"/>
    <n v="0.14549999999999999"/>
  </r>
  <r>
    <x v="0"/>
    <x v="133"/>
    <x v="3"/>
    <x v="0"/>
    <x v="11"/>
    <n v="82"/>
    <n v="0.14119999999999999"/>
  </r>
  <r>
    <x v="0"/>
    <x v="133"/>
    <x v="3"/>
    <x v="0"/>
    <x v="12"/>
    <n v="84"/>
    <n v="0.11600000000000001"/>
  </r>
  <r>
    <x v="0"/>
    <x v="133"/>
    <x v="3"/>
    <x v="0"/>
    <x v="13"/>
    <n v="87"/>
    <n v="2.3199999999999998E-2"/>
  </r>
  <r>
    <x v="0"/>
    <x v="134"/>
    <x v="3"/>
    <x v="0"/>
    <x v="0"/>
    <n v="98"/>
    <n v="0.26840000000000003"/>
  </r>
  <r>
    <x v="0"/>
    <x v="134"/>
    <x v="3"/>
    <x v="0"/>
    <x v="1"/>
    <n v="80"/>
    <n v="1.21E-2"/>
  </r>
  <r>
    <x v="0"/>
    <x v="134"/>
    <x v="3"/>
    <x v="0"/>
    <x v="2"/>
    <n v="102"/>
    <n v="0.1033"/>
  </r>
  <r>
    <x v="0"/>
    <x v="134"/>
    <x v="3"/>
    <x v="0"/>
    <x v="3"/>
    <n v="103"/>
    <n v="0.1171"/>
  </r>
  <r>
    <x v="0"/>
    <x v="134"/>
    <x v="3"/>
    <x v="0"/>
    <x v="4"/>
    <n v="97"/>
    <n v="0.19"/>
  </r>
  <r>
    <x v="0"/>
    <x v="134"/>
    <x v="3"/>
    <x v="0"/>
    <x v="5"/>
    <n v="94"/>
    <n v="9.1600000000000001E-2"/>
  </r>
  <r>
    <x v="0"/>
    <x v="134"/>
    <x v="3"/>
    <x v="0"/>
    <x v="6"/>
    <n v="92"/>
    <n v="8.0399999999999999E-2"/>
  </r>
  <r>
    <x v="0"/>
    <x v="134"/>
    <x v="3"/>
    <x v="0"/>
    <x v="7"/>
    <n v="98"/>
    <n v="0.1575"/>
  </r>
  <r>
    <x v="0"/>
    <x v="134"/>
    <x v="3"/>
    <x v="0"/>
    <x v="8"/>
    <n v="89"/>
    <n v="2.0299999999999999E-2"/>
  </r>
  <r>
    <x v="0"/>
    <x v="134"/>
    <x v="3"/>
    <x v="0"/>
    <x v="9"/>
    <n v="104"/>
    <n v="0.1062"/>
  </r>
  <r>
    <x v="0"/>
    <x v="134"/>
    <x v="3"/>
    <x v="0"/>
    <x v="10"/>
    <n v="95"/>
    <n v="9.35E-2"/>
  </r>
  <r>
    <x v="0"/>
    <x v="134"/>
    <x v="3"/>
    <x v="0"/>
    <x v="11"/>
    <n v="95"/>
    <n v="9.2200000000000004E-2"/>
  </r>
  <r>
    <x v="0"/>
    <x v="134"/>
    <x v="3"/>
    <x v="0"/>
    <x v="12"/>
    <n v="98"/>
    <n v="0.10059999999999999"/>
  </r>
  <r>
    <x v="0"/>
    <x v="134"/>
    <x v="3"/>
    <x v="0"/>
    <x v="13"/>
    <n v="83"/>
    <n v="2.3099999999999999E-2"/>
  </r>
  <r>
    <x v="1"/>
    <x v="100"/>
    <x v="3"/>
    <x v="0"/>
    <x v="0"/>
    <n v="157"/>
    <n v="1.5E-3"/>
  </r>
  <r>
    <x v="1"/>
    <x v="100"/>
    <x v="3"/>
    <x v="0"/>
    <x v="4"/>
    <n v="150"/>
    <n v="1E-3"/>
  </r>
  <r>
    <x v="1"/>
    <x v="101"/>
    <x v="3"/>
    <x v="0"/>
    <x v="0"/>
    <n v="115"/>
    <n v="0.1285"/>
  </r>
  <r>
    <x v="1"/>
    <x v="101"/>
    <x v="3"/>
    <x v="0"/>
    <x v="1"/>
    <n v="105"/>
    <n v="1.8800000000000001E-2"/>
  </r>
  <r>
    <x v="1"/>
    <x v="101"/>
    <x v="3"/>
    <x v="0"/>
    <x v="2"/>
    <n v="117"/>
    <n v="4.7699999999999999E-2"/>
  </r>
  <r>
    <x v="1"/>
    <x v="101"/>
    <x v="3"/>
    <x v="0"/>
    <x v="3"/>
    <n v="122"/>
    <n v="4.4699999999999997E-2"/>
  </r>
  <r>
    <x v="1"/>
    <x v="101"/>
    <x v="3"/>
    <x v="0"/>
    <x v="4"/>
    <n v="116"/>
    <n v="8.4400000000000003E-2"/>
  </r>
  <r>
    <x v="1"/>
    <x v="101"/>
    <x v="3"/>
    <x v="0"/>
    <x v="5"/>
    <n v="109"/>
    <n v="3.0599999999999999E-2"/>
  </r>
  <r>
    <x v="1"/>
    <x v="101"/>
    <x v="3"/>
    <x v="0"/>
    <x v="6"/>
    <n v="116"/>
    <n v="3.3000000000000002E-2"/>
  </r>
  <r>
    <x v="1"/>
    <x v="101"/>
    <x v="3"/>
    <x v="0"/>
    <x v="7"/>
    <n v="107"/>
    <n v="7.1800000000000003E-2"/>
  </r>
  <r>
    <x v="1"/>
    <x v="101"/>
    <x v="3"/>
    <x v="0"/>
    <x v="8"/>
    <n v="114"/>
    <n v="1.61E-2"/>
  </r>
  <r>
    <x v="1"/>
    <x v="101"/>
    <x v="3"/>
    <x v="0"/>
    <x v="9"/>
    <n v="123"/>
    <n v="3.73E-2"/>
  </r>
  <r>
    <x v="1"/>
    <x v="101"/>
    <x v="3"/>
    <x v="0"/>
    <x v="10"/>
    <n v="114"/>
    <n v="3.3399999999999999E-2"/>
  </r>
  <r>
    <x v="1"/>
    <x v="101"/>
    <x v="3"/>
    <x v="0"/>
    <x v="11"/>
    <n v="113"/>
    <n v="4.1500000000000002E-2"/>
  </r>
  <r>
    <x v="1"/>
    <x v="101"/>
    <x v="3"/>
    <x v="0"/>
    <x v="12"/>
    <n v="115"/>
    <n v="4.6699999999999998E-2"/>
  </r>
  <r>
    <x v="1"/>
    <x v="101"/>
    <x v="3"/>
    <x v="0"/>
    <x v="13"/>
    <n v="106"/>
    <n v="3.1E-2"/>
  </r>
  <r>
    <x v="0"/>
    <x v="102"/>
    <x v="3"/>
    <x v="0"/>
    <x v="0"/>
    <n v="94"/>
    <n v="0.26369999999999999"/>
  </r>
  <r>
    <x v="0"/>
    <x v="102"/>
    <x v="3"/>
    <x v="0"/>
    <x v="1"/>
    <n v="99"/>
    <n v="4.3299999999999998E-2"/>
  </r>
  <r>
    <x v="0"/>
    <x v="102"/>
    <x v="3"/>
    <x v="0"/>
    <x v="2"/>
    <n v="98"/>
    <n v="0.1026"/>
  </r>
  <r>
    <x v="0"/>
    <x v="102"/>
    <x v="3"/>
    <x v="0"/>
    <x v="3"/>
    <n v="96"/>
    <n v="9.7500000000000003E-2"/>
  </r>
  <r>
    <x v="0"/>
    <x v="102"/>
    <x v="3"/>
    <x v="0"/>
    <x v="4"/>
    <n v="89"/>
    <n v="0.1671"/>
  </r>
  <r>
    <x v="0"/>
    <x v="102"/>
    <x v="3"/>
    <x v="0"/>
    <x v="5"/>
    <n v="89"/>
    <n v="4.8000000000000001E-2"/>
  </r>
  <r>
    <x v="0"/>
    <x v="102"/>
    <x v="3"/>
    <x v="0"/>
    <x v="6"/>
    <n v="100"/>
    <n v="5.7599999999999998E-2"/>
  </r>
  <r>
    <x v="0"/>
    <x v="102"/>
    <x v="3"/>
    <x v="0"/>
    <x v="7"/>
    <n v="93"/>
    <n v="0.12130000000000001"/>
  </r>
  <r>
    <x v="0"/>
    <x v="102"/>
    <x v="3"/>
    <x v="0"/>
    <x v="8"/>
    <n v="111"/>
    <n v="3.32E-2"/>
  </r>
  <r>
    <x v="0"/>
    <x v="102"/>
    <x v="3"/>
    <x v="0"/>
    <x v="9"/>
    <n v="96"/>
    <n v="7.4999999999999997E-2"/>
  </r>
  <r>
    <x v="0"/>
    <x v="102"/>
    <x v="3"/>
    <x v="0"/>
    <x v="10"/>
    <n v="90"/>
    <n v="5.74E-2"/>
  </r>
  <r>
    <x v="0"/>
    <x v="102"/>
    <x v="3"/>
    <x v="0"/>
    <x v="11"/>
    <n v="89"/>
    <n v="7.2599999999999998E-2"/>
  </r>
  <r>
    <x v="0"/>
    <x v="102"/>
    <x v="3"/>
    <x v="0"/>
    <x v="12"/>
    <n v="88"/>
    <n v="8.2299999999999998E-2"/>
  </r>
  <r>
    <x v="0"/>
    <x v="102"/>
    <x v="3"/>
    <x v="0"/>
    <x v="13"/>
    <n v="101"/>
    <n v="6.3600000000000004E-2"/>
  </r>
  <r>
    <x v="0"/>
    <x v="103"/>
    <x v="3"/>
    <x v="0"/>
    <x v="0"/>
    <n v="102"/>
    <n v="0.37809999999999999"/>
  </r>
  <r>
    <x v="0"/>
    <x v="103"/>
    <x v="3"/>
    <x v="0"/>
    <x v="1"/>
    <n v="106"/>
    <n v="5.2200000000000003E-2"/>
  </r>
  <r>
    <x v="0"/>
    <x v="103"/>
    <x v="3"/>
    <x v="0"/>
    <x v="2"/>
    <n v="100"/>
    <n v="0.1308"/>
  </r>
  <r>
    <x v="0"/>
    <x v="103"/>
    <x v="3"/>
    <x v="0"/>
    <x v="3"/>
    <n v="109"/>
    <n v="0.13969999999999999"/>
  </r>
  <r>
    <x v="0"/>
    <x v="103"/>
    <x v="3"/>
    <x v="0"/>
    <x v="4"/>
    <n v="103"/>
    <n v="0.25530000000000003"/>
  </r>
  <r>
    <x v="0"/>
    <x v="103"/>
    <x v="3"/>
    <x v="0"/>
    <x v="5"/>
    <n v="97"/>
    <n v="8.3199999999999996E-2"/>
  </r>
  <r>
    <x v="0"/>
    <x v="103"/>
    <x v="3"/>
    <x v="0"/>
    <x v="6"/>
    <n v="98"/>
    <n v="8.1699999999999995E-2"/>
  </r>
  <r>
    <x v="0"/>
    <x v="103"/>
    <x v="3"/>
    <x v="0"/>
    <x v="7"/>
    <n v="96"/>
    <n v="0.20580000000000001"/>
  </r>
  <r>
    <x v="0"/>
    <x v="103"/>
    <x v="3"/>
    <x v="0"/>
    <x v="8"/>
    <n v="103"/>
    <n v="3.9E-2"/>
  </r>
  <r>
    <x v="0"/>
    <x v="103"/>
    <x v="3"/>
    <x v="0"/>
    <x v="9"/>
    <n v="109"/>
    <n v="0.1153"/>
  </r>
  <r>
    <x v="0"/>
    <x v="103"/>
    <x v="3"/>
    <x v="0"/>
    <x v="10"/>
    <n v="103"/>
    <n v="9.8400000000000001E-2"/>
  </r>
  <r>
    <x v="0"/>
    <x v="103"/>
    <x v="3"/>
    <x v="0"/>
    <x v="11"/>
    <n v="104"/>
    <n v="0.12709999999999999"/>
  </r>
  <r>
    <x v="0"/>
    <x v="103"/>
    <x v="3"/>
    <x v="0"/>
    <x v="12"/>
    <n v="103"/>
    <n v="0.14580000000000001"/>
  </r>
  <r>
    <x v="0"/>
    <x v="103"/>
    <x v="3"/>
    <x v="0"/>
    <x v="13"/>
    <n v="103"/>
    <n v="8.1699999999999995E-2"/>
  </r>
  <r>
    <x v="1"/>
    <x v="104"/>
    <x v="3"/>
    <x v="0"/>
    <x v="0"/>
    <n v="36"/>
    <n v="0.2263"/>
  </r>
  <r>
    <x v="1"/>
    <x v="104"/>
    <x v="3"/>
    <x v="0"/>
    <x v="1"/>
    <n v="37"/>
    <n v="3.2300000000000002E-2"/>
  </r>
  <r>
    <x v="1"/>
    <x v="104"/>
    <x v="3"/>
    <x v="0"/>
    <x v="2"/>
    <n v="37"/>
    <n v="7.1400000000000005E-2"/>
  </r>
  <r>
    <x v="1"/>
    <x v="104"/>
    <x v="3"/>
    <x v="0"/>
    <x v="3"/>
    <n v="36"/>
    <n v="6.3500000000000001E-2"/>
  </r>
  <r>
    <x v="1"/>
    <x v="104"/>
    <x v="3"/>
    <x v="0"/>
    <x v="4"/>
    <n v="35"/>
    <n v="0.1245"/>
  </r>
  <r>
    <x v="1"/>
    <x v="104"/>
    <x v="3"/>
    <x v="0"/>
    <x v="5"/>
    <n v="38"/>
    <n v="2.8299999999999999E-2"/>
  </r>
  <r>
    <x v="1"/>
    <x v="104"/>
    <x v="3"/>
    <x v="0"/>
    <x v="6"/>
    <n v="41"/>
    <n v="3.2000000000000001E-2"/>
  </r>
  <r>
    <x v="1"/>
    <x v="104"/>
    <x v="3"/>
    <x v="0"/>
    <x v="7"/>
    <n v="36"/>
    <n v="0.13969999999999999"/>
  </r>
  <r>
    <x v="1"/>
    <x v="104"/>
    <x v="3"/>
    <x v="0"/>
    <x v="8"/>
    <n v="37"/>
    <n v="1.8499999999999999E-2"/>
  </r>
  <r>
    <x v="1"/>
    <x v="104"/>
    <x v="3"/>
    <x v="0"/>
    <x v="9"/>
    <n v="37"/>
    <n v="5.1400000000000001E-2"/>
  </r>
  <r>
    <x v="1"/>
    <x v="104"/>
    <x v="3"/>
    <x v="0"/>
    <x v="10"/>
    <n v="36"/>
    <n v="3.4200000000000001E-2"/>
  </r>
  <r>
    <x v="1"/>
    <x v="104"/>
    <x v="3"/>
    <x v="0"/>
    <x v="11"/>
    <n v="35"/>
    <n v="4.5499999999999999E-2"/>
  </r>
  <r>
    <x v="1"/>
    <x v="104"/>
    <x v="3"/>
    <x v="0"/>
    <x v="12"/>
    <n v="34"/>
    <n v="5.91E-2"/>
  </r>
  <r>
    <x v="1"/>
    <x v="104"/>
    <x v="3"/>
    <x v="0"/>
    <x v="13"/>
    <n v="37"/>
    <n v="4.7699999999999999E-2"/>
  </r>
  <r>
    <x v="0"/>
    <x v="105"/>
    <x v="3"/>
    <x v="0"/>
    <x v="0"/>
    <n v="106"/>
    <n v="0.32300000000000001"/>
  </r>
  <r>
    <x v="0"/>
    <x v="105"/>
    <x v="3"/>
    <x v="0"/>
    <x v="1"/>
    <n v="111"/>
    <n v="5.2400000000000002E-2"/>
  </r>
  <r>
    <x v="0"/>
    <x v="105"/>
    <x v="3"/>
    <x v="0"/>
    <x v="2"/>
    <n v="104"/>
    <n v="0.14710000000000001"/>
  </r>
  <r>
    <x v="0"/>
    <x v="105"/>
    <x v="3"/>
    <x v="0"/>
    <x v="3"/>
    <n v="105"/>
    <n v="0.14680000000000001"/>
  </r>
  <r>
    <x v="0"/>
    <x v="105"/>
    <x v="3"/>
    <x v="0"/>
    <x v="4"/>
    <n v="107"/>
    <n v="0.22789999999999999"/>
  </r>
  <r>
    <x v="0"/>
    <x v="105"/>
    <x v="3"/>
    <x v="0"/>
    <x v="5"/>
    <n v="105"/>
    <n v="7.8100000000000003E-2"/>
  </r>
  <r>
    <x v="0"/>
    <x v="105"/>
    <x v="3"/>
    <x v="0"/>
    <x v="6"/>
    <n v="109"/>
    <n v="7.1800000000000003E-2"/>
  </r>
  <r>
    <x v="0"/>
    <x v="105"/>
    <x v="3"/>
    <x v="0"/>
    <x v="7"/>
    <n v="104"/>
    <n v="0.17380000000000001"/>
  </r>
  <r>
    <x v="0"/>
    <x v="105"/>
    <x v="3"/>
    <x v="0"/>
    <x v="8"/>
    <n v="120"/>
    <n v="3.1E-2"/>
  </r>
  <r>
    <x v="0"/>
    <x v="105"/>
    <x v="3"/>
    <x v="0"/>
    <x v="9"/>
    <n v="106"/>
    <n v="0.1176"/>
  </r>
  <r>
    <x v="0"/>
    <x v="105"/>
    <x v="3"/>
    <x v="0"/>
    <x v="10"/>
    <n v="106"/>
    <n v="9.3100000000000002E-2"/>
  </r>
  <r>
    <x v="0"/>
    <x v="105"/>
    <x v="3"/>
    <x v="0"/>
    <x v="11"/>
    <n v="108"/>
    <n v="0.1206"/>
  </r>
  <r>
    <x v="0"/>
    <x v="105"/>
    <x v="3"/>
    <x v="0"/>
    <x v="12"/>
    <n v="110"/>
    <n v="0.13739999999999999"/>
  </r>
  <r>
    <x v="0"/>
    <x v="105"/>
    <x v="3"/>
    <x v="0"/>
    <x v="13"/>
    <n v="110"/>
    <n v="7.7899999999999997E-2"/>
  </r>
  <r>
    <x v="1"/>
    <x v="106"/>
    <x v="3"/>
    <x v="0"/>
    <x v="0"/>
    <n v="104"/>
    <n v="0.1565"/>
  </r>
  <r>
    <x v="1"/>
    <x v="106"/>
    <x v="3"/>
    <x v="0"/>
    <x v="1"/>
    <n v="97"/>
    <n v="1.8200000000000001E-2"/>
  </r>
  <r>
    <x v="1"/>
    <x v="106"/>
    <x v="3"/>
    <x v="0"/>
    <x v="2"/>
    <n v="101"/>
    <n v="0.06"/>
  </r>
  <r>
    <x v="1"/>
    <x v="106"/>
    <x v="3"/>
    <x v="0"/>
    <x v="3"/>
    <n v="107"/>
    <n v="5.3100000000000001E-2"/>
  </r>
  <r>
    <x v="1"/>
    <x v="106"/>
    <x v="3"/>
    <x v="0"/>
    <x v="4"/>
    <n v="106"/>
    <n v="0.1075"/>
  </r>
  <r>
    <x v="1"/>
    <x v="106"/>
    <x v="3"/>
    <x v="0"/>
    <x v="5"/>
    <n v="107"/>
    <n v="7.0499999999999993E-2"/>
  </r>
  <r>
    <x v="1"/>
    <x v="106"/>
    <x v="3"/>
    <x v="0"/>
    <x v="6"/>
    <n v="104"/>
    <n v="6.3299999999999995E-2"/>
  </r>
  <r>
    <x v="1"/>
    <x v="106"/>
    <x v="3"/>
    <x v="0"/>
    <x v="7"/>
    <n v="102"/>
    <n v="8.1600000000000006E-2"/>
  </r>
  <r>
    <x v="1"/>
    <x v="106"/>
    <x v="3"/>
    <x v="0"/>
    <x v="8"/>
    <n v="95"/>
    <n v="1.9900000000000001E-2"/>
  </r>
  <r>
    <x v="1"/>
    <x v="106"/>
    <x v="3"/>
    <x v="0"/>
    <x v="9"/>
    <n v="107"/>
    <n v="4.5600000000000002E-2"/>
  </r>
  <r>
    <x v="1"/>
    <x v="106"/>
    <x v="3"/>
    <x v="0"/>
    <x v="10"/>
    <n v="107"/>
    <n v="6.83E-2"/>
  </r>
  <r>
    <x v="1"/>
    <x v="106"/>
    <x v="3"/>
    <x v="0"/>
    <x v="11"/>
    <n v="104"/>
    <n v="6.6799999999999998E-2"/>
  </r>
  <r>
    <x v="1"/>
    <x v="106"/>
    <x v="3"/>
    <x v="0"/>
    <x v="12"/>
    <n v="104"/>
    <n v="6.4699999999999994E-2"/>
  </r>
  <r>
    <x v="1"/>
    <x v="106"/>
    <x v="3"/>
    <x v="0"/>
    <x v="13"/>
    <n v="96"/>
    <n v="2.5600000000000001E-2"/>
  </r>
  <r>
    <x v="0"/>
    <x v="107"/>
    <x v="3"/>
    <x v="0"/>
    <x v="0"/>
    <n v="96"/>
    <n v="0.29070000000000001"/>
  </r>
  <r>
    <x v="0"/>
    <x v="107"/>
    <x v="3"/>
    <x v="0"/>
    <x v="1"/>
    <n v="106"/>
    <n v="5.0599999999999999E-2"/>
  </r>
  <r>
    <x v="0"/>
    <x v="107"/>
    <x v="3"/>
    <x v="0"/>
    <x v="2"/>
    <n v="97"/>
    <n v="0.12740000000000001"/>
  </r>
  <r>
    <x v="0"/>
    <x v="107"/>
    <x v="3"/>
    <x v="0"/>
    <x v="3"/>
    <n v="98"/>
    <n v="0.1173"/>
  </r>
  <r>
    <x v="0"/>
    <x v="107"/>
    <x v="3"/>
    <x v="0"/>
    <x v="4"/>
    <n v="95"/>
    <n v="0.18809999999999999"/>
  </r>
  <r>
    <x v="0"/>
    <x v="107"/>
    <x v="3"/>
    <x v="0"/>
    <x v="5"/>
    <n v="96"/>
    <n v="6.7900000000000002E-2"/>
  </r>
  <r>
    <x v="0"/>
    <x v="107"/>
    <x v="3"/>
    <x v="0"/>
    <x v="6"/>
    <n v="102"/>
    <n v="7.0400000000000004E-2"/>
  </r>
  <r>
    <x v="0"/>
    <x v="107"/>
    <x v="3"/>
    <x v="0"/>
    <x v="7"/>
    <n v="94"/>
    <n v="0.14510000000000001"/>
  </r>
  <r>
    <x v="0"/>
    <x v="107"/>
    <x v="3"/>
    <x v="0"/>
    <x v="8"/>
    <n v="108"/>
    <n v="3.6999999999999998E-2"/>
  </r>
  <r>
    <x v="0"/>
    <x v="107"/>
    <x v="3"/>
    <x v="0"/>
    <x v="9"/>
    <n v="100"/>
    <n v="9.3100000000000002E-2"/>
  </r>
  <r>
    <x v="0"/>
    <x v="107"/>
    <x v="3"/>
    <x v="0"/>
    <x v="10"/>
    <n v="96"/>
    <n v="7.85E-2"/>
  </r>
  <r>
    <x v="0"/>
    <x v="107"/>
    <x v="3"/>
    <x v="0"/>
    <x v="11"/>
    <n v="96"/>
    <n v="9.8799999999999999E-2"/>
  </r>
  <r>
    <x v="0"/>
    <x v="107"/>
    <x v="3"/>
    <x v="0"/>
    <x v="12"/>
    <n v="95"/>
    <n v="0.10970000000000001"/>
  </r>
  <r>
    <x v="0"/>
    <x v="107"/>
    <x v="3"/>
    <x v="0"/>
    <x v="13"/>
    <n v="105"/>
    <n v="8.0100000000000005E-2"/>
  </r>
  <r>
    <x v="1"/>
    <x v="108"/>
    <x v="3"/>
    <x v="0"/>
    <x v="0"/>
    <n v="96"/>
    <n v="5.7700000000000001E-2"/>
  </r>
  <r>
    <x v="1"/>
    <x v="108"/>
    <x v="3"/>
    <x v="0"/>
    <x v="1"/>
    <n v="87"/>
    <n v="9.1000000000000004E-3"/>
  </r>
  <r>
    <x v="1"/>
    <x v="108"/>
    <x v="3"/>
    <x v="0"/>
    <x v="2"/>
    <n v="96"/>
    <n v="2.6800000000000001E-2"/>
  </r>
  <r>
    <x v="1"/>
    <x v="108"/>
    <x v="3"/>
    <x v="0"/>
    <x v="3"/>
    <n v="99"/>
    <n v="2.4500000000000001E-2"/>
  </r>
  <r>
    <x v="1"/>
    <x v="108"/>
    <x v="3"/>
    <x v="0"/>
    <x v="4"/>
    <n v="98"/>
    <n v="4.0899999999999999E-2"/>
  </r>
  <r>
    <x v="1"/>
    <x v="108"/>
    <x v="3"/>
    <x v="0"/>
    <x v="5"/>
    <n v="98"/>
    <n v="2.4400000000000002E-2"/>
  </r>
  <r>
    <x v="1"/>
    <x v="108"/>
    <x v="3"/>
    <x v="0"/>
    <x v="6"/>
    <n v="93"/>
    <n v="2.3400000000000001E-2"/>
  </r>
  <r>
    <x v="1"/>
    <x v="108"/>
    <x v="3"/>
    <x v="0"/>
    <x v="7"/>
    <n v="95"/>
    <n v="3.5299999999999998E-2"/>
  </r>
  <r>
    <x v="1"/>
    <x v="108"/>
    <x v="3"/>
    <x v="0"/>
    <x v="8"/>
    <n v="88"/>
    <n v="9.4000000000000004E-3"/>
  </r>
  <r>
    <x v="1"/>
    <x v="108"/>
    <x v="3"/>
    <x v="0"/>
    <x v="9"/>
    <n v="98"/>
    <n v="2.1499999999999998E-2"/>
  </r>
  <r>
    <x v="1"/>
    <x v="108"/>
    <x v="3"/>
    <x v="0"/>
    <x v="10"/>
    <n v="96"/>
    <n v="2.29E-2"/>
  </r>
  <r>
    <x v="1"/>
    <x v="108"/>
    <x v="3"/>
    <x v="0"/>
    <x v="11"/>
    <n v="96"/>
    <n v="2.5000000000000001E-2"/>
  </r>
  <r>
    <x v="1"/>
    <x v="108"/>
    <x v="3"/>
    <x v="0"/>
    <x v="12"/>
    <n v="97"/>
    <n v="2.5899999999999999E-2"/>
  </r>
  <r>
    <x v="1"/>
    <x v="108"/>
    <x v="3"/>
    <x v="0"/>
    <x v="13"/>
    <n v="87"/>
    <n v="1.2800000000000001E-2"/>
  </r>
  <r>
    <x v="0"/>
    <x v="109"/>
    <x v="3"/>
    <x v="0"/>
    <x v="0"/>
    <n v="115"/>
    <n v="0.29070000000000001"/>
  </r>
  <r>
    <x v="0"/>
    <x v="109"/>
    <x v="3"/>
    <x v="0"/>
    <x v="1"/>
    <n v="109"/>
    <n v="3.7600000000000001E-2"/>
  </r>
  <r>
    <x v="0"/>
    <x v="109"/>
    <x v="3"/>
    <x v="0"/>
    <x v="2"/>
    <n v="118"/>
    <n v="0.1147"/>
  </r>
  <r>
    <x v="0"/>
    <x v="109"/>
    <x v="3"/>
    <x v="0"/>
    <x v="3"/>
    <n v="121"/>
    <n v="8.72E-2"/>
  </r>
  <r>
    <x v="0"/>
    <x v="109"/>
    <x v="3"/>
    <x v="0"/>
    <x v="4"/>
    <n v="114"/>
    <n v="0.18890000000000001"/>
  </r>
  <r>
    <x v="0"/>
    <x v="109"/>
    <x v="3"/>
    <x v="0"/>
    <x v="5"/>
    <n v="113"/>
    <n v="0.1061"/>
  </r>
  <r>
    <x v="0"/>
    <x v="109"/>
    <x v="3"/>
    <x v="0"/>
    <x v="6"/>
    <n v="115"/>
    <n v="0.1038"/>
  </r>
  <r>
    <x v="0"/>
    <x v="109"/>
    <x v="3"/>
    <x v="0"/>
    <x v="7"/>
    <n v="113"/>
    <n v="0.12330000000000001"/>
  </r>
  <r>
    <x v="0"/>
    <x v="109"/>
    <x v="3"/>
    <x v="0"/>
    <x v="8"/>
    <n v="117"/>
    <n v="3.9399999999999998E-2"/>
  </r>
  <r>
    <x v="0"/>
    <x v="109"/>
    <x v="3"/>
    <x v="0"/>
    <x v="9"/>
    <n v="122"/>
    <n v="7.2800000000000004E-2"/>
  </r>
  <r>
    <x v="0"/>
    <x v="109"/>
    <x v="3"/>
    <x v="0"/>
    <x v="10"/>
    <n v="112"/>
    <n v="9.4899999999999998E-2"/>
  </r>
  <r>
    <x v="0"/>
    <x v="109"/>
    <x v="3"/>
    <x v="0"/>
    <x v="11"/>
    <n v="113"/>
    <n v="9.0300000000000005E-2"/>
  </r>
  <r>
    <x v="0"/>
    <x v="109"/>
    <x v="3"/>
    <x v="0"/>
    <x v="12"/>
    <n v="113"/>
    <n v="8.1799999999999998E-2"/>
  </r>
  <r>
    <x v="0"/>
    <x v="109"/>
    <x v="3"/>
    <x v="0"/>
    <x v="13"/>
    <n v="110"/>
    <n v="5.3499999999999999E-2"/>
  </r>
  <r>
    <x v="0"/>
    <x v="110"/>
    <x v="3"/>
    <x v="0"/>
    <x v="0"/>
    <n v="74"/>
    <n v="1.06E-2"/>
  </r>
  <r>
    <x v="0"/>
    <x v="110"/>
    <x v="3"/>
    <x v="0"/>
    <x v="1"/>
    <n v="207"/>
    <n v="8.9999999999999998E-4"/>
  </r>
  <r>
    <x v="0"/>
    <x v="110"/>
    <x v="3"/>
    <x v="0"/>
    <x v="2"/>
    <n v="54"/>
    <n v="2.8E-3"/>
  </r>
  <r>
    <x v="0"/>
    <x v="110"/>
    <x v="3"/>
    <x v="0"/>
    <x v="3"/>
    <n v="34"/>
    <n v="2E-3"/>
  </r>
  <r>
    <x v="0"/>
    <x v="110"/>
    <x v="3"/>
    <x v="0"/>
    <x v="4"/>
    <n v="46"/>
    <n v="4.7000000000000002E-3"/>
  </r>
  <r>
    <x v="0"/>
    <x v="110"/>
    <x v="3"/>
    <x v="0"/>
    <x v="5"/>
    <n v="72"/>
    <n v="1E-3"/>
  </r>
  <r>
    <x v="0"/>
    <x v="110"/>
    <x v="3"/>
    <x v="0"/>
    <x v="6"/>
    <n v="82"/>
    <n v="1.4E-3"/>
  </r>
  <r>
    <x v="0"/>
    <x v="110"/>
    <x v="3"/>
    <x v="0"/>
    <x v="7"/>
    <n v="63"/>
    <n v="3.5000000000000001E-3"/>
  </r>
  <r>
    <x v="0"/>
    <x v="110"/>
    <x v="3"/>
    <x v="0"/>
    <x v="9"/>
    <n v="35"/>
    <n v="1.5E-3"/>
  </r>
  <r>
    <x v="0"/>
    <x v="110"/>
    <x v="3"/>
    <x v="0"/>
    <x v="11"/>
    <n v="44"/>
    <n v="1.1000000000000001E-3"/>
  </r>
  <r>
    <x v="0"/>
    <x v="110"/>
    <x v="3"/>
    <x v="0"/>
    <x v="12"/>
    <n v="55"/>
    <n v="1.6000000000000001E-3"/>
  </r>
  <r>
    <x v="0"/>
    <x v="110"/>
    <x v="3"/>
    <x v="0"/>
    <x v="13"/>
    <n v="182"/>
    <n v="1.6000000000000001E-3"/>
  </r>
  <r>
    <x v="0"/>
    <x v="111"/>
    <x v="3"/>
    <x v="0"/>
    <x v="0"/>
    <n v="102"/>
    <n v="0.12189999999999999"/>
  </r>
  <r>
    <x v="0"/>
    <x v="111"/>
    <x v="3"/>
    <x v="0"/>
    <x v="1"/>
    <n v="108"/>
    <n v="1.61E-2"/>
  </r>
  <r>
    <x v="0"/>
    <x v="111"/>
    <x v="3"/>
    <x v="0"/>
    <x v="2"/>
    <n v="102"/>
    <n v="5.0799999999999998E-2"/>
  </r>
  <r>
    <x v="0"/>
    <x v="111"/>
    <x v="3"/>
    <x v="0"/>
    <x v="3"/>
    <n v="101"/>
    <n v="4.6699999999999998E-2"/>
  </r>
  <r>
    <x v="0"/>
    <x v="111"/>
    <x v="3"/>
    <x v="0"/>
    <x v="4"/>
    <n v="103"/>
    <n v="7.3200000000000001E-2"/>
  </r>
  <r>
    <x v="0"/>
    <x v="111"/>
    <x v="3"/>
    <x v="0"/>
    <x v="5"/>
    <n v="100"/>
    <n v="2.3199999999999998E-2"/>
  </r>
  <r>
    <x v="0"/>
    <x v="111"/>
    <x v="3"/>
    <x v="0"/>
    <x v="6"/>
    <n v="100"/>
    <n v="2.18E-2"/>
  </r>
  <r>
    <x v="0"/>
    <x v="111"/>
    <x v="3"/>
    <x v="0"/>
    <x v="7"/>
    <n v="101"/>
    <n v="5.3699999999999998E-2"/>
  </r>
  <r>
    <x v="0"/>
    <x v="111"/>
    <x v="3"/>
    <x v="0"/>
    <x v="8"/>
    <n v="105"/>
    <n v="8.6999999999999994E-3"/>
  </r>
  <r>
    <x v="0"/>
    <x v="111"/>
    <x v="3"/>
    <x v="0"/>
    <x v="9"/>
    <n v="102"/>
    <n v="3.5999999999999997E-2"/>
  </r>
  <r>
    <x v="0"/>
    <x v="111"/>
    <x v="3"/>
    <x v="0"/>
    <x v="10"/>
    <n v="100"/>
    <n v="2.5100000000000001E-2"/>
  </r>
  <r>
    <x v="0"/>
    <x v="111"/>
    <x v="3"/>
    <x v="0"/>
    <x v="11"/>
    <n v="103"/>
    <n v="3.15E-2"/>
  </r>
  <r>
    <x v="0"/>
    <x v="111"/>
    <x v="3"/>
    <x v="0"/>
    <x v="12"/>
    <n v="107"/>
    <n v="3.7199999999999997E-2"/>
  </r>
  <r>
    <x v="0"/>
    <x v="111"/>
    <x v="3"/>
    <x v="0"/>
    <x v="13"/>
    <n v="103"/>
    <n v="2.5399999999999999E-2"/>
  </r>
  <r>
    <x v="0"/>
    <x v="112"/>
    <x v="3"/>
    <x v="0"/>
    <x v="0"/>
    <n v="90"/>
    <n v="0.24790000000000001"/>
  </r>
  <r>
    <x v="0"/>
    <x v="112"/>
    <x v="3"/>
    <x v="0"/>
    <x v="1"/>
    <n v="107"/>
    <n v="2.1499999999999998E-2"/>
  </r>
  <r>
    <x v="0"/>
    <x v="112"/>
    <x v="3"/>
    <x v="0"/>
    <x v="2"/>
    <n v="93"/>
    <n v="6.8900000000000003E-2"/>
  </r>
  <r>
    <x v="0"/>
    <x v="112"/>
    <x v="3"/>
    <x v="0"/>
    <x v="3"/>
    <n v="94"/>
    <n v="6.0400000000000002E-2"/>
  </r>
  <r>
    <x v="0"/>
    <x v="112"/>
    <x v="3"/>
    <x v="0"/>
    <x v="4"/>
    <n v="89"/>
    <n v="0.158"/>
  </r>
  <r>
    <x v="0"/>
    <x v="112"/>
    <x v="3"/>
    <x v="0"/>
    <x v="5"/>
    <n v="87"/>
    <n v="3.44E-2"/>
  </r>
  <r>
    <x v="0"/>
    <x v="112"/>
    <x v="3"/>
    <x v="0"/>
    <x v="6"/>
    <n v="85"/>
    <n v="3.5999999999999997E-2"/>
  </r>
  <r>
    <x v="0"/>
    <x v="112"/>
    <x v="3"/>
    <x v="0"/>
    <x v="7"/>
    <n v="88"/>
    <n v="0.1051"/>
  </r>
  <r>
    <x v="0"/>
    <x v="112"/>
    <x v="3"/>
    <x v="0"/>
    <x v="8"/>
    <n v="94"/>
    <n v="1.2800000000000001E-2"/>
  </r>
  <r>
    <x v="0"/>
    <x v="112"/>
    <x v="3"/>
    <x v="0"/>
    <x v="9"/>
    <n v="94"/>
    <n v="4.5199999999999997E-2"/>
  </r>
  <r>
    <x v="0"/>
    <x v="112"/>
    <x v="3"/>
    <x v="0"/>
    <x v="10"/>
    <n v="88"/>
    <n v="4.0399999999999998E-2"/>
  </r>
  <r>
    <x v="0"/>
    <x v="112"/>
    <x v="3"/>
    <x v="0"/>
    <x v="11"/>
    <n v="87"/>
    <n v="5.6599999999999998E-2"/>
  </r>
  <r>
    <x v="0"/>
    <x v="112"/>
    <x v="3"/>
    <x v="0"/>
    <x v="12"/>
    <n v="89"/>
    <n v="7.2800000000000004E-2"/>
  </r>
  <r>
    <x v="0"/>
    <x v="112"/>
    <x v="3"/>
    <x v="0"/>
    <x v="13"/>
    <n v="96"/>
    <n v="0.04"/>
  </r>
  <r>
    <x v="0"/>
    <x v="113"/>
    <x v="3"/>
    <x v="0"/>
    <x v="0"/>
    <n v="32"/>
    <n v="4.7E-2"/>
  </r>
  <r>
    <x v="0"/>
    <x v="113"/>
    <x v="3"/>
    <x v="0"/>
    <x v="1"/>
    <n v="39"/>
    <n v="2.2000000000000001E-3"/>
  </r>
  <r>
    <x v="0"/>
    <x v="113"/>
    <x v="3"/>
    <x v="0"/>
    <x v="2"/>
    <n v="40"/>
    <n v="1.7000000000000001E-2"/>
  </r>
  <r>
    <x v="0"/>
    <x v="113"/>
    <x v="3"/>
    <x v="0"/>
    <x v="3"/>
    <n v="36"/>
    <n v="1.6E-2"/>
  </r>
  <r>
    <x v="0"/>
    <x v="113"/>
    <x v="3"/>
    <x v="0"/>
    <x v="4"/>
    <n v="30"/>
    <n v="3.0599999999999999E-2"/>
  </r>
  <r>
    <x v="0"/>
    <x v="113"/>
    <x v="3"/>
    <x v="0"/>
    <x v="5"/>
    <n v="30"/>
    <n v="1.7600000000000001E-2"/>
  </r>
  <r>
    <x v="0"/>
    <x v="113"/>
    <x v="3"/>
    <x v="0"/>
    <x v="6"/>
    <n v="31"/>
    <n v="1.4500000000000001E-2"/>
  </r>
  <r>
    <x v="0"/>
    <x v="113"/>
    <x v="3"/>
    <x v="0"/>
    <x v="7"/>
    <n v="32"/>
    <n v="2.0299999999999999E-2"/>
  </r>
  <r>
    <x v="0"/>
    <x v="113"/>
    <x v="3"/>
    <x v="0"/>
    <x v="8"/>
    <n v="32"/>
    <n v="2.3999999999999998E-3"/>
  </r>
  <r>
    <x v="0"/>
    <x v="113"/>
    <x v="3"/>
    <x v="0"/>
    <x v="9"/>
    <n v="37"/>
    <n v="1.35E-2"/>
  </r>
  <r>
    <x v="0"/>
    <x v="113"/>
    <x v="3"/>
    <x v="0"/>
    <x v="10"/>
    <n v="29"/>
    <n v="1.77E-2"/>
  </r>
  <r>
    <x v="0"/>
    <x v="113"/>
    <x v="3"/>
    <x v="0"/>
    <x v="11"/>
    <n v="29"/>
    <n v="1.84E-2"/>
  </r>
  <r>
    <x v="0"/>
    <x v="113"/>
    <x v="3"/>
    <x v="0"/>
    <x v="12"/>
    <n v="30"/>
    <n v="1.8200000000000001E-2"/>
  </r>
  <r>
    <x v="0"/>
    <x v="113"/>
    <x v="3"/>
    <x v="0"/>
    <x v="13"/>
    <n v="38"/>
    <n v="4.0000000000000001E-3"/>
  </r>
  <r>
    <x v="0"/>
    <x v="114"/>
    <x v="3"/>
    <x v="0"/>
    <x v="0"/>
    <n v="97"/>
    <n v="0.41239999999999999"/>
  </r>
  <r>
    <x v="0"/>
    <x v="114"/>
    <x v="3"/>
    <x v="0"/>
    <x v="1"/>
    <n v="107"/>
    <n v="5.0200000000000002E-2"/>
  </r>
  <r>
    <x v="0"/>
    <x v="114"/>
    <x v="3"/>
    <x v="0"/>
    <x v="2"/>
    <n v="97"/>
    <n v="0.1663"/>
  </r>
  <r>
    <x v="0"/>
    <x v="114"/>
    <x v="3"/>
    <x v="0"/>
    <x v="3"/>
    <n v="98"/>
    <n v="0.1547"/>
  </r>
  <r>
    <x v="0"/>
    <x v="114"/>
    <x v="3"/>
    <x v="0"/>
    <x v="4"/>
    <n v="91"/>
    <n v="0.28149999999999997"/>
  </r>
  <r>
    <x v="0"/>
    <x v="114"/>
    <x v="3"/>
    <x v="0"/>
    <x v="5"/>
    <n v="94"/>
    <n v="7.7399999999999997E-2"/>
  </r>
  <r>
    <x v="0"/>
    <x v="114"/>
    <x v="3"/>
    <x v="0"/>
    <x v="6"/>
    <n v="100"/>
    <n v="8.14E-2"/>
  </r>
  <r>
    <x v="0"/>
    <x v="114"/>
    <x v="3"/>
    <x v="0"/>
    <x v="7"/>
    <n v="100"/>
    <n v="0.19439999999999999"/>
  </r>
  <r>
    <x v="0"/>
    <x v="114"/>
    <x v="3"/>
    <x v="0"/>
    <x v="8"/>
    <n v="105"/>
    <n v="3.9300000000000002E-2"/>
  </r>
  <r>
    <x v="0"/>
    <x v="114"/>
    <x v="3"/>
    <x v="0"/>
    <x v="9"/>
    <n v="100"/>
    <n v="0.12130000000000001"/>
  </r>
  <r>
    <x v="0"/>
    <x v="114"/>
    <x v="3"/>
    <x v="0"/>
    <x v="10"/>
    <n v="92"/>
    <n v="8.7900000000000006E-2"/>
  </r>
  <r>
    <x v="0"/>
    <x v="114"/>
    <x v="3"/>
    <x v="0"/>
    <x v="11"/>
    <n v="91"/>
    <n v="0.1217"/>
  </r>
  <r>
    <x v="0"/>
    <x v="114"/>
    <x v="3"/>
    <x v="0"/>
    <x v="12"/>
    <n v="88"/>
    <n v="0.1424"/>
  </r>
  <r>
    <x v="0"/>
    <x v="114"/>
    <x v="3"/>
    <x v="0"/>
    <x v="13"/>
    <n v="104"/>
    <n v="8.4099999999999994E-2"/>
  </r>
  <r>
    <x v="1"/>
    <x v="115"/>
    <x v="3"/>
    <x v="0"/>
    <x v="0"/>
    <n v="68"/>
    <n v="4.5499999999999999E-2"/>
  </r>
  <r>
    <x v="1"/>
    <x v="115"/>
    <x v="3"/>
    <x v="0"/>
    <x v="1"/>
    <n v="67"/>
    <n v="3.5999999999999999E-3"/>
  </r>
  <r>
    <x v="1"/>
    <x v="115"/>
    <x v="3"/>
    <x v="0"/>
    <x v="2"/>
    <n v="69"/>
    <n v="1.0999999999999999E-2"/>
  </r>
  <r>
    <x v="1"/>
    <x v="115"/>
    <x v="3"/>
    <x v="0"/>
    <x v="3"/>
    <n v="78"/>
    <n v="9.4000000000000004E-3"/>
  </r>
  <r>
    <x v="1"/>
    <x v="115"/>
    <x v="3"/>
    <x v="0"/>
    <x v="4"/>
    <n v="66"/>
    <n v="2.6800000000000001E-2"/>
  </r>
  <r>
    <x v="1"/>
    <x v="115"/>
    <x v="3"/>
    <x v="0"/>
    <x v="5"/>
    <n v="70"/>
    <n v="1.5699999999999999E-2"/>
  </r>
  <r>
    <x v="1"/>
    <x v="115"/>
    <x v="3"/>
    <x v="0"/>
    <x v="6"/>
    <n v="69"/>
    <n v="1.4200000000000001E-2"/>
  </r>
  <r>
    <x v="1"/>
    <x v="115"/>
    <x v="3"/>
    <x v="0"/>
    <x v="7"/>
    <n v="65"/>
    <n v="1.54E-2"/>
  </r>
  <r>
    <x v="1"/>
    <x v="115"/>
    <x v="3"/>
    <x v="0"/>
    <x v="8"/>
    <n v="57"/>
    <n v="4.0000000000000001E-3"/>
  </r>
  <r>
    <x v="1"/>
    <x v="115"/>
    <x v="3"/>
    <x v="0"/>
    <x v="9"/>
    <n v="81"/>
    <n v="6.8999999999999999E-3"/>
  </r>
  <r>
    <x v="1"/>
    <x v="115"/>
    <x v="3"/>
    <x v="0"/>
    <x v="10"/>
    <n v="67"/>
    <n v="1.35E-2"/>
  </r>
  <r>
    <x v="1"/>
    <x v="115"/>
    <x v="3"/>
    <x v="0"/>
    <x v="11"/>
    <n v="68"/>
    <n v="1.24E-2"/>
  </r>
  <r>
    <x v="1"/>
    <x v="115"/>
    <x v="3"/>
    <x v="0"/>
    <x v="12"/>
    <n v="66"/>
    <n v="1.18E-2"/>
  </r>
  <r>
    <x v="1"/>
    <x v="115"/>
    <x v="3"/>
    <x v="0"/>
    <x v="13"/>
    <n v="65"/>
    <n v="6.4000000000000003E-3"/>
  </r>
  <r>
    <x v="1"/>
    <x v="116"/>
    <x v="3"/>
    <x v="0"/>
    <x v="0"/>
    <n v="35"/>
    <n v="0.1862"/>
  </r>
  <r>
    <x v="1"/>
    <x v="116"/>
    <x v="3"/>
    <x v="0"/>
    <x v="1"/>
    <n v="34"/>
    <n v="1.77E-2"/>
  </r>
  <r>
    <x v="1"/>
    <x v="116"/>
    <x v="3"/>
    <x v="0"/>
    <x v="2"/>
    <n v="34"/>
    <n v="6.1800000000000001E-2"/>
  </r>
  <r>
    <x v="1"/>
    <x v="116"/>
    <x v="3"/>
    <x v="0"/>
    <x v="3"/>
    <n v="32"/>
    <n v="4.58E-2"/>
  </r>
  <r>
    <x v="1"/>
    <x v="116"/>
    <x v="3"/>
    <x v="0"/>
    <x v="4"/>
    <n v="35"/>
    <n v="0.1052"/>
  </r>
  <r>
    <x v="1"/>
    <x v="116"/>
    <x v="3"/>
    <x v="0"/>
    <x v="5"/>
    <n v="38"/>
    <n v="2.2599999999999999E-2"/>
  </r>
  <r>
    <x v="1"/>
    <x v="116"/>
    <x v="3"/>
    <x v="0"/>
    <x v="6"/>
    <n v="40"/>
    <n v="2.5499999999999998E-2"/>
  </r>
  <r>
    <x v="1"/>
    <x v="116"/>
    <x v="3"/>
    <x v="0"/>
    <x v="7"/>
    <n v="34"/>
    <n v="9.5399999999999999E-2"/>
  </r>
  <r>
    <x v="1"/>
    <x v="116"/>
    <x v="3"/>
    <x v="0"/>
    <x v="8"/>
    <n v="30"/>
    <n v="9.1999999999999998E-3"/>
  </r>
  <r>
    <x v="1"/>
    <x v="116"/>
    <x v="3"/>
    <x v="0"/>
    <x v="9"/>
    <n v="32"/>
    <n v="3.4099999999999998E-2"/>
  </r>
  <r>
    <x v="1"/>
    <x v="116"/>
    <x v="3"/>
    <x v="0"/>
    <x v="10"/>
    <n v="35"/>
    <n v="2.3199999999999998E-2"/>
  </r>
  <r>
    <x v="1"/>
    <x v="116"/>
    <x v="3"/>
    <x v="0"/>
    <x v="11"/>
    <n v="36"/>
    <n v="3.5299999999999998E-2"/>
  </r>
  <r>
    <x v="1"/>
    <x v="116"/>
    <x v="3"/>
    <x v="0"/>
    <x v="12"/>
    <n v="36"/>
    <n v="4.6399999999999997E-2"/>
  </r>
  <r>
    <x v="1"/>
    <x v="116"/>
    <x v="3"/>
    <x v="0"/>
    <x v="13"/>
    <n v="33"/>
    <n v="2.7799999999999998E-2"/>
  </r>
  <r>
    <x v="1"/>
    <x v="117"/>
    <x v="3"/>
    <x v="1"/>
    <x v="0"/>
    <n v="37"/>
    <n v="0.25209999999999999"/>
  </r>
  <r>
    <x v="1"/>
    <x v="117"/>
    <x v="3"/>
    <x v="1"/>
    <x v="1"/>
    <n v="35"/>
    <n v="5.2699999999999997E-2"/>
  </r>
  <r>
    <x v="1"/>
    <x v="117"/>
    <x v="3"/>
    <x v="1"/>
    <x v="2"/>
    <n v="36"/>
    <n v="0.1003"/>
  </r>
  <r>
    <x v="1"/>
    <x v="117"/>
    <x v="3"/>
    <x v="1"/>
    <x v="3"/>
    <n v="37"/>
    <n v="9.5699999999999993E-2"/>
  </r>
  <r>
    <x v="1"/>
    <x v="117"/>
    <x v="3"/>
    <x v="1"/>
    <x v="4"/>
    <n v="37"/>
    <n v="0.14879999999999999"/>
  </r>
  <r>
    <x v="1"/>
    <x v="117"/>
    <x v="3"/>
    <x v="1"/>
    <x v="5"/>
    <n v="38"/>
    <n v="4.0899999999999999E-2"/>
  </r>
  <r>
    <x v="1"/>
    <x v="117"/>
    <x v="3"/>
    <x v="1"/>
    <x v="6"/>
    <n v="38"/>
    <n v="4.8800000000000003E-2"/>
  </r>
  <r>
    <x v="1"/>
    <x v="117"/>
    <x v="3"/>
    <x v="1"/>
    <x v="7"/>
    <n v="35"/>
    <n v="0.12690000000000001"/>
  </r>
  <r>
    <x v="1"/>
    <x v="117"/>
    <x v="3"/>
    <x v="1"/>
    <x v="8"/>
    <n v="35"/>
    <n v="3.1699999999999999E-2"/>
  </r>
  <r>
    <x v="1"/>
    <x v="117"/>
    <x v="3"/>
    <x v="1"/>
    <x v="9"/>
    <n v="38"/>
    <n v="7.7100000000000002E-2"/>
  </r>
  <r>
    <x v="1"/>
    <x v="117"/>
    <x v="3"/>
    <x v="1"/>
    <x v="10"/>
    <n v="38"/>
    <n v="4.7800000000000002E-2"/>
  </r>
  <r>
    <x v="1"/>
    <x v="117"/>
    <x v="3"/>
    <x v="1"/>
    <x v="11"/>
    <n v="38"/>
    <n v="0.06"/>
  </r>
  <r>
    <x v="1"/>
    <x v="117"/>
    <x v="3"/>
    <x v="1"/>
    <x v="12"/>
    <n v="37"/>
    <n v="7.17E-2"/>
  </r>
  <r>
    <x v="1"/>
    <x v="117"/>
    <x v="3"/>
    <x v="1"/>
    <x v="13"/>
    <n v="35"/>
    <n v="6.7699999999999996E-2"/>
  </r>
  <r>
    <x v="1"/>
    <x v="118"/>
    <x v="3"/>
    <x v="0"/>
    <x v="0"/>
    <n v="123"/>
    <n v="9.9699999999999997E-2"/>
  </r>
  <r>
    <x v="1"/>
    <x v="118"/>
    <x v="3"/>
    <x v="0"/>
    <x v="1"/>
    <n v="156"/>
    <n v="7.7999999999999996E-3"/>
  </r>
  <r>
    <x v="1"/>
    <x v="118"/>
    <x v="3"/>
    <x v="0"/>
    <x v="2"/>
    <n v="113"/>
    <n v="3.3399999999999999E-2"/>
  </r>
  <r>
    <x v="1"/>
    <x v="118"/>
    <x v="3"/>
    <x v="0"/>
    <x v="3"/>
    <n v="135"/>
    <n v="2.8400000000000002E-2"/>
  </r>
  <r>
    <x v="1"/>
    <x v="118"/>
    <x v="3"/>
    <x v="0"/>
    <x v="4"/>
    <n v="121"/>
    <n v="6.1800000000000001E-2"/>
  </r>
  <r>
    <x v="1"/>
    <x v="118"/>
    <x v="3"/>
    <x v="0"/>
    <x v="5"/>
    <n v="122"/>
    <n v="4.0300000000000002E-2"/>
  </r>
  <r>
    <x v="1"/>
    <x v="118"/>
    <x v="3"/>
    <x v="0"/>
    <x v="6"/>
    <n v="125"/>
    <n v="3.6600000000000001E-2"/>
  </r>
  <r>
    <x v="1"/>
    <x v="118"/>
    <x v="3"/>
    <x v="0"/>
    <x v="7"/>
    <n v="124"/>
    <n v="3.5299999999999998E-2"/>
  </r>
  <r>
    <x v="1"/>
    <x v="118"/>
    <x v="3"/>
    <x v="0"/>
    <x v="8"/>
    <n v="133"/>
    <n v="8.8999999999999999E-3"/>
  </r>
  <r>
    <x v="1"/>
    <x v="118"/>
    <x v="3"/>
    <x v="0"/>
    <x v="9"/>
    <n v="130"/>
    <n v="2.35E-2"/>
  </r>
  <r>
    <x v="1"/>
    <x v="118"/>
    <x v="3"/>
    <x v="0"/>
    <x v="10"/>
    <n v="122"/>
    <n v="3.6700000000000003E-2"/>
  </r>
  <r>
    <x v="1"/>
    <x v="118"/>
    <x v="3"/>
    <x v="0"/>
    <x v="11"/>
    <n v="120"/>
    <n v="3.2199999999999999E-2"/>
  </r>
  <r>
    <x v="1"/>
    <x v="118"/>
    <x v="3"/>
    <x v="0"/>
    <x v="12"/>
    <n v="119"/>
    <n v="2.9399999999999999E-2"/>
  </r>
  <r>
    <x v="1"/>
    <x v="118"/>
    <x v="3"/>
    <x v="0"/>
    <x v="13"/>
    <n v="149"/>
    <n v="1.23E-2"/>
  </r>
  <r>
    <x v="0"/>
    <x v="119"/>
    <x v="3"/>
    <x v="0"/>
    <x v="0"/>
    <n v="119"/>
    <n v="0.57089999999999996"/>
  </r>
  <r>
    <x v="0"/>
    <x v="119"/>
    <x v="3"/>
    <x v="0"/>
    <x v="1"/>
    <n v="119"/>
    <n v="0.17249999999999999"/>
  </r>
  <r>
    <x v="0"/>
    <x v="119"/>
    <x v="3"/>
    <x v="0"/>
    <x v="2"/>
    <n v="123"/>
    <n v="0.3397"/>
  </r>
  <r>
    <x v="0"/>
    <x v="119"/>
    <x v="3"/>
    <x v="0"/>
    <x v="3"/>
    <n v="121"/>
    <n v="0.34179999999999999"/>
  </r>
  <r>
    <x v="0"/>
    <x v="119"/>
    <x v="3"/>
    <x v="0"/>
    <x v="4"/>
    <n v="115"/>
    <n v="0.43940000000000001"/>
  </r>
  <r>
    <x v="0"/>
    <x v="119"/>
    <x v="3"/>
    <x v="0"/>
    <x v="5"/>
    <n v="113"/>
    <n v="0.1686"/>
  </r>
  <r>
    <x v="0"/>
    <x v="119"/>
    <x v="3"/>
    <x v="0"/>
    <x v="6"/>
    <n v="114"/>
    <n v="0.17599999999999999"/>
  </r>
  <r>
    <x v="0"/>
    <x v="119"/>
    <x v="3"/>
    <x v="0"/>
    <x v="7"/>
    <n v="120"/>
    <n v="0.40910000000000002"/>
  </r>
  <r>
    <x v="0"/>
    <x v="119"/>
    <x v="3"/>
    <x v="0"/>
    <x v="8"/>
    <n v="116"/>
    <n v="0.11260000000000001"/>
  </r>
  <r>
    <x v="0"/>
    <x v="119"/>
    <x v="3"/>
    <x v="0"/>
    <x v="9"/>
    <n v="123"/>
    <n v="0.2984"/>
  </r>
  <r>
    <x v="0"/>
    <x v="119"/>
    <x v="3"/>
    <x v="0"/>
    <x v="10"/>
    <n v="114"/>
    <n v="0.2031"/>
  </r>
  <r>
    <x v="0"/>
    <x v="119"/>
    <x v="3"/>
    <x v="0"/>
    <x v="11"/>
    <n v="114"/>
    <n v="0.24479999999999999"/>
  </r>
  <r>
    <x v="0"/>
    <x v="119"/>
    <x v="3"/>
    <x v="0"/>
    <x v="12"/>
    <n v="113"/>
    <n v="0.28289999999999998"/>
  </r>
  <r>
    <x v="0"/>
    <x v="119"/>
    <x v="3"/>
    <x v="0"/>
    <x v="13"/>
    <n v="115"/>
    <n v="0.23130000000000001"/>
  </r>
  <r>
    <x v="0"/>
    <x v="120"/>
    <x v="3"/>
    <x v="0"/>
    <x v="0"/>
    <n v="76"/>
    <n v="0.2414"/>
  </r>
  <r>
    <x v="0"/>
    <x v="120"/>
    <x v="3"/>
    <x v="0"/>
    <x v="1"/>
    <n v="58"/>
    <n v="1.66E-2"/>
  </r>
  <r>
    <x v="0"/>
    <x v="120"/>
    <x v="3"/>
    <x v="0"/>
    <x v="2"/>
    <n v="67"/>
    <n v="5.74E-2"/>
  </r>
  <r>
    <x v="0"/>
    <x v="120"/>
    <x v="3"/>
    <x v="0"/>
    <x v="3"/>
    <n v="66"/>
    <n v="5.3100000000000001E-2"/>
  </r>
  <r>
    <x v="0"/>
    <x v="120"/>
    <x v="3"/>
    <x v="0"/>
    <x v="4"/>
    <n v="82"/>
    <n v="0.1699"/>
  </r>
  <r>
    <x v="0"/>
    <x v="120"/>
    <x v="3"/>
    <x v="0"/>
    <x v="5"/>
    <n v="80"/>
    <n v="4.3400000000000001E-2"/>
  </r>
  <r>
    <x v="0"/>
    <x v="120"/>
    <x v="3"/>
    <x v="0"/>
    <x v="6"/>
    <n v="73"/>
    <n v="3.8800000000000001E-2"/>
  </r>
  <r>
    <x v="0"/>
    <x v="120"/>
    <x v="3"/>
    <x v="0"/>
    <x v="7"/>
    <n v="72"/>
    <n v="9.98E-2"/>
  </r>
  <r>
    <x v="0"/>
    <x v="120"/>
    <x v="3"/>
    <x v="0"/>
    <x v="8"/>
    <n v="62"/>
    <n v="1.2200000000000001E-2"/>
  </r>
  <r>
    <x v="0"/>
    <x v="120"/>
    <x v="3"/>
    <x v="0"/>
    <x v="9"/>
    <n v="65"/>
    <n v="3.5999999999999997E-2"/>
  </r>
  <r>
    <x v="0"/>
    <x v="120"/>
    <x v="3"/>
    <x v="0"/>
    <x v="10"/>
    <n v="80"/>
    <n v="5.4100000000000002E-2"/>
  </r>
  <r>
    <x v="0"/>
    <x v="120"/>
    <x v="3"/>
    <x v="0"/>
    <x v="11"/>
    <n v="82"/>
    <n v="7.2400000000000006E-2"/>
  </r>
  <r>
    <x v="0"/>
    <x v="120"/>
    <x v="3"/>
    <x v="0"/>
    <x v="12"/>
    <n v="83"/>
    <n v="8.3299999999999999E-2"/>
  </r>
  <r>
    <x v="0"/>
    <x v="120"/>
    <x v="3"/>
    <x v="0"/>
    <x v="13"/>
    <n v="60"/>
    <n v="2.9499999999999998E-2"/>
  </r>
  <r>
    <x v="0"/>
    <x v="121"/>
    <x v="3"/>
    <x v="0"/>
    <x v="0"/>
    <n v="112"/>
    <n v="7.4499999999999997E-2"/>
  </r>
  <r>
    <x v="0"/>
    <x v="121"/>
    <x v="3"/>
    <x v="0"/>
    <x v="1"/>
    <n v="104"/>
    <n v="6.4000000000000003E-3"/>
  </r>
  <r>
    <x v="0"/>
    <x v="121"/>
    <x v="3"/>
    <x v="0"/>
    <x v="2"/>
    <n v="110"/>
    <n v="2.3E-2"/>
  </r>
  <r>
    <x v="0"/>
    <x v="121"/>
    <x v="3"/>
    <x v="0"/>
    <x v="3"/>
    <n v="108"/>
    <n v="2.1899999999999999E-2"/>
  </r>
  <r>
    <x v="0"/>
    <x v="121"/>
    <x v="3"/>
    <x v="0"/>
    <x v="4"/>
    <n v="113"/>
    <n v="4.4900000000000002E-2"/>
  </r>
  <r>
    <x v="0"/>
    <x v="121"/>
    <x v="3"/>
    <x v="0"/>
    <x v="5"/>
    <n v="109"/>
    <n v="1.06E-2"/>
  </r>
  <r>
    <x v="0"/>
    <x v="121"/>
    <x v="3"/>
    <x v="0"/>
    <x v="6"/>
    <n v="111"/>
    <n v="1.18E-2"/>
  </r>
  <r>
    <x v="0"/>
    <x v="121"/>
    <x v="3"/>
    <x v="0"/>
    <x v="7"/>
    <n v="111"/>
    <n v="2.9600000000000001E-2"/>
  </r>
  <r>
    <x v="0"/>
    <x v="121"/>
    <x v="3"/>
    <x v="0"/>
    <x v="8"/>
    <n v="111"/>
    <n v="4.4000000000000003E-3"/>
  </r>
  <r>
    <x v="0"/>
    <x v="121"/>
    <x v="3"/>
    <x v="0"/>
    <x v="9"/>
    <n v="102"/>
    <n v="1.52E-2"/>
  </r>
  <r>
    <x v="0"/>
    <x v="121"/>
    <x v="3"/>
    <x v="0"/>
    <x v="10"/>
    <n v="109"/>
    <n v="1.2500000000000001E-2"/>
  </r>
  <r>
    <x v="0"/>
    <x v="121"/>
    <x v="3"/>
    <x v="0"/>
    <x v="11"/>
    <n v="114"/>
    <n v="1.7399999999999999E-2"/>
  </r>
  <r>
    <x v="0"/>
    <x v="121"/>
    <x v="3"/>
    <x v="0"/>
    <x v="12"/>
    <n v="112"/>
    <n v="2.0400000000000001E-2"/>
  </r>
  <r>
    <x v="0"/>
    <x v="121"/>
    <x v="3"/>
    <x v="0"/>
    <x v="13"/>
    <n v="127"/>
    <n v="1.09E-2"/>
  </r>
  <r>
    <x v="1"/>
    <x v="128"/>
    <x v="3"/>
    <x v="0"/>
    <x v="0"/>
    <n v="93"/>
    <n v="5.3E-3"/>
  </r>
  <r>
    <x v="1"/>
    <x v="128"/>
    <x v="3"/>
    <x v="0"/>
    <x v="2"/>
    <n v="86"/>
    <n v="1.6999999999999999E-3"/>
  </r>
  <r>
    <x v="1"/>
    <x v="128"/>
    <x v="3"/>
    <x v="0"/>
    <x v="3"/>
    <n v="89"/>
    <n v="1.5E-3"/>
  </r>
  <r>
    <x v="1"/>
    <x v="128"/>
    <x v="3"/>
    <x v="0"/>
    <x v="4"/>
    <n v="107"/>
    <n v="3.0000000000000001E-3"/>
  </r>
  <r>
    <x v="1"/>
    <x v="128"/>
    <x v="3"/>
    <x v="0"/>
    <x v="7"/>
    <n v="86"/>
    <n v="2E-3"/>
  </r>
  <r>
    <x v="1"/>
    <x v="128"/>
    <x v="3"/>
    <x v="0"/>
    <x v="9"/>
    <n v="62"/>
    <n v="1.1000000000000001E-3"/>
  </r>
  <r>
    <x v="1"/>
    <x v="128"/>
    <x v="3"/>
    <x v="0"/>
    <x v="11"/>
    <n v="104"/>
    <n v="8.9999999999999998E-4"/>
  </r>
  <r>
    <x v="1"/>
    <x v="128"/>
    <x v="3"/>
    <x v="0"/>
    <x v="12"/>
    <n v="91"/>
    <n v="1.1000000000000001E-3"/>
  </r>
  <r>
    <x v="1"/>
    <x v="128"/>
    <x v="3"/>
    <x v="0"/>
    <x v="13"/>
    <n v="114"/>
    <n v="8.0000000000000004E-4"/>
  </r>
  <r>
    <x v="0"/>
    <x v="122"/>
    <x v="3"/>
    <x v="0"/>
    <x v="0"/>
    <n v="122"/>
    <n v="6.8900000000000003E-2"/>
  </r>
  <r>
    <x v="0"/>
    <x v="122"/>
    <x v="3"/>
    <x v="0"/>
    <x v="1"/>
    <n v="120"/>
    <n v="8.0999999999999996E-3"/>
  </r>
  <r>
    <x v="0"/>
    <x v="122"/>
    <x v="3"/>
    <x v="0"/>
    <x v="2"/>
    <n v="120"/>
    <n v="2.9700000000000001E-2"/>
  </r>
  <r>
    <x v="0"/>
    <x v="122"/>
    <x v="3"/>
    <x v="0"/>
    <x v="3"/>
    <n v="124"/>
    <n v="2.7900000000000001E-2"/>
  </r>
  <r>
    <x v="0"/>
    <x v="122"/>
    <x v="3"/>
    <x v="0"/>
    <x v="4"/>
    <n v="121"/>
    <n v="4.41E-2"/>
  </r>
  <r>
    <x v="0"/>
    <x v="122"/>
    <x v="3"/>
    <x v="0"/>
    <x v="5"/>
    <n v="110"/>
    <n v="1.37E-2"/>
  </r>
  <r>
    <x v="0"/>
    <x v="122"/>
    <x v="3"/>
    <x v="0"/>
    <x v="6"/>
    <n v="113"/>
    <n v="1.4800000000000001E-2"/>
  </r>
  <r>
    <x v="0"/>
    <x v="122"/>
    <x v="3"/>
    <x v="0"/>
    <x v="7"/>
    <n v="129"/>
    <n v="3.0099999999999998E-2"/>
  </r>
  <r>
    <x v="0"/>
    <x v="122"/>
    <x v="3"/>
    <x v="0"/>
    <x v="8"/>
    <n v="103"/>
    <n v="5.4999999999999997E-3"/>
  </r>
  <r>
    <x v="0"/>
    <x v="122"/>
    <x v="3"/>
    <x v="0"/>
    <x v="9"/>
    <n v="127"/>
    <n v="2.29E-2"/>
  </r>
  <r>
    <x v="0"/>
    <x v="122"/>
    <x v="3"/>
    <x v="0"/>
    <x v="10"/>
    <n v="112"/>
    <n v="1.5299999999999999E-2"/>
  </r>
  <r>
    <x v="0"/>
    <x v="122"/>
    <x v="3"/>
    <x v="0"/>
    <x v="11"/>
    <n v="117"/>
    <n v="2.0500000000000001E-2"/>
  </r>
  <r>
    <x v="0"/>
    <x v="122"/>
    <x v="3"/>
    <x v="0"/>
    <x v="12"/>
    <n v="123"/>
    <n v="2.35E-2"/>
  </r>
  <r>
    <x v="0"/>
    <x v="122"/>
    <x v="3"/>
    <x v="0"/>
    <x v="13"/>
    <n v="125"/>
    <n v="1.2999999999999999E-2"/>
  </r>
  <r>
    <x v="1"/>
    <x v="135"/>
    <x v="3"/>
    <x v="0"/>
    <x v="0"/>
    <n v="187"/>
    <n v="2.5000000000000001E-3"/>
  </r>
  <r>
    <x v="1"/>
    <x v="135"/>
    <x v="3"/>
    <x v="0"/>
    <x v="4"/>
    <n v="199"/>
    <n v="1.6000000000000001E-3"/>
  </r>
  <r>
    <x v="1"/>
    <x v="135"/>
    <x v="3"/>
    <x v="0"/>
    <x v="11"/>
    <n v="225"/>
    <n v="8.0000000000000004E-4"/>
  </r>
  <r>
    <x v="0"/>
    <x v="0"/>
    <x v="4"/>
    <x v="0"/>
    <x v="0"/>
    <n v="108"/>
    <n v="0.27029999999999998"/>
  </r>
  <r>
    <x v="0"/>
    <x v="0"/>
    <x v="4"/>
    <x v="0"/>
    <x v="1"/>
    <n v="107"/>
    <n v="3.9300000000000002E-2"/>
  </r>
  <r>
    <x v="0"/>
    <x v="0"/>
    <x v="4"/>
    <x v="0"/>
    <x v="2"/>
    <n v="110"/>
    <n v="0.1053"/>
  </r>
  <r>
    <x v="0"/>
    <x v="0"/>
    <x v="4"/>
    <x v="0"/>
    <x v="3"/>
    <n v="106"/>
    <n v="8.8400000000000006E-2"/>
  </r>
  <r>
    <x v="0"/>
    <x v="0"/>
    <x v="4"/>
    <x v="0"/>
    <x v="4"/>
    <n v="107"/>
    <n v="0.1847"/>
  </r>
  <r>
    <x v="0"/>
    <x v="0"/>
    <x v="4"/>
    <x v="0"/>
    <x v="5"/>
    <n v="100"/>
    <n v="5.6599999999999998E-2"/>
  </r>
  <r>
    <x v="0"/>
    <x v="0"/>
    <x v="4"/>
    <x v="0"/>
    <x v="6"/>
    <n v="98"/>
    <n v="5.5E-2"/>
  </r>
  <r>
    <x v="0"/>
    <x v="0"/>
    <x v="4"/>
    <x v="0"/>
    <x v="7"/>
    <n v="115"/>
    <n v="0.14660000000000001"/>
  </r>
  <r>
    <x v="0"/>
    <x v="0"/>
    <x v="4"/>
    <x v="0"/>
    <x v="8"/>
    <n v="91"/>
    <n v="1.95E-2"/>
  </r>
  <r>
    <x v="0"/>
    <x v="0"/>
    <x v="4"/>
    <x v="0"/>
    <x v="9"/>
    <n v="106"/>
    <n v="6.8500000000000005E-2"/>
  </r>
  <r>
    <x v="0"/>
    <x v="0"/>
    <x v="4"/>
    <x v="0"/>
    <x v="10"/>
    <n v="103"/>
    <n v="6.4100000000000004E-2"/>
  </r>
  <r>
    <x v="0"/>
    <x v="0"/>
    <x v="4"/>
    <x v="0"/>
    <x v="11"/>
    <n v="108"/>
    <n v="8.3599999999999994E-2"/>
  </r>
  <r>
    <x v="0"/>
    <x v="0"/>
    <x v="4"/>
    <x v="0"/>
    <x v="12"/>
    <n v="106"/>
    <n v="9.8400000000000001E-2"/>
  </r>
  <r>
    <x v="0"/>
    <x v="0"/>
    <x v="4"/>
    <x v="0"/>
    <x v="13"/>
    <n v="107"/>
    <n v="6.2899999999999998E-2"/>
  </r>
  <r>
    <x v="1"/>
    <x v="1"/>
    <x v="4"/>
    <x v="1"/>
    <x v="0"/>
    <n v="103"/>
    <n v="0.80840000000000001"/>
  </r>
  <r>
    <x v="1"/>
    <x v="1"/>
    <x v="4"/>
    <x v="1"/>
    <x v="1"/>
    <n v="98"/>
    <n v="0.33279999999999998"/>
  </r>
  <r>
    <x v="1"/>
    <x v="1"/>
    <x v="4"/>
    <x v="1"/>
    <x v="2"/>
    <n v="103"/>
    <n v="0.4914"/>
  </r>
  <r>
    <x v="1"/>
    <x v="1"/>
    <x v="4"/>
    <x v="1"/>
    <x v="3"/>
    <n v="106"/>
    <n v="0.51800000000000002"/>
  </r>
  <r>
    <x v="1"/>
    <x v="1"/>
    <x v="4"/>
    <x v="1"/>
    <x v="4"/>
    <n v="109"/>
    <n v="0.70489999999999997"/>
  </r>
  <r>
    <x v="1"/>
    <x v="1"/>
    <x v="4"/>
    <x v="1"/>
    <x v="5"/>
    <n v="97"/>
    <n v="0.29120000000000001"/>
  </r>
  <r>
    <x v="1"/>
    <x v="1"/>
    <x v="4"/>
    <x v="1"/>
    <x v="6"/>
    <n v="95"/>
    <n v="0.29249999999999998"/>
  </r>
  <r>
    <x v="1"/>
    <x v="1"/>
    <x v="4"/>
    <x v="1"/>
    <x v="7"/>
    <n v="98"/>
    <n v="0.61439999999999995"/>
  </r>
  <r>
    <x v="1"/>
    <x v="1"/>
    <x v="4"/>
    <x v="1"/>
    <x v="8"/>
    <n v="93"/>
    <n v="0.22289999999999999"/>
  </r>
  <r>
    <x v="1"/>
    <x v="1"/>
    <x v="4"/>
    <x v="1"/>
    <x v="9"/>
    <n v="104"/>
    <n v="0.42109999999999997"/>
  </r>
  <r>
    <x v="1"/>
    <x v="1"/>
    <x v="4"/>
    <x v="1"/>
    <x v="10"/>
    <n v="101"/>
    <n v="0.41089999999999999"/>
  </r>
  <r>
    <x v="1"/>
    <x v="1"/>
    <x v="4"/>
    <x v="1"/>
    <x v="11"/>
    <n v="104"/>
    <n v="0.45710000000000001"/>
  </r>
  <r>
    <x v="1"/>
    <x v="1"/>
    <x v="4"/>
    <x v="1"/>
    <x v="12"/>
    <n v="106"/>
    <n v="0.50590000000000002"/>
  </r>
  <r>
    <x v="1"/>
    <x v="1"/>
    <x v="4"/>
    <x v="1"/>
    <x v="13"/>
    <n v="98"/>
    <n v="0.42020000000000002"/>
  </r>
  <r>
    <x v="0"/>
    <x v="2"/>
    <x v="4"/>
    <x v="0"/>
    <x v="0"/>
    <n v="84"/>
    <n v="5.62E-2"/>
  </r>
  <r>
    <x v="0"/>
    <x v="2"/>
    <x v="4"/>
    <x v="0"/>
    <x v="1"/>
    <n v="71"/>
    <n v="2.8E-3"/>
  </r>
  <r>
    <x v="0"/>
    <x v="2"/>
    <x v="4"/>
    <x v="0"/>
    <x v="2"/>
    <n v="82"/>
    <n v="1.12E-2"/>
  </r>
  <r>
    <x v="0"/>
    <x v="2"/>
    <x v="4"/>
    <x v="0"/>
    <x v="3"/>
    <n v="85"/>
    <n v="1.2E-2"/>
  </r>
  <r>
    <x v="0"/>
    <x v="2"/>
    <x v="4"/>
    <x v="0"/>
    <x v="4"/>
    <n v="91"/>
    <n v="3.4299999999999997E-2"/>
  </r>
  <r>
    <x v="0"/>
    <x v="2"/>
    <x v="4"/>
    <x v="0"/>
    <x v="5"/>
    <n v="81"/>
    <n v="4.4000000000000003E-3"/>
  </r>
  <r>
    <x v="0"/>
    <x v="2"/>
    <x v="4"/>
    <x v="0"/>
    <x v="6"/>
    <n v="76"/>
    <n v="4.5999999999999999E-3"/>
  </r>
  <r>
    <x v="0"/>
    <x v="2"/>
    <x v="4"/>
    <x v="0"/>
    <x v="7"/>
    <n v="78"/>
    <n v="2.35E-2"/>
  </r>
  <r>
    <x v="0"/>
    <x v="2"/>
    <x v="4"/>
    <x v="0"/>
    <x v="8"/>
    <n v="67"/>
    <n v="1.6999999999999999E-3"/>
  </r>
  <r>
    <x v="0"/>
    <x v="2"/>
    <x v="4"/>
    <x v="0"/>
    <x v="9"/>
    <n v="82"/>
    <n v="7.0000000000000001E-3"/>
  </r>
  <r>
    <x v="0"/>
    <x v="2"/>
    <x v="4"/>
    <x v="0"/>
    <x v="10"/>
    <n v="83"/>
    <n v="5.3E-3"/>
  </r>
  <r>
    <x v="0"/>
    <x v="2"/>
    <x v="4"/>
    <x v="0"/>
    <x v="11"/>
    <n v="93"/>
    <n v="9.2999999999999992E-3"/>
  </r>
  <r>
    <x v="0"/>
    <x v="2"/>
    <x v="4"/>
    <x v="0"/>
    <x v="12"/>
    <n v="94"/>
    <n v="1.34E-2"/>
  </r>
  <r>
    <x v="0"/>
    <x v="2"/>
    <x v="4"/>
    <x v="0"/>
    <x v="13"/>
    <n v="72"/>
    <n v="5.3E-3"/>
  </r>
  <r>
    <x v="0"/>
    <x v="3"/>
    <x v="4"/>
    <x v="0"/>
    <x v="0"/>
    <n v="119"/>
    <n v="0.11550000000000001"/>
  </r>
  <r>
    <x v="0"/>
    <x v="3"/>
    <x v="4"/>
    <x v="0"/>
    <x v="1"/>
    <n v="122"/>
    <n v="1.55E-2"/>
  </r>
  <r>
    <x v="0"/>
    <x v="3"/>
    <x v="4"/>
    <x v="0"/>
    <x v="2"/>
    <n v="119"/>
    <n v="4.0500000000000001E-2"/>
  </r>
  <r>
    <x v="0"/>
    <x v="3"/>
    <x v="4"/>
    <x v="0"/>
    <x v="3"/>
    <n v="119"/>
    <n v="3.3399999999999999E-2"/>
  </r>
  <r>
    <x v="0"/>
    <x v="3"/>
    <x v="4"/>
    <x v="0"/>
    <x v="4"/>
    <n v="120"/>
    <n v="7.0599999999999996E-2"/>
  </r>
  <r>
    <x v="0"/>
    <x v="3"/>
    <x v="4"/>
    <x v="0"/>
    <x v="5"/>
    <n v="114"/>
    <n v="2.07E-2"/>
  </r>
  <r>
    <x v="0"/>
    <x v="3"/>
    <x v="4"/>
    <x v="0"/>
    <x v="6"/>
    <n v="113"/>
    <n v="2.3699999999999999E-2"/>
  </r>
  <r>
    <x v="0"/>
    <x v="3"/>
    <x v="4"/>
    <x v="0"/>
    <x v="7"/>
    <n v="122"/>
    <n v="5.4800000000000001E-2"/>
  </r>
  <r>
    <x v="0"/>
    <x v="3"/>
    <x v="4"/>
    <x v="0"/>
    <x v="8"/>
    <n v="115"/>
    <n v="1.2E-2"/>
  </r>
  <r>
    <x v="0"/>
    <x v="3"/>
    <x v="4"/>
    <x v="0"/>
    <x v="9"/>
    <n v="122"/>
    <n v="2.4899999999999999E-2"/>
  </r>
  <r>
    <x v="0"/>
    <x v="3"/>
    <x v="4"/>
    <x v="0"/>
    <x v="10"/>
    <n v="115"/>
    <n v="2.1299999999999999E-2"/>
  </r>
  <r>
    <x v="0"/>
    <x v="3"/>
    <x v="4"/>
    <x v="0"/>
    <x v="11"/>
    <n v="119"/>
    <n v="2.7699999999999999E-2"/>
  </r>
  <r>
    <x v="0"/>
    <x v="3"/>
    <x v="4"/>
    <x v="0"/>
    <x v="12"/>
    <n v="121"/>
    <n v="3.2800000000000003E-2"/>
  </r>
  <r>
    <x v="0"/>
    <x v="3"/>
    <x v="4"/>
    <x v="0"/>
    <x v="13"/>
    <n v="119"/>
    <n v="2.52E-2"/>
  </r>
  <r>
    <x v="0"/>
    <x v="4"/>
    <x v="4"/>
    <x v="0"/>
    <x v="0"/>
    <n v="101"/>
    <n v="0.36299999999999999"/>
  </r>
  <r>
    <x v="0"/>
    <x v="4"/>
    <x v="4"/>
    <x v="0"/>
    <x v="1"/>
    <n v="97"/>
    <n v="3.2500000000000001E-2"/>
  </r>
  <r>
    <x v="0"/>
    <x v="4"/>
    <x v="4"/>
    <x v="0"/>
    <x v="2"/>
    <n v="104"/>
    <n v="0.153"/>
  </r>
  <r>
    <x v="0"/>
    <x v="4"/>
    <x v="4"/>
    <x v="0"/>
    <x v="3"/>
    <n v="103"/>
    <n v="0.14000000000000001"/>
  </r>
  <r>
    <x v="0"/>
    <x v="4"/>
    <x v="4"/>
    <x v="0"/>
    <x v="4"/>
    <n v="101"/>
    <n v="0.26090000000000002"/>
  </r>
  <r>
    <x v="0"/>
    <x v="4"/>
    <x v="4"/>
    <x v="0"/>
    <x v="5"/>
    <n v="94"/>
    <n v="8.0600000000000005E-2"/>
  </r>
  <r>
    <x v="0"/>
    <x v="4"/>
    <x v="4"/>
    <x v="0"/>
    <x v="6"/>
    <n v="95"/>
    <n v="8.5300000000000001E-2"/>
  </r>
  <r>
    <x v="0"/>
    <x v="4"/>
    <x v="4"/>
    <x v="0"/>
    <x v="7"/>
    <n v="102"/>
    <n v="0.2046"/>
  </r>
  <r>
    <x v="0"/>
    <x v="4"/>
    <x v="4"/>
    <x v="0"/>
    <x v="8"/>
    <n v="93"/>
    <n v="3.27E-2"/>
  </r>
  <r>
    <x v="0"/>
    <x v="4"/>
    <x v="4"/>
    <x v="0"/>
    <x v="9"/>
    <n v="103"/>
    <n v="0.1096"/>
  </r>
  <r>
    <x v="0"/>
    <x v="4"/>
    <x v="4"/>
    <x v="0"/>
    <x v="10"/>
    <n v="98"/>
    <n v="9.2399999999999996E-2"/>
  </r>
  <r>
    <x v="0"/>
    <x v="4"/>
    <x v="4"/>
    <x v="0"/>
    <x v="11"/>
    <n v="99"/>
    <n v="0.1201"/>
  </r>
  <r>
    <x v="0"/>
    <x v="4"/>
    <x v="4"/>
    <x v="0"/>
    <x v="12"/>
    <n v="101"/>
    <n v="0.14419999999999999"/>
  </r>
  <r>
    <x v="0"/>
    <x v="4"/>
    <x v="4"/>
    <x v="0"/>
    <x v="13"/>
    <n v="100"/>
    <n v="7.9299999999999995E-2"/>
  </r>
  <r>
    <x v="0"/>
    <x v="5"/>
    <x v="4"/>
    <x v="0"/>
    <x v="0"/>
    <n v="111"/>
    <n v="0.24690000000000001"/>
  </r>
  <r>
    <x v="0"/>
    <x v="5"/>
    <x v="4"/>
    <x v="0"/>
    <x v="1"/>
    <n v="102"/>
    <n v="2.98E-2"/>
  </r>
  <r>
    <x v="0"/>
    <x v="5"/>
    <x v="4"/>
    <x v="0"/>
    <x v="2"/>
    <n v="112"/>
    <n v="7.9299999999999995E-2"/>
  </r>
  <r>
    <x v="0"/>
    <x v="5"/>
    <x v="4"/>
    <x v="0"/>
    <x v="3"/>
    <n v="107"/>
    <n v="6.8500000000000005E-2"/>
  </r>
  <r>
    <x v="0"/>
    <x v="5"/>
    <x v="4"/>
    <x v="0"/>
    <x v="4"/>
    <n v="114"/>
    <n v="0.15490000000000001"/>
  </r>
  <r>
    <x v="0"/>
    <x v="5"/>
    <x v="4"/>
    <x v="0"/>
    <x v="5"/>
    <n v="112"/>
    <n v="4.02E-2"/>
  </r>
  <r>
    <x v="0"/>
    <x v="5"/>
    <x v="4"/>
    <x v="0"/>
    <x v="6"/>
    <n v="109"/>
    <n v="4.58E-2"/>
  </r>
  <r>
    <x v="0"/>
    <x v="5"/>
    <x v="4"/>
    <x v="0"/>
    <x v="7"/>
    <n v="113"/>
    <n v="0.12590000000000001"/>
  </r>
  <r>
    <x v="0"/>
    <x v="5"/>
    <x v="4"/>
    <x v="0"/>
    <x v="8"/>
    <n v="101"/>
    <n v="2.3599999999999999E-2"/>
  </r>
  <r>
    <x v="0"/>
    <x v="5"/>
    <x v="4"/>
    <x v="0"/>
    <x v="9"/>
    <n v="108"/>
    <n v="5.1299999999999998E-2"/>
  </r>
  <r>
    <x v="0"/>
    <x v="5"/>
    <x v="4"/>
    <x v="0"/>
    <x v="10"/>
    <n v="114"/>
    <n v="4.4900000000000002E-2"/>
  </r>
  <r>
    <x v="0"/>
    <x v="5"/>
    <x v="4"/>
    <x v="0"/>
    <x v="11"/>
    <n v="113"/>
    <n v="6.0199999999999997E-2"/>
  </r>
  <r>
    <x v="0"/>
    <x v="5"/>
    <x v="4"/>
    <x v="0"/>
    <x v="12"/>
    <n v="116"/>
    <n v="7.2099999999999997E-2"/>
  </r>
  <r>
    <x v="0"/>
    <x v="5"/>
    <x v="4"/>
    <x v="0"/>
    <x v="13"/>
    <n v="104"/>
    <n v="5.0099999999999999E-2"/>
  </r>
  <r>
    <x v="1"/>
    <x v="6"/>
    <x v="4"/>
    <x v="0"/>
    <x v="0"/>
    <n v="74"/>
    <n v="1.44E-2"/>
  </r>
  <r>
    <x v="1"/>
    <x v="6"/>
    <x v="4"/>
    <x v="0"/>
    <x v="1"/>
    <n v="101"/>
    <n v="6.9999999999999999E-4"/>
  </r>
  <r>
    <x v="1"/>
    <x v="6"/>
    <x v="4"/>
    <x v="0"/>
    <x v="2"/>
    <n v="80"/>
    <n v="3.2000000000000002E-3"/>
  </r>
  <r>
    <x v="1"/>
    <x v="6"/>
    <x v="4"/>
    <x v="0"/>
    <x v="3"/>
    <n v="74"/>
    <n v="2.5000000000000001E-3"/>
  </r>
  <r>
    <x v="1"/>
    <x v="6"/>
    <x v="4"/>
    <x v="0"/>
    <x v="4"/>
    <n v="70"/>
    <n v="7.4000000000000003E-3"/>
  </r>
  <r>
    <x v="1"/>
    <x v="6"/>
    <x v="4"/>
    <x v="0"/>
    <x v="5"/>
    <n v="71"/>
    <n v="1.8E-3"/>
  </r>
  <r>
    <x v="1"/>
    <x v="6"/>
    <x v="4"/>
    <x v="0"/>
    <x v="6"/>
    <n v="81"/>
    <n v="1.6999999999999999E-3"/>
  </r>
  <r>
    <x v="1"/>
    <x v="6"/>
    <x v="4"/>
    <x v="0"/>
    <x v="7"/>
    <n v="72"/>
    <n v="5.1000000000000004E-3"/>
  </r>
  <r>
    <x v="1"/>
    <x v="6"/>
    <x v="4"/>
    <x v="0"/>
    <x v="8"/>
    <n v="104"/>
    <n v="5.0000000000000001E-4"/>
  </r>
  <r>
    <x v="1"/>
    <x v="6"/>
    <x v="4"/>
    <x v="0"/>
    <x v="9"/>
    <n v="79"/>
    <n v="1.6999999999999999E-3"/>
  </r>
  <r>
    <x v="1"/>
    <x v="6"/>
    <x v="4"/>
    <x v="0"/>
    <x v="10"/>
    <n v="72"/>
    <n v="1.6999999999999999E-3"/>
  </r>
  <r>
    <x v="1"/>
    <x v="6"/>
    <x v="4"/>
    <x v="0"/>
    <x v="11"/>
    <n v="67"/>
    <n v="2E-3"/>
  </r>
  <r>
    <x v="1"/>
    <x v="6"/>
    <x v="4"/>
    <x v="0"/>
    <x v="12"/>
    <n v="78"/>
    <n v="2.7000000000000001E-3"/>
  </r>
  <r>
    <x v="1"/>
    <x v="6"/>
    <x v="4"/>
    <x v="0"/>
    <x v="13"/>
    <n v="97"/>
    <n v="1.5E-3"/>
  </r>
  <r>
    <x v="1"/>
    <x v="7"/>
    <x v="4"/>
    <x v="0"/>
    <x v="0"/>
    <n v="132"/>
    <n v="5.9299999999999999E-2"/>
  </r>
  <r>
    <x v="1"/>
    <x v="7"/>
    <x v="4"/>
    <x v="0"/>
    <x v="1"/>
    <n v="131"/>
    <n v="3.0999999999999999E-3"/>
  </r>
  <r>
    <x v="1"/>
    <x v="7"/>
    <x v="4"/>
    <x v="0"/>
    <x v="2"/>
    <n v="128"/>
    <n v="2.07E-2"/>
  </r>
  <r>
    <x v="1"/>
    <x v="7"/>
    <x v="4"/>
    <x v="0"/>
    <x v="3"/>
    <n v="126"/>
    <n v="1.6E-2"/>
  </r>
  <r>
    <x v="1"/>
    <x v="7"/>
    <x v="4"/>
    <x v="0"/>
    <x v="4"/>
    <n v="137"/>
    <n v="3.5000000000000003E-2"/>
  </r>
  <r>
    <x v="1"/>
    <x v="7"/>
    <x v="4"/>
    <x v="0"/>
    <x v="5"/>
    <n v="129"/>
    <n v="1.04E-2"/>
  </r>
  <r>
    <x v="1"/>
    <x v="7"/>
    <x v="4"/>
    <x v="0"/>
    <x v="6"/>
    <n v="124"/>
    <n v="1.01E-2"/>
  </r>
  <r>
    <x v="1"/>
    <x v="7"/>
    <x v="4"/>
    <x v="0"/>
    <x v="7"/>
    <n v="132"/>
    <n v="2.5700000000000001E-2"/>
  </r>
  <r>
    <x v="1"/>
    <x v="7"/>
    <x v="4"/>
    <x v="0"/>
    <x v="8"/>
    <n v="129"/>
    <n v="2.5000000000000001E-3"/>
  </r>
  <r>
    <x v="1"/>
    <x v="7"/>
    <x v="4"/>
    <x v="0"/>
    <x v="9"/>
    <n v="125"/>
    <n v="1.21E-2"/>
  </r>
  <r>
    <x v="1"/>
    <x v="7"/>
    <x v="4"/>
    <x v="0"/>
    <x v="10"/>
    <n v="140"/>
    <n v="1.06E-2"/>
  </r>
  <r>
    <x v="1"/>
    <x v="7"/>
    <x v="4"/>
    <x v="0"/>
    <x v="11"/>
    <n v="142"/>
    <n v="1.29E-2"/>
  </r>
  <r>
    <x v="1"/>
    <x v="7"/>
    <x v="4"/>
    <x v="0"/>
    <x v="12"/>
    <n v="137"/>
    <n v="1.4999999999999999E-2"/>
  </r>
  <r>
    <x v="1"/>
    <x v="7"/>
    <x v="4"/>
    <x v="0"/>
    <x v="13"/>
    <n v="122"/>
    <n v="5.4999999999999997E-3"/>
  </r>
  <r>
    <x v="0"/>
    <x v="8"/>
    <x v="4"/>
    <x v="0"/>
    <x v="0"/>
    <n v="101"/>
    <n v="0.23169999999999999"/>
  </r>
  <r>
    <x v="0"/>
    <x v="8"/>
    <x v="4"/>
    <x v="0"/>
    <x v="1"/>
    <n v="107"/>
    <n v="3.2300000000000002E-2"/>
  </r>
  <r>
    <x v="0"/>
    <x v="8"/>
    <x v="4"/>
    <x v="0"/>
    <x v="2"/>
    <n v="107"/>
    <n v="8.5900000000000004E-2"/>
  </r>
  <r>
    <x v="0"/>
    <x v="8"/>
    <x v="4"/>
    <x v="0"/>
    <x v="3"/>
    <n v="108"/>
    <n v="7.51E-2"/>
  </r>
  <r>
    <x v="0"/>
    <x v="8"/>
    <x v="4"/>
    <x v="0"/>
    <x v="4"/>
    <n v="103"/>
    <n v="0.154"/>
  </r>
  <r>
    <x v="0"/>
    <x v="8"/>
    <x v="4"/>
    <x v="0"/>
    <x v="5"/>
    <n v="105"/>
    <n v="4.3999999999999997E-2"/>
  </r>
  <r>
    <x v="0"/>
    <x v="8"/>
    <x v="4"/>
    <x v="0"/>
    <x v="6"/>
    <n v="103"/>
    <n v="4.8800000000000003E-2"/>
  </r>
  <r>
    <x v="0"/>
    <x v="8"/>
    <x v="4"/>
    <x v="0"/>
    <x v="7"/>
    <n v="91"/>
    <n v="0.1045"/>
  </r>
  <r>
    <x v="0"/>
    <x v="8"/>
    <x v="4"/>
    <x v="0"/>
    <x v="8"/>
    <n v="103"/>
    <n v="2.5499999999999998E-2"/>
  </r>
  <r>
    <x v="0"/>
    <x v="8"/>
    <x v="4"/>
    <x v="0"/>
    <x v="9"/>
    <n v="107"/>
    <n v="5.74E-2"/>
  </r>
  <r>
    <x v="0"/>
    <x v="8"/>
    <x v="4"/>
    <x v="0"/>
    <x v="10"/>
    <n v="103"/>
    <n v="5.1299999999999998E-2"/>
  </r>
  <r>
    <x v="0"/>
    <x v="8"/>
    <x v="4"/>
    <x v="0"/>
    <x v="11"/>
    <n v="103"/>
    <n v="6.4399999999999999E-2"/>
  </r>
  <r>
    <x v="0"/>
    <x v="8"/>
    <x v="4"/>
    <x v="0"/>
    <x v="12"/>
    <n v="103"/>
    <n v="7.7200000000000005E-2"/>
  </r>
  <r>
    <x v="0"/>
    <x v="8"/>
    <x v="4"/>
    <x v="0"/>
    <x v="13"/>
    <n v="101"/>
    <n v="5.1999999999999998E-2"/>
  </r>
  <r>
    <x v="1"/>
    <x v="9"/>
    <x v="4"/>
    <x v="0"/>
    <x v="0"/>
    <n v="68"/>
    <n v="2.5100000000000001E-2"/>
  </r>
  <r>
    <x v="1"/>
    <x v="9"/>
    <x v="4"/>
    <x v="0"/>
    <x v="1"/>
    <n v="73"/>
    <n v="1.1000000000000001E-3"/>
  </r>
  <r>
    <x v="1"/>
    <x v="9"/>
    <x v="4"/>
    <x v="0"/>
    <x v="2"/>
    <n v="68"/>
    <n v="6.4000000000000003E-3"/>
  </r>
  <r>
    <x v="1"/>
    <x v="9"/>
    <x v="4"/>
    <x v="0"/>
    <x v="3"/>
    <n v="59"/>
    <n v="4.1999999999999997E-3"/>
  </r>
  <r>
    <x v="1"/>
    <x v="9"/>
    <x v="4"/>
    <x v="0"/>
    <x v="4"/>
    <n v="72"/>
    <n v="1.23E-2"/>
  </r>
  <r>
    <x v="1"/>
    <x v="9"/>
    <x v="4"/>
    <x v="0"/>
    <x v="5"/>
    <n v="87"/>
    <n v="2.3E-3"/>
  </r>
  <r>
    <x v="1"/>
    <x v="9"/>
    <x v="4"/>
    <x v="0"/>
    <x v="6"/>
    <n v="81"/>
    <n v="2.3E-3"/>
  </r>
  <r>
    <x v="1"/>
    <x v="9"/>
    <x v="4"/>
    <x v="0"/>
    <x v="7"/>
    <n v="62"/>
    <n v="8.6E-3"/>
  </r>
  <r>
    <x v="1"/>
    <x v="9"/>
    <x v="4"/>
    <x v="0"/>
    <x v="8"/>
    <n v="68"/>
    <n v="5.9999999999999995E-4"/>
  </r>
  <r>
    <x v="1"/>
    <x v="9"/>
    <x v="4"/>
    <x v="0"/>
    <x v="9"/>
    <n v="58"/>
    <n v="2.8999999999999998E-3"/>
  </r>
  <r>
    <x v="1"/>
    <x v="9"/>
    <x v="4"/>
    <x v="0"/>
    <x v="10"/>
    <n v="82"/>
    <n v="2.5999999999999999E-3"/>
  </r>
  <r>
    <x v="1"/>
    <x v="9"/>
    <x v="4"/>
    <x v="0"/>
    <x v="11"/>
    <n v="83"/>
    <n v="3.5000000000000001E-3"/>
  </r>
  <r>
    <x v="1"/>
    <x v="9"/>
    <x v="4"/>
    <x v="0"/>
    <x v="12"/>
    <n v="70"/>
    <n v="3.5000000000000001E-3"/>
  </r>
  <r>
    <x v="1"/>
    <x v="9"/>
    <x v="4"/>
    <x v="0"/>
    <x v="13"/>
    <n v="77"/>
    <n v="2.0999999999999999E-3"/>
  </r>
  <r>
    <x v="1"/>
    <x v="10"/>
    <x v="4"/>
    <x v="0"/>
    <x v="0"/>
    <n v="70"/>
    <n v="7.8700000000000006E-2"/>
  </r>
  <r>
    <x v="1"/>
    <x v="10"/>
    <x v="4"/>
    <x v="0"/>
    <x v="1"/>
    <n v="69"/>
    <n v="5.5999999999999999E-3"/>
  </r>
  <r>
    <x v="1"/>
    <x v="10"/>
    <x v="4"/>
    <x v="0"/>
    <x v="2"/>
    <n v="65"/>
    <n v="0.02"/>
  </r>
  <r>
    <x v="1"/>
    <x v="10"/>
    <x v="4"/>
    <x v="0"/>
    <x v="3"/>
    <n v="63"/>
    <n v="1.46E-2"/>
  </r>
  <r>
    <x v="1"/>
    <x v="10"/>
    <x v="4"/>
    <x v="0"/>
    <x v="4"/>
    <n v="73"/>
    <n v="4.5400000000000003E-2"/>
  </r>
  <r>
    <x v="1"/>
    <x v="10"/>
    <x v="4"/>
    <x v="0"/>
    <x v="5"/>
    <n v="70"/>
    <n v="1.15E-2"/>
  </r>
  <r>
    <x v="1"/>
    <x v="10"/>
    <x v="4"/>
    <x v="0"/>
    <x v="6"/>
    <n v="72"/>
    <n v="1.3299999999999999E-2"/>
  </r>
  <r>
    <x v="1"/>
    <x v="10"/>
    <x v="4"/>
    <x v="0"/>
    <x v="7"/>
    <n v="69"/>
    <n v="0.03"/>
  </r>
  <r>
    <x v="1"/>
    <x v="10"/>
    <x v="4"/>
    <x v="0"/>
    <x v="8"/>
    <n v="74"/>
    <n v="5.1999999999999998E-3"/>
  </r>
  <r>
    <x v="1"/>
    <x v="10"/>
    <x v="4"/>
    <x v="0"/>
    <x v="9"/>
    <n v="63"/>
    <n v="1.14E-2"/>
  </r>
  <r>
    <x v="1"/>
    <x v="10"/>
    <x v="4"/>
    <x v="0"/>
    <x v="10"/>
    <n v="73"/>
    <n v="1.15E-2"/>
  </r>
  <r>
    <x v="1"/>
    <x v="10"/>
    <x v="4"/>
    <x v="0"/>
    <x v="11"/>
    <n v="77"/>
    <n v="1.52E-2"/>
  </r>
  <r>
    <x v="1"/>
    <x v="10"/>
    <x v="4"/>
    <x v="0"/>
    <x v="12"/>
    <n v="74"/>
    <n v="1.77E-2"/>
  </r>
  <r>
    <x v="1"/>
    <x v="10"/>
    <x v="4"/>
    <x v="0"/>
    <x v="13"/>
    <n v="75"/>
    <n v="1.0699999999999999E-2"/>
  </r>
  <r>
    <x v="1"/>
    <x v="11"/>
    <x v="4"/>
    <x v="0"/>
    <x v="0"/>
    <n v="102"/>
    <n v="8.3799999999999999E-2"/>
  </r>
  <r>
    <x v="1"/>
    <x v="11"/>
    <x v="4"/>
    <x v="0"/>
    <x v="1"/>
    <n v="94"/>
    <n v="5.1000000000000004E-3"/>
  </r>
  <r>
    <x v="1"/>
    <x v="11"/>
    <x v="4"/>
    <x v="0"/>
    <x v="2"/>
    <n v="88"/>
    <n v="1.77E-2"/>
  </r>
  <r>
    <x v="1"/>
    <x v="11"/>
    <x v="4"/>
    <x v="0"/>
    <x v="3"/>
    <n v="103"/>
    <n v="1.9599999999999999E-2"/>
  </r>
  <r>
    <x v="1"/>
    <x v="11"/>
    <x v="4"/>
    <x v="0"/>
    <x v="4"/>
    <n v="104"/>
    <n v="5.33E-2"/>
  </r>
  <r>
    <x v="1"/>
    <x v="11"/>
    <x v="4"/>
    <x v="0"/>
    <x v="5"/>
    <n v="96"/>
    <n v="8.0999999999999996E-3"/>
  </r>
  <r>
    <x v="1"/>
    <x v="11"/>
    <x v="4"/>
    <x v="0"/>
    <x v="6"/>
    <n v="94"/>
    <n v="8.9999999999999993E-3"/>
  </r>
  <r>
    <x v="1"/>
    <x v="11"/>
    <x v="4"/>
    <x v="0"/>
    <x v="7"/>
    <n v="110"/>
    <n v="4.0300000000000002E-2"/>
  </r>
  <r>
    <x v="1"/>
    <x v="11"/>
    <x v="4"/>
    <x v="0"/>
    <x v="8"/>
    <n v="96"/>
    <n v="3.8E-3"/>
  </r>
  <r>
    <x v="1"/>
    <x v="11"/>
    <x v="4"/>
    <x v="0"/>
    <x v="9"/>
    <n v="95"/>
    <n v="1.06E-2"/>
  </r>
  <r>
    <x v="1"/>
    <x v="11"/>
    <x v="4"/>
    <x v="0"/>
    <x v="10"/>
    <n v="99"/>
    <n v="1.23E-2"/>
  </r>
  <r>
    <x v="1"/>
    <x v="11"/>
    <x v="4"/>
    <x v="0"/>
    <x v="11"/>
    <n v="101"/>
    <n v="1.9E-2"/>
  </r>
  <r>
    <x v="1"/>
    <x v="11"/>
    <x v="4"/>
    <x v="0"/>
    <x v="12"/>
    <n v="103"/>
    <n v="2.41E-2"/>
  </r>
  <r>
    <x v="1"/>
    <x v="11"/>
    <x v="4"/>
    <x v="0"/>
    <x v="13"/>
    <n v="92"/>
    <n v="9.4000000000000004E-3"/>
  </r>
  <r>
    <x v="0"/>
    <x v="12"/>
    <x v="4"/>
    <x v="0"/>
    <x v="0"/>
    <n v="67"/>
    <n v="0.1988"/>
  </r>
  <r>
    <x v="0"/>
    <x v="12"/>
    <x v="4"/>
    <x v="0"/>
    <x v="1"/>
    <n v="70"/>
    <n v="1.9199999999999998E-2"/>
  </r>
  <r>
    <x v="0"/>
    <x v="12"/>
    <x v="4"/>
    <x v="0"/>
    <x v="2"/>
    <n v="65"/>
    <n v="4.99E-2"/>
  </r>
  <r>
    <x v="0"/>
    <x v="12"/>
    <x v="4"/>
    <x v="0"/>
    <x v="3"/>
    <n v="70"/>
    <n v="4.7399999999999998E-2"/>
  </r>
  <r>
    <x v="0"/>
    <x v="12"/>
    <x v="4"/>
    <x v="0"/>
    <x v="4"/>
    <n v="68"/>
    <n v="0.1333"/>
  </r>
  <r>
    <x v="0"/>
    <x v="12"/>
    <x v="4"/>
    <x v="0"/>
    <x v="5"/>
    <n v="62"/>
    <n v="3.5499999999999997E-2"/>
  </r>
  <r>
    <x v="0"/>
    <x v="12"/>
    <x v="4"/>
    <x v="0"/>
    <x v="6"/>
    <n v="65"/>
    <n v="3.7199999999999997E-2"/>
  </r>
  <r>
    <x v="0"/>
    <x v="12"/>
    <x v="4"/>
    <x v="0"/>
    <x v="7"/>
    <n v="70"/>
    <n v="9.5299999999999996E-2"/>
  </r>
  <r>
    <x v="0"/>
    <x v="12"/>
    <x v="4"/>
    <x v="0"/>
    <x v="8"/>
    <n v="69"/>
    <n v="1.66E-2"/>
  </r>
  <r>
    <x v="0"/>
    <x v="12"/>
    <x v="4"/>
    <x v="0"/>
    <x v="9"/>
    <n v="69"/>
    <n v="3.1800000000000002E-2"/>
  </r>
  <r>
    <x v="0"/>
    <x v="12"/>
    <x v="4"/>
    <x v="0"/>
    <x v="10"/>
    <n v="64"/>
    <n v="3.6700000000000003E-2"/>
  </r>
  <r>
    <x v="0"/>
    <x v="12"/>
    <x v="4"/>
    <x v="0"/>
    <x v="11"/>
    <n v="66"/>
    <n v="5.28E-2"/>
  </r>
  <r>
    <x v="0"/>
    <x v="12"/>
    <x v="4"/>
    <x v="0"/>
    <x v="12"/>
    <n v="69"/>
    <n v="6.2899999999999998E-2"/>
  </r>
  <r>
    <x v="0"/>
    <x v="12"/>
    <x v="4"/>
    <x v="0"/>
    <x v="13"/>
    <n v="69"/>
    <n v="3.49E-2"/>
  </r>
  <r>
    <x v="0"/>
    <x v="13"/>
    <x v="4"/>
    <x v="0"/>
    <x v="0"/>
    <n v="86"/>
    <n v="0.14230000000000001"/>
  </r>
  <r>
    <x v="0"/>
    <x v="13"/>
    <x v="4"/>
    <x v="0"/>
    <x v="1"/>
    <n v="87"/>
    <n v="2.2100000000000002E-2"/>
  </r>
  <r>
    <x v="0"/>
    <x v="13"/>
    <x v="4"/>
    <x v="0"/>
    <x v="2"/>
    <n v="86"/>
    <n v="5.1299999999999998E-2"/>
  </r>
  <r>
    <x v="0"/>
    <x v="13"/>
    <x v="4"/>
    <x v="0"/>
    <x v="3"/>
    <n v="87"/>
    <n v="3.8800000000000001E-2"/>
  </r>
  <r>
    <x v="0"/>
    <x v="13"/>
    <x v="4"/>
    <x v="0"/>
    <x v="4"/>
    <n v="85"/>
    <n v="7.8899999999999998E-2"/>
  </r>
  <r>
    <x v="0"/>
    <x v="13"/>
    <x v="4"/>
    <x v="0"/>
    <x v="5"/>
    <n v="89"/>
    <n v="1.84E-2"/>
  </r>
  <r>
    <x v="0"/>
    <x v="13"/>
    <x v="4"/>
    <x v="0"/>
    <x v="6"/>
    <n v="89"/>
    <n v="2.47E-2"/>
  </r>
  <r>
    <x v="0"/>
    <x v="13"/>
    <x v="4"/>
    <x v="0"/>
    <x v="7"/>
    <n v="83"/>
    <n v="6.2300000000000001E-2"/>
  </r>
  <r>
    <x v="0"/>
    <x v="13"/>
    <x v="4"/>
    <x v="0"/>
    <x v="8"/>
    <n v="89"/>
    <n v="1.46E-2"/>
  </r>
  <r>
    <x v="0"/>
    <x v="13"/>
    <x v="4"/>
    <x v="0"/>
    <x v="9"/>
    <n v="88"/>
    <n v="3.0599999999999999E-2"/>
  </r>
  <r>
    <x v="0"/>
    <x v="13"/>
    <x v="4"/>
    <x v="0"/>
    <x v="10"/>
    <n v="87"/>
    <n v="1.9599999999999999E-2"/>
  </r>
  <r>
    <x v="0"/>
    <x v="13"/>
    <x v="4"/>
    <x v="0"/>
    <x v="11"/>
    <n v="86"/>
    <n v="2.64E-2"/>
  </r>
  <r>
    <x v="0"/>
    <x v="13"/>
    <x v="4"/>
    <x v="0"/>
    <x v="12"/>
    <n v="85"/>
    <n v="3.2899999999999999E-2"/>
  </r>
  <r>
    <x v="0"/>
    <x v="13"/>
    <x v="4"/>
    <x v="0"/>
    <x v="13"/>
    <n v="87"/>
    <n v="3.27E-2"/>
  </r>
  <r>
    <x v="1"/>
    <x v="14"/>
    <x v="4"/>
    <x v="0"/>
    <x v="0"/>
    <n v="88"/>
    <n v="4.4299999999999999E-2"/>
  </r>
  <r>
    <x v="1"/>
    <x v="14"/>
    <x v="4"/>
    <x v="0"/>
    <x v="1"/>
    <n v="95"/>
    <n v="5.4999999999999997E-3"/>
  </r>
  <r>
    <x v="1"/>
    <x v="14"/>
    <x v="4"/>
    <x v="0"/>
    <x v="2"/>
    <n v="84"/>
    <n v="1.37E-2"/>
  </r>
  <r>
    <x v="1"/>
    <x v="14"/>
    <x v="4"/>
    <x v="0"/>
    <x v="3"/>
    <n v="89"/>
    <n v="1.03E-2"/>
  </r>
  <r>
    <x v="1"/>
    <x v="14"/>
    <x v="4"/>
    <x v="0"/>
    <x v="4"/>
    <n v="86"/>
    <n v="2.23E-2"/>
  </r>
  <r>
    <x v="1"/>
    <x v="14"/>
    <x v="4"/>
    <x v="0"/>
    <x v="5"/>
    <n v="92"/>
    <n v="5.1999999999999998E-3"/>
  </r>
  <r>
    <x v="1"/>
    <x v="14"/>
    <x v="4"/>
    <x v="0"/>
    <x v="6"/>
    <n v="94"/>
    <n v="8.0000000000000002E-3"/>
  </r>
  <r>
    <x v="1"/>
    <x v="14"/>
    <x v="4"/>
    <x v="0"/>
    <x v="7"/>
    <n v="89"/>
    <n v="1.6799999999999999E-2"/>
  </r>
  <r>
    <x v="1"/>
    <x v="14"/>
    <x v="4"/>
    <x v="0"/>
    <x v="8"/>
    <n v="95"/>
    <n v="5.0000000000000001E-3"/>
  </r>
  <r>
    <x v="1"/>
    <x v="14"/>
    <x v="4"/>
    <x v="0"/>
    <x v="9"/>
    <n v="88"/>
    <n v="6.3E-3"/>
  </r>
  <r>
    <x v="1"/>
    <x v="14"/>
    <x v="4"/>
    <x v="0"/>
    <x v="10"/>
    <n v="90"/>
    <n v="5.7000000000000002E-3"/>
  </r>
  <r>
    <x v="1"/>
    <x v="14"/>
    <x v="4"/>
    <x v="0"/>
    <x v="11"/>
    <n v="88"/>
    <n v="8.9999999999999993E-3"/>
  </r>
  <r>
    <x v="1"/>
    <x v="14"/>
    <x v="4"/>
    <x v="0"/>
    <x v="12"/>
    <n v="85"/>
    <n v="9.1000000000000004E-3"/>
  </r>
  <r>
    <x v="1"/>
    <x v="14"/>
    <x v="4"/>
    <x v="0"/>
    <x v="13"/>
    <n v="94"/>
    <n v="9.2999999999999992E-3"/>
  </r>
  <r>
    <x v="0"/>
    <x v="15"/>
    <x v="4"/>
    <x v="0"/>
    <x v="0"/>
    <n v="92"/>
    <n v="0.34949999999999998"/>
  </r>
  <r>
    <x v="0"/>
    <x v="15"/>
    <x v="4"/>
    <x v="0"/>
    <x v="1"/>
    <n v="92"/>
    <n v="5.4800000000000001E-2"/>
  </r>
  <r>
    <x v="0"/>
    <x v="15"/>
    <x v="4"/>
    <x v="0"/>
    <x v="2"/>
    <n v="95"/>
    <n v="0.12970000000000001"/>
  </r>
  <r>
    <x v="0"/>
    <x v="15"/>
    <x v="4"/>
    <x v="0"/>
    <x v="3"/>
    <n v="92"/>
    <n v="0.11600000000000001"/>
  </r>
  <r>
    <x v="0"/>
    <x v="15"/>
    <x v="4"/>
    <x v="0"/>
    <x v="4"/>
    <n v="94"/>
    <n v="0.25509999999999999"/>
  </r>
  <r>
    <x v="0"/>
    <x v="15"/>
    <x v="4"/>
    <x v="0"/>
    <x v="5"/>
    <n v="88"/>
    <n v="7.3800000000000004E-2"/>
  </r>
  <r>
    <x v="0"/>
    <x v="15"/>
    <x v="4"/>
    <x v="0"/>
    <x v="6"/>
    <n v="87"/>
    <n v="8.0500000000000002E-2"/>
  </r>
  <r>
    <x v="0"/>
    <x v="15"/>
    <x v="4"/>
    <x v="0"/>
    <x v="7"/>
    <n v="93"/>
    <n v="0.16850000000000001"/>
  </r>
  <r>
    <x v="0"/>
    <x v="15"/>
    <x v="4"/>
    <x v="0"/>
    <x v="8"/>
    <n v="83"/>
    <n v="4.2099999999999999E-2"/>
  </r>
  <r>
    <x v="0"/>
    <x v="15"/>
    <x v="4"/>
    <x v="0"/>
    <x v="9"/>
    <n v="93"/>
    <n v="8.9399999999999993E-2"/>
  </r>
  <r>
    <x v="0"/>
    <x v="15"/>
    <x v="4"/>
    <x v="0"/>
    <x v="10"/>
    <n v="88"/>
    <n v="8.8700000000000001E-2"/>
  </r>
  <r>
    <x v="0"/>
    <x v="15"/>
    <x v="4"/>
    <x v="0"/>
    <x v="11"/>
    <n v="92"/>
    <n v="0.12130000000000001"/>
  </r>
  <r>
    <x v="0"/>
    <x v="15"/>
    <x v="4"/>
    <x v="0"/>
    <x v="12"/>
    <n v="94"/>
    <n v="0.14369999999999999"/>
  </r>
  <r>
    <x v="0"/>
    <x v="15"/>
    <x v="4"/>
    <x v="0"/>
    <x v="13"/>
    <n v="89"/>
    <n v="8.2600000000000007E-2"/>
  </r>
  <r>
    <x v="1"/>
    <x v="124"/>
    <x v="4"/>
    <x v="0"/>
    <x v="0"/>
    <n v="24"/>
    <n v="2.3999999999999998E-3"/>
  </r>
  <r>
    <x v="1"/>
    <x v="124"/>
    <x v="4"/>
    <x v="0"/>
    <x v="1"/>
    <n v="20"/>
    <n v="1E-4"/>
  </r>
  <r>
    <x v="1"/>
    <x v="124"/>
    <x v="4"/>
    <x v="0"/>
    <x v="2"/>
    <n v="26"/>
    <n v="5.9999999999999995E-4"/>
  </r>
  <r>
    <x v="1"/>
    <x v="124"/>
    <x v="4"/>
    <x v="0"/>
    <x v="3"/>
    <n v="33"/>
    <n v="4.0000000000000002E-4"/>
  </r>
  <r>
    <x v="1"/>
    <x v="124"/>
    <x v="4"/>
    <x v="0"/>
    <x v="4"/>
    <n v="39"/>
    <n v="1.2999999999999999E-3"/>
  </r>
  <r>
    <x v="1"/>
    <x v="124"/>
    <x v="4"/>
    <x v="0"/>
    <x v="5"/>
    <n v="26"/>
    <n v="2.9999999999999997E-4"/>
  </r>
  <r>
    <x v="1"/>
    <x v="124"/>
    <x v="4"/>
    <x v="0"/>
    <x v="6"/>
    <n v="24"/>
    <n v="2.9999999999999997E-4"/>
  </r>
  <r>
    <x v="1"/>
    <x v="124"/>
    <x v="4"/>
    <x v="0"/>
    <x v="7"/>
    <n v="41"/>
    <n v="1.1000000000000001E-3"/>
  </r>
  <r>
    <x v="1"/>
    <x v="124"/>
    <x v="4"/>
    <x v="0"/>
    <x v="9"/>
    <n v="42"/>
    <n v="2.9999999999999997E-4"/>
  </r>
  <r>
    <x v="1"/>
    <x v="124"/>
    <x v="4"/>
    <x v="0"/>
    <x v="10"/>
    <n v="49"/>
    <n v="2.9999999999999997E-4"/>
  </r>
  <r>
    <x v="1"/>
    <x v="124"/>
    <x v="4"/>
    <x v="0"/>
    <x v="11"/>
    <n v="47"/>
    <n v="4.0000000000000002E-4"/>
  </r>
  <r>
    <x v="1"/>
    <x v="124"/>
    <x v="4"/>
    <x v="0"/>
    <x v="12"/>
    <n v="45"/>
    <n v="5.0000000000000001E-4"/>
  </r>
  <r>
    <x v="1"/>
    <x v="124"/>
    <x v="4"/>
    <x v="0"/>
    <x v="13"/>
    <n v="21"/>
    <n v="2.9999999999999997E-4"/>
  </r>
  <r>
    <x v="0"/>
    <x v="16"/>
    <x v="4"/>
    <x v="0"/>
    <x v="0"/>
    <n v="83"/>
    <n v="0.1726"/>
  </r>
  <r>
    <x v="0"/>
    <x v="16"/>
    <x v="4"/>
    <x v="0"/>
    <x v="1"/>
    <n v="80"/>
    <n v="1.8800000000000001E-2"/>
  </r>
  <r>
    <x v="0"/>
    <x v="16"/>
    <x v="4"/>
    <x v="0"/>
    <x v="2"/>
    <n v="78"/>
    <n v="4.7500000000000001E-2"/>
  </r>
  <r>
    <x v="0"/>
    <x v="16"/>
    <x v="4"/>
    <x v="0"/>
    <x v="3"/>
    <n v="79"/>
    <n v="3.95E-2"/>
  </r>
  <r>
    <x v="0"/>
    <x v="16"/>
    <x v="4"/>
    <x v="0"/>
    <x v="4"/>
    <n v="88"/>
    <n v="0.1021"/>
  </r>
  <r>
    <x v="0"/>
    <x v="16"/>
    <x v="4"/>
    <x v="0"/>
    <x v="5"/>
    <n v="83"/>
    <n v="2.6800000000000001E-2"/>
  </r>
  <r>
    <x v="0"/>
    <x v="16"/>
    <x v="4"/>
    <x v="0"/>
    <x v="6"/>
    <n v="81"/>
    <n v="3.1099999999999999E-2"/>
  </r>
  <r>
    <x v="0"/>
    <x v="16"/>
    <x v="4"/>
    <x v="0"/>
    <x v="7"/>
    <n v="80"/>
    <n v="6.6600000000000006E-2"/>
  </r>
  <r>
    <x v="0"/>
    <x v="16"/>
    <x v="4"/>
    <x v="0"/>
    <x v="8"/>
    <n v="84"/>
    <n v="1.49E-2"/>
  </r>
  <r>
    <x v="0"/>
    <x v="16"/>
    <x v="4"/>
    <x v="0"/>
    <x v="9"/>
    <n v="76"/>
    <n v="2.75E-2"/>
  </r>
  <r>
    <x v="0"/>
    <x v="16"/>
    <x v="4"/>
    <x v="0"/>
    <x v="10"/>
    <n v="88"/>
    <n v="2.76E-2"/>
  </r>
  <r>
    <x v="0"/>
    <x v="16"/>
    <x v="4"/>
    <x v="0"/>
    <x v="11"/>
    <n v="89"/>
    <n v="3.9399999999999998E-2"/>
  </r>
  <r>
    <x v="0"/>
    <x v="16"/>
    <x v="4"/>
    <x v="0"/>
    <x v="12"/>
    <n v="88"/>
    <n v="4.65E-2"/>
  </r>
  <r>
    <x v="0"/>
    <x v="16"/>
    <x v="4"/>
    <x v="0"/>
    <x v="13"/>
    <n v="81"/>
    <n v="3.2199999999999999E-2"/>
  </r>
  <r>
    <x v="1"/>
    <x v="17"/>
    <x v="4"/>
    <x v="1"/>
    <x v="0"/>
    <n v="107"/>
    <n v="0.8175"/>
  </r>
  <r>
    <x v="1"/>
    <x v="17"/>
    <x v="4"/>
    <x v="1"/>
    <x v="1"/>
    <n v="98"/>
    <n v="0.28560000000000002"/>
  </r>
  <r>
    <x v="1"/>
    <x v="17"/>
    <x v="4"/>
    <x v="1"/>
    <x v="2"/>
    <n v="106"/>
    <n v="0.47149999999999997"/>
  </r>
  <r>
    <x v="1"/>
    <x v="17"/>
    <x v="4"/>
    <x v="1"/>
    <x v="3"/>
    <n v="111"/>
    <n v="0.44230000000000003"/>
  </r>
  <r>
    <x v="1"/>
    <x v="17"/>
    <x v="4"/>
    <x v="1"/>
    <x v="4"/>
    <n v="109"/>
    <n v="0.70650000000000002"/>
  </r>
  <r>
    <x v="1"/>
    <x v="17"/>
    <x v="4"/>
    <x v="1"/>
    <x v="5"/>
    <n v="103"/>
    <n v="0.28310000000000002"/>
  </r>
  <r>
    <x v="1"/>
    <x v="17"/>
    <x v="4"/>
    <x v="1"/>
    <x v="6"/>
    <n v="99"/>
    <n v="0.2762"/>
  </r>
  <r>
    <x v="1"/>
    <x v="17"/>
    <x v="4"/>
    <x v="1"/>
    <x v="7"/>
    <n v="109"/>
    <n v="0.5988"/>
  </r>
  <r>
    <x v="1"/>
    <x v="17"/>
    <x v="4"/>
    <x v="1"/>
    <x v="8"/>
    <n v="98"/>
    <n v="0.191"/>
  </r>
  <r>
    <x v="1"/>
    <x v="17"/>
    <x v="4"/>
    <x v="1"/>
    <x v="9"/>
    <n v="111"/>
    <n v="0.36549999999999999"/>
  </r>
  <r>
    <x v="1"/>
    <x v="17"/>
    <x v="4"/>
    <x v="1"/>
    <x v="10"/>
    <n v="109"/>
    <n v="0.40110000000000001"/>
  </r>
  <r>
    <x v="1"/>
    <x v="17"/>
    <x v="4"/>
    <x v="1"/>
    <x v="11"/>
    <n v="108"/>
    <n v="0.45639999999999997"/>
  </r>
  <r>
    <x v="1"/>
    <x v="17"/>
    <x v="4"/>
    <x v="1"/>
    <x v="12"/>
    <n v="108"/>
    <n v="0.50049999999999994"/>
  </r>
  <r>
    <x v="1"/>
    <x v="17"/>
    <x v="4"/>
    <x v="1"/>
    <x v="13"/>
    <n v="100"/>
    <n v="0.38740000000000002"/>
  </r>
  <r>
    <x v="1"/>
    <x v="18"/>
    <x v="4"/>
    <x v="0"/>
    <x v="0"/>
    <n v="104"/>
    <n v="9.69E-2"/>
  </r>
  <r>
    <x v="1"/>
    <x v="18"/>
    <x v="4"/>
    <x v="0"/>
    <x v="1"/>
    <n v="122"/>
    <n v="2.0400000000000001E-2"/>
  </r>
  <r>
    <x v="1"/>
    <x v="18"/>
    <x v="4"/>
    <x v="0"/>
    <x v="2"/>
    <n v="106"/>
    <n v="3.5299999999999998E-2"/>
  </r>
  <r>
    <x v="1"/>
    <x v="18"/>
    <x v="4"/>
    <x v="0"/>
    <x v="3"/>
    <n v="80"/>
    <n v="2.41E-2"/>
  </r>
  <r>
    <x v="1"/>
    <x v="18"/>
    <x v="4"/>
    <x v="0"/>
    <x v="4"/>
    <n v="92"/>
    <n v="4.9799999999999997E-2"/>
  </r>
  <r>
    <x v="1"/>
    <x v="18"/>
    <x v="4"/>
    <x v="0"/>
    <x v="5"/>
    <n v="93"/>
    <n v="1.03E-2"/>
  </r>
  <r>
    <x v="1"/>
    <x v="18"/>
    <x v="4"/>
    <x v="0"/>
    <x v="6"/>
    <n v="89"/>
    <n v="1.38E-2"/>
  </r>
  <r>
    <x v="1"/>
    <x v="18"/>
    <x v="4"/>
    <x v="0"/>
    <x v="7"/>
    <n v="86"/>
    <n v="3.6799999999999999E-2"/>
  </r>
  <r>
    <x v="1"/>
    <x v="18"/>
    <x v="4"/>
    <x v="0"/>
    <x v="8"/>
    <n v="115"/>
    <n v="1.3299999999999999E-2"/>
  </r>
  <r>
    <x v="1"/>
    <x v="18"/>
    <x v="4"/>
    <x v="0"/>
    <x v="9"/>
    <n v="78"/>
    <n v="1.66E-2"/>
  </r>
  <r>
    <x v="1"/>
    <x v="18"/>
    <x v="4"/>
    <x v="0"/>
    <x v="10"/>
    <n v="92"/>
    <n v="1.14E-2"/>
  </r>
  <r>
    <x v="1"/>
    <x v="18"/>
    <x v="4"/>
    <x v="0"/>
    <x v="11"/>
    <n v="88"/>
    <n v="1.6299999999999999E-2"/>
  </r>
  <r>
    <x v="1"/>
    <x v="18"/>
    <x v="4"/>
    <x v="0"/>
    <x v="12"/>
    <n v="92"/>
    <n v="2.1000000000000001E-2"/>
  </r>
  <r>
    <x v="1"/>
    <x v="18"/>
    <x v="4"/>
    <x v="0"/>
    <x v="13"/>
    <n v="118"/>
    <n v="2.58E-2"/>
  </r>
  <r>
    <x v="0"/>
    <x v="19"/>
    <x v="4"/>
    <x v="0"/>
    <x v="0"/>
    <n v="98"/>
    <n v="0.4446"/>
  </r>
  <r>
    <x v="0"/>
    <x v="19"/>
    <x v="4"/>
    <x v="0"/>
    <x v="1"/>
    <n v="99"/>
    <n v="9.8299999999999998E-2"/>
  </r>
  <r>
    <x v="0"/>
    <x v="19"/>
    <x v="4"/>
    <x v="0"/>
    <x v="2"/>
    <n v="96"/>
    <n v="0.18779999999999999"/>
  </r>
  <r>
    <x v="0"/>
    <x v="19"/>
    <x v="4"/>
    <x v="0"/>
    <x v="3"/>
    <n v="97"/>
    <n v="0.2006"/>
  </r>
  <r>
    <x v="0"/>
    <x v="19"/>
    <x v="4"/>
    <x v="0"/>
    <x v="4"/>
    <n v="103"/>
    <n v="0.31879999999999997"/>
  </r>
  <r>
    <x v="0"/>
    <x v="19"/>
    <x v="4"/>
    <x v="0"/>
    <x v="5"/>
    <n v="96"/>
    <n v="7.6499999999999999E-2"/>
  </r>
  <r>
    <x v="0"/>
    <x v="19"/>
    <x v="4"/>
    <x v="0"/>
    <x v="6"/>
    <n v="95"/>
    <n v="9.2600000000000002E-2"/>
  </r>
  <r>
    <x v="0"/>
    <x v="19"/>
    <x v="4"/>
    <x v="0"/>
    <x v="7"/>
    <n v="106"/>
    <n v="0.25169999999999998"/>
  </r>
  <r>
    <x v="0"/>
    <x v="19"/>
    <x v="4"/>
    <x v="0"/>
    <x v="8"/>
    <n v="99"/>
    <n v="6.1600000000000002E-2"/>
  </r>
  <r>
    <x v="0"/>
    <x v="19"/>
    <x v="4"/>
    <x v="0"/>
    <x v="9"/>
    <n v="96"/>
    <n v="0.15959999999999999"/>
  </r>
  <r>
    <x v="0"/>
    <x v="19"/>
    <x v="4"/>
    <x v="0"/>
    <x v="10"/>
    <n v="98"/>
    <n v="9.5299999999999996E-2"/>
  </r>
  <r>
    <x v="0"/>
    <x v="19"/>
    <x v="4"/>
    <x v="0"/>
    <x v="11"/>
    <n v="99"/>
    <n v="0.13930000000000001"/>
  </r>
  <r>
    <x v="0"/>
    <x v="19"/>
    <x v="4"/>
    <x v="0"/>
    <x v="12"/>
    <n v="102"/>
    <n v="0.1643"/>
  </r>
  <r>
    <x v="0"/>
    <x v="19"/>
    <x v="4"/>
    <x v="0"/>
    <x v="13"/>
    <n v="99"/>
    <n v="0.1341"/>
  </r>
  <r>
    <x v="0"/>
    <x v="20"/>
    <x v="4"/>
    <x v="0"/>
    <x v="0"/>
    <n v="91"/>
    <n v="0.48920000000000002"/>
  </r>
  <r>
    <x v="0"/>
    <x v="20"/>
    <x v="4"/>
    <x v="0"/>
    <x v="1"/>
    <n v="93"/>
    <n v="0.16589999999999999"/>
  </r>
  <r>
    <x v="0"/>
    <x v="20"/>
    <x v="4"/>
    <x v="0"/>
    <x v="2"/>
    <n v="95"/>
    <n v="0.28470000000000001"/>
  </r>
  <r>
    <x v="0"/>
    <x v="20"/>
    <x v="4"/>
    <x v="0"/>
    <x v="3"/>
    <n v="94"/>
    <n v="0.2475"/>
  </r>
  <r>
    <x v="0"/>
    <x v="20"/>
    <x v="4"/>
    <x v="0"/>
    <x v="4"/>
    <n v="89"/>
    <n v="0.37490000000000001"/>
  </r>
  <r>
    <x v="0"/>
    <x v="20"/>
    <x v="4"/>
    <x v="0"/>
    <x v="5"/>
    <n v="86"/>
    <n v="0.14580000000000001"/>
  </r>
  <r>
    <x v="0"/>
    <x v="20"/>
    <x v="4"/>
    <x v="0"/>
    <x v="6"/>
    <n v="86"/>
    <n v="0.154"/>
  </r>
  <r>
    <x v="0"/>
    <x v="20"/>
    <x v="4"/>
    <x v="0"/>
    <x v="7"/>
    <n v="91"/>
    <n v="0.3382"/>
  </r>
  <r>
    <x v="0"/>
    <x v="20"/>
    <x v="4"/>
    <x v="0"/>
    <x v="8"/>
    <n v="88"/>
    <n v="0.1042"/>
  </r>
  <r>
    <x v="0"/>
    <x v="20"/>
    <x v="4"/>
    <x v="0"/>
    <x v="9"/>
    <n v="95"/>
    <n v="0.217"/>
  </r>
  <r>
    <x v="0"/>
    <x v="20"/>
    <x v="4"/>
    <x v="0"/>
    <x v="10"/>
    <n v="87"/>
    <n v="0.18509999999999999"/>
  </r>
  <r>
    <x v="0"/>
    <x v="20"/>
    <x v="4"/>
    <x v="0"/>
    <x v="11"/>
    <n v="89"/>
    <n v="0.21990000000000001"/>
  </r>
  <r>
    <x v="0"/>
    <x v="20"/>
    <x v="4"/>
    <x v="0"/>
    <x v="12"/>
    <n v="90"/>
    <n v="0.2417"/>
  </r>
  <r>
    <x v="0"/>
    <x v="20"/>
    <x v="4"/>
    <x v="0"/>
    <x v="13"/>
    <n v="92"/>
    <n v="0.21440000000000001"/>
  </r>
  <r>
    <x v="0"/>
    <x v="21"/>
    <x v="4"/>
    <x v="0"/>
    <x v="0"/>
    <n v="33"/>
    <n v="4.7999999999999996E-3"/>
  </r>
  <r>
    <x v="0"/>
    <x v="21"/>
    <x v="4"/>
    <x v="0"/>
    <x v="1"/>
    <n v="33"/>
    <n v="6.9999999999999999E-4"/>
  </r>
  <r>
    <x v="0"/>
    <x v="21"/>
    <x v="4"/>
    <x v="0"/>
    <x v="2"/>
    <n v="35"/>
    <n v="2.3E-3"/>
  </r>
  <r>
    <x v="0"/>
    <x v="21"/>
    <x v="4"/>
    <x v="0"/>
    <x v="3"/>
    <n v="29"/>
    <n v="1.5E-3"/>
  </r>
  <r>
    <x v="0"/>
    <x v="21"/>
    <x v="4"/>
    <x v="0"/>
    <x v="4"/>
    <n v="33"/>
    <n v="3.3E-3"/>
  </r>
  <r>
    <x v="0"/>
    <x v="21"/>
    <x v="4"/>
    <x v="0"/>
    <x v="5"/>
    <n v="33"/>
    <n v="8.0000000000000004E-4"/>
  </r>
  <r>
    <x v="0"/>
    <x v="21"/>
    <x v="4"/>
    <x v="0"/>
    <x v="6"/>
    <n v="36"/>
    <n v="8.0000000000000004E-4"/>
  </r>
  <r>
    <x v="0"/>
    <x v="21"/>
    <x v="4"/>
    <x v="0"/>
    <x v="7"/>
    <n v="34"/>
    <n v="3.0000000000000001E-3"/>
  </r>
  <r>
    <x v="0"/>
    <x v="21"/>
    <x v="4"/>
    <x v="0"/>
    <x v="8"/>
    <n v="34"/>
    <n v="2.0000000000000001E-4"/>
  </r>
  <r>
    <x v="0"/>
    <x v="21"/>
    <x v="4"/>
    <x v="0"/>
    <x v="9"/>
    <n v="31"/>
    <n v="1.2999999999999999E-3"/>
  </r>
  <r>
    <x v="0"/>
    <x v="21"/>
    <x v="4"/>
    <x v="0"/>
    <x v="10"/>
    <n v="32"/>
    <n v="8.9999999999999998E-4"/>
  </r>
  <r>
    <x v="0"/>
    <x v="21"/>
    <x v="4"/>
    <x v="0"/>
    <x v="11"/>
    <n v="35"/>
    <n v="1.6000000000000001E-3"/>
  </r>
  <r>
    <x v="0"/>
    <x v="21"/>
    <x v="4"/>
    <x v="0"/>
    <x v="12"/>
    <n v="35"/>
    <n v="1.9E-3"/>
  </r>
  <r>
    <x v="0"/>
    <x v="21"/>
    <x v="4"/>
    <x v="0"/>
    <x v="13"/>
    <n v="31"/>
    <n v="1.2999999999999999E-3"/>
  </r>
  <r>
    <x v="1"/>
    <x v="22"/>
    <x v="4"/>
    <x v="0"/>
    <x v="0"/>
    <n v="89"/>
    <n v="3.5999999999999999E-3"/>
  </r>
  <r>
    <x v="1"/>
    <x v="22"/>
    <x v="4"/>
    <x v="0"/>
    <x v="1"/>
    <n v="114"/>
    <n v="2.9999999999999997E-4"/>
  </r>
  <r>
    <x v="1"/>
    <x v="22"/>
    <x v="4"/>
    <x v="0"/>
    <x v="2"/>
    <n v="99"/>
    <n v="1E-3"/>
  </r>
  <r>
    <x v="1"/>
    <x v="22"/>
    <x v="4"/>
    <x v="0"/>
    <x v="3"/>
    <n v="92"/>
    <n v="5.0000000000000001E-4"/>
  </r>
  <r>
    <x v="1"/>
    <x v="22"/>
    <x v="4"/>
    <x v="0"/>
    <x v="4"/>
    <n v="86"/>
    <n v="1.6000000000000001E-3"/>
  </r>
  <r>
    <x v="1"/>
    <x v="22"/>
    <x v="4"/>
    <x v="0"/>
    <x v="5"/>
    <n v="68"/>
    <n v="2.9999999999999997E-4"/>
  </r>
  <r>
    <x v="1"/>
    <x v="22"/>
    <x v="4"/>
    <x v="0"/>
    <x v="6"/>
    <n v="83"/>
    <n v="4.0000000000000002E-4"/>
  </r>
  <r>
    <x v="1"/>
    <x v="22"/>
    <x v="4"/>
    <x v="0"/>
    <x v="7"/>
    <n v="78"/>
    <n v="1.1999999999999999E-3"/>
  </r>
  <r>
    <x v="1"/>
    <x v="22"/>
    <x v="4"/>
    <x v="0"/>
    <x v="8"/>
    <n v="91"/>
    <n v="1E-4"/>
  </r>
  <r>
    <x v="1"/>
    <x v="22"/>
    <x v="4"/>
    <x v="0"/>
    <x v="9"/>
    <n v="104"/>
    <n v="4.0000000000000002E-4"/>
  </r>
  <r>
    <x v="1"/>
    <x v="22"/>
    <x v="4"/>
    <x v="0"/>
    <x v="10"/>
    <n v="78"/>
    <n v="2.0000000000000001E-4"/>
  </r>
  <r>
    <x v="1"/>
    <x v="22"/>
    <x v="4"/>
    <x v="0"/>
    <x v="11"/>
    <n v="99"/>
    <n v="4.0000000000000002E-4"/>
  </r>
  <r>
    <x v="1"/>
    <x v="22"/>
    <x v="4"/>
    <x v="0"/>
    <x v="12"/>
    <n v="83"/>
    <n v="4.0000000000000002E-4"/>
  </r>
  <r>
    <x v="1"/>
    <x v="22"/>
    <x v="4"/>
    <x v="0"/>
    <x v="13"/>
    <n v="101"/>
    <n v="4.0000000000000002E-4"/>
  </r>
  <r>
    <x v="0"/>
    <x v="23"/>
    <x v="4"/>
    <x v="0"/>
    <x v="0"/>
    <n v="102"/>
    <n v="0.30199999999999999"/>
  </r>
  <r>
    <x v="0"/>
    <x v="23"/>
    <x v="4"/>
    <x v="0"/>
    <x v="1"/>
    <n v="107"/>
    <n v="2.93E-2"/>
  </r>
  <r>
    <x v="0"/>
    <x v="23"/>
    <x v="4"/>
    <x v="0"/>
    <x v="2"/>
    <n v="108"/>
    <n v="9.8500000000000004E-2"/>
  </r>
  <r>
    <x v="0"/>
    <x v="23"/>
    <x v="4"/>
    <x v="0"/>
    <x v="3"/>
    <n v="106"/>
    <n v="9.4200000000000006E-2"/>
  </r>
  <r>
    <x v="0"/>
    <x v="23"/>
    <x v="4"/>
    <x v="0"/>
    <x v="4"/>
    <n v="101"/>
    <n v="0.21160000000000001"/>
  </r>
  <r>
    <x v="0"/>
    <x v="23"/>
    <x v="4"/>
    <x v="0"/>
    <x v="5"/>
    <n v="95"/>
    <n v="5.4100000000000002E-2"/>
  </r>
  <r>
    <x v="0"/>
    <x v="23"/>
    <x v="4"/>
    <x v="0"/>
    <x v="6"/>
    <n v="98"/>
    <n v="4.99E-2"/>
  </r>
  <r>
    <x v="0"/>
    <x v="23"/>
    <x v="4"/>
    <x v="0"/>
    <x v="7"/>
    <n v="103"/>
    <n v="0.15279999999999999"/>
  </r>
  <r>
    <x v="0"/>
    <x v="23"/>
    <x v="4"/>
    <x v="0"/>
    <x v="8"/>
    <n v="102"/>
    <n v="2.24E-2"/>
  </r>
  <r>
    <x v="0"/>
    <x v="23"/>
    <x v="4"/>
    <x v="0"/>
    <x v="9"/>
    <n v="107"/>
    <n v="7.6700000000000004E-2"/>
  </r>
  <r>
    <x v="0"/>
    <x v="23"/>
    <x v="4"/>
    <x v="0"/>
    <x v="10"/>
    <n v="101"/>
    <n v="7.7100000000000002E-2"/>
  </r>
  <r>
    <x v="0"/>
    <x v="23"/>
    <x v="4"/>
    <x v="0"/>
    <x v="11"/>
    <n v="98"/>
    <n v="8.3900000000000002E-2"/>
  </r>
  <r>
    <x v="0"/>
    <x v="23"/>
    <x v="4"/>
    <x v="0"/>
    <x v="12"/>
    <n v="100"/>
    <n v="9.7699999999999995E-2"/>
  </r>
  <r>
    <x v="0"/>
    <x v="23"/>
    <x v="4"/>
    <x v="0"/>
    <x v="13"/>
    <n v="103"/>
    <n v="4.8500000000000001E-2"/>
  </r>
  <r>
    <x v="0"/>
    <x v="24"/>
    <x v="4"/>
    <x v="0"/>
    <x v="0"/>
    <n v="105"/>
    <n v="0.1396"/>
  </r>
  <r>
    <x v="0"/>
    <x v="24"/>
    <x v="4"/>
    <x v="0"/>
    <x v="1"/>
    <n v="103"/>
    <n v="1.8599999999999998E-2"/>
  </r>
  <r>
    <x v="0"/>
    <x v="24"/>
    <x v="4"/>
    <x v="0"/>
    <x v="2"/>
    <n v="105"/>
    <n v="5.2400000000000002E-2"/>
  </r>
  <r>
    <x v="0"/>
    <x v="24"/>
    <x v="4"/>
    <x v="0"/>
    <x v="3"/>
    <n v="106"/>
    <n v="4.48E-2"/>
  </r>
  <r>
    <x v="0"/>
    <x v="24"/>
    <x v="4"/>
    <x v="0"/>
    <x v="4"/>
    <n v="104"/>
    <n v="8.7099999999999997E-2"/>
  </r>
  <r>
    <x v="0"/>
    <x v="24"/>
    <x v="4"/>
    <x v="0"/>
    <x v="5"/>
    <n v="106"/>
    <n v="2.5399999999999999E-2"/>
  </r>
  <r>
    <x v="0"/>
    <x v="24"/>
    <x v="4"/>
    <x v="0"/>
    <x v="6"/>
    <n v="103"/>
    <n v="2.46E-2"/>
  </r>
  <r>
    <x v="0"/>
    <x v="24"/>
    <x v="4"/>
    <x v="0"/>
    <x v="7"/>
    <n v="109"/>
    <n v="6.9599999999999995E-2"/>
  </r>
  <r>
    <x v="0"/>
    <x v="24"/>
    <x v="4"/>
    <x v="0"/>
    <x v="8"/>
    <n v="96"/>
    <n v="1.12E-2"/>
  </r>
  <r>
    <x v="0"/>
    <x v="24"/>
    <x v="4"/>
    <x v="0"/>
    <x v="9"/>
    <n v="106"/>
    <n v="3.4700000000000002E-2"/>
  </r>
  <r>
    <x v="0"/>
    <x v="24"/>
    <x v="4"/>
    <x v="0"/>
    <x v="10"/>
    <n v="104"/>
    <n v="2.69E-2"/>
  </r>
  <r>
    <x v="0"/>
    <x v="24"/>
    <x v="4"/>
    <x v="0"/>
    <x v="11"/>
    <n v="105"/>
    <n v="3.4799999999999998E-2"/>
  </r>
  <r>
    <x v="0"/>
    <x v="24"/>
    <x v="4"/>
    <x v="0"/>
    <x v="12"/>
    <n v="105"/>
    <n v="4.1099999999999998E-2"/>
  </r>
  <r>
    <x v="0"/>
    <x v="24"/>
    <x v="4"/>
    <x v="0"/>
    <x v="13"/>
    <n v="103"/>
    <n v="2.9100000000000001E-2"/>
  </r>
  <r>
    <x v="0"/>
    <x v="25"/>
    <x v="4"/>
    <x v="0"/>
    <x v="0"/>
    <n v="111"/>
    <n v="0.1154"/>
  </r>
  <r>
    <x v="0"/>
    <x v="25"/>
    <x v="4"/>
    <x v="0"/>
    <x v="1"/>
    <n v="110"/>
    <n v="9.2999999999999992E-3"/>
  </r>
  <r>
    <x v="0"/>
    <x v="25"/>
    <x v="4"/>
    <x v="0"/>
    <x v="2"/>
    <n v="113"/>
    <n v="3.39E-2"/>
  </r>
  <r>
    <x v="0"/>
    <x v="25"/>
    <x v="4"/>
    <x v="0"/>
    <x v="3"/>
    <n v="109"/>
    <n v="2.5000000000000001E-2"/>
  </r>
  <r>
    <x v="0"/>
    <x v="25"/>
    <x v="4"/>
    <x v="0"/>
    <x v="4"/>
    <n v="112"/>
    <n v="6.7400000000000002E-2"/>
  </r>
  <r>
    <x v="0"/>
    <x v="25"/>
    <x v="4"/>
    <x v="0"/>
    <x v="5"/>
    <n v="115"/>
    <n v="2.0500000000000001E-2"/>
  </r>
  <r>
    <x v="0"/>
    <x v="25"/>
    <x v="4"/>
    <x v="0"/>
    <x v="6"/>
    <n v="111"/>
    <n v="2.1999999999999999E-2"/>
  </r>
  <r>
    <x v="0"/>
    <x v="25"/>
    <x v="4"/>
    <x v="0"/>
    <x v="7"/>
    <n v="108"/>
    <n v="5.3400000000000003E-2"/>
  </r>
  <r>
    <x v="0"/>
    <x v="25"/>
    <x v="4"/>
    <x v="0"/>
    <x v="8"/>
    <n v="103"/>
    <n v="7.9000000000000008E-3"/>
  </r>
  <r>
    <x v="0"/>
    <x v="25"/>
    <x v="4"/>
    <x v="0"/>
    <x v="9"/>
    <n v="109"/>
    <n v="2.06E-2"/>
  </r>
  <r>
    <x v="0"/>
    <x v="25"/>
    <x v="4"/>
    <x v="0"/>
    <x v="10"/>
    <n v="116"/>
    <n v="2.1299999999999999E-2"/>
  </r>
  <r>
    <x v="0"/>
    <x v="25"/>
    <x v="4"/>
    <x v="0"/>
    <x v="11"/>
    <n v="112"/>
    <n v="2.52E-2"/>
  </r>
  <r>
    <x v="0"/>
    <x v="25"/>
    <x v="4"/>
    <x v="0"/>
    <x v="12"/>
    <n v="112"/>
    <n v="2.8899999999999999E-2"/>
  </r>
  <r>
    <x v="0"/>
    <x v="25"/>
    <x v="4"/>
    <x v="0"/>
    <x v="13"/>
    <n v="110"/>
    <n v="1.8800000000000001E-2"/>
  </r>
  <r>
    <x v="1"/>
    <x v="26"/>
    <x v="4"/>
    <x v="0"/>
    <x v="0"/>
    <n v="103"/>
    <n v="9.3799999999999994E-2"/>
  </r>
  <r>
    <x v="1"/>
    <x v="26"/>
    <x v="4"/>
    <x v="0"/>
    <x v="1"/>
    <n v="100"/>
    <n v="6.7999999999999996E-3"/>
  </r>
  <r>
    <x v="1"/>
    <x v="26"/>
    <x v="4"/>
    <x v="0"/>
    <x v="2"/>
    <n v="103"/>
    <n v="2.47E-2"/>
  </r>
  <r>
    <x v="1"/>
    <x v="26"/>
    <x v="4"/>
    <x v="0"/>
    <x v="3"/>
    <n v="97"/>
    <n v="1.7500000000000002E-2"/>
  </r>
  <r>
    <x v="1"/>
    <x v="26"/>
    <x v="4"/>
    <x v="0"/>
    <x v="4"/>
    <n v="102"/>
    <n v="4.9700000000000001E-2"/>
  </r>
  <r>
    <x v="1"/>
    <x v="26"/>
    <x v="4"/>
    <x v="0"/>
    <x v="5"/>
    <n v="103"/>
    <n v="1.34E-2"/>
  </r>
  <r>
    <x v="1"/>
    <x v="26"/>
    <x v="4"/>
    <x v="0"/>
    <x v="6"/>
    <n v="103"/>
    <n v="1.6199999999999999E-2"/>
  </r>
  <r>
    <x v="1"/>
    <x v="26"/>
    <x v="4"/>
    <x v="0"/>
    <x v="7"/>
    <n v="105"/>
    <n v="4.6199999999999998E-2"/>
  </r>
  <r>
    <x v="1"/>
    <x v="26"/>
    <x v="4"/>
    <x v="0"/>
    <x v="8"/>
    <n v="104"/>
    <n v="6.6E-3"/>
  </r>
  <r>
    <x v="1"/>
    <x v="26"/>
    <x v="4"/>
    <x v="0"/>
    <x v="9"/>
    <n v="101"/>
    <n v="1.2800000000000001E-2"/>
  </r>
  <r>
    <x v="1"/>
    <x v="26"/>
    <x v="4"/>
    <x v="0"/>
    <x v="10"/>
    <n v="102"/>
    <n v="1.21E-2"/>
  </r>
  <r>
    <x v="1"/>
    <x v="26"/>
    <x v="4"/>
    <x v="0"/>
    <x v="11"/>
    <n v="98"/>
    <n v="1.5800000000000002E-2"/>
  </r>
  <r>
    <x v="1"/>
    <x v="26"/>
    <x v="4"/>
    <x v="0"/>
    <x v="12"/>
    <n v="109"/>
    <n v="1.9199999999999998E-2"/>
  </r>
  <r>
    <x v="1"/>
    <x v="26"/>
    <x v="4"/>
    <x v="0"/>
    <x v="13"/>
    <n v="100"/>
    <n v="1.4E-2"/>
  </r>
  <r>
    <x v="1"/>
    <x v="27"/>
    <x v="4"/>
    <x v="1"/>
    <x v="0"/>
    <n v="88"/>
    <n v="0.55020000000000002"/>
  </r>
  <r>
    <x v="1"/>
    <x v="27"/>
    <x v="4"/>
    <x v="1"/>
    <x v="1"/>
    <n v="74"/>
    <n v="0.1205"/>
  </r>
  <r>
    <x v="1"/>
    <x v="27"/>
    <x v="4"/>
    <x v="1"/>
    <x v="2"/>
    <n v="85"/>
    <n v="0.23069999999999999"/>
  </r>
  <r>
    <x v="1"/>
    <x v="27"/>
    <x v="4"/>
    <x v="1"/>
    <x v="3"/>
    <n v="82"/>
    <n v="0.1794"/>
  </r>
  <r>
    <x v="1"/>
    <x v="27"/>
    <x v="4"/>
    <x v="1"/>
    <x v="4"/>
    <n v="93"/>
    <n v="0.4103"/>
  </r>
  <r>
    <x v="1"/>
    <x v="27"/>
    <x v="4"/>
    <x v="1"/>
    <x v="5"/>
    <n v="97"/>
    <n v="0.12809999999999999"/>
  </r>
  <r>
    <x v="1"/>
    <x v="27"/>
    <x v="4"/>
    <x v="1"/>
    <x v="6"/>
    <n v="89"/>
    <n v="0.13519999999999999"/>
  </r>
  <r>
    <x v="1"/>
    <x v="27"/>
    <x v="4"/>
    <x v="1"/>
    <x v="7"/>
    <n v="93"/>
    <n v="0.28170000000000001"/>
  </r>
  <r>
    <x v="1"/>
    <x v="27"/>
    <x v="4"/>
    <x v="1"/>
    <x v="8"/>
    <n v="75"/>
    <n v="8.3900000000000002E-2"/>
  </r>
  <r>
    <x v="1"/>
    <x v="27"/>
    <x v="4"/>
    <x v="1"/>
    <x v="9"/>
    <n v="83"/>
    <n v="0.14269999999999999"/>
  </r>
  <r>
    <x v="1"/>
    <x v="27"/>
    <x v="4"/>
    <x v="1"/>
    <x v="10"/>
    <n v="95"/>
    <n v="0.1573"/>
  </r>
  <r>
    <x v="1"/>
    <x v="27"/>
    <x v="4"/>
    <x v="1"/>
    <x v="11"/>
    <n v="91"/>
    <n v="0.2185"/>
  </r>
  <r>
    <x v="1"/>
    <x v="27"/>
    <x v="4"/>
    <x v="1"/>
    <x v="12"/>
    <n v="91"/>
    <n v="0.19689999999999999"/>
  </r>
  <r>
    <x v="1"/>
    <x v="27"/>
    <x v="4"/>
    <x v="1"/>
    <x v="13"/>
    <n v="76"/>
    <n v="0.16830000000000001"/>
  </r>
  <r>
    <x v="0"/>
    <x v="29"/>
    <x v="4"/>
    <x v="0"/>
    <x v="0"/>
    <n v="114"/>
    <n v="0.13869999999999999"/>
  </r>
  <r>
    <x v="0"/>
    <x v="29"/>
    <x v="4"/>
    <x v="0"/>
    <x v="1"/>
    <n v="115"/>
    <n v="1.83E-2"/>
  </r>
  <r>
    <x v="0"/>
    <x v="29"/>
    <x v="4"/>
    <x v="0"/>
    <x v="2"/>
    <n v="120"/>
    <n v="4.8000000000000001E-2"/>
  </r>
  <r>
    <x v="0"/>
    <x v="29"/>
    <x v="4"/>
    <x v="0"/>
    <x v="3"/>
    <n v="115"/>
    <n v="4.2700000000000002E-2"/>
  </r>
  <r>
    <x v="0"/>
    <x v="29"/>
    <x v="4"/>
    <x v="0"/>
    <x v="4"/>
    <n v="113"/>
    <n v="8.3299999999999999E-2"/>
  </r>
  <r>
    <x v="0"/>
    <x v="29"/>
    <x v="4"/>
    <x v="0"/>
    <x v="5"/>
    <n v="113"/>
    <n v="2.2700000000000001E-2"/>
  </r>
  <r>
    <x v="0"/>
    <x v="29"/>
    <x v="4"/>
    <x v="0"/>
    <x v="6"/>
    <n v="109"/>
    <n v="2.7E-2"/>
  </r>
  <r>
    <x v="0"/>
    <x v="29"/>
    <x v="4"/>
    <x v="0"/>
    <x v="7"/>
    <n v="114"/>
    <n v="6.7299999999999999E-2"/>
  </r>
  <r>
    <x v="0"/>
    <x v="29"/>
    <x v="4"/>
    <x v="0"/>
    <x v="8"/>
    <n v="115"/>
    <n v="1.41E-2"/>
  </r>
  <r>
    <x v="0"/>
    <x v="29"/>
    <x v="4"/>
    <x v="0"/>
    <x v="9"/>
    <n v="114"/>
    <n v="3.32E-2"/>
  </r>
  <r>
    <x v="0"/>
    <x v="29"/>
    <x v="4"/>
    <x v="0"/>
    <x v="10"/>
    <n v="115"/>
    <n v="2.3900000000000001E-2"/>
  </r>
  <r>
    <x v="0"/>
    <x v="29"/>
    <x v="4"/>
    <x v="0"/>
    <x v="11"/>
    <n v="114"/>
    <n v="3.1899999999999998E-2"/>
  </r>
  <r>
    <x v="0"/>
    <x v="29"/>
    <x v="4"/>
    <x v="0"/>
    <x v="12"/>
    <n v="111"/>
    <n v="3.8800000000000001E-2"/>
  </r>
  <r>
    <x v="0"/>
    <x v="29"/>
    <x v="4"/>
    <x v="0"/>
    <x v="13"/>
    <n v="115"/>
    <n v="3.0200000000000001E-2"/>
  </r>
  <r>
    <x v="0"/>
    <x v="30"/>
    <x v="4"/>
    <x v="0"/>
    <x v="0"/>
    <n v="116"/>
    <n v="6.6299999999999998E-2"/>
  </r>
  <r>
    <x v="0"/>
    <x v="30"/>
    <x v="4"/>
    <x v="0"/>
    <x v="1"/>
    <n v="89"/>
    <n v="3.7000000000000002E-3"/>
  </r>
  <r>
    <x v="0"/>
    <x v="30"/>
    <x v="4"/>
    <x v="0"/>
    <x v="2"/>
    <n v="89"/>
    <n v="9.7999999999999997E-3"/>
  </r>
  <r>
    <x v="0"/>
    <x v="30"/>
    <x v="4"/>
    <x v="0"/>
    <x v="3"/>
    <n v="101"/>
    <n v="1.1900000000000001E-2"/>
  </r>
  <r>
    <x v="0"/>
    <x v="30"/>
    <x v="4"/>
    <x v="0"/>
    <x v="4"/>
    <n v="123"/>
    <n v="0.04"/>
  </r>
  <r>
    <x v="0"/>
    <x v="30"/>
    <x v="4"/>
    <x v="0"/>
    <x v="5"/>
    <n v="117"/>
    <n v="1.04E-2"/>
  </r>
  <r>
    <x v="0"/>
    <x v="30"/>
    <x v="4"/>
    <x v="0"/>
    <x v="6"/>
    <n v="120"/>
    <n v="1.1599999999999999E-2"/>
  </r>
  <r>
    <x v="0"/>
    <x v="30"/>
    <x v="4"/>
    <x v="0"/>
    <x v="7"/>
    <n v="117"/>
    <n v="2.3199999999999998E-2"/>
  </r>
  <r>
    <x v="0"/>
    <x v="30"/>
    <x v="4"/>
    <x v="0"/>
    <x v="8"/>
    <n v="125"/>
    <n v="4.1999999999999997E-3"/>
  </r>
  <r>
    <x v="0"/>
    <x v="30"/>
    <x v="4"/>
    <x v="0"/>
    <x v="9"/>
    <n v="95"/>
    <n v="7.1999999999999998E-3"/>
  </r>
  <r>
    <x v="0"/>
    <x v="30"/>
    <x v="4"/>
    <x v="0"/>
    <x v="10"/>
    <n v="123"/>
    <n v="1.06E-2"/>
  </r>
  <r>
    <x v="0"/>
    <x v="30"/>
    <x v="4"/>
    <x v="0"/>
    <x v="11"/>
    <n v="127"/>
    <n v="1.3899999999999999E-2"/>
  </r>
  <r>
    <x v="0"/>
    <x v="30"/>
    <x v="4"/>
    <x v="0"/>
    <x v="12"/>
    <n v="124"/>
    <n v="1.5800000000000002E-2"/>
  </r>
  <r>
    <x v="0"/>
    <x v="30"/>
    <x v="4"/>
    <x v="0"/>
    <x v="13"/>
    <n v="106"/>
    <n v="7.7000000000000002E-3"/>
  </r>
  <r>
    <x v="0"/>
    <x v="31"/>
    <x v="4"/>
    <x v="0"/>
    <x v="0"/>
    <n v="115"/>
    <n v="0.33179999999999998"/>
  </r>
  <r>
    <x v="0"/>
    <x v="31"/>
    <x v="4"/>
    <x v="0"/>
    <x v="1"/>
    <n v="114"/>
    <n v="6.3299999999999995E-2"/>
  </r>
  <r>
    <x v="0"/>
    <x v="31"/>
    <x v="4"/>
    <x v="0"/>
    <x v="2"/>
    <n v="118"/>
    <n v="0.14030000000000001"/>
  </r>
  <r>
    <x v="0"/>
    <x v="31"/>
    <x v="4"/>
    <x v="0"/>
    <x v="3"/>
    <n v="114"/>
    <n v="0.1258"/>
  </r>
  <r>
    <x v="0"/>
    <x v="31"/>
    <x v="4"/>
    <x v="0"/>
    <x v="4"/>
    <n v="116"/>
    <n v="0.23069999999999999"/>
  </r>
  <r>
    <x v="0"/>
    <x v="31"/>
    <x v="4"/>
    <x v="0"/>
    <x v="5"/>
    <n v="108"/>
    <n v="7.0499999999999993E-2"/>
  </r>
  <r>
    <x v="0"/>
    <x v="31"/>
    <x v="4"/>
    <x v="0"/>
    <x v="6"/>
    <n v="107"/>
    <n v="7.6799999999999993E-2"/>
  </r>
  <r>
    <x v="0"/>
    <x v="31"/>
    <x v="4"/>
    <x v="0"/>
    <x v="7"/>
    <n v="116"/>
    <n v="0.20069999999999999"/>
  </r>
  <r>
    <x v="0"/>
    <x v="31"/>
    <x v="4"/>
    <x v="0"/>
    <x v="8"/>
    <n v="108"/>
    <n v="4.4200000000000003E-2"/>
  </r>
  <r>
    <x v="0"/>
    <x v="31"/>
    <x v="4"/>
    <x v="0"/>
    <x v="9"/>
    <n v="115"/>
    <n v="9.9599999999999994E-2"/>
  </r>
  <r>
    <x v="0"/>
    <x v="31"/>
    <x v="4"/>
    <x v="0"/>
    <x v="10"/>
    <n v="111"/>
    <n v="8.6499999999999994E-2"/>
  </r>
  <r>
    <x v="0"/>
    <x v="31"/>
    <x v="4"/>
    <x v="0"/>
    <x v="11"/>
    <n v="114"/>
    <n v="0.11360000000000001"/>
  </r>
  <r>
    <x v="0"/>
    <x v="31"/>
    <x v="4"/>
    <x v="0"/>
    <x v="12"/>
    <n v="117"/>
    <n v="0.1336"/>
  </r>
  <r>
    <x v="0"/>
    <x v="31"/>
    <x v="4"/>
    <x v="0"/>
    <x v="13"/>
    <n v="114"/>
    <n v="9.3799999999999994E-2"/>
  </r>
  <r>
    <x v="0"/>
    <x v="32"/>
    <x v="4"/>
    <x v="0"/>
    <x v="0"/>
    <n v="20"/>
    <n v="3.8E-3"/>
  </r>
  <r>
    <x v="0"/>
    <x v="32"/>
    <x v="4"/>
    <x v="0"/>
    <x v="1"/>
    <n v="21"/>
    <n v="2.9999999999999997E-4"/>
  </r>
  <r>
    <x v="0"/>
    <x v="32"/>
    <x v="4"/>
    <x v="0"/>
    <x v="2"/>
    <n v="23"/>
    <n v="1.4E-3"/>
  </r>
  <r>
    <x v="0"/>
    <x v="32"/>
    <x v="4"/>
    <x v="0"/>
    <x v="3"/>
    <n v="25"/>
    <n v="1E-3"/>
  </r>
  <r>
    <x v="0"/>
    <x v="32"/>
    <x v="4"/>
    <x v="0"/>
    <x v="4"/>
    <n v="21"/>
    <n v="2.7000000000000001E-3"/>
  </r>
  <r>
    <x v="0"/>
    <x v="32"/>
    <x v="4"/>
    <x v="0"/>
    <x v="5"/>
    <n v="24"/>
    <n v="6.9999999999999999E-4"/>
  </r>
  <r>
    <x v="0"/>
    <x v="32"/>
    <x v="4"/>
    <x v="0"/>
    <x v="6"/>
    <n v="27"/>
    <n v="6.9999999999999999E-4"/>
  </r>
  <r>
    <x v="0"/>
    <x v="32"/>
    <x v="4"/>
    <x v="0"/>
    <x v="7"/>
    <n v="21"/>
    <n v="2.2000000000000001E-3"/>
  </r>
  <r>
    <x v="0"/>
    <x v="32"/>
    <x v="4"/>
    <x v="0"/>
    <x v="8"/>
    <n v="23"/>
    <n v="2.0000000000000001E-4"/>
  </r>
  <r>
    <x v="0"/>
    <x v="32"/>
    <x v="4"/>
    <x v="0"/>
    <x v="9"/>
    <n v="24"/>
    <n v="8.0000000000000004E-4"/>
  </r>
  <r>
    <x v="0"/>
    <x v="32"/>
    <x v="4"/>
    <x v="0"/>
    <x v="10"/>
    <n v="23"/>
    <n v="8.0000000000000004E-4"/>
  </r>
  <r>
    <x v="0"/>
    <x v="32"/>
    <x v="4"/>
    <x v="0"/>
    <x v="11"/>
    <n v="23"/>
    <n v="1.2999999999999999E-3"/>
  </r>
  <r>
    <x v="0"/>
    <x v="32"/>
    <x v="4"/>
    <x v="0"/>
    <x v="12"/>
    <n v="26"/>
    <n v="1.4E-3"/>
  </r>
  <r>
    <x v="0"/>
    <x v="32"/>
    <x v="4"/>
    <x v="0"/>
    <x v="13"/>
    <n v="23"/>
    <n v="8.0000000000000004E-4"/>
  </r>
  <r>
    <x v="1"/>
    <x v="33"/>
    <x v="4"/>
    <x v="0"/>
    <x v="0"/>
    <n v="107"/>
    <n v="0.1069"/>
  </r>
  <r>
    <x v="1"/>
    <x v="33"/>
    <x v="4"/>
    <x v="0"/>
    <x v="1"/>
    <n v="109"/>
    <n v="1.2699999999999999E-2"/>
  </r>
  <r>
    <x v="1"/>
    <x v="33"/>
    <x v="4"/>
    <x v="0"/>
    <x v="2"/>
    <n v="110"/>
    <n v="3.4700000000000002E-2"/>
  </r>
  <r>
    <x v="1"/>
    <x v="33"/>
    <x v="4"/>
    <x v="0"/>
    <x v="3"/>
    <n v="106"/>
    <n v="2.75E-2"/>
  </r>
  <r>
    <x v="1"/>
    <x v="33"/>
    <x v="4"/>
    <x v="0"/>
    <x v="4"/>
    <n v="109"/>
    <n v="6.13E-2"/>
  </r>
  <r>
    <x v="1"/>
    <x v="33"/>
    <x v="4"/>
    <x v="0"/>
    <x v="5"/>
    <n v="108"/>
    <n v="1.78E-2"/>
  </r>
  <r>
    <x v="1"/>
    <x v="33"/>
    <x v="4"/>
    <x v="0"/>
    <x v="6"/>
    <n v="103"/>
    <n v="0.02"/>
  </r>
  <r>
    <x v="1"/>
    <x v="33"/>
    <x v="4"/>
    <x v="0"/>
    <x v="7"/>
    <n v="102"/>
    <n v="4.3299999999999998E-2"/>
  </r>
  <r>
    <x v="1"/>
    <x v="33"/>
    <x v="4"/>
    <x v="0"/>
    <x v="8"/>
    <n v="103"/>
    <n v="9.4000000000000004E-3"/>
  </r>
  <r>
    <x v="1"/>
    <x v="33"/>
    <x v="4"/>
    <x v="0"/>
    <x v="9"/>
    <n v="107"/>
    <n v="2.06E-2"/>
  </r>
  <r>
    <x v="1"/>
    <x v="33"/>
    <x v="4"/>
    <x v="0"/>
    <x v="10"/>
    <n v="110"/>
    <n v="1.7500000000000002E-2"/>
  </r>
  <r>
    <x v="1"/>
    <x v="33"/>
    <x v="4"/>
    <x v="0"/>
    <x v="11"/>
    <n v="109"/>
    <n v="2.2499999999999999E-2"/>
  </r>
  <r>
    <x v="1"/>
    <x v="33"/>
    <x v="4"/>
    <x v="0"/>
    <x v="12"/>
    <n v="109"/>
    <n v="2.6599999999999999E-2"/>
  </r>
  <r>
    <x v="1"/>
    <x v="33"/>
    <x v="4"/>
    <x v="0"/>
    <x v="13"/>
    <n v="103"/>
    <n v="2.07E-2"/>
  </r>
  <r>
    <x v="1"/>
    <x v="34"/>
    <x v="4"/>
    <x v="0"/>
    <x v="0"/>
    <n v="74"/>
    <n v="0.19850000000000001"/>
  </r>
  <r>
    <x v="1"/>
    <x v="34"/>
    <x v="4"/>
    <x v="0"/>
    <x v="1"/>
    <n v="78"/>
    <n v="2.3099999999999999E-2"/>
  </r>
  <r>
    <x v="1"/>
    <x v="34"/>
    <x v="4"/>
    <x v="0"/>
    <x v="2"/>
    <n v="81"/>
    <n v="5.9499999999999997E-2"/>
  </r>
  <r>
    <x v="1"/>
    <x v="34"/>
    <x v="4"/>
    <x v="0"/>
    <x v="3"/>
    <n v="70"/>
    <n v="5.0999999999999997E-2"/>
  </r>
  <r>
    <x v="1"/>
    <x v="34"/>
    <x v="4"/>
    <x v="0"/>
    <x v="4"/>
    <n v="69"/>
    <n v="0.1183"/>
  </r>
  <r>
    <x v="1"/>
    <x v="34"/>
    <x v="4"/>
    <x v="0"/>
    <x v="5"/>
    <n v="66"/>
    <n v="1.9099999999999999E-2"/>
  </r>
  <r>
    <x v="1"/>
    <x v="34"/>
    <x v="4"/>
    <x v="0"/>
    <x v="6"/>
    <n v="69"/>
    <n v="2.4400000000000002E-2"/>
  </r>
  <r>
    <x v="1"/>
    <x v="34"/>
    <x v="4"/>
    <x v="0"/>
    <x v="7"/>
    <n v="76"/>
    <n v="8.3699999999999997E-2"/>
  </r>
  <r>
    <x v="1"/>
    <x v="34"/>
    <x v="4"/>
    <x v="0"/>
    <x v="8"/>
    <n v="75"/>
    <n v="1.3299999999999999E-2"/>
  </r>
  <r>
    <x v="1"/>
    <x v="34"/>
    <x v="4"/>
    <x v="0"/>
    <x v="9"/>
    <n v="70"/>
    <n v="3.6799999999999999E-2"/>
  </r>
  <r>
    <x v="1"/>
    <x v="34"/>
    <x v="4"/>
    <x v="0"/>
    <x v="10"/>
    <n v="65"/>
    <n v="2.0799999999999999E-2"/>
  </r>
  <r>
    <x v="1"/>
    <x v="34"/>
    <x v="4"/>
    <x v="0"/>
    <x v="11"/>
    <n v="67"/>
    <n v="2.87E-2"/>
  </r>
  <r>
    <x v="1"/>
    <x v="34"/>
    <x v="4"/>
    <x v="0"/>
    <x v="12"/>
    <n v="70"/>
    <n v="4.7E-2"/>
  </r>
  <r>
    <x v="1"/>
    <x v="34"/>
    <x v="4"/>
    <x v="0"/>
    <x v="13"/>
    <n v="78"/>
    <n v="3.5299999999999998E-2"/>
  </r>
  <r>
    <x v="0"/>
    <x v="35"/>
    <x v="4"/>
    <x v="0"/>
    <x v="0"/>
    <n v="75"/>
    <n v="4.5600000000000002E-2"/>
  </r>
  <r>
    <x v="0"/>
    <x v="35"/>
    <x v="4"/>
    <x v="0"/>
    <x v="1"/>
    <n v="86"/>
    <n v="5.0000000000000001E-3"/>
  </r>
  <r>
    <x v="0"/>
    <x v="35"/>
    <x v="4"/>
    <x v="0"/>
    <x v="2"/>
    <n v="75"/>
    <n v="1.34E-2"/>
  </r>
  <r>
    <x v="0"/>
    <x v="35"/>
    <x v="4"/>
    <x v="0"/>
    <x v="3"/>
    <n v="73"/>
    <n v="1.01E-2"/>
  </r>
  <r>
    <x v="0"/>
    <x v="35"/>
    <x v="4"/>
    <x v="0"/>
    <x v="4"/>
    <n v="77"/>
    <n v="2.2200000000000001E-2"/>
  </r>
  <r>
    <x v="0"/>
    <x v="35"/>
    <x v="4"/>
    <x v="0"/>
    <x v="5"/>
    <n v="66"/>
    <n v="4.8999999999999998E-3"/>
  </r>
  <r>
    <x v="0"/>
    <x v="35"/>
    <x v="4"/>
    <x v="0"/>
    <x v="6"/>
    <n v="68"/>
    <n v="6.1000000000000004E-3"/>
  </r>
  <r>
    <x v="0"/>
    <x v="35"/>
    <x v="4"/>
    <x v="0"/>
    <x v="7"/>
    <n v="74"/>
    <n v="1.5900000000000001E-2"/>
  </r>
  <r>
    <x v="0"/>
    <x v="35"/>
    <x v="4"/>
    <x v="0"/>
    <x v="8"/>
    <n v="82"/>
    <n v="3.0000000000000001E-3"/>
  </r>
  <r>
    <x v="0"/>
    <x v="35"/>
    <x v="4"/>
    <x v="0"/>
    <x v="9"/>
    <n v="74"/>
    <n v="7.3000000000000001E-3"/>
  </r>
  <r>
    <x v="0"/>
    <x v="35"/>
    <x v="4"/>
    <x v="0"/>
    <x v="10"/>
    <n v="78"/>
    <n v="4.3E-3"/>
  </r>
  <r>
    <x v="0"/>
    <x v="35"/>
    <x v="4"/>
    <x v="0"/>
    <x v="11"/>
    <n v="76"/>
    <n v="5.8999999999999999E-3"/>
  </r>
  <r>
    <x v="0"/>
    <x v="35"/>
    <x v="4"/>
    <x v="0"/>
    <x v="12"/>
    <n v="76"/>
    <n v="7.9000000000000008E-3"/>
  </r>
  <r>
    <x v="0"/>
    <x v="35"/>
    <x v="4"/>
    <x v="0"/>
    <x v="13"/>
    <n v="82"/>
    <n v="7.7999999999999996E-3"/>
  </r>
  <r>
    <x v="0"/>
    <x v="36"/>
    <x v="4"/>
    <x v="0"/>
    <x v="0"/>
    <n v="99"/>
    <n v="0.32490000000000002"/>
  </r>
  <r>
    <x v="0"/>
    <x v="36"/>
    <x v="4"/>
    <x v="0"/>
    <x v="1"/>
    <n v="98"/>
    <n v="4.1799999999999997E-2"/>
  </r>
  <r>
    <x v="0"/>
    <x v="36"/>
    <x v="4"/>
    <x v="0"/>
    <x v="2"/>
    <n v="104"/>
    <n v="0.11"/>
  </r>
  <r>
    <x v="0"/>
    <x v="36"/>
    <x v="4"/>
    <x v="0"/>
    <x v="3"/>
    <n v="103"/>
    <n v="9.2299999999999993E-2"/>
  </r>
  <r>
    <x v="0"/>
    <x v="36"/>
    <x v="4"/>
    <x v="0"/>
    <x v="4"/>
    <n v="97"/>
    <n v="0.22700000000000001"/>
  </r>
  <r>
    <x v="0"/>
    <x v="36"/>
    <x v="4"/>
    <x v="0"/>
    <x v="5"/>
    <n v="99"/>
    <n v="5.9799999999999999E-2"/>
  </r>
  <r>
    <x v="0"/>
    <x v="36"/>
    <x v="4"/>
    <x v="0"/>
    <x v="6"/>
    <n v="99"/>
    <n v="6.5699999999999995E-2"/>
  </r>
  <r>
    <x v="0"/>
    <x v="36"/>
    <x v="4"/>
    <x v="0"/>
    <x v="7"/>
    <n v="95"/>
    <n v="0.1605"/>
  </r>
  <r>
    <x v="0"/>
    <x v="36"/>
    <x v="4"/>
    <x v="0"/>
    <x v="8"/>
    <n v="99"/>
    <n v="3.3099999999999997E-2"/>
  </r>
  <r>
    <x v="0"/>
    <x v="36"/>
    <x v="4"/>
    <x v="0"/>
    <x v="9"/>
    <n v="104"/>
    <n v="6.8000000000000005E-2"/>
  </r>
  <r>
    <x v="0"/>
    <x v="36"/>
    <x v="4"/>
    <x v="0"/>
    <x v="10"/>
    <n v="97"/>
    <n v="6.4500000000000002E-2"/>
  </r>
  <r>
    <x v="0"/>
    <x v="36"/>
    <x v="4"/>
    <x v="0"/>
    <x v="11"/>
    <n v="98"/>
    <n v="8.4400000000000003E-2"/>
  </r>
  <r>
    <x v="0"/>
    <x v="36"/>
    <x v="4"/>
    <x v="0"/>
    <x v="12"/>
    <n v="101"/>
    <n v="0.10290000000000001"/>
  </r>
  <r>
    <x v="0"/>
    <x v="36"/>
    <x v="4"/>
    <x v="0"/>
    <x v="13"/>
    <n v="99"/>
    <n v="6.7599999999999993E-2"/>
  </r>
  <r>
    <x v="0"/>
    <x v="37"/>
    <x v="4"/>
    <x v="0"/>
    <x v="0"/>
    <n v="82"/>
    <n v="0.41010000000000002"/>
  </r>
  <r>
    <x v="0"/>
    <x v="37"/>
    <x v="4"/>
    <x v="0"/>
    <x v="1"/>
    <n v="83"/>
    <n v="8.8400000000000006E-2"/>
  </r>
  <r>
    <x v="0"/>
    <x v="37"/>
    <x v="4"/>
    <x v="0"/>
    <x v="2"/>
    <n v="81"/>
    <n v="0.16850000000000001"/>
  </r>
  <r>
    <x v="0"/>
    <x v="37"/>
    <x v="4"/>
    <x v="0"/>
    <x v="3"/>
    <n v="85"/>
    <n v="0.1603"/>
  </r>
  <r>
    <x v="0"/>
    <x v="37"/>
    <x v="4"/>
    <x v="0"/>
    <x v="4"/>
    <n v="84"/>
    <n v="0.30430000000000001"/>
  </r>
  <r>
    <x v="0"/>
    <x v="37"/>
    <x v="4"/>
    <x v="0"/>
    <x v="5"/>
    <n v="77"/>
    <n v="9.7000000000000003E-2"/>
  </r>
  <r>
    <x v="0"/>
    <x v="37"/>
    <x v="4"/>
    <x v="0"/>
    <x v="6"/>
    <n v="77"/>
    <n v="0.1047"/>
  </r>
  <r>
    <x v="0"/>
    <x v="37"/>
    <x v="4"/>
    <x v="0"/>
    <x v="7"/>
    <n v="82"/>
    <n v="0.24909999999999999"/>
  </r>
  <r>
    <x v="0"/>
    <x v="37"/>
    <x v="4"/>
    <x v="0"/>
    <x v="8"/>
    <n v="79"/>
    <n v="5.79E-2"/>
  </r>
  <r>
    <x v="0"/>
    <x v="37"/>
    <x v="4"/>
    <x v="0"/>
    <x v="9"/>
    <n v="86"/>
    <n v="0.123"/>
  </r>
  <r>
    <x v="0"/>
    <x v="37"/>
    <x v="4"/>
    <x v="0"/>
    <x v="10"/>
    <n v="79"/>
    <n v="0.1232"/>
  </r>
  <r>
    <x v="0"/>
    <x v="37"/>
    <x v="4"/>
    <x v="0"/>
    <x v="11"/>
    <n v="83"/>
    <n v="0.16289999999999999"/>
  </r>
  <r>
    <x v="0"/>
    <x v="37"/>
    <x v="4"/>
    <x v="0"/>
    <x v="12"/>
    <n v="84"/>
    <n v="0.1845"/>
  </r>
  <r>
    <x v="0"/>
    <x v="37"/>
    <x v="4"/>
    <x v="0"/>
    <x v="13"/>
    <n v="82"/>
    <n v="0.13239999999999999"/>
  </r>
  <r>
    <x v="0"/>
    <x v="38"/>
    <x v="4"/>
    <x v="0"/>
    <x v="0"/>
    <n v="33"/>
    <n v="2.7E-2"/>
  </r>
  <r>
    <x v="0"/>
    <x v="38"/>
    <x v="4"/>
    <x v="0"/>
    <x v="1"/>
    <n v="43"/>
    <n v="1.9E-3"/>
  </r>
  <r>
    <x v="0"/>
    <x v="38"/>
    <x v="4"/>
    <x v="0"/>
    <x v="2"/>
    <n v="31"/>
    <n v="8.8999999999999999E-3"/>
  </r>
  <r>
    <x v="0"/>
    <x v="38"/>
    <x v="4"/>
    <x v="0"/>
    <x v="3"/>
    <n v="32"/>
    <n v="7.4000000000000003E-3"/>
  </r>
  <r>
    <x v="0"/>
    <x v="38"/>
    <x v="4"/>
    <x v="0"/>
    <x v="4"/>
    <n v="29"/>
    <n v="1.3899999999999999E-2"/>
  </r>
  <r>
    <x v="0"/>
    <x v="38"/>
    <x v="4"/>
    <x v="0"/>
    <x v="5"/>
    <n v="30"/>
    <n v="2.5000000000000001E-3"/>
  </r>
  <r>
    <x v="0"/>
    <x v="38"/>
    <x v="4"/>
    <x v="0"/>
    <x v="6"/>
    <n v="30"/>
    <n v="2.8E-3"/>
  </r>
  <r>
    <x v="0"/>
    <x v="38"/>
    <x v="4"/>
    <x v="0"/>
    <x v="7"/>
    <n v="35"/>
    <n v="1.23E-2"/>
  </r>
  <r>
    <x v="0"/>
    <x v="38"/>
    <x v="4"/>
    <x v="0"/>
    <x v="8"/>
    <n v="42"/>
    <n v="1E-3"/>
  </r>
  <r>
    <x v="0"/>
    <x v="38"/>
    <x v="4"/>
    <x v="0"/>
    <x v="9"/>
    <n v="32"/>
    <n v="6.1000000000000004E-3"/>
  </r>
  <r>
    <x v="0"/>
    <x v="38"/>
    <x v="4"/>
    <x v="0"/>
    <x v="10"/>
    <n v="24"/>
    <n v="3.0999999999999999E-3"/>
  </r>
  <r>
    <x v="0"/>
    <x v="38"/>
    <x v="4"/>
    <x v="0"/>
    <x v="11"/>
    <n v="26"/>
    <n v="4.4999999999999997E-3"/>
  </r>
  <r>
    <x v="0"/>
    <x v="38"/>
    <x v="4"/>
    <x v="0"/>
    <x v="12"/>
    <n v="30"/>
    <n v="5.5999999999999999E-3"/>
  </r>
  <r>
    <x v="0"/>
    <x v="38"/>
    <x v="4"/>
    <x v="0"/>
    <x v="13"/>
    <n v="38"/>
    <n v="4.7999999999999996E-3"/>
  </r>
  <r>
    <x v="0"/>
    <x v="39"/>
    <x v="4"/>
    <x v="0"/>
    <x v="0"/>
    <n v="89"/>
    <n v="0.32650000000000001"/>
  </r>
  <r>
    <x v="0"/>
    <x v="39"/>
    <x v="4"/>
    <x v="0"/>
    <x v="1"/>
    <n v="91"/>
    <n v="5.5899999999999998E-2"/>
  </r>
  <r>
    <x v="0"/>
    <x v="39"/>
    <x v="4"/>
    <x v="0"/>
    <x v="2"/>
    <n v="87"/>
    <n v="0.12970000000000001"/>
  </r>
  <r>
    <x v="0"/>
    <x v="39"/>
    <x v="4"/>
    <x v="0"/>
    <x v="3"/>
    <n v="84"/>
    <n v="0.1138"/>
  </r>
  <r>
    <x v="0"/>
    <x v="39"/>
    <x v="4"/>
    <x v="0"/>
    <x v="4"/>
    <n v="91"/>
    <n v="0.2056"/>
  </r>
  <r>
    <x v="0"/>
    <x v="39"/>
    <x v="4"/>
    <x v="0"/>
    <x v="5"/>
    <n v="86"/>
    <n v="5.6000000000000001E-2"/>
  </r>
  <r>
    <x v="0"/>
    <x v="39"/>
    <x v="4"/>
    <x v="0"/>
    <x v="6"/>
    <n v="84"/>
    <n v="6.7199999999999996E-2"/>
  </r>
  <r>
    <x v="0"/>
    <x v="39"/>
    <x v="4"/>
    <x v="0"/>
    <x v="7"/>
    <n v="91"/>
    <n v="0.18129999999999999"/>
  </r>
  <r>
    <x v="0"/>
    <x v="39"/>
    <x v="4"/>
    <x v="0"/>
    <x v="8"/>
    <n v="87"/>
    <n v="3.7499999999999999E-2"/>
  </r>
  <r>
    <x v="0"/>
    <x v="39"/>
    <x v="4"/>
    <x v="0"/>
    <x v="9"/>
    <n v="84"/>
    <n v="8.5500000000000007E-2"/>
  </r>
  <r>
    <x v="0"/>
    <x v="39"/>
    <x v="4"/>
    <x v="0"/>
    <x v="10"/>
    <n v="90"/>
    <n v="6.5799999999999997E-2"/>
  </r>
  <r>
    <x v="0"/>
    <x v="39"/>
    <x v="4"/>
    <x v="0"/>
    <x v="11"/>
    <n v="92"/>
    <n v="8.3500000000000005E-2"/>
  </r>
  <r>
    <x v="0"/>
    <x v="39"/>
    <x v="4"/>
    <x v="0"/>
    <x v="12"/>
    <n v="94"/>
    <n v="9.98E-2"/>
  </r>
  <r>
    <x v="0"/>
    <x v="39"/>
    <x v="4"/>
    <x v="0"/>
    <x v="13"/>
    <n v="91"/>
    <n v="8.8800000000000004E-2"/>
  </r>
  <r>
    <x v="0"/>
    <x v="40"/>
    <x v="4"/>
    <x v="0"/>
    <x v="0"/>
    <n v="88"/>
    <n v="0.10680000000000001"/>
  </r>
  <r>
    <x v="0"/>
    <x v="40"/>
    <x v="4"/>
    <x v="0"/>
    <x v="1"/>
    <n v="91"/>
    <n v="1.06E-2"/>
  </r>
  <r>
    <x v="0"/>
    <x v="40"/>
    <x v="4"/>
    <x v="0"/>
    <x v="2"/>
    <n v="90"/>
    <n v="3.4700000000000002E-2"/>
  </r>
  <r>
    <x v="0"/>
    <x v="40"/>
    <x v="4"/>
    <x v="0"/>
    <x v="3"/>
    <n v="79"/>
    <n v="2.6100000000000002E-2"/>
  </r>
  <r>
    <x v="0"/>
    <x v="40"/>
    <x v="4"/>
    <x v="0"/>
    <x v="4"/>
    <n v="89"/>
    <n v="5.8700000000000002E-2"/>
  </r>
  <r>
    <x v="0"/>
    <x v="40"/>
    <x v="4"/>
    <x v="0"/>
    <x v="5"/>
    <n v="86"/>
    <n v="9.2999999999999992E-3"/>
  </r>
  <r>
    <x v="0"/>
    <x v="40"/>
    <x v="4"/>
    <x v="0"/>
    <x v="6"/>
    <n v="86"/>
    <n v="1.2E-2"/>
  </r>
  <r>
    <x v="0"/>
    <x v="40"/>
    <x v="4"/>
    <x v="0"/>
    <x v="7"/>
    <n v="99"/>
    <n v="4.48E-2"/>
  </r>
  <r>
    <x v="0"/>
    <x v="40"/>
    <x v="4"/>
    <x v="0"/>
    <x v="8"/>
    <n v="85"/>
    <n v="6.7000000000000002E-3"/>
  </r>
  <r>
    <x v="0"/>
    <x v="40"/>
    <x v="4"/>
    <x v="0"/>
    <x v="9"/>
    <n v="78"/>
    <n v="1.7000000000000001E-2"/>
  </r>
  <r>
    <x v="0"/>
    <x v="40"/>
    <x v="4"/>
    <x v="0"/>
    <x v="10"/>
    <n v="89"/>
    <n v="1.23E-2"/>
  </r>
  <r>
    <x v="0"/>
    <x v="40"/>
    <x v="4"/>
    <x v="0"/>
    <x v="11"/>
    <n v="95"/>
    <n v="1.7500000000000002E-2"/>
  </r>
  <r>
    <x v="0"/>
    <x v="40"/>
    <x v="4"/>
    <x v="0"/>
    <x v="12"/>
    <n v="89"/>
    <n v="2.23E-2"/>
  </r>
  <r>
    <x v="0"/>
    <x v="40"/>
    <x v="4"/>
    <x v="0"/>
    <x v="13"/>
    <n v="92"/>
    <n v="1.7000000000000001E-2"/>
  </r>
  <r>
    <x v="1"/>
    <x v="41"/>
    <x v="4"/>
    <x v="0"/>
    <x v="0"/>
    <n v="89"/>
    <n v="9.5600000000000004E-2"/>
  </r>
  <r>
    <x v="1"/>
    <x v="41"/>
    <x v="4"/>
    <x v="0"/>
    <x v="1"/>
    <n v="90"/>
    <n v="9.2999999999999992E-3"/>
  </r>
  <r>
    <x v="1"/>
    <x v="41"/>
    <x v="4"/>
    <x v="0"/>
    <x v="2"/>
    <n v="90"/>
    <n v="2.63E-2"/>
  </r>
  <r>
    <x v="1"/>
    <x v="41"/>
    <x v="4"/>
    <x v="0"/>
    <x v="3"/>
    <n v="90"/>
    <n v="2.23E-2"/>
  </r>
  <r>
    <x v="1"/>
    <x v="41"/>
    <x v="4"/>
    <x v="0"/>
    <x v="4"/>
    <n v="93"/>
    <n v="5.5899999999999998E-2"/>
  </r>
  <r>
    <x v="1"/>
    <x v="41"/>
    <x v="4"/>
    <x v="0"/>
    <x v="5"/>
    <n v="82"/>
    <n v="7.7999999999999996E-3"/>
  </r>
  <r>
    <x v="1"/>
    <x v="41"/>
    <x v="4"/>
    <x v="0"/>
    <x v="6"/>
    <n v="77"/>
    <n v="9.2999999999999992E-3"/>
  </r>
  <r>
    <x v="1"/>
    <x v="41"/>
    <x v="4"/>
    <x v="0"/>
    <x v="7"/>
    <n v="89"/>
    <n v="3.9899999999999998E-2"/>
  </r>
  <r>
    <x v="1"/>
    <x v="41"/>
    <x v="4"/>
    <x v="0"/>
    <x v="8"/>
    <n v="86"/>
    <n v="5.4000000000000003E-3"/>
  </r>
  <r>
    <x v="1"/>
    <x v="41"/>
    <x v="4"/>
    <x v="0"/>
    <x v="9"/>
    <n v="88"/>
    <n v="1.5699999999999999E-2"/>
  </r>
  <r>
    <x v="1"/>
    <x v="41"/>
    <x v="4"/>
    <x v="0"/>
    <x v="10"/>
    <n v="92"/>
    <n v="1.0200000000000001E-2"/>
  </r>
  <r>
    <x v="1"/>
    <x v="41"/>
    <x v="4"/>
    <x v="0"/>
    <x v="11"/>
    <n v="96"/>
    <n v="1.61E-2"/>
  </r>
  <r>
    <x v="1"/>
    <x v="41"/>
    <x v="4"/>
    <x v="0"/>
    <x v="12"/>
    <n v="97"/>
    <n v="2.1899999999999999E-2"/>
  </r>
  <r>
    <x v="1"/>
    <x v="41"/>
    <x v="4"/>
    <x v="0"/>
    <x v="13"/>
    <n v="91"/>
    <n v="1.4500000000000001E-2"/>
  </r>
  <r>
    <x v="0"/>
    <x v="42"/>
    <x v="4"/>
    <x v="0"/>
    <x v="0"/>
    <n v="109"/>
    <n v="0.3498"/>
  </r>
  <r>
    <x v="0"/>
    <x v="42"/>
    <x v="4"/>
    <x v="0"/>
    <x v="1"/>
    <n v="103"/>
    <n v="5.91E-2"/>
  </r>
  <r>
    <x v="0"/>
    <x v="42"/>
    <x v="4"/>
    <x v="0"/>
    <x v="2"/>
    <n v="111"/>
    <n v="0.14979999999999999"/>
  </r>
  <r>
    <x v="0"/>
    <x v="42"/>
    <x v="4"/>
    <x v="0"/>
    <x v="3"/>
    <n v="111"/>
    <n v="0.1396"/>
  </r>
  <r>
    <x v="0"/>
    <x v="42"/>
    <x v="4"/>
    <x v="0"/>
    <x v="4"/>
    <n v="108"/>
    <n v="0.2487"/>
  </r>
  <r>
    <x v="0"/>
    <x v="42"/>
    <x v="4"/>
    <x v="0"/>
    <x v="5"/>
    <n v="103"/>
    <n v="8.1000000000000003E-2"/>
  </r>
  <r>
    <x v="0"/>
    <x v="42"/>
    <x v="4"/>
    <x v="0"/>
    <x v="6"/>
    <n v="104"/>
    <n v="8.0100000000000005E-2"/>
  </r>
  <r>
    <x v="0"/>
    <x v="42"/>
    <x v="4"/>
    <x v="0"/>
    <x v="7"/>
    <n v="113"/>
    <n v="0.21440000000000001"/>
  </r>
  <r>
    <x v="0"/>
    <x v="42"/>
    <x v="4"/>
    <x v="0"/>
    <x v="8"/>
    <n v="106"/>
    <n v="3.8800000000000001E-2"/>
  </r>
  <r>
    <x v="0"/>
    <x v="42"/>
    <x v="4"/>
    <x v="0"/>
    <x v="9"/>
    <n v="112"/>
    <n v="0.11260000000000001"/>
  </r>
  <r>
    <x v="0"/>
    <x v="42"/>
    <x v="4"/>
    <x v="0"/>
    <x v="10"/>
    <n v="106"/>
    <n v="9.6000000000000002E-2"/>
  </r>
  <r>
    <x v="0"/>
    <x v="42"/>
    <x v="4"/>
    <x v="0"/>
    <x v="11"/>
    <n v="108"/>
    <n v="0.1245"/>
  </r>
  <r>
    <x v="0"/>
    <x v="42"/>
    <x v="4"/>
    <x v="0"/>
    <x v="12"/>
    <n v="110"/>
    <n v="0.14580000000000001"/>
  </r>
  <r>
    <x v="0"/>
    <x v="42"/>
    <x v="4"/>
    <x v="0"/>
    <x v="13"/>
    <n v="107"/>
    <n v="0.1033"/>
  </r>
  <r>
    <x v="1"/>
    <x v="43"/>
    <x v="4"/>
    <x v="1"/>
    <x v="0"/>
    <n v="99"/>
    <n v="0.71319999999999995"/>
  </r>
  <r>
    <x v="1"/>
    <x v="43"/>
    <x v="4"/>
    <x v="1"/>
    <x v="1"/>
    <n v="95"/>
    <n v="0.20630000000000001"/>
  </r>
  <r>
    <x v="1"/>
    <x v="43"/>
    <x v="4"/>
    <x v="1"/>
    <x v="2"/>
    <n v="96"/>
    <n v="0.35139999999999999"/>
  </r>
  <r>
    <x v="1"/>
    <x v="43"/>
    <x v="4"/>
    <x v="1"/>
    <x v="3"/>
    <n v="98"/>
    <n v="0.311"/>
  </r>
  <r>
    <x v="1"/>
    <x v="43"/>
    <x v="4"/>
    <x v="1"/>
    <x v="4"/>
    <n v="104"/>
    <n v="0.57010000000000005"/>
  </r>
  <r>
    <x v="1"/>
    <x v="43"/>
    <x v="4"/>
    <x v="1"/>
    <x v="5"/>
    <n v="96"/>
    <n v="0.16719999999999999"/>
  </r>
  <r>
    <x v="1"/>
    <x v="43"/>
    <x v="4"/>
    <x v="1"/>
    <x v="6"/>
    <n v="94"/>
    <n v="0.17419999999999999"/>
  </r>
  <r>
    <x v="1"/>
    <x v="43"/>
    <x v="4"/>
    <x v="1"/>
    <x v="7"/>
    <n v="102"/>
    <n v="0.4199"/>
  </r>
  <r>
    <x v="1"/>
    <x v="43"/>
    <x v="4"/>
    <x v="1"/>
    <x v="8"/>
    <n v="92"/>
    <n v="0.128"/>
  </r>
  <r>
    <x v="1"/>
    <x v="43"/>
    <x v="4"/>
    <x v="1"/>
    <x v="9"/>
    <n v="98"/>
    <n v="0.25319999999999998"/>
  </r>
  <r>
    <x v="1"/>
    <x v="43"/>
    <x v="4"/>
    <x v="1"/>
    <x v="10"/>
    <n v="98"/>
    <n v="0.2205"/>
  </r>
  <r>
    <x v="1"/>
    <x v="43"/>
    <x v="4"/>
    <x v="1"/>
    <x v="11"/>
    <n v="101"/>
    <n v="0.34460000000000002"/>
  </r>
  <r>
    <x v="1"/>
    <x v="43"/>
    <x v="4"/>
    <x v="1"/>
    <x v="12"/>
    <n v="109"/>
    <n v="0.35189999999999999"/>
  </r>
  <r>
    <x v="1"/>
    <x v="43"/>
    <x v="4"/>
    <x v="1"/>
    <x v="13"/>
    <n v="94"/>
    <n v="0.25850000000000001"/>
  </r>
  <r>
    <x v="0"/>
    <x v="44"/>
    <x v="4"/>
    <x v="0"/>
    <x v="0"/>
    <n v="117"/>
    <n v="0.21659999999999999"/>
  </r>
  <r>
    <x v="0"/>
    <x v="44"/>
    <x v="4"/>
    <x v="0"/>
    <x v="1"/>
    <n v="115"/>
    <n v="5.0999999999999997E-2"/>
  </r>
  <r>
    <x v="0"/>
    <x v="44"/>
    <x v="4"/>
    <x v="0"/>
    <x v="2"/>
    <n v="119"/>
    <n v="9.3299999999999994E-2"/>
  </r>
  <r>
    <x v="0"/>
    <x v="44"/>
    <x v="4"/>
    <x v="0"/>
    <x v="3"/>
    <n v="121"/>
    <n v="8.2500000000000004E-2"/>
  </r>
  <r>
    <x v="0"/>
    <x v="44"/>
    <x v="4"/>
    <x v="0"/>
    <x v="4"/>
    <n v="113"/>
    <n v="0.13469999999999999"/>
  </r>
  <r>
    <x v="0"/>
    <x v="44"/>
    <x v="4"/>
    <x v="0"/>
    <x v="5"/>
    <n v="109"/>
    <n v="3.2599999999999997E-2"/>
  </r>
  <r>
    <x v="0"/>
    <x v="44"/>
    <x v="4"/>
    <x v="0"/>
    <x v="6"/>
    <n v="108"/>
    <n v="4.0800000000000003E-2"/>
  </r>
  <r>
    <x v="0"/>
    <x v="44"/>
    <x v="4"/>
    <x v="0"/>
    <x v="7"/>
    <n v="109"/>
    <n v="9.1800000000000007E-2"/>
  </r>
  <r>
    <x v="0"/>
    <x v="44"/>
    <x v="4"/>
    <x v="0"/>
    <x v="8"/>
    <n v="114"/>
    <n v="3.1699999999999999E-2"/>
  </r>
  <r>
    <x v="0"/>
    <x v="44"/>
    <x v="4"/>
    <x v="0"/>
    <x v="9"/>
    <n v="121"/>
    <n v="6.9500000000000006E-2"/>
  </r>
  <r>
    <x v="0"/>
    <x v="44"/>
    <x v="4"/>
    <x v="0"/>
    <x v="10"/>
    <n v="106"/>
    <n v="3.8100000000000002E-2"/>
  </r>
  <r>
    <x v="0"/>
    <x v="44"/>
    <x v="4"/>
    <x v="0"/>
    <x v="11"/>
    <n v="113"/>
    <n v="4.9000000000000002E-2"/>
  </r>
  <r>
    <x v="0"/>
    <x v="44"/>
    <x v="4"/>
    <x v="0"/>
    <x v="12"/>
    <n v="115"/>
    <n v="5.8999999999999997E-2"/>
  </r>
  <r>
    <x v="0"/>
    <x v="44"/>
    <x v="4"/>
    <x v="0"/>
    <x v="13"/>
    <n v="114"/>
    <n v="6.88E-2"/>
  </r>
  <r>
    <x v="0"/>
    <x v="45"/>
    <x v="4"/>
    <x v="0"/>
    <x v="0"/>
    <n v="92"/>
    <n v="0.40150000000000002"/>
  </r>
  <r>
    <x v="0"/>
    <x v="45"/>
    <x v="4"/>
    <x v="0"/>
    <x v="1"/>
    <n v="91"/>
    <n v="5.5599999999999997E-2"/>
  </r>
  <r>
    <x v="0"/>
    <x v="45"/>
    <x v="4"/>
    <x v="0"/>
    <x v="2"/>
    <n v="93"/>
    <n v="0.1648"/>
  </r>
  <r>
    <x v="0"/>
    <x v="45"/>
    <x v="4"/>
    <x v="0"/>
    <x v="3"/>
    <n v="94"/>
    <n v="0.1391"/>
  </r>
  <r>
    <x v="0"/>
    <x v="45"/>
    <x v="4"/>
    <x v="0"/>
    <x v="4"/>
    <n v="94"/>
    <n v="0.29010000000000002"/>
  </r>
  <r>
    <x v="0"/>
    <x v="45"/>
    <x v="4"/>
    <x v="0"/>
    <x v="5"/>
    <n v="87"/>
    <n v="8.9800000000000005E-2"/>
  </r>
  <r>
    <x v="0"/>
    <x v="45"/>
    <x v="4"/>
    <x v="0"/>
    <x v="6"/>
    <n v="87"/>
    <n v="8.3199999999999996E-2"/>
  </r>
  <r>
    <x v="0"/>
    <x v="45"/>
    <x v="4"/>
    <x v="0"/>
    <x v="7"/>
    <n v="92"/>
    <n v="0.2049"/>
  </r>
  <r>
    <x v="0"/>
    <x v="45"/>
    <x v="4"/>
    <x v="0"/>
    <x v="8"/>
    <n v="81"/>
    <n v="2.4799999999999999E-2"/>
  </r>
  <r>
    <x v="0"/>
    <x v="45"/>
    <x v="4"/>
    <x v="0"/>
    <x v="9"/>
    <n v="94"/>
    <n v="0.1085"/>
  </r>
  <r>
    <x v="0"/>
    <x v="45"/>
    <x v="4"/>
    <x v="0"/>
    <x v="10"/>
    <n v="89"/>
    <n v="0.10349999999999999"/>
  </r>
  <r>
    <x v="0"/>
    <x v="45"/>
    <x v="4"/>
    <x v="0"/>
    <x v="11"/>
    <n v="93"/>
    <n v="0.13930000000000001"/>
  </r>
  <r>
    <x v="0"/>
    <x v="45"/>
    <x v="4"/>
    <x v="0"/>
    <x v="12"/>
    <n v="97"/>
    <n v="0.16059999999999999"/>
  </r>
  <r>
    <x v="0"/>
    <x v="45"/>
    <x v="4"/>
    <x v="0"/>
    <x v="13"/>
    <n v="89"/>
    <n v="8.7300000000000003E-2"/>
  </r>
  <r>
    <x v="0"/>
    <x v="46"/>
    <x v="4"/>
    <x v="0"/>
    <x v="0"/>
    <n v="42"/>
    <n v="2.0400000000000001E-2"/>
  </r>
  <r>
    <x v="0"/>
    <x v="46"/>
    <x v="4"/>
    <x v="0"/>
    <x v="1"/>
    <n v="41"/>
    <n v="1.4E-3"/>
  </r>
  <r>
    <x v="0"/>
    <x v="46"/>
    <x v="4"/>
    <x v="0"/>
    <x v="2"/>
    <n v="42"/>
    <n v="6.7000000000000002E-3"/>
  </r>
  <r>
    <x v="0"/>
    <x v="46"/>
    <x v="4"/>
    <x v="0"/>
    <x v="3"/>
    <n v="38"/>
    <n v="5.1000000000000004E-3"/>
  </r>
  <r>
    <x v="0"/>
    <x v="46"/>
    <x v="4"/>
    <x v="0"/>
    <x v="4"/>
    <n v="35"/>
    <n v="9.9000000000000008E-3"/>
  </r>
  <r>
    <x v="0"/>
    <x v="46"/>
    <x v="4"/>
    <x v="0"/>
    <x v="5"/>
    <n v="39"/>
    <n v="1.6999999999999999E-3"/>
  </r>
  <r>
    <x v="0"/>
    <x v="46"/>
    <x v="4"/>
    <x v="0"/>
    <x v="6"/>
    <n v="35"/>
    <n v="1.9E-3"/>
  </r>
  <r>
    <x v="0"/>
    <x v="46"/>
    <x v="4"/>
    <x v="0"/>
    <x v="7"/>
    <n v="51"/>
    <n v="9.1999999999999998E-3"/>
  </r>
  <r>
    <x v="0"/>
    <x v="46"/>
    <x v="4"/>
    <x v="0"/>
    <x v="8"/>
    <n v="56"/>
    <n v="5.9999999999999995E-4"/>
  </r>
  <r>
    <x v="0"/>
    <x v="46"/>
    <x v="4"/>
    <x v="0"/>
    <x v="9"/>
    <n v="44"/>
    <n v="4.0000000000000001E-3"/>
  </r>
  <r>
    <x v="0"/>
    <x v="46"/>
    <x v="4"/>
    <x v="0"/>
    <x v="10"/>
    <n v="36"/>
    <n v="2.2000000000000001E-3"/>
  </r>
  <r>
    <x v="0"/>
    <x v="46"/>
    <x v="4"/>
    <x v="0"/>
    <x v="11"/>
    <n v="34"/>
    <n v="3.3E-3"/>
  </r>
  <r>
    <x v="0"/>
    <x v="46"/>
    <x v="4"/>
    <x v="0"/>
    <x v="12"/>
    <n v="33"/>
    <n v="3.8999999999999998E-3"/>
  </r>
  <r>
    <x v="0"/>
    <x v="46"/>
    <x v="4"/>
    <x v="0"/>
    <x v="13"/>
    <n v="38"/>
    <n v="3.0999999999999999E-3"/>
  </r>
  <r>
    <x v="0"/>
    <x v="47"/>
    <x v="4"/>
    <x v="0"/>
    <x v="0"/>
    <n v="119"/>
    <n v="0.49540000000000001"/>
  </r>
  <r>
    <x v="0"/>
    <x v="47"/>
    <x v="4"/>
    <x v="0"/>
    <x v="1"/>
    <n v="119"/>
    <n v="0.221"/>
  </r>
  <r>
    <x v="0"/>
    <x v="47"/>
    <x v="4"/>
    <x v="0"/>
    <x v="2"/>
    <n v="120"/>
    <n v="0.32869999999999999"/>
  </r>
  <r>
    <x v="0"/>
    <x v="47"/>
    <x v="4"/>
    <x v="0"/>
    <x v="3"/>
    <n v="123"/>
    <n v="0.31259999999999999"/>
  </r>
  <r>
    <x v="0"/>
    <x v="47"/>
    <x v="4"/>
    <x v="0"/>
    <x v="4"/>
    <n v="118"/>
    <n v="0.39789999999999998"/>
  </r>
  <r>
    <x v="0"/>
    <x v="47"/>
    <x v="4"/>
    <x v="0"/>
    <x v="5"/>
    <n v="114"/>
    <n v="0.19120000000000001"/>
  </r>
  <r>
    <x v="0"/>
    <x v="47"/>
    <x v="4"/>
    <x v="0"/>
    <x v="6"/>
    <n v="114"/>
    <n v="0.19750000000000001"/>
  </r>
  <r>
    <x v="0"/>
    <x v="47"/>
    <x v="4"/>
    <x v="0"/>
    <x v="7"/>
    <n v="117"/>
    <n v="0.37080000000000002"/>
  </r>
  <r>
    <x v="0"/>
    <x v="47"/>
    <x v="4"/>
    <x v="0"/>
    <x v="8"/>
    <n v="116"/>
    <n v="0.151"/>
  </r>
  <r>
    <x v="0"/>
    <x v="47"/>
    <x v="4"/>
    <x v="0"/>
    <x v="9"/>
    <n v="124"/>
    <n v="0.28489999999999999"/>
  </r>
  <r>
    <x v="0"/>
    <x v="47"/>
    <x v="4"/>
    <x v="0"/>
    <x v="10"/>
    <n v="118"/>
    <n v="0.23710000000000001"/>
  </r>
  <r>
    <x v="0"/>
    <x v="47"/>
    <x v="4"/>
    <x v="0"/>
    <x v="11"/>
    <n v="121"/>
    <n v="0.27229999999999999"/>
  </r>
  <r>
    <x v="0"/>
    <x v="47"/>
    <x v="4"/>
    <x v="0"/>
    <x v="12"/>
    <n v="118"/>
    <n v="0.2999"/>
  </r>
  <r>
    <x v="0"/>
    <x v="47"/>
    <x v="4"/>
    <x v="0"/>
    <x v="13"/>
    <n v="119"/>
    <n v="0.26379999999999998"/>
  </r>
  <r>
    <x v="1"/>
    <x v="48"/>
    <x v="4"/>
    <x v="0"/>
    <x v="0"/>
    <n v="90"/>
    <n v="7.4899999999999994E-2"/>
  </r>
  <r>
    <x v="1"/>
    <x v="48"/>
    <x v="4"/>
    <x v="0"/>
    <x v="1"/>
    <n v="98"/>
    <n v="4.7999999999999996E-3"/>
  </r>
  <r>
    <x v="1"/>
    <x v="48"/>
    <x v="4"/>
    <x v="0"/>
    <x v="2"/>
    <n v="100"/>
    <n v="2.2100000000000002E-2"/>
  </r>
  <r>
    <x v="1"/>
    <x v="48"/>
    <x v="4"/>
    <x v="0"/>
    <x v="3"/>
    <n v="83"/>
    <n v="1.7399999999999999E-2"/>
  </r>
  <r>
    <x v="1"/>
    <x v="48"/>
    <x v="4"/>
    <x v="0"/>
    <x v="4"/>
    <n v="85"/>
    <n v="4.1500000000000002E-2"/>
  </r>
  <r>
    <x v="1"/>
    <x v="48"/>
    <x v="4"/>
    <x v="0"/>
    <x v="5"/>
    <n v="85"/>
    <n v="5.5999999999999999E-3"/>
  </r>
  <r>
    <x v="1"/>
    <x v="48"/>
    <x v="4"/>
    <x v="0"/>
    <x v="6"/>
    <n v="96"/>
    <n v="6.4999999999999997E-3"/>
  </r>
  <r>
    <x v="1"/>
    <x v="48"/>
    <x v="4"/>
    <x v="0"/>
    <x v="7"/>
    <n v="93"/>
    <n v="2.86E-2"/>
  </r>
  <r>
    <x v="1"/>
    <x v="48"/>
    <x v="4"/>
    <x v="0"/>
    <x v="8"/>
    <n v="103"/>
    <n v="3.0999999999999999E-3"/>
  </r>
  <r>
    <x v="1"/>
    <x v="48"/>
    <x v="4"/>
    <x v="0"/>
    <x v="9"/>
    <n v="84"/>
    <n v="1.2E-2"/>
  </r>
  <r>
    <x v="1"/>
    <x v="48"/>
    <x v="4"/>
    <x v="0"/>
    <x v="10"/>
    <n v="82"/>
    <n v="6.7999999999999996E-3"/>
  </r>
  <r>
    <x v="1"/>
    <x v="48"/>
    <x v="4"/>
    <x v="0"/>
    <x v="11"/>
    <n v="79"/>
    <n v="1.01E-2"/>
  </r>
  <r>
    <x v="1"/>
    <x v="48"/>
    <x v="4"/>
    <x v="0"/>
    <x v="12"/>
    <n v="93"/>
    <n v="1.5299999999999999E-2"/>
  </r>
  <r>
    <x v="1"/>
    <x v="48"/>
    <x v="4"/>
    <x v="0"/>
    <x v="13"/>
    <n v="94"/>
    <n v="8.6E-3"/>
  </r>
  <r>
    <x v="0"/>
    <x v="49"/>
    <x v="4"/>
    <x v="0"/>
    <x v="0"/>
    <n v="106"/>
    <n v="0.2467"/>
  </r>
  <r>
    <x v="0"/>
    <x v="49"/>
    <x v="4"/>
    <x v="0"/>
    <x v="1"/>
    <n v="86"/>
    <n v="2.4199999999999999E-2"/>
  </r>
  <r>
    <x v="0"/>
    <x v="49"/>
    <x v="4"/>
    <x v="0"/>
    <x v="2"/>
    <n v="98"/>
    <n v="7.3099999999999998E-2"/>
  </r>
  <r>
    <x v="0"/>
    <x v="49"/>
    <x v="4"/>
    <x v="0"/>
    <x v="3"/>
    <n v="99"/>
    <n v="7.1499999999999994E-2"/>
  </r>
  <r>
    <x v="0"/>
    <x v="49"/>
    <x v="4"/>
    <x v="0"/>
    <x v="4"/>
    <n v="111"/>
    <n v="0.16550000000000001"/>
  </r>
  <r>
    <x v="0"/>
    <x v="49"/>
    <x v="4"/>
    <x v="0"/>
    <x v="5"/>
    <n v="99"/>
    <n v="2.9700000000000001E-2"/>
  </r>
  <r>
    <x v="0"/>
    <x v="49"/>
    <x v="4"/>
    <x v="0"/>
    <x v="6"/>
    <n v="99"/>
    <n v="3.3000000000000002E-2"/>
  </r>
  <r>
    <x v="0"/>
    <x v="49"/>
    <x v="4"/>
    <x v="0"/>
    <x v="7"/>
    <n v="115"/>
    <n v="0.1158"/>
  </r>
  <r>
    <x v="0"/>
    <x v="49"/>
    <x v="4"/>
    <x v="0"/>
    <x v="8"/>
    <n v="97"/>
    <n v="1.5599999999999999E-2"/>
  </r>
  <r>
    <x v="0"/>
    <x v="49"/>
    <x v="4"/>
    <x v="0"/>
    <x v="9"/>
    <n v="96"/>
    <n v="4.4900000000000002E-2"/>
  </r>
  <r>
    <x v="0"/>
    <x v="49"/>
    <x v="4"/>
    <x v="0"/>
    <x v="10"/>
    <n v="102"/>
    <n v="4.1099999999999998E-2"/>
  </r>
  <r>
    <x v="0"/>
    <x v="49"/>
    <x v="4"/>
    <x v="0"/>
    <x v="11"/>
    <n v="108"/>
    <n v="6.5600000000000006E-2"/>
  </r>
  <r>
    <x v="0"/>
    <x v="49"/>
    <x v="4"/>
    <x v="0"/>
    <x v="12"/>
    <n v="112"/>
    <n v="8.5199999999999998E-2"/>
  </r>
  <r>
    <x v="0"/>
    <x v="49"/>
    <x v="4"/>
    <x v="0"/>
    <x v="13"/>
    <n v="90"/>
    <n v="4.02E-2"/>
  </r>
  <r>
    <x v="0"/>
    <x v="51"/>
    <x v="4"/>
    <x v="0"/>
    <x v="0"/>
    <n v="93"/>
    <n v="0.26910000000000001"/>
  </r>
  <r>
    <x v="0"/>
    <x v="51"/>
    <x v="4"/>
    <x v="0"/>
    <x v="1"/>
    <n v="92"/>
    <n v="2.3599999999999999E-2"/>
  </r>
  <r>
    <x v="0"/>
    <x v="51"/>
    <x v="4"/>
    <x v="0"/>
    <x v="2"/>
    <n v="99"/>
    <n v="9.6299999999999997E-2"/>
  </r>
  <r>
    <x v="0"/>
    <x v="51"/>
    <x v="4"/>
    <x v="0"/>
    <x v="3"/>
    <n v="97"/>
    <n v="9.6600000000000005E-2"/>
  </r>
  <r>
    <x v="0"/>
    <x v="51"/>
    <x v="4"/>
    <x v="0"/>
    <x v="4"/>
    <n v="93"/>
    <n v="0.1794"/>
  </r>
  <r>
    <x v="0"/>
    <x v="51"/>
    <x v="4"/>
    <x v="0"/>
    <x v="5"/>
    <n v="91"/>
    <n v="3.9300000000000002E-2"/>
  </r>
  <r>
    <x v="0"/>
    <x v="51"/>
    <x v="4"/>
    <x v="0"/>
    <x v="6"/>
    <n v="90"/>
    <n v="3.4799999999999998E-2"/>
  </r>
  <r>
    <x v="0"/>
    <x v="51"/>
    <x v="4"/>
    <x v="0"/>
    <x v="7"/>
    <n v="91"/>
    <n v="0.1295"/>
  </r>
  <r>
    <x v="0"/>
    <x v="51"/>
    <x v="4"/>
    <x v="0"/>
    <x v="8"/>
    <n v="86"/>
    <n v="1.14E-2"/>
  </r>
  <r>
    <x v="0"/>
    <x v="51"/>
    <x v="4"/>
    <x v="0"/>
    <x v="9"/>
    <n v="97"/>
    <n v="7.46E-2"/>
  </r>
  <r>
    <x v="0"/>
    <x v="51"/>
    <x v="4"/>
    <x v="0"/>
    <x v="10"/>
    <n v="86"/>
    <n v="4.1300000000000003E-2"/>
  </r>
  <r>
    <x v="0"/>
    <x v="51"/>
    <x v="4"/>
    <x v="0"/>
    <x v="11"/>
    <n v="92"/>
    <n v="7.1300000000000002E-2"/>
  </r>
  <r>
    <x v="0"/>
    <x v="51"/>
    <x v="4"/>
    <x v="0"/>
    <x v="12"/>
    <n v="94"/>
    <n v="9.0399999999999994E-2"/>
  </r>
  <r>
    <x v="0"/>
    <x v="51"/>
    <x v="4"/>
    <x v="0"/>
    <x v="13"/>
    <n v="92"/>
    <n v="4.2799999999999998E-2"/>
  </r>
  <r>
    <x v="1"/>
    <x v="52"/>
    <x v="4"/>
    <x v="0"/>
    <x v="0"/>
    <n v="107"/>
    <n v="0.1116"/>
  </r>
  <r>
    <x v="1"/>
    <x v="52"/>
    <x v="4"/>
    <x v="0"/>
    <x v="1"/>
    <n v="140"/>
    <n v="9.7000000000000003E-3"/>
  </r>
  <r>
    <x v="1"/>
    <x v="52"/>
    <x v="4"/>
    <x v="0"/>
    <x v="2"/>
    <n v="117"/>
    <n v="2.41E-2"/>
  </r>
  <r>
    <x v="1"/>
    <x v="52"/>
    <x v="4"/>
    <x v="0"/>
    <x v="3"/>
    <n v="89"/>
    <n v="1.8800000000000001E-2"/>
  </r>
  <r>
    <x v="1"/>
    <x v="52"/>
    <x v="4"/>
    <x v="0"/>
    <x v="4"/>
    <n v="101"/>
    <n v="7.3099999999999998E-2"/>
  </r>
  <r>
    <x v="1"/>
    <x v="52"/>
    <x v="4"/>
    <x v="0"/>
    <x v="5"/>
    <n v="110"/>
    <n v="2.4299999999999999E-2"/>
  </r>
  <r>
    <x v="1"/>
    <x v="52"/>
    <x v="4"/>
    <x v="0"/>
    <x v="6"/>
    <n v="107"/>
    <n v="2.6700000000000002E-2"/>
  </r>
  <r>
    <x v="1"/>
    <x v="52"/>
    <x v="4"/>
    <x v="0"/>
    <x v="7"/>
    <n v="106"/>
    <n v="3.32E-2"/>
  </r>
  <r>
    <x v="1"/>
    <x v="52"/>
    <x v="4"/>
    <x v="0"/>
    <x v="8"/>
    <n v="122"/>
    <n v="1.18E-2"/>
  </r>
  <r>
    <x v="1"/>
    <x v="52"/>
    <x v="4"/>
    <x v="0"/>
    <x v="9"/>
    <n v="92"/>
    <n v="1.35E-2"/>
  </r>
  <r>
    <x v="1"/>
    <x v="52"/>
    <x v="4"/>
    <x v="0"/>
    <x v="10"/>
    <n v="110"/>
    <n v="2.5899999999999999E-2"/>
  </r>
  <r>
    <x v="1"/>
    <x v="52"/>
    <x v="4"/>
    <x v="0"/>
    <x v="11"/>
    <n v="111"/>
    <n v="2.8299999999999999E-2"/>
  </r>
  <r>
    <x v="1"/>
    <x v="52"/>
    <x v="4"/>
    <x v="0"/>
    <x v="12"/>
    <n v="108"/>
    <n v="3.15E-2"/>
  </r>
  <r>
    <x v="1"/>
    <x v="52"/>
    <x v="4"/>
    <x v="0"/>
    <x v="13"/>
    <n v="131"/>
    <n v="1.9E-2"/>
  </r>
  <r>
    <x v="1"/>
    <x v="53"/>
    <x v="4"/>
    <x v="0"/>
    <x v="0"/>
    <n v="112"/>
    <n v="0.13109999999999999"/>
  </r>
  <r>
    <x v="1"/>
    <x v="53"/>
    <x v="4"/>
    <x v="0"/>
    <x v="1"/>
    <n v="117"/>
    <n v="1.9900000000000001E-2"/>
  </r>
  <r>
    <x v="1"/>
    <x v="53"/>
    <x v="4"/>
    <x v="0"/>
    <x v="2"/>
    <n v="122"/>
    <n v="4.99E-2"/>
  </r>
  <r>
    <x v="1"/>
    <x v="53"/>
    <x v="4"/>
    <x v="0"/>
    <x v="3"/>
    <n v="106"/>
    <n v="3.5999999999999997E-2"/>
  </r>
  <r>
    <x v="1"/>
    <x v="53"/>
    <x v="4"/>
    <x v="0"/>
    <x v="4"/>
    <n v="106"/>
    <n v="0.08"/>
  </r>
  <r>
    <x v="1"/>
    <x v="53"/>
    <x v="4"/>
    <x v="0"/>
    <x v="5"/>
    <n v="100"/>
    <n v="2.2499999999999999E-2"/>
  </r>
  <r>
    <x v="1"/>
    <x v="53"/>
    <x v="4"/>
    <x v="0"/>
    <x v="6"/>
    <n v="104"/>
    <n v="2.7099999999999999E-2"/>
  </r>
  <r>
    <x v="1"/>
    <x v="53"/>
    <x v="4"/>
    <x v="0"/>
    <x v="7"/>
    <n v="118"/>
    <n v="6.3399999999999998E-2"/>
  </r>
  <r>
    <x v="1"/>
    <x v="53"/>
    <x v="4"/>
    <x v="0"/>
    <x v="8"/>
    <n v="107"/>
    <n v="1.4800000000000001E-2"/>
  </r>
  <r>
    <x v="1"/>
    <x v="53"/>
    <x v="4"/>
    <x v="0"/>
    <x v="9"/>
    <n v="110"/>
    <n v="2.7199999999999998E-2"/>
  </r>
  <r>
    <x v="1"/>
    <x v="53"/>
    <x v="4"/>
    <x v="0"/>
    <x v="10"/>
    <n v="103"/>
    <n v="2.4899999999999999E-2"/>
  </r>
  <r>
    <x v="1"/>
    <x v="53"/>
    <x v="4"/>
    <x v="0"/>
    <x v="11"/>
    <n v="105"/>
    <n v="3.1699999999999999E-2"/>
  </r>
  <r>
    <x v="1"/>
    <x v="53"/>
    <x v="4"/>
    <x v="0"/>
    <x v="12"/>
    <n v="109"/>
    <n v="3.6999999999999998E-2"/>
  </r>
  <r>
    <x v="1"/>
    <x v="53"/>
    <x v="4"/>
    <x v="0"/>
    <x v="13"/>
    <n v="114"/>
    <n v="3.0200000000000001E-2"/>
  </r>
  <r>
    <x v="1"/>
    <x v="54"/>
    <x v="4"/>
    <x v="0"/>
    <x v="0"/>
    <n v="91"/>
    <n v="2.81E-2"/>
  </r>
  <r>
    <x v="1"/>
    <x v="54"/>
    <x v="4"/>
    <x v="0"/>
    <x v="1"/>
    <n v="85"/>
    <n v="2.8E-3"/>
  </r>
  <r>
    <x v="1"/>
    <x v="54"/>
    <x v="4"/>
    <x v="0"/>
    <x v="2"/>
    <n v="95"/>
    <n v="7.9000000000000008E-3"/>
  </r>
  <r>
    <x v="1"/>
    <x v="54"/>
    <x v="4"/>
    <x v="0"/>
    <x v="3"/>
    <n v="83"/>
    <n v="6.0000000000000001E-3"/>
  </r>
  <r>
    <x v="1"/>
    <x v="54"/>
    <x v="4"/>
    <x v="0"/>
    <x v="4"/>
    <n v="94"/>
    <n v="1.61E-2"/>
  </r>
  <r>
    <x v="1"/>
    <x v="54"/>
    <x v="4"/>
    <x v="0"/>
    <x v="5"/>
    <n v="88"/>
    <n v="4.5999999999999999E-3"/>
  </r>
  <r>
    <x v="1"/>
    <x v="54"/>
    <x v="4"/>
    <x v="0"/>
    <x v="6"/>
    <n v="89"/>
    <n v="5.4999999999999997E-3"/>
  </r>
  <r>
    <x v="1"/>
    <x v="54"/>
    <x v="4"/>
    <x v="0"/>
    <x v="7"/>
    <n v="93"/>
    <n v="1.11E-2"/>
  </r>
  <r>
    <x v="1"/>
    <x v="54"/>
    <x v="4"/>
    <x v="0"/>
    <x v="8"/>
    <n v="92"/>
    <n v="2.5000000000000001E-3"/>
  </r>
  <r>
    <x v="1"/>
    <x v="54"/>
    <x v="4"/>
    <x v="0"/>
    <x v="9"/>
    <n v="88"/>
    <n v="4.4000000000000003E-3"/>
  </r>
  <r>
    <x v="1"/>
    <x v="54"/>
    <x v="4"/>
    <x v="0"/>
    <x v="10"/>
    <n v="91"/>
    <n v="4.3E-3"/>
  </r>
  <r>
    <x v="1"/>
    <x v="54"/>
    <x v="4"/>
    <x v="0"/>
    <x v="11"/>
    <n v="90"/>
    <n v="5.1999999999999998E-3"/>
  </r>
  <r>
    <x v="1"/>
    <x v="54"/>
    <x v="4"/>
    <x v="0"/>
    <x v="12"/>
    <n v="99"/>
    <n v="6.4000000000000003E-3"/>
  </r>
  <r>
    <x v="1"/>
    <x v="54"/>
    <x v="4"/>
    <x v="0"/>
    <x v="13"/>
    <n v="88"/>
    <n v="5.0000000000000001E-3"/>
  </r>
  <r>
    <x v="0"/>
    <x v="55"/>
    <x v="4"/>
    <x v="0"/>
    <x v="0"/>
    <n v="98"/>
    <n v="8.9700000000000002E-2"/>
  </r>
  <r>
    <x v="0"/>
    <x v="55"/>
    <x v="4"/>
    <x v="0"/>
    <x v="1"/>
    <n v="107"/>
    <n v="1.15E-2"/>
  </r>
  <r>
    <x v="0"/>
    <x v="55"/>
    <x v="4"/>
    <x v="0"/>
    <x v="2"/>
    <n v="100"/>
    <n v="3.6999999999999998E-2"/>
  </r>
  <r>
    <x v="0"/>
    <x v="55"/>
    <x v="4"/>
    <x v="0"/>
    <x v="3"/>
    <n v="97"/>
    <n v="1.6799999999999999E-2"/>
  </r>
  <r>
    <x v="0"/>
    <x v="55"/>
    <x v="4"/>
    <x v="0"/>
    <x v="4"/>
    <n v="96"/>
    <n v="4.48E-2"/>
  </r>
  <r>
    <x v="0"/>
    <x v="55"/>
    <x v="4"/>
    <x v="0"/>
    <x v="5"/>
    <n v="100"/>
    <n v="1.3899999999999999E-2"/>
  </r>
  <r>
    <x v="0"/>
    <x v="55"/>
    <x v="4"/>
    <x v="0"/>
    <x v="6"/>
    <n v="100"/>
    <n v="1.38E-2"/>
  </r>
  <r>
    <x v="0"/>
    <x v="55"/>
    <x v="4"/>
    <x v="0"/>
    <x v="7"/>
    <n v="97"/>
    <n v="2.7900000000000001E-2"/>
  </r>
  <r>
    <x v="0"/>
    <x v="55"/>
    <x v="4"/>
    <x v="0"/>
    <x v="8"/>
    <n v="104"/>
    <n v="5.1000000000000004E-3"/>
  </r>
  <r>
    <x v="0"/>
    <x v="55"/>
    <x v="4"/>
    <x v="0"/>
    <x v="9"/>
    <n v="96"/>
    <n v="1.2800000000000001E-2"/>
  </r>
  <r>
    <x v="0"/>
    <x v="55"/>
    <x v="4"/>
    <x v="0"/>
    <x v="10"/>
    <n v="97"/>
    <n v="1.49E-2"/>
  </r>
  <r>
    <x v="0"/>
    <x v="55"/>
    <x v="4"/>
    <x v="0"/>
    <x v="11"/>
    <n v="96"/>
    <n v="1.77E-2"/>
  </r>
  <r>
    <x v="0"/>
    <x v="55"/>
    <x v="4"/>
    <x v="0"/>
    <x v="12"/>
    <n v="97"/>
    <n v="2.01E-2"/>
  </r>
  <r>
    <x v="0"/>
    <x v="55"/>
    <x v="4"/>
    <x v="0"/>
    <x v="13"/>
    <n v="104"/>
    <n v="1.6500000000000001E-2"/>
  </r>
  <r>
    <x v="0"/>
    <x v="56"/>
    <x v="4"/>
    <x v="0"/>
    <x v="0"/>
    <n v="116"/>
    <n v="0.13150000000000001"/>
  </r>
  <r>
    <x v="0"/>
    <x v="56"/>
    <x v="4"/>
    <x v="0"/>
    <x v="1"/>
    <n v="122"/>
    <n v="1.44E-2"/>
  </r>
  <r>
    <x v="0"/>
    <x v="56"/>
    <x v="4"/>
    <x v="0"/>
    <x v="2"/>
    <n v="124"/>
    <n v="4.9700000000000001E-2"/>
  </r>
  <r>
    <x v="0"/>
    <x v="56"/>
    <x v="4"/>
    <x v="0"/>
    <x v="3"/>
    <n v="116"/>
    <n v="4.3400000000000001E-2"/>
  </r>
  <r>
    <x v="0"/>
    <x v="56"/>
    <x v="4"/>
    <x v="0"/>
    <x v="4"/>
    <n v="114"/>
    <n v="8.2799999999999999E-2"/>
  </r>
  <r>
    <x v="0"/>
    <x v="56"/>
    <x v="4"/>
    <x v="0"/>
    <x v="5"/>
    <n v="115"/>
    <n v="2.3699999999999999E-2"/>
  </r>
  <r>
    <x v="0"/>
    <x v="56"/>
    <x v="4"/>
    <x v="0"/>
    <x v="6"/>
    <n v="117"/>
    <n v="2.52E-2"/>
  </r>
  <r>
    <x v="0"/>
    <x v="56"/>
    <x v="4"/>
    <x v="0"/>
    <x v="7"/>
    <n v="113"/>
    <n v="5.7500000000000002E-2"/>
  </r>
  <r>
    <x v="0"/>
    <x v="56"/>
    <x v="4"/>
    <x v="0"/>
    <x v="8"/>
    <n v="118"/>
    <n v="1.04E-2"/>
  </r>
  <r>
    <x v="0"/>
    <x v="56"/>
    <x v="4"/>
    <x v="0"/>
    <x v="9"/>
    <n v="117"/>
    <n v="3.3500000000000002E-2"/>
  </r>
  <r>
    <x v="0"/>
    <x v="56"/>
    <x v="4"/>
    <x v="0"/>
    <x v="10"/>
    <n v="115"/>
    <n v="2.5600000000000001E-2"/>
  </r>
  <r>
    <x v="0"/>
    <x v="56"/>
    <x v="4"/>
    <x v="0"/>
    <x v="11"/>
    <n v="113"/>
    <n v="3.3300000000000003E-2"/>
  </r>
  <r>
    <x v="0"/>
    <x v="56"/>
    <x v="4"/>
    <x v="0"/>
    <x v="12"/>
    <n v="113"/>
    <n v="4.0800000000000003E-2"/>
  </r>
  <r>
    <x v="0"/>
    <x v="56"/>
    <x v="4"/>
    <x v="0"/>
    <x v="13"/>
    <n v="118"/>
    <n v="2.58E-2"/>
  </r>
  <r>
    <x v="0"/>
    <x v="57"/>
    <x v="4"/>
    <x v="0"/>
    <x v="0"/>
    <n v="35"/>
    <n v="4.2299999999999997E-2"/>
  </r>
  <r>
    <x v="0"/>
    <x v="57"/>
    <x v="4"/>
    <x v="0"/>
    <x v="1"/>
    <n v="57"/>
    <n v="2.8999999999999998E-3"/>
  </r>
  <r>
    <x v="0"/>
    <x v="57"/>
    <x v="4"/>
    <x v="0"/>
    <x v="2"/>
    <n v="37"/>
    <n v="1.06E-2"/>
  </r>
  <r>
    <x v="0"/>
    <x v="57"/>
    <x v="4"/>
    <x v="0"/>
    <x v="3"/>
    <n v="37"/>
    <n v="6.8999999999999999E-3"/>
  </r>
  <r>
    <x v="0"/>
    <x v="57"/>
    <x v="4"/>
    <x v="0"/>
    <x v="4"/>
    <n v="35"/>
    <n v="2.1700000000000001E-2"/>
  </r>
  <r>
    <x v="0"/>
    <x v="57"/>
    <x v="4"/>
    <x v="0"/>
    <x v="5"/>
    <n v="46"/>
    <n v="4.4000000000000003E-3"/>
  </r>
  <r>
    <x v="0"/>
    <x v="57"/>
    <x v="4"/>
    <x v="0"/>
    <x v="6"/>
    <n v="44"/>
    <n v="5.8999999999999999E-3"/>
  </r>
  <r>
    <x v="0"/>
    <x v="57"/>
    <x v="4"/>
    <x v="0"/>
    <x v="7"/>
    <n v="33"/>
    <n v="1.46E-2"/>
  </r>
  <r>
    <x v="0"/>
    <x v="57"/>
    <x v="4"/>
    <x v="0"/>
    <x v="8"/>
    <n v="62"/>
    <n v="2.3E-3"/>
  </r>
  <r>
    <x v="0"/>
    <x v="57"/>
    <x v="4"/>
    <x v="0"/>
    <x v="9"/>
    <n v="37"/>
    <n v="4.5999999999999999E-3"/>
  </r>
  <r>
    <x v="0"/>
    <x v="57"/>
    <x v="4"/>
    <x v="0"/>
    <x v="10"/>
    <n v="41"/>
    <n v="4.3E-3"/>
  </r>
  <r>
    <x v="0"/>
    <x v="57"/>
    <x v="4"/>
    <x v="0"/>
    <x v="11"/>
    <n v="35"/>
    <n v="5.7999999999999996E-3"/>
  </r>
  <r>
    <x v="0"/>
    <x v="57"/>
    <x v="4"/>
    <x v="0"/>
    <x v="12"/>
    <n v="37"/>
    <n v="7.6E-3"/>
  </r>
  <r>
    <x v="0"/>
    <x v="57"/>
    <x v="4"/>
    <x v="0"/>
    <x v="13"/>
    <n v="55"/>
    <n v="5.1999999999999998E-3"/>
  </r>
  <r>
    <x v="0"/>
    <x v="58"/>
    <x v="4"/>
    <x v="0"/>
    <x v="0"/>
    <n v="115"/>
    <n v="0.11509999999999999"/>
  </r>
  <r>
    <x v="0"/>
    <x v="58"/>
    <x v="4"/>
    <x v="0"/>
    <x v="1"/>
    <n v="121"/>
    <n v="1.34E-2"/>
  </r>
  <r>
    <x v="0"/>
    <x v="58"/>
    <x v="4"/>
    <x v="0"/>
    <x v="2"/>
    <n v="118"/>
    <n v="4.4900000000000002E-2"/>
  </r>
  <r>
    <x v="0"/>
    <x v="58"/>
    <x v="4"/>
    <x v="0"/>
    <x v="3"/>
    <n v="121"/>
    <n v="4.5400000000000003E-2"/>
  </r>
  <r>
    <x v="0"/>
    <x v="58"/>
    <x v="4"/>
    <x v="0"/>
    <x v="4"/>
    <n v="109"/>
    <n v="6.88E-2"/>
  </r>
  <r>
    <x v="0"/>
    <x v="58"/>
    <x v="4"/>
    <x v="0"/>
    <x v="5"/>
    <n v="102"/>
    <n v="1.52E-2"/>
  </r>
  <r>
    <x v="0"/>
    <x v="58"/>
    <x v="4"/>
    <x v="0"/>
    <x v="6"/>
    <n v="102"/>
    <n v="1.67E-2"/>
  </r>
  <r>
    <x v="0"/>
    <x v="58"/>
    <x v="4"/>
    <x v="0"/>
    <x v="7"/>
    <n v="117"/>
    <n v="7.3300000000000004E-2"/>
  </r>
  <r>
    <x v="0"/>
    <x v="58"/>
    <x v="4"/>
    <x v="0"/>
    <x v="8"/>
    <n v="121"/>
    <n v="8.6999999999999994E-3"/>
  </r>
  <r>
    <x v="0"/>
    <x v="58"/>
    <x v="4"/>
    <x v="0"/>
    <x v="9"/>
    <n v="122"/>
    <n v="3.8600000000000002E-2"/>
  </r>
  <r>
    <x v="0"/>
    <x v="58"/>
    <x v="4"/>
    <x v="0"/>
    <x v="10"/>
    <n v="106"/>
    <n v="1.95E-2"/>
  </r>
  <r>
    <x v="0"/>
    <x v="58"/>
    <x v="4"/>
    <x v="0"/>
    <x v="11"/>
    <n v="107"/>
    <n v="2.6800000000000001E-2"/>
  </r>
  <r>
    <x v="0"/>
    <x v="58"/>
    <x v="4"/>
    <x v="0"/>
    <x v="12"/>
    <n v="110"/>
    <n v="3.3099999999999997E-2"/>
  </r>
  <r>
    <x v="0"/>
    <x v="58"/>
    <x v="4"/>
    <x v="0"/>
    <x v="13"/>
    <n v="117"/>
    <n v="2.23E-2"/>
  </r>
  <r>
    <x v="1"/>
    <x v="59"/>
    <x v="4"/>
    <x v="0"/>
    <x v="0"/>
    <n v="121"/>
    <n v="0.03"/>
  </r>
  <r>
    <x v="1"/>
    <x v="59"/>
    <x v="4"/>
    <x v="0"/>
    <x v="1"/>
    <n v="113"/>
    <n v="3.8E-3"/>
  </r>
  <r>
    <x v="1"/>
    <x v="59"/>
    <x v="4"/>
    <x v="0"/>
    <x v="2"/>
    <n v="118"/>
    <n v="9.4999999999999998E-3"/>
  </r>
  <r>
    <x v="1"/>
    <x v="59"/>
    <x v="4"/>
    <x v="0"/>
    <x v="3"/>
    <n v="131"/>
    <n v="8.5000000000000006E-3"/>
  </r>
  <r>
    <x v="1"/>
    <x v="59"/>
    <x v="4"/>
    <x v="0"/>
    <x v="4"/>
    <n v="126"/>
    <n v="1.7600000000000001E-2"/>
  </r>
  <r>
    <x v="1"/>
    <x v="59"/>
    <x v="4"/>
    <x v="0"/>
    <x v="5"/>
    <n v="122"/>
    <n v="5.7999999999999996E-3"/>
  </r>
  <r>
    <x v="1"/>
    <x v="59"/>
    <x v="4"/>
    <x v="0"/>
    <x v="6"/>
    <n v="119"/>
    <n v="6.3E-3"/>
  </r>
  <r>
    <x v="1"/>
    <x v="59"/>
    <x v="4"/>
    <x v="0"/>
    <x v="7"/>
    <n v="112"/>
    <n v="1.29E-2"/>
  </r>
  <r>
    <x v="1"/>
    <x v="59"/>
    <x v="4"/>
    <x v="0"/>
    <x v="8"/>
    <n v="110"/>
    <n v="3.0000000000000001E-3"/>
  </r>
  <r>
    <x v="1"/>
    <x v="59"/>
    <x v="4"/>
    <x v="0"/>
    <x v="9"/>
    <n v="130"/>
    <n v="6.4999999999999997E-3"/>
  </r>
  <r>
    <x v="1"/>
    <x v="59"/>
    <x v="4"/>
    <x v="0"/>
    <x v="10"/>
    <n v="125"/>
    <n v="5.7000000000000002E-3"/>
  </r>
  <r>
    <x v="1"/>
    <x v="59"/>
    <x v="4"/>
    <x v="0"/>
    <x v="11"/>
    <n v="126"/>
    <n v="7.7000000000000002E-3"/>
  </r>
  <r>
    <x v="1"/>
    <x v="59"/>
    <x v="4"/>
    <x v="0"/>
    <x v="12"/>
    <n v="125"/>
    <n v="7.7000000000000002E-3"/>
  </r>
  <r>
    <x v="1"/>
    <x v="59"/>
    <x v="4"/>
    <x v="0"/>
    <x v="13"/>
    <n v="108"/>
    <n v="6.6E-3"/>
  </r>
  <r>
    <x v="0"/>
    <x v="60"/>
    <x v="4"/>
    <x v="0"/>
    <x v="0"/>
    <n v="116"/>
    <n v="0.1958"/>
  </r>
  <r>
    <x v="0"/>
    <x v="60"/>
    <x v="4"/>
    <x v="0"/>
    <x v="1"/>
    <n v="116"/>
    <n v="2.9399999999999999E-2"/>
  </r>
  <r>
    <x v="0"/>
    <x v="60"/>
    <x v="4"/>
    <x v="0"/>
    <x v="2"/>
    <n v="119"/>
    <n v="8.4599999999999995E-2"/>
  </r>
  <r>
    <x v="0"/>
    <x v="60"/>
    <x v="4"/>
    <x v="0"/>
    <x v="3"/>
    <n v="123"/>
    <n v="6.83E-2"/>
  </r>
  <r>
    <x v="0"/>
    <x v="60"/>
    <x v="4"/>
    <x v="0"/>
    <x v="4"/>
    <n v="114"/>
    <n v="0.1255"/>
  </r>
  <r>
    <x v="0"/>
    <x v="60"/>
    <x v="4"/>
    <x v="0"/>
    <x v="5"/>
    <n v="110"/>
    <n v="4.7199999999999999E-2"/>
  </r>
  <r>
    <x v="0"/>
    <x v="60"/>
    <x v="4"/>
    <x v="0"/>
    <x v="6"/>
    <n v="111"/>
    <n v="4.7500000000000001E-2"/>
  </r>
  <r>
    <x v="0"/>
    <x v="60"/>
    <x v="4"/>
    <x v="0"/>
    <x v="7"/>
    <n v="117"/>
    <n v="9.9099999999999994E-2"/>
  </r>
  <r>
    <x v="0"/>
    <x v="60"/>
    <x v="4"/>
    <x v="0"/>
    <x v="8"/>
    <n v="114"/>
    <n v="2.2200000000000001E-2"/>
  </r>
  <r>
    <x v="0"/>
    <x v="60"/>
    <x v="4"/>
    <x v="0"/>
    <x v="9"/>
    <n v="122"/>
    <n v="5.5100000000000003E-2"/>
  </r>
  <r>
    <x v="0"/>
    <x v="60"/>
    <x v="4"/>
    <x v="0"/>
    <x v="10"/>
    <n v="110"/>
    <n v="5.0900000000000001E-2"/>
  </r>
  <r>
    <x v="0"/>
    <x v="60"/>
    <x v="4"/>
    <x v="0"/>
    <x v="11"/>
    <n v="112"/>
    <n v="6.0199999999999997E-2"/>
  </r>
  <r>
    <x v="0"/>
    <x v="60"/>
    <x v="4"/>
    <x v="0"/>
    <x v="12"/>
    <n v="112"/>
    <n v="6.4100000000000004E-2"/>
  </r>
  <r>
    <x v="0"/>
    <x v="60"/>
    <x v="4"/>
    <x v="0"/>
    <x v="13"/>
    <n v="115"/>
    <n v="0.04"/>
  </r>
  <r>
    <x v="0"/>
    <x v="61"/>
    <x v="4"/>
    <x v="0"/>
    <x v="0"/>
    <n v="122"/>
    <n v="0.26979999999999998"/>
  </r>
  <r>
    <x v="0"/>
    <x v="61"/>
    <x v="4"/>
    <x v="0"/>
    <x v="1"/>
    <n v="118"/>
    <n v="4.4400000000000002E-2"/>
  </r>
  <r>
    <x v="0"/>
    <x v="61"/>
    <x v="4"/>
    <x v="0"/>
    <x v="2"/>
    <n v="120"/>
    <n v="0.1177"/>
  </r>
  <r>
    <x v="0"/>
    <x v="61"/>
    <x v="4"/>
    <x v="0"/>
    <x v="3"/>
    <n v="122"/>
    <n v="0.10489999999999999"/>
  </r>
  <r>
    <x v="0"/>
    <x v="61"/>
    <x v="4"/>
    <x v="0"/>
    <x v="4"/>
    <n v="126"/>
    <n v="0.1966"/>
  </r>
  <r>
    <x v="0"/>
    <x v="61"/>
    <x v="4"/>
    <x v="0"/>
    <x v="5"/>
    <n v="116"/>
    <n v="7.1300000000000002E-2"/>
  </r>
  <r>
    <x v="0"/>
    <x v="61"/>
    <x v="4"/>
    <x v="0"/>
    <x v="6"/>
    <n v="115"/>
    <n v="7.2300000000000003E-2"/>
  </r>
  <r>
    <x v="0"/>
    <x v="61"/>
    <x v="4"/>
    <x v="0"/>
    <x v="7"/>
    <n v="121"/>
    <n v="0.15640000000000001"/>
  </r>
  <r>
    <x v="0"/>
    <x v="61"/>
    <x v="4"/>
    <x v="0"/>
    <x v="8"/>
    <n v="115"/>
    <n v="3.6200000000000003E-2"/>
  </r>
  <r>
    <x v="0"/>
    <x v="61"/>
    <x v="4"/>
    <x v="0"/>
    <x v="9"/>
    <n v="122"/>
    <n v="8.6400000000000005E-2"/>
  </r>
  <r>
    <x v="0"/>
    <x v="61"/>
    <x v="4"/>
    <x v="0"/>
    <x v="10"/>
    <n v="119"/>
    <n v="8.6300000000000002E-2"/>
  </r>
  <r>
    <x v="0"/>
    <x v="61"/>
    <x v="4"/>
    <x v="0"/>
    <x v="11"/>
    <n v="123"/>
    <n v="0.1142"/>
  </r>
  <r>
    <x v="0"/>
    <x v="61"/>
    <x v="4"/>
    <x v="0"/>
    <x v="12"/>
    <n v="129"/>
    <n v="0.1207"/>
  </r>
  <r>
    <x v="0"/>
    <x v="61"/>
    <x v="4"/>
    <x v="0"/>
    <x v="13"/>
    <n v="117"/>
    <n v="7.3899999999999993E-2"/>
  </r>
  <r>
    <x v="1"/>
    <x v="62"/>
    <x v="4"/>
    <x v="0"/>
    <x v="0"/>
    <n v="118"/>
    <n v="3.5000000000000003E-2"/>
  </r>
  <r>
    <x v="1"/>
    <x v="62"/>
    <x v="4"/>
    <x v="0"/>
    <x v="1"/>
    <n v="120"/>
    <n v="4.1999999999999997E-3"/>
  </r>
  <r>
    <x v="1"/>
    <x v="62"/>
    <x v="4"/>
    <x v="0"/>
    <x v="2"/>
    <n v="115"/>
    <n v="1.18E-2"/>
  </r>
  <r>
    <x v="1"/>
    <x v="62"/>
    <x v="4"/>
    <x v="0"/>
    <x v="3"/>
    <n v="118"/>
    <n v="9.4999999999999998E-3"/>
  </r>
  <r>
    <x v="1"/>
    <x v="62"/>
    <x v="4"/>
    <x v="0"/>
    <x v="4"/>
    <n v="124"/>
    <n v="1.9599999999999999E-2"/>
  </r>
  <r>
    <x v="1"/>
    <x v="62"/>
    <x v="4"/>
    <x v="0"/>
    <x v="5"/>
    <n v="120"/>
    <n v="5.1000000000000004E-3"/>
  </r>
  <r>
    <x v="1"/>
    <x v="62"/>
    <x v="4"/>
    <x v="0"/>
    <x v="6"/>
    <n v="118"/>
    <n v="6.1999999999999998E-3"/>
  </r>
  <r>
    <x v="1"/>
    <x v="62"/>
    <x v="4"/>
    <x v="0"/>
    <x v="7"/>
    <n v="112"/>
    <n v="1.5800000000000002E-2"/>
  </r>
  <r>
    <x v="1"/>
    <x v="62"/>
    <x v="4"/>
    <x v="0"/>
    <x v="8"/>
    <n v="121"/>
    <n v="3.0999999999999999E-3"/>
  </r>
  <r>
    <x v="1"/>
    <x v="62"/>
    <x v="4"/>
    <x v="0"/>
    <x v="9"/>
    <n v="113"/>
    <n v="7.4000000000000003E-3"/>
  </r>
  <r>
    <x v="1"/>
    <x v="62"/>
    <x v="4"/>
    <x v="0"/>
    <x v="10"/>
    <n v="123"/>
    <n v="5.1999999999999998E-3"/>
  </r>
  <r>
    <x v="1"/>
    <x v="62"/>
    <x v="4"/>
    <x v="0"/>
    <x v="11"/>
    <n v="124"/>
    <n v="7.1000000000000004E-3"/>
  </r>
  <r>
    <x v="1"/>
    <x v="62"/>
    <x v="4"/>
    <x v="0"/>
    <x v="12"/>
    <n v="124"/>
    <n v="8.0999999999999996E-3"/>
  </r>
  <r>
    <x v="1"/>
    <x v="62"/>
    <x v="4"/>
    <x v="0"/>
    <x v="13"/>
    <n v="119"/>
    <n v="6.7999999999999996E-3"/>
  </r>
  <r>
    <x v="1"/>
    <x v="63"/>
    <x v="4"/>
    <x v="0"/>
    <x v="0"/>
    <n v="125"/>
    <n v="7.3200000000000001E-2"/>
  </r>
  <r>
    <x v="1"/>
    <x v="63"/>
    <x v="4"/>
    <x v="0"/>
    <x v="1"/>
    <n v="128"/>
    <n v="1.35E-2"/>
  </r>
  <r>
    <x v="1"/>
    <x v="63"/>
    <x v="4"/>
    <x v="0"/>
    <x v="2"/>
    <n v="126"/>
    <n v="2.9899999999999999E-2"/>
  </r>
  <r>
    <x v="1"/>
    <x v="63"/>
    <x v="4"/>
    <x v="0"/>
    <x v="3"/>
    <n v="121"/>
    <n v="2.63E-2"/>
  </r>
  <r>
    <x v="1"/>
    <x v="63"/>
    <x v="4"/>
    <x v="0"/>
    <x v="4"/>
    <n v="130"/>
    <n v="4.9399999999999999E-2"/>
  </r>
  <r>
    <x v="1"/>
    <x v="63"/>
    <x v="4"/>
    <x v="0"/>
    <x v="5"/>
    <n v="119"/>
    <n v="1.6899999999999998E-2"/>
  </r>
  <r>
    <x v="1"/>
    <x v="63"/>
    <x v="4"/>
    <x v="0"/>
    <x v="6"/>
    <n v="119"/>
    <n v="1.8800000000000001E-2"/>
  </r>
  <r>
    <x v="1"/>
    <x v="63"/>
    <x v="4"/>
    <x v="0"/>
    <x v="7"/>
    <n v="128"/>
    <n v="4.0300000000000002E-2"/>
  </r>
  <r>
    <x v="1"/>
    <x v="63"/>
    <x v="4"/>
    <x v="0"/>
    <x v="8"/>
    <n v="120"/>
    <n v="1.09E-2"/>
  </r>
  <r>
    <x v="1"/>
    <x v="63"/>
    <x v="4"/>
    <x v="0"/>
    <x v="9"/>
    <n v="117"/>
    <n v="2.07E-2"/>
  </r>
  <r>
    <x v="1"/>
    <x v="63"/>
    <x v="4"/>
    <x v="0"/>
    <x v="10"/>
    <n v="125"/>
    <n v="1.8100000000000002E-2"/>
  </r>
  <r>
    <x v="1"/>
    <x v="63"/>
    <x v="4"/>
    <x v="0"/>
    <x v="11"/>
    <n v="130"/>
    <n v="2.4E-2"/>
  </r>
  <r>
    <x v="1"/>
    <x v="63"/>
    <x v="4"/>
    <x v="0"/>
    <x v="12"/>
    <n v="132"/>
    <n v="2.6599999999999999E-2"/>
  </r>
  <r>
    <x v="1"/>
    <x v="63"/>
    <x v="4"/>
    <x v="0"/>
    <x v="13"/>
    <n v="124"/>
    <n v="1.9800000000000002E-2"/>
  </r>
  <r>
    <x v="0"/>
    <x v="64"/>
    <x v="4"/>
    <x v="0"/>
    <x v="0"/>
    <n v="107"/>
    <n v="0.18390000000000001"/>
  </r>
  <r>
    <x v="0"/>
    <x v="64"/>
    <x v="4"/>
    <x v="0"/>
    <x v="1"/>
    <n v="96"/>
    <n v="3.1399999999999997E-2"/>
  </r>
  <r>
    <x v="0"/>
    <x v="64"/>
    <x v="4"/>
    <x v="0"/>
    <x v="2"/>
    <n v="110"/>
    <n v="6.6500000000000004E-2"/>
  </r>
  <r>
    <x v="0"/>
    <x v="64"/>
    <x v="4"/>
    <x v="0"/>
    <x v="3"/>
    <n v="107"/>
    <n v="5.1700000000000003E-2"/>
  </r>
  <r>
    <x v="0"/>
    <x v="64"/>
    <x v="4"/>
    <x v="0"/>
    <x v="4"/>
    <n v="110"/>
    <n v="0.1119"/>
  </r>
  <r>
    <x v="0"/>
    <x v="64"/>
    <x v="4"/>
    <x v="0"/>
    <x v="5"/>
    <n v="108"/>
    <n v="3.5400000000000001E-2"/>
  </r>
  <r>
    <x v="0"/>
    <x v="64"/>
    <x v="4"/>
    <x v="0"/>
    <x v="6"/>
    <n v="103"/>
    <n v="4.1599999999999998E-2"/>
  </r>
  <r>
    <x v="0"/>
    <x v="64"/>
    <x v="4"/>
    <x v="0"/>
    <x v="7"/>
    <n v="109"/>
    <n v="8.7099999999999997E-2"/>
  </r>
  <r>
    <x v="0"/>
    <x v="64"/>
    <x v="4"/>
    <x v="0"/>
    <x v="8"/>
    <n v="101"/>
    <n v="2.2200000000000001E-2"/>
  </r>
  <r>
    <x v="0"/>
    <x v="64"/>
    <x v="4"/>
    <x v="0"/>
    <x v="9"/>
    <n v="106"/>
    <n v="4.0099999999999997E-2"/>
  </r>
  <r>
    <x v="0"/>
    <x v="64"/>
    <x v="4"/>
    <x v="0"/>
    <x v="10"/>
    <n v="110"/>
    <n v="3.7999999999999999E-2"/>
  </r>
  <r>
    <x v="0"/>
    <x v="64"/>
    <x v="4"/>
    <x v="0"/>
    <x v="11"/>
    <n v="111"/>
    <n v="4.5900000000000003E-2"/>
  </r>
  <r>
    <x v="0"/>
    <x v="64"/>
    <x v="4"/>
    <x v="0"/>
    <x v="12"/>
    <n v="112"/>
    <n v="5.16E-2"/>
  </r>
  <r>
    <x v="0"/>
    <x v="64"/>
    <x v="4"/>
    <x v="0"/>
    <x v="13"/>
    <n v="99"/>
    <n v="4.9000000000000002E-2"/>
  </r>
  <r>
    <x v="0"/>
    <x v="126"/>
    <x v="4"/>
    <x v="0"/>
    <x v="0"/>
    <n v="26"/>
    <n v="3.5000000000000001E-3"/>
  </r>
  <r>
    <x v="0"/>
    <x v="126"/>
    <x v="4"/>
    <x v="0"/>
    <x v="1"/>
    <n v="31"/>
    <n v="2.0000000000000001E-4"/>
  </r>
  <r>
    <x v="0"/>
    <x v="126"/>
    <x v="4"/>
    <x v="0"/>
    <x v="2"/>
    <n v="25"/>
    <n v="1.2999999999999999E-3"/>
  </r>
  <r>
    <x v="0"/>
    <x v="126"/>
    <x v="4"/>
    <x v="0"/>
    <x v="3"/>
    <n v="26"/>
    <n v="8.9999999999999998E-4"/>
  </r>
  <r>
    <x v="0"/>
    <x v="126"/>
    <x v="4"/>
    <x v="0"/>
    <x v="4"/>
    <n v="26"/>
    <n v="2.3999999999999998E-3"/>
  </r>
  <r>
    <x v="0"/>
    <x v="126"/>
    <x v="4"/>
    <x v="0"/>
    <x v="5"/>
    <n v="26"/>
    <n v="5.9999999999999995E-4"/>
  </r>
  <r>
    <x v="0"/>
    <x v="126"/>
    <x v="4"/>
    <x v="0"/>
    <x v="6"/>
    <n v="38"/>
    <n v="5.0000000000000001E-4"/>
  </r>
  <r>
    <x v="0"/>
    <x v="126"/>
    <x v="4"/>
    <x v="0"/>
    <x v="7"/>
    <n v="27"/>
    <n v="1.9E-3"/>
  </r>
  <r>
    <x v="0"/>
    <x v="126"/>
    <x v="4"/>
    <x v="0"/>
    <x v="8"/>
    <n v="47"/>
    <n v="1E-4"/>
  </r>
  <r>
    <x v="0"/>
    <x v="126"/>
    <x v="4"/>
    <x v="0"/>
    <x v="9"/>
    <n v="25"/>
    <n v="6.9999999999999999E-4"/>
  </r>
  <r>
    <x v="0"/>
    <x v="126"/>
    <x v="4"/>
    <x v="0"/>
    <x v="10"/>
    <n v="26"/>
    <n v="5.9999999999999995E-4"/>
  </r>
  <r>
    <x v="0"/>
    <x v="126"/>
    <x v="4"/>
    <x v="0"/>
    <x v="11"/>
    <n v="26"/>
    <n v="1.1000000000000001E-3"/>
  </r>
  <r>
    <x v="0"/>
    <x v="126"/>
    <x v="4"/>
    <x v="0"/>
    <x v="12"/>
    <n v="27"/>
    <n v="1.1999999999999999E-3"/>
  </r>
  <r>
    <x v="0"/>
    <x v="126"/>
    <x v="4"/>
    <x v="0"/>
    <x v="13"/>
    <n v="32"/>
    <n v="4.0000000000000002E-4"/>
  </r>
  <r>
    <x v="0"/>
    <x v="65"/>
    <x v="4"/>
    <x v="0"/>
    <x v="0"/>
    <n v="109"/>
    <n v="0.39400000000000002"/>
  </r>
  <r>
    <x v="0"/>
    <x v="65"/>
    <x v="4"/>
    <x v="0"/>
    <x v="1"/>
    <n v="108"/>
    <n v="7.9200000000000007E-2"/>
  </r>
  <r>
    <x v="0"/>
    <x v="65"/>
    <x v="4"/>
    <x v="0"/>
    <x v="2"/>
    <n v="110"/>
    <n v="0.18770000000000001"/>
  </r>
  <r>
    <x v="0"/>
    <x v="65"/>
    <x v="4"/>
    <x v="0"/>
    <x v="3"/>
    <n v="112"/>
    <n v="0.1787"/>
  </r>
  <r>
    <x v="0"/>
    <x v="65"/>
    <x v="4"/>
    <x v="0"/>
    <x v="4"/>
    <n v="109"/>
    <n v="0.30309999999999998"/>
  </r>
  <r>
    <x v="0"/>
    <x v="65"/>
    <x v="4"/>
    <x v="0"/>
    <x v="5"/>
    <n v="107"/>
    <n v="0.10979999999999999"/>
  </r>
  <r>
    <x v="0"/>
    <x v="65"/>
    <x v="4"/>
    <x v="0"/>
    <x v="6"/>
    <n v="105"/>
    <n v="0.1065"/>
  </r>
  <r>
    <x v="0"/>
    <x v="65"/>
    <x v="4"/>
    <x v="0"/>
    <x v="7"/>
    <n v="108"/>
    <n v="0.24729999999999999"/>
  </r>
  <r>
    <x v="0"/>
    <x v="65"/>
    <x v="4"/>
    <x v="0"/>
    <x v="8"/>
    <n v="108"/>
    <n v="5.8999999999999997E-2"/>
  </r>
  <r>
    <x v="0"/>
    <x v="65"/>
    <x v="4"/>
    <x v="0"/>
    <x v="9"/>
    <n v="113"/>
    <n v="0.1454"/>
  </r>
  <r>
    <x v="0"/>
    <x v="65"/>
    <x v="4"/>
    <x v="0"/>
    <x v="10"/>
    <n v="108"/>
    <n v="0.1343"/>
  </r>
  <r>
    <x v="0"/>
    <x v="65"/>
    <x v="4"/>
    <x v="0"/>
    <x v="11"/>
    <n v="111"/>
    <n v="0.17299999999999999"/>
  </r>
  <r>
    <x v="0"/>
    <x v="65"/>
    <x v="4"/>
    <x v="0"/>
    <x v="12"/>
    <n v="109"/>
    <n v="0.1963"/>
  </r>
  <r>
    <x v="0"/>
    <x v="65"/>
    <x v="4"/>
    <x v="0"/>
    <x v="13"/>
    <n v="108"/>
    <n v="0.12"/>
  </r>
  <r>
    <x v="0"/>
    <x v="66"/>
    <x v="4"/>
    <x v="0"/>
    <x v="0"/>
    <n v="110"/>
    <n v="0.223"/>
  </r>
  <r>
    <x v="0"/>
    <x v="66"/>
    <x v="4"/>
    <x v="0"/>
    <x v="1"/>
    <n v="103"/>
    <n v="3.2599999999999997E-2"/>
  </r>
  <r>
    <x v="0"/>
    <x v="66"/>
    <x v="4"/>
    <x v="0"/>
    <x v="2"/>
    <n v="101"/>
    <n v="7.4499999999999997E-2"/>
  </r>
  <r>
    <x v="0"/>
    <x v="66"/>
    <x v="4"/>
    <x v="0"/>
    <x v="3"/>
    <n v="113"/>
    <n v="7.4399999999999994E-2"/>
  </r>
  <r>
    <x v="0"/>
    <x v="66"/>
    <x v="4"/>
    <x v="0"/>
    <x v="4"/>
    <n v="114"/>
    <n v="0.14960000000000001"/>
  </r>
  <r>
    <x v="0"/>
    <x v="66"/>
    <x v="4"/>
    <x v="0"/>
    <x v="5"/>
    <n v="111"/>
    <n v="5.28E-2"/>
  </r>
  <r>
    <x v="0"/>
    <x v="66"/>
    <x v="4"/>
    <x v="0"/>
    <x v="6"/>
    <n v="108"/>
    <n v="5.4899999999999997E-2"/>
  </r>
  <r>
    <x v="0"/>
    <x v="66"/>
    <x v="4"/>
    <x v="0"/>
    <x v="7"/>
    <n v="105"/>
    <n v="0.10150000000000001"/>
  </r>
  <r>
    <x v="0"/>
    <x v="66"/>
    <x v="4"/>
    <x v="0"/>
    <x v="8"/>
    <n v="107"/>
    <n v="2.6599999999999999E-2"/>
  </r>
  <r>
    <x v="0"/>
    <x v="66"/>
    <x v="4"/>
    <x v="0"/>
    <x v="9"/>
    <n v="110"/>
    <n v="5.5399999999999998E-2"/>
  </r>
  <r>
    <x v="0"/>
    <x v="66"/>
    <x v="4"/>
    <x v="0"/>
    <x v="10"/>
    <n v="116"/>
    <n v="5.79E-2"/>
  </r>
  <r>
    <x v="0"/>
    <x v="66"/>
    <x v="4"/>
    <x v="0"/>
    <x v="11"/>
    <n v="114"/>
    <n v="6.8699999999999997E-2"/>
  </r>
  <r>
    <x v="0"/>
    <x v="66"/>
    <x v="4"/>
    <x v="0"/>
    <x v="12"/>
    <n v="114"/>
    <n v="7.7799999999999994E-2"/>
  </r>
  <r>
    <x v="0"/>
    <x v="66"/>
    <x v="4"/>
    <x v="0"/>
    <x v="13"/>
    <n v="104"/>
    <n v="5.2400000000000002E-2"/>
  </r>
  <r>
    <x v="0"/>
    <x v="67"/>
    <x v="4"/>
    <x v="0"/>
    <x v="0"/>
    <n v="97"/>
    <n v="0.16250000000000001"/>
  </r>
  <r>
    <x v="0"/>
    <x v="67"/>
    <x v="4"/>
    <x v="0"/>
    <x v="1"/>
    <n v="97"/>
    <n v="2.75E-2"/>
  </r>
  <r>
    <x v="0"/>
    <x v="67"/>
    <x v="4"/>
    <x v="0"/>
    <x v="2"/>
    <n v="101"/>
    <n v="6.4600000000000005E-2"/>
  </r>
  <r>
    <x v="0"/>
    <x v="67"/>
    <x v="4"/>
    <x v="0"/>
    <x v="3"/>
    <n v="96"/>
    <n v="5.21E-2"/>
  </r>
  <r>
    <x v="0"/>
    <x v="67"/>
    <x v="4"/>
    <x v="0"/>
    <x v="4"/>
    <n v="96"/>
    <n v="0.1052"/>
  </r>
  <r>
    <x v="0"/>
    <x v="67"/>
    <x v="4"/>
    <x v="0"/>
    <x v="5"/>
    <n v="94"/>
    <n v="3.7699999999999997E-2"/>
  </r>
  <r>
    <x v="0"/>
    <x v="67"/>
    <x v="4"/>
    <x v="0"/>
    <x v="6"/>
    <n v="92"/>
    <n v="4.1399999999999999E-2"/>
  </r>
  <r>
    <x v="0"/>
    <x v="67"/>
    <x v="4"/>
    <x v="0"/>
    <x v="7"/>
    <n v="97"/>
    <n v="7.8799999999999995E-2"/>
  </r>
  <r>
    <x v="0"/>
    <x v="67"/>
    <x v="4"/>
    <x v="0"/>
    <x v="8"/>
    <n v="93"/>
    <n v="2.2100000000000002E-2"/>
  </r>
  <r>
    <x v="0"/>
    <x v="67"/>
    <x v="4"/>
    <x v="0"/>
    <x v="9"/>
    <n v="96"/>
    <n v="4.1500000000000002E-2"/>
  </r>
  <r>
    <x v="0"/>
    <x v="67"/>
    <x v="4"/>
    <x v="0"/>
    <x v="10"/>
    <n v="96"/>
    <n v="3.9100000000000003E-2"/>
  </r>
  <r>
    <x v="0"/>
    <x v="67"/>
    <x v="4"/>
    <x v="0"/>
    <x v="11"/>
    <n v="98"/>
    <n v="4.9500000000000002E-2"/>
  </r>
  <r>
    <x v="0"/>
    <x v="67"/>
    <x v="4"/>
    <x v="0"/>
    <x v="12"/>
    <n v="98"/>
    <n v="5.62E-2"/>
  </r>
  <r>
    <x v="0"/>
    <x v="67"/>
    <x v="4"/>
    <x v="0"/>
    <x v="13"/>
    <n v="95"/>
    <n v="4.1500000000000002E-2"/>
  </r>
  <r>
    <x v="1"/>
    <x v="68"/>
    <x v="4"/>
    <x v="1"/>
    <x v="0"/>
    <n v="110"/>
    <n v="0.41360000000000002"/>
  </r>
  <r>
    <x v="1"/>
    <x v="68"/>
    <x v="4"/>
    <x v="1"/>
    <x v="1"/>
    <n v="107"/>
    <n v="7.51E-2"/>
  </r>
  <r>
    <x v="1"/>
    <x v="68"/>
    <x v="4"/>
    <x v="1"/>
    <x v="2"/>
    <n v="112"/>
    <n v="0.1857"/>
  </r>
  <r>
    <x v="1"/>
    <x v="68"/>
    <x v="4"/>
    <x v="1"/>
    <x v="3"/>
    <n v="110"/>
    <n v="0.16239999999999999"/>
  </r>
  <r>
    <x v="1"/>
    <x v="68"/>
    <x v="4"/>
    <x v="1"/>
    <x v="4"/>
    <n v="110"/>
    <n v="0.30109999999999998"/>
  </r>
  <r>
    <x v="1"/>
    <x v="68"/>
    <x v="4"/>
    <x v="1"/>
    <x v="5"/>
    <n v="106"/>
    <n v="0.1051"/>
  </r>
  <r>
    <x v="1"/>
    <x v="68"/>
    <x v="4"/>
    <x v="1"/>
    <x v="6"/>
    <n v="107"/>
    <n v="0.1047"/>
  </r>
  <r>
    <x v="1"/>
    <x v="68"/>
    <x v="4"/>
    <x v="1"/>
    <x v="7"/>
    <n v="113"/>
    <n v="0.21310000000000001"/>
  </r>
  <r>
    <x v="1"/>
    <x v="68"/>
    <x v="4"/>
    <x v="1"/>
    <x v="8"/>
    <n v="107"/>
    <n v="5.0700000000000002E-2"/>
  </r>
  <r>
    <x v="1"/>
    <x v="68"/>
    <x v="4"/>
    <x v="1"/>
    <x v="9"/>
    <n v="111"/>
    <n v="0.1333"/>
  </r>
  <r>
    <x v="1"/>
    <x v="68"/>
    <x v="4"/>
    <x v="1"/>
    <x v="10"/>
    <n v="108"/>
    <n v="0.124"/>
  </r>
  <r>
    <x v="1"/>
    <x v="68"/>
    <x v="4"/>
    <x v="1"/>
    <x v="11"/>
    <n v="110"/>
    <n v="0.1545"/>
  </r>
  <r>
    <x v="1"/>
    <x v="68"/>
    <x v="4"/>
    <x v="1"/>
    <x v="12"/>
    <n v="110"/>
    <n v="0.17469999999999999"/>
  </r>
  <r>
    <x v="1"/>
    <x v="68"/>
    <x v="4"/>
    <x v="1"/>
    <x v="13"/>
    <n v="108"/>
    <n v="0.1111"/>
  </r>
  <r>
    <x v="0"/>
    <x v="69"/>
    <x v="4"/>
    <x v="0"/>
    <x v="0"/>
    <n v="86"/>
    <n v="0.11310000000000001"/>
  </r>
  <r>
    <x v="0"/>
    <x v="69"/>
    <x v="4"/>
    <x v="0"/>
    <x v="1"/>
    <n v="83"/>
    <n v="1.52E-2"/>
  </r>
  <r>
    <x v="0"/>
    <x v="69"/>
    <x v="4"/>
    <x v="0"/>
    <x v="2"/>
    <n v="90"/>
    <n v="3.9699999999999999E-2"/>
  </r>
  <r>
    <x v="0"/>
    <x v="69"/>
    <x v="4"/>
    <x v="0"/>
    <x v="3"/>
    <n v="86"/>
    <n v="3.2599999999999997E-2"/>
  </r>
  <r>
    <x v="0"/>
    <x v="69"/>
    <x v="4"/>
    <x v="0"/>
    <x v="4"/>
    <n v="86"/>
    <n v="6.8599999999999994E-2"/>
  </r>
  <r>
    <x v="0"/>
    <x v="69"/>
    <x v="4"/>
    <x v="0"/>
    <x v="5"/>
    <n v="84"/>
    <n v="2.29E-2"/>
  </r>
  <r>
    <x v="0"/>
    <x v="69"/>
    <x v="4"/>
    <x v="0"/>
    <x v="6"/>
    <n v="82"/>
    <n v="2.2200000000000001E-2"/>
  </r>
  <r>
    <x v="0"/>
    <x v="69"/>
    <x v="4"/>
    <x v="0"/>
    <x v="7"/>
    <n v="85"/>
    <n v="5.2499999999999998E-2"/>
  </r>
  <r>
    <x v="0"/>
    <x v="69"/>
    <x v="4"/>
    <x v="0"/>
    <x v="8"/>
    <n v="77"/>
    <n v="1.06E-2"/>
  </r>
  <r>
    <x v="0"/>
    <x v="69"/>
    <x v="4"/>
    <x v="0"/>
    <x v="9"/>
    <n v="87"/>
    <n v="2.4799999999999999E-2"/>
  </r>
  <r>
    <x v="0"/>
    <x v="69"/>
    <x v="4"/>
    <x v="0"/>
    <x v="10"/>
    <n v="83"/>
    <n v="2.12E-2"/>
  </r>
  <r>
    <x v="0"/>
    <x v="69"/>
    <x v="4"/>
    <x v="0"/>
    <x v="11"/>
    <n v="85"/>
    <n v="2.9100000000000001E-2"/>
  </r>
  <r>
    <x v="0"/>
    <x v="69"/>
    <x v="4"/>
    <x v="0"/>
    <x v="12"/>
    <n v="88"/>
    <n v="3.1800000000000002E-2"/>
  </r>
  <r>
    <x v="0"/>
    <x v="69"/>
    <x v="4"/>
    <x v="0"/>
    <x v="13"/>
    <n v="84"/>
    <n v="2.3699999999999999E-2"/>
  </r>
  <r>
    <x v="1"/>
    <x v="127"/>
    <x v="4"/>
    <x v="0"/>
    <x v="0"/>
    <n v="92"/>
    <n v="5.1999999999999998E-3"/>
  </r>
  <r>
    <x v="1"/>
    <x v="127"/>
    <x v="4"/>
    <x v="0"/>
    <x v="1"/>
    <n v="59"/>
    <n v="2.0000000000000001E-4"/>
  </r>
  <r>
    <x v="1"/>
    <x v="127"/>
    <x v="4"/>
    <x v="0"/>
    <x v="2"/>
    <n v="110"/>
    <n v="1.1999999999999999E-3"/>
  </r>
  <r>
    <x v="1"/>
    <x v="127"/>
    <x v="4"/>
    <x v="0"/>
    <x v="3"/>
    <n v="88"/>
    <n v="8.0000000000000004E-4"/>
  </r>
  <r>
    <x v="1"/>
    <x v="127"/>
    <x v="4"/>
    <x v="0"/>
    <x v="4"/>
    <n v="77"/>
    <n v="2.3E-3"/>
  </r>
  <r>
    <x v="1"/>
    <x v="127"/>
    <x v="4"/>
    <x v="0"/>
    <x v="5"/>
    <n v="59"/>
    <n v="5.9999999999999995E-4"/>
  </r>
  <r>
    <x v="1"/>
    <x v="127"/>
    <x v="4"/>
    <x v="0"/>
    <x v="6"/>
    <n v="93"/>
    <n v="6.9999999999999999E-4"/>
  </r>
  <r>
    <x v="1"/>
    <x v="127"/>
    <x v="4"/>
    <x v="0"/>
    <x v="7"/>
    <n v="100"/>
    <n v="1.6999999999999999E-3"/>
  </r>
  <r>
    <x v="1"/>
    <x v="127"/>
    <x v="4"/>
    <x v="0"/>
    <x v="9"/>
    <n v="110"/>
    <n v="5.9999999999999995E-4"/>
  </r>
  <r>
    <x v="1"/>
    <x v="127"/>
    <x v="4"/>
    <x v="0"/>
    <x v="10"/>
    <n v="81"/>
    <n v="4.0000000000000002E-4"/>
  </r>
  <r>
    <x v="1"/>
    <x v="127"/>
    <x v="4"/>
    <x v="0"/>
    <x v="11"/>
    <n v="59"/>
    <n v="5.0000000000000001E-4"/>
  </r>
  <r>
    <x v="1"/>
    <x v="127"/>
    <x v="4"/>
    <x v="0"/>
    <x v="12"/>
    <n v="74"/>
    <n v="6.9999999999999999E-4"/>
  </r>
  <r>
    <x v="1"/>
    <x v="127"/>
    <x v="4"/>
    <x v="0"/>
    <x v="13"/>
    <n v="109"/>
    <n v="5.0000000000000001E-4"/>
  </r>
  <r>
    <x v="0"/>
    <x v="70"/>
    <x v="4"/>
    <x v="0"/>
    <x v="0"/>
    <n v="103"/>
    <n v="0.29759999999999998"/>
  </r>
  <r>
    <x v="0"/>
    <x v="70"/>
    <x v="4"/>
    <x v="0"/>
    <x v="1"/>
    <n v="99"/>
    <n v="3.5099999999999999E-2"/>
  </r>
  <r>
    <x v="0"/>
    <x v="70"/>
    <x v="4"/>
    <x v="0"/>
    <x v="2"/>
    <n v="118"/>
    <n v="0.1056"/>
  </r>
  <r>
    <x v="0"/>
    <x v="70"/>
    <x v="4"/>
    <x v="0"/>
    <x v="3"/>
    <n v="122"/>
    <n v="9.1499999999999998E-2"/>
  </r>
  <r>
    <x v="0"/>
    <x v="70"/>
    <x v="4"/>
    <x v="0"/>
    <x v="4"/>
    <n v="101"/>
    <n v="0.2082"/>
  </r>
  <r>
    <x v="0"/>
    <x v="70"/>
    <x v="4"/>
    <x v="0"/>
    <x v="5"/>
    <n v="98"/>
    <n v="7.0300000000000001E-2"/>
  </r>
  <r>
    <x v="0"/>
    <x v="70"/>
    <x v="4"/>
    <x v="0"/>
    <x v="6"/>
    <n v="97"/>
    <n v="6.5600000000000006E-2"/>
  </r>
  <r>
    <x v="0"/>
    <x v="70"/>
    <x v="4"/>
    <x v="0"/>
    <x v="7"/>
    <n v="86"/>
    <n v="0.1555"/>
  </r>
  <r>
    <x v="0"/>
    <x v="70"/>
    <x v="4"/>
    <x v="0"/>
    <x v="8"/>
    <n v="99"/>
    <n v="2.5499999999999998E-2"/>
  </r>
  <r>
    <x v="0"/>
    <x v="70"/>
    <x v="4"/>
    <x v="0"/>
    <x v="9"/>
    <n v="124"/>
    <n v="7.2099999999999997E-2"/>
  </r>
  <r>
    <x v="0"/>
    <x v="70"/>
    <x v="4"/>
    <x v="0"/>
    <x v="10"/>
    <n v="100"/>
    <n v="7.6300000000000007E-2"/>
  </r>
  <r>
    <x v="0"/>
    <x v="70"/>
    <x v="4"/>
    <x v="0"/>
    <x v="11"/>
    <n v="102"/>
    <n v="0.1033"/>
  </r>
  <r>
    <x v="0"/>
    <x v="70"/>
    <x v="4"/>
    <x v="0"/>
    <x v="12"/>
    <n v="101"/>
    <n v="0.1133"/>
  </r>
  <r>
    <x v="0"/>
    <x v="70"/>
    <x v="4"/>
    <x v="0"/>
    <x v="13"/>
    <n v="94"/>
    <n v="5.5300000000000002E-2"/>
  </r>
  <r>
    <x v="0"/>
    <x v="71"/>
    <x v="4"/>
    <x v="0"/>
    <x v="0"/>
    <n v="85"/>
    <n v="7.0099999999999996E-2"/>
  </r>
  <r>
    <x v="0"/>
    <x v="71"/>
    <x v="4"/>
    <x v="0"/>
    <x v="1"/>
    <n v="85"/>
    <n v="5.7999999999999996E-3"/>
  </r>
  <r>
    <x v="0"/>
    <x v="71"/>
    <x v="4"/>
    <x v="0"/>
    <x v="2"/>
    <n v="73"/>
    <n v="1.6E-2"/>
  </r>
  <r>
    <x v="0"/>
    <x v="71"/>
    <x v="4"/>
    <x v="0"/>
    <x v="3"/>
    <n v="79"/>
    <n v="1.41E-2"/>
  </r>
  <r>
    <x v="0"/>
    <x v="71"/>
    <x v="4"/>
    <x v="0"/>
    <x v="4"/>
    <n v="82"/>
    <n v="4.0899999999999999E-2"/>
  </r>
  <r>
    <x v="0"/>
    <x v="71"/>
    <x v="4"/>
    <x v="0"/>
    <x v="5"/>
    <n v="86"/>
    <n v="9.7000000000000003E-3"/>
  </r>
  <r>
    <x v="0"/>
    <x v="71"/>
    <x v="4"/>
    <x v="0"/>
    <x v="6"/>
    <n v="96"/>
    <n v="1.0999999999999999E-2"/>
  </r>
  <r>
    <x v="0"/>
    <x v="71"/>
    <x v="4"/>
    <x v="0"/>
    <x v="7"/>
    <n v="93"/>
    <n v="2.5999999999999999E-2"/>
  </r>
  <r>
    <x v="0"/>
    <x v="71"/>
    <x v="4"/>
    <x v="0"/>
    <x v="8"/>
    <n v="99"/>
    <n v="4.7000000000000002E-3"/>
  </r>
  <r>
    <x v="0"/>
    <x v="71"/>
    <x v="4"/>
    <x v="0"/>
    <x v="9"/>
    <n v="78"/>
    <n v="9.7999999999999997E-3"/>
  </r>
  <r>
    <x v="0"/>
    <x v="71"/>
    <x v="4"/>
    <x v="0"/>
    <x v="10"/>
    <n v="85"/>
    <n v="1.11E-2"/>
  </r>
  <r>
    <x v="0"/>
    <x v="71"/>
    <x v="4"/>
    <x v="0"/>
    <x v="11"/>
    <n v="83"/>
    <n v="1.3599999999999999E-2"/>
  </r>
  <r>
    <x v="0"/>
    <x v="71"/>
    <x v="4"/>
    <x v="0"/>
    <x v="12"/>
    <n v="81"/>
    <n v="1.5800000000000002E-2"/>
  </r>
  <r>
    <x v="0"/>
    <x v="71"/>
    <x v="4"/>
    <x v="0"/>
    <x v="13"/>
    <n v="89"/>
    <n v="1.03E-2"/>
  </r>
  <r>
    <x v="0"/>
    <x v="136"/>
    <x v="4"/>
    <x v="0"/>
    <x v="0"/>
    <n v="83"/>
    <n v="0.26100000000000001"/>
  </r>
  <r>
    <x v="0"/>
    <x v="136"/>
    <x v="4"/>
    <x v="0"/>
    <x v="1"/>
    <n v="69"/>
    <n v="1.9599999999999999E-2"/>
  </r>
  <r>
    <x v="0"/>
    <x v="136"/>
    <x v="4"/>
    <x v="0"/>
    <x v="2"/>
    <n v="77"/>
    <n v="6.7500000000000004E-2"/>
  </r>
  <r>
    <x v="0"/>
    <x v="136"/>
    <x v="4"/>
    <x v="0"/>
    <x v="3"/>
    <n v="81"/>
    <n v="7.2900000000000006E-2"/>
  </r>
  <r>
    <x v="0"/>
    <x v="136"/>
    <x v="4"/>
    <x v="0"/>
    <x v="4"/>
    <n v="87"/>
    <n v="0.20369999999999999"/>
  </r>
  <r>
    <x v="0"/>
    <x v="136"/>
    <x v="4"/>
    <x v="0"/>
    <x v="5"/>
    <n v="77"/>
    <n v="4.1500000000000002E-2"/>
  </r>
  <r>
    <x v="0"/>
    <x v="136"/>
    <x v="4"/>
    <x v="0"/>
    <x v="6"/>
    <n v="73"/>
    <n v="3.5400000000000001E-2"/>
  </r>
  <r>
    <x v="0"/>
    <x v="136"/>
    <x v="4"/>
    <x v="0"/>
    <x v="7"/>
    <n v="76"/>
    <n v="9.8199999999999996E-2"/>
  </r>
  <r>
    <x v="0"/>
    <x v="136"/>
    <x v="4"/>
    <x v="0"/>
    <x v="8"/>
    <n v="70"/>
    <n v="1.1599999999999999E-2"/>
  </r>
  <r>
    <x v="0"/>
    <x v="136"/>
    <x v="4"/>
    <x v="0"/>
    <x v="9"/>
    <n v="80"/>
    <n v="4.2299999999999997E-2"/>
  </r>
  <r>
    <x v="0"/>
    <x v="136"/>
    <x v="4"/>
    <x v="0"/>
    <x v="10"/>
    <n v="80"/>
    <n v="5.6000000000000001E-2"/>
  </r>
  <r>
    <x v="0"/>
    <x v="136"/>
    <x v="4"/>
    <x v="0"/>
    <x v="11"/>
    <n v="83"/>
    <n v="0.10630000000000001"/>
  </r>
  <r>
    <x v="0"/>
    <x v="136"/>
    <x v="4"/>
    <x v="0"/>
    <x v="12"/>
    <n v="86"/>
    <n v="0.13400000000000001"/>
  </r>
  <r>
    <x v="0"/>
    <x v="136"/>
    <x v="4"/>
    <x v="0"/>
    <x v="13"/>
    <n v="69"/>
    <n v="2.9100000000000001E-2"/>
  </r>
  <r>
    <x v="0"/>
    <x v="72"/>
    <x v="4"/>
    <x v="0"/>
    <x v="0"/>
    <n v="116"/>
    <n v="0.1552"/>
  </r>
  <r>
    <x v="0"/>
    <x v="72"/>
    <x v="4"/>
    <x v="0"/>
    <x v="1"/>
    <n v="118"/>
    <n v="2.23E-2"/>
  </r>
  <r>
    <x v="0"/>
    <x v="72"/>
    <x v="4"/>
    <x v="0"/>
    <x v="2"/>
    <n v="118"/>
    <n v="5.9900000000000002E-2"/>
  </r>
  <r>
    <x v="0"/>
    <x v="72"/>
    <x v="4"/>
    <x v="0"/>
    <x v="3"/>
    <n v="115"/>
    <n v="5.0799999999999998E-2"/>
  </r>
  <r>
    <x v="0"/>
    <x v="72"/>
    <x v="4"/>
    <x v="0"/>
    <x v="4"/>
    <n v="119"/>
    <n v="9.9099999999999994E-2"/>
  </r>
  <r>
    <x v="0"/>
    <x v="72"/>
    <x v="4"/>
    <x v="0"/>
    <x v="5"/>
    <n v="114"/>
    <n v="2.9899999999999999E-2"/>
  </r>
  <r>
    <x v="0"/>
    <x v="72"/>
    <x v="4"/>
    <x v="0"/>
    <x v="6"/>
    <n v="112"/>
    <n v="3.1600000000000003E-2"/>
  </r>
  <r>
    <x v="0"/>
    <x v="72"/>
    <x v="4"/>
    <x v="0"/>
    <x v="7"/>
    <n v="114"/>
    <n v="0.08"/>
  </r>
  <r>
    <x v="0"/>
    <x v="72"/>
    <x v="4"/>
    <x v="0"/>
    <x v="8"/>
    <n v="116"/>
    <n v="1.5100000000000001E-2"/>
  </r>
  <r>
    <x v="0"/>
    <x v="72"/>
    <x v="4"/>
    <x v="0"/>
    <x v="9"/>
    <n v="115"/>
    <n v="3.9899999999999998E-2"/>
  </r>
  <r>
    <x v="0"/>
    <x v="72"/>
    <x v="4"/>
    <x v="0"/>
    <x v="10"/>
    <n v="117"/>
    <n v="3.3500000000000002E-2"/>
  </r>
  <r>
    <x v="0"/>
    <x v="72"/>
    <x v="4"/>
    <x v="0"/>
    <x v="11"/>
    <n v="120"/>
    <n v="4.4600000000000001E-2"/>
  </r>
  <r>
    <x v="0"/>
    <x v="72"/>
    <x v="4"/>
    <x v="0"/>
    <x v="12"/>
    <n v="123"/>
    <n v="5.2299999999999999E-2"/>
  </r>
  <r>
    <x v="0"/>
    <x v="72"/>
    <x v="4"/>
    <x v="0"/>
    <x v="13"/>
    <n v="120"/>
    <n v="3.6799999999999999E-2"/>
  </r>
  <r>
    <x v="0"/>
    <x v="73"/>
    <x v="4"/>
    <x v="0"/>
    <x v="0"/>
    <n v="101"/>
    <n v="0.4047"/>
  </r>
  <r>
    <x v="0"/>
    <x v="73"/>
    <x v="4"/>
    <x v="0"/>
    <x v="1"/>
    <n v="105"/>
    <n v="0.13869999999999999"/>
  </r>
  <r>
    <x v="0"/>
    <x v="73"/>
    <x v="4"/>
    <x v="0"/>
    <x v="2"/>
    <n v="103"/>
    <n v="0.22439999999999999"/>
  </r>
  <r>
    <x v="0"/>
    <x v="73"/>
    <x v="4"/>
    <x v="0"/>
    <x v="3"/>
    <n v="105"/>
    <n v="0.19689999999999999"/>
  </r>
  <r>
    <x v="0"/>
    <x v="73"/>
    <x v="4"/>
    <x v="0"/>
    <x v="4"/>
    <n v="98"/>
    <n v="0.30059999999999998"/>
  </r>
  <r>
    <x v="0"/>
    <x v="73"/>
    <x v="4"/>
    <x v="0"/>
    <x v="5"/>
    <n v="96"/>
    <n v="0.1229"/>
  </r>
  <r>
    <x v="0"/>
    <x v="73"/>
    <x v="4"/>
    <x v="0"/>
    <x v="6"/>
    <n v="97"/>
    <n v="0.12889999999999999"/>
  </r>
  <r>
    <x v="0"/>
    <x v="73"/>
    <x v="4"/>
    <x v="0"/>
    <x v="7"/>
    <n v="99"/>
    <n v="0.25829999999999997"/>
  </r>
  <r>
    <x v="0"/>
    <x v="73"/>
    <x v="4"/>
    <x v="0"/>
    <x v="8"/>
    <n v="102"/>
    <n v="9.2999999999999999E-2"/>
  </r>
  <r>
    <x v="0"/>
    <x v="73"/>
    <x v="4"/>
    <x v="0"/>
    <x v="9"/>
    <n v="106"/>
    <n v="0.17219999999999999"/>
  </r>
  <r>
    <x v="0"/>
    <x v="73"/>
    <x v="4"/>
    <x v="0"/>
    <x v="10"/>
    <n v="99"/>
    <n v="0.14990000000000001"/>
  </r>
  <r>
    <x v="0"/>
    <x v="73"/>
    <x v="4"/>
    <x v="0"/>
    <x v="11"/>
    <n v="100"/>
    <n v="0.17380000000000001"/>
  </r>
  <r>
    <x v="0"/>
    <x v="73"/>
    <x v="4"/>
    <x v="0"/>
    <x v="12"/>
    <n v="98"/>
    <n v="0.1925"/>
  </r>
  <r>
    <x v="0"/>
    <x v="73"/>
    <x v="4"/>
    <x v="0"/>
    <x v="13"/>
    <n v="104"/>
    <n v="0.17469999999999999"/>
  </r>
  <r>
    <x v="0"/>
    <x v="74"/>
    <x v="4"/>
    <x v="0"/>
    <x v="0"/>
    <n v="97"/>
    <n v="0.11559999999999999"/>
  </r>
  <r>
    <x v="0"/>
    <x v="74"/>
    <x v="4"/>
    <x v="0"/>
    <x v="1"/>
    <n v="110"/>
    <n v="1.03E-2"/>
  </r>
  <r>
    <x v="0"/>
    <x v="74"/>
    <x v="4"/>
    <x v="0"/>
    <x v="2"/>
    <n v="107"/>
    <n v="4.1599999999999998E-2"/>
  </r>
  <r>
    <x v="0"/>
    <x v="74"/>
    <x v="4"/>
    <x v="0"/>
    <x v="3"/>
    <n v="95"/>
    <n v="2.9499999999999998E-2"/>
  </r>
  <r>
    <x v="0"/>
    <x v="74"/>
    <x v="4"/>
    <x v="0"/>
    <x v="4"/>
    <n v="91"/>
    <n v="5.9700000000000003E-2"/>
  </r>
  <r>
    <x v="0"/>
    <x v="74"/>
    <x v="4"/>
    <x v="0"/>
    <x v="5"/>
    <n v="93"/>
    <n v="1.04E-2"/>
  </r>
  <r>
    <x v="0"/>
    <x v="74"/>
    <x v="4"/>
    <x v="0"/>
    <x v="6"/>
    <n v="92"/>
    <n v="1.2E-2"/>
  </r>
  <r>
    <x v="0"/>
    <x v="74"/>
    <x v="4"/>
    <x v="0"/>
    <x v="7"/>
    <n v="94"/>
    <n v="5.4100000000000002E-2"/>
  </r>
  <r>
    <x v="0"/>
    <x v="74"/>
    <x v="4"/>
    <x v="0"/>
    <x v="8"/>
    <n v="96"/>
    <n v="6.1000000000000004E-3"/>
  </r>
  <r>
    <x v="0"/>
    <x v="74"/>
    <x v="4"/>
    <x v="0"/>
    <x v="9"/>
    <n v="94"/>
    <n v="2.1899999999999999E-2"/>
  </r>
  <r>
    <x v="0"/>
    <x v="74"/>
    <x v="4"/>
    <x v="0"/>
    <x v="10"/>
    <n v="87"/>
    <n v="1.1900000000000001E-2"/>
  </r>
  <r>
    <x v="0"/>
    <x v="74"/>
    <x v="4"/>
    <x v="0"/>
    <x v="11"/>
    <n v="85"/>
    <n v="1.7899999999999999E-2"/>
  </r>
  <r>
    <x v="0"/>
    <x v="74"/>
    <x v="4"/>
    <x v="0"/>
    <x v="12"/>
    <n v="89"/>
    <n v="2.2499999999999999E-2"/>
  </r>
  <r>
    <x v="0"/>
    <x v="74"/>
    <x v="4"/>
    <x v="0"/>
    <x v="13"/>
    <n v="100"/>
    <n v="1.6299999999999999E-2"/>
  </r>
  <r>
    <x v="1"/>
    <x v="75"/>
    <x v="4"/>
    <x v="0"/>
    <x v="0"/>
    <n v="109"/>
    <n v="0.13"/>
  </r>
  <r>
    <x v="1"/>
    <x v="75"/>
    <x v="4"/>
    <x v="0"/>
    <x v="1"/>
    <n v="111"/>
    <n v="2.2700000000000001E-2"/>
  </r>
  <r>
    <x v="1"/>
    <x v="75"/>
    <x v="4"/>
    <x v="0"/>
    <x v="2"/>
    <n v="113"/>
    <n v="5.3600000000000002E-2"/>
  </r>
  <r>
    <x v="1"/>
    <x v="75"/>
    <x v="4"/>
    <x v="0"/>
    <x v="3"/>
    <n v="111"/>
    <n v="4.7300000000000002E-2"/>
  </r>
  <r>
    <x v="1"/>
    <x v="75"/>
    <x v="4"/>
    <x v="0"/>
    <x v="4"/>
    <n v="109"/>
    <n v="8.4699999999999998E-2"/>
  </r>
  <r>
    <x v="1"/>
    <x v="75"/>
    <x v="4"/>
    <x v="0"/>
    <x v="5"/>
    <n v="102"/>
    <n v="2.5999999999999999E-2"/>
  </r>
  <r>
    <x v="1"/>
    <x v="75"/>
    <x v="4"/>
    <x v="0"/>
    <x v="6"/>
    <n v="103"/>
    <n v="2.8799999999999999E-2"/>
  </r>
  <r>
    <x v="1"/>
    <x v="75"/>
    <x v="4"/>
    <x v="0"/>
    <x v="7"/>
    <n v="107"/>
    <n v="6.9900000000000004E-2"/>
  </r>
  <r>
    <x v="1"/>
    <x v="75"/>
    <x v="4"/>
    <x v="0"/>
    <x v="8"/>
    <n v="103"/>
    <n v="1.6299999999999999E-2"/>
  </r>
  <r>
    <x v="1"/>
    <x v="75"/>
    <x v="4"/>
    <x v="0"/>
    <x v="9"/>
    <n v="110"/>
    <n v="3.7900000000000003E-2"/>
  </r>
  <r>
    <x v="1"/>
    <x v="75"/>
    <x v="4"/>
    <x v="0"/>
    <x v="10"/>
    <n v="108"/>
    <n v="2.9399999999999999E-2"/>
  </r>
  <r>
    <x v="1"/>
    <x v="75"/>
    <x v="4"/>
    <x v="0"/>
    <x v="11"/>
    <n v="109"/>
    <n v="3.8199999999999998E-2"/>
  </r>
  <r>
    <x v="1"/>
    <x v="75"/>
    <x v="4"/>
    <x v="0"/>
    <x v="12"/>
    <n v="108"/>
    <n v="4.6399999999999997E-2"/>
  </r>
  <r>
    <x v="1"/>
    <x v="75"/>
    <x v="4"/>
    <x v="0"/>
    <x v="13"/>
    <n v="109"/>
    <n v="3.5900000000000001E-2"/>
  </r>
  <r>
    <x v="0"/>
    <x v="76"/>
    <x v="4"/>
    <x v="0"/>
    <x v="0"/>
    <n v="95"/>
    <n v="0.25509999999999999"/>
  </r>
  <r>
    <x v="0"/>
    <x v="76"/>
    <x v="4"/>
    <x v="0"/>
    <x v="1"/>
    <n v="96"/>
    <n v="2.8000000000000001E-2"/>
  </r>
  <r>
    <x v="0"/>
    <x v="76"/>
    <x v="4"/>
    <x v="0"/>
    <x v="2"/>
    <n v="100"/>
    <n v="7.5399999999999995E-2"/>
  </r>
  <r>
    <x v="0"/>
    <x v="76"/>
    <x v="4"/>
    <x v="0"/>
    <x v="3"/>
    <n v="104"/>
    <n v="7.5200000000000003E-2"/>
  </r>
  <r>
    <x v="0"/>
    <x v="76"/>
    <x v="4"/>
    <x v="0"/>
    <x v="4"/>
    <n v="85"/>
    <n v="0.18"/>
  </r>
  <r>
    <x v="0"/>
    <x v="76"/>
    <x v="4"/>
    <x v="0"/>
    <x v="5"/>
    <n v="82"/>
    <n v="4.7E-2"/>
  </r>
  <r>
    <x v="0"/>
    <x v="76"/>
    <x v="4"/>
    <x v="0"/>
    <x v="6"/>
    <n v="87"/>
    <n v="4.9500000000000002E-2"/>
  </r>
  <r>
    <x v="0"/>
    <x v="76"/>
    <x v="4"/>
    <x v="0"/>
    <x v="7"/>
    <n v="106"/>
    <n v="0.11840000000000001"/>
  </r>
  <r>
    <x v="0"/>
    <x v="76"/>
    <x v="4"/>
    <x v="0"/>
    <x v="8"/>
    <n v="93"/>
    <n v="2.2499999999999999E-2"/>
  </r>
  <r>
    <x v="0"/>
    <x v="76"/>
    <x v="4"/>
    <x v="0"/>
    <x v="9"/>
    <n v="106"/>
    <n v="5.6399999999999999E-2"/>
  </r>
  <r>
    <x v="0"/>
    <x v="76"/>
    <x v="4"/>
    <x v="0"/>
    <x v="10"/>
    <n v="84"/>
    <n v="5.21E-2"/>
  </r>
  <r>
    <x v="0"/>
    <x v="76"/>
    <x v="4"/>
    <x v="0"/>
    <x v="11"/>
    <n v="82"/>
    <n v="6.7799999999999999E-2"/>
  </r>
  <r>
    <x v="0"/>
    <x v="76"/>
    <x v="4"/>
    <x v="0"/>
    <x v="12"/>
    <n v="84"/>
    <n v="8.43E-2"/>
  </r>
  <r>
    <x v="0"/>
    <x v="76"/>
    <x v="4"/>
    <x v="0"/>
    <x v="13"/>
    <n v="94"/>
    <n v="4.4400000000000002E-2"/>
  </r>
  <r>
    <x v="0"/>
    <x v="77"/>
    <x v="4"/>
    <x v="0"/>
    <x v="0"/>
    <n v="79"/>
    <n v="3.0499999999999999E-2"/>
  </r>
  <r>
    <x v="0"/>
    <x v="77"/>
    <x v="4"/>
    <x v="0"/>
    <x v="1"/>
    <n v="80"/>
    <n v="2.3999999999999998E-3"/>
  </r>
  <r>
    <x v="0"/>
    <x v="77"/>
    <x v="4"/>
    <x v="0"/>
    <x v="2"/>
    <n v="89"/>
    <n v="7.4999999999999997E-3"/>
  </r>
  <r>
    <x v="0"/>
    <x v="77"/>
    <x v="4"/>
    <x v="0"/>
    <x v="3"/>
    <n v="97"/>
    <n v="6.1999999999999998E-3"/>
  </r>
  <r>
    <x v="0"/>
    <x v="77"/>
    <x v="4"/>
    <x v="0"/>
    <x v="4"/>
    <n v="80"/>
    <n v="1.5599999999999999E-2"/>
  </r>
  <r>
    <x v="0"/>
    <x v="77"/>
    <x v="4"/>
    <x v="0"/>
    <x v="5"/>
    <n v="67"/>
    <n v="3.3999999999999998E-3"/>
  </r>
  <r>
    <x v="0"/>
    <x v="77"/>
    <x v="4"/>
    <x v="0"/>
    <x v="6"/>
    <n v="66"/>
    <n v="4.3E-3"/>
  </r>
  <r>
    <x v="0"/>
    <x v="77"/>
    <x v="4"/>
    <x v="0"/>
    <x v="7"/>
    <n v="79"/>
    <n v="1.0699999999999999E-2"/>
  </r>
  <r>
    <x v="0"/>
    <x v="77"/>
    <x v="4"/>
    <x v="0"/>
    <x v="8"/>
    <n v="72"/>
    <n v="2.0999999999999999E-3"/>
  </r>
  <r>
    <x v="0"/>
    <x v="77"/>
    <x v="4"/>
    <x v="0"/>
    <x v="9"/>
    <n v="95"/>
    <n v="4.1999999999999997E-3"/>
  </r>
  <r>
    <x v="0"/>
    <x v="77"/>
    <x v="4"/>
    <x v="0"/>
    <x v="10"/>
    <n v="76"/>
    <n v="3.3E-3"/>
  </r>
  <r>
    <x v="0"/>
    <x v="77"/>
    <x v="4"/>
    <x v="0"/>
    <x v="11"/>
    <n v="81"/>
    <n v="4.7000000000000002E-3"/>
  </r>
  <r>
    <x v="0"/>
    <x v="77"/>
    <x v="4"/>
    <x v="0"/>
    <x v="12"/>
    <n v="79"/>
    <n v="5.8999999999999999E-3"/>
  </r>
  <r>
    <x v="0"/>
    <x v="77"/>
    <x v="4"/>
    <x v="0"/>
    <x v="13"/>
    <n v="76"/>
    <n v="4.4999999999999997E-3"/>
  </r>
  <r>
    <x v="0"/>
    <x v="78"/>
    <x v="4"/>
    <x v="0"/>
    <x v="0"/>
    <n v="120"/>
    <n v="0.11169999999999999"/>
  </r>
  <r>
    <x v="0"/>
    <x v="78"/>
    <x v="4"/>
    <x v="0"/>
    <x v="1"/>
    <n v="117"/>
    <n v="1.3100000000000001E-2"/>
  </r>
  <r>
    <x v="0"/>
    <x v="78"/>
    <x v="4"/>
    <x v="0"/>
    <x v="2"/>
    <n v="118"/>
    <n v="4.3499999999999997E-2"/>
  </r>
  <r>
    <x v="0"/>
    <x v="78"/>
    <x v="4"/>
    <x v="0"/>
    <x v="3"/>
    <n v="117"/>
    <n v="3.4700000000000002E-2"/>
  </r>
  <r>
    <x v="0"/>
    <x v="78"/>
    <x v="4"/>
    <x v="0"/>
    <x v="4"/>
    <n v="125"/>
    <n v="6.9000000000000006E-2"/>
  </r>
  <r>
    <x v="0"/>
    <x v="78"/>
    <x v="4"/>
    <x v="0"/>
    <x v="5"/>
    <n v="119"/>
    <n v="2.1399999999999999E-2"/>
  </r>
  <r>
    <x v="0"/>
    <x v="78"/>
    <x v="4"/>
    <x v="0"/>
    <x v="6"/>
    <n v="112"/>
    <n v="1.8700000000000001E-2"/>
  </r>
  <r>
    <x v="0"/>
    <x v="78"/>
    <x v="4"/>
    <x v="0"/>
    <x v="7"/>
    <n v="120"/>
    <n v="4.7100000000000003E-2"/>
  </r>
  <r>
    <x v="0"/>
    <x v="78"/>
    <x v="4"/>
    <x v="0"/>
    <x v="8"/>
    <n v="104"/>
    <n v="5.4999999999999997E-3"/>
  </r>
  <r>
    <x v="0"/>
    <x v="78"/>
    <x v="4"/>
    <x v="0"/>
    <x v="9"/>
    <n v="117"/>
    <n v="2.7E-2"/>
  </r>
  <r>
    <x v="0"/>
    <x v="78"/>
    <x v="4"/>
    <x v="0"/>
    <x v="10"/>
    <n v="123"/>
    <n v="2.2599999999999999E-2"/>
  </r>
  <r>
    <x v="0"/>
    <x v="78"/>
    <x v="4"/>
    <x v="0"/>
    <x v="11"/>
    <n v="124"/>
    <n v="2.9499999999999998E-2"/>
  </r>
  <r>
    <x v="0"/>
    <x v="78"/>
    <x v="4"/>
    <x v="0"/>
    <x v="12"/>
    <n v="128"/>
    <n v="3.5099999999999999E-2"/>
  </r>
  <r>
    <x v="0"/>
    <x v="78"/>
    <x v="4"/>
    <x v="0"/>
    <x v="13"/>
    <n v="112"/>
    <n v="2.0199999999999999E-2"/>
  </r>
  <r>
    <x v="1"/>
    <x v="79"/>
    <x v="4"/>
    <x v="1"/>
    <x v="0"/>
    <n v="107"/>
    <n v="0.90110000000000001"/>
  </r>
  <r>
    <x v="1"/>
    <x v="79"/>
    <x v="4"/>
    <x v="1"/>
    <x v="1"/>
    <n v="106"/>
    <n v="0.3594"/>
  </r>
  <r>
    <x v="1"/>
    <x v="79"/>
    <x v="4"/>
    <x v="1"/>
    <x v="2"/>
    <n v="110"/>
    <n v="0.58489999999999998"/>
  </r>
  <r>
    <x v="1"/>
    <x v="79"/>
    <x v="4"/>
    <x v="1"/>
    <x v="3"/>
    <n v="113"/>
    <n v="0.56659999999999999"/>
  </r>
  <r>
    <x v="1"/>
    <x v="79"/>
    <x v="4"/>
    <x v="1"/>
    <x v="4"/>
    <n v="106"/>
    <n v="0.83620000000000005"/>
  </r>
  <r>
    <x v="1"/>
    <x v="79"/>
    <x v="4"/>
    <x v="1"/>
    <x v="5"/>
    <n v="101"/>
    <n v="0.39479999999999998"/>
  </r>
  <r>
    <x v="1"/>
    <x v="79"/>
    <x v="4"/>
    <x v="1"/>
    <x v="6"/>
    <n v="99"/>
    <n v="0.37219999999999998"/>
  </r>
  <r>
    <x v="1"/>
    <x v="79"/>
    <x v="4"/>
    <x v="1"/>
    <x v="7"/>
    <n v="109"/>
    <n v="0.77959999999999996"/>
  </r>
  <r>
    <x v="1"/>
    <x v="79"/>
    <x v="4"/>
    <x v="1"/>
    <x v="8"/>
    <n v="99"/>
    <n v="0.23780000000000001"/>
  </r>
  <r>
    <x v="1"/>
    <x v="79"/>
    <x v="4"/>
    <x v="1"/>
    <x v="9"/>
    <n v="114"/>
    <n v="0.50590000000000002"/>
  </r>
  <r>
    <x v="1"/>
    <x v="79"/>
    <x v="4"/>
    <x v="1"/>
    <x v="10"/>
    <n v="104"/>
    <n v="0.53220000000000001"/>
  </r>
  <r>
    <x v="1"/>
    <x v="79"/>
    <x v="4"/>
    <x v="1"/>
    <x v="11"/>
    <n v="107"/>
    <n v="0.66649999999999998"/>
  </r>
  <r>
    <x v="1"/>
    <x v="79"/>
    <x v="4"/>
    <x v="1"/>
    <x v="12"/>
    <n v="109"/>
    <n v="0.69699999999999995"/>
  </r>
  <r>
    <x v="1"/>
    <x v="79"/>
    <x v="4"/>
    <x v="1"/>
    <x v="13"/>
    <n v="105"/>
    <n v="0.49430000000000002"/>
  </r>
  <r>
    <x v="0"/>
    <x v="80"/>
    <x v="4"/>
    <x v="0"/>
    <x v="0"/>
    <n v="101"/>
    <n v="0.2031"/>
  </r>
  <r>
    <x v="0"/>
    <x v="80"/>
    <x v="4"/>
    <x v="0"/>
    <x v="1"/>
    <n v="101"/>
    <n v="1.4999999999999999E-2"/>
  </r>
  <r>
    <x v="0"/>
    <x v="80"/>
    <x v="4"/>
    <x v="0"/>
    <x v="2"/>
    <n v="106"/>
    <n v="7.5499999999999998E-2"/>
  </r>
  <r>
    <x v="0"/>
    <x v="80"/>
    <x v="4"/>
    <x v="0"/>
    <x v="3"/>
    <n v="105"/>
    <n v="6.5600000000000006E-2"/>
  </r>
  <r>
    <x v="0"/>
    <x v="80"/>
    <x v="4"/>
    <x v="0"/>
    <x v="4"/>
    <n v="102"/>
    <n v="0.1363"/>
  </r>
  <r>
    <x v="0"/>
    <x v="80"/>
    <x v="4"/>
    <x v="0"/>
    <x v="5"/>
    <n v="94"/>
    <n v="3.95E-2"/>
  </r>
  <r>
    <x v="0"/>
    <x v="80"/>
    <x v="4"/>
    <x v="0"/>
    <x v="6"/>
    <n v="96"/>
    <n v="4.19E-2"/>
  </r>
  <r>
    <x v="0"/>
    <x v="80"/>
    <x v="4"/>
    <x v="0"/>
    <x v="7"/>
    <n v="102"/>
    <n v="9.01E-2"/>
  </r>
  <r>
    <x v="0"/>
    <x v="80"/>
    <x v="4"/>
    <x v="0"/>
    <x v="8"/>
    <n v="99"/>
    <n v="1.7000000000000001E-2"/>
  </r>
  <r>
    <x v="0"/>
    <x v="80"/>
    <x v="4"/>
    <x v="0"/>
    <x v="9"/>
    <n v="106"/>
    <n v="5.0099999999999999E-2"/>
  </r>
  <r>
    <x v="0"/>
    <x v="80"/>
    <x v="4"/>
    <x v="0"/>
    <x v="10"/>
    <n v="100"/>
    <n v="4.4299999999999999E-2"/>
  </r>
  <r>
    <x v="0"/>
    <x v="80"/>
    <x v="4"/>
    <x v="0"/>
    <x v="11"/>
    <n v="101"/>
    <n v="5.8200000000000002E-2"/>
  </r>
  <r>
    <x v="0"/>
    <x v="80"/>
    <x v="4"/>
    <x v="0"/>
    <x v="12"/>
    <n v="103"/>
    <n v="7.0099999999999996E-2"/>
  </r>
  <r>
    <x v="0"/>
    <x v="80"/>
    <x v="4"/>
    <x v="0"/>
    <x v="13"/>
    <n v="98"/>
    <n v="2.87E-2"/>
  </r>
  <r>
    <x v="1"/>
    <x v="81"/>
    <x v="4"/>
    <x v="0"/>
    <x v="0"/>
    <n v="104"/>
    <n v="4.7800000000000002E-2"/>
  </r>
  <r>
    <x v="1"/>
    <x v="81"/>
    <x v="4"/>
    <x v="0"/>
    <x v="1"/>
    <n v="101"/>
    <n v="4.4000000000000003E-3"/>
  </r>
  <r>
    <x v="1"/>
    <x v="81"/>
    <x v="4"/>
    <x v="0"/>
    <x v="2"/>
    <n v="107"/>
    <n v="1.15E-2"/>
  </r>
  <r>
    <x v="1"/>
    <x v="81"/>
    <x v="4"/>
    <x v="0"/>
    <x v="3"/>
    <n v="105"/>
    <n v="1.0999999999999999E-2"/>
  </r>
  <r>
    <x v="1"/>
    <x v="81"/>
    <x v="4"/>
    <x v="0"/>
    <x v="4"/>
    <n v="105"/>
    <n v="2.81E-2"/>
  </r>
  <r>
    <x v="1"/>
    <x v="81"/>
    <x v="4"/>
    <x v="0"/>
    <x v="5"/>
    <n v="105"/>
    <n v="5.4999999999999997E-3"/>
  </r>
  <r>
    <x v="1"/>
    <x v="81"/>
    <x v="4"/>
    <x v="0"/>
    <x v="6"/>
    <n v="103"/>
    <n v="6.1999999999999998E-3"/>
  </r>
  <r>
    <x v="1"/>
    <x v="81"/>
    <x v="4"/>
    <x v="0"/>
    <x v="7"/>
    <n v="103"/>
    <n v="1.8800000000000001E-2"/>
  </r>
  <r>
    <x v="1"/>
    <x v="81"/>
    <x v="4"/>
    <x v="0"/>
    <x v="8"/>
    <n v="108"/>
    <n v="3.0999999999999999E-3"/>
  </r>
  <r>
    <x v="1"/>
    <x v="81"/>
    <x v="4"/>
    <x v="0"/>
    <x v="9"/>
    <n v="102"/>
    <n v="7.1999999999999998E-3"/>
  </r>
  <r>
    <x v="1"/>
    <x v="81"/>
    <x v="4"/>
    <x v="0"/>
    <x v="10"/>
    <n v="98"/>
    <n v="6.6E-3"/>
  </r>
  <r>
    <x v="1"/>
    <x v="81"/>
    <x v="4"/>
    <x v="0"/>
    <x v="11"/>
    <n v="105"/>
    <n v="9.1999999999999998E-3"/>
  </r>
  <r>
    <x v="1"/>
    <x v="81"/>
    <x v="4"/>
    <x v="0"/>
    <x v="12"/>
    <n v="106"/>
    <n v="1.0999999999999999E-2"/>
  </r>
  <r>
    <x v="1"/>
    <x v="81"/>
    <x v="4"/>
    <x v="0"/>
    <x v="13"/>
    <n v="99"/>
    <n v="6.8999999999999999E-3"/>
  </r>
  <r>
    <x v="0"/>
    <x v="82"/>
    <x v="4"/>
    <x v="0"/>
    <x v="0"/>
    <n v="63"/>
    <n v="4.6199999999999998E-2"/>
  </r>
  <r>
    <x v="0"/>
    <x v="82"/>
    <x v="4"/>
    <x v="0"/>
    <x v="1"/>
    <n v="70"/>
    <n v="3.8999999999999998E-3"/>
  </r>
  <r>
    <x v="0"/>
    <x v="82"/>
    <x v="4"/>
    <x v="0"/>
    <x v="2"/>
    <n v="66"/>
    <n v="1.2200000000000001E-2"/>
  </r>
  <r>
    <x v="0"/>
    <x v="82"/>
    <x v="4"/>
    <x v="0"/>
    <x v="3"/>
    <n v="66"/>
    <n v="9.9000000000000008E-3"/>
  </r>
  <r>
    <x v="0"/>
    <x v="82"/>
    <x v="4"/>
    <x v="0"/>
    <x v="4"/>
    <n v="61"/>
    <n v="2.8199999999999999E-2"/>
  </r>
  <r>
    <x v="0"/>
    <x v="82"/>
    <x v="4"/>
    <x v="0"/>
    <x v="5"/>
    <n v="60"/>
    <n v="6.4999999999999997E-3"/>
  </r>
  <r>
    <x v="0"/>
    <x v="82"/>
    <x v="4"/>
    <x v="0"/>
    <x v="6"/>
    <n v="61"/>
    <n v="6.6E-3"/>
  </r>
  <r>
    <x v="0"/>
    <x v="82"/>
    <x v="4"/>
    <x v="0"/>
    <x v="7"/>
    <n v="63"/>
    <n v="1.9099999999999999E-2"/>
  </r>
  <r>
    <x v="0"/>
    <x v="82"/>
    <x v="4"/>
    <x v="0"/>
    <x v="8"/>
    <n v="64"/>
    <n v="2.8E-3"/>
  </r>
  <r>
    <x v="0"/>
    <x v="82"/>
    <x v="4"/>
    <x v="0"/>
    <x v="9"/>
    <n v="71"/>
    <n v="6.7999999999999996E-3"/>
  </r>
  <r>
    <x v="0"/>
    <x v="82"/>
    <x v="4"/>
    <x v="0"/>
    <x v="10"/>
    <n v="61"/>
    <n v="7.6E-3"/>
  </r>
  <r>
    <x v="0"/>
    <x v="82"/>
    <x v="4"/>
    <x v="0"/>
    <x v="11"/>
    <n v="60"/>
    <n v="1.03E-2"/>
  </r>
  <r>
    <x v="0"/>
    <x v="82"/>
    <x v="4"/>
    <x v="0"/>
    <x v="12"/>
    <n v="62"/>
    <n v="1.17E-2"/>
  </r>
  <r>
    <x v="0"/>
    <x v="82"/>
    <x v="4"/>
    <x v="0"/>
    <x v="13"/>
    <n v="66"/>
    <n v="6.4999999999999997E-3"/>
  </r>
  <r>
    <x v="1"/>
    <x v="137"/>
    <x v="4"/>
    <x v="0"/>
    <x v="0"/>
    <n v="70"/>
    <n v="8.9999999999999998E-4"/>
  </r>
  <r>
    <x v="1"/>
    <x v="137"/>
    <x v="4"/>
    <x v="0"/>
    <x v="2"/>
    <n v="76"/>
    <n v="1E-4"/>
  </r>
  <r>
    <x v="1"/>
    <x v="137"/>
    <x v="4"/>
    <x v="0"/>
    <x v="4"/>
    <n v="81"/>
    <n v="5.0000000000000001E-4"/>
  </r>
  <r>
    <x v="1"/>
    <x v="137"/>
    <x v="4"/>
    <x v="0"/>
    <x v="7"/>
    <n v="68"/>
    <n v="2.9999999999999997E-4"/>
  </r>
  <r>
    <x v="1"/>
    <x v="137"/>
    <x v="4"/>
    <x v="0"/>
    <x v="12"/>
    <n v="80"/>
    <n v="1E-4"/>
  </r>
  <r>
    <x v="0"/>
    <x v="83"/>
    <x v="4"/>
    <x v="0"/>
    <x v="0"/>
    <n v="43"/>
    <n v="5.8500000000000003E-2"/>
  </r>
  <r>
    <x v="0"/>
    <x v="83"/>
    <x v="4"/>
    <x v="0"/>
    <x v="1"/>
    <n v="46"/>
    <n v="5.5999999999999999E-3"/>
  </r>
  <r>
    <x v="0"/>
    <x v="83"/>
    <x v="4"/>
    <x v="0"/>
    <x v="2"/>
    <n v="42"/>
    <n v="1.6400000000000001E-2"/>
  </r>
  <r>
    <x v="0"/>
    <x v="83"/>
    <x v="4"/>
    <x v="0"/>
    <x v="3"/>
    <n v="43"/>
    <n v="1.2500000000000001E-2"/>
  </r>
  <r>
    <x v="0"/>
    <x v="83"/>
    <x v="4"/>
    <x v="0"/>
    <x v="4"/>
    <n v="44"/>
    <n v="3.1899999999999998E-2"/>
  </r>
  <r>
    <x v="0"/>
    <x v="83"/>
    <x v="4"/>
    <x v="0"/>
    <x v="5"/>
    <n v="42"/>
    <n v="7.1999999999999998E-3"/>
  </r>
  <r>
    <x v="0"/>
    <x v="83"/>
    <x v="4"/>
    <x v="0"/>
    <x v="6"/>
    <n v="47"/>
    <n v="1.0699999999999999E-2"/>
  </r>
  <r>
    <x v="0"/>
    <x v="83"/>
    <x v="4"/>
    <x v="0"/>
    <x v="7"/>
    <n v="42"/>
    <n v="2.5499999999999998E-2"/>
  </r>
  <r>
    <x v="0"/>
    <x v="83"/>
    <x v="4"/>
    <x v="0"/>
    <x v="8"/>
    <n v="52"/>
    <n v="5.1999999999999998E-3"/>
  </r>
  <r>
    <x v="0"/>
    <x v="83"/>
    <x v="4"/>
    <x v="0"/>
    <x v="9"/>
    <n v="44"/>
    <n v="9.4999999999999998E-3"/>
  </r>
  <r>
    <x v="0"/>
    <x v="83"/>
    <x v="4"/>
    <x v="0"/>
    <x v="10"/>
    <n v="40"/>
    <n v="7.7999999999999996E-3"/>
  </r>
  <r>
    <x v="0"/>
    <x v="83"/>
    <x v="4"/>
    <x v="0"/>
    <x v="11"/>
    <n v="43"/>
    <n v="1.09E-2"/>
  </r>
  <r>
    <x v="0"/>
    <x v="83"/>
    <x v="4"/>
    <x v="0"/>
    <x v="12"/>
    <n v="45"/>
    <n v="1.3299999999999999E-2"/>
  </r>
  <r>
    <x v="0"/>
    <x v="83"/>
    <x v="4"/>
    <x v="0"/>
    <x v="13"/>
    <n v="46"/>
    <n v="1.0999999999999999E-2"/>
  </r>
  <r>
    <x v="1"/>
    <x v="138"/>
    <x v="4"/>
    <x v="0"/>
    <x v="0"/>
    <n v="100"/>
    <n v="4.7000000000000002E-3"/>
  </r>
  <r>
    <x v="1"/>
    <x v="138"/>
    <x v="4"/>
    <x v="0"/>
    <x v="1"/>
    <n v="114"/>
    <n v="2.0000000000000001E-4"/>
  </r>
  <r>
    <x v="1"/>
    <x v="138"/>
    <x v="4"/>
    <x v="0"/>
    <x v="2"/>
    <n v="94"/>
    <n v="8.9999999999999998E-4"/>
  </r>
  <r>
    <x v="1"/>
    <x v="138"/>
    <x v="4"/>
    <x v="0"/>
    <x v="3"/>
    <n v="102"/>
    <n v="6.9999999999999999E-4"/>
  </r>
  <r>
    <x v="1"/>
    <x v="138"/>
    <x v="4"/>
    <x v="0"/>
    <x v="4"/>
    <n v="98"/>
    <n v="2E-3"/>
  </r>
  <r>
    <x v="1"/>
    <x v="138"/>
    <x v="4"/>
    <x v="0"/>
    <x v="5"/>
    <n v="109"/>
    <n v="2.0000000000000001E-4"/>
  </r>
  <r>
    <x v="1"/>
    <x v="138"/>
    <x v="4"/>
    <x v="0"/>
    <x v="6"/>
    <n v="89"/>
    <n v="2.9999999999999997E-4"/>
  </r>
  <r>
    <x v="1"/>
    <x v="138"/>
    <x v="4"/>
    <x v="0"/>
    <x v="7"/>
    <n v="108"/>
    <n v="1.2999999999999999E-3"/>
  </r>
  <r>
    <x v="1"/>
    <x v="138"/>
    <x v="4"/>
    <x v="0"/>
    <x v="8"/>
    <n v="99"/>
    <n v="1E-4"/>
  </r>
  <r>
    <x v="1"/>
    <x v="138"/>
    <x v="4"/>
    <x v="0"/>
    <x v="9"/>
    <n v="111"/>
    <n v="4.0000000000000002E-4"/>
  </r>
  <r>
    <x v="1"/>
    <x v="138"/>
    <x v="4"/>
    <x v="0"/>
    <x v="10"/>
    <n v="119"/>
    <n v="2.0000000000000001E-4"/>
  </r>
  <r>
    <x v="1"/>
    <x v="138"/>
    <x v="4"/>
    <x v="0"/>
    <x v="11"/>
    <n v="102"/>
    <n v="2.9999999999999997E-4"/>
  </r>
  <r>
    <x v="1"/>
    <x v="138"/>
    <x v="4"/>
    <x v="0"/>
    <x v="12"/>
    <n v="78"/>
    <n v="5.0000000000000001E-4"/>
  </r>
  <r>
    <x v="1"/>
    <x v="138"/>
    <x v="4"/>
    <x v="0"/>
    <x v="13"/>
    <n v="109"/>
    <n v="5.0000000000000001E-4"/>
  </r>
  <r>
    <x v="0"/>
    <x v="139"/>
    <x v="4"/>
    <x v="0"/>
    <x v="0"/>
    <n v="33"/>
    <n v="1.84E-2"/>
  </r>
  <r>
    <x v="0"/>
    <x v="139"/>
    <x v="4"/>
    <x v="0"/>
    <x v="1"/>
    <n v="28"/>
    <n v="2.5999999999999999E-3"/>
  </r>
  <r>
    <x v="0"/>
    <x v="139"/>
    <x v="4"/>
    <x v="0"/>
    <x v="2"/>
    <n v="34"/>
    <n v="6.4999999999999997E-3"/>
  </r>
  <r>
    <x v="0"/>
    <x v="139"/>
    <x v="4"/>
    <x v="0"/>
    <x v="3"/>
    <n v="35"/>
    <n v="4.4999999999999997E-3"/>
  </r>
  <r>
    <x v="0"/>
    <x v="139"/>
    <x v="4"/>
    <x v="0"/>
    <x v="4"/>
    <n v="34"/>
    <n v="1.0200000000000001E-2"/>
  </r>
  <r>
    <x v="0"/>
    <x v="139"/>
    <x v="4"/>
    <x v="0"/>
    <x v="5"/>
    <n v="31"/>
    <n v="2.8E-3"/>
  </r>
  <r>
    <x v="0"/>
    <x v="139"/>
    <x v="4"/>
    <x v="0"/>
    <x v="6"/>
    <n v="34"/>
    <n v="3.5000000000000001E-3"/>
  </r>
  <r>
    <x v="0"/>
    <x v="139"/>
    <x v="4"/>
    <x v="0"/>
    <x v="7"/>
    <n v="33"/>
    <n v="8.3999999999999995E-3"/>
  </r>
  <r>
    <x v="0"/>
    <x v="139"/>
    <x v="4"/>
    <x v="0"/>
    <x v="8"/>
    <n v="31"/>
    <n v="1.9E-3"/>
  </r>
  <r>
    <x v="0"/>
    <x v="139"/>
    <x v="4"/>
    <x v="0"/>
    <x v="9"/>
    <n v="35"/>
    <n v="3.5000000000000001E-3"/>
  </r>
  <r>
    <x v="0"/>
    <x v="139"/>
    <x v="4"/>
    <x v="0"/>
    <x v="10"/>
    <n v="33"/>
    <n v="2.7000000000000001E-3"/>
  </r>
  <r>
    <x v="0"/>
    <x v="139"/>
    <x v="4"/>
    <x v="0"/>
    <x v="11"/>
    <n v="33"/>
    <n v="3.3999999999999998E-3"/>
  </r>
  <r>
    <x v="0"/>
    <x v="139"/>
    <x v="4"/>
    <x v="0"/>
    <x v="12"/>
    <n v="34"/>
    <n v="4.1999999999999997E-3"/>
  </r>
  <r>
    <x v="0"/>
    <x v="139"/>
    <x v="4"/>
    <x v="0"/>
    <x v="13"/>
    <n v="29"/>
    <n v="4.1000000000000003E-3"/>
  </r>
  <r>
    <x v="0"/>
    <x v="140"/>
    <x v="4"/>
    <x v="0"/>
    <x v="0"/>
    <n v="110"/>
    <n v="0.25019999999999998"/>
  </r>
  <r>
    <x v="0"/>
    <x v="140"/>
    <x v="4"/>
    <x v="0"/>
    <x v="1"/>
    <n v="114"/>
    <n v="7.0400000000000004E-2"/>
  </r>
  <r>
    <x v="0"/>
    <x v="140"/>
    <x v="4"/>
    <x v="0"/>
    <x v="2"/>
    <n v="114"/>
    <n v="0.1138"/>
  </r>
  <r>
    <x v="0"/>
    <x v="140"/>
    <x v="4"/>
    <x v="0"/>
    <x v="3"/>
    <n v="112"/>
    <n v="8.2100000000000006E-2"/>
  </r>
  <r>
    <x v="0"/>
    <x v="140"/>
    <x v="4"/>
    <x v="0"/>
    <x v="4"/>
    <n v="106"/>
    <n v="0.15579999999999999"/>
  </r>
  <r>
    <x v="0"/>
    <x v="140"/>
    <x v="4"/>
    <x v="0"/>
    <x v="5"/>
    <n v="100"/>
    <n v="2.1899999999999999E-2"/>
  </r>
  <r>
    <x v="0"/>
    <x v="140"/>
    <x v="4"/>
    <x v="0"/>
    <x v="6"/>
    <n v="97"/>
    <n v="4.0800000000000003E-2"/>
  </r>
  <r>
    <x v="0"/>
    <x v="140"/>
    <x v="4"/>
    <x v="0"/>
    <x v="7"/>
    <n v="111"/>
    <n v="0.16550000000000001"/>
  </r>
  <r>
    <x v="0"/>
    <x v="140"/>
    <x v="4"/>
    <x v="0"/>
    <x v="8"/>
    <n v="107"/>
    <n v="3.8100000000000002E-2"/>
  </r>
  <r>
    <x v="0"/>
    <x v="140"/>
    <x v="4"/>
    <x v="0"/>
    <x v="9"/>
    <n v="111"/>
    <n v="6.5600000000000006E-2"/>
  </r>
  <r>
    <x v="0"/>
    <x v="140"/>
    <x v="4"/>
    <x v="0"/>
    <x v="10"/>
    <n v="107"/>
    <n v="4.7300000000000002E-2"/>
  </r>
  <r>
    <x v="0"/>
    <x v="140"/>
    <x v="4"/>
    <x v="0"/>
    <x v="11"/>
    <n v="109"/>
    <n v="5.9299999999999999E-2"/>
  </r>
  <r>
    <x v="0"/>
    <x v="140"/>
    <x v="4"/>
    <x v="0"/>
    <x v="12"/>
    <n v="102"/>
    <n v="6.7000000000000004E-2"/>
  </r>
  <r>
    <x v="0"/>
    <x v="140"/>
    <x v="4"/>
    <x v="0"/>
    <x v="13"/>
    <n v="113"/>
    <n v="9.8000000000000004E-2"/>
  </r>
  <r>
    <x v="0"/>
    <x v="141"/>
    <x v="4"/>
    <x v="0"/>
    <x v="0"/>
    <n v="99"/>
    <n v="0.54349999999999998"/>
  </r>
  <r>
    <x v="0"/>
    <x v="141"/>
    <x v="4"/>
    <x v="0"/>
    <x v="1"/>
    <n v="104"/>
    <n v="0.34720000000000001"/>
  </r>
  <r>
    <x v="0"/>
    <x v="141"/>
    <x v="4"/>
    <x v="0"/>
    <x v="2"/>
    <n v="102"/>
    <n v="0.42530000000000001"/>
  </r>
  <r>
    <x v="0"/>
    <x v="141"/>
    <x v="4"/>
    <x v="0"/>
    <x v="3"/>
    <n v="101"/>
    <n v="0.37640000000000001"/>
  </r>
  <r>
    <x v="0"/>
    <x v="141"/>
    <x v="4"/>
    <x v="0"/>
    <x v="4"/>
    <n v="96"/>
    <n v="0.45760000000000001"/>
  </r>
  <r>
    <x v="0"/>
    <x v="141"/>
    <x v="4"/>
    <x v="0"/>
    <x v="5"/>
    <n v="97"/>
    <n v="0.23980000000000001"/>
  </r>
  <r>
    <x v="0"/>
    <x v="141"/>
    <x v="4"/>
    <x v="0"/>
    <x v="6"/>
    <n v="96"/>
    <n v="0.28420000000000001"/>
  </r>
  <r>
    <x v="0"/>
    <x v="141"/>
    <x v="4"/>
    <x v="0"/>
    <x v="7"/>
    <n v="99"/>
    <n v="0.46260000000000001"/>
  </r>
  <r>
    <x v="0"/>
    <x v="141"/>
    <x v="4"/>
    <x v="0"/>
    <x v="8"/>
    <n v="100"/>
    <n v="0.26319999999999999"/>
  </r>
  <r>
    <x v="0"/>
    <x v="141"/>
    <x v="4"/>
    <x v="0"/>
    <x v="9"/>
    <n v="102"/>
    <n v="0.34499999999999997"/>
  </r>
  <r>
    <x v="0"/>
    <x v="141"/>
    <x v="4"/>
    <x v="0"/>
    <x v="10"/>
    <n v="99"/>
    <n v="0.27350000000000002"/>
  </r>
  <r>
    <x v="0"/>
    <x v="141"/>
    <x v="4"/>
    <x v="0"/>
    <x v="11"/>
    <n v="98"/>
    <n v="0.31380000000000002"/>
  </r>
  <r>
    <x v="0"/>
    <x v="141"/>
    <x v="4"/>
    <x v="0"/>
    <x v="12"/>
    <n v="95"/>
    <n v="0.33589999999999998"/>
  </r>
  <r>
    <x v="0"/>
    <x v="141"/>
    <x v="4"/>
    <x v="0"/>
    <x v="13"/>
    <n v="103"/>
    <n v="0.3866"/>
  </r>
  <r>
    <x v="0"/>
    <x v="84"/>
    <x v="4"/>
    <x v="0"/>
    <x v="0"/>
    <n v="91"/>
    <n v="0.12690000000000001"/>
  </r>
  <r>
    <x v="0"/>
    <x v="84"/>
    <x v="4"/>
    <x v="0"/>
    <x v="1"/>
    <n v="85"/>
    <n v="1.5900000000000001E-2"/>
  </r>
  <r>
    <x v="0"/>
    <x v="84"/>
    <x v="4"/>
    <x v="0"/>
    <x v="2"/>
    <n v="94"/>
    <n v="4.1500000000000002E-2"/>
  </r>
  <r>
    <x v="0"/>
    <x v="84"/>
    <x v="4"/>
    <x v="0"/>
    <x v="3"/>
    <n v="89"/>
    <n v="3.61E-2"/>
  </r>
  <r>
    <x v="0"/>
    <x v="84"/>
    <x v="4"/>
    <x v="0"/>
    <x v="4"/>
    <n v="89"/>
    <n v="7.7899999999999997E-2"/>
  </r>
  <r>
    <x v="0"/>
    <x v="84"/>
    <x v="4"/>
    <x v="0"/>
    <x v="5"/>
    <n v="87"/>
    <n v="1.7500000000000002E-2"/>
  </r>
  <r>
    <x v="0"/>
    <x v="84"/>
    <x v="4"/>
    <x v="0"/>
    <x v="6"/>
    <n v="86"/>
    <n v="1.9400000000000001E-2"/>
  </r>
  <r>
    <x v="0"/>
    <x v="84"/>
    <x v="4"/>
    <x v="0"/>
    <x v="7"/>
    <n v="95"/>
    <n v="6.7199999999999996E-2"/>
  </r>
  <r>
    <x v="0"/>
    <x v="84"/>
    <x v="4"/>
    <x v="0"/>
    <x v="8"/>
    <n v="80"/>
    <n v="0.01"/>
  </r>
  <r>
    <x v="0"/>
    <x v="84"/>
    <x v="4"/>
    <x v="0"/>
    <x v="9"/>
    <n v="91"/>
    <n v="2.6499999999999999E-2"/>
  </r>
  <r>
    <x v="0"/>
    <x v="84"/>
    <x v="4"/>
    <x v="0"/>
    <x v="10"/>
    <n v="85"/>
    <n v="2.1999999999999999E-2"/>
  </r>
  <r>
    <x v="0"/>
    <x v="84"/>
    <x v="4"/>
    <x v="0"/>
    <x v="11"/>
    <n v="89"/>
    <n v="2.9700000000000001E-2"/>
  </r>
  <r>
    <x v="0"/>
    <x v="84"/>
    <x v="4"/>
    <x v="0"/>
    <x v="12"/>
    <n v="91"/>
    <n v="3.5999999999999997E-2"/>
  </r>
  <r>
    <x v="0"/>
    <x v="84"/>
    <x v="4"/>
    <x v="0"/>
    <x v="13"/>
    <n v="83"/>
    <n v="2.4799999999999999E-2"/>
  </r>
  <r>
    <x v="1"/>
    <x v="85"/>
    <x v="4"/>
    <x v="0"/>
    <x v="0"/>
    <n v="73"/>
    <n v="6.0999999999999999E-2"/>
  </r>
  <r>
    <x v="1"/>
    <x v="85"/>
    <x v="4"/>
    <x v="0"/>
    <x v="1"/>
    <n v="80"/>
    <n v="9.4000000000000004E-3"/>
  </r>
  <r>
    <x v="1"/>
    <x v="85"/>
    <x v="4"/>
    <x v="0"/>
    <x v="2"/>
    <n v="82"/>
    <n v="2.1899999999999999E-2"/>
  </r>
  <r>
    <x v="1"/>
    <x v="85"/>
    <x v="4"/>
    <x v="0"/>
    <x v="3"/>
    <n v="75"/>
    <n v="1.84E-2"/>
  </r>
  <r>
    <x v="1"/>
    <x v="85"/>
    <x v="4"/>
    <x v="0"/>
    <x v="4"/>
    <n v="69"/>
    <n v="2.8299999999999999E-2"/>
  </r>
  <r>
    <x v="1"/>
    <x v="85"/>
    <x v="4"/>
    <x v="0"/>
    <x v="5"/>
    <n v="65"/>
    <n v="5.4999999999999997E-3"/>
  </r>
  <r>
    <x v="1"/>
    <x v="85"/>
    <x v="4"/>
    <x v="0"/>
    <x v="6"/>
    <n v="65"/>
    <n v="7.0000000000000001E-3"/>
  </r>
  <r>
    <x v="1"/>
    <x v="85"/>
    <x v="4"/>
    <x v="0"/>
    <x v="7"/>
    <n v="71"/>
    <n v="2.5100000000000001E-2"/>
  </r>
  <r>
    <x v="1"/>
    <x v="85"/>
    <x v="4"/>
    <x v="0"/>
    <x v="8"/>
    <n v="70"/>
    <n v="4.8999999999999998E-3"/>
  </r>
  <r>
    <x v="1"/>
    <x v="85"/>
    <x v="4"/>
    <x v="0"/>
    <x v="9"/>
    <n v="77"/>
    <n v="1.52E-2"/>
  </r>
  <r>
    <x v="1"/>
    <x v="85"/>
    <x v="4"/>
    <x v="0"/>
    <x v="10"/>
    <n v="68"/>
    <n v="6.0000000000000001E-3"/>
  </r>
  <r>
    <x v="1"/>
    <x v="85"/>
    <x v="4"/>
    <x v="0"/>
    <x v="11"/>
    <n v="67"/>
    <n v="7.9000000000000008E-3"/>
  </r>
  <r>
    <x v="1"/>
    <x v="85"/>
    <x v="4"/>
    <x v="0"/>
    <x v="12"/>
    <n v="69"/>
    <n v="1.03E-2"/>
  </r>
  <r>
    <x v="1"/>
    <x v="85"/>
    <x v="4"/>
    <x v="0"/>
    <x v="13"/>
    <n v="78"/>
    <n v="1.44E-2"/>
  </r>
  <r>
    <x v="1"/>
    <x v="86"/>
    <x v="4"/>
    <x v="0"/>
    <x v="0"/>
    <n v="82"/>
    <n v="4.9099999999999998E-2"/>
  </r>
  <r>
    <x v="1"/>
    <x v="86"/>
    <x v="4"/>
    <x v="0"/>
    <x v="1"/>
    <n v="83"/>
    <n v="7.1000000000000004E-3"/>
  </r>
  <r>
    <x v="1"/>
    <x v="86"/>
    <x v="4"/>
    <x v="0"/>
    <x v="2"/>
    <n v="86"/>
    <n v="1.5699999999999999E-2"/>
  </r>
  <r>
    <x v="1"/>
    <x v="86"/>
    <x v="4"/>
    <x v="0"/>
    <x v="3"/>
    <n v="82"/>
    <n v="1.12E-2"/>
  </r>
  <r>
    <x v="1"/>
    <x v="86"/>
    <x v="4"/>
    <x v="0"/>
    <x v="4"/>
    <n v="83"/>
    <n v="2.3099999999999999E-2"/>
  </r>
  <r>
    <x v="1"/>
    <x v="86"/>
    <x v="4"/>
    <x v="0"/>
    <x v="5"/>
    <n v="79"/>
    <n v="6.3E-3"/>
  </r>
  <r>
    <x v="1"/>
    <x v="86"/>
    <x v="4"/>
    <x v="0"/>
    <x v="6"/>
    <n v="77"/>
    <n v="7.7999999999999996E-3"/>
  </r>
  <r>
    <x v="1"/>
    <x v="86"/>
    <x v="4"/>
    <x v="0"/>
    <x v="7"/>
    <n v="80"/>
    <n v="1.8200000000000001E-2"/>
  </r>
  <r>
    <x v="1"/>
    <x v="86"/>
    <x v="4"/>
    <x v="0"/>
    <x v="8"/>
    <n v="73"/>
    <n v="4.3E-3"/>
  </r>
  <r>
    <x v="1"/>
    <x v="86"/>
    <x v="4"/>
    <x v="0"/>
    <x v="9"/>
    <n v="83"/>
    <n v="8.3000000000000001E-3"/>
  </r>
  <r>
    <x v="1"/>
    <x v="86"/>
    <x v="4"/>
    <x v="0"/>
    <x v="10"/>
    <n v="84"/>
    <n v="6.4999999999999997E-3"/>
  </r>
  <r>
    <x v="1"/>
    <x v="86"/>
    <x v="4"/>
    <x v="0"/>
    <x v="11"/>
    <n v="85"/>
    <n v="7.7000000000000002E-3"/>
  </r>
  <r>
    <x v="1"/>
    <x v="86"/>
    <x v="4"/>
    <x v="0"/>
    <x v="12"/>
    <n v="84"/>
    <n v="8.8000000000000005E-3"/>
  </r>
  <r>
    <x v="1"/>
    <x v="86"/>
    <x v="4"/>
    <x v="0"/>
    <x v="13"/>
    <n v="81"/>
    <n v="1.0800000000000001E-2"/>
  </r>
  <r>
    <x v="0"/>
    <x v="87"/>
    <x v="4"/>
    <x v="0"/>
    <x v="0"/>
    <n v="96"/>
    <n v="0.18509999999999999"/>
  </r>
  <r>
    <x v="0"/>
    <x v="87"/>
    <x v="4"/>
    <x v="0"/>
    <x v="1"/>
    <n v="86"/>
    <n v="2.5100000000000001E-2"/>
  </r>
  <r>
    <x v="0"/>
    <x v="87"/>
    <x v="4"/>
    <x v="0"/>
    <x v="2"/>
    <n v="85"/>
    <n v="4.8500000000000001E-2"/>
  </r>
  <r>
    <x v="0"/>
    <x v="87"/>
    <x v="4"/>
    <x v="0"/>
    <x v="3"/>
    <n v="78"/>
    <n v="3.9E-2"/>
  </r>
  <r>
    <x v="0"/>
    <x v="87"/>
    <x v="4"/>
    <x v="0"/>
    <x v="4"/>
    <n v="102"/>
    <n v="0.1207"/>
  </r>
  <r>
    <x v="0"/>
    <x v="87"/>
    <x v="4"/>
    <x v="0"/>
    <x v="5"/>
    <n v="106"/>
    <n v="4.6800000000000001E-2"/>
  </r>
  <r>
    <x v="0"/>
    <x v="87"/>
    <x v="4"/>
    <x v="0"/>
    <x v="6"/>
    <n v="105"/>
    <n v="4.8599999999999997E-2"/>
  </r>
  <r>
    <x v="0"/>
    <x v="87"/>
    <x v="4"/>
    <x v="0"/>
    <x v="7"/>
    <n v="80"/>
    <n v="6.5799999999999997E-2"/>
  </r>
  <r>
    <x v="0"/>
    <x v="87"/>
    <x v="4"/>
    <x v="0"/>
    <x v="8"/>
    <n v="102"/>
    <n v="2.3099999999999999E-2"/>
  </r>
  <r>
    <x v="0"/>
    <x v="87"/>
    <x v="4"/>
    <x v="0"/>
    <x v="9"/>
    <n v="77"/>
    <n v="2.9399999999999999E-2"/>
  </r>
  <r>
    <x v="0"/>
    <x v="87"/>
    <x v="4"/>
    <x v="0"/>
    <x v="10"/>
    <n v="107"/>
    <n v="4.87E-2"/>
  </r>
  <r>
    <x v="0"/>
    <x v="87"/>
    <x v="4"/>
    <x v="0"/>
    <x v="11"/>
    <n v="104"/>
    <n v="5.8799999999999998E-2"/>
  </r>
  <r>
    <x v="0"/>
    <x v="87"/>
    <x v="4"/>
    <x v="0"/>
    <x v="12"/>
    <n v="102"/>
    <n v="5.7799999999999997E-2"/>
  </r>
  <r>
    <x v="0"/>
    <x v="87"/>
    <x v="4"/>
    <x v="0"/>
    <x v="13"/>
    <n v="93"/>
    <n v="0.04"/>
  </r>
  <r>
    <x v="0"/>
    <x v="88"/>
    <x v="4"/>
    <x v="0"/>
    <x v="0"/>
    <n v="117"/>
    <n v="0.31530000000000002"/>
  </r>
  <r>
    <x v="0"/>
    <x v="88"/>
    <x v="4"/>
    <x v="0"/>
    <x v="1"/>
    <n v="117"/>
    <n v="6.3399999999999998E-2"/>
  </r>
  <r>
    <x v="0"/>
    <x v="88"/>
    <x v="4"/>
    <x v="0"/>
    <x v="2"/>
    <n v="123"/>
    <n v="0.11119999999999999"/>
  </r>
  <r>
    <x v="0"/>
    <x v="88"/>
    <x v="4"/>
    <x v="0"/>
    <x v="3"/>
    <n v="119"/>
    <n v="9.74E-2"/>
  </r>
  <r>
    <x v="0"/>
    <x v="88"/>
    <x v="4"/>
    <x v="0"/>
    <x v="4"/>
    <n v="120"/>
    <n v="0.2356"/>
  </r>
  <r>
    <x v="0"/>
    <x v="88"/>
    <x v="4"/>
    <x v="0"/>
    <x v="5"/>
    <n v="114"/>
    <n v="9.4799999999999995E-2"/>
  </r>
  <r>
    <x v="0"/>
    <x v="88"/>
    <x v="4"/>
    <x v="0"/>
    <x v="6"/>
    <n v="112"/>
    <n v="9.6600000000000005E-2"/>
  </r>
  <r>
    <x v="0"/>
    <x v="88"/>
    <x v="4"/>
    <x v="0"/>
    <x v="7"/>
    <n v="115"/>
    <n v="0.1789"/>
  </r>
  <r>
    <x v="0"/>
    <x v="88"/>
    <x v="4"/>
    <x v="0"/>
    <x v="8"/>
    <n v="114"/>
    <n v="5.3999999999999999E-2"/>
  </r>
  <r>
    <x v="0"/>
    <x v="88"/>
    <x v="4"/>
    <x v="0"/>
    <x v="9"/>
    <n v="119"/>
    <n v="7.6100000000000001E-2"/>
  </r>
  <r>
    <x v="0"/>
    <x v="88"/>
    <x v="4"/>
    <x v="0"/>
    <x v="10"/>
    <n v="118"/>
    <n v="0.1139"/>
  </r>
  <r>
    <x v="0"/>
    <x v="88"/>
    <x v="4"/>
    <x v="0"/>
    <x v="11"/>
    <n v="120"/>
    <n v="0.1328"/>
  </r>
  <r>
    <x v="0"/>
    <x v="88"/>
    <x v="4"/>
    <x v="0"/>
    <x v="12"/>
    <n v="120"/>
    <n v="0.14319999999999999"/>
  </r>
  <r>
    <x v="0"/>
    <x v="88"/>
    <x v="4"/>
    <x v="0"/>
    <x v="13"/>
    <n v="115"/>
    <n v="9.6100000000000005E-2"/>
  </r>
  <r>
    <x v="0"/>
    <x v="89"/>
    <x v="4"/>
    <x v="0"/>
    <x v="0"/>
    <n v="89"/>
    <n v="0.14180000000000001"/>
  </r>
  <r>
    <x v="0"/>
    <x v="89"/>
    <x v="4"/>
    <x v="0"/>
    <x v="1"/>
    <n v="97"/>
    <n v="1.55E-2"/>
  </r>
  <r>
    <x v="0"/>
    <x v="89"/>
    <x v="4"/>
    <x v="0"/>
    <x v="2"/>
    <n v="95"/>
    <n v="4.1799999999999997E-2"/>
  </r>
  <r>
    <x v="0"/>
    <x v="89"/>
    <x v="4"/>
    <x v="0"/>
    <x v="3"/>
    <n v="93"/>
    <n v="3.2599999999999997E-2"/>
  </r>
  <r>
    <x v="0"/>
    <x v="89"/>
    <x v="4"/>
    <x v="0"/>
    <x v="4"/>
    <n v="88"/>
    <n v="8.1900000000000001E-2"/>
  </r>
  <r>
    <x v="0"/>
    <x v="89"/>
    <x v="4"/>
    <x v="0"/>
    <x v="5"/>
    <n v="80"/>
    <n v="2.3599999999999999E-2"/>
  </r>
  <r>
    <x v="0"/>
    <x v="89"/>
    <x v="4"/>
    <x v="0"/>
    <x v="6"/>
    <n v="85"/>
    <n v="2.7400000000000001E-2"/>
  </r>
  <r>
    <x v="0"/>
    <x v="89"/>
    <x v="4"/>
    <x v="0"/>
    <x v="7"/>
    <n v="87"/>
    <n v="6.3799999999999996E-2"/>
  </r>
  <r>
    <x v="0"/>
    <x v="89"/>
    <x v="4"/>
    <x v="0"/>
    <x v="8"/>
    <n v="98"/>
    <n v="1.34E-2"/>
  </r>
  <r>
    <x v="0"/>
    <x v="89"/>
    <x v="4"/>
    <x v="0"/>
    <x v="9"/>
    <n v="93"/>
    <n v="2.3900000000000001E-2"/>
  </r>
  <r>
    <x v="0"/>
    <x v="89"/>
    <x v="4"/>
    <x v="0"/>
    <x v="10"/>
    <n v="86"/>
    <n v="2.4400000000000002E-2"/>
  </r>
  <r>
    <x v="0"/>
    <x v="89"/>
    <x v="4"/>
    <x v="0"/>
    <x v="11"/>
    <n v="91"/>
    <n v="3.1300000000000001E-2"/>
  </r>
  <r>
    <x v="0"/>
    <x v="89"/>
    <x v="4"/>
    <x v="0"/>
    <x v="12"/>
    <n v="89"/>
    <n v="3.7600000000000001E-2"/>
  </r>
  <r>
    <x v="0"/>
    <x v="89"/>
    <x v="4"/>
    <x v="0"/>
    <x v="13"/>
    <n v="90"/>
    <n v="2.5700000000000001E-2"/>
  </r>
  <r>
    <x v="1"/>
    <x v="90"/>
    <x v="4"/>
    <x v="0"/>
    <x v="0"/>
    <n v="120"/>
    <n v="7.4000000000000003E-3"/>
  </r>
  <r>
    <x v="1"/>
    <x v="90"/>
    <x v="4"/>
    <x v="0"/>
    <x v="1"/>
    <n v="108"/>
    <n v="1E-3"/>
  </r>
  <r>
    <x v="1"/>
    <x v="90"/>
    <x v="4"/>
    <x v="0"/>
    <x v="2"/>
    <n v="121"/>
    <n v="2.8E-3"/>
  </r>
  <r>
    <x v="1"/>
    <x v="90"/>
    <x v="4"/>
    <x v="0"/>
    <x v="3"/>
    <n v="120"/>
    <n v="2.2000000000000001E-3"/>
  </r>
  <r>
    <x v="1"/>
    <x v="90"/>
    <x v="4"/>
    <x v="0"/>
    <x v="4"/>
    <n v="115"/>
    <n v="4.1999999999999997E-3"/>
  </r>
  <r>
    <x v="1"/>
    <x v="90"/>
    <x v="4"/>
    <x v="0"/>
    <x v="5"/>
    <n v="128"/>
    <n v="8.0000000000000004E-4"/>
  </r>
  <r>
    <x v="1"/>
    <x v="90"/>
    <x v="4"/>
    <x v="0"/>
    <x v="6"/>
    <n v="116"/>
    <n v="1.1000000000000001E-3"/>
  </r>
  <r>
    <x v="1"/>
    <x v="90"/>
    <x v="4"/>
    <x v="0"/>
    <x v="7"/>
    <n v="126"/>
    <n v="3.5000000000000001E-3"/>
  </r>
  <r>
    <x v="1"/>
    <x v="90"/>
    <x v="4"/>
    <x v="0"/>
    <x v="8"/>
    <n v="99"/>
    <n v="5.9999999999999995E-4"/>
  </r>
  <r>
    <x v="1"/>
    <x v="90"/>
    <x v="4"/>
    <x v="0"/>
    <x v="9"/>
    <n v="118"/>
    <n v="1.6999999999999999E-3"/>
  </r>
  <r>
    <x v="1"/>
    <x v="90"/>
    <x v="4"/>
    <x v="0"/>
    <x v="10"/>
    <n v="111"/>
    <n v="1E-3"/>
  </r>
  <r>
    <x v="1"/>
    <x v="90"/>
    <x v="4"/>
    <x v="0"/>
    <x v="11"/>
    <n v="111"/>
    <n v="1.5E-3"/>
  </r>
  <r>
    <x v="1"/>
    <x v="90"/>
    <x v="4"/>
    <x v="0"/>
    <x v="12"/>
    <n v="115"/>
    <n v="1.9E-3"/>
  </r>
  <r>
    <x v="1"/>
    <x v="90"/>
    <x v="4"/>
    <x v="0"/>
    <x v="13"/>
    <n v="111"/>
    <n v="1.6999999999999999E-3"/>
  </r>
  <r>
    <x v="1"/>
    <x v="91"/>
    <x v="4"/>
    <x v="0"/>
    <x v="0"/>
    <n v="120"/>
    <n v="5.0900000000000001E-2"/>
  </r>
  <r>
    <x v="1"/>
    <x v="91"/>
    <x v="4"/>
    <x v="0"/>
    <x v="1"/>
    <n v="113"/>
    <n v="6.8999999999999999E-3"/>
  </r>
  <r>
    <x v="1"/>
    <x v="91"/>
    <x v="4"/>
    <x v="0"/>
    <x v="2"/>
    <n v="121"/>
    <n v="1.9300000000000001E-2"/>
  </r>
  <r>
    <x v="1"/>
    <x v="91"/>
    <x v="4"/>
    <x v="0"/>
    <x v="3"/>
    <n v="124"/>
    <n v="1.55E-2"/>
  </r>
  <r>
    <x v="1"/>
    <x v="91"/>
    <x v="4"/>
    <x v="0"/>
    <x v="4"/>
    <n v="122"/>
    <n v="3.2800000000000003E-2"/>
  </r>
  <r>
    <x v="1"/>
    <x v="91"/>
    <x v="4"/>
    <x v="0"/>
    <x v="5"/>
    <n v="111"/>
    <n v="1.0200000000000001E-2"/>
  </r>
  <r>
    <x v="1"/>
    <x v="91"/>
    <x v="4"/>
    <x v="0"/>
    <x v="6"/>
    <n v="110"/>
    <n v="9.7000000000000003E-3"/>
  </r>
  <r>
    <x v="1"/>
    <x v="91"/>
    <x v="4"/>
    <x v="0"/>
    <x v="7"/>
    <n v="121"/>
    <n v="2.35E-2"/>
  </r>
  <r>
    <x v="1"/>
    <x v="91"/>
    <x v="4"/>
    <x v="0"/>
    <x v="8"/>
    <n v="108"/>
    <n v="4.0000000000000001E-3"/>
  </r>
  <r>
    <x v="1"/>
    <x v="91"/>
    <x v="4"/>
    <x v="0"/>
    <x v="9"/>
    <n v="124"/>
    <n v="1.2500000000000001E-2"/>
  </r>
  <r>
    <x v="1"/>
    <x v="91"/>
    <x v="4"/>
    <x v="0"/>
    <x v="10"/>
    <n v="117"/>
    <n v="1.15E-2"/>
  </r>
  <r>
    <x v="1"/>
    <x v="91"/>
    <x v="4"/>
    <x v="0"/>
    <x v="11"/>
    <n v="124"/>
    <n v="1.46E-2"/>
  </r>
  <r>
    <x v="1"/>
    <x v="91"/>
    <x v="4"/>
    <x v="0"/>
    <x v="12"/>
    <n v="124"/>
    <n v="1.7299999999999999E-2"/>
  </r>
  <r>
    <x v="1"/>
    <x v="91"/>
    <x v="4"/>
    <x v="0"/>
    <x v="13"/>
    <n v="113"/>
    <n v="1.04E-2"/>
  </r>
  <r>
    <x v="0"/>
    <x v="92"/>
    <x v="4"/>
    <x v="0"/>
    <x v="0"/>
    <n v="100"/>
    <n v="0.18509999999999999"/>
  </r>
  <r>
    <x v="0"/>
    <x v="92"/>
    <x v="4"/>
    <x v="0"/>
    <x v="1"/>
    <n v="105"/>
    <n v="3.1E-2"/>
  </r>
  <r>
    <x v="0"/>
    <x v="92"/>
    <x v="4"/>
    <x v="0"/>
    <x v="2"/>
    <n v="104"/>
    <n v="6.88E-2"/>
  </r>
  <r>
    <x v="0"/>
    <x v="92"/>
    <x v="4"/>
    <x v="0"/>
    <x v="3"/>
    <n v="99"/>
    <n v="5.5800000000000002E-2"/>
  </r>
  <r>
    <x v="0"/>
    <x v="92"/>
    <x v="4"/>
    <x v="0"/>
    <x v="4"/>
    <n v="100"/>
    <n v="0.1181"/>
  </r>
  <r>
    <x v="0"/>
    <x v="92"/>
    <x v="4"/>
    <x v="0"/>
    <x v="5"/>
    <n v="97"/>
    <n v="4.1000000000000002E-2"/>
  </r>
  <r>
    <x v="0"/>
    <x v="92"/>
    <x v="4"/>
    <x v="0"/>
    <x v="6"/>
    <n v="99"/>
    <n v="4.7699999999999999E-2"/>
  </r>
  <r>
    <x v="0"/>
    <x v="92"/>
    <x v="4"/>
    <x v="0"/>
    <x v="7"/>
    <n v="96"/>
    <n v="8.9200000000000002E-2"/>
  </r>
  <r>
    <x v="0"/>
    <x v="92"/>
    <x v="4"/>
    <x v="0"/>
    <x v="8"/>
    <n v="104"/>
    <n v="2.6499999999999999E-2"/>
  </r>
  <r>
    <x v="0"/>
    <x v="92"/>
    <x v="4"/>
    <x v="0"/>
    <x v="9"/>
    <n v="99"/>
    <n v="4.4400000000000002E-2"/>
  </r>
  <r>
    <x v="0"/>
    <x v="92"/>
    <x v="4"/>
    <x v="0"/>
    <x v="10"/>
    <n v="100"/>
    <n v="4.1799999999999997E-2"/>
  </r>
  <r>
    <x v="0"/>
    <x v="92"/>
    <x v="4"/>
    <x v="0"/>
    <x v="11"/>
    <n v="100"/>
    <n v="5.3400000000000003E-2"/>
  </r>
  <r>
    <x v="0"/>
    <x v="92"/>
    <x v="4"/>
    <x v="0"/>
    <x v="12"/>
    <n v="100"/>
    <n v="6.0499999999999998E-2"/>
  </r>
  <r>
    <x v="0"/>
    <x v="92"/>
    <x v="4"/>
    <x v="0"/>
    <x v="13"/>
    <n v="103"/>
    <n v="4.8399999999999999E-2"/>
  </r>
  <r>
    <x v="0"/>
    <x v="93"/>
    <x v="4"/>
    <x v="0"/>
    <x v="0"/>
    <n v="106"/>
    <n v="0.39319999999999999"/>
  </r>
  <r>
    <x v="0"/>
    <x v="93"/>
    <x v="4"/>
    <x v="0"/>
    <x v="1"/>
    <n v="103"/>
    <n v="5.0299999999999997E-2"/>
  </r>
  <r>
    <x v="0"/>
    <x v="93"/>
    <x v="4"/>
    <x v="0"/>
    <x v="2"/>
    <n v="115"/>
    <n v="0.1201"/>
  </r>
  <r>
    <x v="0"/>
    <x v="93"/>
    <x v="4"/>
    <x v="0"/>
    <x v="3"/>
    <n v="112"/>
    <n v="0.1384"/>
  </r>
  <r>
    <x v="0"/>
    <x v="93"/>
    <x v="4"/>
    <x v="0"/>
    <x v="4"/>
    <n v="104"/>
    <n v="0.29509999999999997"/>
  </r>
  <r>
    <x v="0"/>
    <x v="93"/>
    <x v="4"/>
    <x v="0"/>
    <x v="5"/>
    <n v="100"/>
    <n v="9.2499999999999999E-2"/>
  </r>
  <r>
    <x v="0"/>
    <x v="93"/>
    <x v="4"/>
    <x v="0"/>
    <x v="6"/>
    <n v="100"/>
    <n v="9.5299999999999996E-2"/>
  </r>
  <r>
    <x v="0"/>
    <x v="93"/>
    <x v="4"/>
    <x v="0"/>
    <x v="7"/>
    <n v="107"/>
    <n v="0.191"/>
  </r>
  <r>
    <x v="0"/>
    <x v="93"/>
    <x v="4"/>
    <x v="0"/>
    <x v="8"/>
    <n v="101"/>
    <n v="4.5100000000000001E-2"/>
  </r>
  <r>
    <x v="0"/>
    <x v="93"/>
    <x v="4"/>
    <x v="0"/>
    <x v="9"/>
    <n v="114"/>
    <n v="8.6599999999999996E-2"/>
  </r>
  <r>
    <x v="0"/>
    <x v="93"/>
    <x v="4"/>
    <x v="0"/>
    <x v="10"/>
    <n v="103"/>
    <n v="0.1115"/>
  </r>
  <r>
    <x v="0"/>
    <x v="93"/>
    <x v="4"/>
    <x v="0"/>
    <x v="11"/>
    <n v="102"/>
    <n v="0.14050000000000001"/>
  </r>
  <r>
    <x v="0"/>
    <x v="93"/>
    <x v="4"/>
    <x v="0"/>
    <x v="12"/>
    <n v="104"/>
    <n v="0.16289999999999999"/>
  </r>
  <r>
    <x v="0"/>
    <x v="93"/>
    <x v="4"/>
    <x v="0"/>
    <x v="13"/>
    <n v="103"/>
    <n v="8.77E-2"/>
  </r>
  <r>
    <x v="1"/>
    <x v="94"/>
    <x v="4"/>
    <x v="1"/>
    <x v="0"/>
    <n v="110"/>
    <n v="0.56689999999999996"/>
  </r>
  <r>
    <x v="1"/>
    <x v="94"/>
    <x v="4"/>
    <x v="1"/>
    <x v="1"/>
    <n v="94"/>
    <n v="7.5700000000000003E-2"/>
  </r>
  <r>
    <x v="1"/>
    <x v="94"/>
    <x v="4"/>
    <x v="1"/>
    <x v="2"/>
    <n v="100"/>
    <n v="0.2127"/>
  </r>
  <r>
    <x v="1"/>
    <x v="94"/>
    <x v="4"/>
    <x v="1"/>
    <x v="3"/>
    <n v="107"/>
    <n v="0.20069999999999999"/>
  </r>
  <r>
    <x v="1"/>
    <x v="94"/>
    <x v="4"/>
    <x v="1"/>
    <x v="4"/>
    <n v="116"/>
    <n v="0.43240000000000001"/>
  </r>
  <r>
    <x v="1"/>
    <x v="94"/>
    <x v="4"/>
    <x v="1"/>
    <x v="5"/>
    <n v="101"/>
    <n v="0.12659999999999999"/>
  </r>
  <r>
    <x v="1"/>
    <x v="94"/>
    <x v="4"/>
    <x v="1"/>
    <x v="6"/>
    <n v="101"/>
    <n v="0.13719999999999999"/>
  </r>
  <r>
    <x v="1"/>
    <x v="94"/>
    <x v="4"/>
    <x v="1"/>
    <x v="7"/>
    <n v="107"/>
    <n v="0.3609"/>
  </r>
  <r>
    <x v="1"/>
    <x v="94"/>
    <x v="4"/>
    <x v="1"/>
    <x v="8"/>
    <n v="102"/>
    <n v="6.6600000000000006E-2"/>
  </r>
  <r>
    <x v="1"/>
    <x v="94"/>
    <x v="4"/>
    <x v="1"/>
    <x v="9"/>
    <n v="108"/>
    <n v="0.15040000000000001"/>
  </r>
  <r>
    <x v="1"/>
    <x v="94"/>
    <x v="4"/>
    <x v="1"/>
    <x v="10"/>
    <n v="106"/>
    <n v="0.1522"/>
  </r>
  <r>
    <x v="1"/>
    <x v="94"/>
    <x v="4"/>
    <x v="1"/>
    <x v="11"/>
    <n v="112"/>
    <n v="0.21990000000000001"/>
  </r>
  <r>
    <x v="1"/>
    <x v="94"/>
    <x v="4"/>
    <x v="1"/>
    <x v="12"/>
    <n v="120"/>
    <n v="0.2727"/>
  </r>
  <r>
    <x v="1"/>
    <x v="94"/>
    <x v="4"/>
    <x v="1"/>
    <x v="13"/>
    <n v="98"/>
    <n v="0.1371"/>
  </r>
  <r>
    <x v="1"/>
    <x v="95"/>
    <x v="4"/>
    <x v="0"/>
    <x v="0"/>
    <n v="111"/>
    <n v="0.123"/>
  </r>
  <r>
    <x v="1"/>
    <x v="95"/>
    <x v="4"/>
    <x v="0"/>
    <x v="1"/>
    <n v="112"/>
    <n v="1.7299999999999999E-2"/>
  </r>
  <r>
    <x v="1"/>
    <x v="95"/>
    <x v="4"/>
    <x v="0"/>
    <x v="2"/>
    <n v="115"/>
    <n v="4.1099999999999998E-2"/>
  </r>
  <r>
    <x v="1"/>
    <x v="95"/>
    <x v="4"/>
    <x v="0"/>
    <x v="3"/>
    <n v="113"/>
    <n v="3.3399999999999999E-2"/>
  </r>
  <r>
    <x v="1"/>
    <x v="95"/>
    <x v="4"/>
    <x v="0"/>
    <x v="4"/>
    <n v="109"/>
    <n v="6.9099999999999995E-2"/>
  </r>
  <r>
    <x v="1"/>
    <x v="95"/>
    <x v="4"/>
    <x v="0"/>
    <x v="5"/>
    <n v="107"/>
    <n v="2.2200000000000001E-2"/>
  </r>
  <r>
    <x v="1"/>
    <x v="95"/>
    <x v="4"/>
    <x v="0"/>
    <x v="6"/>
    <n v="104"/>
    <n v="2.53E-2"/>
  </r>
  <r>
    <x v="1"/>
    <x v="95"/>
    <x v="4"/>
    <x v="0"/>
    <x v="7"/>
    <n v="114"/>
    <n v="6.13E-2"/>
  </r>
  <r>
    <x v="1"/>
    <x v="95"/>
    <x v="4"/>
    <x v="0"/>
    <x v="8"/>
    <n v="106"/>
    <n v="1.3899999999999999E-2"/>
  </r>
  <r>
    <x v="1"/>
    <x v="95"/>
    <x v="4"/>
    <x v="0"/>
    <x v="9"/>
    <n v="115"/>
    <n v="2.7400000000000001E-2"/>
  </r>
  <r>
    <x v="1"/>
    <x v="95"/>
    <x v="4"/>
    <x v="0"/>
    <x v="10"/>
    <n v="105"/>
    <n v="2.1999999999999999E-2"/>
  </r>
  <r>
    <x v="1"/>
    <x v="95"/>
    <x v="4"/>
    <x v="0"/>
    <x v="11"/>
    <n v="110"/>
    <n v="2.7400000000000001E-2"/>
  </r>
  <r>
    <x v="1"/>
    <x v="95"/>
    <x v="4"/>
    <x v="0"/>
    <x v="12"/>
    <n v="111"/>
    <n v="3.0599999999999999E-2"/>
  </r>
  <r>
    <x v="1"/>
    <x v="95"/>
    <x v="4"/>
    <x v="0"/>
    <x v="13"/>
    <n v="110"/>
    <n v="2.81E-2"/>
  </r>
  <r>
    <x v="1"/>
    <x v="96"/>
    <x v="4"/>
    <x v="0"/>
    <x v="0"/>
    <n v="116"/>
    <n v="0.1157"/>
  </r>
  <r>
    <x v="1"/>
    <x v="96"/>
    <x v="4"/>
    <x v="0"/>
    <x v="1"/>
    <n v="92"/>
    <n v="7.0000000000000001E-3"/>
  </r>
  <r>
    <x v="1"/>
    <x v="96"/>
    <x v="4"/>
    <x v="0"/>
    <x v="2"/>
    <n v="118"/>
    <n v="3.6999999999999998E-2"/>
  </r>
  <r>
    <x v="1"/>
    <x v="96"/>
    <x v="4"/>
    <x v="0"/>
    <x v="3"/>
    <n v="115"/>
    <n v="3.0099999999999998E-2"/>
  </r>
  <r>
    <x v="1"/>
    <x v="96"/>
    <x v="4"/>
    <x v="0"/>
    <x v="4"/>
    <n v="121"/>
    <n v="6.7199999999999996E-2"/>
  </r>
  <r>
    <x v="1"/>
    <x v="96"/>
    <x v="4"/>
    <x v="0"/>
    <x v="5"/>
    <n v="111"/>
    <n v="2.4E-2"/>
  </r>
  <r>
    <x v="1"/>
    <x v="96"/>
    <x v="4"/>
    <x v="0"/>
    <x v="6"/>
    <n v="106"/>
    <n v="2.1399999999999999E-2"/>
  </r>
  <r>
    <x v="1"/>
    <x v="96"/>
    <x v="4"/>
    <x v="0"/>
    <x v="7"/>
    <n v="114"/>
    <n v="5.6399999999999999E-2"/>
  </r>
  <r>
    <x v="1"/>
    <x v="96"/>
    <x v="4"/>
    <x v="0"/>
    <x v="8"/>
    <n v="97"/>
    <n v="5.4000000000000003E-3"/>
  </r>
  <r>
    <x v="1"/>
    <x v="96"/>
    <x v="4"/>
    <x v="0"/>
    <x v="9"/>
    <n v="116"/>
    <n v="2.3E-2"/>
  </r>
  <r>
    <x v="1"/>
    <x v="96"/>
    <x v="4"/>
    <x v="0"/>
    <x v="10"/>
    <n v="123"/>
    <n v="2.5700000000000001E-2"/>
  </r>
  <r>
    <x v="1"/>
    <x v="96"/>
    <x v="4"/>
    <x v="0"/>
    <x v="11"/>
    <n v="122"/>
    <n v="3.0800000000000001E-2"/>
  </r>
  <r>
    <x v="1"/>
    <x v="96"/>
    <x v="4"/>
    <x v="0"/>
    <x v="12"/>
    <n v="121"/>
    <n v="3.5700000000000003E-2"/>
  </r>
  <r>
    <x v="1"/>
    <x v="96"/>
    <x v="4"/>
    <x v="0"/>
    <x v="13"/>
    <n v="110"/>
    <n v="2.06E-2"/>
  </r>
  <r>
    <x v="1"/>
    <x v="97"/>
    <x v="4"/>
    <x v="0"/>
    <x v="0"/>
    <n v="113"/>
    <n v="0.14460000000000001"/>
  </r>
  <r>
    <x v="1"/>
    <x v="97"/>
    <x v="4"/>
    <x v="0"/>
    <x v="1"/>
    <n v="109"/>
    <n v="1.8200000000000001E-2"/>
  </r>
  <r>
    <x v="1"/>
    <x v="97"/>
    <x v="4"/>
    <x v="0"/>
    <x v="2"/>
    <n v="111"/>
    <n v="5.1499999999999997E-2"/>
  </r>
  <r>
    <x v="1"/>
    <x v="97"/>
    <x v="4"/>
    <x v="0"/>
    <x v="3"/>
    <n v="112"/>
    <n v="4.3099999999999999E-2"/>
  </r>
  <r>
    <x v="1"/>
    <x v="97"/>
    <x v="4"/>
    <x v="0"/>
    <x v="4"/>
    <n v="115"/>
    <n v="8.9300000000000004E-2"/>
  </r>
  <r>
    <x v="1"/>
    <x v="97"/>
    <x v="4"/>
    <x v="0"/>
    <x v="5"/>
    <n v="108"/>
    <n v="2.63E-2"/>
  </r>
  <r>
    <x v="1"/>
    <x v="97"/>
    <x v="4"/>
    <x v="0"/>
    <x v="6"/>
    <n v="110"/>
    <n v="2.98E-2"/>
  </r>
  <r>
    <x v="1"/>
    <x v="97"/>
    <x v="4"/>
    <x v="0"/>
    <x v="7"/>
    <n v="117"/>
    <n v="7.1900000000000006E-2"/>
  </r>
  <r>
    <x v="1"/>
    <x v="97"/>
    <x v="4"/>
    <x v="0"/>
    <x v="8"/>
    <n v="107"/>
    <n v="1.4500000000000001E-2"/>
  </r>
  <r>
    <x v="1"/>
    <x v="97"/>
    <x v="4"/>
    <x v="0"/>
    <x v="9"/>
    <n v="114"/>
    <n v="3.2500000000000001E-2"/>
  </r>
  <r>
    <x v="1"/>
    <x v="97"/>
    <x v="4"/>
    <x v="0"/>
    <x v="10"/>
    <n v="109"/>
    <n v="2.8400000000000002E-2"/>
  </r>
  <r>
    <x v="1"/>
    <x v="97"/>
    <x v="4"/>
    <x v="0"/>
    <x v="11"/>
    <n v="115"/>
    <n v="3.61E-2"/>
  </r>
  <r>
    <x v="1"/>
    <x v="97"/>
    <x v="4"/>
    <x v="0"/>
    <x v="12"/>
    <n v="117"/>
    <n v="4.3200000000000002E-2"/>
  </r>
  <r>
    <x v="1"/>
    <x v="97"/>
    <x v="4"/>
    <x v="0"/>
    <x v="13"/>
    <n v="112"/>
    <n v="3.15E-2"/>
  </r>
  <r>
    <x v="1"/>
    <x v="98"/>
    <x v="4"/>
    <x v="0"/>
    <x v="0"/>
    <n v="89"/>
    <n v="6.2199999999999998E-2"/>
  </r>
  <r>
    <x v="1"/>
    <x v="98"/>
    <x v="4"/>
    <x v="0"/>
    <x v="1"/>
    <n v="70"/>
    <n v="3.0999999999999999E-3"/>
  </r>
  <r>
    <x v="1"/>
    <x v="98"/>
    <x v="4"/>
    <x v="0"/>
    <x v="2"/>
    <n v="91"/>
    <n v="1.4E-2"/>
  </r>
  <r>
    <x v="1"/>
    <x v="98"/>
    <x v="4"/>
    <x v="0"/>
    <x v="3"/>
    <n v="88"/>
    <n v="1.15E-2"/>
  </r>
  <r>
    <x v="1"/>
    <x v="98"/>
    <x v="4"/>
    <x v="0"/>
    <x v="4"/>
    <n v="90"/>
    <n v="3.78E-2"/>
  </r>
  <r>
    <x v="1"/>
    <x v="98"/>
    <x v="4"/>
    <x v="0"/>
    <x v="5"/>
    <n v="83"/>
    <n v="4.7999999999999996E-3"/>
  </r>
  <r>
    <x v="1"/>
    <x v="98"/>
    <x v="4"/>
    <x v="0"/>
    <x v="6"/>
    <n v="83"/>
    <n v="5.7000000000000002E-3"/>
  </r>
  <r>
    <x v="1"/>
    <x v="98"/>
    <x v="4"/>
    <x v="0"/>
    <x v="7"/>
    <n v="92"/>
    <n v="2.5999999999999999E-2"/>
  </r>
  <r>
    <x v="1"/>
    <x v="98"/>
    <x v="4"/>
    <x v="0"/>
    <x v="8"/>
    <n v="70"/>
    <n v="2.3E-3"/>
  </r>
  <r>
    <x v="1"/>
    <x v="98"/>
    <x v="4"/>
    <x v="0"/>
    <x v="9"/>
    <n v="89"/>
    <n v="6.7000000000000002E-3"/>
  </r>
  <r>
    <x v="1"/>
    <x v="98"/>
    <x v="4"/>
    <x v="0"/>
    <x v="10"/>
    <n v="84"/>
    <n v="6.6E-3"/>
  </r>
  <r>
    <x v="1"/>
    <x v="98"/>
    <x v="4"/>
    <x v="0"/>
    <x v="11"/>
    <n v="89"/>
    <n v="1.0699999999999999E-2"/>
  </r>
  <r>
    <x v="1"/>
    <x v="98"/>
    <x v="4"/>
    <x v="0"/>
    <x v="12"/>
    <n v="91"/>
    <n v="1.5800000000000002E-2"/>
  </r>
  <r>
    <x v="1"/>
    <x v="98"/>
    <x v="4"/>
    <x v="0"/>
    <x v="13"/>
    <n v="79"/>
    <n v="6.1000000000000004E-3"/>
  </r>
  <r>
    <x v="1"/>
    <x v="99"/>
    <x v="4"/>
    <x v="0"/>
    <x v="0"/>
    <n v="115"/>
    <n v="0.1318"/>
  </r>
  <r>
    <x v="1"/>
    <x v="99"/>
    <x v="4"/>
    <x v="0"/>
    <x v="1"/>
    <n v="106"/>
    <n v="0.02"/>
  </r>
  <r>
    <x v="1"/>
    <x v="99"/>
    <x v="4"/>
    <x v="0"/>
    <x v="2"/>
    <n v="117"/>
    <n v="5.0099999999999999E-2"/>
  </r>
  <r>
    <x v="1"/>
    <x v="99"/>
    <x v="4"/>
    <x v="0"/>
    <x v="3"/>
    <n v="113"/>
    <n v="4.24E-2"/>
  </r>
  <r>
    <x v="1"/>
    <x v="99"/>
    <x v="4"/>
    <x v="0"/>
    <x v="4"/>
    <n v="117"/>
    <n v="8.5000000000000006E-2"/>
  </r>
  <r>
    <x v="1"/>
    <x v="99"/>
    <x v="4"/>
    <x v="0"/>
    <x v="5"/>
    <n v="112"/>
    <n v="2.52E-2"/>
  </r>
  <r>
    <x v="1"/>
    <x v="99"/>
    <x v="4"/>
    <x v="0"/>
    <x v="6"/>
    <n v="108"/>
    <n v="2.7E-2"/>
  </r>
  <r>
    <x v="1"/>
    <x v="99"/>
    <x v="4"/>
    <x v="0"/>
    <x v="7"/>
    <n v="118"/>
    <n v="6.1899999999999997E-2"/>
  </r>
  <r>
    <x v="1"/>
    <x v="99"/>
    <x v="4"/>
    <x v="0"/>
    <x v="8"/>
    <n v="107"/>
    <n v="1.43E-2"/>
  </r>
  <r>
    <x v="1"/>
    <x v="99"/>
    <x v="4"/>
    <x v="0"/>
    <x v="9"/>
    <n v="114"/>
    <n v="3.2500000000000001E-2"/>
  </r>
  <r>
    <x v="1"/>
    <x v="99"/>
    <x v="4"/>
    <x v="0"/>
    <x v="10"/>
    <n v="117"/>
    <n v="2.8199999999999999E-2"/>
  </r>
  <r>
    <x v="1"/>
    <x v="99"/>
    <x v="4"/>
    <x v="0"/>
    <x v="11"/>
    <n v="118"/>
    <n v="3.6499999999999998E-2"/>
  </r>
  <r>
    <x v="1"/>
    <x v="99"/>
    <x v="4"/>
    <x v="0"/>
    <x v="12"/>
    <n v="118"/>
    <n v="4.2599999999999999E-2"/>
  </r>
  <r>
    <x v="1"/>
    <x v="99"/>
    <x v="4"/>
    <x v="0"/>
    <x v="13"/>
    <n v="106"/>
    <n v="3.1800000000000002E-2"/>
  </r>
  <r>
    <x v="1"/>
    <x v="142"/>
    <x v="4"/>
    <x v="0"/>
    <x v="0"/>
    <n v="122"/>
    <n v="2.3199999999999998E-2"/>
  </r>
  <r>
    <x v="1"/>
    <x v="142"/>
    <x v="4"/>
    <x v="0"/>
    <x v="1"/>
    <n v="124"/>
    <n v="1.47E-2"/>
  </r>
  <r>
    <x v="1"/>
    <x v="142"/>
    <x v="4"/>
    <x v="0"/>
    <x v="2"/>
    <n v="128"/>
    <n v="1.8100000000000002E-2"/>
  </r>
  <r>
    <x v="1"/>
    <x v="142"/>
    <x v="4"/>
    <x v="0"/>
    <x v="3"/>
    <n v="122"/>
    <n v="1.6899999999999998E-2"/>
  </r>
  <r>
    <x v="1"/>
    <x v="142"/>
    <x v="4"/>
    <x v="0"/>
    <x v="4"/>
    <n v="120"/>
    <n v="1.9699999999999999E-2"/>
  </r>
  <r>
    <x v="1"/>
    <x v="142"/>
    <x v="4"/>
    <x v="0"/>
    <x v="5"/>
    <n v="112"/>
    <n v="9.4999999999999998E-3"/>
  </r>
  <r>
    <x v="1"/>
    <x v="142"/>
    <x v="4"/>
    <x v="0"/>
    <x v="6"/>
    <n v="111"/>
    <n v="1.15E-2"/>
  </r>
  <r>
    <x v="1"/>
    <x v="142"/>
    <x v="4"/>
    <x v="0"/>
    <x v="7"/>
    <n v="123"/>
    <n v="1.9900000000000001E-2"/>
  </r>
  <r>
    <x v="1"/>
    <x v="142"/>
    <x v="4"/>
    <x v="0"/>
    <x v="8"/>
    <n v="114"/>
    <n v="1.06E-2"/>
  </r>
  <r>
    <x v="1"/>
    <x v="142"/>
    <x v="4"/>
    <x v="0"/>
    <x v="9"/>
    <n v="125"/>
    <n v="1.5299999999999999E-2"/>
  </r>
  <r>
    <x v="1"/>
    <x v="142"/>
    <x v="4"/>
    <x v="0"/>
    <x v="10"/>
    <n v="120"/>
    <n v="1.0999999999999999E-2"/>
  </r>
  <r>
    <x v="1"/>
    <x v="142"/>
    <x v="4"/>
    <x v="0"/>
    <x v="11"/>
    <n v="122"/>
    <n v="1.2699999999999999E-2"/>
  </r>
  <r>
    <x v="1"/>
    <x v="142"/>
    <x v="4"/>
    <x v="0"/>
    <x v="12"/>
    <n v="120"/>
    <n v="1.38E-2"/>
  </r>
  <r>
    <x v="1"/>
    <x v="142"/>
    <x v="4"/>
    <x v="0"/>
    <x v="13"/>
    <n v="122"/>
    <n v="1.6500000000000001E-2"/>
  </r>
  <r>
    <x v="0"/>
    <x v="143"/>
    <x v="4"/>
    <x v="0"/>
    <x v="0"/>
    <n v="70"/>
    <n v="9.2999999999999999E-2"/>
  </r>
  <r>
    <x v="0"/>
    <x v="143"/>
    <x v="4"/>
    <x v="0"/>
    <x v="1"/>
    <n v="69"/>
    <n v="5.4699999999999999E-2"/>
  </r>
  <r>
    <x v="0"/>
    <x v="143"/>
    <x v="4"/>
    <x v="0"/>
    <x v="2"/>
    <n v="72"/>
    <n v="7.2099999999999997E-2"/>
  </r>
  <r>
    <x v="0"/>
    <x v="143"/>
    <x v="4"/>
    <x v="0"/>
    <x v="3"/>
    <n v="71"/>
    <n v="6.5600000000000006E-2"/>
  </r>
  <r>
    <x v="0"/>
    <x v="143"/>
    <x v="4"/>
    <x v="0"/>
    <x v="4"/>
    <n v="69"/>
    <n v="7.9299999999999995E-2"/>
  </r>
  <r>
    <x v="0"/>
    <x v="143"/>
    <x v="4"/>
    <x v="0"/>
    <x v="5"/>
    <n v="71"/>
    <n v="4.6300000000000001E-2"/>
  </r>
  <r>
    <x v="0"/>
    <x v="143"/>
    <x v="4"/>
    <x v="0"/>
    <x v="6"/>
    <n v="69"/>
    <n v="4.9299999999999997E-2"/>
  </r>
  <r>
    <x v="0"/>
    <x v="143"/>
    <x v="4"/>
    <x v="0"/>
    <x v="7"/>
    <n v="70"/>
    <n v="7.6700000000000004E-2"/>
  </r>
  <r>
    <x v="0"/>
    <x v="143"/>
    <x v="4"/>
    <x v="0"/>
    <x v="8"/>
    <n v="67"/>
    <n v="3.9600000000000003E-2"/>
  </r>
  <r>
    <x v="0"/>
    <x v="143"/>
    <x v="4"/>
    <x v="0"/>
    <x v="9"/>
    <n v="71"/>
    <n v="5.96E-2"/>
  </r>
  <r>
    <x v="0"/>
    <x v="143"/>
    <x v="4"/>
    <x v="0"/>
    <x v="10"/>
    <n v="71"/>
    <n v="4.99E-2"/>
  </r>
  <r>
    <x v="0"/>
    <x v="143"/>
    <x v="4"/>
    <x v="0"/>
    <x v="11"/>
    <n v="69"/>
    <n v="5.5599999999999997E-2"/>
  </r>
  <r>
    <x v="0"/>
    <x v="143"/>
    <x v="4"/>
    <x v="0"/>
    <x v="12"/>
    <n v="69"/>
    <n v="5.8299999999999998E-2"/>
  </r>
  <r>
    <x v="0"/>
    <x v="143"/>
    <x v="4"/>
    <x v="0"/>
    <x v="13"/>
    <n v="69"/>
    <n v="6.2E-2"/>
  </r>
  <r>
    <x v="1"/>
    <x v="133"/>
    <x v="4"/>
    <x v="0"/>
    <x v="0"/>
    <n v="159"/>
    <n v="2.9999999999999997E-4"/>
  </r>
  <r>
    <x v="1"/>
    <x v="133"/>
    <x v="4"/>
    <x v="0"/>
    <x v="4"/>
    <n v="159"/>
    <n v="1E-4"/>
  </r>
  <r>
    <x v="1"/>
    <x v="134"/>
    <x v="4"/>
    <x v="0"/>
    <x v="0"/>
    <n v="8"/>
    <n v="2.9999999999999997E-4"/>
  </r>
  <r>
    <x v="1"/>
    <x v="100"/>
    <x v="4"/>
    <x v="0"/>
    <x v="0"/>
    <n v="140"/>
    <n v="1.6899999999999998E-2"/>
  </r>
  <r>
    <x v="1"/>
    <x v="100"/>
    <x v="4"/>
    <x v="0"/>
    <x v="1"/>
    <n v="145"/>
    <n v="2E-3"/>
  </r>
  <r>
    <x v="1"/>
    <x v="100"/>
    <x v="4"/>
    <x v="0"/>
    <x v="2"/>
    <n v="148"/>
    <n v="6.0000000000000001E-3"/>
  </r>
  <r>
    <x v="1"/>
    <x v="100"/>
    <x v="4"/>
    <x v="0"/>
    <x v="3"/>
    <n v="135"/>
    <n v="4.5999999999999999E-3"/>
  </r>
  <r>
    <x v="1"/>
    <x v="100"/>
    <x v="4"/>
    <x v="0"/>
    <x v="4"/>
    <n v="140"/>
    <n v="9.4000000000000004E-3"/>
  </r>
  <r>
    <x v="1"/>
    <x v="100"/>
    <x v="4"/>
    <x v="0"/>
    <x v="5"/>
    <n v="135"/>
    <n v="2E-3"/>
  </r>
  <r>
    <x v="1"/>
    <x v="100"/>
    <x v="4"/>
    <x v="0"/>
    <x v="6"/>
    <n v="135"/>
    <n v="2.7000000000000001E-3"/>
  </r>
  <r>
    <x v="1"/>
    <x v="100"/>
    <x v="4"/>
    <x v="0"/>
    <x v="7"/>
    <n v="136"/>
    <n v="7.7000000000000002E-3"/>
  </r>
  <r>
    <x v="1"/>
    <x v="100"/>
    <x v="4"/>
    <x v="0"/>
    <x v="8"/>
    <n v="132"/>
    <n v="1.4E-3"/>
  </r>
  <r>
    <x v="1"/>
    <x v="100"/>
    <x v="4"/>
    <x v="0"/>
    <x v="9"/>
    <n v="130"/>
    <n v="3.3999999999999998E-3"/>
  </r>
  <r>
    <x v="1"/>
    <x v="100"/>
    <x v="4"/>
    <x v="0"/>
    <x v="10"/>
    <n v="140"/>
    <n v="2.3999999999999998E-3"/>
  </r>
  <r>
    <x v="1"/>
    <x v="100"/>
    <x v="4"/>
    <x v="0"/>
    <x v="11"/>
    <n v="146"/>
    <n v="3.0999999999999999E-3"/>
  </r>
  <r>
    <x v="1"/>
    <x v="100"/>
    <x v="4"/>
    <x v="0"/>
    <x v="12"/>
    <n v="143"/>
    <n v="4.0000000000000001E-3"/>
  </r>
  <r>
    <x v="1"/>
    <x v="100"/>
    <x v="4"/>
    <x v="0"/>
    <x v="13"/>
    <n v="141"/>
    <n v="3.5000000000000001E-3"/>
  </r>
  <r>
    <x v="0"/>
    <x v="144"/>
    <x v="4"/>
    <x v="0"/>
    <x v="0"/>
    <n v="109"/>
    <n v="0.2046"/>
  </r>
  <r>
    <x v="0"/>
    <x v="144"/>
    <x v="4"/>
    <x v="0"/>
    <x v="1"/>
    <n v="106"/>
    <n v="2.29E-2"/>
  </r>
  <r>
    <x v="0"/>
    <x v="144"/>
    <x v="4"/>
    <x v="0"/>
    <x v="2"/>
    <n v="109"/>
    <n v="6.7799999999999999E-2"/>
  </r>
  <r>
    <x v="0"/>
    <x v="144"/>
    <x v="4"/>
    <x v="0"/>
    <x v="3"/>
    <n v="115"/>
    <n v="6.8400000000000002E-2"/>
  </r>
  <r>
    <x v="0"/>
    <x v="144"/>
    <x v="4"/>
    <x v="0"/>
    <x v="4"/>
    <n v="105"/>
    <n v="0.1225"/>
  </r>
  <r>
    <x v="0"/>
    <x v="144"/>
    <x v="4"/>
    <x v="0"/>
    <x v="5"/>
    <n v="101"/>
    <n v="2.93E-2"/>
  </r>
  <r>
    <x v="0"/>
    <x v="144"/>
    <x v="4"/>
    <x v="0"/>
    <x v="6"/>
    <n v="103"/>
    <n v="2.5999999999999999E-2"/>
  </r>
  <r>
    <x v="0"/>
    <x v="144"/>
    <x v="4"/>
    <x v="0"/>
    <x v="7"/>
    <n v="113"/>
    <n v="0.1026"/>
  </r>
  <r>
    <x v="0"/>
    <x v="144"/>
    <x v="4"/>
    <x v="0"/>
    <x v="8"/>
    <n v="113"/>
    <n v="1.32E-2"/>
  </r>
  <r>
    <x v="0"/>
    <x v="144"/>
    <x v="4"/>
    <x v="0"/>
    <x v="9"/>
    <n v="117"/>
    <n v="5.2299999999999999E-2"/>
  </r>
  <r>
    <x v="0"/>
    <x v="144"/>
    <x v="4"/>
    <x v="0"/>
    <x v="10"/>
    <n v="107"/>
    <n v="3.3599999999999998E-2"/>
  </r>
  <r>
    <x v="0"/>
    <x v="144"/>
    <x v="4"/>
    <x v="0"/>
    <x v="11"/>
    <n v="103"/>
    <n v="4.07E-2"/>
  </r>
  <r>
    <x v="0"/>
    <x v="144"/>
    <x v="4"/>
    <x v="0"/>
    <x v="12"/>
    <n v="103"/>
    <n v="4.9200000000000001E-2"/>
  </r>
  <r>
    <x v="0"/>
    <x v="144"/>
    <x v="4"/>
    <x v="0"/>
    <x v="13"/>
    <n v="106"/>
    <n v="3.4299999999999997E-2"/>
  </r>
  <r>
    <x v="1"/>
    <x v="101"/>
    <x v="4"/>
    <x v="0"/>
    <x v="0"/>
    <n v="112"/>
    <n v="0.14560000000000001"/>
  </r>
  <r>
    <x v="1"/>
    <x v="101"/>
    <x v="4"/>
    <x v="0"/>
    <x v="1"/>
    <n v="111"/>
    <n v="2.1899999999999999E-2"/>
  </r>
  <r>
    <x v="1"/>
    <x v="101"/>
    <x v="4"/>
    <x v="0"/>
    <x v="2"/>
    <n v="113"/>
    <n v="5.3499999999999999E-2"/>
  </r>
  <r>
    <x v="1"/>
    <x v="101"/>
    <x v="4"/>
    <x v="0"/>
    <x v="3"/>
    <n v="119"/>
    <n v="4.5499999999999999E-2"/>
  </r>
  <r>
    <x v="1"/>
    <x v="101"/>
    <x v="4"/>
    <x v="0"/>
    <x v="4"/>
    <n v="114"/>
    <n v="9.1899999999999996E-2"/>
  </r>
  <r>
    <x v="1"/>
    <x v="101"/>
    <x v="4"/>
    <x v="0"/>
    <x v="5"/>
    <n v="110"/>
    <n v="3.3000000000000002E-2"/>
  </r>
  <r>
    <x v="1"/>
    <x v="101"/>
    <x v="4"/>
    <x v="0"/>
    <x v="6"/>
    <n v="109"/>
    <n v="3.6900000000000002E-2"/>
  </r>
  <r>
    <x v="1"/>
    <x v="101"/>
    <x v="4"/>
    <x v="0"/>
    <x v="7"/>
    <n v="107"/>
    <n v="7.4899999999999994E-2"/>
  </r>
  <r>
    <x v="1"/>
    <x v="101"/>
    <x v="4"/>
    <x v="0"/>
    <x v="8"/>
    <n v="113"/>
    <n v="1.8599999999999998E-2"/>
  </r>
  <r>
    <x v="1"/>
    <x v="101"/>
    <x v="4"/>
    <x v="0"/>
    <x v="9"/>
    <n v="122"/>
    <n v="3.7100000000000001E-2"/>
  </r>
  <r>
    <x v="1"/>
    <x v="101"/>
    <x v="4"/>
    <x v="0"/>
    <x v="10"/>
    <n v="110"/>
    <n v="3.3700000000000001E-2"/>
  </r>
  <r>
    <x v="1"/>
    <x v="101"/>
    <x v="4"/>
    <x v="0"/>
    <x v="11"/>
    <n v="115"/>
    <n v="4.2799999999999998E-2"/>
  </r>
  <r>
    <x v="1"/>
    <x v="101"/>
    <x v="4"/>
    <x v="0"/>
    <x v="12"/>
    <n v="117"/>
    <n v="4.7600000000000003E-2"/>
  </r>
  <r>
    <x v="1"/>
    <x v="101"/>
    <x v="4"/>
    <x v="0"/>
    <x v="13"/>
    <n v="112"/>
    <n v="3.5200000000000002E-2"/>
  </r>
  <r>
    <x v="0"/>
    <x v="102"/>
    <x v="4"/>
    <x v="0"/>
    <x v="0"/>
    <n v="93"/>
    <n v="0.27939999999999998"/>
  </r>
  <r>
    <x v="0"/>
    <x v="102"/>
    <x v="4"/>
    <x v="0"/>
    <x v="1"/>
    <n v="97"/>
    <n v="4.2900000000000001E-2"/>
  </r>
  <r>
    <x v="0"/>
    <x v="102"/>
    <x v="4"/>
    <x v="0"/>
    <x v="2"/>
    <n v="93"/>
    <n v="0.1024"/>
  </r>
  <r>
    <x v="0"/>
    <x v="102"/>
    <x v="4"/>
    <x v="0"/>
    <x v="3"/>
    <n v="94"/>
    <n v="8.6199999999999999E-2"/>
  </r>
  <r>
    <x v="0"/>
    <x v="102"/>
    <x v="4"/>
    <x v="0"/>
    <x v="4"/>
    <n v="92"/>
    <n v="0.187"/>
  </r>
  <r>
    <x v="0"/>
    <x v="102"/>
    <x v="4"/>
    <x v="0"/>
    <x v="5"/>
    <n v="89"/>
    <n v="4.9399999999999999E-2"/>
  </r>
  <r>
    <x v="0"/>
    <x v="102"/>
    <x v="4"/>
    <x v="0"/>
    <x v="6"/>
    <n v="93"/>
    <n v="6.0999999999999999E-2"/>
  </r>
  <r>
    <x v="0"/>
    <x v="102"/>
    <x v="4"/>
    <x v="0"/>
    <x v="7"/>
    <n v="94"/>
    <n v="0.13250000000000001"/>
  </r>
  <r>
    <x v="0"/>
    <x v="102"/>
    <x v="4"/>
    <x v="0"/>
    <x v="8"/>
    <n v="97"/>
    <n v="3.3599999999999998E-2"/>
  </r>
  <r>
    <x v="0"/>
    <x v="102"/>
    <x v="4"/>
    <x v="0"/>
    <x v="9"/>
    <n v="94"/>
    <n v="6.5500000000000003E-2"/>
  </r>
  <r>
    <x v="0"/>
    <x v="102"/>
    <x v="4"/>
    <x v="0"/>
    <x v="10"/>
    <n v="93"/>
    <n v="6.1899999999999997E-2"/>
  </r>
  <r>
    <x v="0"/>
    <x v="102"/>
    <x v="4"/>
    <x v="0"/>
    <x v="11"/>
    <n v="91"/>
    <n v="8.0799999999999997E-2"/>
  </r>
  <r>
    <x v="0"/>
    <x v="102"/>
    <x v="4"/>
    <x v="0"/>
    <x v="12"/>
    <n v="90"/>
    <n v="9.2999999999999999E-2"/>
  </r>
  <r>
    <x v="0"/>
    <x v="102"/>
    <x v="4"/>
    <x v="0"/>
    <x v="13"/>
    <n v="98"/>
    <n v="6.5100000000000005E-2"/>
  </r>
  <r>
    <x v="0"/>
    <x v="103"/>
    <x v="4"/>
    <x v="0"/>
    <x v="0"/>
    <n v="105"/>
    <n v="0.4325"/>
  </r>
  <r>
    <x v="0"/>
    <x v="103"/>
    <x v="4"/>
    <x v="0"/>
    <x v="1"/>
    <n v="107"/>
    <n v="6.2799999999999995E-2"/>
  </r>
  <r>
    <x v="0"/>
    <x v="103"/>
    <x v="4"/>
    <x v="0"/>
    <x v="2"/>
    <n v="105"/>
    <n v="0.16789999999999999"/>
  </r>
  <r>
    <x v="0"/>
    <x v="103"/>
    <x v="4"/>
    <x v="0"/>
    <x v="3"/>
    <n v="114"/>
    <n v="0.1552"/>
  </r>
  <r>
    <x v="0"/>
    <x v="103"/>
    <x v="4"/>
    <x v="0"/>
    <x v="4"/>
    <n v="105"/>
    <n v="0.30719999999999997"/>
  </r>
  <r>
    <x v="0"/>
    <x v="103"/>
    <x v="4"/>
    <x v="0"/>
    <x v="5"/>
    <n v="98"/>
    <n v="9.5100000000000004E-2"/>
  </r>
  <r>
    <x v="0"/>
    <x v="103"/>
    <x v="4"/>
    <x v="0"/>
    <x v="6"/>
    <n v="98"/>
    <n v="9.5699999999999993E-2"/>
  </r>
  <r>
    <x v="0"/>
    <x v="103"/>
    <x v="4"/>
    <x v="0"/>
    <x v="7"/>
    <n v="101"/>
    <n v="0.2475"/>
  </r>
  <r>
    <x v="0"/>
    <x v="103"/>
    <x v="4"/>
    <x v="0"/>
    <x v="8"/>
    <n v="100"/>
    <n v="4.7800000000000002E-2"/>
  </r>
  <r>
    <x v="0"/>
    <x v="103"/>
    <x v="4"/>
    <x v="0"/>
    <x v="9"/>
    <n v="113"/>
    <n v="0.12590000000000001"/>
  </r>
  <r>
    <x v="0"/>
    <x v="103"/>
    <x v="4"/>
    <x v="0"/>
    <x v="10"/>
    <n v="99"/>
    <n v="0.11269999999999999"/>
  </r>
  <r>
    <x v="0"/>
    <x v="103"/>
    <x v="4"/>
    <x v="0"/>
    <x v="11"/>
    <n v="103"/>
    <n v="0.14979999999999999"/>
  </r>
  <r>
    <x v="0"/>
    <x v="103"/>
    <x v="4"/>
    <x v="0"/>
    <x v="12"/>
    <n v="105"/>
    <n v="0.16980000000000001"/>
  </r>
  <r>
    <x v="0"/>
    <x v="103"/>
    <x v="4"/>
    <x v="0"/>
    <x v="13"/>
    <n v="104"/>
    <n v="0.1012"/>
  </r>
  <r>
    <x v="1"/>
    <x v="104"/>
    <x v="4"/>
    <x v="0"/>
    <x v="0"/>
    <n v="35"/>
    <n v="0.22620000000000001"/>
  </r>
  <r>
    <x v="1"/>
    <x v="104"/>
    <x v="4"/>
    <x v="0"/>
    <x v="1"/>
    <n v="33"/>
    <n v="2.7900000000000001E-2"/>
  </r>
  <r>
    <x v="1"/>
    <x v="104"/>
    <x v="4"/>
    <x v="0"/>
    <x v="2"/>
    <n v="36"/>
    <n v="6.5500000000000003E-2"/>
  </r>
  <r>
    <x v="1"/>
    <x v="104"/>
    <x v="4"/>
    <x v="0"/>
    <x v="3"/>
    <n v="35"/>
    <n v="4.87E-2"/>
  </r>
  <r>
    <x v="1"/>
    <x v="104"/>
    <x v="4"/>
    <x v="0"/>
    <x v="4"/>
    <n v="35"/>
    <n v="0.12939999999999999"/>
  </r>
  <r>
    <x v="1"/>
    <x v="104"/>
    <x v="4"/>
    <x v="0"/>
    <x v="5"/>
    <n v="36"/>
    <n v="2.6700000000000002E-2"/>
  </r>
  <r>
    <x v="1"/>
    <x v="104"/>
    <x v="4"/>
    <x v="0"/>
    <x v="6"/>
    <n v="36"/>
    <n v="3.2399999999999998E-2"/>
  </r>
  <r>
    <x v="1"/>
    <x v="104"/>
    <x v="4"/>
    <x v="0"/>
    <x v="7"/>
    <n v="36"/>
    <n v="0.1138"/>
  </r>
  <r>
    <x v="1"/>
    <x v="104"/>
    <x v="4"/>
    <x v="0"/>
    <x v="8"/>
    <n v="34"/>
    <n v="1.8700000000000001E-2"/>
  </r>
  <r>
    <x v="1"/>
    <x v="104"/>
    <x v="4"/>
    <x v="0"/>
    <x v="9"/>
    <n v="36"/>
    <n v="3.7999999999999999E-2"/>
  </r>
  <r>
    <x v="1"/>
    <x v="104"/>
    <x v="4"/>
    <x v="0"/>
    <x v="10"/>
    <n v="35"/>
    <n v="3.0800000000000001E-2"/>
  </r>
  <r>
    <x v="1"/>
    <x v="104"/>
    <x v="4"/>
    <x v="0"/>
    <x v="11"/>
    <n v="35"/>
    <n v="4.2000000000000003E-2"/>
  </r>
  <r>
    <x v="1"/>
    <x v="104"/>
    <x v="4"/>
    <x v="0"/>
    <x v="12"/>
    <n v="35"/>
    <n v="5.1400000000000001E-2"/>
  </r>
  <r>
    <x v="1"/>
    <x v="104"/>
    <x v="4"/>
    <x v="0"/>
    <x v="13"/>
    <n v="34"/>
    <n v="4.1099999999999998E-2"/>
  </r>
  <r>
    <x v="0"/>
    <x v="105"/>
    <x v="4"/>
    <x v="0"/>
    <x v="0"/>
    <n v="118"/>
    <n v="0.31040000000000001"/>
  </r>
  <r>
    <x v="0"/>
    <x v="105"/>
    <x v="4"/>
    <x v="0"/>
    <x v="1"/>
    <n v="115"/>
    <n v="4.8500000000000001E-2"/>
  </r>
  <r>
    <x v="0"/>
    <x v="105"/>
    <x v="4"/>
    <x v="0"/>
    <x v="2"/>
    <n v="119"/>
    <n v="0.13500000000000001"/>
  </r>
  <r>
    <x v="0"/>
    <x v="105"/>
    <x v="4"/>
    <x v="0"/>
    <x v="3"/>
    <n v="117"/>
    <n v="0.1211"/>
  </r>
  <r>
    <x v="0"/>
    <x v="105"/>
    <x v="4"/>
    <x v="0"/>
    <x v="4"/>
    <n v="119"/>
    <n v="0.22439999999999999"/>
  </r>
  <r>
    <x v="0"/>
    <x v="105"/>
    <x v="4"/>
    <x v="0"/>
    <x v="5"/>
    <n v="113"/>
    <n v="7.1800000000000003E-2"/>
  </r>
  <r>
    <x v="0"/>
    <x v="105"/>
    <x v="4"/>
    <x v="0"/>
    <x v="6"/>
    <n v="111"/>
    <n v="6.8400000000000002E-2"/>
  </r>
  <r>
    <x v="0"/>
    <x v="105"/>
    <x v="4"/>
    <x v="0"/>
    <x v="7"/>
    <n v="118"/>
    <n v="0.17380000000000001"/>
  </r>
  <r>
    <x v="0"/>
    <x v="105"/>
    <x v="4"/>
    <x v="0"/>
    <x v="8"/>
    <n v="113"/>
    <n v="2.8799999999999999E-2"/>
  </r>
  <r>
    <x v="0"/>
    <x v="105"/>
    <x v="4"/>
    <x v="0"/>
    <x v="9"/>
    <n v="116"/>
    <n v="9.7600000000000006E-2"/>
  </r>
  <r>
    <x v="0"/>
    <x v="105"/>
    <x v="4"/>
    <x v="0"/>
    <x v="10"/>
    <n v="115"/>
    <n v="8.6199999999999999E-2"/>
  </r>
  <r>
    <x v="0"/>
    <x v="105"/>
    <x v="4"/>
    <x v="0"/>
    <x v="11"/>
    <n v="118"/>
    <n v="0.1171"/>
  </r>
  <r>
    <x v="0"/>
    <x v="105"/>
    <x v="4"/>
    <x v="0"/>
    <x v="12"/>
    <n v="123"/>
    <n v="0.13300000000000001"/>
  </r>
  <r>
    <x v="0"/>
    <x v="105"/>
    <x v="4"/>
    <x v="0"/>
    <x v="13"/>
    <n v="113"/>
    <n v="7.3899999999999993E-2"/>
  </r>
  <r>
    <x v="1"/>
    <x v="106"/>
    <x v="4"/>
    <x v="0"/>
    <x v="0"/>
    <n v="103"/>
    <n v="2.5499999999999998E-2"/>
  </r>
  <r>
    <x v="1"/>
    <x v="106"/>
    <x v="4"/>
    <x v="0"/>
    <x v="1"/>
    <n v="99"/>
    <n v="4.4999999999999997E-3"/>
  </r>
  <r>
    <x v="1"/>
    <x v="106"/>
    <x v="4"/>
    <x v="0"/>
    <x v="2"/>
    <n v="103"/>
    <n v="1.0699999999999999E-2"/>
  </r>
  <r>
    <x v="1"/>
    <x v="106"/>
    <x v="4"/>
    <x v="0"/>
    <x v="3"/>
    <n v="107"/>
    <n v="8.9999999999999993E-3"/>
  </r>
  <r>
    <x v="1"/>
    <x v="106"/>
    <x v="4"/>
    <x v="0"/>
    <x v="4"/>
    <n v="105"/>
    <n v="1.61E-2"/>
  </r>
  <r>
    <x v="1"/>
    <x v="106"/>
    <x v="4"/>
    <x v="0"/>
    <x v="5"/>
    <n v="105"/>
    <n v="6.3E-3"/>
  </r>
  <r>
    <x v="1"/>
    <x v="106"/>
    <x v="4"/>
    <x v="0"/>
    <x v="6"/>
    <n v="99"/>
    <n v="6.1999999999999998E-3"/>
  </r>
  <r>
    <x v="1"/>
    <x v="106"/>
    <x v="4"/>
    <x v="0"/>
    <x v="7"/>
    <n v="100"/>
    <n v="1.35E-2"/>
  </r>
  <r>
    <x v="1"/>
    <x v="106"/>
    <x v="4"/>
    <x v="0"/>
    <x v="8"/>
    <n v="95"/>
    <n v="2.8999999999999998E-3"/>
  </r>
  <r>
    <x v="1"/>
    <x v="106"/>
    <x v="4"/>
    <x v="0"/>
    <x v="9"/>
    <n v="107"/>
    <n v="7.6E-3"/>
  </r>
  <r>
    <x v="1"/>
    <x v="106"/>
    <x v="4"/>
    <x v="0"/>
    <x v="10"/>
    <n v="106"/>
    <n v="6.8999999999999999E-3"/>
  </r>
  <r>
    <x v="1"/>
    <x v="106"/>
    <x v="4"/>
    <x v="0"/>
    <x v="11"/>
    <n v="102"/>
    <n v="8.3000000000000001E-3"/>
  </r>
  <r>
    <x v="1"/>
    <x v="106"/>
    <x v="4"/>
    <x v="0"/>
    <x v="12"/>
    <n v="102"/>
    <n v="9.4999999999999998E-3"/>
  </r>
  <r>
    <x v="1"/>
    <x v="106"/>
    <x v="4"/>
    <x v="0"/>
    <x v="13"/>
    <n v="96"/>
    <n v="6.0000000000000001E-3"/>
  </r>
  <r>
    <x v="0"/>
    <x v="107"/>
    <x v="4"/>
    <x v="0"/>
    <x v="0"/>
    <n v="100"/>
    <n v="0.3206"/>
  </r>
  <r>
    <x v="0"/>
    <x v="107"/>
    <x v="4"/>
    <x v="0"/>
    <x v="1"/>
    <n v="104"/>
    <n v="6.7699999999999996E-2"/>
  </r>
  <r>
    <x v="0"/>
    <x v="107"/>
    <x v="4"/>
    <x v="0"/>
    <x v="2"/>
    <n v="104"/>
    <n v="0.14760000000000001"/>
  </r>
  <r>
    <x v="0"/>
    <x v="107"/>
    <x v="4"/>
    <x v="0"/>
    <x v="3"/>
    <n v="101"/>
    <n v="0.12559999999999999"/>
  </r>
  <r>
    <x v="0"/>
    <x v="107"/>
    <x v="4"/>
    <x v="0"/>
    <x v="4"/>
    <n v="101"/>
    <n v="0.22739999999999999"/>
  </r>
  <r>
    <x v="0"/>
    <x v="107"/>
    <x v="4"/>
    <x v="0"/>
    <x v="5"/>
    <n v="96"/>
    <n v="7.7799999999999994E-2"/>
  </r>
  <r>
    <x v="0"/>
    <x v="107"/>
    <x v="4"/>
    <x v="0"/>
    <x v="6"/>
    <n v="98"/>
    <n v="8.1699999999999995E-2"/>
  </r>
  <r>
    <x v="0"/>
    <x v="107"/>
    <x v="4"/>
    <x v="0"/>
    <x v="7"/>
    <n v="98"/>
    <n v="0.1762"/>
  </r>
  <r>
    <x v="0"/>
    <x v="107"/>
    <x v="4"/>
    <x v="0"/>
    <x v="8"/>
    <n v="99"/>
    <n v="4.7399999999999998E-2"/>
  </r>
  <r>
    <x v="0"/>
    <x v="107"/>
    <x v="4"/>
    <x v="0"/>
    <x v="9"/>
    <n v="100"/>
    <n v="0.10050000000000001"/>
  </r>
  <r>
    <x v="0"/>
    <x v="107"/>
    <x v="4"/>
    <x v="0"/>
    <x v="10"/>
    <n v="98"/>
    <n v="9.74E-2"/>
  </r>
  <r>
    <x v="0"/>
    <x v="107"/>
    <x v="4"/>
    <x v="0"/>
    <x v="11"/>
    <n v="102"/>
    <n v="0.125"/>
  </r>
  <r>
    <x v="0"/>
    <x v="107"/>
    <x v="4"/>
    <x v="0"/>
    <x v="12"/>
    <n v="101"/>
    <n v="0.13469999999999999"/>
  </r>
  <r>
    <x v="0"/>
    <x v="107"/>
    <x v="4"/>
    <x v="0"/>
    <x v="13"/>
    <n v="103"/>
    <n v="0.10059999999999999"/>
  </r>
  <r>
    <x v="1"/>
    <x v="108"/>
    <x v="4"/>
    <x v="0"/>
    <x v="0"/>
    <n v="85"/>
    <n v="8.43E-2"/>
  </r>
  <r>
    <x v="1"/>
    <x v="108"/>
    <x v="4"/>
    <x v="0"/>
    <x v="1"/>
    <n v="79"/>
    <n v="1.23E-2"/>
  </r>
  <r>
    <x v="1"/>
    <x v="108"/>
    <x v="4"/>
    <x v="0"/>
    <x v="2"/>
    <n v="85"/>
    <n v="3.1399999999999997E-2"/>
  </r>
  <r>
    <x v="1"/>
    <x v="108"/>
    <x v="4"/>
    <x v="0"/>
    <x v="3"/>
    <n v="85"/>
    <n v="2.5399999999999999E-2"/>
  </r>
  <r>
    <x v="1"/>
    <x v="108"/>
    <x v="4"/>
    <x v="0"/>
    <x v="4"/>
    <n v="84"/>
    <n v="4.8599999999999997E-2"/>
  </r>
  <r>
    <x v="1"/>
    <x v="108"/>
    <x v="4"/>
    <x v="0"/>
    <x v="5"/>
    <n v="83"/>
    <n v="1.2699999999999999E-2"/>
  </r>
  <r>
    <x v="1"/>
    <x v="108"/>
    <x v="4"/>
    <x v="0"/>
    <x v="6"/>
    <n v="82"/>
    <n v="1.43E-2"/>
  </r>
  <r>
    <x v="1"/>
    <x v="108"/>
    <x v="4"/>
    <x v="0"/>
    <x v="7"/>
    <n v="87"/>
    <n v="4.5600000000000002E-2"/>
  </r>
  <r>
    <x v="1"/>
    <x v="108"/>
    <x v="4"/>
    <x v="0"/>
    <x v="8"/>
    <n v="78"/>
    <n v="8.2000000000000007E-3"/>
  </r>
  <r>
    <x v="1"/>
    <x v="108"/>
    <x v="4"/>
    <x v="0"/>
    <x v="9"/>
    <n v="86"/>
    <n v="2.0500000000000001E-2"/>
  </r>
  <r>
    <x v="1"/>
    <x v="108"/>
    <x v="4"/>
    <x v="0"/>
    <x v="10"/>
    <n v="84"/>
    <n v="1.43E-2"/>
  </r>
  <r>
    <x v="1"/>
    <x v="108"/>
    <x v="4"/>
    <x v="0"/>
    <x v="11"/>
    <n v="84"/>
    <n v="1.89E-2"/>
  </r>
  <r>
    <x v="1"/>
    <x v="108"/>
    <x v="4"/>
    <x v="0"/>
    <x v="12"/>
    <n v="83"/>
    <n v="2.3E-2"/>
  </r>
  <r>
    <x v="1"/>
    <x v="108"/>
    <x v="4"/>
    <x v="0"/>
    <x v="13"/>
    <n v="80"/>
    <n v="1.9599999999999999E-2"/>
  </r>
  <r>
    <x v="0"/>
    <x v="109"/>
    <x v="4"/>
    <x v="0"/>
    <x v="0"/>
    <n v="119"/>
    <n v="0.34820000000000001"/>
  </r>
  <r>
    <x v="0"/>
    <x v="109"/>
    <x v="4"/>
    <x v="0"/>
    <x v="1"/>
    <n v="122"/>
    <n v="9.2100000000000001E-2"/>
  </r>
  <r>
    <x v="0"/>
    <x v="109"/>
    <x v="4"/>
    <x v="0"/>
    <x v="2"/>
    <n v="123"/>
    <n v="0.15579999999999999"/>
  </r>
  <r>
    <x v="0"/>
    <x v="109"/>
    <x v="4"/>
    <x v="0"/>
    <x v="3"/>
    <n v="119"/>
    <n v="0.114"/>
  </r>
  <r>
    <x v="0"/>
    <x v="109"/>
    <x v="4"/>
    <x v="0"/>
    <x v="4"/>
    <n v="117"/>
    <n v="0.23100000000000001"/>
  </r>
  <r>
    <x v="0"/>
    <x v="109"/>
    <x v="4"/>
    <x v="0"/>
    <x v="5"/>
    <n v="117"/>
    <n v="6.6199999999999995E-2"/>
  </r>
  <r>
    <x v="0"/>
    <x v="109"/>
    <x v="4"/>
    <x v="0"/>
    <x v="6"/>
    <n v="112"/>
    <n v="8.3299999999999999E-2"/>
  </r>
  <r>
    <x v="0"/>
    <x v="109"/>
    <x v="4"/>
    <x v="0"/>
    <x v="7"/>
    <n v="120"/>
    <n v="0.2336"/>
  </r>
  <r>
    <x v="0"/>
    <x v="109"/>
    <x v="4"/>
    <x v="0"/>
    <x v="8"/>
    <n v="114"/>
    <n v="5.7299999999999997E-2"/>
  </r>
  <r>
    <x v="0"/>
    <x v="109"/>
    <x v="4"/>
    <x v="0"/>
    <x v="9"/>
    <n v="119"/>
    <n v="9.3100000000000002E-2"/>
  </r>
  <r>
    <x v="0"/>
    <x v="109"/>
    <x v="4"/>
    <x v="0"/>
    <x v="10"/>
    <n v="116"/>
    <n v="7.7200000000000005E-2"/>
  </r>
  <r>
    <x v="0"/>
    <x v="109"/>
    <x v="4"/>
    <x v="0"/>
    <x v="11"/>
    <n v="119"/>
    <n v="0.1009"/>
  </r>
  <r>
    <x v="0"/>
    <x v="109"/>
    <x v="4"/>
    <x v="0"/>
    <x v="12"/>
    <n v="116"/>
    <n v="0.11700000000000001"/>
  </r>
  <r>
    <x v="0"/>
    <x v="109"/>
    <x v="4"/>
    <x v="0"/>
    <x v="13"/>
    <n v="121"/>
    <n v="0.13200000000000001"/>
  </r>
  <r>
    <x v="0"/>
    <x v="110"/>
    <x v="4"/>
    <x v="0"/>
    <x v="0"/>
    <n v="46"/>
    <n v="2.8299999999999999E-2"/>
  </r>
  <r>
    <x v="0"/>
    <x v="110"/>
    <x v="4"/>
    <x v="0"/>
    <x v="1"/>
    <n v="89"/>
    <n v="2.2000000000000001E-3"/>
  </r>
  <r>
    <x v="0"/>
    <x v="110"/>
    <x v="4"/>
    <x v="0"/>
    <x v="2"/>
    <n v="43"/>
    <n v="7.0000000000000001E-3"/>
  </r>
  <r>
    <x v="0"/>
    <x v="110"/>
    <x v="4"/>
    <x v="0"/>
    <x v="3"/>
    <n v="47"/>
    <n v="4.4999999999999997E-3"/>
  </r>
  <r>
    <x v="0"/>
    <x v="110"/>
    <x v="4"/>
    <x v="0"/>
    <x v="4"/>
    <n v="50"/>
    <n v="1.3599999999999999E-2"/>
  </r>
  <r>
    <x v="0"/>
    <x v="110"/>
    <x v="4"/>
    <x v="0"/>
    <x v="5"/>
    <n v="95"/>
    <n v="3.0000000000000001E-3"/>
  </r>
  <r>
    <x v="0"/>
    <x v="110"/>
    <x v="4"/>
    <x v="0"/>
    <x v="6"/>
    <n v="114"/>
    <n v="4.3E-3"/>
  </r>
  <r>
    <x v="0"/>
    <x v="110"/>
    <x v="4"/>
    <x v="0"/>
    <x v="7"/>
    <n v="32"/>
    <n v="9.4999999999999998E-3"/>
  </r>
  <r>
    <x v="0"/>
    <x v="110"/>
    <x v="4"/>
    <x v="0"/>
    <x v="8"/>
    <n v="125"/>
    <n v="1.9E-3"/>
  </r>
  <r>
    <x v="0"/>
    <x v="110"/>
    <x v="4"/>
    <x v="0"/>
    <x v="9"/>
    <n v="63"/>
    <n v="3.0999999999999999E-3"/>
  </r>
  <r>
    <x v="0"/>
    <x v="110"/>
    <x v="4"/>
    <x v="0"/>
    <x v="10"/>
    <n v="65"/>
    <n v="2.3999999999999998E-3"/>
  </r>
  <r>
    <x v="0"/>
    <x v="110"/>
    <x v="4"/>
    <x v="0"/>
    <x v="11"/>
    <n v="49"/>
    <n v="3.7000000000000002E-3"/>
  </r>
  <r>
    <x v="0"/>
    <x v="110"/>
    <x v="4"/>
    <x v="0"/>
    <x v="12"/>
    <n v="54"/>
    <n v="4.1000000000000003E-3"/>
  </r>
  <r>
    <x v="0"/>
    <x v="110"/>
    <x v="4"/>
    <x v="0"/>
    <x v="13"/>
    <n v="103"/>
    <n v="3.8999999999999998E-3"/>
  </r>
  <r>
    <x v="0"/>
    <x v="111"/>
    <x v="4"/>
    <x v="0"/>
    <x v="0"/>
    <n v="111"/>
    <n v="0.17130000000000001"/>
  </r>
  <r>
    <x v="0"/>
    <x v="111"/>
    <x v="4"/>
    <x v="0"/>
    <x v="1"/>
    <n v="106"/>
    <n v="2.1399999999999999E-2"/>
  </r>
  <r>
    <x v="0"/>
    <x v="111"/>
    <x v="4"/>
    <x v="0"/>
    <x v="2"/>
    <n v="114"/>
    <n v="6.13E-2"/>
  </r>
  <r>
    <x v="0"/>
    <x v="111"/>
    <x v="4"/>
    <x v="0"/>
    <x v="3"/>
    <n v="113"/>
    <n v="5.0700000000000002E-2"/>
  </r>
  <r>
    <x v="0"/>
    <x v="111"/>
    <x v="4"/>
    <x v="0"/>
    <x v="4"/>
    <n v="111"/>
    <n v="0.10349999999999999"/>
  </r>
  <r>
    <x v="0"/>
    <x v="111"/>
    <x v="4"/>
    <x v="0"/>
    <x v="5"/>
    <n v="106"/>
    <n v="2.9399999999999999E-2"/>
  </r>
  <r>
    <x v="0"/>
    <x v="111"/>
    <x v="4"/>
    <x v="0"/>
    <x v="6"/>
    <n v="102"/>
    <n v="3.0499999999999999E-2"/>
  </r>
  <r>
    <x v="0"/>
    <x v="111"/>
    <x v="4"/>
    <x v="0"/>
    <x v="7"/>
    <n v="112"/>
    <n v="7.5200000000000003E-2"/>
  </r>
  <r>
    <x v="0"/>
    <x v="111"/>
    <x v="4"/>
    <x v="0"/>
    <x v="8"/>
    <n v="102"/>
    <n v="1.34E-2"/>
  </r>
  <r>
    <x v="0"/>
    <x v="111"/>
    <x v="4"/>
    <x v="0"/>
    <x v="9"/>
    <n v="114"/>
    <n v="3.8199999999999998E-2"/>
  </r>
  <r>
    <x v="0"/>
    <x v="111"/>
    <x v="4"/>
    <x v="0"/>
    <x v="10"/>
    <n v="109"/>
    <n v="3.1E-2"/>
  </r>
  <r>
    <x v="0"/>
    <x v="111"/>
    <x v="4"/>
    <x v="0"/>
    <x v="11"/>
    <n v="113"/>
    <n v="3.9199999999999999E-2"/>
  </r>
  <r>
    <x v="0"/>
    <x v="111"/>
    <x v="4"/>
    <x v="0"/>
    <x v="12"/>
    <n v="114"/>
    <n v="4.6300000000000001E-2"/>
  </r>
  <r>
    <x v="0"/>
    <x v="111"/>
    <x v="4"/>
    <x v="0"/>
    <x v="13"/>
    <n v="107"/>
    <n v="3.4099999999999998E-2"/>
  </r>
  <r>
    <x v="0"/>
    <x v="112"/>
    <x v="4"/>
    <x v="0"/>
    <x v="0"/>
    <n v="97"/>
    <n v="0.24970000000000001"/>
  </r>
  <r>
    <x v="0"/>
    <x v="112"/>
    <x v="4"/>
    <x v="0"/>
    <x v="1"/>
    <n v="92"/>
    <n v="2.1000000000000001E-2"/>
  </r>
  <r>
    <x v="0"/>
    <x v="112"/>
    <x v="4"/>
    <x v="0"/>
    <x v="2"/>
    <n v="92"/>
    <n v="6.54E-2"/>
  </r>
  <r>
    <x v="0"/>
    <x v="112"/>
    <x v="4"/>
    <x v="0"/>
    <x v="3"/>
    <n v="99"/>
    <n v="6.0100000000000001E-2"/>
  </r>
  <r>
    <x v="0"/>
    <x v="112"/>
    <x v="4"/>
    <x v="0"/>
    <x v="4"/>
    <n v="99"/>
    <n v="0.15529999999999999"/>
  </r>
  <r>
    <x v="0"/>
    <x v="112"/>
    <x v="4"/>
    <x v="0"/>
    <x v="5"/>
    <n v="96"/>
    <n v="3.9899999999999998E-2"/>
  </r>
  <r>
    <x v="0"/>
    <x v="112"/>
    <x v="4"/>
    <x v="0"/>
    <x v="6"/>
    <n v="98"/>
    <n v="4.1500000000000002E-2"/>
  </r>
  <r>
    <x v="0"/>
    <x v="112"/>
    <x v="4"/>
    <x v="0"/>
    <x v="7"/>
    <n v="99"/>
    <n v="0.1109"/>
  </r>
  <r>
    <x v="0"/>
    <x v="112"/>
    <x v="4"/>
    <x v="0"/>
    <x v="8"/>
    <n v="87"/>
    <n v="1.4200000000000001E-2"/>
  </r>
  <r>
    <x v="0"/>
    <x v="112"/>
    <x v="4"/>
    <x v="0"/>
    <x v="9"/>
    <n v="99"/>
    <n v="4.2900000000000001E-2"/>
  </r>
  <r>
    <x v="0"/>
    <x v="112"/>
    <x v="4"/>
    <x v="0"/>
    <x v="10"/>
    <n v="94"/>
    <n v="4.1599999999999998E-2"/>
  </r>
  <r>
    <x v="0"/>
    <x v="112"/>
    <x v="4"/>
    <x v="0"/>
    <x v="11"/>
    <n v="93"/>
    <n v="5.5399999999999998E-2"/>
  </r>
  <r>
    <x v="0"/>
    <x v="112"/>
    <x v="4"/>
    <x v="0"/>
    <x v="12"/>
    <n v="102"/>
    <n v="6.2600000000000003E-2"/>
  </r>
  <r>
    <x v="0"/>
    <x v="112"/>
    <x v="4"/>
    <x v="0"/>
    <x v="13"/>
    <n v="92"/>
    <n v="3.8300000000000001E-2"/>
  </r>
  <r>
    <x v="1"/>
    <x v="113"/>
    <x v="4"/>
    <x v="0"/>
    <x v="0"/>
    <n v="26"/>
    <n v="2.1700000000000001E-2"/>
  </r>
  <r>
    <x v="1"/>
    <x v="113"/>
    <x v="4"/>
    <x v="0"/>
    <x v="1"/>
    <n v="35"/>
    <n v="1.8E-3"/>
  </r>
  <r>
    <x v="1"/>
    <x v="113"/>
    <x v="4"/>
    <x v="0"/>
    <x v="2"/>
    <n v="36"/>
    <n v="8.9999999999999993E-3"/>
  </r>
  <r>
    <x v="1"/>
    <x v="113"/>
    <x v="4"/>
    <x v="0"/>
    <x v="3"/>
    <n v="31"/>
    <n v="7.1999999999999998E-3"/>
  </r>
  <r>
    <x v="1"/>
    <x v="113"/>
    <x v="4"/>
    <x v="0"/>
    <x v="4"/>
    <n v="24"/>
    <n v="1.03E-2"/>
  </r>
  <r>
    <x v="1"/>
    <x v="113"/>
    <x v="4"/>
    <x v="0"/>
    <x v="5"/>
    <n v="21"/>
    <n v="2.5999999999999999E-3"/>
  </r>
  <r>
    <x v="1"/>
    <x v="113"/>
    <x v="4"/>
    <x v="0"/>
    <x v="6"/>
    <n v="17"/>
    <n v="2.7000000000000001E-3"/>
  </r>
  <r>
    <x v="1"/>
    <x v="113"/>
    <x v="4"/>
    <x v="0"/>
    <x v="7"/>
    <n v="23"/>
    <n v="8.8000000000000005E-3"/>
  </r>
  <r>
    <x v="1"/>
    <x v="113"/>
    <x v="4"/>
    <x v="0"/>
    <x v="8"/>
    <n v="34"/>
    <n v="1.1000000000000001E-3"/>
  </r>
  <r>
    <x v="1"/>
    <x v="113"/>
    <x v="4"/>
    <x v="0"/>
    <x v="9"/>
    <n v="33"/>
    <n v="6.1999999999999998E-3"/>
  </r>
  <r>
    <x v="1"/>
    <x v="113"/>
    <x v="4"/>
    <x v="0"/>
    <x v="10"/>
    <n v="23"/>
    <n v="2.8E-3"/>
  </r>
  <r>
    <x v="1"/>
    <x v="113"/>
    <x v="4"/>
    <x v="0"/>
    <x v="11"/>
    <n v="25"/>
    <n v="3.5999999999999999E-3"/>
  </r>
  <r>
    <x v="1"/>
    <x v="113"/>
    <x v="4"/>
    <x v="0"/>
    <x v="12"/>
    <n v="24"/>
    <n v="4.3E-3"/>
  </r>
  <r>
    <x v="1"/>
    <x v="113"/>
    <x v="4"/>
    <x v="0"/>
    <x v="13"/>
    <n v="19"/>
    <n v="3.5000000000000001E-3"/>
  </r>
  <r>
    <x v="0"/>
    <x v="114"/>
    <x v="4"/>
    <x v="0"/>
    <x v="0"/>
    <n v="92"/>
    <n v="0.434"/>
  </r>
  <r>
    <x v="0"/>
    <x v="114"/>
    <x v="4"/>
    <x v="0"/>
    <x v="1"/>
    <n v="93"/>
    <n v="6.08E-2"/>
  </r>
  <r>
    <x v="0"/>
    <x v="114"/>
    <x v="4"/>
    <x v="0"/>
    <x v="2"/>
    <n v="94"/>
    <n v="0.16619999999999999"/>
  </r>
  <r>
    <x v="0"/>
    <x v="114"/>
    <x v="4"/>
    <x v="0"/>
    <x v="3"/>
    <n v="88"/>
    <n v="0.1583"/>
  </r>
  <r>
    <x v="0"/>
    <x v="114"/>
    <x v="4"/>
    <x v="0"/>
    <x v="4"/>
    <n v="93"/>
    <n v="0.30630000000000002"/>
  </r>
  <r>
    <x v="0"/>
    <x v="114"/>
    <x v="4"/>
    <x v="0"/>
    <x v="5"/>
    <n v="87"/>
    <n v="8.9499999999999996E-2"/>
  </r>
  <r>
    <x v="0"/>
    <x v="114"/>
    <x v="4"/>
    <x v="0"/>
    <x v="6"/>
    <n v="87"/>
    <n v="9.5600000000000004E-2"/>
  </r>
  <r>
    <x v="0"/>
    <x v="114"/>
    <x v="4"/>
    <x v="0"/>
    <x v="7"/>
    <n v="95"/>
    <n v="0.23230000000000001"/>
  </r>
  <r>
    <x v="0"/>
    <x v="114"/>
    <x v="4"/>
    <x v="0"/>
    <x v="8"/>
    <n v="87"/>
    <n v="4.6800000000000001E-2"/>
  </r>
  <r>
    <x v="0"/>
    <x v="114"/>
    <x v="4"/>
    <x v="0"/>
    <x v="9"/>
    <n v="88"/>
    <n v="0.1203"/>
  </r>
  <r>
    <x v="0"/>
    <x v="114"/>
    <x v="4"/>
    <x v="0"/>
    <x v="10"/>
    <n v="87"/>
    <n v="0.1032"/>
  </r>
  <r>
    <x v="0"/>
    <x v="114"/>
    <x v="4"/>
    <x v="0"/>
    <x v="11"/>
    <n v="91"/>
    <n v="0.13769999999999999"/>
  </r>
  <r>
    <x v="0"/>
    <x v="114"/>
    <x v="4"/>
    <x v="0"/>
    <x v="12"/>
    <n v="94"/>
    <n v="0.15529999999999999"/>
  </r>
  <r>
    <x v="0"/>
    <x v="114"/>
    <x v="4"/>
    <x v="0"/>
    <x v="13"/>
    <n v="94"/>
    <n v="9.7199999999999995E-2"/>
  </r>
  <r>
    <x v="0"/>
    <x v="115"/>
    <x v="4"/>
    <x v="0"/>
    <x v="0"/>
    <n v="67"/>
    <n v="9.6799999999999997E-2"/>
  </r>
  <r>
    <x v="0"/>
    <x v="115"/>
    <x v="4"/>
    <x v="0"/>
    <x v="1"/>
    <n v="70"/>
    <n v="1.0699999999999999E-2"/>
  </r>
  <r>
    <x v="0"/>
    <x v="115"/>
    <x v="4"/>
    <x v="0"/>
    <x v="2"/>
    <n v="66"/>
    <n v="2.7799999999999998E-2"/>
  </r>
  <r>
    <x v="0"/>
    <x v="115"/>
    <x v="4"/>
    <x v="0"/>
    <x v="3"/>
    <n v="66"/>
    <n v="2.2100000000000002E-2"/>
  </r>
  <r>
    <x v="0"/>
    <x v="115"/>
    <x v="4"/>
    <x v="0"/>
    <x v="4"/>
    <n v="66"/>
    <n v="5.7599999999999998E-2"/>
  </r>
  <r>
    <x v="0"/>
    <x v="115"/>
    <x v="4"/>
    <x v="0"/>
    <x v="5"/>
    <n v="64"/>
    <n v="1.8200000000000001E-2"/>
  </r>
  <r>
    <x v="0"/>
    <x v="115"/>
    <x v="4"/>
    <x v="0"/>
    <x v="6"/>
    <n v="64"/>
    <n v="1.8800000000000001E-2"/>
  </r>
  <r>
    <x v="0"/>
    <x v="115"/>
    <x v="4"/>
    <x v="0"/>
    <x v="7"/>
    <n v="69"/>
    <n v="4.2299999999999997E-2"/>
  </r>
  <r>
    <x v="0"/>
    <x v="115"/>
    <x v="4"/>
    <x v="0"/>
    <x v="8"/>
    <n v="60"/>
    <n v="8.0000000000000002E-3"/>
  </r>
  <r>
    <x v="0"/>
    <x v="115"/>
    <x v="4"/>
    <x v="0"/>
    <x v="9"/>
    <n v="65"/>
    <n v="1.5900000000000001E-2"/>
  </r>
  <r>
    <x v="0"/>
    <x v="115"/>
    <x v="4"/>
    <x v="0"/>
    <x v="10"/>
    <n v="66"/>
    <n v="1.7999999999999999E-2"/>
  </r>
  <r>
    <x v="0"/>
    <x v="115"/>
    <x v="4"/>
    <x v="0"/>
    <x v="11"/>
    <n v="64"/>
    <n v="2.2200000000000001E-2"/>
  </r>
  <r>
    <x v="0"/>
    <x v="115"/>
    <x v="4"/>
    <x v="0"/>
    <x v="12"/>
    <n v="64"/>
    <n v="2.5899999999999999E-2"/>
  </r>
  <r>
    <x v="0"/>
    <x v="115"/>
    <x v="4"/>
    <x v="0"/>
    <x v="13"/>
    <n v="67"/>
    <n v="1.8200000000000001E-2"/>
  </r>
  <r>
    <x v="1"/>
    <x v="116"/>
    <x v="4"/>
    <x v="0"/>
    <x v="0"/>
    <n v="38"/>
    <n v="0.2006"/>
  </r>
  <r>
    <x v="1"/>
    <x v="116"/>
    <x v="4"/>
    <x v="0"/>
    <x v="1"/>
    <n v="43"/>
    <n v="1.6799999999999999E-2"/>
  </r>
  <r>
    <x v="1"/>
    <x v="116"/>
    <x v="4"/>
    <x v="0"/>
    <x v="2"/>
    <n v="42"/>
    <n v="5.3100000000000001E-2"/>
  </r>
  <r>
    <x v="1"/>
    <x v="116"/>
    <x v="4"/>
    <x v="0"/>
    <x v="3"/>
    <n v="43"/>
    <n v="4.0800000000000003E-2"/>
  </r>
  <r>
    <x v="1"/>
    <x v="116"/>
    <x v="4"/>
    <x v="0"/>
    <x v="4"/>
    <n v="36"/>
    <n v="0.113"/>
  </r>
  <r>
    <x v="1"/>
    <x v="116"/>
    <x v="4"/>
    <x v="0"/>
    <x v="5"/>
    <n v="38"/>
    <n v="2.3900000000000001E-2"/>
  </r>
  <r>
    <x v="1"/>
    <x v="116"/>
    <x v="4"/>
    <x v="0"/>
    <x v="6"/>
    <n v="44"/>
    <n v="2.7699999999999999E-2"/>
  </r>
  <r>
    <x v="1"/>
    <x v="116"/>
    <x v="4"/>
    <x v="0"/>
    <x v="7"/>
    <n v="37"/>
    <n v="9.2799999999999994E-2"/>
  </r>
  <r>
    <x v="1"/>
    <x v="116"/>
    <x v="4"/>
    <x v="0"/>
    <x v="8"/>
    <n v="50"/>
    <n v="1.0999999999999999E-2"/>
  </r>
  <r>
    <x v="1"/>
    <x v="116"/>
    <x v="4"/>
    <x v="0"/>
    <x v="9"/>
    <n v="44"/>
    <n v="3.0499999999999999E-2"/>
  </r>
  <r>
    <x v="1"/>
    <x v="116"/>
    <x v="4"/>
    <x v="0"/>
    <x v="10"/>
    <n v="37"/>
    <n v="2.3099999999999999E-2"/>
  </r>
  <r>
    <x v="1"/>
    <x v="116"/>
    <x v="4"/>
    <x v="0"/>
    <x v="11"/>
    <n v="35"/>
    <n v="3.3700000000000001E-2"/>
  </r>
  <r>
    <x v="1"/>
    <x v="116"/>
    <x v="4"/>
    <x v="0"/>
    <x v="12"/>
    <n v="36"/>
    <n v="4.24E-2"/>
  </r>
  <r>
    <x v="1"/>
    <x v="116"/>
    <x v="4"/>
    <x v="0"/>
    <x v="13"/>
    <n v="49"/>
    <n v="2.8000000000000001E-2"/>
  </r>
  <r>
    <x v="1"/>
    <x v="117"/>
    <x v="4"/>
    <x v="1"/>
    <x v="0"/>
    <n v="36"/>
    <n v="0.28199999999999997"/>
  </r>
  <r>
    <x v="1"/>
    <x v="117"/>
    <x v="4"/>
    <x v="1"/>
    <x v="1"/>
    <n v="34"/>
    <n v="4.4900000000000002E-2"/>
  </r>
  <r>
    <x v="1"/>
    <x v="117"/>
    <x v="4"/>
    <x v="1"/>
    <x v="2"/>
    <n v="36"/>
    <n v="9.3299999999999994E-2"/>
  </r>
  <r>
    <x v="1"/>
    <x v="117"/>
    <x v="4"/>
    <x v="1"/>
    <x v="3"/>
    <n v="35"/>
    <n v="7.7200000000000005E-2"/>
  </r>
  <r>
    <x v="1"/>
    <x v="117"/>
    <x v="4"/>
    <x v="1"/>
    <x v="4"/>
    <n v="35"/>
    <n v="0.16070000000000001"/>
  </r>
  <r>
    <x v="1"/>
    <x v="117"/>
    <x v="4"/>
    <x v="1"/>
    <x v="5"/>
    <n v="37"/>
    <n v="4.5900000000000003E-2"/>
  </r>
  <r>
    <x v="1"/>
    <x v="117"/>
    <x v="4"/>
    <x v="1"/>
    <x v="6"/>
    <n v="37"/>
    <n v="5.7200000000000001E-2"/>
  </r>
  <r>
    <x v="1"/>
    <x v="117"/>
    <x v="4"/>
    <x v="1"/>
    <x v="7"/>
    <n v="37"/>
    <n v="0.124"/>
  </r>
  <r>
    <x v="1"/>
    <x v="117"/>
    <x v="4"/>
    <x v="1"/>
    <x v="8"/>
    <n v="35"/>
    <n v="3.27E-2"/>
  </r>
  <r>
    <x v="1"/>
    <x v="117"/>
    <x v="4"/>
    <x v="1"/>
    <x v="9"/>
    <n v="36"/>
    <n v="5.8900000000000001E-2"/>
  </r>
  <r>
    <x v="1"/>
    <x v="117"/>
    <x v="4"/>
    <x v="1"/>
    <x v="10"/>
    <n v="35"/>
    <n v="4.48E-2"/>
  </r>
  <r>
    <x v="1"/>
    <x v="117"/>
    <x v="4"/>
    <x v="1"/>
    <x v="11"/>
    <n v="36"/>
    <n v="5.6300000000000003E-2"/>
  </r>
  <r>
    <x v="1"/>
    <x v="117"/>
    <x v="4"/>
    <x v="1"/>
    <x v="12"/>
    <n v="36"/>
    <n v="6.3600000000000004E-2"/>
  </r>
  <r>
    <x v="1"/>
    <x v="117"/>
    <x v="4"/>
    <x v="1"/>
    <x v="13"/>
    <n v="34"/>
    <n v="6.5199999999999994E-2"/>
  </r>
  <r>
    <x v="1"/>
    <x v="118"/>
    <x v="4"/>
    <x v="0"/>
    <x v="0"/>
    <n v="118"/>
    <n v="6.7900000000000002E-2"/>
  </r>
  <r>
    <x v="1"/>
    <x v="118"/>
    <x v="4"/>
    <x v="0"/>
    <x v="1"/>
    <n v="120"/>
    <n v="7.0000000000000001E-3"/>
  </r>
  <r>
    <x v="1"/>
    <x v="118"/>
    <x v="4"/>
    <x v="0"/>
    <x v="2"/>
    <n v="125"/>
    <n v="2.5700000000000001E-2"/>
  </r>
  <r>
    <x v="1"/>
    <x v="118"/>
    <x v="4"/>
    <x v="0"/>
    <x v="3"/>
    <n v="126"/>
    <n v="2.0199999999999999E-2"/>
  </r>
  <r>
    <x v="1"/>
    <x v="118"/>
    <x v="4"/>
    <x v="0"/>
    <x v="4"/>
    <n v="117"/>
    <n v="4.0500000000000001E-2"/>
  </r>
  <r>
    <x v="1"/>
    <x v="118"/>
    <x v="4"/>
    <x v="0"/>
    <x v="5"/>
    <n v="114"/>
    <n v="1.5299999999999999E-2"/>
  </r>
  <r>
    <x v="1"/>
    <x v="118"/>
    <x v="4"/>
    <x v="0"/>
    <x v="6"/>
    <n v="117"/>
    <n v="1.55E-2"/>
  </r>
  <r>
    <x v="1"/>
    <x v="118"/>
    <x v="4"/>
    <x v="0"/>
    <x v="7"/>
    <n v="116"/>
    <n v="0.03"/>
  </r>
  <r>
    <x v="1"/>
    <x v="118"/>
    <x v="4"/>
    <x v="0"/>
    <x v="8"/>
    <n v="123"/>
    <n v="5.7000000000000002E-3"/>
  </r>
  <r>
    <x v="1"/>
    <x v="118"/>
    <x v="4"/>
    <x v="0"/>
    <x v="9"/>
    <n v="129"/>
    <n v="1.61E-2"/>
  </r>
  <r>
    <x v="1"/>
    <x v="118"/>
    <x v="4"/>
    <x v="0"/>
    <x v="10"/>
    <n v="115"/>
    <n v="1.5800000000000002E-2"/>
  </r>
  <r>
    <x v="1"/>
    <x v="118"/>
    <x v="4"/>
    <x v="0"/>
    <x v="11"/>
    <n v="115"/>
    <n v="1.7299999999999999E-2"/>
  </r>
  <r>
    <x v="1"/>
    <x v="118"/>
    <x v="4"/>
    <x v="0"/>
    <x v="12"/>
    <n v="115"/>
    <n v="1.9199999999999998E-2"/>
  </r>
  <r>
    <x v="1"/>
    <x v="118"/>
    <x v="4"/>
    <x v="0"/>
    <x v="13"/>
    <n v="120"/>
    <n v="1.23E-2"/>
  </r>
  <r>
    <x v="0"/>
    <x v="119"/>
    <x v="4"/>
    <x v="0"/>
    <x v="0"/>
    <n v="110"/>
    <n v="0.56179999999999997"/>
  </r>
  <r>
    <x v="0"/>
    <x v="119"/>
    <x v="4"/>
    <x v="0"/>
    <x v="1"/>
    <n v="109"/>
    <n v="0.14549999999999999"/>
  </r>
  <r>
    <x v="0"/>
    <x v="119"/>
    <x v="4"/>
    <x v="0"/>
    <x v="2"/>
    <n v="115"/>
    <n v="0.31540000000000001"/>
  </r>
  <r>
    <x v="0"/>
    <x v="119"/>
    <x v="4"/>
    <x v="0"/>
    <x v="3"/>
    <n v="112"/>
    <n v="0.30270000000000002"/>
  </r>
  <r>
    <x v="0"/>
    <x v="119"/>
    <x v="4"/>
    <x v="0"/>
    <x v="4"/>
    <n v="108"/>
    <n v="0.436"/>
  </r>
  <r>
    <x v="0"/>
    <x v="119"/>
    <x v="4"/>
    <x v="0"/>
    <x v="5"/>
    <n v="101"/>
    <n v="0.15029999999999999"/>
  </r>
  <r>
    <x v="0"/>
    <x v="119"/>
    <x v="4"/>
    <x v="0"/>
    <x v="6"/>
    <n v="102"/>
    <n v="0.15859999999999999"/>
  </r>
  <r>
    <x v="0"/>
    <x v="119"/>
    <x v="4"/>
    <x v="0"/>
    <x v="7"/>
    <n v="110"/>
    <n v="0.4012"/>
  </r>
  <r>
    <x v="0"/>
    <x v="119"/>
    <x v="4"/>
    <x v="0"/>
    <x v="8"/>
    <n v="106"/>
    <n v="9.5799999999999996E-2"/>
  </r>
  <r>
    <x v="0"/>
    <x v="119"/>
    <x v="4"/>
    <x v="0"/>
    <x v="9"/>
    <n v="113"/>
    <n v="0.2591"/>
  </r>
  <r>
    <x v="0"/>
    <x v="119"/>
    <x v="4"/>
    <x v="0"/>
    <x v="10"/>
    <n v="104"/>
    <n v="0.18590000000000001"/>
  </r>
  <r>
    <x v="0"/>
    <x v="119"/>
    <x v="4"/>
    <x v="0"/>
    <x v="11"/>
    <n v="106"/>
    <n v="0.23630000000000001"/>
  </r>
  <r>
    <x v="0"/>
    <x v="119"/>
    <x v="4"/>
    <x v="0"/>
    <x v="12"/>
    <n v="107"/>
    <n v="0.27500000000000002"/>
  </r>
  <r>
    <x v="0"/>
    <x v="119"/>
    <x v="4"/>
    <x v="0"/>
    <x v="13"/>
    <n v="107"/>
    <n v="0.2069"/>
  </r>
  <r>
    <x v="0"/>
    <x v="120"/>
    <x v="4"/>
    <x v="0"/>
    <x v="0"/>
    <n v="73"/>
    <n v="0.2296"/>
  </r>
  <r>
    <x v="0"/>
    <x v="120"/>
    <x v="4"/>
    <x v="0"/>
    <x v="1"/>
    <n v="62"/>
    <n v="1.66E-2"/>
  </r>
  <r>
    <x v="0"/>
    <x v="120"/>
    <x v="4"/>
    <x v="0"/>
    <x v="2"/>
    <n v="67"/>
    <n v="5.6300000000000003E-2"/>
  </r>
  <r>
    <x v="0"/>
    <x v="120"/>
    <x v="4"/>
    <x v="0"/>
    <x v="3"/>
    <n v="68"/>
    <n v="4.4699999999999997E-2"/>
  </r>
  <r>
    <x v="0"/>
    <x v="120"/>
    <x v="4"/>
    <x v="0"/>
    <x v="4"/>
    <n v="80"/>
    <n v="0.16259999999999999"/>
  </r>
  <r>
    <x v="0"/>
    <x v="120"/>
    <x v="4"/>
    <x v="0"/>
    <x v="5"/>
    <n v="71"/>
    <n v="4.0399999999999998E-2"/>
  </r>
  <r>
    <x v="0"/>
    <x v="120"/>
    <x v="4"/>
    <x v="0"/>
    <x v="6"/>
    <n v="63"/>
    <n v="3.6900000000000002E-2"/>
  </r>
  <r>
    <x v="0"/>
    <x v="120"/>
    <x v="4"/>
    <x v="0"/>
    <x v="7"/>
    <n v="74"/>
    <n v="9.8400000000000001E-2"/>
  </r>
  <r>
    <x v="0"/>
    <x v="120"/>
    <x v="4"/>
    <x v="0"/>
    <x v="8"/>
    <n v="61"/>
    <n v="1.3599999999999999E-2"/>
  </r>
  <r>
    <x v="0"/>
    <x v="120"/>
    <x v="4"/>
    <x v="0"/>
    <x v="9"/>
    <n v="70"/>
    <n v="3.0800000000000001E-2"/>
  </r>
  <r>
    <x v="0"/>
    <x v="120"/>
    <x v="4"/>
    <x v="0"/>
    <x v="10"/>
    <n v="74"/>
    <n v="4.9200000000000001E-2"/>
  </r>
  <r>
    <x v="0"/>
    <x v="120"/>
    <x v="4"/>
    <x v="0"/>
    <x v="11"/>
    <n v="81"/>
    <n v="6.5199999999999994E-2"/>
  </r>
  <r>
    <x v="0"/>
    <x v="120"/>
    <x v="4"/>
    <x v="0"/>
    <x v="12"/>
    <n v="82"/>
    <n v="7.4300000000000005E-2"/>
  </r>
  <r>
    <x v="0"/>
    <x v="120"/>
    <x v="4"/>
    <x v="0"/>
    <x v="13"/>
    <n v="61"/>
    <n v="2.9399999999999999E-2"/>
  </r>
  <r>
    <x v="0"/>
    <x v="121"/>
    <x v="4"/>
    <x v="0"/>
    <x v="0"/>
    <n v="98"/>
    <n v="9.9699999999999997E-2"/>
  </r>
  <r>
    <x v="0"/>
    <x v="121"/>
    <x v="4"/>
    <x v="0"/>
    <x v="1"/>
    <n v="93"/>
    <n v="7.7000000000000002E-3"/>
  </r>
  <r>
    <x v="0"/>
    <x v="121"/>
    <x v="4"/>
    <x v="0"/>
    <x v="2"/>
    <n v="107"/>
    <n v="3.2099999999999997E-2"/>
  </r>
  <r>
    <x v="0"/>
    <x v="121"/>
    <x v="4"/>
    <x v="0"/>
    <x v="3"/>
    <n v="98"/>
    <n v="2.75E-2"/>
  </r>
  <r>
    <x v="0"/>
    <x v="121"/>
    <x v="4"/>
    <x v="0"/>
    <x v="4"/>
    <n v="96"/>
    <n v="6.0900000000000003E-2"/>
  </r>
  <r>
    <x v="0"/>
    <x v="121"/>
    <x v="4"/>
    <x v="0"/>
    <x v="5"/>
    <n v="97"/>
    <n v="1.49E-2"/>
  </r>
  <r>
    <x v="0"/>
    <x v="121"/>
    <x v="4"/>
    <x v="0"/>
    <x v="6"/>
    <n v="97"/>
    <n v="1.6500000000000001E-2"/>
  </r>
  <r>
    <x v="0"/>
    <x v="121"/>
    <x v="4"/>
    <x v="0"/>
    <x v="7"/>
    <n v="96"/>
    <n v="0.04"/>
  </r>
  <r>
    <x v="0"/>
    <x v="121"/>
    <x v="4"/>
    <x v="0"/>
    <x v="8"/>
    <n v="88"/>
    <n v="6.3E-3"/>
  </r>
  <r>
    <x v="0"/>
    <x v="121"/>
    <x v="4"/>
    <x v="0"/>
    <x v="9"/>
    <n v="100"/>
    <n v="2.0199999999999999E-2"/>
  </r>
  <r>
    <x v="0"/>
    <x v="121"/>
    <x v="4"/>
    <x v="0"/>
    <x v="10"/>
    <n v="96"/>
    <n v="1.6400000000000001E-2"/>
  </r>
  <r>
    <x v="0"/>
    <x v="121"/>
    <x v="4"/>
    <x v="0"/>
    <x v="11"/>
    <n v="95"/>
    <n v="2.23E-2"/>
  </r>
  <r>
    <x v="0"/>
    <x v="121"/>
    <x v="4"/>
    <x v="0"/>
    <x v="12"/>
    <n v="100"/>
    <n v="2.58E-2"/>
  </r>
  <r>
    <x v="0"/>
    <x v="121"/>
    <x v="4"/>
    <x v="0"/>
    <x v="13"/>
    <n v="92"/>
    <n v="1.41E-2"/>
  </r>
  <r>
    <x v="1"/>
    <x v="128"/>
    <x v="4"/>
    <x v="0"/>
    <x v="0"/>
    <n v="48"/>
    <n v="5.4000000000000003E-3"/>
  </r>
  <r>
    <x v="1"/>
    <x v="128"/>
    <x v="4"/>
    <x v="0"/>
    <x v="1"/>
    <n v="51"/>
    <n v="1.1999999999999999E-3"/>
  </r>
  <r>
    <x v="1"/>
    <x v="128"/>
    <x v="4"/>
    <x v="0"/>
    <x v="2"/>
    <n v="47"/>
    <n v="2.5999999999999999E-3"/>
  </r>
  <r>
    <x v="1"/>
    <x v="128"/>
    <x v="4"/>
    <x v="0"/>
    <x v="3"/>
    <n v="50"/>
    <n v="2.3E-3"/>
  </r>
  <r>
    <x v="1"/>
    <x v="128"/>
    <x v="4"/>
    <x v="0"/>
    <x v="4"/>
    <n v="42"/>
    <n v="3.8E-3"/>
  </r>
  <r>
    <x v="1"/>
    <x v="128"/>
    <x v="4"/>
    <x v="0"/>
    <x v="5"/>
    <n v="54"/>
    <n v="1.1999999999999999E-3"/>
  </r>
  <r>
    <x v="1"/>
    <x v="128"/>
    <x v="4"/>
    <x v="0"/>
    <x v="6"/>
    <n v="63"/>
    <n v="1.1999999999999999E-3"/>
  </r>
  <r>
    <x v="1"/>
    <x v="128"/>
    <x v="4"/>
    <x v="0"/>
    <x v="7"/>
    <n v="48"/>
    <n v="3.2000000000000002E-3"/>
  </r>
  <r>
    <x v="1"/>
    <x v="128"/>
    <x v="4"/>
    <x v="0"/>
    <x v="8"/>
    <n v="50"/>
    <n v="5.9999999999999995E-4"/>
  </r>
  <r>
    <x v="1"/>
    <x v="128"/>
    <x v="4"/>
    <x v="0"/>
    <x v="9"/>
    <n v="52"/>
    <n v="2E-3"/>
  </r>
  <r>
    <x v="1"/>
    <x v="128"/>
    <x v="4"/>
    <x v="0"/>
    <x v="10"/>
    <n v="50"/>
    <n v="1.4E-3"/>
  </r>
  <r>
    <x v="1"/>
    <x v="128"/>
    <x v="4"/>
    <x v="0"/>
    <x v="11"/>
    <n v="45"/>
    <n v="1.9E-3"/>
  </r>
  <r>
    <x v="1"/>
    <x v="128"/>
    <x v="4"/>
    <x v="0"/>
    <x v="12"/>
    <n v="40"/>
    <n v="2.0999999999999999E-3"/>
  </r>
  <r>
    <x v="1"/>
    <x v="128"/>
    <x v="4"/>
    <x v="0"/>
    <x v="13"/>
    <n v="52"/>
    <n v="1.6999999999999999E-3"/>
  </r>
  <r>
    <x v="0"/>
    <x v="122"/>
    <x v="4"/>
    <x v="0"/>
    <x v="0"/>
    <n v="117"/>
    <n v="0.2838"/>
  </r>
  <r>
    <x v="0"/>
    <x v="122"/>
    <x v="4"/>
    <x v="0"/>
    <x v="1"/>
    <n v="106"/>
    <n v="2.5100000000000001E-2"/>
  </r>
  <r>
    <x v="0"/>
    <x v="122"/>
    <x v="4"/>
    <x v="0"/>
    <x v="2"/>
    <n v="118"/>
    <n v="0.11600000000000001"/>
  </r>
  <r>
    <x v="0"/>
    <x v="122"/>
    <x v="4"/>
    <x v="0"/>
    <x v="3"/>
    <n v="119"/>
    <n v="0.1067"/>
  </r>
  <r>
    <x v="0"/>
    <x v="122"/>
    <x v="4"/>
    <x v="0"/>
    <x v="4"/>
    <n v="118"/>
    <n v="0.19500000000000001"/>
  </r>
  <r>
    <x v="0"/>
    <x v="122"/>
    <x v="4"/>
    <x v="0"/>
    <x v="5"/>
    <n v="112"/>
    <n v="6.4299999999999996E-2"/>
  </r>
  <r>
    <x v="0"/>
    <x v="122"/>
    <x v="4"/>
    <x v="0"/>
    <x v="6"/>
    <n v="108"/>
    <n v="6.6000000000000003E-2"/>
  </r>
  <r>
    <x v="0"/>
    <x v="122"/>
    <x v="4"/>
    <x v="0"/>
    <x v="7"/>
    <n v="120"/>
    <n v="0.13400000000000001"/>
  </r>
  <r>
    <x v="0"/>
    <x v="122"/>
    <x v="4"/>
    <x v="0"/>
    <x v="8"/>
    <n v="106"/>
    <n v="2.64E-2"/>
  </r>
  <r>
    <x v="0"/>
    <x v="122"/>
    <x v="4"/>
    <x v="0"/>
    <x v="9"/>
    <n v="120"/>
    <n v="8.3400000000000002E-2"/>
  </r>
  <r>
    <x v="0"/>
    <x v="122"/>
    <x v="4"/>
    <x v="0"/>
    <x v="10"/>
    <n v="115"/>
    <n v="7.1499999999999994E-2"/>
  </r>
  <r>
    <x v="0"/>
    <x v="122"/>
    <x v="4"/>
    <x v="0"/>
    <x v="11"/>
    <n v="116"/>
    <n v="8.72E-2"/>
  </r>
  <r>
    <x v="0"/>
    <x v="122"/>
    <x v="4"/>
    <x v="0"/>
    <x v="12"/>
    <n v="117"/>
    <n v="0.1017"/>
  </r>
  <r>
    <x v="0"/>
    <x v="122"/>
    <x v="4"/>
    <x v="0"/>
    <x v="13"/>
    <n v="108"/>
    <n v="4.7E-2"/>
  </r>
  <r>
    <x v="1"/>
    <x v="145"/>
    <x v="4"/>
    <x v="0"/>
    <x v="0"/>
    <n v="84"/>
    <n v="0.2152"/>
  </r>
  <r>
    <x v="1"/>
    <x v="145"/>
    <x v="4"/>
    <x v="0"/>
    <x v="1"/>
    <n v="75"/>
    <n v="1.5800000000000002E-2"/>
  </r>
  <r>
    <x v="1"/>
    <x v="145"/>
    <x v="4"/>
    <x v="0"/>
    <x v="2"/>
    <n v="93"/>
    <n v="6.6400000000000001E-2"/>
  </r>
  <r>
    <x v="1"/>
    <x v="145"/>
    <x v="4"/>
    <x v="0"/>
    <x v="3"/>
    <n v="87"/>
    <n v="5.3800000000000001E-2"/>
  </r>
  <r>
    <x v="1"/>
    <x v="145"/>
    <x v="4"/>
    <x v="0"/>
    <x v="4"/>
    <n v="79"/>
    <n v="0.14380000000000001"/>
  </r>
  <r>
    <x v="1"/>
    <x v="145"/>
    <x v="4"/>
    <x v="0"/>
    <x v="5"/>
    <n v="74"/>
    <n v="2.5100000000000001E-2"/>
  </r>
  <r>
    <x v="1"/>
    <x v="145"/>
    <x v="4"/>
    <x v="0"/>
    <x v="6"/>
    <n v="73"/>
    <n v="2.7E-2"/>
  </r>
  <r>
    <x v="1"/>
    <x v="145"/>
    <x v="4"/>
    <x v="0"/>
    <x v="7"/>
    <n v="95"/>
    <n v="0.1115"/>
  </r>
  <r>
    <x v="1"/>
    <x v="145"/>
    <x v="4"/>
    <x v="0"/>
    <x v="8"/>
    <n v="78"/>
    <n v="1.24E-2"/>
  </r>
  <r>
    <x v="1"/>
    <x v="145"/>
    <x v="4"/>
    <x v="0"/>
    <x v="9"/>
    <n v="82"/>
    <n v="3.3799999999999997E-2"/>
  </r>
  <r>
    <x v="1"/>
    <x v="145"/>
    <x v="4"/>
    <x v="0"/>
    <x v="10"/>
    <n v="76"/>
    <n v="0.03"/>
  </r>
  <r>
    <x v="1"/>
    <x v="145"/>
    <x v="4"/>
    <x v="0"/>
    <x v="11"/>
    <n v="74"/>
    <n v="4.7100000000000003E-2"/>
  </r>
  <r>
    <x v="1"/>
    <x v="145"/>
    <x v="4"/>
    <x v="0"/>
    <x v="12"/>
    <n v="75"/>
    <n v="6.7799999999999999E-2"/>
  </r>
  <r>
    <x v="1"/>
    <x v="145"/>
    <x v="4"/>
    <x v="0"/>
    <x v="13"/>
    <n v="80"/>
    <n v="2.5899999999999999E-2"/>
  </r>
  <r>
    <x v="0"/>
    <x v="0"/>
    <x v="5"/>
    <x v="0"/>
    <x v="0"/>
    <n v="96"/>
    <n v="0.26100000000000001"/>
  </r>
  <r>
    <x v="0"/>
    <x v="0"/>
    <x v="5"/>
    <x v="0"/>
    <x v="1"/>
    <n v="93"/>
    <n v="4.2599999999999999E-2"/>
  </r>
  <r>
    <x v="0"/>
    <x v="0"/>
    <x v="5"/>
    <x v="0"/>
    <x v="2"/>
    <n v="98"/>
    <n v="0.11849999999999999"/>
  </r>
  <r>
    <x v="0"/>
    <x v="0"/>
    <x v="5"/>
    <x v="0"/>
    <x v="3"/>
    <n v="94"/>
    <n v="0.1123"/>
  </r>
  <r>
    <x v="0"/>
    <x v="0"/>
    <x v="5"/>
    <x v="0"/>
    <x v="4"/>
    <n v="96"/>
    <n v="0.18329999999999999"/>
  </r>
  <r>
    <x v="0"/>
    <x v="0"/>
    <x v="5"/>
    <x v="0"/>
    <x v="5"/>
    <n v="93"/>
    <n v="5.3900000000000003E-2"/>
  </r>
  <r>
    <x v="0"/>
    <x v="0"/>
    <x v="5"/>
    <x v="0"/>
    <x v="6"/>
    <n v="92"/>
    <n v="5.6399999999999999E-2"/>
  </r>
  <r>
    <x v="0"/>
    <x v="0"/>
    <x v="5"/>
    <x v="0"/>
    <x v="7"/>
    <n v="97"/>
    <n v="0.14810000000000001"/>
  </r>
  <r>
    <x v="0"/>
    <x v="0"/>
    <x v="5"/>
    <x v="0"/>
    <x v="8"/>
    <n v="83"/>
    <n v="2.5899999999999999E-2"/>
  </r>
  <r>
    <x v="0"/>
    <x v="0"/>
    <x v="5"/>
    <x v="0"/>
    <x v="9"/>
    <n v="93"/>
    <n v="8.8400000000000006E-2"/>
  </r>
  <r>
    <x v="0"/>
    <x v="0"/>
    <x v="5"/>
    <x v="0"/>
    <x v="10"/>
    <n v="92"/>
    <n v="6.8500000000000005E-2"/>
  </r>
  <r>
    <x v="0"/>
    <x v="0"/>
    <x v="5"/>
    <x v="0"/>
    <x v="11"/>
    <n v="95"/>
    <n v="9.4299999999999995E-2"/>
  </r>
  <r>
    <x v="0"/>
    <x v="0"/>
    <x v="5"/>
    <x v="0"/>
    <x v="12"/>
    <n v="97"/>
    <n v="0.1123"/>
  </r>
  <r>
    <x v="0"/>
    <x v="0"/>
    <x v="5"/>
    <x v="0"/>
    <x v="13"/>
    <n v="91"/>
    <n v="6.9800000000000001E-2"/>
  </r>
  <r>
    <x v="1"/>
    <x v="1"/>
    <x v="5"/>
    <x v="1"/>
    <x v="0"/>
    <n v="109"/>
    <n v="0.83479999999999999"/>
  </r>
  <r>
    <x v="1"/>
    <x v="1"/>
    <x v="5"/>
    <x v="1"/>
    <x v="1"/>
    <n v="103"/>
    <n v="0.33400000000000002"/>
  </r>
  <r>
    <x v="1"/>
    <x v="1"/>
    <x v="5"/>
    <x v="1"/>
    <x v="2"/>
    <n v="110"/>
    <n v="0.55300000000000005"/>
  </r>
  <r>
    <x v="1"/>
    <x v="1"/>
    <x v="5"/>
    <x v="1"/>
    <x v="3"/>
    <n v="112"/>
    <n v="0.625"/>
  </r>
  <r>
    <x v="1"/>
    <x v="1"/>
    <x v="5"/>
    <x v="1"/>
    <x v="4"/>
    <n v="110"/>
    <n v="0.73740000000000006"/>
  </r>
  <r>
    <x v="1"/>
    <x v="1"/>
    <x v="5"/>
    <x v="1"/>
    <x v="5"/>
    <n v="107"/>
    <n v="0.2712"/>
  </r>
  <r>
    <x v="1"/>
    <x v="1"/>
    <x v="5"/>
    <x v="1"/>
    <x v="6"/>
    <n v="101"/>
    <n v="0.29830000000000001"/>
  </r>
  <r>
    <x v="1"/>
    <x v="1"/>
    <x v="5"/>
    <x v="1"/>
    <x v="7"/>
    <n v="103"/>
    <n v="0.67379999999999995"/>
  </r>
  <r>
    <x v="1"/>
    <x v="1"/>
    <x v="5"/>
    <x v="1"/>
    <x v="8"/>
    <n v="98"/>
    <n v="0.22239999999999999"/>
  </r>
  <r>
    <x v="1"/>
    <x v="1"/>
    <x v="5"/>
    <x v="1"/>
    <x v="9"/>
    <n v="112"/>
    <n v="0.55089999999999995"/>
  </r>
  <r>
    <x v="1"/>
    <x v="1"/>
    <x v="5"/>
    <x v="1"/>
    <x v="10"/>
    <n v="110"/>
    <n v="0.3871"/>
  </r>
  <r>
    <x v="1"/>
    <x v="1"/>
    <x v="5"/>
    <x v="1"/>
    <x v="11"/>
    <n v="109"/>
    <n v="0.48830000000000001"/>
  </r>
  <r>
    <x v="1"/>
    <x v="1"/>
    <x v="5"/>
    <x v="1"/>
    <x v="12"/>
    <n v="109"/>
    <n v="0.56740000000000002"/>
  </r>
  <r>
    <x v="1"/>
    <x v="1"/>
    <x v="5"/>
    <x v="1"/>
    <x v="13"/>
    <n v="103"/>
    <n v="0.44519999999999998"/>
  </r>
  <r>
    <x v="1"/>
    <x v="2"/>
    <x v="5"/>
    <x v="0"/>
    <x v="0"/>
    <n v="123"/>
    <n v="1.1000000000000001E-3"/>
  </r>
  <r>
    <x v="1"/>
    <x v="3"/>
    <x v="5"/>
    <x v="0"/>
    <x v="0"/>
    <n v="105"/>
    <n v="7.0699999999999999E-2"/>
  </r>
  <r>
    <x v="1"/>
    <x v="3"/>
    <x v="5"/>
    <x v="0"/>
    <x v="1"/>
    <n v="101"/>
    <n v="7.0000000000000001E-3"/>
  </r>
  <r>
    <x v="1"/>
    <x v="3"/>
    <x v="5"/>
    <x v="0"/>
    <x v="2"/>
    <n v="114"/>
    <n v="2.1399999999999999E-2"/>
  </r>
  <r>
    <x v="1"/>
    <x v="3"/>
    <x v="5"/>
    <x v="0"/>
    <x v="3"/>
    <n v="104"/>
    <n v="1.7999999999999999E-2"/>
  </r>
  <r>
    <x v="1"/>
    <x v="3"/>
    <x v="5"/>
    <x v="0"/>
    <x v="4"/>
    <n v="101"/>
    <n v="4.4499999999999998E-2"/>
  </r>
  <r>
    <x v="1"/>
    <x v="3"/>
    <x v="5"/>
    <x v="0"/>
    <x v="5"/>
    <n v="109"/>
    <n v="2.6499999999999999E-2"/>
  </r>
  <r>
    <x v="1"/>
    <x v="3"/>
    <x v="5"/>
    <x v="0"/>
    <x v="6"/>
    <n v="108"/>
    <n v="2.58E-2"/>
  </r>
  <r>
    <x v="1"/>
    <x v="3"/>
    <x v="5"/>
    <x v="0"/>
    <x v="7"/>
    <n v="105"/>
    <n v="3.0499999999999999E-2"/>
  </r>
  <r>
    <x v="1"/>
    <x v="3"/>
    <x v="5"/>
    <x v="0"/>
    <x v="8"/>
    <n v="110"/>
    <n v="9.1999999999999998E-3"/>
  </r>
  <r>
    <x v="1"/>
    <x v="3"/>
    <x v="5"/>
    <x v="0"/>
    <x v="9"/>
    <n v="107"/>
    <n v="1.41E-2"/>
  </r>
  <r>
    <x v="1"/>
    <x v="3"/>
    <x v="5"/>
    <x v="0"/>
    <x v="10"/>
    <n v="105"/>
    <n v="2.2200000000000001E-2"/>
  </r>
  <r>
    <x v="1"/>
    <x v="3"/>
    <x v="5"/>
    <x v="0"/>
    <x v="11"/>
    <n v="98"/>
    <n v="2.1000000000000001E-2"/>
  </r>
  <r>
    <x v="1"/>
    <x v="3"/>
    <x v="5"/>
    <x v="0"/>
    <x v="12"/>
    <n v="100"/>
    <n v="1.8499999999999999E-2"/>
  </r>
  <r>
    <x v="1"/>
    <x v="3"/>
    <x v="5"/>
    <x v="0"/>
    <x v="13"/>
    <n v="100"/>
    <n v="1.17E-2"/>
  </r>
  <r>
    <x v="0"/>
    <x v="4"/>
    <x v="5"/>
    <x v="0"/>
    <x v="0"/>
    <n v="93"/>
    <n v="0.32769999999999999"/>
  </r>
  <r>
    <x v="0"/>
    <x v="4"/>
    <x v="5"/>
    <x v="0"/>
    <x v="1"/>
    <n v="91"/>
    <n v="3.4599999999999999E-2"/>
  </r>
  <r>
    <x v="0"/>
    <x v="4"/>
    <x v="5"/>
    <x v="0"/>
    <x v="2"/>
    <n v="96"/>
    <n v="0.14249999999999999"/>
  </r>
  <r>
    <x v="0"/>
    <x v="4"/>
    <x v="5"/>
    <x v="0"/>
    <x v="3"/>
    <n v="91"/>
    <n v="0.1472"/>
  </r>
  <r>
    <x v="0"/>
    <x v="4"/>
    <x v="5"/>
    <x v="0"/>
    <x v="4"/>
    <n v="93"/>
    <n v="0.23619999999999999"/>
  </r>
  <r>
    <x v="0"/>
    <x v="4"/>
    <x v="5"/>
    <x v="0"/>
    <x v="5"/>
    <n v="93"/>
    <n v="6.3299999999999995E-2"/>
  </r>
  <r>
    <x v="0"/>
    <x v="4"/>
    <x v="5"/>
    <x v="0"/>
    <x v="6"/>
    <n v="92"/>
    <n v="6.7900000000000002E-2"/>
  </r>
  <r>
    <x v="0"/>
    <x v="4"/>
    <x v="5"/>
    <x v="0"/>
    <x v="7"/>
    <n v="90"/>
    <n v="0.17269999999999999"/>
  </r>
  <r>
    <x v="0"/>
    <x v="4"/>
    <x v="5"/>
    <x v="0"/>
    <x v="8"/>
    <n v="92"/>
    <n v="2.6599999999999999E-2"/>
  </r>
  <r>
    <x v="0"/>
    <x v="4"/>
    <x v="5"/>
    <x v="0"/>
    <x v="9"/>
    <n v="91"/>
    <n v="0.11409999999999999"/>
  </r>
  <r>
    <x v="0"/>
    <x v="4"/>
    <x v="5"/>
    <x v="0"/>
    <x v="10"/>
    <n v="94"/>
    <n v="8.1500000000000003E-2"/>
  </r>
  <r>
    <x v="0"/>
    <x v="4"/>
    <x v="5"/>
    <x v="0"/>
    <x v="11"/>
    <n v="94"/>
    <n v="0.11459999999999999"/>
  </r>
  <r>
    <x v="0"/>
    <x v="4"/>
    <x v="5"/>
    <x v="0"/>
    <x v="12"/>
    <n v="95"/>
    <n v="0.14219999999999999"/>
  </r>
  <r>
    <x v="0"/>
    <x v="4"/>
    <x v="5"/>
    <x v="0"/>
    <x v="13"/>
    <n v="89"/>
    <n v="7.1099999999999997E-2"/>
  </r>
  <r>
    <x v="0"/>
    <x v="5"/>
    <x v="5"/>
    <x v="0"/>
    <x v="0"/>
    <n v="102"/>
    <n v="0.25940000000000002"/>
  </r>
  <r>
    <x v="0"/>
    <x v="5"/>
    <x v="5"/>
    <x v="0"/>
    <x v="1"/>
    <n v="89"/>
    <n v="3.5000000000000003E-2"/>
  </r>
  <r>
    <x v="0"/>
    <x v="5"/>
    <x v="5"/>
    <x v="0"/>
    <x v="2"/>
    <n v="97"/>
    <n v="9.1800000000000007E-2"/>
  </r>
  <r>
    <x v="0"/>
    <x v="5"/>
    <x v="5"/>
    <x v="0"/>
    <x v="3"/>
    <n v="96"/>
    <n v="8.7599999999999997E-2"/>
  </r>
  <r>
    <x v="0"/>
    <x v="5"/>
    <x v="5"/>
    <x v="0"/>
    <x v="4"/>
    <n v="107"/>
    <n v="0.16189999999999999"/>
  </r>
  <r>
    <x v="0"/>
    <x v="5"/>
    <x v="5"/>
    <x v="0"/>
    <x v="5"/>
    <n v="109"/>
    <n v="3.9600000000000003E-2"/>
  </r>
  <r>
    <x v="0"/>
    <x v="5"/>
    <x v="5"/>
    <x v="0"/>
    <x v="6"/>
    <n v="104"/>
    <n v="4.8000000000000001E-2"/>
  </r>
  <r>
    <x v="0"/>
    <x v="5"/>
    <x v="5"/>
    <x v="0"/>
    <x v="7"/>
    <n v="102"/>
    <n v="0.14530000000000001"/>
  </r>
  <r>
    <x v="0"/>
    <x v="5"/>
    <x v="5"/>
    <x v="0"/>
    <x v="8"/>
    <n v="93"/>
    <n v="2.58E-2"/>
  </r>
  <r>
    <x v="0"/>
    <x v="5"/>
    <x v="5"/>
    <x v="0"/>
    <x v="9"/>
    <n v="97"/>
    <n v="6.4899999999999999E-2"/>
  </r>
  <r>
    <x v="0"/>
    <x v="5"/>
    <x v="5"/>
    <x v="0"/>
    <x v="10"/>
    <n v="104"/>
    <n v="4.7199999999999999E-2"/>
  </r>
  <r>
    <x v="0"/>
    <x v="5"/>
    <x v="5"/>
    <x v="0"/>
    <x v="11"/>
    <n v="102"/>
    <n v="7.0000000000000007E-2"/>
  </r>
  <r>
    <x v="0"/>
    <x v="5"/>
    <x v="5"/>
    <x v="0"/>
    <x v="12"/>
    <n v="111"/>
    <n v="8.7599999999999997E-2"/>
  </r>
  <r>
    <x v="0"/>
    <x v="5"/>
    <x v="5"/>
    <x v="0"/>
    <x v="13"/>
    <n v="92"/>
    <n v="5.96E-2"/>
  </r>
  <r>
    <x v="1"/>
    <x v="8"/>
    <x v="5"/>
    <x v="0"/>
    <x v="0"/>
    <n v="93"/>
    <n v="0.2681"/>
  </r>
  <r>
    <x v="1"/>
    <x v="8"/>
    <x v="5"/>
    <x v="0"/>
    <x v="1"/>
    <n v="98"/>
    <n v="3.73E-2"/>
  </r>
  <r>
    <x v="1"/>
    <x v="8"/>
    <x v="5"/>
    <x v="0"/>
    <x v="2"/>
    <n v="98"/>
    <n v="0.1027"/>
  </r>
  <r>
    <x v="1"/>
    <x v="8"/>
    <x v="5"/>
    <x v="0"/>
    <x v="3"/>
    <n v="91"/>
    <n v="0.10299999999999999"/>
  </r>
  <r>
    <x v="1"/>
    <x v="8"/>
    <x v="5"/>
    <x v="0"/>
    <x v="4"/>
    <n v="90"/>
    <n v="0.1762"/>
  </r>
  <r>
    <x v="1"/>
    <x v="8"/>
    <x v="5"/>
    <x v="0"/>
    <x v="5"/>
    <n v="97"/>
    <n v="3.95E-2"/>
  </r>
  <r>
    <x v="1"/>
    <x v="8"/>
    <x v="5"/>
    <x v="0"/>
    <x v="6"/>
    <n v="94"/>
    <n v="4.6899999999999997E-2"/>
  </r>
  <r>
    <x v="1"/>
    <x v="8"/>
    <x v="5"/>
    <x v="0"/>
    <x v="7"/>
    <n v="94"/>
    <n v="0.12909999999999999"/>
  </r>
  <r>
    <x v="1"/>
    <x v="8"/>
    <x v="5"/>
    <x v="0"/>
    <x v="8"/>
    <n v="89"/>
    <n v="2.5100000000000001E-2"/>
  </r>
  <r>
    <x v="1"/>
    <x v="8"/>
    <x v="5"/>
    <x v="0"/>
    <x v="9"/>
    <n v="92"/>
    <n v="7.8200000000000006E-2"/>
  </r>
  <r>
    <x v="1"/>
    <x v="8"/>
    <x v="5"/>
    <x v="0"/>
    <x v="10"/>
    <n v="89"/>
    <n v="5.0599999999999999E-2"/>
  </r>
  <r>
    <x v="1"/>
    <x v="8"/>
    <x v="5"/>
    <x v="0"/>
    <x v="11"/>
    <n v="86"/>
    <n v="7.2700000000000001E-2"/>
  </r>
  <r>
    <x v="1"/>
    <x v="8"/>
    <x v="5"/>
    <x v="0"/>
    <x v="12"/>
    <n v="88"/>
    <n v="9.2999999999999999E-2"/>
  </r>
  <r>
    <x v="1"/>
    <x v="8"/>
    <x v="5"/>
    <x v="0"/>
    <x v="13"/>
    <n v="91"/>
    <n v="5.9200000000000003E-2"/>
  </r>
  <r>
    <x v="1"/>
    <x v="10"/>
    <x v="5"/>
    <x v="0"/>
    <x v="0"/>
    <n v="75"/>
    <n v="2.1899999999999999E-2"/>
  </r>
  <r>
    <x v="1"/>
    <x v="10"/>
    <x v="5"/>
    <x v="0"/>
    <x v="1"/>
    <n v="80"/>
    <n v="1.5E-3"/>
  </r>
  <r>
    <x v="1"/>
    <x v="10"/>
    <x v="5"/>
    <x v="0"/>
    <x v="2"/>
    <n v="67"/>
    <n v="4.7999999999999996E-3"/>
  </r>
  <r>
    <x v="1"/>
    <x v="10"/>
    <x v="5"/>
    <x v="0"/>
    <x v="3"/>
    <n v="72"/>
    <n v="3.7000000000000002E-3"/>
  </r>
  <r>
    <x v="1"/>
    <x v="10"/>
    <x v="5"/>
    <x v="0"/>
    <x v="4"/>
    <n v="77"/>
    <n v="1.17E-2"/>
  </r>
  <r>
    <x v="1"/>
    <x v="10"/>
    <x v="5"/>
    <x v="0"/>
    <x v="5"/>
    <n v="86"/>
    <n v="6.3E-3"/>
  </r>
  <r>
    <x v="1"/>
    <x v="10"/>
    <x v="5"/>
    <x v="0"/>
    <x v="6"/>
    <n v="75"/>
    <n v="6.1999999999999998E-3"/>
  </r>
  <r>
    <x v="1"/>
    <x v="10"/>
    <x v="5"/>
    <x v="0"/>
    <x v="7"/>
    <n v="72"/>
    <n v="6.3E-3"/>
  </r>
  <r>
    <x v="1"/>
    <x v="10"/>
    <x v="5"/>
    <x v="0"/>
    <x v="8"/>
    <n v="72"/>
    <n v="1.9E-3"/>
  </r>
  <r>
    <x v="1"/>
    <x v="10"/>
    <x v="5"/>
    <x v="0"/>
    <x v="9"/>
    <n v="73"/>
    <n v="2.8E-3"/>
  </r>
  <r>
    <x v="1"/>
    <x v="10"/>
    <x v="5"/>
    <x v="0"/>
    <x v="10"/>
    <n v="85"/>
    <n v="4.4999999999999997E-3"/>
  </r>
  <r>
    <x v="1"/>
    <x v="10"/>
    <x v="5"/>
    <x v="0"/>
    <x v="11"/>
    <n v="75"/>
    <n v="4.3E-3"/>
  </r>
  <r>
    <x v="1"/>
    <x v="10"/>
    <x v="5"/>
    <x v="0"/>
    <x v="12"/>
    <n v="72"/>
    <n v="4.3E-3"/>
  </r>
  <r>
    <x v="1"/>
    <x v="10"/>
    <x v="5"/>
    <x v="0"/>
    <x v="13"/>
    <n v="75"/>
    <n v="2.8999999999999998E-3"/>
  </r>
  <r>
    <x v="0"/>
    <x v="11"/>
    <x v="5"/>
    <x v="0"/>
    <x v="0"/>
    <n v="102"/>
    <n v="0.1318"/>
  </r>
  <r>
    <x v="0"/>
    <x v="11"/>
    <x v="5"/>
    <x v="0"/>
    <x v="1"/>
    <n v="93"/>
    <n v="5.1000000000000004E-3"/>
  </r>
  <r>
    <x v="0"/>
    <x v="11"/>
    <x v="5"/>
    <x v="0"/>
    <x v="2"/>
    <n v="117"/>
    <n v="2.23E-2"/>
  </r>
  <r>
    <x v="0"/>
    <x v="11"/>
    <x v="5"/>
    <x v="0"/>
    <x v="3"/>
    <n v="111"/>
    <n v="2.75E-2"/>
  </r>
  <r>
    <x v="0"/>
    <x v="11"/>
    <x v="5"/>
    <x v="0"/>
    <x v="4"/>
    <n v="102"/>
    <n v="9.6799999999999997E-2"/>
  </r>
  <r>
    <x v="0"/>
    <x v="11"/>
    <x v="5"/>
    <x v="0"/>
    <x v="5"/>
    <n v="96"/>
    <n v="4.8000000000000001E-2"/>
  </r>
  <r>
    <x v="0"/>
    <x v="11"/>
    <x v="5"/>
    <x v="0"/>
    <x v="6"/>
    <n v="95"/>
    <n v="3.6799999999999999E-2"/>
  </r>
  <r>
    <x v="0"/>
    <x v="11"/>
    <x v="5"/>
    <x v="0"/>
    <x v="7"/>
    <n v="106"/>
    <n v="5.2299999999999999E-2"/>
  </r>
  <r>
    <x v="0"/>
    <x v="11"/>
    <x v="5"/>
    <x v="0"/>
    <x v="8"/>
    <n v="94"/>
    <n v="5.7999999999999996E-3"/>
  </r>
  <r>
    <x v="0"/>
    <x v="11"/>
    <x v="5"/>
    <x v="0"/>
    <x v="9"/>
    <n v="104"/>
    <n v="1.38E-2"/>
  </r>
  <r>
    <x v="0"/>
    <x v="11"/>
    <x v="5"/>
    <x v="0"/>
    <x v="10"/>
    <n v="99"/>
    <n v="5.28E-2"/>
  </r>
  <r>
    <x v="0"/>
    <x v="11"/>
    <x v="5"/>
    <x v="0"/>
    <x v="11"/>
    <n v="102"/>
    <n v="5.4300000000000001E-2"/>
  </r>
  <r>
    <x v="0"/>
    <x v="11"/>
    <x v="5"/>
    <x v="0"/>
    <x v="12"/>
    <n v="102"/>
    <n v="5.3600000000000002E-2"/>
  </r>
  <r>
    <x v="0"/>
    <x v="11"/>
    <x v="5"/>
    <x v="0"/>
    <x v="13"/>
    <n v="94"/>
    <n v="8.6999999999999994E-3"/>
  </r>
  <r>
    <x v="0"/>
    <x v="12"/>
    <x v="5"/>
    <x v="0"/>
    <x v="0"/>
    <n v="62"/>
    <n v="0.1182"/>
  </r>
  <r>
    <x v="0"/>
    <x v="12"/>
    <x v="5"/>
    <x v="0"/>
    <x v="1"/>
    <n v="66"/>
    <n v="1.1599999999999999E-2"/>
  </r>
  <r>
    <x v="0"/>
    <x v="12"/>
    <x v="5"/>
    <x v="0"/>
    <x v="2"/>
    <n v="52"/>
    <n v="3.2399999999999998E-2"/>
  </r>
  <r>
    <x v="0"/>
    <x v="12"/>
    <x v="5"/>
    <x v="0"/>
    <x v="3"/>
    <n v="63"/>
    <n v="2.9899999999999999E-2"/>
  </r>
  <r>
    <x v="0"/>
    <x v="12"/>
    <x v="5"/>
    <x v="0"/>
    <x v="4"/>
    <n v="66"/>
    <n v="7.4700000000000003E-2"/>
  </r>
  <r>
    <x v="0"/>
    <x v="12"/>
    <x v="5"/>
    <x v="0"/>
    <x v="5"/>
    <n v="55"/>
    <n v="1.7399999999999999E-2"/>
  </r>
  <r>
    <x v="0"/>
    <x v="12"/>
    <x v="5"/>
    <x v="0"/>
    <x v="6"/>
    <n v="52"/>
    <n v="1.95E-2"/>
  </r>
  <r>
    <x v="0"/>
    <x v="12"/>
    <x v="5"/>
    <x v="0"/>
    <x v="7"/>
    <n v="65"/>
    <n v="5.3900000000000003E-2"/>
  </r>
  <r>
    <x v="0"/>
    <x v="12"/>
    <x v="5"/>
    <x v="0"/>
    <x v="8"/>
    <n v="53"/>
    <n v="8.8999999999999999E-3"/>
  </r>
  <r>
    <x v="0"/>
    <x v="12"/>
    <x v="5"/>
    <x v="0"/>
    <x v="9"/>
    <n v="61"/>
    <n v="1.9699999999999999E-2"/>
  </r>
  <r>
    <x v="0"/>
    <x v="12"/>
    <x v="5"/>
    <x v="0"/>
    <x v="10"/>
    <n v="58"/>
    <n v="1.9099999999999999E-2"/>
  </r>
  <r>
    <x v="0"/>
    <x v="12"/>
    <x v="5"/>
    <x v="0"/>
    <x v="11"/>
    <n v="65"/>
    <n v="2.8299999999999999E-2"/>
  </r>
  <r>
    <x v="0"/>
    <x v="12"/>
    <x v="5"/>
    <x v="0"/>
    <x v="12"/>
    <n v="68"/>
    <n v="3.44E-2"/>
  </r>
  <r>
    <x v="0"/>
    <x v="12"/>
    <x v="5"/>
    <x v="0"/>
    <x v="13"/>
    <n v="60"/>
    <n v="2.0199999999999999E-2"/>
  </r>
  <r>
    <x v="1"/>
    <x v="13"/>
    <x v="5"/>
    <x v="0"/>
    <x v="0"/>
    <n v="84"/>
    <n v="0.17879999999999999"/>
  </r>
  <r>
    <x v="1"/>
    <x v="13"/>
    <x v="5"/>
    <x v="0"/>
    <x v="1"/>
    <n v="80"/>
    <n v="1.7999999999999999E-2"/>
  </r>
  <r>
    <x v="1"/>
    <x v="13"/>
    <x v="5"/>
    <x v="0"/>
    <x v="2"/>
    <n v="87"/>
    <n v="6.5299999999999997E-2"/>
  </r>
  <r>
    <x v="1"/>
    <x v="13"/>
    <x v="5"/>
    <x v="0"/>
    <x v="3"/>
    <n v="88"/>
    <n v="5.1700000000000003E-2"/>
  </r>
  <r>
    <x v="1"/>
    <x v="13"/>
    <x v="5"/>
    <x v="0"/>
    <x v="4"/>
    <n v="78"/>
    <n v="0.1027"/>
  </r>
  <r>
    <x v="1"/>
    <x v="13"/>
    <x v="5"/>
    <x v="0"/>
    <x v="5"/>
    <n v="89"/>
    <n v="5.0200000000000002E-2"/>
  </r>
  <r>
    <x v="1"/>
    <x v="13"/>
    <x v="5"/>
    <x v="0"/>
    <x v="6"/>
    <n v="81"/>
    <n v="5.28E-2"/>
  </r>
  <r>
    <x v="1"/>
    <x v="13"/>
    <x v="5"/>
    <x v="0"/>
    <x v="7"/>
    <n v="83"/>
    <n v="6.6699999999999995E-2"/>
  </r>
  <r>
    <x v="1"/>
    <x v="13"/>
    <x v="5"/>
    <x v="0"/>
    <x v="8"/>
    <n v="70"/>
    <n v="1.7299999999999999E-2"/>
  </r>
  <r>
    <x v="1"/>
    <x v="13"/>
    <x v="5"/>
    <x v="0"/>
    <x v="9"/>
    <n v="90"/>
    <n v="4.1099999999999998E-2"/>
  </r>
  <r>
    <x v="1"/>
    <x v="13"/>
    <x v="5"/>
    <x v="0"/>
    <x v="10"/>
    <n v="79"/>
    <n v="4.2500000000000003E-2"/>
  </r>
  <r>
    <x v="1"/>
    <x v="13"/>
    <x v="5"/>
    <x v="0"/>
    <x v="11"/>
    <n v="77"/>
    <n v="4.2299999999999997E-2"/>
  </r>
  <r>
    <x v="1"/>
    <x v="13"/>
    <x v="5"/>
    <x v="0"/>
    <x v="12"/>
    <n v="78"/>
    <n v="3.9399999999999998E-2"/>
  </r>
  <r>
    <x v="1"/>
    <x v="13"/>
    <x v="5"/>
    <x v="0"/>
    <x v="13"/>
    <n v="77"/>
    <n v="2.76E-2"/>
  </r>
  <r>
    <x v="0"/>
    <x v="15"/>
    <x v="5"/>
    <x v="0"/>
    <x v="0"/>
    <n v="79"/>
    <n v="0.2407"/>
  </r>
  <r>
    <x v="0"/>
    <x v="15"/>
    <x v="5"/>
    <x v="0"/>
    <x v="1"/>
    <n v="81"/>
    <n v="4.3200000000000002E-2"/>
  </r>
  <r>
    <x v="0"/>
    <x v="15"/>
    <x v="5"/>
    <x v="0"/>
    <x v="2"/>
    <n v="80"/>
    <n v="9.8299999999999998E-2"/>
  </r>
  <r>
    <x v="0"/>
    <x v="15"/>
    <x v="5"/>
    <x v="0"/>
    <x v="3"/>
    <n v="77"/>
    <n v="9.2700000000000005E-2"/>
  </r>
  <r>
    <x v="0"/>
    <x v="15"/>
    <x v="5"/>
    <x v="0"/>
    <x v="4"/>
    <n v="78"/>
    <n v="0.1656"/>
  </r>
  <r>
    <x v="0"/>
    <x v="15"/>
    <x v="5"/>
    <x v="0"/>
    <x v="5"/>
    <n v="79"/>
    <n v="4.3999999999999997E-2"/>
  </r>
  <r>
    <x v="0"/>
    <x v="15"/>
    <x v="5"/>
    <x v="0"/>
    <x v="6"/>
    <n v="82"/>
    <n v="5.11E-2"/>
  </r>
  <r>
    <x v="0"/>
    <x v="15"/>
    <x v="5"/>
    <x v="0"/>
    <x v="7"/>
    <n v="79"/>
    <n v="0.114"/>
  </r>
  <r>
    <x v="0"/>
    <x v="15"/>
    <x v="5"/>
    <x v="0"/>
    <x v="8"/>
    <n v="79"/>
    <n v="2.9499999999999998E-2"/>
  </r>
  <r>
    <x v="0"/>
    <x v="15"/>
    <x v="5"/>
    <x v="0"/>
    <x v="9"/>
    <n v="77"/>
    <n v="7.0800000000000002E-2"/>
  </r>
  <r>
    <x v="0"/>
    <x v="15"/>
    <x v="5"/>
    <x v="0"/>
    <x v="10"/>
    <n v="75"/>
    <n v="5.8799999999999998E-2"/>
  </r>
  <r>
    <x v="0"/>
    <x v="15"/>
    <x v="5"/>
    <x v="0"/>
    <x v="11"/>
    <n v="77"/>
    <n v="8.2000000000000003E-2"/>
  </r>
  <r>
    <x v="0"/>
    <x v="15"/>
    <x v="5"/>
    <x v="0"/>
    <x v="12"/>
    <n v="78"/>
    <n v="9.7699999999999995E-2"/>
  </r>
  <r>
    <x v="0"/>
    <x v="15"/>
    <x v="5"/>
    <x v="0"/>
    <x v="13"/>
    <n v="81"/>
    <n v="6.1199999999999997E-2"/>
  </r>
  <r>
    <x v="0"/>
    <x v="16"/>
    <x v="5"/>
    <x v="0"/>
    <x v="0"/>
    <n v="73"/>
    <n v="3.8699999999999998E-2"/>
  </r>
  <r>
    <x v="0"/>
    <x v="16"/>
    <x v="5"/>
    <x v="0"/>
    <x v="1"/>
    <n v="69"/>
    <n v="4.7999999999999996E-3"/>
  </r>
  <r>
    <x v="0"/>
    <x v="16"/>
    <x v="5"/>
    <x v="0"/>
    <x v="2"/>
    <n v="71"/>
    <n v="1.04E-2"/>
  </r>
  <r>
    <x v="0"/>
    <x v="16"/>
    <x v="5"/>
    <x v="0"/>
    <x v="3"/>
    <n v="75"/>
    <n v="8.8999999999999999E-3"/>
  </r>
  <r>
    <x v="0"/>
    <x v="16"/>
    <x v="5"/>
    <x v="0"/>
    <x v="4"/>
    <n v="70"/>
    <n v="2.1100000000000001E-2"/>
  </r>
  <r>
    <x v="0"/>
    <x v="16"/>
    <x v="5"/>
    <x v="0"/>
    <x v="5"/>
    <n v="72"/>
    <n v="5.3E-3"/>
  </r>
  <r>
    <x v="0"/>
    <x v="16"/>
    <x v="5"/>
    <x v="0"/>
    <x v="6"/>
    <n v="74"/>
    <n v="6.7000000000000002E-3"/>
  </r>
  <r>
    <x v="0"/>
    <x v="16"/>
    <x v="5"/>
    <x v="0"/>
    <x v="7"/>
    <n v="90"/>
    <n v="1.5299999999999999E-2"/>
  </r>
  <r>
    <x v="0"/>
    <x v="16"/>
    <x v="5"/>
    <x v="0"/>
    <x v="8"/>
    <n v="62"/>
    <n v="3.2000000000000002E-3"/>
  </r>
  <r>
    <x v="0"/>
    <x v="16"/>
    <x v="5"/>
    <x v="0"/>
    <x v="9"/>
    <n v="81"/>
    <n v="6.0000000000000001E-3"/>
  </r>
  <r>
    <x v="0"/>
    <x v="16"/>
    <x v="5"/>
    <x v="0"/>
    <x v="10"/>
    <n v="65"/>
    <n v="5.5999999999999999E-3"/>
  </r>
  <r>
    <x v="0"/>
    <x v="16"/>
    <x v="5"/>
    <x v="0"/>
    <x v="11"/>
    <n v="78"/>
    <n v="8.0999999999999996E-3"/>
  </r>
  <r>
    <x v="0"/>
    <x v="16"/>
    <x v="5"/>
    <x v="0"/>
    <x v="12"/>
    <n v="79"/>
    <n v="9.2999999999999992E-3"/>
  </r>
  <r>
    <x v="0"/>
    <x v="16"/>
    <x v="5"/>
    <x v="0"/>
    <x v="13"/>
    <n v="73"/>
    <n v="7.9000000000000008E-3"/>
  </r>
  <r>
    <x v="1"/>
    <x v="17"/>
    <x v="5"/>
    <x v="1"/>
    <x v="0"/>
    <n v="105"/>
    <n v="0.8256"/>
  </r>
  <r>
    <x v="1"/>
    <x v="17"/>
    <x v="5"/>
    <x v="1"/>
    <x v="1"/>
    <n v="99"/>
    <n v="0.26400000000000001"/>
  </r>
  <r>
    <x v="1"/>
    <x v="17"/>
    <x v="5"/>
    <x v="1"/>
    <x v="2"/>
    <n v="107"/>
    <n v="0.4829"/>
  </r>
  <r>
    <x v="1"/>
    <x v="17"/>
    <x v="5"/>
    <x v="1"/>
    <x v="3"/>
    <n v="106"/>
    <n v="0.51119999999999999"/>
  </r>
  <r>
    <x v="1"/>
    <x v="17"/>
    <x v="5"/>
    <x v="1"/>
    <x v="4"/>
    <n v="107"/>
    <n v="0.71309999999999996"/>
  </r>
  <r>
    <x v="1"/>
    <x v="17"/>
    <x v="5"/>
    <x v="1"/>
    <x v="5"/>
    <n v="105"/>
    <n v="0.2261"/>
  </r>
  <r>
    <x v="1"/>
    <x v="17"/>
    <x v="5"/>
    <x v="1"/>
    <x v="6"/>
    <n v="96"/>
    <n v="0.24629999999999999"/>
  </r>
  <r>
    <x v="1"/>
    <x v="17"/>
    <x v="5"/>
    <x v="1"/>
    <x v="7"/>
    <n v="103"/>
    <n v="0.66459999999999997"/>
  </r>
  <r>
    <x v="1"/>
    <x v="17"/>
    <x v="5"/>
    <x v="1"/>
    <x v="8"/>
    <n v="93"/>
    <n v="0.1666"/>
  </r>
  <r>
    <x v="1"/>
    <x v="17"/>
    <x v="5"/>
    <x v="1"/>
    <x v="9"/>
    <n v="106"/>
    <n v="0.4007"/>
  </r>
  <r>
    <x v="1"/>
    <x v="17"/>
    <x v="5"/>
    <x v="1"/>
    <x v="10"/>
    <n v="109"/>
    <n v="0.33300000000000002"/>
  </r>
  <r>
    <x v="1"/>
    <x v="17"/>
    <x v="5"/>
    <x v="1"/>
    <x v="11"/>
    <n v="109"/>
    <n v="0.42870000000000003"/>
  </r>
  <r>
    <x v="1"/>
    <x v="17"/>
    <x v="5"/>
    <x v="1"/>
    <x v="12"/>
    <n v="110"/>
    <n v="0.50900000000000001"/>
  </r>
  <r>
    <x v="1"/>
    <x v="17"/>
    <x v="5"/>
    <x v="1"/>
    <x v="13"/>
    <n v="99"/>
    <n v="0.36209999999999998"/>
  </r>
  <r>
    <x v="1"/>
    <x v="18"/>
    <x v="5"/>
    <x v="0"/>
    <x v="0"/>
    <n v="96"/>
    <n v="9.0800000000000006E-2"/>
  </r>
  <r>
    <x v="1"/>
    <x v="18"/>
    <x v="5"/>
    <x v="0"/>
    <x v="1"/>
    <n v="60"/>
    <n v="4.7999999999999996E-3"/>
  </r>
  <r>
    <x v="1"/>
    <x v="18"/>
    <x v="5"/>
    <x v="0"/>
    <x v="2"/>
    <n v="80"/>
    <n v="1.9800000000000002E-2"/>
  </r>
  <r>
    <x v="1"/>
    <x v="18"/>
    <x v="5"/>
    <x v="0"/>
    <x v="3"/>
    <n v="89"/>
    <n v="1.9900000000000001E-2"/>
  </r>
  <r>
    <x v="1"/>
    <x v="18"/>
    <x v="5"/>
    <x v="0"/>
    <x v="4"/>
    <n v="97"/>
    <n v="5.6899999999999999E-2"/>
  </r>
  <r>
    <x v="1"/>
    <x v="18"/>
    <x v="5"/>
    <x v="0"/>
    <x v="5"/>
    <n v="106"/>
    <n v="3.3000000000000002E-2"/>
  </r>
  <r>
    <x v="1"/>
    <x v="18"/>
    <x v="5"/>
    <x v="0"/>
    <x v="6"/>
    <n v="105"/>
    <n v="2.9399999999999999E-2"/>
  </r>
  <r>
    <x v="1"/>
    <x v="18"/>
    <x v="5"/>
    <x v="0"/>
    <x v="7"/>
    <n v="92"/>
    <n v="3.0499999999999999E-2"/>
  </r>
  <r>
    <x v="1"/>
    <x v="18"/>
    <x v="5"/>
    <x v="0"/>
    <x v="8"/>
    <n v="95"/>
    <n v="6.7999999999999996E-3"/>
  </r>
  <r>
    <x v="1"/>
    <x v="18"/>
    <x v="5"/>
    <x v="0"/>
    <x v="9"/>
    <n v="91"/>
    <n v="1.43E-2"/>
  </r>
  <r>
    <x v="1"/>
    <x v="18"/>
    <x v="5"/>
    <x v="0"/>
    <x v="10"/>
    <n v="108"/>
    <n v="3.1399999999999997E-2"/>
  </r>
  <r>
    <x v="1"/>
    <x v="18"/>
    <x v="5"/>
    <x v="0"/>
    <x v="11"/>
    <n v="101"/>
    <n v="2.69E-2"/>
  </r>
  <r>
    <x v="1"/>
    <x v="18"/>
    <x v="5"/>
    <x v="0"/>
    <x v="12"/>
    <n v="91"/>
    <n v="2.3300000000000001E-2"/>
  </r>
  <r>
    <x v="1"/>
    <x v="18"/>
    <x v="5"/>
    <x v="0"/>
    <x v="13"/>
    <n v="78"/>
    <n v="9.4000000000000004E-3"/>
  </r>
  <r>
    <x v="0"/>
    <x v="19"/>
    <x v="5"/>
    <x v="0"/>
    <x v="0"/>
    <n v="94"/>
    <n v="0.36020000000000002"/>
  </r>
  <r>
    <x v="0"/>
    <x v="19"/>
    <x v="5"/>
    <x v="0"/>
    <x v="1"/>
    <n v="87"/>
    <n v="3.1E-2"/>
  </r>
  <r>
    <x v="0"/>
    <x v="19"/>
    <x v="5"/>
    <x v="0"/>
    <x v="2"/>
    <n v="90"/>
    <n v="0.1118"/>
  </r>
  <r>
    <x v="0"/>
    <x v="19"/>
    <x v="5"/>
    <x v="0"/>
    <x v="3"/>
    <n v="96"/>
    <n v="0.13969999999999999"/>
  </r>
  <r>
    <x v="0"/>
    <x v="19"/>
    <x v="5"/>
    <x v="0"/>
    <x v="4"/>
    <n v="95"/>
    <n v="0.25800000000000001"/>
  </r>
  <r>
    <x v="0"/>
    <x v="19"/>
    <x v="5"/>
    <x v="0"/>
    <x v="5"/>
    <n v="94"/>
    <n v="0.1021"/>
  </r>
  <r>
    <x v="0"/>
    <x v="19"/>
    <x v="5"/>
    <x v="0"/>
    <x v="6"/>
    <n v="93"/>
    <n v="0.1016"/>
  </r>
  <r>
    <x v="0"/>
    <x v="19"/>
    <x v="5"/>
    <x v="0"/>
    <x v="7"/>
    <n v="100"/>
    <n v="0.17630000000000001"/>
  </r>
  <r>
    <x v="0"/>
    <x v="19"/>
    <x v="5"/>
    <x v="0"/>
    <x v="8"/>
    <n v="97"/>
    <n v="2.8400000000000002E-2"/>
  </r>
  <r>
    <x v="0"/>
    <x v="19"/>
    <x v="5"/>
    <x v="0"/>
    <x v="9"/>
    <n v="94"/>
    <n v="0.10050000000000001"/>
  </r>
  <r>
    <x v="0"/>
    <x v="19"/>
    <x v="5"/>
    <x v="0"/>
    <x v="10"/>
    <n v="93"/>
    <n v="0.10290000000000001"/>
  </r>
  <r>
    <x v="0"/>
    <x v="19"/>
    <x v="5"/>
    <x v="0"/>
    <x v="11"/>
    <n v="93"/>
    <n v="0.121"/>
  </r>
  <r>
    <x v="0"/>
    <x v="19"/>
    <x v="5"/>
    <x v="0"/>
    <x v="12"/>
    <n v="94"/>
    <n v="0.1239"/>
  </r>
  <r>
    <x v="0"/>
    <x v="19"/>
    <x v="5"/>
    <x v="0"/>
    <x v="13"/>
    <n v="90"/>
    <n v="5.0700000000000002E-2"/>
  </r>
  <r>
    <x v="0"/>
    <x v="20"/>
    <x v="5"/>
    <x v="0"/>
    <x v="0"/>
    <n v="92"/>
    <n v="0.43940000000000001"/>
  </r>
  <r>
    <x v="0"/>
    <x v="20"/>
    <x v="5"/>
    <x v="0"/>
    <x v="1"/>
    <n v="85"/>
    <n v="8.4400000000000003E-2"/>
  </r>
  <r>
    <x v="0"/>
    <x v="20"/>
    <x v="5"/>
    <x v="0"/>
    <x v="2"/>
    <n v="93"/>
    <n v="0.246"/>
  </r>
  <r>
    <x v="0"/>
    <x v="20"/>
    <x v="5"/>
    <x v="0"/>
    <x v="3"/>
    <n v="96"/>
    <n v="0.21149999999999999"/>
  </r>
  <r>
    <x v="0"/>
    <x v="20"/>
    <x v="5"/>
    <x v="0"/>
    <x v="4"/>
    <n v="91"/>
    <n v="0.32829999999999998"/>
  </r>
  <r>
    <x v="0"/>
    <x v="20"/>
    <x v="5"/>
    <x v="0"/>
    <x v="5"/>
    <n v="90"/>
    <n v="0.22819999999999999"/>
  </r>
  <r>
    <x v="0"/>
    <x v="20"/>
    <x v="5"/>
    <x v="0"/>
    <x v="6"/>
    <n v="90"/>
    <n v="0.218"/>
  </r>
  <r>
    <x v="0"/>
    <x v="20"/>
    <x v="5"/>
    <x v="0"/>
    <x v="7"/>
    <n v="92"/>
    <n v="0.29360000000000003"/>
  </r>
  <r>
    <x v="0"/>
    <x v="20"/>
    <x v="5"/>
    <x v="0"/>
    <x v="8"/>
    <n v="87"/>
    <n v="7.8299999999999995E-2"/>
  </r>
  <r>
    <x v="0"/>
    <x v="20"/>
    <x v="5"/>
    <x v="0"/>
    <x v="9"/>
    <n v="97"/>
    <n v="0.18820000000000001"/>
  </r>
  <r>
    <x v="0"/>
    <x v="20"/>
    <x v="5"/>
    <x v="0"/>
    <x v="10"/>
    <n v="88"/>
    <n v="0.21959999999999999"/>
  </r>
  <r>
    <x v="0"/>
    <x v="20"/>
    <x v="5"/>
    <x v="0"/>
    <x v="11"/>
    <n v="89"/>
    <n v="0.21429999999999999"/>
  </r>
  <r>
    <x v="0"/>
    <x v="20"/>
    <x v="5"/>
    <x v="0"/>
    <x v="12"/>
    <n v="92"/>
    <n v="0.20799999999999999"/>
  </r>
  <r>
    <x v="0"/>
    <x v="20"/>
    <x v="5"/>
    <x v="0"/>
    <x v="13"/>
    <n v="87"/>
    <n v="0.12"/>
  </r>
  <r>
    <x v="0"/>
    <x v="23"/>
    <x v="5"/>
    <x v="0"/>
    <x v="0"/>
    <n v="81"/>
    <n v="0.2056"/>
  </r>
  <r>
    <x v="0"/>
    <x v="23"/>
    <x v="5"/>
    <x v="0"/>
    <x v="1"/>
    <n v="80"/>
    <n v="2.7E-2"/>
  </r>
  <r>
    <x v="0"/>
    <x v="23"/>
    <x v="5"/>
    <x v="0"/>
    <x v="2"/>
    <n v="85"/>
    <n v="7.5700000000000003E-2"/>
  </r>
  <r>
    <x v="0"/>
    <x v="23"/>
    <x v="5"/>
    <x v="0"/>
    <x v="3"/>
    <n v="83"/>
    <n v="7.3800000000000004E-2"/>
  </r>
  <r>
    <x v="0"/>
    <x v="23"/>
    <x v="5"/>
    <x v="0"/>
    <x v="4"/>
    <n v="80"/>
    <n v="0.13869999999999999"/>
  </r>
  <r>
    <x v="0"/>
    <x v="23"/>
    <x v="5"/>
    <x v="0"/>
    <x v="5"/>
    <n v="82"/>
    <n v="3.8399999999999997E-2"/>
  </r>
  <r>
    <x v="0"/>
    <x v="23"/>
    <x v="5"/>
    <x v="0"/>
    <x v="6"/>
    <n v="78"/>
    <n v="3.8699999999999998E-2"/>
  </r>
  <r>
    <x v="0"/>
    <x v="23"/>
    <x v="5"/>
    <x v="0"/>
    <x v="7"/>
    <n v="79"/>
    <n v="9.0999999999999998E-2"/>
  </r>
  <r>
    <x v="0"/>
    <x v="23"/>
    <x v="5"/>
    <x v="0"/>
    <x v="8"/>
    <n v="77"/>
    <n v="1.9400000000000001E-2"/>
  </r>
  <r>
    <x v="0"/>
    <x v="23"/>
    <x v="5"/>
    <x v="0"/>
    <x v="9"/>
    <n v="84"/>
    <n v="5.6899999999999999E-2"/>
  </r>
  <r>
    <x v="0"/>
    <x v="23"/>
    <x v="5"/>
    <x v="0"/>
    <x v="10"/>
    <n v="85"/>
    <n v="4.8500000000000001E-2"/>
  </r>
  <r>
    <x v="0"/>
    <x v="23"/>
    <x v="5"/>
    <x v="0"/>
    <x v="11"/>
    <n v="76"/>
    <n v="5.8999999999999997E-2"/>
  </r>
  <r>
    <x v="0"/>
    <x v="23"/>
    <x v="5"/>
    <x v="0"/>
    <x v="12"/>
    <n v="78"/>
    <n v="6.83E-2"/>
  </r>
  <r>
    <x v="0"/>
    <x v="23"/>
    <x v="5"/>
    <x v="0"/>
    <x v="13"/>
    <n v="78"/>
    <n v="4.1099999999999998E-2"/>
  </r>
  <r>
    <x v="1"/>
    <x v="24"/>
    <x v="5"/>
    <x v="0"/>
    <x v="0"/>
    <n v="100"/>
    <n v="0.1017"/>
  </r>
  <r>
    <x v="1"/>
    <x v="24"/>
    <x v="5"/>
    <x v="0"/>
    <x v="1"/>
    <n v="75"/>
    <n v="8.6999999999999994E-3"/>
  </r>
  <r>
    <x v="1"/>
    <x v="24"/>
    <x v="5"/>
    <x v="0"/>
    <x v="2"/>
    <n v="102"/>
    <n v="3.1600000000000003E-2"/>
  </r>
  <r>
    <x v="1"/>
    <x v="24"/>
    <x v="5"/>
    <x v="0"/>
    <x v="3"/>
    <n v="103"/>
    <n v="2.8799999999999999E-2"/>
  </r>
  <r>
    <x v="1"/>
    <x v="24"/>
    <x v="5"/>
    <x v="0"/>
    <x v="4"/>
    <n v="101"/>
    <n v="6.59E-2"/>
  </r>
  <r>
    <x v="1"/>
    <x v="24"/>
    <x v="5"/>
    <x v="0"/>
    <x v="5"/>
    <n v="92"/>
    <n v="3.8899999999999997E-2"/>
  </r>
  <r>
    <x v="1"/>
    <x v="24"/>
    <x v="5"/>
    <x v="0"/>
    <x v="6"/>
    <n v="93"/>
    <n v="3.56E-2"/>
  </r>
  <r>
    <x v="1"/>
    <x v="24"/>
    <x v="5"/>
    <x v="0"/>
    <x v="7"/>
    <n v="103"/>
    <n v="4.2099999999999999E-2"/>
  </r>
  <r>
    <x v="1"/>
    <x v="24"/>
    <x v="5"/>
    <x v="0"/>
    <x v="8"/>
    <n v="82"/>
    <n v="9.4999999999999998E-3"/>
  </r>
  <r>
    <x v="1"/>
    <x v="24"/>
    <x v="5"/>
    <x v="0"/>
    <x v="9"/>
    <n v="105"/>
    <n v="2.3400000000000001E-2"/>
  </r>
  <r>
    <x v="1"/>
    <x v="24"/>
    <x v="5"/>
    <x v="0"/>
    <x v="10"/>
    <n v="102"/>
    <n v="3.56E-2"/>
  </r>
  <r>
    <x v="1"/>
    <x v="24"/>
    <x v="5"/>
    <x v="0"/>
    <x v="11"/>
    <n v="102"/>
    <n v="3.44E-2"/>
  </r>
  <r>
    <x v="1"/>
    <x v="24"/>
    <x v="5"/>
    <x v="0"/>
    <x v="12"/>
    <n v="103"/>
    <n v="3.1E-2"/>
  </r>
  <r>
    <x v="1"/>
    <x v="24"/>
    <x v="5"/>
    <x v="0"/>
    <x v="13"/>
    <n v="85"/>
    <n v="1.44E-2"/>
  </r>
  <r>
    <x v="0"/>
    <x v="25"/>
    <x v="5"/>
    <x v="0"/>
    <x v="0"/>
    <n v="101"/>
    <n v="5.2999999999999999E-2"/>
  </r>
  <r>
    <x v="0"/>
    <x v="25"/>
    <x v="5"/>
    <x v="0"/>
    <x v="1"/>
    <n v="86"/>
    <n v="3.7000000000000002E-3"/>
  </r>
  <r>
    <x v="0"/>
    <x v="25"/>
    <x v="5"/>
    <x v="0"/>
    <x v="2"/>
    <n v="104"/>
    <n v="1.47E-2"/>
  </r>
  <r>
    <x v="0"/>
    <x v="25"/>
    <x v="5"/>
    <x v="0"/>
    <x v="3"/>
    <n v="101"/>
    <n v="1.0999999999999999E-2"/>
  </r>
  <r>
    <x v="0"/>
    <x v="25"/>
    <x v="5"/>
    <x v="0"/>
    <x v="4"/>
    <n v="103"/>
    <n v="2.9700000000000001E-2"/>
  </r>
  <r>
    <x v="0"/>
    <x v="25"/>
    <x v="5"/>
    <x v="0"/>
    <x v="5"/>
    <n v="96"/>
    <n v="6.6E-3"/>
  </r>
  <r>
    <x v="0"/>
    <x v="25"/>
    <x v="5"/>
    <x v="0"/>
    <x v="6"/>
    <n v="99"/>
    <n v="7.1000000000000004E-3"/>
  </r>
  <r>
    <x v="0"/>
    <x v="25"/>
    <x v="5"/>
    <x v="0"/>
    <x v="7"/>
    <n v="103"/>
    <n v="2.8000000000000001E-2"/>
  </r>
  <r>
    <x v="0"/>
    <x v="25"/>
    <x v="5"/>
    <x v="0"/>
    <x v="8"/>
    <n v="88"/>
    <n v="2.8E-3"/>
  </r>
  <r>
    <x v="0"/>
    <x v="25"/>
    <x v="5"/>
    <x v="0"/>
    <x v="9"/>
    <n v="90"/>
    <n v="7.4999999999999997E-3"/>
  </r>
  <r>
    <x v="0"/>
    <x v="25"/>
    <x v="5"/>
    <x v="0"/>
    <x v="10"/>
    <n v="92"/>
    <n v="7.0000000000000001E-3"/>
  </r>
  <r>
    <x v="0"/>
    <x v="25"/>
    <x v="5"/>
    <x v="0"/>
    <x v="11"/>
    <n v="96"/>
    <n v="1.18E-2"/>
  </r>
  <r>
    <x v="0"/>
    <x v="25"/>
    <x v="5"/>
    <x v="0"/>
    <x v="12"/>
    <n v="108"/>
    <n v="1.4E-2"/>
  </r>
  <r>
    <x v="0"/>
    <x v="25"/>
    <x v="5"/>
    <x v="0"/>
    <x v="13"/>
    <n v="84"/>
    <n v="8.3000000000000001E-3"/>
  </r>
  <r>
    <x v="1"/>
    <x v="26"/>
    <x v="5"/>
    <x v="0"/>
    <x v="0"/>
    <n v="169"/>
    <n v="1.1999999999999999E-3"/>
  </r>
  <r>
    <x v="1"/>
    <x v="27"/>
    <x v="5"/>
    <x v="1"/>
    <x v="0"/>
    <n v="102"/>
    <n v="0.40860000000000002"/>
  </r>
  <r>
    <x v="1"/>
    <x v="27"/>
    <x v="5"/>
    <x v="1"/>
    <x v="1"/>
    <n v="105"/>
    <n v="5.62E-2"/>
  </r>
  <r>
    <x v="1"/>
    <x v="27"/>
    <x v="5"/>
    <x v="1"/>
    <x v="2"/>
    <n v="104"/>
    <n v="0.14249999999999999"/>
  </r>
  <r>
    <x v="1"/>
    <x v="27"/>
    <x v="5"/>
    <x v="1"/>
    <x v="3"/>
    <n v="95"/>
    <n v="0.1381"/>
  </r>
  <r>
    <x v="1"/>
    <x v="27"/>
    <x v="5"/>
    <x v="1"/>
    <x v="4"/>
    <n v="104"/>
    <n v="0.29870000000000002"/>
  </r>
  <r>
    <x v="1"/>
    <x v="27"/>
    <x v="5"/>
    <x v="1"/>
    <x v="5"/>
    <n v="100"/>
    <n v="6.0900000000000003E-2"/>
  </r>
  <r>
    <x v="1"/>
    <x v="27"/>
    <x v="5"/>
    <x v="1"/>
    <x v="6"/>
    <n v="96"/>
    <n v="6.8599999999999994E-2"/>
  </r>
  <r>
    <x v="1"/>
    <x v="27"/>
    <x v="5"/>
    <x v="1"/>
    <x v="7"/>
    <n v="95"/>
    <n v="0.2054"/>
  </r>
  <r>
    <x v="1"/>
    <x v="27"/>
    <x v="5"/>
    <x v="1"/>
    <x v="8"/>
    <n v="100"/>
    <n v="2.93E-2"/>
  </r>
  <r>
    <x v="1"/>
    <x v="27"/>
    <x v="5"/>
    <x v="1"/>
    <x v="9"/>
    <n v="95"/>
    <n v="9.6100000000000005E-2"/>
  </r>
  <r>
    <x v="1"/>
    <x v="27"/>
    <x v="5"/>
    <x v="1"/>
    <x v="10"/>
    <n v="105"/>
    <n v="8.2500000000000004E-2"/>
  </r>
  <r>
    <x v="1"/>
    <x v="27"/>
    <x v="5"/>
    <x v="1"/>
    <x v="11"/>
    <n v="102"/>
    <n v="0.1239"/>
  </r>
  <r>
    <x v="1"/>
    <x v="27"/>
    <x v="5"/>
    <x v="1"/>
    <x v="12"/>
    <n v="104"/>
    <n v="0.1623"/>
  </r>
  <r>
    <x v="1"/>
    <x v="27"/>
    <x v="5"/>
    <x v="1"/>
    <x v="13"/>
    <n v="105"/>
    <n v="9.2700000000000005E-2"/>
  </r>
  <r>
    <x v="1"/>
    <x v="29"/>
    <x v="5"/>
    <x v="0"/>
    <x v="0"/>
    <n v="100"/>
    <n v="0.13089999999999999"/>
  </r>
  <r>
    <x v="1"/>
    <x v="29"/>
    <x v="5"/>
    <x v="0"/>
    <x v="1"/>
    <n v="101"/>
    <n v="1.15E-2"/>
  </r>
  <r>
    <x v="1"/>
    <x v="29"/>
    <x v="5"/>
    <x v="0"/>
    <x v="2"/>
    <n v="102"/>
    <n v="3.9300000000000002E-2"/>
  </r>
  <r>
    <x v="1"/>
    <x v="29"/>
    <x v="5"/>
    <x v="0"/>
    <x v="3"/>
    <n v="107"/>
    <n v="3.5499999999999997E-2"/>
  </r>
  <r>
    <x v="1"/>
    <x v="29"/>
    <x v="5"/>
    <x v="0"/>
    <x v="4"/>
    <n v="99"/>
    <n v="8.4099999999999994E-2"/>
  </r>
  <r>
    <x v="1"/>
    <x v="29"/>
    <x v="5"/>
    <x v="0"/>
    <x v="5"/>
    <n v="98"/>
    <n v="0.05"/>
  </r>
  <r>
    <x v="1"/>
    <x v="29"/>
    <x v="5"/>
    <x v="0"/>
    <x v="6"/>
    <n v="95"/>
    <n v="4.65E-2"/>
  </r>
  <r>
    <x v="1"/>
    <x v="29"/>
    <x v="5"/>
    <x v="0"/>
    <x v="7"/>
    <n v="94"/>
    <n v="5.6000000000000001E-2"/>
  </r>
  <r>
    <x v="1"/>
    <x v="29"/>
    <x v="5"/>
    <x v="0"/>
    <x v="8"/>
    <n v="96"/>
    <n v="1.3100000000000001E-2"/>
  </r>
  <r>
    <x v="1"/>
    <x v="29"/>
    <x v="5"/>
    <x v="0"/>
    <x v="9"/>
    <n v="107"/>
    <n v="2.87E-2"/>
  </r>
  <r>
    <x v="1"/>
    <x v="29"/>
    <x v="5"/>
    <x v="0"/>
    <x v="10"/>
    <n v="101"/>
    <n v="4.4200000000000003E-2"/>
  </r>
  <r>
    <x v="1"/>
    <x v="29"/>
    <x v="5"/>
    <x v="0"/>
    <x v="11"/>
    <n v="100"/>
    <n v="4.24E-2"/>
  </r>
  <r>
    <x v="1"/>
    <x v="29"/>
    <x v="5"/>
    <x v="0"/>
    <x v="12"/>
    <n v="96"/>
    <n v="3.9100000000000003E-2"/>
  </r>
  <r>
    <x v="1"/>
    <x v="29"/>
    <x v="5"/>
    <x v="0"/>
    <x v="13"/>
    <n v="97"/>
    <n v="1.9400000000000001E-2"/>
  </r>
  <r>
    <x v="1"/>
    <x v="30"/>
    <x v="5"/>
    <x v="0"/>
    <x v="0"/>
    <n v="107"/>
    <n v="0.1057"/>
  </r>
  <r>
    <x v="1"/>
    <x v="30"/>
    <x v="5"/>
    <x v="0"/>
    <x v="1"/>
    <n v="97"/>
    <n v="5.1000000000000004E-3"/>
  </r>
  <r>
    <x v="1"/>
    <x v="30"/>
    <x v="5"/>
    <x v="0"/>
    <x v="2"/>
    <n v="111"/>
    <n v="1.8800000000000001E-2"/>
  </r>
  <r>
    <x v="1"/>
    <x v="30"/>
    <x v="5"/>
    <x v="0"/>
    <x v="3"/>
    <n v="112"/>
    <n v="1.9800000000000002E-2"/>
  </r>
  <r>
    <x v="1"/>
    <x v="30"/>
    <x v="5"/>
    <x v="0"/>
    <x v="4"/>
    <n v="104"/>
    <n v="6.8400000000000002E-2"/>
  </r>
  <r>
    <x v="1"/>
    <x v="30"/>
    <x v="5"/>
    <x v="0"/>
    <x v="5"/>
    <n v="106"/>
    <n v="3.5499999999999997E-2"/>
  </r>
  <r>
    <x v="1"/>
    <x v="30"/>
    <x v="5"/>
    <x v="0"/>
    <x v="6"/>
    <n v="114"/>
    <n v="3.2500000000000001E-2"/>
  </r>
  <r>
    <x v="1"/>
    <x v="30"/>
    <x v="5"/>
    <x v="0"/>
    <x v="7"/>
    <n v="104"/>
    <n v="3.5700000000000003E-2"/>
  </r>
  <r>
    <x v="1"/>
    <x v="30"/>
    <x v="5"/>
    <x v="0"/>
    <x v="8"/>
    <n v="105"/>
    <n v="7.6E-3"/>
  </r>
  <r>
    <x v="1"/>
    <x v="30"/>
    <x v="5"/>
    <x v="0"/>
    <x v="9"/>
    <n v="110"/>
    <n v="1.3599999999999999E-2"/>
  </r>
  <r>
    <x v="1"/>
    <x v="30"/>
    <x v="5"/>
    <x v="0"/>
    <x v="10"/>
    <n v="104"/>
    <n v="3.32E-2"/>
  </r>
  <r>
    <x v="1"/>
    <x v="30"/>
    <x v="5"/>
    <x v="0"/>
    <x v="11"/>
    <n v="107"/>
    <n v="3.1800000000000002E-2"/>
  </r>
  <r>
    <x v="1"/>
    <x v="30"/>
    <x v="5"/>
    <x v="0"/>
    <x v="12"/>
    <n v="106"/>
    <n v="2.7799999999999998E-2"/>
  </r>
  <r>
    <x v="1"/>
    <x v="30"/>
    <x v="5"/>
    <x v="0"/>
    <x v="13"/>
    <n v="96"/>
    <n v="1.11E-2"/>
  </r>
  <r>
    <x v="0"/>
    <x v="31"/>
    <x v="5"/>
    <x v="0"/>
    <x v="0"/>
    <n v="99"/>
    <n v="0.37609999999999999"/>
  </r>
  <r>
    <x v="0"/>
    <x v="31"/>
    <x v="5"/>
    <x v="0"/>
    <x v="1"/>
    <n v="96"/>
    <n v="6.9599999999999995E-2"/>
  </r>
  <r>
    <x v="0"/>
    <x v="31"/>
    <x v="5"/>
    <x v="0"/>
    <x v="2"/>
    <n v="102"/>
    <n v="0.16880000000000001"/>
  </r>
  <r>
    <x v="0"/>
    <x v="31"/>
    <x v="5"/>
    <x v="0"/>
    <x v="3"/>
    <n v="99"/>
    <n v="0.16450000000000001"/>
  </r>
  <r>
    <x v="0"/>
    <x v="31"/>
    <x v="5"/>
    <x v="0"/>
    <x v="4"/>
    <n v="100"/>
    <n v="0.26979999999999998"/>
  </r>
  <r>
    <x v="0"/>
    <x v="31"/>
    <x v="5"/>
    <x v="0"/>
    <x v="5"/>
    <n v="93"/>
    <n v="7.5600000000000001E-2"/>
  </r>
  <r>
    <x v="0"/>
    <x v="31"/>
    <x v="5"/>
    <x v="0"/>
    <x v="6"/>
    <n v="94"/>
    <n v="8.72E-2"/>
  </r>
  <r>
    <x v="0"/>
    <x v="31"/>
    <x v="5"/>
    <x v="0"/>
    <x v="7"/>
    <n v="100"/>
    <n v="0.2306"/>
  </r>
  <r>
    <x v="0"/>
    <x v="31"/>
    <x v="5"/>
    <x v="0"/>
    <x v="8"/>
    <n v="98"/>
    <n v="4.6399999999999997E-2"/>
  </r>
  <r>
    <x v="0"/>
    <x v="31"/>
    <x v="5"/>
    <x v="0"/>
    <x v="9"/>
    <n v="99"/>
    <n v="0.12839999999999999"/>
  </r>
  <r>
    <x v="0"/>
    <x v="31"/>
    <x v="5"/>
    <x v="0"/>
    <x v="10"/>
    <n v="94"/>
    <n v="0.10100000000000001"/>
  </r>
  <r>
    <x v="0"/>
    <x v="31"/>
    <x v="5"/>
    <x v="0"/>
    <x v="11"/>
    <n v="98"/>
    <n v="0.1464"/>
  </r>
  <r>
    <x v="0"/>
    <x v="31"/>
    <x v="5"/>
    <x v="0"/>
    <x v="12"/>
    <n v="101"/>
    <n v="0.17480000000000001"/>
  </r>
  <r>
    <x v="0"/>
    <x v="31"/>
    <x v="5"/>
    <x v="0"/>
    <x v="13"/>
    <n v="96"/>
    <n v="0.1061"/>
  </r>
  <r>
    <x v="1"/>
    <x v="33"/>
    <x v="5"/>
    <x v="0"/>
    <x v="0"/>
    <n v="98"/>
    <n v="5.8200000000000002E-2"/>
  </r>
  <r>
    <x v="1"/>
    <x v="33"/>
    <x v="5"/>
    <x v="0"/>
    <x v="1"/>
    <n v="88"/>
    <n v="4.1000000000000003E-3"/>
  </r>
  <r>
    <x v="1"/>
    <x v="33"/>
    <x v="5"/>
    <x v="0"/>
    <x v="2"/>
    <n v="87"/>
    <n v="1.5100000000000001E-2"/>
  </r>
  <r>
    <x v="1"/>
    <x v="33"/>
    <x v="5"/>
    <x v="0"/>
    <x v="3"/>
    <n v="87"/>
    <n v="1.2999999999999999E-2"/>
  </r>
  <r>
    <x v="1"/>
    <x v="33"/>
    <x v="5"/>
    <x v="0"/>
    <x v="4"/>
    <n v="104"/>
    <n v="3.3399999999999999E-2"/>
  </r>
  <r>
    <x v="1"/>
    <x v="33"/>
    <x v="5"/>
    <x v="0"/>
    <x v="5"/>
    <n v="113"/>
    <n v="1.9E-2"/>
  </r>
  <r>
    <x v="1"/>
    <x v="33"/>
    <x v="5"/>
    <x v="0"/>
    <x v="6"/>
    <n v="102"/>
    <n v="1.9099999999999999E-2"/>
  </r>
  <r>
    <x v="1"/>
    <x v="33"/>
    <x v="5"/>
    <x v="0"/>
    <x v="7"/>
    <n v="96"/>
    <n v="2.01E-2"/>
  </r>
  <r>
    <x v="1"/>
    <x v="33"/>
    <x v="5"/>
    <x v="0"/>
    <x v="8"/>
    <n v="80"/>
    <n v="5.3E-3"/>
  </r>
  <r>
    <x v="1"/>
    <x v="33"/>
    <x v="5"/>
    <x v="0"/>
    <x v="9"/>
    <n v="86"/>
    <n v="9.7999999999999997E-3"/>
  </r>
  <r>
    <x v="1"/>
    <x v="33"/>
    <x v="5"/>
    <x v="0"/>
    <x v="10"/>
    <n v="104"/>
    <n v="1.5800000000000002E-2"/>
  </r>
  <r>
    <x v="1"/>
    <x v="33"/>
    <x v="5"/>
    <x v="0"/>
    <x v="11"/>
    <n v="103"/>
    <n v="1.46E-2"/>
  </r>
  <r>
    <x v="1"/>
    <x v="33"/>
    <x v="5"/>
    <x v="0"/>
    <x v="12"/>
    <n v="102"/>
    <n v="1.21E-2"/>
  </r>
  <r>
    <x v="1"/>
    <x v="33"/>
    <x v="5"/>
    <x v="0"/>
    <x v="13"/>
    <n v="86"/>
    <n v="7.7000000000000002E-3"/>
  </r>
  <r>
    <x v="1"/>
    <x v="34"/>
    <x v="5"/>
    <x v="0"/>
    <x v="0"/>
    <n v="61"/>
    <n v="0.1489"/>
  </r>
  <r>
    <x v="1"/>
    <x v="34"/>
    <x v="5"/>
    <x v="0"/>
    <x v="1"/>
    <n v="52"/>
    <n v="2.0500000000000001E-2"/>
  </r>
  <r>
    <x v="1"/>
    <x v="34"/>
    <x v="5"/>
    <x v="0"/>
    <x v="2"/>
    <n v="64"/>
    <n v="5.1299999999999998E-2"/>
  </r>
  <r>
    <x v="1"/>
    <x v="34"/>
    <x v="5"/>
    <x v="0"/>
    <x v="3"/>
    <n v="63"/>
    <n v="4.4499999999999998E-2"/>
  </r>
  <r>
    <x v="1"/>
    <x v="34"/>
    <x v="5"/>
    <x v="0"/>
    <x v="4"/>
    <n v="63"/>
    <n v="8.2100000000000006E-2"/>
  </r>
  <r>
    <x v="1"/>
    <x v="34"/>
    <x v="5"/>
    <x v="0"/>
    <x v="5"/>
    <n v="54"/>
    <n v="1.41E-2"/>
  </r>
  <r>
    <x v="1"/>
    <x v="34"/>
    <x v="5"/>
    <x v="0"/>
    <x v="6"/>
    <n v="47"/>
    <n v="1.9199999999999998E-2"/>
  </r>
  <r>
    <x v="1"/>
    <x v="34"/>
    <x v="5"/>
    <x v="0"/>
    <x v="7"/>
    <n v="65"/>
    <n v="6.8199999999999997E-2"/>
  </r>
  <r>
    <x v="1"/>
    <x v="34"/>
    <x v="5"/>
    <x v="0"/>
    <x v="8"/>
    <n v="57"/>
    <n v="1.2200000000000001E-2"/>
  </r>
  <r>
    <x v="1"/>
    <x v="34"/>
    <x v="5"/>
    <x v="0"/>
    <x v="9"/>
    <n v="63"/>
    <n v="3.3000000000000002E-2"/>
  </r>
  <r>
    <x v="1"/>
    <x v="34"/>
    <x v="5"/>
    <x v="0"/>
    <x v="10"/>
    <n v="61"/>
    <n v="1.4999999999999999E-2"/>
  </r>
  <r>
    <x v="1"/>
    <x v="34"/>
    <x v="5"/>
    <x v="0"/>
    <x v="11"/>
    <n v="59"/>
    <n v="2.4299999999999999E-2"/>
  </r>
  <r>
    <x v="1"/>
    <x v="34"/>
    <x v="5"/>
    <x v="0"/>
    <x v="12"/>
    <n v="61"/>
    <n v="3.3399999999999999E-2"/>
  </r>
  <r>
    <x v="1"/>
    <x v="34"/>
    <x v="5"/>
    <x v="0"/>
    <x v="13"/>
    <n v="52"/>
    <n v="3.1399999999999997E-2"/>
  </r>
  <r>
    <x v="1"/>
    <x v="35"/>
    <x v="5"/>
    <x v="0"/>
    <x v="0"/>
    <n v="69"/>
    <n v="8.0600000000000005E-2"/>
  </r>
  <r>
    <x v="1"/>
    <x v="35"/>
    <x v="5"/>
    <x v="0"/>
    <x v="1"/>
    <n v="64"/>
    <n v="1.01E-2"/>
  </r>
  <r>
    <x v="1"/>
    <x v="35"/>
    <x v="5"/>
    <x v="0"/>
    <x v="2"/>
    <n v="67"/>
    <n v="2.6200000000000001E-2"/>
  </r>
  <r>
    <x v="1"/>
    <x v="35"/>
    <x v="5"/>
    <x v="0"/>
    <x v="3"/>
    <n v="76"/>
    <n v="2.4899999999999999E-2"/>
  </r>
  <r>
    <x v="1"/>
    <x v="35"/>
    <x v="5"/>
    <x v="0"/>
    <x v="4"/>
    <n v="72"/>
    <n v="4.2799999999999998E-2"/>
  </r>
  <r>
    <x v="1"/>
    <x v="35"/>
    <x v="5"/>
    <x v="0"/>
    <x v="5"/>
    <n v="58"/>
    <n v="9.4999999999999998E-3"/>
  </r>
  <r>
    <x v="1"/>
    <x v="35"/>
    <x v="5"/>
    <x v="0"/>
    <x v="6"/>
    <n v="62"/>
    <n v="1.29E-2"/>
  </r>
  <r>
    <x v="1"/>
    <x v="35"/>
    <x v="5"/>
    <x v="0"/>
    <x v="7"/>
    <n v="73"/>
    <n v="3.4200000000000001E-2"/>
  </r>
  <r>
    <x v="1"/>
    <x v="35"/>
    <x v="5"/>
    <x v="0"/>
    <x v="8"/>
    <n v="59"/>
    <n v="6.7999999999999996E-3"/>
  </r>
  <r>
    <x v="1"/>
    <x v="35"/>
    <x v="5"/>
    <x v="0"/>
    <x v="9"/>
    <n v="72"/>
    <n v="1.6799999999999999E-2"/>
  </r>
  <r>
    <x v="1"/>
    <x v="35"/>
    <x v="5"/>
    <x v="0"/>
    <x v="10"/>
    <n v="82"/>
    <n v="8.8999999999999999E-3"/>
  </r>
  <r>
    <x v="1"/>
    <x v="35"/>
    <x v="5"/>
    <x v="0"/>
    <x v="11"/>
    <n v="78"/>
    <n v="1.23E-2"/>
  </r>
  <r>
    <x v="1"/>
    <x v="35"/>
    <x v="5"/>
    <x v="0"/>
    <x v="12"/>
    <n v="64"/>
    <n v="1.5599999999999999E-2"/>
  </r>
  <r>
    <x v="1"/>
    <x v="35"/>
    <x v="5"/>
    <x v="0"/>
    <x v="13"/>
    <n v="65"/>
    <n v="1.5800000000000002E-2"/>
  </r>
  <r>
    <x v="0"/>
    <x v="36"/>
    <x v="5"/>
    <x v="0"/>
    <x v="0"/>
    <n v="85"/>
    <n v="0.26069999999999999"/>
  </r>
  <r>
    <x v="0"/>
    <x v="36"/>
    <x v="5"/>
    <x v="0"/>
    <x v="1"/>
    <n v="84"/>
    <n v="3.3000000000000002E-2"/>
  </r>
  <r>
    <x v="0"/>
    <x v="36"/>
    <x v="5"/>
    <x v="0"/>
    <x v="2"/>
    <n v="88"/>
    <n v="9.3600000000000003E-2"/>
  </r>
  <r>
    <x v="0"/>
    <x v="36"/>
    <x v="5"/>
    <x v="0"/>
    <x v="3"/>
    <n v="82"/>
    <n v="8.4599999999999995E-2"/>
  </r>
  <r>
    <x v="0"/>
    <x v="36"/>
    <x v="5"/>
    <x v="0"/>
    <x v="4"/>
    <n v="84"/>
    <n v="0.1593"/>
  </r>
  <r>
    <x v="0"/>
    <x v="36"/>
    <x v="5"/>
    <x v="0"/>
    <x v="5"/>
    <n v="85"/>
    <n v="3.8800000000000001E-2"/>
  </r>
  <r>
    <x v="0"/>
    <x v="36"/>
    <x v="5"/>
    <x v="0"/>
    <x v="6"/>
    <n v="83"/>
    <n v="4.3499999999999997E-2"/>
  </r>
  <r>
    <x v="0"/>
    <x v="36"/>
    <x v="5"/>
    <x v="0"/>
    <x v="7"/>
    <n v="89"/>
    <n v="0.1295"/>
  </r>
  <r>
    <x v="0"/>
    <x v="36"/>
    <x v="5"/>
    <x v="0"/>
    <x v="8"/>
    <n v="82"/>
    <n v="2.2700000000000001E-2"/>
  </r>
  <r>
    <x v="0"/>
    <x v="36"/>
    <x v="5"/>
    <x v="0"/>
    <x v="9"/>
    <n v="82"/>
    <n v="6.2700000000000006E-2"/>
  </r>
  <r>
    <x v="0"/>
    <x v="36"/>
    <x v="5"/>
    <x v="0"/>
    <x v="10"/>
    <n v="86"/>
    <n v="4.4999999999999998E-2"/>
  </r>
  <r>
    <x v="0"/>
    <x v="36"/>
    <x v="5"/>
    <x v="0"/>
    <x v="11"/>
    <n v="84"/>
    <n v="6.4399999999999999E-2"/>
  </r>
  <r>
    <x v="0"/>
    <x v="36"/>
    <x v="5"/>
    <x v="0"/>
    <x v="12"/>
    <n v="82"/>
    <n v="7.8299999999999995E-2"/>
  </r>
  <r>
    <x v="0"/>
    <x v="36"/>
    <x v="5"/>
    <x v="0"/>
    <x v="13"/>
    <n v="86"/>
    <n v="5.4300000000000001E-2"/>
  </r>
  <r>
    <x v="0"/>
    <x v="37"/>
    <x v="5"/>
    <x v="0"/>
    <x v="0"/>
    <n v="81"/>
    <n v="0.40660000000000002"/>
  </r>
  <r>
    <x v="0"/>
    <x v="37"/>
    <x v="5"/>
    <x v="0"/>
    <x v="1"/>
    <n v="77"/>
    <n v="4.6600000000000003E-2"/>
  </r>
  <r>
    <x v="0"/>
    <x v="37"/>
    <x v="5"/>
    <x v="0"/>
    <x v="2"/>
    <n v="77"/>
    <n v="0.15160000000000001"/>
  </r>
  <r>
    <x v="0"/>
    <x v="37"/>
    <x v="5"/>
    <x v="0"/>
    <x v="3"/>
    <n v="85"/>
    <n v="0.14910000000000001"/>
  </r>
  <r>
    <x v="0"/>
    <x v="37"/>
    <x v="5"/>
    <x v="0"/>
    <x v="4"/>
    <n v="83"/>
    <n v="0.3241"/>
  </r>
  <r>
    <x v="0"/>
    <x v="37"/>
    <x v="5"/>
    <x v="0"/>
    <x v="5"/>
    <n v="80"/>
    <n v="0.21479999999999999"/>
  </r>
  <r>
    <x v="0"/>
    <x v="37"/>
    <x v="5"/>
    <x v="0"/>
    <x v="6"/>
    <n v="78"/>
    <n v="0.17949999999999999"/>
  </r>
  <r>
    <x v="0"/>
    <x v="37"/>
    <x v="5"/>
    <x v="0"/>
    <x v="7"/>
    <n v="82"/>
    <n v="0.22450000000000001"/>
  </r>
  <r>
    <x v="0"/>
    <x v="37"/>
    <x v="5"/>
    <x v="0"/>
    <x v="8"/>
    <n v="77"/>
    <n v="4.48E-2"/>
  </r>
  <r>
    <x v="0"/>
    <x v="37"/>
    <x v="5"/>
    <x v="0"/>
    <x v="9"/>
    <n v="87"/>
    <n v="0.1196"/>
  </r>
  <r>
    <x v="0"/>
    <x v="37"/>
    <x v="5"/>
    <x v="0"/>
    <x v="10"/>
    <n v="83"/>
    <n v="0.21990000000000001"/>
  </r>
  <r>
    <x v="0"/>
    <x v="37"/>
    <x v="5"/>
    <x v="0"/>
    <x v="11"/>
    <n v="82"/>
    <n v="0.21079999999999999"/>
  </r>
  <r>
    <x v="0"/>
    <x v="37"/>
    <x v="5"/>
    <x v="0"/>
    <x v="12"/>
    <n v="81"/>
    <n v="0.186"/>
  </r>
  <r>
    <x v="0"/>
    <x v="37"/>
    <x v="5"/>
    <x v="0"/>
    <x v="13"/>
    <n v="77"/>
    <n v="7.3099999999999998E-2"/>
  </r>
  <r>
    <x v="0"/>
    <x v="38"/>
    <x v="5"/>
    <x v="0"/>
    <x v="0"/>
    <n v="18"/>
    <n v="7.9000000000000008E-3"/>
  </r>
  <r>
    <x v="0"/>
    <x v="38"/>
    <x v="5"/>
    <x v="0"/>
    <x v="2"/>
    <n v="21"/>
    <n v="1.9E-3"/>
  </r>
  <r>
    <x v="0"/>
    <x v="38"/>
    <x v="5"/>
    <x v="0"/>
    <x v="3"/>
    <n v="17"/>
    <n v="1.6999999999999999E-3"/>
  </r>
  <r>
    <x v="0"/>
    <x v="38"/>
    <x v="5"/>
    <x v="0"/>
    <x v="4"/>
    <n v="11"/>
    <n v="4.1999999999999997E-3"/>
  </r>
  <r>
    <x v="0"/>
    <x v="38"/>
    <x v="5"/>
    <x v="0"/>
    <x v="5"/>
    <n v="11"/>
    <n v="1.9E-3"/>
  </r>
  <r>
    <x v="0"/>
    <x v="38"/>
    <x v="5"/>
    <x v="0"/>
    <x v="6"/>
    <n v="16"/>
    <n v="2.2000000000000001E-3"/>
  </r>
  <r>
    <x v="0"/>
    <x v="38"/>
    <x v="5"/>
    <x v="0"/>
    <x v="7"/>
    <n v="22"/>
    <n v="2.5000000000000001E-3"/>
  </r>
  <r>
    <x v="0"/>
    <x v="38"/>
    <x v="5"/>
    <x v="0"/>
    <x v="9"/>
    <n v="19"/>
    <n v="1.1999999999999999E-3"/>
  </r>
  <r>
    <x v="0"/>
    <x v="38"/>
    <x v="5"/>
    <x v="0"/>
    <x v="10"/>
    <n v="15"/>
    <n v="1.5E-3"/>
  </r>
  <r>
    <x v="0"/>
    <x v="38"/>
    <x v="5"/>
    <x v="0"/>
    <x v="11"/>
    <n v="13"/>
    <n v="1.6000000000000001E-3"/>
  </r>
  <r>
    <x v="0"/>
    <x v="38"/>
    <x v="5"/>
    <x v="0"/>
    <x v="12"/>
    <n v="9"/>
    <n v="1.2999999999999999E-3"/>
  </r>
  <r>
    <x v="0"/>
    <x v="39"/>
    <x v="5"/>
    <x v="0"/>
    <x v="0"/>
    <n v="84"/>
    <n v="0.29720000000000002"/>
  </r>
  <r>
    <x v="0"/>
    <x v="39"/>
    <x v="5"/>
    <x v="0"/>
    <x v="1"/>
    <n v="77"/>
    <n v="2.7699999999999999E-2"/>
  </r>
  <r>
    <x v="0"/>
    <x v="39"/>
    <x v="5"/>
    <x v="0"/>
    <x v="2"/>
    <n v="79"/>
    <n v="0.1116"/>
  </r>
  <r>
    <x v="0"/>
    <x v="39"/>
    <x v="5"/>
    <x v="0"/>
    <x v="3"/>
    <n v="82"/>
    <n v="0.10050000000000001"/>
  </r>
  <r>
    <x v="0"/>
    <x v="39"/>
    <x v="5"/>
    <x v="0"/>
    <x v="4"/>
    <n v="87"/>
    <n v="0.20810000000000001"/>
  </r>
  <r>
    <x v="0"/>
    <x v="39"/>
    <x v="5"/>
    <x v="0"/>
    <x v="5"/>
    <n v="91"/>
    <n v="0.13220000000000001"/>
  </r>
  <r>
    <x v="0"/>
    <x v="39"/>
    <x v="5"/>
    <x v="0"/>
    <x v="6"/>
    <n v="81"/>
    <n v="0.1111"/>
  </r>
  <r>
    <x v="0"/>
    <x v="39"/>
    <x v="5"/>
    <x v="0"/>
    <x v="7"/>
    <n v="85"/>
    <n v="0.1361"/>
  </r>
  <r>
    <x v="0"/>
    <x v="39"/>
    <x v="5"/>
    <x v="0"/>
    <x v="8"/>
    <n v="78"/>
    <n v="2.5899999999999999E-2"/>
  </r>
  <r>
    <x v="0"/>
    <x v="39"/>
    <x v="5"/>
    <x v="0"/>
    <x v="9"/>
    <n v="83"/>
    <n v="8.0399999999999999E-2"/>
  </r>
  <r>
    <x v="0"/>
    <x v="39"/>
    <x v="5"/>
    <x v="0"/>
    <x v="10"/>
    <n v="94"/>
    <n v="0.1305"/>
  </r>
  <r>
    <x v="0"/>
    <x v="39"/>
    <x v="5"/>
    <x v="0"/>
    <x v="11"/>
    <n v="87"/>
    <n v="0.11210000000000001"/>
  </r>
  <r>
    <x v="0"/>
    <x v="39"/>
    <x v="5"/>
    <x v="0"/>
    <x v="12"/>
    <n v="85"/>
    <n v="9.9900000000000003E-2"/>
  </r>
  <r>
    <x v="0"/>
    <x v="39"/>
    <x v="5"/>
    <x v="0"/>
    <x v="13"/>
    <n v="77"/>
    <n v="4.24E-2"/>
  </r>
  <r>
    <x v="1"/>
    <x v="40"/>
    <x v="5"/>
    <x v="0"/>
    <x v="0"/>
    <n v="87"/>
    <n v="9.1700000000000004E-2"/>
  </r>
  <r>
    <x v="1"/>
    <x v="40"/>
    <x v="5"/>
    <x v="0"/>
    <x v="1"/>
    <n v="100"/>
    <n v="5.5999999999999999E-3"/>
  </r>
  <r>
    <x v="1"/>
    <x v="40"/>
    <x v="5"/>
    <x v="0"/>
    <x v="2"/>
    <n v="93"/>
    <n v="3.0499999999999999E-2"/>
  </r>
  <r>
    <x v="1"/>
    <x v="40"/>
    <x v="5"/>
    <x v="0"/>
    <x v="3"/>
    <n v="77"/>
    <n v="2.3E-2"/>
  </r>
  <r>
    <x v="1"/>
    <x v="40"/>
    <x v="5"/>
    <x v="0"/>
    <x v="4"/>
    <n v="85"/>
    <n v="5.7200000000000001E-2"/>
  </r>
  <r>
    <x v="1"/>
    <x v="40"/>
    <x v="5"/>
    <x v="0"/>
    <x v="5"/>
    <n v="78"/>
    <n v="2.3E-2"/>
  </r>
  <r>
    <x v="1"/>
    <x v="40"/>
    <x v="5"/>
    <x v="0"/>
    <x v="6"/>
    <n v="91"/>
    <n v="2.0899999999999998E-2"/>
  </r>
  <r>
    <x v="1"/>
    <x v="40"/>
    <x v="5"/>
    <x v="0"/>
    <x v="7"/>
    <n v="85"/>
    <n v="3.3799999999999997E-2"/>
  </r>
  <r>
    <x v="1"/>
    <x v="40"/>
    <x v="5"/>
    <x v="0"/>
    <x v="8"/>
    <n v="94"/>
    <n v="5.4999999999999997E-3"/>
  </r>
  <r>
    <x v="1"/>
    <x v="40"/>
    <x v="5"/>
    <x v="0"/>
    <x v="9"/>
    <n v="69"/>
    <n v="1.5599999999999999E-2"/>
  </r>
  <r>
    <x v="1"/>
    <x v="40"/>
    <x v="5"/>
    <x v="0"/>
    <x v="10"/>
    <n v="87"/>
    <n v="2.29E-2"/>
  </r>
  <r>
    <x v="1"/>
    <x v="40"/>
    <x v="5"/>
    <x v="0"/>
    <x v="11"/>
    <n v="86"/>
    <n v="2.6100000000000002E-2"/>
  </r>
  <r>
    <x v="1"/>
    <x v="40"/>
    <x v="5"/>
    <x v="0"/>
    <x v="12"/>
    <n v="81"/>
    <n v="2.41E-2"/>
  </r>
  <r>
    <x v="1"/>
    <x v="40"/>
    <x v="5"/>
    <x v="0"/>
    <x v="13"/>
    <n v="96"/>
    <n v="9.5999999999999992E-3"/>
  </r>
  <r>
    <x v="1"/>
    <x v="41"/>
    <x v="5"/>
    <x v="0"/>
    <x v="0"/>
    <n v="93"/>
    <n v="8.7300000000000003E-2"/>
  </r>
  <r>
    <x v="1"/>
    <x v="41"/>
    <x v="5"/>
    <x v="0"/>
    <x v="1"/>
    <n v="107"/>
    <n v="5.3E-3"/>
  </r>
  <r>
    <x v="1"/>
    <x v="41"/>
    <x v="5"/>
    <x v="0"/>
    <x v="2"/>
    <n v="91"/>
    <n v="2.1399999999999999E-2"/>
  </r>
  <r>
    <x v="1"/>
    <x v="41"/>
    <x v="5"/>
    <x v="0"/>
    <x v="3"/>
    <n v="98"/>
    <n v="1.9099999999999999E-2"/>
  </r>
  <r>
    <x v="1"/>
    <x v="41"/>
    <x v="5"/>
    <x v="0"/>
    <x v="4"/>
    <n v="95"/>
    <n v="5.8500000000000003E-2"/>
  </r>
  <r>
    <x v="1"/>
    <x v="41"/>
    <x v="5"/>
    <x v="0"/>
    <x v="5"/>
    <n v="99"/>
    <n v="2.4199999999999999E-2"/>
  </r>
  <r>
    <x v="1"/>
    <x v="41"/>
    <x v="5"/>
    <x v="0"/>
    <x v="6"/>
    <n v="79"/>
    <n v="1.9900000000000001E-2"/>
  </r>
  <r>
    <x v="1"/>
    <x v="41"/>
    <x v="5"/>
    <x v="0"/>
    <x v="7"/>
    <n v="89"/>
    <n v="2.9399999999999999E-2"/>
  </r>
  <r>
    <x v="1"/>
    <x v="41"/>
    <x v="5"/>
    <x v="0"/>
    <x v="8"/>
    <n v="85"/>
    <n v="4.7000000000000002E-3"/>
  </r>
  <r>
    <x v="1"/>
    <x v="41"/>
    <x v="5"/>
    <x v="0"/>
    <x v="9"/>
    <n v="98"/>
    <n v="1.3599999999999999E-2"/>
  </r>
  <r>
    <x v="1"/>
    <x v="41"/>
    <x v="5"/>
    <x v="0"/>
    <x v="10"/>
    <n v="97"/>
    <n v="2.8299999999999999E-2"/>
  </r>
  <r>
    <x v="1"/>
    <x v="41"/>
    <x v="5"/>
    <x v="0"/>
    <x v="11"/>
    <n v="92"/>
    <n v="2.9399999999999999E-2"/>
  </r>
  <r>
    <x v="1"/>
    <x v="41"/>
    <x v="5"/>
    <x v="0"/>
    <x v="12"/>
    <n v="95"/>
    <n v="2.2700000000000001E-2"/>
  </r>
  <r>
    <x v="1"/>
    <x v="41"/>
    <x v="5"/>
    <x v="0"/>
    <x v="13"/>
    <n v="97"/>
    <n v="8.3000000000000001E-3"/>
  </r>
  <r>
    <x v="0"/>
    <x v="42"/>
    <x v="5"/>
    <x v="0"/>
    <x v="0"/>
    <n v="96"/>
    <n v="0.31840000000000002"/>
  </r>
  <r>
    <x v="0"/>
    <x v="42"/>
    <x v="5"/>
    <x v="0"/>
    <x v="1"/>
    <n v="91"/>
    <n v="5.9499999999999997E-2"/>
  </r>
  <r>
    <x v="0"/>
    <x v="42"/>
    <x v="5"/>
    <x v="0"/>
    <x v="2"/>
    <n v="98"/>
    <n v="0.15459999999999999"/>
  </r>
  <r>
    <x v="0"/>
    <x v="42"/>
    <x v="5"/>
    <x v="0"/>
    <x v="3"/>
    <n v="93"/>
    <n v="0.1535"/>
  </r>
  <r>
    <x v="0"/>
    <x v="42"/>
    <x v="5"/>
    <x v="0"/>
    <x v="4"/>
    <n v="95"/>
    <n v="0.2316"/>
  </r>
  <r>
    <x v="0"/>
    <x v="42"/>
    <x v="5"/>
    <x v="0"/>
    <x v="5"/>
    <n v="93"/>
    <n v="6.8699999999999997E-2"/>
  </r>
  <r>
    <x v="0"/>
    <x v="42"/>
    <x v="5"/>
    <x v="0"/>
    <x v="6"/>
    <n v="91"/>
    <n v="7.2099999999999997E-2"/>
  </r>
  <r>
    <x v="0"/>
    <x v="42"/>
    <x v="5"/>
    <x v="0"/>
    <x v="7"/>
    <n v="99"/>
    <n v="0.19850000000000001"/>
  </r>
  <r>
    <x v="0"/>
    <x v="42"/>
    <x v="5"/>
    <x v="0"/>
    <x v="8"/>
    <n v="89"/>
    <n v="3.6200000000000003E-2"/>
  </r>
  <r>
    <x v="0"/>
    <x v="42"/>
    <x v="5"/>
    <x v="0"/>
    <x v="9"/>
    <n v="94"/>
    <n v="0.12470000000000001"/>
  </r>
  <r>
    <x v="0"/>
    <x v="42"/>
    <x v="5"/>
    <x v="0"/>
    <x v="10"/>
    <n v="93"/>
    <n v="9.1700000000000004E-2"/>
  </r>
  <r>
    <x v="0"/>
    <x v="42"/>
    <x v="5"/>
    <x v="0"/>
    <x v="11"/>
    <n v="95"/>
    <n v="0.127"/>
  </r>
  <r>
    <x v="0"/>
    <x v="42"/>
    <x v="5"/>
    <x v="0"/>
    <x v="12"/>
    <n v="97"/>
    <n v="0.15029999999999999"/>
  </r>
  <r>
    <x v="0"/>
    <x v="42"/>
    <x v="5"/>
    <x v="0"/>
    <x v="13"/>
    <n v="95"/>
    <n v="0.1004"/>
  </r>
  <r>
    <x v="1"/>
    <x v="43"/>
    <x v="5"/>
    <x v="1"/>
    <x v="0"/>
    <n v="100"/>
    <n v="0.65980000000000005"/>
  </r>
  <r>
    <x v="1"/>
    <x v="43"/>
    <x v="5"/>
    <x v="1"/>
    <x v="1"/>
    <n v="98"/>
    <n v="0.20760000000000001"/>
  </r>
  <r>
    <x v="1"/>
    <x v="43"/>
    <x v="5"/>
    <x v="1"/>
    <x v="2"/>
    <n v="104"/>
    <n v="0.35039999999999999"/>
  </r>
  <r>
    <x v="1"/>
    <x v="43"/>
    <x v="5"/>
    <x v="1"/>
    <x v="3"/>
    <n v="98"/>
    <n v="0.32490000000000002"/>
  </r>
  <r>
    <x v="1"/>
    <x v="43"/>
    <x v="5"/>
    <x v="1"/>
    <x v="4"/>
    <n v="101"/>
    <n v="0.49409999999999998"/>
  </r>
  <r>
    <x v="1"/>
    <x v="43"/>
    <x v="5"/>
    <x v="1"/>
    <x v="5"/>
    <n v="100"/>
    <n v="0.1162"/>
  </r>
  <r>
    <x v="1"/>
    <x v="43"/>
    <x v="5"/>
    <x v="1"/>
    <x v="6"/>
    <n v="91"/>
    <n v="0.14510000000000001"/>
  </r>
  <r>
    <x v="1"/>
    <x v="43"/>
    <x v="5"/>
    <x v="1"/>
    <x v="7"/>
    <n v="96"/>
    <n v="0.41889999999999999"/>
  </r>
  <r>
    <x v="1"/>
    <x v="43"/>
    <x v="5"/>
    <x v="1"/>
    <x v="8"/>
    <n v="90"/>
    <n v="0.12659999999999999"/>
  </r>
  <r>
    <x v="1"/>
    <x v="43"/>
    <x v="5"/>
    <x v="1"/>
    <x v="9"/>
    <n v="99"/>
    <n v="0.26619999999999999"/>
  </r>
  <r>
    <x v="1"/>
    <x v="43"/>
    <x v="5"/>
    <x v="1"/>
    <x v="10"/>
    <n v="104"/>
    <n v="0.18029999999999999"/>
  </r>
  <r>
    <x v="1"/>
    <x v="43"/>
    <x v="5"/>
    <x v="1"/>
    <x v="11"/>
    <n v="104"/>
    <n v="0.27600000000000002"/>
  </r>
  <r>
    <x v="1"/>
    <x v="43"/>
    <x v="5"/>
    <x v="1"/>
    <x v="12"/>
    <n v="100"/>
    <n v="0.318"/>
  </r>
  <r>
    <x v="1"/>
    <x v="43"/>
    <x v="5"/>
    <x v="1"/>
    <x v="13"/>
    <n v="97"/>
    <n v="0.255"/>
  </r>
  <r>
    <x v="1"/>
    <x v="44"/>
    <x v="5"/>
    <x v="0"/>
    <x v="0"/>
    <n v="106"/>
    <n v="0.25750000000000001"/>
  </r>
  <r>
    <x v="1"/>
    <x v="44"/>
    <x v="5"/>
    <x v="0"/>
    <x v="1"/>
    <n v="102"/>
    <n v="3.5400000000000001E-2"/>
  </r>
  <r>
    <x v="1"/>
    <x v="44"/>
    <x v="5"/>
    <x v="0"/>
    <x v="2"/>
    <n v="108"/>
    <n v="0.10290000000000001"/>
  </r>
  <r>
    <x v="1"/>
    <x v="44"/>
    <x v="5"/>
    <x v="0"/>
    <x v="3"/>
    <n v="108"/>
    <n v="8.7900000000000006E-2"/>
  </r>
  <r>
    <x v="1"/>
    <x v="44"/>
    <x v="5"/>
    <x v="0"/>
    <x v="4"/>
    <n v="102"/>
    <n v="0.1721"/>
  </r>
  <r>
    <x v="1"/>
    <x v="44"/>
    <x v="5"/>
    <x v="0"/>
    <x v="5"/>
    <n v="102"/>
    <n v="9.6799999999999997E-2"/>
  </r>
  <r>
    <x v="1"/>
    <x v="44"/>
    <x v="5"/>
    <x v="0"/>
    <x v="6"/>
    <n v="109"/>
    <n v="8.7800000000000003E-2"/>
  </r>
  <r>
    <x v="1"/>
    <x v="44"/>
    <x v="5"/>
    <x v="0"/>
    <x v="7"/>
    <n v="100"/>
    <n v="0.1053"/>
  </r>
  <r>
    <x v="1"/>
    <x v="44"/>
    <x v="5"/>
    <x v="0"/>
    <x v="8"/>
    <n v="110"/>
    <n v="2.9100000000000001E-2"/>
  </r>
  <r>
    <x v="1"/>
    <x v="44"/>
    <x v="5"/>
    <x v="0"/>
    <x v="9"/>
    <n v="109"/>
    <n v="7.3599999999999999E-2"/>
  </r>
  <r>
    <x v="1"/>
    <x v="44"/>
    <x v="5"/>
    <x v="0"/>
    <x v="10"/>
    <n v="101"/>
    <n v="9.1999999999999998E-2"/>
  </r>
  <r>
    <x v="1"/>
    <x v="44"/>
    <x v="5"/>
    <x v="0"/>
    <x v="11"/>
    <n v="97"/>
    <n v="8.4500000000000006E-2"/>
  </r>
  <r>
    <x v="1"/>
    <x v="44"/>
    <x v="5"/>
    <x v="0"/>
    <x v="12"/>
    <n v="101"/>
    <n v="7.9399999999999998E-2"/>
  </r>
  <r>
    <x v="1"/>
    <x v="44"/>
    <x v="5"/>
    <x v="0"/>
    <x v="13"/>
    <n v="103"/>
    <n v="4.9000000000000002E-2"/>
  </r>
  <r>
    <x v="0"/>
    <x v="45"/>
    <x v="5"/>
    <x v="0"/>
    <x v="0"/>
    <n v="88"/>
    <n v="0.32750000000000001"/>
  </r>
  <r>
    <x v="0"/>
    <x v="45"/>
    <x v="5"/>
    <x v="0"/>
    <x v="1"/>
    <n v="91"/>
    <n v="4.9500000000000002E-2"/>
  </r>
  <r>
    <x v="0"/>
    <x v="45"/>
    <x v="5"/>
    <x v="0"/>
    <x v="2"/>
    <n v="91"/>
    <n v="0.14879999999999999"/>
  </r>
  <r>
    <x v="0"/>
    <x v="45"/>
    <x v="5"/>
    <x v="0"/>
    <x v="3"/>
    <n v="86"/>
    <n v="0.1454"/>
  </r>
  <r>
    <x v="0"/>
    <x v="45"/>
    <x v="5"/>
    <x v="0"/>
    <x v="4"/>
    <n v="87"/>
    <n v="0.2319"/>
  </r>
  <r>
    <x v="0"/>
    <x v="45"/>
    <x v="5"/>
    <x v="0"/>
    <x v="5"/>
    <n v="86"/>
    <n v="6.2E-2"/>
  </r>
  <r>
    <x v="0"/>
    <x v="45"/>
    <x v="5"/>
    <x v="0"/>
    <x v="6"/>
    <n v="92"/>
    <n v="6.2399999999999997E-2"/>
  </r>
  <r>
    <x v="0"/>
    <x v="45"/>
    <x v="5"/>
    <x v="0"/>
    <x v="7"/>
    <n v="88"/>
    <n v="0.17330000000000001"/>
  </r>
  <r>
    <x v="0"/>
    <x v="45"/>
    <x v="5"/>
    <x v="0"/>
    <x v="8"/>
    <n v="98"/>
    <n v="2.23E-2"/>
  </r>
  <r>
    <x v="0"/>
    <x v="45"/>
    <x v="5"/>
    <x v="0"/>
    <x v="9"/>
    <n v="88"/>
    <n v="0.1123"/>
  </r>
  <r>
    <x v="0"/>
    <x v="45"/>
    <x v="5"/>
    <x v="0"/>
    <x v="10"/>
    <n v="85"/>
    <n v="7.6899999999999996E-2"/>
  </r>
  <r>
    <x v="0"/>
    <x v="45"/>
    <x v="5"/>
    <x v="0"/>
    <x v="11"/>
    <n v="88"/>
    <n v="0.1134"/>
  </r>
  <r>
    <x v="0"/>
    <x v="45"/>
    <x v="5"/>
    <x v="0"/>
    <x v="12"/>
    <n v="89"/>
    <n v="0.13589999999999999"/>
  </r>
  <r>
    <x v="0"/>
    <x v="45"/>
    <x v="5"/>
    <x v="0"/>
    <x v="13"/>
    <n v="91"/>
    <n v="7.6799999999999993E-2"/>
  </r>
  <r>
    <x v="1"/>
    <x v="46"/>
    <x v="5"/>
    <x v="0"/>
    <x v="0"/>
    <n v="31"/>
    <n v="1.6999999999999999E-3"/>
  </r>
  <r>
    <x v="0"/>
    <x v="47"/>
    <x v="5"/>
    <x v="0"/>
    <x v="0"/>
    <n v="103"/>
    <n v="0.36070000000000002"/>
  </r>
  <r>
    <x v="0"/>
    <x v="47"/>
    <x v="5"/>
    <x v="0"/>
    <x v="1"/>
    <n v="95"/>
    <n v="8.9499999999999996E-2"/>
  </r>
  <r>
    <x v="0"/>
    <x v="47"/>
    <x v="5"/>
    <x v="0"/>
    <x v="2"/>
    <n v="104"/>
    <n v="0.2167"/>
  </r>
  <r>
    <x v="0"/>
    <x v="47"/>
    <x v="5"/>
    <x v="0"/>
    <x v="3"/>
    <n v="107"/>
    <n v="0.20050000000000001"/>
  </r>
  <r>
    <x v="0"/>
    <x v="47"/>
    <x v="5"/>
    <x v="0"/>
    <x v="4"/>
    <n v="103"/>
    <n v="0.27889999999999998"/>
  </r>
  <r>
    <x v="0"/>
    <x v="47"/>
    <x v="5"/>
    <x v="0"/>
    <x v="5"/>
    <n v="101"/>
    <n v="0.20799999999999999"/>
  </r>
  <r>
    <x v="0"/>
    <x v="47"/>
    <x v="5"/>
    <x v="0"/>
    <x v="6"/>
    <n v="100"/>
    <n v="0.19739999999999999"/>
  </r>
  <r>
    <x v="0"/>
    <x v="47"/>
    <x v="5"/>
    <x v="0"/>
    <x v="7"/>
    <n v="101"/>
    <n v="0.24809999999999999"/>
  </r>
  <r>
    <x v="0"/>
    <x v="47"/>
    <x v="5"/>
    <x v="0"/>
    <x v="8"/>
    <n v="98"/>
    <n v="8.1000000000000003E-2"/>
  </r>
  <r>
    <x v="0"/>
    <x v="47"/>
    <x v="5"/>
    <x v="0"/>
    <x v="9"/>
    <n v="107"/>
    <n v="0.18099999999999999"/>
  </r>
  <r>
    <x v="0"/>
    <x v="47"/>
    <x v="5"/>
    <x v="0"/>
    <x v="10"/>
    <n v="101"/>
    <n v="0.2077"/>
  </r>
  <r>
    <x v="0"/>
    <x v="47"/>
    <x v="5"/>
    <x v="0"/>
    <x v="11"/>
    <n v="102"/>
    <n v="0.20519999999999999"/>
  </r>
  <r>
    <x v="0"/>
    <x v="47"/>
    <x v="5"/>
    <x v="0"/>
    <x v="12"/>
    <n v="103"/>
    <n v="0.20419999999999999"/>
  </r>
  <r>
    <x v="0"/>
    <x v="47"/>
    <x v="5"/>
    <x v="0"/>
    <x v="13"/>
    <n v="96"/>
    <n v="0.1168"/>
  </r>
  <r>
    <x v="1"/>
    <x v="48"/>
    <x v="5"/>
    <x v="0"/>
    <x v="0"/>
    <n v="162"/>
    <n v="1.1000000000000001E-3"/>
  </r>
  <r>
    <x v="0"/>
    <x v="49"/>
    <x v="5"/>
    <x v="0"/>
    <x v="0"/>
    <n v="96"/>
    <n v="0.26090000000000002"/>
  </r>
  <r>
    <x v="0"/>
    <x v="49"/>
    <x v="5"/>
    <x v="0"/>
    <x v="1"/>
    <n v="83"/>
    <n v="1.4200000000000001E-2"/>
  </r>
  <r>
    <x v="0"/>
    <x v="49"/>
    <x v="5"/>
    <x v="0"/>
    <x v="2"/>
    <n v="94"/>
    <n v="7.4899999999999994E-2"/>
  </r>
  <r>
    <x v="0"/>
    <x v="49"/>
    <x v="5"/>
    <x v="0"/>
    <x v="3"/>
    <n v="93"/>
    <n v="7.2599999999999998E-2"/>
  </r>
  <r>
    <x v="0"/>
    <x v="49"/>
    <x v="5"/>
    <x v="0"/>
    <x v="4"/>
    <n v="98"/>
    <n v="0.19700000000000001"/>
  </r>
  <r>
    <x v="0"/>
    <x v="49"/>
    <x v="5"/>
    <x v="0"/>
    <x v="5"/>
    <n v="95"/>
    <n v="9.4399999999999998E-2"/>
  </r>
  <r>
    <x v="0"/>
    <x v="49"/>
    <x v="5"/>
    <x v="0"/>
    <x v="6"/>
    <n v="96"/>
    <n v="7.2300000000000003E-2"/>
  </r>
  <r>
    <x v="0"/>
    <x v="49"/>
    <x v="5"/>
    <x v="0"/>
    <x v="7"/>
    <n v="99"/>
    <n v="0.12470000000000001"/>
  </r>
  <r>
    <x v="0"/>
    <x v="49"/>
    <x v="5"/>
    <x v="0"/>
    <x v="8"/>
    <n v="84"/>
    <n v="1.49E-2"/>
  </r>
  <r>
    <x v="0"/>
    <x v="49"/>
    <x v="5"/>
    <x v="0"/>
    <x v="9"/>
    <n v="92"/>
    <n v="5.2600000000000001E-2"/>
  </r>
  <r>
    <x v="0"/>
    <x v="49"/>
    <x v="5"/>
    <x v="0"/>
    <x v="10"/>
    <n v="95"/>
    <n v="0.1137"/>
  </r>
  <r>
    <x v="0"/>
    <x v="49"/>
    <x v="5"/>
    <x v="0"/>
    <x v="11"/>
    <n v="99"/>
    <n v="0.123"/>
  </r>
  <r>
    <x v="0"/>
    <x v="49"/>
    <x v="5"/>
    <x v="0"/>
    <x v="12"/>
    <n v="98"/>
    <n v="0.1157"/>
  </r>
  <r>
    <x v="0"/>
    <x v="49"/>
    <x v="5"/>
    <x v="0"/>
    <x v="13"/>
    <n v="88"/>
    <n v="2.3900000000000001E-2"/>
  </r>
  <r>
    <x v="0"/>
    <x v="51"/>
    <x v="5"/>
    <x v="0"/>
    <x v="0"/>
    <n v="84"/>
    <n v="0.23280000000000001"/>
  </r>
  <r>
    <x v="0"/>
    <x v="51"/>
    <x v="5"/>
    <x v="0"/>
    <x v="1"/>
    <n v="70"/>
    <n v="1.8800000000000001E-2"/>
  </r>
  <r>
    <x v="0"/>
    <x v="51"/>
    <x v="5"/>
    <x v="0"/>
    <x v="2"/>
    <n v="86"/>
    <n v="8.7499999999999994E-2"/>
  </r>
  <r>
    <x v="0"/>
    <x v="51"/>
    <x v="5"/>
    <x v="0"/>
    <x v="3"/>
    <n v="83"/>
    <n v="9.6000000000000002E-2"/>
  </r>
  <r>
    <x v="0"/>
    <x v="51"/>
    <x v="5"/>
    <x v="0"/>
    <x v="4"/>
    <n v="83"/>
    <n v="0.1573"/>
  </r>
  <r>
    <x v="0"/>
    <x v="51"/>
    <x v="5"/>
    <x v="0"/>
    <x v="5"/>
    <n v="83"/>
    <n v="2.7900000000000001E-2"/>
  </r>
  <r>
    <x v="0"/>
    <x v="51"/>
    <x v="5"/>
    <x v="0"/>
    <x v="6"/>
    <n v="85"/>
    <n v="2.7900000000000001E-2"/>
  </r>
  <r>
    <x v="0"/>
    <x v="51"/>
    <x v="5"/>
    <x v="0"/>
    <x v="7"/>
    <n v="85"/>
    <n v="0.11749999999999999"/>
  </r>
  <r>
    <x v="0"/>
    <x v="51"/>
    <x v="5"/>
    <x v="0"/>
    <x v="8"/>
    <n v="86"/>
    <n v="1.0699999999999999E-2"/>
  </r>
  <r>
    <x v="0"/>
    <x v="51"/>
    <x v="5"/>
    <x v="0"/>
    <x v="9"/>
    <n v="83"/>
    <n v="7.2300000000000003E-2"/>
  </r>
  <r>
    <x v="0"/>
    <x v="51"/>
    <x v="5"/>
    <x v="0"/>
    <x v="10"/>
    <n v="87"/>
    <n v="3.7199999999999997E-2"/>
  </r>
  <r>
    <x v="0"/>
    <x v="51"/>
    <x v="5"/>
    <x v="0"/>
    <x v="11"/>
    <n v="84"/>
    <n v="6.6000000000000003E-2"/>
  </r>
  <r>
    <x v="0"/>
    <x v="51"/>
    <x v="5"/>
    <x v="0"/>
    <x v="12"/>
    <n v="83"/>
    <n v="8.4900000000000003E-2"/>
  </r>
  <r>
    <x v="0"/>
    <x v="51"/>
    <x v="5"/>
    <x v="0"/>
    <x v="13"/>
    <n v="77"/>
    <n v="3.9300000000000002E-2"/>
  </r>
  <r>
    <x v="1"/>
    <x v="53"/>
    <x v="5"/>
    <x v="0"/>
    <x v="0"/>
    <n v="98"/>
    <n v="0.1067"/>
  </r>
  <r>
    <x v="1"/>
    <x v="53"/>
    <x v="5"/>
    <x v="0"/>
    <x v="1"/>
    <n v="101"/>
    <n v="1.01E-2"/>
  </r>
  <r>
    <x v="1"/>
    <x v="53"/>
    <x v="5"/>
    <x v="0"/>
    <x v="2"/>
    <n v="105"/>
    <n v="3.0300000000000001E-2"/>
  </r>
  <r>
    <x v="1"/>
    <x v="53"/>
    <x v="5"/>
    <x v="0"/>
    <x v="3"/>
    <n v="102"/>
    <n v="2.7099999999999999E-2"/>
  </r>
  <r>
    <x v="1"/>
    <x v="53"/>
    <x v="5"/>
    <x v="0"/>
    <x v="4"/>
    <n v="94"/>
    <n v="6.7699999999999996E-2"/>
  </r>
  <r>
    <x v="1"/>
    <x v="53"/>
    <x v="5"/>
    <x v="0"/>
    <x v="5"/>
    <n v="94"/>
    <n v="4.0899999999999999E-2"/>
  </r>
  <r>
    <x v="1"/>
    <x v="53"/>
    <x v="5"/>
    <x v="0"/>
    <x v="6"/>
    <n v="97"/>
    <n v="4.1300000000000003E-2"/>
  </r>
  <r>
    <x v="1"/>
    <x v="53"/>
    <x v="5"/>
    <x v="0"/>
    <x v="7"/>
    <n v="99"/>
    <n v="3.9300000000000002E-2"/>
  </r>
  <r>
    <x v="1"/>
    <x v="53"/>
    <x v="5"/>
    <x v="0"/>
    <x v="8"/>
    <n v="108"/>
    <n v="1.2699999999999999E-2"/>
  </r>
  <r>
    <x v="1"/>
    <x v="53"/>
    <x v="5"/>
    <x v="0"/>
    <x v="9"/>
    <n v="101"/>
    <n v="2.1299999999999999E-2"/>
  </r>
  <r>
    <x v="1"/>
    <x v="53"/>
    <x v="5"/>
    <x v="0"/>
    <x v="10"/>
    <n v="94"/>
    <n v="3.7600000000000001E-2"/>
  </r>
  <r>
    <x v="1"/>
    <x v="53"/>
    <x v="5"/>
    <x v="0"/>
    <x v="11"/>
    <n v="94"/>
    <n v="3.5799999999999998E-2"/>
  </r>
  <r>
    <x v="1"/>
    <x v="53"/>
    <x v="5"/>
    <x v="0"/>
    <x v="12"/>
    <n v="94"/>
    <n v="3.3000000000000002E-2"/>
  </r>
  <r>
    <x v="1"/>
    <x v="53"/>
    <x v="5"/>
    <x v="0"/>
    <x v="13"/>
    <n v="98"/>
    <n v="1.66E-2"/>
  </r>
  <r>
    <x v="1"/>
    <x v="54"/>
    <x v="5"/>
    <x v="0"/>
    <x v="0"/>
    <n v="98"/>
    <n v="1.6999999999999999E-3"/>
  </r>
  <r>
    <x v="1"/>
    <x v="54"/>
    <x v="5"/>
    <x v="0"/>
    <x v="4"/>
    <n v="81"/>
    <n v="1.1999999999999999E-3"/>
  </r>
  <r>
    <x v="1"/>
    <x v="55"/>
    <x v="5"/>
    <x v="0"/>
    <x v="0"/>
    <n v="83"/>
    <n v="0.1062"/>
  </r>
  <r>
    <x v="1"/>
    <x v="55"/>
    <x v="5"/>
    <x v="0"/>
    <x v="1"/>
    <n v="92"/>
    <n v="1.2699999999999999E-2"/>
  </r>
  <r>
    <x v="1"/>
    <x v="55"/>
    <x v="5"/>
    <x v="0"/>
    <x v="2"/>
    <n v="87"/>
    <n v="4.1000000000000002E-2"/>
  </r>
  <r>
    <x v="1"/>
    <x v="55"/>
    <x v="5"/>
    <x v="0"/>
    <x v="3"/>
    <n v="82"/>
    <n v="2.8799999999999999E-2"/>
  </r>
  <r>
    <x v="1"/>
    <x v="55"/>
    <x v="5"/>
    <x v="0"/>
    <x v="4"/>
    <n v="82"/>
    <n v="5.2600000000000001E-2"/>
  </r>
  <r>
    <x v="1"/>
    <x v="55"/>
    <x v="5"/>
    <x v="0"/>
    <x v="5"/>
    <n v="78"/>
    <n v="1.4500000000000001E-2"/>
  </r>
  <r>
    <x v="1"/>
    <x v="55"/>
    <x v="5"/>
    <x v="0"/>
    <x v="6"/>
    <n v="84"/>
    <n v="1.6199999999999999E-2"/>
  </r>
  <r>
    <x v="1"/>
    <x v="55"/>
    <x v="5"/>
    <x v="0"/>
    <x v="7"/>
    <n v="86"/>
    <n v="4.0500000000000001E-2"/>
  </r>
  <r>
    <x v="1"/>
    <x v="55"/>
    <x v="5"/>
    <x v="0"/>
    <x v="8"/>
    <n v="86"/>
    <n v="6.4999999999999997E-3"/>
  </r>
  <r>
    <x v="1"/>
    <x v="55"/>
    <x v="5"/>
    <x v="0"/>
    <x v="9"/>
    <n v="85"/>
    <n v="2.1499999999999998E-2"/>
  </r>
  <r>
    <x v="1"/>
    <x v="55"/>
    <x v="5"/>
    <x v="0"/>
    <x v="10"/>
    <n v="84"/>
    <n v="1.6E-2"/>
  </r>
  <r>
    <x v="1"/>
    <x v="55"/>
    <x v="5"/>
    <x v="0"/>
    <x v="11"/>
    <n v="90"/>
    <n v="2.0299999999999999E-2"/>
  </r>
  <r>
    <x v="1"/>
    <x v="55"/>
    <x v="5"/>
    <x v="0"/>
    <x v="12"/>
    <n v="82"/>
    <n v="2.4400000000000002E-2"/>
  </r>
  <r>
    <x v="1"/>
    <x v="55"/>
    <x v="5"/>
    <x v="0"/>
    <x v="13"/>
    <n v="94"/>
    <n v="2.0400000000000001E-2"/>
  </r>
  <r>
    <x v="0"/>
    <x v="56"/>
    <x v="5"/>
    <x v="0"/>
    <x v="0"/>
    <n v="107"/>
    <n v="9.5200000000000007E-2"/>
  </r>
  <r>
    <x v="0"/>
    <x v="56"/>
    <x v="5"/>
    <x v="0"/>
    <x v="1"/>
    <n v="95"/>
    <n v="1.1900000000000001E-2"/>
  </r>
  <r>
    <x v="0"/>
    <x v="56"/>
    <x v="5"/>
    <x v="0"/>
    <x v="2"/>
    <n v="112"/>
    <n v="3.8199999999999998E-2"/>
  </r>
  <r>
    <x v="0"/>
    <x v="56"/>
    <x v="5"/>
    <x v="0"/>
    <x v="3"/>
    <n v="110"/>
    <n v="3.4700000000000002E-2"/>
  </r>
  <r>
    <x v="0"/>
    <x v="56"/>
    <x v="5"/>
    <x v="0"/>
    <x v="4"/>
    <n v="109"/>
    <n v="5.8900000000000001E-2"/>
  </r>
  <r>
    <x v="0"/>
    <x v="56"/>
    <x v="5"/>
    <x v="0"/>
    <x v="5"/>
    <n v="96"/>
    <n v="1.52E-2"/>
  </r>
  <r>
    <x v="0"/>
    <x v="56"/>
    <x v="5"/>
    <x v="0"/>
    <x v="6"/>
    <n v="95"/>
    <n v="1.7500000000000002E-2"/>
  </r>
  <r>
    <x v="0"/>
    <x v="56"/>
    <x v="5"/>
    <x v="0"/>
    <x v="7"/>
    <n v="104"/>
    <n v="4.0300000000000002E-2"/>
  </r>
  <r>
    <x v="0"/>
    <x v="56"/>
    <x v="5"/>
    <x v="0"/>
    <x v="8"/>
    <n v="97"/>
    <n v="7.6E-3"/>
  </r>
  <r>
    <x v="0"/>
    <x v="56"/>
    <x v="5"/>
    <x v="0"/>
    <x v="9"/>
    <n v="110"/>
    <n v="2.63E-2"/>
  </r>
  <r>
    <x v="0"/>
    <x v="56"/>
    <x v="5"/>
    <x v="0"/>
    <x v="10"/>
    <n v="106"/>
    <n v="1.72E-2"/>
  </r>
  <r>
    <x v="0"/>
    <x v="56"/>
    <x v="5"/>
    <x v="0"/>
    <x v="11"/>
    <n v="106"/>
    <n v="2.47E-2"/>
  </r>
  <r>
    <x v="0"/>
    <x v="56"/>
    <x v="5"/>
    <x v="0"/>
    <x v="12"/>
    <n v="108"/>
    <n v="3.0700000000000002E-2"/>
  </r>
  <r>
    <x v="0"/>
    <x v="56"/>
    <x v="5"/>
    <x v="0"/>
    <x v="13"/>
    <n v="104"/>
    <n v="2.0400000000000001E-2"/>
  </r>
  <r>
    <x v="1"/>
    <x v="57"/>
    <x v="5"/>
    <x v="0"/>
    <x v="0"/>
    <n v="26"/>
    <n v="1.5800000000000002E-2"/>
  </r>
  <r>
    <x v="1"/>
    <x v="57"/>
    <x v="5"/>
    <x v="0"/>
    <x v="1"/>
    <n v="30"/>
    <n v="1.1999999999999999E-3"/>
  </r>
  <r>
    <x v="1"/>
    <x v="57"/>
    <x v="5"/>
    <x v="0"/>
    <x v="2"/>
    <n v="27"/>
    <n v="4.0000000000000001E-3"/>
  </r>
  <r>
    <x v="1"/>
    <x v="57"/>
    <x v="5"/>
    <x v="0"/>
    <x v="3"/>
    <n v="18"/>
    <n v="2.7000000000000001E-3"/>
  </r>
  <r>
    <x v="1"/>
    <x v="57"/>
    <x v="5"/>
    <x v="0"/>
    <x v="4"/>
    <n v="18"/>
    <n v="6.8999999999999999E-3"/>
  </r>
  <r>
    <x v="1"/>
    <x v="57"/>
    <x v="5"/>
    <x v="0"/>
    <x v="5"/>
    <n v="21"/>
    <n v="1.4E-3"/>
  </r>
  <r>
    <x v="1"/>
    <x v="57"/>
    <x v="5"/>
    <x v="0"/>
    <x v="6"/>
    <n v="36"/>
    <n v="2E-3"/>
  </r>
  <r>
    <x v="1"/>
    <x v="57"/>
    <x v="5"/>
    <x v="0"/>
    <x v="7"/>
    <n v="30"/>
    <n v="5.0000000000000001E-3"/>
  </r>
  <r>
    <x v="1"/>
    <x v="57"/>
    <x v="5"/>
    <x v="0"/>
    <x v="9"/>
    <n v="22"/>
    <n v="2.3E-3"/>
  </r>
  <r>
    <x v="1"/>
    <x v="57"/>
    <x v="5"/>
    <x v="0"/>
    <x v="10"/>
    <n v="14"/>
    <n v="1E-3"/>
  </r>
  <r>
    <x v="1"/>
    <x v="57"/>
    <x v="5"/>
    <x v="0"/>
    <x v="11"/>
    <n v="15"/>
    <n v="1.8E-3"/>
  </r>
  <r>
    <x v="1"/>
    <x v="57"/>
    <x v="5"/>
    <x v="0"/>
    <x v="12"/>
    <n v="16"/>
    <n v="2.3999999999999998E-3"/>
  </r>
  <r>
    <x v="1"/>
    <x v="57"/>
    <x v="5"/>
    <x v="0"/>
    <x v="13"/>
    <n v="32"/>
    <n v="2.3E-3"/>
  </r>
  <r>
    <x v="0"/>
    <x v="58"/>
    <x v="5"/>
    <x v="0"/>
    <x v="0"/>
    <n v="99"/>
    <n v="0.19220000000000001"/>
  </r>
  <r>
    <x v="0"/>
    <x v="58"/>
    <x v="5"/>
    <x v="0"/>
    <x v="1"/>
    <n v="92"/>
    <n v="1.43E-2"/>
  </r>
  <r>
    <x v="0"/>
    <x v="58"/>
    <x v="5"/>
    <x v="0"/>
    <x v="2"/>
    <n v="102"/>
    <n v="7.9600000000000004E-2"/>
  </r>
  <r>
    <x v="0"/>
    <x v="58"/>
    <x v="5"/>
    <x v="0"/>
    <x v="3"/>
    <n v="106"/>
    <n v="8.8800000000000004E-2"/>
  </r>
  <r>
    <x v="0"/>
    <x v="58"/>
    <x v="5"/>
    <x v="0"/>
    <x v="4"/>
    <n v="94"/>
    <n v="0.1353"/>
  </r>
  <r>
    <x v="0"/>
    <x v="58"/>
    <x v="5"/>
    <x v="0"/>
    <x v="5"/>
    <n v="90"/>
    <n v="7.1300000000000002E-2"/>
  </r>
  <r>
    <x v="0"/>
    <x v="58"/>
    <x v="5"/>
    <x v="0"/>
    <x v="6"/>
    <n v="89"/>
    <n v="6.1400000000000003E-2"/>
  </r>
  <r>
    <x v="0"/>
    <x v="58"/>
    <x v="5"/>
    <x v="0"/>
    <x v="7"/>
    <n v="101"/>
    <n v="0.12889999999999999"/>
  </r>
  <r>
    <x v="0"/>
    <x v="58"/>
    <x v="5"/>
    <x v="0"/>
    <x v="8"/>
    <n v="89"/>
    <n v="1.52E-2"/>
  </r>
  <r>
    <x v="0"/>
    <x v="58"/>
    <x v="5"/>
    <x v="0"/>
    <x v="9"/>
    <n v="106"/>
    <n v="7.7600000000000002E-2"/>
  </r>
  <r>
    <x v="0"/>
    <x v="58"/>
    <x v="5"/>
    <x v="0"/>
    <x v="10"/>
    <n v="91"/>
    <n v="7.0999999999999994E-2"/>
  </r>
  <r>
    <x v="0"/>
    <x v="58"/>
    <x v="5"/>
    <x v="0"/>
    <x v="11"/>
    <n v="90"/>
    <n v="7.5600000000000001E-2"/>
  </r>
  <r>
    <x v="0"/>
    <x v="58"/>
    <x v="5"/>
    <x v="0"/>
    <x v="12"/>
    <n v="93"/>
    <n v="7.5300000000000006E-2"/>
  </r>
  <r>
    <x v="0"/>
    <x v="58"/>
    <x v="5"/>
    <x v="0"/>
    <x v="13"/>
    <n v="91"/>
    <n v="2.4799999999999999E-2"/>
  </r>
  <r>
    <x v="1"/>
    <x v="60"/>
    <x v="5"/>
    <x v="0"/>
    <x v="0"/>
    <n v="108"/>
    <n v="0.16450000000000001"/>
  </r>
  <r>
    <x v="1"/>
    <x v="60"/>
    <x v="5"/>
    <x v="0"/>
    <x v="1"/>
    <n v="98"/>
    <n v="1.67E-2"/>
  </r>
  <r>
    <x v="1"/>
    <x v="60"/>
    <x v="5"/>
    <x v="0"/>
    <x v="2"/>
    <n v="112"/>
    <n v="5.8099999999999999E-2"/>
  </r>
  <r>
    <x v="1"/>
    <x v="60"/>
    <x v="5"/>
    <x v="0"/>
    <x v="3"/>
    <n v="111"/>
    <n v="5.6800000000000003E-2"/>
  </r>
  <r>
    <x v="1"/>
    <x v="60"/>
    <x v="5"/>
    <x v="0"/>
    <x v="4"/>
    <n v="109"/>
    <n v="0.1066"/>
  </r>
  <r>
    <x v="1"/>
    <x v="60"/>
    <x v="5"/>
    <x v="0"/>
    <x v="5"/>
    <n v="103"/>
    <n v="7.2599999999999998E-2"/>
  </r>
  <r>
    <x v="1"/>
    <x v="60"/>
    <x v="5"/>
    <x v="0"/>
    <x v="6"/>
    <n v="104"/>
    <n v="7.1199999999999999E-2"/>
  </r>
  <r>
    <x v="1"/>
    <x v="60"/>
    <x v="5"/>
    <x v="0"/>
    <x v="7"/>
    <n v="110"/>
    <n v="7.0999999999999994E-2"/>
  </r>
  <r>
    <x v="1"/>
    <x v="60"/>
    <x v="5"/>
    <x v="0"/>
    <x v="8"/>
    <n v="105"/>
    <n v="2.3699999999999999E-2"/>
  </r>
  <r>
    <x v="1"/>
    <x v="60"/>
    <x v="5"/>
    <x v="0"/>
    <x v="9"/>
    <n v="111"/>
    <n v="4.7100000000000003E-2"/>
  </r>
  <r>
    <x v="1"/>
    <x v="60"/>
    <x v="5"/>
    <x v="0"/>
    <x v="10"/>
    <n v="102"/>
    <n v="6.2100000000000002E-2"/>
  </r>
  <r>
    <x v="1"/>
    <x v="60"/>
    <x v="5"/>
    <x v="0"/>
    <x v="11"/>
    <n v="107"/>
    <n v="6.0499999999999998E-2"/>
  </r>
  <r>
    <x v="1"/>
    <x v="60"/>
    <x v="5"/>
    <x v="0"/>
    <x v="12"/>
    <n v="111"/>
    <n v="5.7000000000000002E-2"/>
  </r>
  <r>
    <x v="1"/>
    <x v="60"/>
    <x v="5"/>
    <x v="0"/>
    <x v="13"/>
    <n v="101"/>
    <n v="2.7400000000000001E-2"/>
  </r>
  <r>
    <x v="0"/>
    <x v="61"/>
    <x v="5"/>
    <x v="0"/>
    <x v="0"/>
    <n v="107"/>
    <n v="0.28660000000000002"/>
  </r>
  <r>
    <x v="0"/>
    <x v="61"/>
    <x v="5"/>
    <x v="0"/>
    <x v="1"/>
    <n v="93"/>
    <n v="5.0599999999999999E-2"/>
  </r>
  <r>
    <x v="0"/>
    <x v="61"/>
    <x v="5"/>
    <x v="0"/>
    <x v="2"/>
    <n v="105"/>
    <n v="0.14230000000000001"/>
  </r>
  <r>
    <x v="0"/>
    <x v="61"/>
    <x v="5"/>
    <x v="0"/>
    <x v="3"/>
    <n v="108"/>
    <n v="0.13980000000000001"/>
  </r>
  <r>
    <x v="0"/>
    <x v="61"/>
    <x v="5"/>
    <x v="0"/>
    <x v="4"/>
    <n v="113"/>
    <n v="0.21820000000000001"/>
  </r>
  <r>
    <x v="0"/>
    <x v="61"/>
    <x v="5"/>
    <x v="0"/>
    <x v="5"/>
    <n v="100"/>
    <n v="6.3500000000000001E-2"/>
  </r>
  <r>
    <x v="0"/>
    <x v="61"/>
    <x v="5"/>
    <x v="0"/>
    <x v="6"/>
    <n v="96"/>
    <n v="7.0300000000000001E-2"/>
  </r>
  <r>
    <x v="0"/>
    <x v="61"/>
    <x v="5"/>
    <x v="0"/>
    <x v="7"/>
    <n v="106"/>
    <n v="0.18129999999999999"/>
  </r>
  <r>
    <x v="0"/>
    <x v="61"/>
    <x v="5"/>
    <x v="0"/>
    <x v="8"/>
    <n v="94"/>
    <n v="3.7199999999999997E-2"/>
  </r>
  <r>
    <x v="0"/>
    <x v="61"/>
    <x v="5"/>
    <x v="0"/>
    <x v="9"/>
    <n v="108"/>
    <n v="0.1134"/>
  </r>
  <r>
    <x v="0"/>
    <x v="61"/>
    <x v="5"/>
    <x v="0"/>
    <x v="10"/>
    <n v="107"/>
    <n v="8.8200000000000001E-2"/>
  </r>
  <r>
    <x v="0"/>
    <x v="61"/>
    <x v="5"/>
    <x v="0"/>
    <x v="11"/>
    <n v="109"/>
    <n v="0.1326"/>
  </r>
  <r>
    <x v="0"/>
    <x v="61"/>
    <x v="5"/>
    <x v="0"/>
    <x v="12"/>
    <n v="115"/>
    <n v="0.1489"/>
  </r>
  <r>
    <x v="0"/>
    <x v="61"/>
    <x v="5"/>
    <x v="0"/>
    <x v="13"/>
    <n v="95"/>
    <n v="8.5199999999999998E-2"/>
  </r>
  <r>
    <x v="1"/>
    <x v="63"/>
    <x v="5"/>
    <x v="0"/>
    <x v="0"/>
    <n v="118"/>
    <n v="0.1938"/>
  </r>
  <r>
    <x v="1"/>
    <x v="63"/>
    <x v="5"/>
    <x v="0"/>
    <x v="1"/>
    <n v="101"/>
    <n v="3.2599999999999997E-2"/>
  </r>
  <r>
    <x v="1"/>
    <x v="63"/>
    <x v="5"/>
    <x v="0"/>
    <x v="2"/>
    <n v="118"/>
    <n v="8.5400000000000004E-2"/>
  </r>
  <r>
    <x v="1"/>
    <x v="63"/>
    <x v="5"/>
    <x v="0"/>
    <x v="3"/>
    <n v="118"/>
    <n v="8.43E-2"/>
  </r>
  <r>
    <x v="1"/>
    <x v="63"/>
    <x v="5"/>
    <x v="0"/>
    <x v="4"/>
    <n v="122"/>
    <n v="0.1361"/>
  </r>
  <r>
    <x v="1"/>
    <x v="63"/>
    <x v="5"/>
    <x v="0"/>
    <x v="5"/>
    <n v="118"/>
    <n v="3.9899999999999998E-2"/>
  </r>
  <r>
    <x v="1"/>
    <x v="63"/>
    <x v="5"/>
    <x v="0"/>
    <x v="6"/>
    <n v="111"/>
    <n v="4.4999999999999998E-2"/>
  </r>
  <r>
    <x v="1"/>
    <x v="63"/>
    <x v="5"/>
    <x v="0"/>
    <x v="7"/>
    <n v="118"/>
    <n v="0.1106"/>
  </r>
  <r>
    <x v="1"/>
    <x v="63"/>
    <x v="5"/>
    <x v="0"/>
    <x v="8"/>
    <n v="108"/>
    <n v="2.3699999999999999E-2"/>
  </r>
  <r>
    <x v="1"/>
    <x v="63"/>
    <x v="5"/>
    <x v="0"/>
    <x v="9"/>
    <n v="116"/>
    <n v="6.3200000000000006E-2"/>
  </r>
  <r>
    <x v="1"/>
    <x v="63"/>
    <x v="5"/>
    <x v="0"/>
    <x v="10"/>
    <n v="119"/>
    <n v="4.7300000000000002E-2"/>
  </r>
  <r>
    <x v="1"/>
    <x v="63"/>
    <x v="5"/>
    <x v="0"/>
    <x v="11"/>
    <n v="120"/>
    <n v="7.2400000000000006E-2"/>
  </r>
  <r>
    <x v="1"/>
    <x v="63"/>
    <x v="5"/>
    <x v="0"/>
    <x v="12"/>
    <n v="124"/>
    <n v="8.2799999999999999E-2"/>
  </r>
  <r>
    <x v="1"/>
    <x v="63"/>
    <x v="5"/>
    <x v="0"/>
    <x v="13"/>
    <n v="104"/>
    <n v="5.0200000000000002E-2"/>
  </r>
  <r>
    <x v="0"/>
    <x v="64"/>
    <x v="5"/>
    <x v="0"/>
    <x v="0"/>
    <n v="99"/>
    <n v="0.14699999999999999"/>
  </r>
  <r>
    <x v="0"/>
    <x v="64"/>
    <x v="5"/>
    <x v="0"/>
    <x v="1"/>
    <n v="89"/>
    <n v="1.5900000000000001E-2"/>
  </r>
  <r>
    <x v="0"/>
    <x v="64"/>
    <x v="5"/>
    <x v="0"/>
    <x v="2"/>
    <n v="90"/>
    <n v="4.7100000000000003E-2"/>
  </r>
  <r>
    <x v="0"/>
    <x v="64"/>
    <x v="5"/>
    <x v="0"/>
    <x v="3"/>
    <n v="101"/>
    <n v="4.0300000000000002E-2"/>
  </r>
  <r>
    <x v="0"/>
    <x v="64"/>
    <x v="5"/>
    <x v="0"/>
    <x v="4"/>
    <n v="102"/>
    <n v="8.7300000000000003E-2"/>
  </r>
  <r>
    <x v="0"/>
    <x v="64"/>
    <x v="5"/>
    <x v="0"/>
    <x v="5"/>
    <n v="104"/>
    <n v="5.2299999999999999E-2"/>
  </r>
  <r>
    <x v="0"/>
    <x v="64"/>
    <x v="5"/>
    <x v="0"/>
    <x v="6"/>
    <n v="99"/>
    <n v="5.2600000000000001E-2"/>
  </r>
  <r>
    <x v="0"/>
    <x v="64"/>
    <x v="5"/>
    <x v="0"/>
    <x v="7"/>
    <n v="97"/>
    <n v="5.8700000000000002E-2"/>
  </r>
  <r>
    <x v="0"/>
    <x v="64"/>
    <x v="5"/>
    <x v="0"/>
    <x v="8"/>
    <n v="98"/>
    <n v="1.7600000000000001E-2"/>
  </r>
  <r>
    <x v="0"/>
    <x v="64"/>
    <x v="5"/>
    <x v="0"/>
    <x v="9"/>
    <n v="103"/>
    <n v="3.1699999999999999E-2"/>
  </r>
  <r>
    <x v="0"/>
    <x v="64"/>
    <x v="5"/>
    <x v="0"/>
    <x v="10"/>
    <n v="109"/>
    <n v="4.48E-2"/>
  </r>
  <r>
    <x v="0"/>
    <x v="64"/>
    <x v="5"/>
    <x v="0"/>
    <x v="11"/>
    <n v="100"/>
    <n v="4.1000000000000002E-2"/>
  </r>
  <r>
    <x v="0"/>
    <x v="64"/>
    <x v="5"/>
    <x v="0"/>
    <x v="12"/>
    <n v="96"/>
    <n v="3.7199999999999997E-2"/>
  </r>
  <r>
    <x v="0"/>
    <x v="64"/>
    <x v="5"/>
    <x v="0"/>
    <x v="13"/>
    <n v="94"/>
    <n v="2.4899999999999999E-2"/>
  </r>
  <r>
    <x v="0"/>
    <x v="65"/>
    <x v="5"/>
    <x v="0"/>
    <x v="0"/>
    <n v="102"/>
    <n v="0.35489999999999999"/>
  </r>
  <r>
    <x v="0"/>
    <x v="65"/>
    <x v="5"/>
    <x v="0"/>
    <x v="1"/>
    <n v="100"/>
    <n v="7.85E-2"/>
  </r>
  <r>
    <x v="0"/>
    <x v="65"/>
    <x v="5"/>
    <x v="0"/>
    <x v="2"/>
    <n v="104"/>
    <n v="0.1893"/>
  </r>
  <r>
    <x v="0"/>
    <x v="65"/>
    <x v="5"/>
    <x v="0"/>
    <x v="3"/>
    <n v="102"/>
    <n v="0.189"/>
  </r>
  <r>
    <x v="0"/>
    <x v="65"/>
    <x v="5"/>
    <x v="0"/>
    <x v="4"/>
    <n v="103"/>
    <n v="0.27329999999999999"/>
  </r>
  <r>
    <x v="0"/>
    <x v="65"/>
    <x v="5"/>
    <x v="0"/>
    <x v="5"/>
    <n v="101"/>
    <n v="8.5599999999999996E-2"/>
  </r>
  <r>
    <x v="0"/>
    <x v="65"/>
    <x v="5"/>
    <x v="0"/>
    <x v="6"/>
    <n v="98"/>
    <n v="8.6599999999999996E-2"/>
  </r>
  <r>
    <x v="0"/>
    <x v="65"/>
    <x v="5"/>
    <x v="0"/>
    <x v="7"/>
    <n v="101"/>
    <n v="0.2286"/>
  </r>
  <r>
    <x v="0"/>
    <x v="65"/>
    <x v="5"/>
    <x v="0"/>
    <x v="8"/>
    <n v="96"/>
    <n v="5.21E-2"/>
  </r>
  <r>
    <x v="0"/>
    <x v="65"/>
    <x v="5"/>
    <x v="0"/>
    <x v="9"/>
    <n v="102"/>
    <n v="0.15390000000000001"/>
  </r>
  <r>
    <x v="0"/>
    <x v="65"/>
    <x v="5"/>
    <x v="0"/>
    <x v="10"/>
    <n v="101"/>
    <n v="0.11990000000000001"/>
  </r>
  <r>
    <x v="0"/>
    <x v="65"/>
    <x v="5"/>
    <x v="0"/>
    <x v="11"/>
    <n v="101"/>
    <n v="0.1656"/>
  </r>
  <r>
    <x v="0"/>
    <x v="65"/>
    <x v="5"/>
    <x v="0"/>
    <x v="12"/>
    <n v="103"/>
    <n v="0.19350000000000001"/>
  </r>
  <r>
    <x v="0"/>
    <x v="65"/>
    <x v="5"/>
    <x v="0"/>
    <x v="13"/>
    <n v="98"/>
    <n v="0.1148"/>
  </r>
  <r>
    <x v="1"/>
    <x v="66"/>
    <x v="5"/>
    <x v="0"/>
    <x v="0"/>
    <n v="97"/>
    <n v="0.14710000000000001"/>
  </r>
  <r>
    <x v="1"/>
    <x v="66"/>
    <x v="5"/>
    <x v="0"/>
    <x v="1"/>
    <n v="94"/>
    <n v="2.1999999999999999E-2"/>
  </r>
  <r>
    <x v="1"/>
    <x v="66"/>
    <x v="5"/>
    <x v="0"/>
    <x v="2"/>
    <n v="99"/>
    <n v="5.4600000000000003E-2"/>
  </r>
  <r>
    <x v="1"/>
    <x v="66"/>
    <x v="5"/>
    <x v="0"/>
    <x v="3"/>
    <n v="97"/>
    <n v="5.4100000000000002E-2"/>
  </r>
  <r>
    <x v="1"/>
    <x v="66"/>
    <x v="5"/>
    <x v="0"/>
    <x v="4"/>
    <n v="99"/>
    <n v="9.5299999999999996E-2"/>
  </r>
  <r>
    <x v="1"/>
    <x v="66"/>
    <x v="5"/>
    <x v="0"/>
    <x v="5"/>
    <n v="95"/>
    <n v="2.81E-2"/>
  </r>
  <r>
    <x v="1"/>
    <x v="66"/>
    <x v="5"/>
    <x v="0"/>
    <x v="6"/>
    <n v="93"/>
    <n v="3.4099999999999998E-2"/>
  </r>
  <r>
    <x v="1"/>
    <x v="66"/>
    <x v="5"/>
    <x v="0"/>
    <x v="7"/>
    <n v="94"/>
    <n v="7.3700000000000002E-2"/>
  </r>
  <r>
    <x v="1"/>
    <x v="66"/>
    <x v="5"/>
    <x v="0"/>
    <x v="8"/>
    <n v="93"/>
    <n v="1.66E-2"/>
  </r>
  <r>
    <x v="1"/>
    <x v="66"/>
    <x v="5"/>
    <x v="0"/>
    <x v="9"/>
    <n v="96"/>
    <n v="4.2099999999999999E-2"/>
  </r>
  <r>
    <x v="1"/>
    <x v="66"/>
    <x v="5"/>
    <x v="0"/>
    <x v="10"/>
    <n v="98"/>
    <n v="3.2899999999999999E-2"/>
  </r>
  <r>
    <x v="1"/>
    <x v="66"/>
    <x v="5"/>
    <x v="0"/>
    <x v="11"/>
    <n v="99"/>
    <n v="4.4299999999999999E-2"/>
  </r>
  <r>
    <x v="1"/>
    <x v="66"/>
    <x v="5"/>
    <x v="0"/>
    <x v="12"/>
    <n v="101"/>
    <n v="4.9299999999999997E-2"/>
  </r>
  <r>
    <x v="1"/>
    <x v="66"/>
    <x v="5"/>
    <x v="0"/>
    <x v="13"/>
    <n v="96"/>
    <n v="3.6799999999999999E-2"/>
  </r>
  <r>
    <x v="0"/>
    <x v="67"/>
    <x v="5"/>
    <x v="0"/>
    <x v="0"/>
    <n v="93"/>
    <n v="0.1699"/>
  </r>
  <r>
    <x v="0"/>
    <x v="67"/>
    <x v="5"/>
    <x v="0"/>
    <x v="1"/>
    <n v="88"/>
    <n v="2.6499999999999999E-2"/>
  </r>
  <r>
    <x v="0"/>
    <x v="67"/>
    <x v="5"/>
    <x v="0"/>
    <x v="2"/>
    <n v="95"/>
    <n v="6.6000000000000003E-2"/>
  </r>
  <r>
    <x v="0"/>
    <x v="67"/>
    <x v="5"/>
    <x v="0"/>
    <x v="3"/>
    <n v="97"/>
    <n v="6.1499999999999999E-2"/>
  </r>
  <r>
    <x v="0"/>
    <x v="67"/>
    <x v="5"/>
    <x v="0"/>
    <x v="4"/>
    <n v="93"/>
    <n v="0.1182"/>
  </r>
  <r>
    <x v="0"/>
    <x v="67"/>
    <x v="5"/>
    <x v="0"/>
    <x v="5"/>
    <n v="88"/>
    <n v="8.1299999999999997E-2"/>
  </r>
  <r>
    <x v="0"/>
    <x v="67"/>
    <x v="5"/>
    <x v="0"/>
    <x v="6"/>
    <n v="92"/>
    <n v="7.8399999999999997E-2"/>
  </r>
  <r>
    <x v="0"/>
    <x v="67"/>
    <x v="5"/>
    <x v="0"/>
    <x v="7"/>
    <n v="90"/>
    <n v="7.9399999999999998E-2"/>
  </r>
  <r>
    <x v="0"/>
    <x v="67"/>
    <x v="5"/>
    <x v="0"/>
    <x v="8"/>
    <n v="95"/>
    <n v="2.98E-2"/>
  </r>
  <r>
    <x v="0"/>
    <x v="67"/>
    <x v="5"/>
    <x v="0"/>
    <x v="9"/>
    <n v="95"/>
    <n v="5.16E-2"/>
  </r>
  <r>
    <x v="0"/>
    <x v="67"/>
    <x v="5"/>
    <x v="0"/>
    <x v="10"/>
    <n v="92"/>
    <n v="7.2900000000000006E-2"/>
  </r>
  <r>
    <x v="0"/>
    <x v="67"/>
    <x v="5"/>
    <x v="0"/>
    <x v="11"/>
    <n v="92"/>
    <n v="6.9800000000000001E-2"/>
  </r>
  <r>
    <x v="0"/>
    <x v="67"/>
    <x v="5"/>
    <x v="0"/>
    <x v="12"/>
    <n v="93"/>
    <n v="6.5699999999999995E-2"/>
  </r>
  <r>
    <x v="0"/>
    <x v="67"/>
    <x v="5"/>
    <x v="0"/>
    <x v="13"/>
    <n v="90"/>
    <n v="3.95E-2"/>
  </r>
  <r>
    <x v="1"/>
    <x v="68"/>
    <x v="5"/>
    <x v="1"/>
    <x v="0"/>
    <n v="106"/>
    <n v="0.39600000000000002"/>
  </r>
  <r>
    <x v="1"/>
    <x v="68"/>
    <x v="5"/>
    <x v="1"/>
    <x v="1"/>
    <n v="99"/>
    <n v="7.3700000000000002E-2"/>
  </r>
  <r>
    <x v="1"/>
    <x v="68"/>
    <x v="5"/>
    <x v="1"/>
    <x v="2"/>
    <n v="106"/>
    <n v="0.17960000000000001"/>
  </r>
  <r>
    <x v="1"/>
    <x v="68"/>
    <x v="5"/>
    <x v="1"/>
    <x v="3"/>
    <n v="104"/>
    <n v="0.16689999999999999"/>
  </r>
  <r>
    <x v="1"/>
    <x v="68"/>
    <x v="5"/>
    <x v="1"/>
    <x v="4"/>
    <n v="107"/>
    <n v="0.27250000000000002"/>
  </r>
  <r>
    <x v="1"/>
    <x v="68"/>
    <x v="5"/>
    <x v="1"/>
    <x v="5"/>
    <n v="98"/>
    <n v="8.1000000000000003E-2"/>
  </r>
  <r>
    <x v="1"/>
    <x v="68"/>
    <x v="5"/>
    <x v="1"/>
    <x v="6"/>
    <n v="95"/>
    <n v="8.5099999999999995E-2"/>
  </r>
  <r>
    <x v="1"/>
    <x v="68"/>
    <x v="5"/>
    <x v="1"/>
    <x v="7"/>
    <n v="108"/>
    <n v="0.21590000000000001"/>
  </r>
  <r>
    <x v="1"/>
    <x v="68"/>
    <x v="5"/>
    <x v="1"/>
    <x v="8"/>
    <n v="85"/>
    <n v="4.2099999999999999E-2"/>
  </r>
  <r>
    <x v="1"/>
    <x v="68"/>
    <x v="5"/>
    <x v="1"/>
    <x v="9"/>
    <n v="103"/>
    <n v="0.1321"/>
  </r>
  <r>
    <x v="1"/>
    <x v="68"/>
    <x v="5"/>
    <x v="1"/>
    <x v="10"/>
    <n v="101"/>
    <n v="0.1037"/>
  </r>
  <r>
    <x v="1"/>
    <x v="68"/>
    <x v="5"/>
    <x v="1"/>
    <x v="11"/>
    <n v="105"/>
    <n v="0.14019999999999999"/>
  </r>
  <r>
    <x v="1"/>
    <x v="68"/>
    <x v="5"/>
    <x v="1"/>
    <x v="12"/>
    <n v="109"/>
    <n v="0.16309999999999999"/>
  </r>
  <r>
    <x v="1"/>
    <x v="68"/>
    <x v="5"/>
    <x v="1"/>
    <x v="13"/>
    <n v="98"/>
    <n v="0.109"/>
  </r>
  <r>
    <x v="0"/>
    <x v="69"/>
    <x v="5"/>
    <x v="0"/>
    <x v="0"/>
    <n v="139"/>
    <n v="2.8E-3"/>
  </r>
  <r>
    <x v="0"/>
    <x v="69"/>
    <x v="5"/>
    <x v="0"/>
    <x v="4"/>
    <n v="122"/>
    <n v="1.6999999999999999E-3"/>
  </r>
  <r>
    <x v="0"/>
    <x v="69"/>
    <x v="5"/>
    <x v="0"/>
    <x v="7"/>
    <n v="161"/>
    <n v="1.1999999999999999E-3"/>
  </r>
  <r>
    <x v="0"/>
    <x v="70"/>
    <x v="5"/>
    <x v="0"/>
    <x v="0"/>
    <n v="100"/>
    <n v="0.2172"/>
  </r>
  <r>
    <x v="0"/>
    <x v="70"/>
    <x v="5"/>
    <x v="0"/>
    <x v="1"/>
    <n v="95"/>
    <n v="3.0800000000000001E-2"/>
  </r>
  <r>
    <x v="0"/>
    <x v="70"/>
    <x v="5"/>
    <x v="0"/>
    <x v="2"/>
    <n v="105"/>
    <n v="9.1600000000000001E-2"/>
  </r>
  <r>
    <x v="0"/>
    <x v="70"/>
    <x v="5"/>
    <x v="0"/>
    <x v="3"/>
    <n v="104"/>
    <n v="8.5000000000000006E-2"/>
  </r>
  <r>
    <x v="0"/>
    <x v="70"/>
    <x v="5"/>
    <x v="0"/>
    <x v="4"/>
    <n v="100"/>
    <n v="0.1424"/>
  </r>
  <r>
    <x v="0"/>
    <x v="70"/>
    <x v="5"/>
    <x v="0"/>
    <x v="5"/>
    <n v="96"/>
    <n v="4.0399999999999998E-2"/>
  </r>
  <r>
    <x v="0"/>
    <x v="70"/>
    <x v="5"/>
    <x v="0"/>
    <x v="6"/>
    <n v="94"/>
    <n v="4.2200000000000001E-2"/>
  </r>
  <r>
    <x v="0"/>
    <x v="70"/>
    <x v="5"/>
    <x v="0"/>
    <x v="7"/>
    <n v="90"/>
    <n v="9.4500000000000001E-2"/>
  </r>
  <r>
    <x v="0"/>
    <x v="70"/>
    <x v="5"/>
    <x v="0"/>
    <x v="8"/>
    <n v="94"/>
    <n v="1.8499999999999999E-2"/>
  </r>
  <r>
    <x v="0"/>
    <x v="70"/>
    <x v="5"/>
    <x v="0"/>
    <x v="9"/>
    <n v="104"/>
    <n v="6.7500000000000004E-2"/>
  </r>
  <r>
    <x v="0"/>
    <x v="70"/>
    <x v="5"/>
    <x v="0"/>
    <x v="10"/>
    <n v="98"/>
    <n v="4.87E-2"/>
  </r>
  <r>
    <x v="0"/>
    <x v="70"/>
    <x v="5"/>
    <x v="0"/>
    <x v="11"/>
    <n v="99"/>
    <n v="6.9900000000000004E-2"/>
  </r>
  <r>
    <x v="0"/>
    <x v="70"/>
    <x v="5"/>
    <x v="0"/>
    <x v="12"/>
    <n v="101"/>
    <n v="8.1000000000000003E-2"/>
  </r>
  <r>
    <x v="0"/>
    <x v="70"/>
    <x v="5"/>
    <x v="0"/>
    <x v="13"/>
    <n v="98"/>
    <n v="4.65E-2"/>
  </r>
  <r>
    <x v="1"/>
    <x v="71"/>
    <x v="5"/>
    <x v="0"/>
    <x v="0"/>
    <n v="100"/>
    <n v="6.1600000000000002E-2"/>
  </r>
  <r>
    <x v="1"/>
    <x v="71"/>
    <x v="5"/>
    <x v="0"/>
    <x v="1"/>
    <n v="65"/>
    <n v="5.4000000000000003E-3"/>
  </r>
  <r>
    <x v="1"/>
    <x v="71"/>
    <x v="5"/>
    <x v="0"/>
    <x v="2"/>
    <n v="86"/>
    <n v="1.61E-2"/>
  </r>
  <r>
    <x v="1"/>
    <x v="71"/>
    <x v="5"/>
    <x v="0"/>
    <x v="3"/>
    <n v="95"/>
    <n v="1.41E-2"/>
  </r>
  <r>
    <x v="1"/>
    <x v="71"/>
    <x v="5"/>
    <x v="0"/>
    <x v="4"/>
    <n v="98"/>
    <n v="3.56E-2"/>
  </r>
  <r>
    <x v="1"/>
    <x v="71"/>
    <x v="5"/>
    <x v="0"/>
    <x v="5"/>
    <n v="139"/>
    <n v="7.4000000000000003E-3"/>
  </r>
  <r>
    <x v="1"/>
    <x v="71"/>
    <x v="5"/>
    <x v="0"/>
    <x v="6"/>
    <n v="135"/>
    <n v="8.8000000000000005E-3"/>
  </r>
  <r>
    <x v="1"/>
    <x v="71"/>
    <x v="5"/>
    <x v="0"/>
    <x v="7"/>
    <n v="101"/>
    <n v="2.63E-2"/>
  </r>
  <r>
    <x v="1"/>
    <x v="71"/>
    <x v="5"/>
    <x v="0"/>
    <x v="8"/>
    <n v="88"/>
    <n v="3.8E-3"/>
  </r>
  <r>
    <x v="1"/>
    <x v="71"/>
    <x v="5"/>
    <x v="0"/>
    <x v="9"/>
    <n v="94"/>
    <n v="9.4999999999999998E-3"/>
  </r>
  <r>
    <x v="1"/>
    <x v="71"/>
    <x v="5"/>
    <x v="0"/>
    <x v="10"/>
    <n v="105"/>
    <n v="7.9000000000000008E-3"/>
  </r>
  <r>
    <x v="1"/>
    <x v="71"/>
    <x v="5"/>
    <x v="0"/>
    <x v="11"/>
    <n v="102"/>
    <n v="1.18E-2"/>
  </r>
  <r>
    <x v="1"/>
    <x v="71"/>
    <x v="5"/>
    <x v="0"/>
    <x v="12"/>
    <n v="100"/>
    <n v="1.52E-2"/>
  </r>
  <r>
    <x v="1"/>
    <x v="71"/>
    <x v="5"/>
    <x v="0"/>
    <x v="13"/>
    <n v="80"/>
    <n v="9.4999999999999998E-3"/>
  </r>
  <r>
    <x v="0"/>
    <x v="72"/>
    <x v="5"/>
    <x v="0"/>
    <x v="0"/>
    <n v="118"/>
    <n v="9.6500000000000002E-2"/>
  </r>
  <r>
    <x v="0"/>
    <x v="72"/>
    <x v="5"/>
    <x v="0"/>
    <x v="1"/>
    <n v="105"/>
    <n v="1.38E-2"/>
  </r>
  <r>
    <x v="0"/>
    <x v="72"/>
    <x v="5"/>
    <x v="0"/>
    <x v="2"/>
    <n v="123"/>
    <n v="4.1300000000000003E-2"/>
  </r>
  <r>
    <x v="0"/>
    <x v="72"/>
    <x v="5"/>
    <x v="0"/>
    <x v="3"/>
    <n v="122"/>
    <n v="3.85E-2"/>
  </r>
  <r>
    <x v="0"/>
    <x v="72"/>
    <x v="5"/>
    <x v="0"/>
    <x v="4"/>
    <n v="120"/>
    <n v="6.1100000000000002E-2"/>
  </r>
  <r>
    <x v="0"/>
    <x v="72"/>
    <x v="5"/>
    <x v="0"/>
    <x v="5"/>
    <n v="105"/>
    <n v="1.3599999999999999E-2"/>
  </r>
  <r>
    <x v="0"/>
    <x v="72"/>
    <x v="5"/>
    <x v="0"/>
    <x v="6"/>
    <n v="104"/>
    <n v="1.6899999999999998E-2"/>
  </r>
  <r>
    <x v="0"/>
    <x v="72"/>
    <x v="5"/>
    <x v="0"/>
    <x v="7"/>
    <n v="115"/>
    <n v="5.2200000000000003E-2"/>
  </r>
  <r>
    <x v="0"/>
    <x v="72"/>
    <x v="5"/>
    <x v="0"/>
    <x v="8"/>
    <n v="103"/>
    <n v="8.3999999999999995E-3"/>
  </r>
  <r>
    <x v="0"/>
    <x v="72"/>
    <x v="5"/>
    <x v="0"/>
    <x v="9"/>
    <n v="124"/>
    <n v="3.0200000000000001E-2"/>
  </r>
  <r>
    <x v="0"/>
    <x v="72"/>
    <x v="5"/>
    <x v="0"/>
    <x v="10"/>
    <n v="119"/>
    <n v="1.8100000000000002E-2"/>
  </r>
  <r>
    <x v="0"/>
    <x v="72"/>
    <x v="5"/>
    <x v="0"/>
    <x v="11"/>
    <n v="118"/>
    <n v="2.6100000000000002E-2"/>
  </r>
  <r>
    <x v="0"/>
    <x v="72"/>
    <x v="5"/>
    <x v="0"/>
    <x v="12"/>
    <n v="121"/>
    <n v="3.2300000000000002E-2"/>
  </r>
  <r>
    <x v="0"/>
    <x v="72"/>
    <x v="5"/>
    <x v="0"/>
    <x v="13"/>
    <n v="110"/>
    <n v="2.41E-2"/>
  </r>
  <r>
    <x v="0"/>
    <x v="73"/>
    <x v="5"/>
    <x v="0"/>
    <x v="0"/>
    <n v="104"/>
    <n v="0.3422"/>
  </r>
  <r>
    <x v="0"/>
    <x v="73"/>
    <x v="5"/>
    <x v="0"/>
    <x v="1"/>
    <n v="98"/>
    <n v="0.1492"/>
  </r>
  <r>
    <x v="0"/>
    <x v="73"/>
    <x v="5"/>
    <x v="0"/>
    <x v="2"/>
    <n v="105"/>
    <n v="0.22800000000000001"/>
  </r>
  <r>
    <x v="0"/>
    <x v="73"/>
    <x v="5"/>
    <x v="0"/>
    <x v="3"/>
    <n v="106"/>
    <n v="0.2356"/>
  </r>
  <r>
    <x v="0"/>
    <x v="73"/>
    <x v="5"/>
    <x v="0"/>
    <x v="4"/>
    <n v="105"/>
    <n v="0.28949999999999998"/>
  </r>
  <r>
    <x v="0"/>
    <x v="73"/>
    <x v="5"/>
    <x v="0"/>
    <x v="5"/>
    <n v="104"/>
    <n v="0.2162"/>
  </r>
  <r>
    <x v="0"/>
    <x v="73"/>
    <x v="5"/>
    <x v="0"/>
    <x v="6"/>
    <n v="100"/>
    <n v="0.2074"/>
  </r>
  <r>
    <x v="0"/>
    <x v="73"/>
    <x v="5"/>
    <x v="0"/>
    <x v="7"/>
    <n v="103"/>
    <n v="0.2316"/>
  </r>
  <r>
    <x v="0"/>
    <x v="73"/>
    <x v="5"/>
    <x v="0"/>
    <x v="8"/>
    <n v="98"/>
    <n v="0.11650000000000001"/>
  </r>
  <r>
    <x v="0"/>
    <x v="73"/>
    <x v="5"/>
    <x v="0"/>
    <x v="9"/>
    <n v="105"/>
    <n v="0.21390000000000001"/>
  </r>
  <r>
    <x v="0"/>
    <x v="73"/>
    <x v="5"/>
    <x v="0"/>
    <x v="10"/>
    <n v="104"/>
    <n v="0.2157"/>
  </r>
  <r>
    <x v="0"/>
    <x v="73"/>
    <x v="5"/>
    <x v="0"/>
    <x v="11"/>
    <n v="106"/>
    <n v="0.22289999999999999"/>
  </r>
  <r>
    <x v="0"/>
    <x v="73"/>
    <x v="5"/>
    <x v="0"/>
    <x v="12"/>
    <n v="105"/>
    <n v="0.22500000000000001"/>
  </r>
  <r>
    <x v="0"/>
    <x v="73"/>
    <x v="5"/>
    <x v="0"/>
    <x v="13"/>
    <n v="98"/>
    <n v="0.17879999999999999"/>
  </r>
  <r>
    <x v="0"/>
    <x v="74"/>
    <x v="5"/>
    <x v="0"/>
    <x v="0"/>
    <n v="104"/>
    <n v="0.16520000000000001"/>
  </r>
  <r>
    <x v="0"/>
    <x v="74"/>
    <x v="5"/>
    <x v="0"/>
    <x v="1"/>
    <n v="76"/>
    <n v="7.3000000000000001E-3"/>
  </r>
  <r>
    <x v="0"/>
    <x v="74"/>
    <x v="5"/>
    <x v="0"/>
    <x v="2"/>
    <n v="100"/>
    <n v="6.8699999999999997E-2"/>
  </r>
  <r>
    <x v="0"/>
    <x v="74"/>
    <x v="5"/>
    <x v="0"/>
    <x v="3"/>
    <n v="113"/>
    <n v="7.8399999999999997E-2"/>
  </r>
  <r>
    <x v="0"/>
    <x v="74"/>
    <x v="5"/>
    <x v="0"/>
    <x v="4"/>
    <n v="103"/>
    <n v="0.1196"/>
  </r>
  <r>
    <x v="0"/>
    <x v="74"/>
    <x v="5"/>
    <x v="0"/>
    <x v="5"/>
    <n v="99"/>
    <n v="4.1000000000000002E-2"/>
  </r>
  <r>
    <x v="0"/>
    <x v="74"/>
    <x v="5"/>
    <x v="0"/>
    <x v="6"/>
    <n v="91"/>
    <n v="3.3799999999999997E-2"/>
  </r>
  <r>
    <x v="0"/>
    <x v="74"/>
    <x v="5"/>
    <x v="0"/>
    <x v="7"/>
    <n v="103"/>
    <n v="7.4499999999999997E-2"/>
  </r>
  <r>
    <x v="0"/>
    <x v="74"/>
    <x v="5"/>
    <x v="0"/>
    <x v="8"/>
    <n v="84"/>
    <n v="7.7999999999999996E-3"/>
  </r>
  <r>
    <x v="0"/>
    <x v="74"/>
    <x v="5"/>
    <x v="0"/>
    <x v="9"/>
    <n v="115"/>
    <n v="7.0499999999999993E-2"/>
  </r>
  <r>
    <x v="0"/>
    <x v="74"/>
    <x v="5"/>
    <x v="0"/>
    <x v="10"/>
    <n v="101"/>
    <n v="4.53E-2"/>
  </r>
  <r>
    <x v="0"/>
    <x v="74"/>
    <x v="5"/>
    <x v="0"/>
    <x v="11"/>
    <n v="102"/>
    <n v="6.7100000000000007E-2"/>
  </r>
  <r>
    <x v="0"/>
    <x v="74"/>
    <x v="5"/>
    <x v="0"/>
    <x v="12"/>
    <n v="105"/>
    <n v="7.4099999999999999E-2"/>
  </r>
  <r>
    <x v="0"/>
    <x v="74"/>
    <x v="5"/>
    <x v="0"/>
    <x v="13"/>
    <n v="82"/>
    <n v="1.3100000000000001E-2"/>
  </r>
  <r>
    <x v="1"/>
    <x v="75"/>
    <x v="5"/>
    <x v="0"/>
    <x v="0"/>
    <n v="97"/>
    <n v="0.1769"/>
  </r>
  <r>
    <x v="1"/>
    <x v="75"/>
    <x v="5"/>
    <x v="0"/>
    <x v="1"/>
    <n v="104"/>
    <n v="2.2599999999999999E-2"/>
  </r>
  <r>
    <x v="1"/>
    <x v="75"/>
    <x v="5"/>
    <x v="0"/>
    <x v="2"/>
    <n v="102"/>
    <n v="7.17E-2"/>
  </r>
  <r>
    <x v="1"/>
    <x v="75"/>
    <x v="5"/>
    <x v="0"/>
    <x v="3"/>
    <n v="104"/>
    <n v="6.5799999999999997E-2"/>
  </r>
  <r>
    <x v="1"/>
    <x v="75"/>
    <x v="5"/>
    <x v="0"/>
    <x v="4"/>
    <n v="95"/>
    <n v="0.1229"/>
  </r>
  <r>
    <x v="1"/>
    <x v="75"/>
    <x v="5"/>
    <x v="0"/>
    <x v="5"/>
    <n v="95"/>
    <n v="8.0699999999999994E-2"/>
  </r>
  <r>
    <x v="1"/>
    <x v="75"/>
    <x v="5"/>
    <x v="0"/>
    <x v="6"/>
    <n v="92"/>
    <n v="7.3499999999999996E-2"/>
  </r>
  <r>
    <x v="1"/>
    <x v="75"/>
    <x v="5"/>
    <x v="0"/>
    <x v="7"/>
    <n v="97"/>
    <n v="8.6300000000000002E-2"/>
  </r>
  <r>
    <x v="1"/>
    <x v="75"/>
    <x v="5"/>
    <x v="0"/>
    <x v="8"/>
    <n v="97"/>
    <n v="2.3699999999999999E-2"/>
  </r>
  <r>
    <x v="1"/>
    <x v="75"/>
    <x v="5"/>
    <x v="0"/>
    <x v="9"/>
    <n v="106"/>
    <n v="5.5100000000000003E-2"/>
  </r>
  <r>
    <x v="1"/>
    <x v="75"/>
    <x v="5"/>
    <x v="0"/>
    <x v="10"/>
    <n v="98"/>
    <n v="7.2599999999999998E-2"/>
  </r>
  <r>
    <x v="1"/>
    <x v="75"/>
    <x v="5"/>
    <x v="0"/>
    <x v="11"/>
    <n v="94"/>
    <n v="7.1900000000000006E-2"/>
  </r>
  <r>
    <x v="1"/>
    <x v="75"/>
    <x v="5"/>
    <x v="0"/>
    <x v="12"/>
    <n v="92"/>
    <n v="6.9199999999999998E-2"/>
  </r>
  <r>
    <x v="1"/>
    <x v="75"/>
    <x v="5"/>
    <x v="0"/>
    <x v="13"/>
    <n v="100"/>
    <n v="3.4799999999999998E-2"/>
  </r>
  <r>
    <x v="0"/>
    <x v="76"/>
    <x v="5"/>
    <x v="0"/>
    <x v="0"/>
    <n v="87"/>
    <n v="0.1774"/>
  </r>
  <r>
    <x v="0"/>
    <x v="76"/>
    <x v="5"/>
    <x v="0"/>
    <x v="1"/>
    <n v="86"/>
    <n v="2.1899999999999999E-2"/>
  </r>
  <r>
    <x v="0"/>
    <x v="76"/>
    <x v="5"/>
    <x v="0"/>
    <x v="2"/>
    <n v="88"/>
    <n v="5.8900000000000001E-2"/>
  </r>
  <r>
    <x v="0"/>
    <x v="76"/>
    <x v="5"/>
    <x v="0"/>
    <x v="3"/>
    <n v="88"/>
    <n v="6.0400000000000002E-2"/>
  </r>
  <r>
    <x v="0"/>
    <x v="76"/>
    <x v="5"/>
    <x v="0"/>
    <x v="4"/>
    <n v="82"/>
    <n v="0.1201"/>
  </r>
  <r>
    <x v="0"/>
    <x v="76"/>
    <x v="5"/>
    <x v="0"/>
    <x v="5"/>
    <n v="82"/>
    <n v="3.0200000000000001E-2"/>
  </r>
  <r>
    <x v="0"/>
    <x v="76"/>
    <x v="5"/>
    <x v="0"/>
    <x v="6"/>
    <n v="86"/>
    <n v="3.3799999999999997E-2"/>
  </r>
  <r>
    <x v="0"/>
    <x v="76"/>
    <x v="5"/>
    <x v="0"/>
    <x v="7"/>
    <n v="91"/>
    <n v="8.7800000000000003E-2"/>
  </r>
  <r>
    <x v="0"/>
    <x v="76"/>
    <x v="5"/>
    <x v="0"/>
    <x v="8"/>
    <n v="86"/>
    <n v="1.6400000000000001E-2"/>
  </r>
  <r>
    <x v="0"/>
    <x v="76"/>
    <x v="5"/>
    <x v="0"/>
    <x v="9"/>
    <n v="90"/>
    <n v="4.65E-2"/>
  </r>
  <r>
    <x v="0"/>
    <x v="76"/>
    <x v="5"/>
    <x v="0"/>
    <x v="10"/>
    <n v="80"/>
    <n v="3.3300000000000003E-2"/>
  </r>
  <r>
    <x v="0"/>
    <x v="76"/>
    <x v="5"/>
    <x v="0"/>
    <x v="11"/>
    <n v="80"/>
    <n v="4.8300000000000003E-2"/>
  </r>
  <r>
    <x v="0"/>
    <x v="76"/>
    <x v="5"/>
    <x v="0"/>
    <x v="12"/>
    <n v="81"/>
    <n v="5.9299999999999999E-2"/>
  </r>
  <r>
    <x v="0"/>
    <x v="76"/>
    <x v="5"/>
    <x v="0"/>
    <x v="13"/>
    <n v="88"/>
    <n v="3.4599999999999999E-2"/>
  </r>
  <r>
    <x v="1"/>
    <x v="77"/>
    <x v="5"/>
    <x v="0"/>
    <x v="0"/>
    <n v="80"/>
    <n v="6.3299999999999995E-2"/>
  </r>
  <r>
    <x v="1"/>
    <x v="77"/>
    <x v="5"/>
    <x v="0"/>
    <x v="1"/>
    <n v="100"/>
    <n v="7.1000000000000004E-3"/>
  </r>
  <r>
    <x v="1"/>
    <x v="77"/>
    <x v="5"/>
    <x v="0"/>
    <x v="2"/>
    <n v="90"/>
    <n v="1.9099999999999999E-2"/>
  </r>
  <r>
    <x v="1"/>
    <x v="77"/>
    <x v="5"/>
    <x v="0"/>
    <x v="3"/>
    <n v="83"/>
    <n v="1.6500000000000001E-2"/>
  </r>
  <r>
    <x v="1"/>
    <x v="77"/>
    <x v="5"/>
    <x v="0"/>
    <x v="4"/>
    <n v="78"/>
    <n v="3.5999999999999997E-2"/>
  </r>
  <r>
    <x v="1"/>
    <x v="77"/>
    <x v="5"/>
    <x v="0"/>
    <x v="5"/>
    <n v="61"/>
    <n v="6.1000000000000004E-3"/>
  </r>
  <r>
    <x v="1"/>
    <x v="77"/>
    <x v="5"/>
    <x v="0"/>
    <x v="6"/>
    <n v="63"/>
    <n v="8.6999999999999994E-3"/>
  </r>
  <r>
    <x v="1"/>
    <x v="77"/>
    <x v="5"/>
    <x v="0"/>
    <x v="7"/>
    <n v="75"/>
    <n v="2.18E-2"/>
  </r>
  <r>
    <x v="1"/>
    <x v="77"/>
    <x v="5"/>
    <x v="0"/>
    <x v="8"/>
    <n v="97"/>
    <n v="5.3E-3"/>
  </r>
  <r>
    <x v="1"/>
    <x v="77"/>
    <x v="5"/>
    <x v="0"/>
    <x v="9"/>
    <n v="81"/>
    <n v="1.12E-2"/>
  </r>
  <r>
    <x v="1"/>
    <x v="77"/>
    <x v="5"/>
    <x v="0"/>
    <x v="10"/>
    <n v="65"/>
    <n v="7.1999999999999998E-3"/>
  </r>
  <r>
    <x v="1"/>
    <x v="77"/>
    <x v="5"/>
    <x v="0"/>
    <x v="11"/>
    <n v="73"/>
    <n v="1.15E-2"/>
  </r>
  <r>
    <x v="1"/>
    <x v="77"/>
    <x v="5"/>
    <x v="0"/>
    <x v="12"/>
    <n v="76"/>
    <n v="1.47E-2"/>
  </r>
  <r>
    <x v="1"/>
    <x v="77"/>
    <x v="5"/>
    <x v="0"/>
    <x v="13"/>
    <n v="87"/>
    <n v="1.03E-2"/>
  </r>
  <r>
    <x v="1"/>
    <x v="78"/>
    <x v="5"/>
    <x v="0"/>
    <x v="0"/>
    <n v="114"/>
    <n v="0.1527"/>
  </r>
  <r>
    <x v="1"/>
    <x v="78"/>
    <x v="5"/>
    <x v="0"/>
    <x v="1"/>
    <n v="120"/>
    <n v="1.35E-2"/>
  </r>
  <r>
    <x v="1"/>
    <x v="78"/>
    <x v="5"/>
    <x v="0"/>
    <x v="2"/>
    <n v="112"/>
    <n v="5.67E-2"/>
  </r>
  <r>
    <x v="1"/>
    <x v="78"/>
    <x v="5"/>
    <x v="0"/>
    <x v="3"/>
    <n v="117"/>
    <n v="5.11E-2"/>
  </r>
  <r>
    <x v="1"/>
    <x v="78"/>
    <x v="5"/>
    <x v="0"/>
    <x v="4"/>
    <n v="114"/>
    <n v="0.1019"/>
  </r>
  <r>
    <x v="1"/>
    <x v="78"/>
    <x v="5"/>
    <x v="0"/>
    <x v="5"/>
    <n v="115"/>
    <n v="6.5799999999999997E-2"/>
  </r>
  <r>
    <x v="1"/>
    <x v="78"/>
    <x v="5"/>
    <x v="0"/>
    <x v="6"/>
    <n v="112"/>
    <n v="5.5800000000000002E-2"/>
  </r>
  <r>
    <x v="1"/>
    <x v="78"/>
    <x v="5"/>
    <x v="0"/>
    <x v="7"/>
    <n v="111"/>
    <n v="6.3799999999999996E-2"/>
  </r>
  <r>
    <x v="1"/>
    <x v="78"/>
    <x v="5"/>
    <x v="0"/>
    <x v="8"/>
    <n v="112"/>
    <n v="1.17E-2"/>
  </r>
  <r>
    <x v="1"/>
    <x v="78"/>
    <x v="5"/>
    <x v="0"/>
    <x v="9"/>
    <n v="119"/>
    <n v="4.2099999999999999E-2"/>
  </r>
  <r>
    <x v="1"/>
    <x v="78"/>
    <x v="5"/>
    <x v="0"/>
    <x v="10"/>
    <n v="116"/>
    <n v="5.8599999999999999E-2"/>
  </r>
  <r>
    <x v="1"/>
    <x v="78"/>
    <x v="5"/>
    <x v="0"/>
    <x v="11"/>
    <n v="114"/>
    <n v="5.7299999999999997E-2"/>
  </r>
  <r>
    <x v="1"/>
    <x v="78"/>
    <x v="5"/>
    <x v="0"/>
    <x v="12"/>
    <n v="114"/>
    <n v="5.2699999999999997E-2"/>
  </r>
  <r>
    <x v="1"/>
    <x v="78"/>
    <x v="5"/>
    <x v="0"/>
    <x v="13"/>
    <n v="116"/>
    <n v="2.1700000000000001E-2"/>
  </r>
  <r>
    <x v="1"/>
    <x v="79"/>
    <x v="5"/>
    <x v="1"/>
    <x v="0"/>
    <n v="102"/>
    <n v="0.94259999999999999"/>
  </r>
  <r>
    <x v="1"/>
    <x v="79"/>
    <x v="5"/>
    <x v="1"/>
    <x v="1"/>
    <n v="99"/>
    <n v="0.39689999999999998"/>
  </r>
  <r>
    <x v="1"/>
    <x v="79"/>
    <x v="5"/>
    <x v="1"/>
    <x v="2"/>
    <n v="107"/>
    <n v="0.66020000000000001"/>
  </r>
  <r>
    <x v="1"/>
    <x v="79"/>
    <x v="5"/>
    <x v="1"/>
    <x v="3"/>
    <n v="106"/>
    <n v="0.67130000000000001"/>
  </r>
  <r>
    <x v="1"/>
    <x v="79"/>
    <x v="5"/>
    <x v="1"/>
    <x v="4"/>
    <n v="103"/>
    <n v="0.871"/>
  </r>
  <r>
    <x v="1"/>
    <x v="79"/>
    <x v="5"/>
    <x v="1"/>
    <x v="5"/>
    <n v="100"/>
    <n v="0.34489999999999998"/>
  </r>
  <r>
    <x v="1"/>
    <x v="79"/>
    <x v="5"/>
    <x v="1"/>
    <x v="6"/>
    <n v="99"/>
    <n v="0.37719999999999998"/>
  </r>
  <r>
    <x v="1"/>
    <x v="79"/>
    <x v="5"/>
    <x v="1"/>
    <x v="7"/>
    <n v="98"/>
    <n v="0.89480000000000004"/>
  </r>
  <r>
    <x v="1"/>
    <x v="79"/>
    <x v="5"/>
    <x v="1"/>
    <x v="8"/>
    <n v="95"/>
    <n v="0.2545"/>
  </r>
  <r>
    <x v="1"/>
    <x v="79"/>
    <x v="5"/>
    <x v="1"/>
    <x v="9"/>
    <n v="105"/>
    <n v="0.59530000000000005"/>
  </r>
  <r>
    <x v="1"/>
    <x v="79"/>
    <x v="5"/>
    <x v="1"/>
    <x v="10"/>
    <n v="103"/>
    <n v="0.49890000000000001"/>
  </r>
  <r>
    <x v="1"/>
    <x v="79"/>
    <x v="5"/>
    <x v="1"/>
    <x v="11"/>
    <n v="103"/>
    <n v="0.65029999999999999"/>
  </r>
  <r>
    <x v="1"/>
    <x v="79"/>
    <x v="5"/>
    <x v="1"/>
    <x v="12"/>
    <n v="104"/>
    <n v="0.71750000000000003"/>
  </r>
  <r>
    <x v="1"/>
    <x v="79"/>
    <x v="5"/>
    <x v="1"/>
    <x v="13"/>
    <n v="99"/>
    <n v="0.54400000000000004"/>
  </r>
  <r>
    <x v="0"/>
    <x v="80"/>
    <x v="5"/>
    <x v="0"/>
    <x v="0"/>
    <n v="99"/>
    <n v="0.28310000000000002"/>
  </r>
  <r>
    <x v="0"/>
    <x v="80"/>
    <x v="5"/>
    <x v="0"/>
    <x v="1"/>
    <n v="86"/>
    <n v="2.7799999999999998E-2"/>
  </r>
  <r>
    <x v="0"/>
    <x v="80"/>
    <x v="5"/>
    <x v="0"/>
    <x v="2"/>
    <n v="101"/>
    <n v="8.9499999999999996E-2"/>
  </r>
  <r>
    <x v="0"/>
    <x v="80"/>
    <x v="5"/>
    <x v="0"/>
    <x v="3"/>
    <n v="108"/>
    <n v="9.3299999999999994E-2"/>
  </r>
  <r>
    <x v="0"/>
    <x v="80"/>
    <x v="5"/>
    <x v="0"/>
    <x v="4"/>
    <n v="102"/>
    <n v="0.20080000000000001"/>
  </r>
  <r>
    <x v="0"/>
    <x v="80"/>
    <x v="5"/>
    <x v="0"/>
    <x v="5"/>
    <n v="98"/>
    <n v="0.13250000000000001"/>
  </r>
  <r>
    <x v="0"/>
    <x v="80"/>
    <x v="5"/>
    <x v="0"/>
    <x v="6"/>
    <n v="94"/>
    <n v="0.1211"/>
  </r>
  <r>
    <x v="0"/>
    <x v="80"/>
    <x v="5"/>
    <x v="0"/>
    <x v="7"/>
    <n v="97"/>
    <n v="0.1109"/>
  </r>
  <r>
    <x v="0"/>
    <x v="80"/>
    <x v="5"/>
    <x v="0"/>
    <x v="8"/>
    <n v="86"/>
    <n v="3.3099999999999997E-2"/>
  </r>
  <r>
    <x v="0"/>
    <x v="80"/>
    <x v="5"/>
    <x v="0"/>
    <x v="9"/>
    <n v="110"/>
    <n v="7.4200000000000002E-2"/>
  </r>
  <r>
    <x v="0"/>
    <x v="80"/>
    <x v="5"/>
    <x v="0"/>
    <x v="10"/>
    <n v="99"/>
    <n v="0.1196"/>
  </r>
  <r>
    <x v="0"/>
    <x v="80"/>
    <x v="5"/>
    <x v="0"/>
    <x v="11"/>
    <n v="102"/>
    <n v="0.1124"/>
  </r>
  <r>
    <x v="0"/>
    <x v="80"/>
    <x v="5"/>
    <x v="0"/>
    <x v="12"/>
    <n v="102"/>
    <n v="0.1021"/>
  </r>
  <r>
    <x v="0"/>
    <x v="80"/>
    <x v="5"/>
    <x v="0"/>
    <x v="13"/>
    <n v="89"/>
    <n v="4.4299999999999999E-2"/>
  </r>
  <r>
    <x v="1"/>
    <x v="82"/>
    <x v="5"/>
    <x v="0"/>
    <x v="0"/>
    <n v="72"/>
    <n v="6.7400000000000002E-2"/>
  </r>
  <r>
    <x v="1"/>
    <x v="82"/>
    <x v="5"/>
    <x v="0"/>
    <x v="1"/>
    <n v="74"/>
    <n v="3.3999999999999998E-3"/>
  </r>
  <r>
    <x v="1"/>
    <x v="82"/>
    <x v="5"/>
    <x v="0"/>
    <x v="2"/>
    <n v="86"/>
    <n v="1.5299999999999999E-2"/>
  </r>
  <r>
    <x v="1"/>
    <x v="82"/>
    <x v="5"/>
    <x v="0"/>
    <x v="3"/>
    <n v="96"/>
    <n v="1.44E-2"/>
  </r>
  <r>
    <x v="1"/>
    <x v="82"/>
    <x v="5"/>
    <x v="0"/>
    <x v="4"/>
    <n v="69"/>
    <n v="4.5100000000000001E-2"/>
  </r>
  <r>
    <x v="1"/>
    <x v="82"/>
    <x v="5"/>
    <x v="0"/>
    <x v="5"/>
    <n v="63"/>
    <n v="1.9E-2"/>
  </r>
  <r>
    <x v="1"/>
    <x v="82"/>
    <x v="5"/>
    <x v="0"/>
    <x v="6"/>
    <n v="60"/>
    <n v="1.49E-2"/>
  </r>
  <r>
    <x v="1"/>
    <x v="82"/>
    <x v="5"/>
    <x v="0"/>
    <x v="7"/>
    <n v="77"/>
    <n v="2.4400000000000002E-2"/>
  </r>
  <r>
    <x v="1"/>
    <x v="82"/>
    <x v="5"/>
    <x v="0"/>
    <x v="8"/>
    <n v="51"/>
    <n v="3.7000000000000002E-3"/>
  </r>
  <r>
    <x v="1"/>
    <x v="82"/>
    <x v="5"/>
    <x v="0"/>
    <x v="9"/>
    <n v="100"/>
    <n v="1.0200000000000001E-2"/>
  </r>
  <r>
    <x v="1"/>
    <x v="82"/>
    <x v="5"/>
    <x v="0"/>
    <x v="10"/>
    <n v="64"/>
    <n v="2.12E-2"/>
  </r>
  <r>
    <x v="1"/>
    <x v="82"/>
    <x v="5"/>
    <x v="0"/>
    <x v="11"/>
    <n v="68"/>
    <n v="2.2599999999999999E-2"/>
  </r>
  <r>
    <x v="1"/>
    <x v="82"/>
    <x v="5"/>
    <x v="0"/>
    <x v="12"/>
    <n v="71"/>
    <n v="0.02"/>
  </r>
  <r>
    <x v="1"/>
    <x v="82"/>
    <x v="5"/>
    <x v="0"/>
    <x v="13"/>
    <n v="70"/>
    <n v="5.4999999999999997E-3"/>
  </r>
  <r>
    <x v="1"/>
    <x v="83"/>
    <x v="5"/>
    <x v="0"/>
    <x v="0"/>
    <n v="81"/>
    <n v="6.1100000000000002E-2"/>
  </r>
  <r>
    <x v="1"/>
    <x v="83"/>
    <x v="5"/>
    <x v="0"/>
    <x v="1"/>
    <n v="48"/>
    <n v="5.7000000000000002E-3"/>
  </r>
  <r>
    <x v="1"/>
    <x v="83"/>
    <x v="5"/>
    <x v="0"/>
    <x v="2"/>
    <n v="72"/>
    <n v="1.95E-2"/>
  </r>
  <r>
    <x v="1"/>
    <x v="83"/>
    <x v="5"/>
    <x v="0"/>
    <x v="3"/>
    <n v="85"/>
    <n v="2.1100000000000001E-2"/>
  </r>
  <r>
    <x v="1"/>
    <x v="83"/>
    <x v="5"/>
    <x v="0"/>
    <x v="4"/>
    <n v="85"/>
    <n v="3.1800000000000002E-2"/>
  </r>
  <r>
    <x v="1"/>
    <x v="83"/>
    <x v="5"/>
    <x v="0"/>
    <x v="5"/>
    <n v="53"/>
    <n v="4.8999999999999998E-3"/>
  </r>
  <r>
    <x v="1"/>
    <x v="83"/>
    <x v="5"/>
    <x v="0"/>
    <x v="6"/>
    <n v="63"/>
    <n v="6.7000000000000002E-3"/>
  </r>
  <r>
    <x v="1"/>
    <x v="83"/>
    <x v="5"/>
    <x v="0"/>
    <x v="7"/>
    <n v="92"/>
    <n v="2.8500000000000001E-2"/>
  </r>
  <r>
    <x v="1"/>
    <x v="83"/>
    <x v="5"/>
    <x v="0"/>
    <x v="8"/>
    <n v="70"/>
    <n v="3.7000000000000002E-3"/>
  </r>
  <r>
    <x v="1"/>
    <x v="83"/>
    <x v="5"/>
    <x v="0"/>
    <x v="9"/>
    <n v="85"/>
    <n v="1.6199999999999999E-2"/>
  </r>
  <r>
    <x v="1"/>
    <x v="83"/>
    <x v="5"/>
    <x v="0"/>
    <x v="10"/>
    <n v="71"/>
    <n v="5.7999999999999996E-3"/>
  </r>
  <r>
    <x v="1"/>
    <x v="83"/>
    <x v="5"/>
    <x v="0"/>
    <x v="11"/>
    <n v="85"/>
    <n v="9.1000000000000004E-3"/>
  </r>
  <r>
    <x v="1"/>
    <x v="83"/>
    <x v="5"/>
    <x v="0"/>
    <x v="12"/>
    <n v="86"/>
    <n v="1.2500000000000001E-2"/>
  </r>
  <r>
    <x v="1"/>
    <x v="83"/>
    <x v="5"/>
    <x v="0"/>
    <x v="13"/>
    <n v="61"/>
    <n v="9.7000000000000003E-3"/>
  </r>
  <r>
    <x v="0"/>
    <x v="84"/>
    <x v="5"/>
    <x v="0"/>
    <x v="0"/>
    <n v="88"/>
    <n v="0.1958"/>
  </r>
  <r>
    <x v="0"/>
    <x v="84"/>
    <x v="5"/>
    <x v="0"/>
    <x v="1"/>
    <n v="87"/>
    <n v="2.1100000000000001E-2"/>
  </r>
  <r>
    <x v="0"/>
    <x v="84"/>
    <x v="5"/>
    <x v="0"/>
    <x v="2"/>
    <n v="93"/>
    <n v="7.3999999999999996E-2"/>
  </r>
  <r>
    <x v="0"/>
    <x v="84"/>
    <x v="5"/>
    <x v="0"/>
    <x v="3"/>
    <n v="94"/>
    <n v="6.9900000000000004E-2"/>
  </r>
  <r>
    <x v="0"/>
    <x v="84"/>
    <x v="5"/>
    <x v="0"/>
    <x v="4"/>
    <n v="85"/>
    <n v="0.14330000000000001"/>
  </r>
  <r>
    <x v="0"/>
    <x v="84"/>
    <x v="5"/>
    <x v="0"/>
    <x v="5"/>
    <n v="85"/>
    <n v="8.72E-2"/>
  </r>
  <r>
    <x v="0"/>
    <x v="84"/>
    <x v="5"/>
    <x v="0"/>
    <x v="6"/>
    <n v="85"/>
    <n v="7.6200000000000004E-2"/>
  </r>
  <r>
    <x v="0"/>
    <x v="84"/>
    <x v="5"/>
    <x v="0"/>
    <x v="7"/>
    <n v="88"/>
    <n v="0.10630000000000001"/>
  </r>
  <r>
    <x v="0"/>
    <x v="84"/>
    <x v="5"/>
    <x v="0"/>
    <x v="8"/>
    <n v="80"/>
    <n v="2.1600000000000001E-2"/>
  </r>
  <r>
    <x v="0"/>
    <x v="84"/>
    <x v="5"/>
    <x v="0"/>
    <x v="9"/>
    <n v="95"/>
    <n v="5.7000000000000002E-2"/>
  </r>
  <r>
    <x v="0"/>
    <x v="84"/>
    <x v="5"/>
    <x v="0"/>
    <x v="10"/>
    <n v="84"/>
    <n v="8.7300000000000003E-2"/>
  </r>
  <r>
    <x v="0"/>
    <x v="84"/>
    <x v="5"/>
    <x v="0"/>
    <x v="11"/>
    <n v="85"/>
    <n v="8.7999999999999995E-2"/>
  </r>
  <r>
    <x v="0"/>
    <x v="84"/>
    <x v="5"/>
    <x v="0"/>
    <x v="12"/>
    <n v="86"/>
    <n v="8.1000000000000003E-2"/>
  </r>
  <r>
    <x v="0"/>
    <x v="84"/>
    <x v="5"/>
    <x v="0"/>
    <x v="13"/>
    <n v="86"/>
    <n v="3.27E-2"/>
  </r>
  <r>
    <x v="1"/>
    <x v="85"/>
    <x v="5"/>
    <x v="0"/>
    <x v="0"/>
    <n v="89"/>
    <n v="8.3199999999999996E-2"/>
  </r>
  <r>
    <x v="1"/>
    <x v="85"/>
    <x v="5"/>
    <x v="0"/>
    <x v="1"/>
    <n v="113"/>
    <n v="4.5999999999999999E-3"/>
  </r>
  <r>
    <x v="1"/>
    <x v="85"/>
    <x v="5"/>
    <x v="0"/>
    <x v="2"/>
    <n v="92"/>
    <n v="2.4E-2"/>
  </r>
  <r>
    <x v="1"/>
    <x v="85"/>
    <x v="5"/>
    <x v="0"/>
    <x v="3"/>
    <n v="107"/>
    <n v="1.8700000000000001E-2"/>
  </r>
  <r>
    <x v="1"/>
    <x v="85"/>
    <x v="5"/>
    <x v="0"/>
    <x v="4"/>
    <n v="90"/>
    <n v="4.4999999999999998E-2"/>
  </r>
  <r>
    <x v="1"/>
    <x v="85"/>
    <x v="5"/>
    <x v="0"/>
    <x v="5"/>
    <n v="69"/>
    <n v="2.06E-2"/>
  </r>
  <r>
    <x v="1"/>
    <x v="85"/>
    <x v="5"/>
    <x v="0"/>
    <x v="6"/>
    <n v="72"/>
    <n v="2.0199999999999999E-2"/>
  </r>
  <r>
    <x v="1"/>
    <x v="85"/>
    <x v="5"/>
    <x v="0"/>
    <x v="7"/>
    <n v="80"/>
    <n v="3.15E-2"/>
  </r>
  <r>
    <x v="1"/>
    <x v="85"/>
    <x v="5"/>
    <x v="0"/>
    <x v="8"/>
    <n v="101"/>
    <n v="5.3E-3"/>
  </r>
  <r>
    <x v="1"/>
    <x v="85"/>
    <x v="5"/>
    <x v="0"/>
    <x v="9"/>
    <n v="103"/>
    <n v="1.34E-2"/>
  </r>
  <r>
    <x v="1"/>
    <x v="85"/>
    <x v="5"/>
    <x v="0"/>
    <x v="10"/>
    <n v="79"/>
    <n v="1.7899999999999999E-2"/>
  </r>
  <r>
    <x v="1"/>
    <x v="85"/>
    <x v="5"/>
    <x v="0"/>
    <x v="11"/>
    <n v="93"/>
    <n v="1.8100000000000002E-2"/>
  </r>
  <r>
    <x v="1"/>
    <x v="85"/>
    <x v="5"/>
    <x v="0"/>
    <x v="12"/>
    <n v="94"/>
    <n v="1.61E-2"/>
  </r>
  <r>
    <x v="1"/>
    <x v="85"/>
    <x v="5"/>
    <x v="0"/>
    <x v="13"/>
    <n v="100"/>
    <n v="8.6999999999999994E-3"/>
  </r>
  <r>
    <x v="1"/>
    <x v="86"/>
    <x v="5"/>
    <x v="0"/>
    <x v="0"/>
    <n v="66"/>
    <n v="5.0299999999999997E-2"/>
  </r>
  <r>
    <x v="1"/>
    <x v="86"/>
    <x v="5"/>
    <x v="0"/>
    <x v="1"/>
    <n v="79"/>
    <n v="3.2000000000000002E-3"/>
  </r>
  <r>
    <x v="1"/>
    <x v="86"/>
    <x v="5"/>
    <x v="0"/>
    <x v="2"/>
    <n v="65"/>
    <n v="1.3299999999999999E-2"/>
  </r>
  <r>
    <x v="1"/>
    <x v="86"/>
    <x v="5"/>
    <x v="0"/>
    <x v="3"/>
    <n v="67"/>
    <n v="1.06E-2"/>
  </r>
  <r>
    <x v="1"/>
    <x v="86"/>
    <x v="5"/>
    <x v="0"/>
    <x v="4"/>
    <n v="60"/>
    <n v="2.7400000000000001E-2"/>
  </r>
  <r>
    <x v="1"/>
    <x v="86"/>
    <x v="5"/>
    <x v="0"/>
    <x v="5"/>
    <n v="62"/>
    <n v="1.38E-2"/>
  </r>
  <r>
    <x v="1"/>
    <x v="86"/>
    <x v="5"/>
    <x v="0"/>
    <x v="6"/>
    <n v="67"/>
    <n v="1.43E-2"/>
  </r>
  <r>
    <x v="1"/>
    <x v="86"/>
    <x v="5"/>
    <x v="0"/>
    <x v="7"/>
    <n v="74"/>
    <n v="1.8499999999999999E-2"/>
  </r>
  <r>
    <x v="1"/>
    <x v="86"/>
    <x v="5"/>
    <x v="0"/>
    <x v="8"/>
    <n v="73"/>
    <n v="4.1000000000000003E-3"/>
  </r>
  <r>
    <x v="1"/>
    <x v="86"/>
    <x v="5"/>
    <x v="0"/>
    <x v="9"/>
    <n v="69"/>
    <n v="7.6E-3"/>
  </r>
  <r>
    <x v="1"/>
    <x v="86"/>
    <x v="5"/>
    <x v="0"/>
    <x v="10"/>
    <n v="59"/>
    <n v="1.23E-2"/>
  </r>
  <r>
    <x v="1"/>
    <x v="86"/>
    <x v="5"/>
    <x v="0"/>
    <x v="11"/>
    <n v="60"/>
    <n v="1.11E-2"/>
  </r>
  <r>
    <x v="1"/>
    <x v="86"/>
    <x v="5"/>
    <x v="0"/>
    <x v="12"/>
    <n v="61"/>
    <n v="9.5999999999999992E-3"/>
  </r>
  <r>
    <x v="1"/>
    <x v="86"/>
    <x v="5"/>
    <x v="0"/>
    <x v="13"/>
    <n v="71"/>
    <n v="5.8999999999999999E-3"/>
  </r>
  <r>
    <x v="0"/>
    <x v="87"/>
    <x v="5"/>
    <x v="0"/>
    <x v="0"/>
    <n v="85"/>
    <n v="0.21490000000000001"/>
  </r>
  <r>
    <x v="0"/>
    <x v="87"/>
    <x v="5"/>
    <x v="0"/>
    <x v="1"/>
    <n v="73"/>
    <n v="2.8000000000000001E-2"/>
  </r>
  <r>
    <x v="0"/>
    <x v="87"/>
    <x v="5"/>
    <x v="0"/>
    <x v="2"/>
    <n v="74"/>
    <n v="6.6000000000000003E-2"/>
  </r>
  <r>
    <x v="0"/>
    <x v="87"/>
    <x v="5"/>
    <x v="0"/>
    <x v="3"/>
    <n v="72"/>
    <n v="6.1499999999999999E-2"/>
  </r>
  <r>
    <x v="0"/>
    <x v="87"/>
    <x v="5"/>
    <x v="0"/>
    <x v="4"/>
    <n v="90"/>
    <n v="0.14030000000000001"/>
  </r>
  <r>
    <x v="0"/>
    <x v="87"/>
    <x v="5"/>
    <x v="0"/>
    <x v="5"/>
    <n v="94"/>
    <n v="4.5600000000000002E-2"/>
  </r>
  <r>
    <x v="0"/>
    <x v="87"/>
    <x v="5"/>
    <x v="0"/>
    <x v="6"/>
    <n v="91"/>
    <n v="4.82E-2"/>
  </r>
  <r>
    <x v="0"/>
    <x v="87"/>
    <x v="5"/>
    <x v="0"/>
    <x v="7"/>
    <n v="73"/>
    <n v="9.4500000000000001E-2"/>
  </r>
  <r>
    <x v="0"/>
    <x v="87"/>
    <x v="5"/>
    <x v="0"/>
    <x v="8"/>
    <n v="83"/>
    <n v="2.24E-2"/>
  </r>
  <r>
    <x v="0"/>
    <x v="87"/>
    <x v="5"/>
    <x v="0"/>
    <x v="9"/>
    <n v="72"/>
    <n v="4.7E-2"/>
  </r>
  <r>
    <x v="0"/>
    <x v="87"/>
    <x v="5"/>
    <x v="0"/>
    <x v="10"/>
    <n v="94"/>
    <n v="5.6800000000000003E-2"/>
  </r>
  <r>
    <x v="0"/>
    <x v="87"/>
    <x v="5"/>
    <x v="0"/>
    <x v="11"/>
    <n v="91"/>
    <n v="7.1800000000000003E-2"/>
  </r>
  <r>
    <x v="0"/>
    <x v="87"/>
    <x v="5"/>
    <x v="0"/>
    <x v="12"/>
    <n v="88"/>
    <n v="7.3499999999999996E-2"/>
  </r>
  <r>
    <x v="0"/>
    <x v="87"/>
    <x v="5"/>
    <x v="0"/>
    <x v="13"/>
    <n v="78"/>
    <n v="4.5400000000000003E-2"/>
  </r>
  <r>
    <x v="0"/>
    <x v="88"/>
    <x v="5"/>
    <x v="0"/>
    <x v="0"/>
    <n v="110"/>
    <n v="0.1187"/>
  </r>
  <r>
    <x v="0"/>
    <x v="88"/>
    <x v="5"/>
    <x v="0"/>
    <x v="1"/>
    <n v="104"/>
    <n v="1.9199999999999998E-2"/>
  </r>
  <r>
    <x v="0"/>
    <x v="88"/>
    <x v="5"/>
    <x v="0"/>
    <x v="2"/>
    <n v="115"/>
    <n v="4.6399999999999997E-2"/>
  </r>
  <r>
    <x v="0"/>
    <x v="88"/>
    <x v="5"/>
    <x v="0"/>
    <x v="3"/>
    <n v="113"/>
    <n v="0.04"/>
  </r>
  <r>
    <x v="0"/>
    <x v="88"/>
    <x v="5"/>
    <x v="0"/>
    <x v="4"/>
    <n v="113"/>
    <n v="6.93E-2"/>
  </r>
  <r>
    <x v="0"/>
    <x v="88"/>
    <x v="5"/>
    <x v="0"/>
    <x v="5"/>
    <n v="104"/>
    <n v="2.1000000000000001E-2"/>
  </r>
  <r>
    <x v="0"/>
    <x v="88"/>
    <x v="5"/>
    <x v="0"/>
    <x v="6"/>
    <n v="106"/>
    <n v="2.4400000000000002E-2"/>
  </r>
  <r>
    <x v="0"/>
    <x v="88"/>
    <x v="5"/>
    <x v="0"/>
    <x v="7"/>
    <n v="101"/>
    <n v="5.5899999999999998E-2"/>
  </r>
  <r>
    <x v="0"/>
    <x v="88"/>
    <x v="5"/>
    <x v="0"/>
    <x v="8"/>
    <n v="117"/>
    <n v="1.2200000000000001E-2"/>
  </r>
  <r>
    <x v="0"/>
    <x v="88"/>
    <x v="5"/>
    <x v="0"/>
    <x v="9"/>
    <n v="114"/>
    <n v="3.1099999999999999E-2"/>
  </r>
  <r>
    <x v="0"/>
    <x v="88"/>
    <x v="5"/>
    <x v="0"/>
    <x v="10"/>
    <n v="110"/>
    <n v="2.7199999999999998E-2"/>
  </r>
  <r>
    <x v="0"/>
    <x v="88"/>
    <x v="5"/>
    <x v="0"/>
    <x v="11"/>
    <n v="116"/>
    <n v="3.3500000000000002E-2"/>
  </r>
  <r>
    <x v="0"/>
    <x v="88"/>
    <x v="5"/>
    <x v="0"/>
    <x v="12"/>
    <n v="115"/>
    <n v="3.6700000000000003E-2"/>
  </r>
  <r>
    <x v="0"/>
    <x v="88"/>
    <x v="5"/>
    <x v="0"/>
    <x v="13"/>
    <n v="104"/>
    <n v="2.9399999999999999E-2"/>
  </r>
  <r>
    <x v="0"/>
    <x v="89"/>
    <x v="5"/>
    <x v="0"/>
    <x v="0"/>
    <n v="94"/>
    <n v="0.152"/>
  </r>
  <r>
    <x v="0"/>
    <x v="89"/>
    <x v="5"/>
    <x v="0"/>
    <x v="1"/>
    <n v="89"/>
    <n v="1.7500000000000002E-2"/>
  </r>
  <r>
    <x v="0"/>
    <x v="89"/>
    <x v="5"/>
    <x v="0"/>
    <x v="2"/>
    <n v="102"/>
    <n v="4.8500000000000001E-2"/>
  </r>
  <r>
    <x v="0"/>
    <x v="89"/>
    <x v="5"/>
    <x v="0"/>
    <x v="3"/>
    <n v="103"/>
    <n v="4.5699999999999998E-2"/>
  </r>
  <r>
    <x v="0"/>
    <x v="89"/>
    <x v="5"/>
    <x v="0"/>
    <x v="4"/>
    <n v="94"/>
    <n v="9.1499999999999998E-2"/>
  </r>
  <r>
    <x v="0"/>
    <x v="89"/>
    <x v="5"/>
    <x v="0"/>
    <x v="5"/>
    <n v="87"/>
    <n v="2.2499999999999999E-2"/>
  </r>
  <r>
    <x v="0"/>
    <x v="89"/>
    <x v="5"/>
    <x v="0"/>
    <x v="6"/>
    <n v="88"/>
    <n v="2.7400000000000001E-2"/>
  </r>
  <r>
    <x v="0"/>
    <x v="89"/>
    <x v="5"/>
    <x v="0"/>
    <x v="7"/>
    <n v="90"/>
    <n v="6.9099999999999995E-2"/>
  </r>
  <r>
    <x v="0"/>
    <x v="89"/>
    <x v="5"/>
    <x v="0"/>
    <x v="8"/>
    <n v="90"/>
    <n v="1.41E-2"/>
  </r>
  <r>
    <x v="0"/>
    <x v="89"/>
    <x v="5"/>
    <x v="0"/>
    <x v="9"/>
    <n v="103"/>
    <n v="3.2599999999999997E-2"/>
  </r>
  <r>
    <x v="0"/>
    <x v="89"/>
    <x v="5"/>
    <x v="0"/>
    <x v="10"/>
    <n v="87"/>
    <n v="2.5499999999999998E-2"/>
  </r>
  <r>
    <x v="0"/>
    <x v="89"/>
    <x v="5"/>
    <x v="0"/>
    <x v="11"/>
    <n v="89"/>
    <n v="3.7499999999999999E-2"/>
  </r>
  <r>
    <x v="0"/>
    <x v="89"/>
    <x v="5"/>
    <x v="0"/>
    <x v="12"/>
    <n v="94"/>
    <n v="4.5100000000000001E-2"/>
  </r>
  <r>
    <x v="0"/>
    <x v="89"/>
    <x v="5"/>
    <x v="0"/>
    <x v="13"/>
    <n v="87"/>
    <n v="2.7099999999999999E-2"/>
  </r>
  <r>
    <x v="1"/>
    <x v="90"/>
    <x v="5"/>
    <x v="0"/>
    <x v="0"/>
    <n v="114"/>
    <n v="6.9400000000000003E-2"/>
  </r>
  <r>
    <x v="1"/>
    <x v="90"/>
    <x v="5"/>
    <x v="0"/>
    <x v="1"/>
    <n v="104"/>
    <n v="5.1000000000000004E-3"/>
  </r>
  <r>
    <x v="1"/>
    <x v="90"/>
    <x v="5"/>
    <x v="0"/>
    <x v="2"/>
    <n v="117"/>
    <n v="2.2499999999999999E-2"/>
  </r>
  <r>
    <x v="1"/>
    <x v="90"/>
    <x v="5"/>
    <x v="0"/>
    <x v="3"/>
    <n v="120"/>
    <n v="2.0799999999999999E-2"/>
  </r>
  <r>
    <x v="1"/>
    <x v="90"/>
    <x v="5"/>
    <x v="0"/>
    <x v="4"/>
    <n v="117"/>
    <n v="4.48E-2"/>
  </r>
  <r>
    <x v="1"/>
    <x v="90"/>
    <x v="5"/>
    <x v="0"/>
    <x v="5"/>
    <n v="117"/>
    <n v="2.3199999999999998E-2"/>
  </r>
  <r>
    <x v="1"/>
    <x v="90"/>
    <x v="5"/>
    <x v="0"/>
    <x v="6"/>
    <n v="114"/>
    <n v="2.0899999999999998E-2"/>
  </r>
  <r>
    <x v="1"/>
    <x v="90"/>
    <x v="5"/>
    <x v="0"/>
    <x v="7"/>
    <n v="104"/>
    <n v="3.1099999999999999E-2"/>
  </r>
  <r>
    <x v="1"/>
    <x v="90"/>
    <x v="5"/>
    <x v="0"/>
    <x v="8"/>
    <n v="107"/>
    <n v="5.8999999999999999E-3"/>
  </r>
  <r>
    <x v="1"/>
    <x v="90"/>
    <x v="5"/>
    <x v="0"/>
    <x v="9"/>
    <n v="119"/>
    <n v="1.5800000000000002E-2"/>
  </r>
  <r>
    <x v="1"/>
    <x v="90"/>
    <x v="5"/>
    <x v="0"/>
    <x v="10"/>
    <n v="118"/>
    <n v="2.2200000000000001E-2"/>
  </r>
  <r>
    <x v="1"/>
    <x v="90"/>
    <x v="5"/>
    <x v="0"/>
    <x v="11"/>
    <n v="116"/>
    <n v="2.12E-2"/>
  </r>
  <r>
    <x v="1"/>
    <x v="90"/>
    <x v="5"/>
    <x v="0"/>
    <x v="12"/>
    <n v="118"/>
    <n v="2.1000000000000001E-2"/>
  </r>
  <r>
    <x v="1"/>
    <x v="90"/>
    <x v="5"/>
    <x v="0"/>
    <x v="13"/>
    <n v="105"/>
    <n v="8.6999999999999994E-3"/>
  </r>
  <r>
    <x v="1"/>
    <x v="91"/>
    <x v="5"/>
    <x v="0"/>
    <x v="0"/>
    <n v="119"/>
    <n v="0.14990000000000001"/>
  </r>
  <r>
    <x v="1"/>
    <x v="91"/>
    <x v="5"/>
    <x v="0"/>
    <x v="1"/>
    <n v="101"/>
    <n v="1.3299999999999999E-2"/>
  </r>
  <r>
    <x v="1"/>
    <x v="91"/>
    <x v="5"/>
    <x v="0"/>
    <x v="2"/>
    <n v="115"/>
    <n v="5.4199999999999998E-2"/>
  </r>
  <r>
    <x v="1"/>
    <x v="91"/>
    <x v="5"/>
    <x v="0"/>
    <x v="3"/>
    <n v="125"/>
    <n v="4.99E-2"/>
  </r>
  <r>
    <x v="1"/>
    <x v="91"/>
    <x v="5"/>
    <x v="0"/>
    <x v="4"/>
    <n v="119"/>
    <n v="0.1032"/>
  </r>
  <r>
    <x v="1"/>
    <x v="91"/>
    <x v="5"/>
    <x v="0"/>
    <x v="5"/>
    <n v="120"/>
    <n v="6.6299999999999998E-2"/>
  </r>
  <r>
    <x v="1"/>
    <x v="91"/>
    <x v="5"/>
    <x v="0"/>
    <x v="6"/>
    <n v="120"/>
    <n v="5.5800000000000002E-2"/>
  </r>
  <r>
    <x v="1"/>
    <x v="91"/>
    <x v="5"/>
    <x v="0"/>
    <x v="7"/>
    <n v="115"/>
    <n v="6.6100000000000006E-2"/>
  </r>
  <r>
    <x v="1"/>
    <x v="91"/>
    <x v="5"/>
    <x v="0"/>
    <x v="8"/>
    <n v="115"/>
    <n v="1.34E-2"/>
  </r>
  <r>
    <x v="1"/>
    <x v="91"/>
    <x v="5"/>
    <x v="0"/>
    <x v="9"/>
    <n v="126"/>
    <n v="4.1599999999999998E-2"/>
  </r>
  <r>
    <x v="1"/>
    <x v="91"/>
    <x v="5"/>
    <x v="0"/>
    <x v="10"/>
    <n v="120"/>
    <n v="6.3200000000000006E-2"/>
  </r>
  <r>
    <x v="1"/>
    <x v="91"/>
    <x v="5"/>
    <x v="0"/>
    <x v="11"/>
    <n v="119"/>
    <n v="6.0400000000000002E-2"/>
  </r>
  <r>
    <x v="1"/>
    <x v="91"/>
    <x v="5"/>
    <x v="0"/>
    <x v="12"/>
    <n v="117"/>
    <n v="5.5199999999999999E-2"/>
  </r>
  <r>
    <x v="1"/>
    <x v="91"/>
    <x v="5"/>
    <x v="0"/>
    <x v="13"/>
    <n v="105"/>
    <n v="2.12E-2"/>
  </r>
  <r>
    <x v="0"/>
    <x v="92"/>
    <x v="5"/>
    <x v="0"/>
    <x v="0"/>
    <n v="90"/>
    <n v="0.1792"/>
  </r>
  <r>
    <x v="0"/>
    <x v="92"/>
    <x v="5"/>
    <x v="0"/>
    <x v="1"/>
    <n v="83"/>
    <n v="3.5900000000000001E-2"/>
  </r>
  <r>
    <x v="0"/>
    <x v="92"/>
    <x v="5"/>
    <x v="0"/>
    <x v="2"/>
    <n v="93"/>
    <n v="7.8200000000000006E-2"/>
  </r>
  <r>
    <x v="0"/>
    <x v="92"/>
    <x v="5"/>
    <x v="0"/>
    <x v="3"/>
    <n v="94"/>
    <n v="7.0999999999999994E-2"/>
  </r>
  <r>
    <x v="0"/>
    <x v="92"/>
    <x v="5"/>
    <x v="0"/>
    <x v="4"/>
    <n v="90"/>
    <n v="0.12130000000000001"/>
  </r>
  <r>
    <x v="0"/>
    <x v="92"/>
    <x v="5"/>
    <x v="0"/>
    <x v="5"/>
    <n v="91"/>
    <n v="3.9E-2"/>
  </r>
  <r>
    <x v="0"/>
    <x v="92"/>
    <x v="5"/>
    <x v="0"/>
    <x v="6"/>
    <n v="90"/>
    <n v="4.7600000000000003E-2"/>
  </r>
  <r>
    <x v="0"/>
    <x v="92"/>
    <x v="5"/>
    <x v="0"/>
    <x v="7"/>
    <n v="89"/>
    <n v="9.69E-2"/>
  </r>
  <r>
    <x v="0"/>
    <x v="92"/>
    <x v="5"/>
    <x v="0"/>
    <x v="8"/>
    <n v="86"/>
    <n v="2.7400000000000001E-2"/>
  </r>
  <r>
    <x v="0"/>
    <x v="92"/>
    <x v="5"/>
    <x v="0"/>
    <x v="9"/>
    <n v="95"/>
    <n v="5.6599999999999998E-2"/>
  </r>
  <r>
    <x v="0"/>
    <x v="92"/>
    <x v="5"/>
    <x v="0"/>
    <x v="10"/>
    <n v="88"/>
    <n v="4.5400000000000003E-2"/>
  </r>
  <r>
    <x v="0"/>
    <x v="92"/>
    <x v="5"/>
    <x v="0"/>
    <x v="11"/>
    <n v="88"/>
    <n v="6.2100000000000002E-2"/>
  </r>
  <r>
    <x v="0"/>
    <x v="92"/>
    <x v="5"/>
    <x v="0"/>
    <x v="12"/>
    <n v="90"/>
    <n v="7.2900000000000006E-2"/>
  </r>
  <r>
    <x v="0"/>
    <x v="92"/>
    <x v="5"/>
    <x v="0"/>
    <x v="13"/>
    <n v="84"/>
    <n v="5.3999999999999999E-2"/>
  </r>
  <r>
    <x v="0"/>
    <x v="93"/>
    <x v="5"/>
    <x v="0"/>
    <x v="0"/>
    <n v="91"/>
    <n v="0.17330000000000001"/>
  </r>
  <r>
    <x v="0"/>
    <x v="93"/>
    <x v="5"/>
    <x v="0"/>
    <x v="1"/>
    <n v="85"/>
    <n v="1.61E-2"/>
  </r>
  <r>
    <x v="0"/>
    <x v="93"/>
    <x v="5"/>
    <x v="0"/>
    <x v="2"/>
    <n v="89"/>
    <n v="4.7899999999999998E-2"/>
  </r>
  <r>
    <x v="0"/>
    <x v="93"/>
    <x v="5"/>
    <x v="0"/>
    <x v="3"/>
    <n v="89"/>
    <n v="5.9200000000000003E-2"/>
  </r>
  <r>
    <x v="0"/>
    <x v="93"/>
    <x v="5"/>
    <x v="0"/>
    <x v="4"/>
    <n v="91"/>
    <n v="0.11559999999999999"/>
  </r>
  <r>
    <x v="0"/>
    <x v="93"/>
    <x v="5"/>
    <x v="0"/>
    <x v="5"/>
    <n v="92"/>
    <n v="2.9899999999999999E-2"/>
  </r>
  <r>
    <x v="0"/>
    <x v="93"/>
    <x v="5"/>
    <x v="0"/>
    <x v="6"/>
    <n v="95"/>
    <n v="3.3399999999999999E-2"/>
  </r>
  <r>
    <x v="0"/>
    <x v="93"/>
    <x v="5"/>
    <x v="0"/>
    <x v="7"/>
    <n v="94"/>
    <n v="8.8200000000000001E-2"/>
  </r>
  <r>
    <x v="0"/>
    <x v="93"/>
    <x v="5"/>
    <x v="0"/>
    <x v="8"/>
    <n v="102"/>
    <n v="1.37E-2"/>
  </r>
  <r>
    <x v="0"/>
    <x v="93"/>
    <x v="5"/>
    <x v="0"/>
    <x v="9"/>
    <n v="90"/>
    <n v="3.6600000000000001E-2"/>
  </r>
  <r>
    <x v="0"/>
    <x v="93"/>
    <x v="5"/>
    <x v="0"/>
    <x v="10"/>
    <n v="91"/>
    <n v="3.8399999999999997E-2"/>
  </r>
  <r>
    <x v="0"/>
    <x v="93"/>
    <x v="5"/>
    <x v="0"/>
    <x v="11"/>
    <n v="93"/>
    <n v="5.0900000000000001E-2"/>
  </r>
  <r>
    <x v="0"/>
    <x v="93"/>
    <x v="5"/>
    <x v="0"/>
    <x v="12"/>
    <n v="91"/>
    <n v="6.1800000000000001E-2"/>
  </r>
  <r>
    <x v="0"/>
    <x v="93"/>
    <x v="5"/>
    <x v="0"/>
    <x v="13"/>
    <n v="88"/>
    <n v="3.3300000000000003E-2"/>
  </r>
  <r>
    <x v="1"/>
    <x v="94"/>
    <x v="5"/>
    <x v="1"/>
    <x v="0"/>
    <n v="107"/>
    <n v="0.61570000000000003"/>
  </r>
  <r>
    <x v="1"/>
    <x v="94"/>
    <x v="5"/>
    <x v="1"/>
    <x v="1"/>
    <n v="94"/>
    <n v="0.11550000000000001"/>
  </r>
  <r>
    <x v="1"/>
    <x v="94"/>
    <x v="5"/>
    <x v="1"/>
    <x v="2"/>
    <n v="105"/>
    <n v="0.28639999999999999"/>
  </r>
  <r>
    <x v="1"/>
    <x v="94"/>
    <x v="5"/>
    <x v="1"/>
    <x v="3"/>
    <n v="104"/>
    <n v="0.3009"/>
  </r>
  <r>
    <x v="1"/>
    <x v="94"/>
    <x v="5"/>
    <x v="1"/>
    <x v="4"/>
    <n v="110"/>
    <n v="0.49120000000000003"/>
  </r>
  <r>
    <x v="1"/>
    <x v="94"/>
    <x v="5"/>
    <x v="1"/>
    <x v="5"/>
    <n v="98"/>
    <n v="0.1215"/>
  </r>
  <r>
    <x v="1"/>
    <x v="94"/>
    <x v="5"/>
    <x v="1"/>
    <x v="6"/>
    <n v="95"/>
    <n v="0.13"/>
  </r>
  <r>
    <x v="1"/>
    <x v="94"/>
    <x v="5"/>
    <x v="1"/>
    <x v="7"/>
    <n v="106"/>
    <n v="0.4"/>
  </r>
  <r>
    <x v="1"/>
    <x v="94"/>
    <x v="5"/>
    <x v="1"/>
    <x v="8"/>
    <n v="95"/>
    <n v="6.9599999999999995E-2"/>
  </r>
  <r>
    <x v="1"/>
    <x v="94"/>
    <x v="5"/>
    <x v="1"/>
    <x v="9"/>
    <n v="102"/>
    <n v="0.21990000000000001"/>
  </r>
  <r>
    <x v="1"/>
    <x v="94"/>
    <x v="5"/>
    <x v="1"/>
    <x v="10"/>
    <n v="105"/>
    <n v="0.1792"/>
  </r>
  <r>
    <x v="1"/>
    <x v="94"/>
    <x v="5"/>
    <x v="1"/>
    <x v="11"/>
    <n v="109"/>
    <n v="0.26800000000000002"/>
  </r>
  <r>
    <x v="1"/>
    <x v="94"/>
    <x v="5"/>
    <x v="1"/>
    <x v="12"/>
    <n v="111"/>
    <n v="0.33579999999999999"/>
  </r>
  <r>
    <x v="1"/>
    <x v="94"/>
    <x v="5"/>
    <x v="1"/>
    <x v="13"/>
    <n v="96"/>
    <n v="0.17810000000000001"/>
  </r>
  <r>
    <x v="1"/>
    <x v="95"/>
    <x v="5"/>
    <x v="0"/>
    <x v="0"/>
    <n v="101"/>
    <n v="0.1105"/>
  </r>
  <r>
    <x v="1"/>
    <x v="95"/>
    <x v="5"/>
    <x v="0"/>
    <x v="1"/>
    <n v="94"/>
    <n v="1.61E-2"/>
  </r>
  <r>
    <x v="1"/>
    <x v="95"/>
    <x v="5"/>
    <x v="0"/>
    <x v="2"/>
    <n v="105"/>
    <n v="3.95E-2"/>
  </r>
  <r>
    <x v="1"/>
    <x v="95"/>
    <x v="5"/>
    <x v="0"/>
    <x v="3"/>
    <n v="102"/>
    <n v="3.1E-2"/>
  </r>
  <r>
    <x v="1"/>
    <x v="95"/>
    <x v="5"/>
    <x v="0"/>
    <x v="4"/>
    <n v="101"/>
    <n v="6.2600000000000003E-2"/>
  </r>
  <r>
    <x v="1"/>
    <x v="95"/>
    <x v="5"/>
    <x v="0"/>
    <x v="5"/>
    <n v="89"/>
    <n v="1.8200000000000001E-2"/>
  </r>
  <r>
    <x v="1"/>
    <x v="95"/>
    <x v="5"/>
    <x v="0"/>
    <x v="6"/>
    <n v="96"/>
    <n v="2.2599999999999999E-2"/>
  </r>
  <r>
    <x v="1"/>
    <x v="95"/>
    <x v="5"/>
    <x v="0"/>
    <x v="7"/>
    <n v="101"/>
    <n v="5.57E-2"/>
  </r>
  <r>
    <x v="1"/>
    <x v="95"/>
    <x v="5"/>
    <x v="0"/>
    <x v="8"/>
    <n v="98"/>
    <n v="1.17E-2"/>
  </r>
  <r>
    <x v="1"/>
    <x v="95"/>
    <x v="5"/>
    <x v="0"/>
    <x v="9"/>
    <n v="101"/>
    <n v="2.4299999999999999E-2"/>
  </r>
  <r>
    <x v="1"/>
    <x v="95"/>
    <x v="5"/>
    <x v="0"/>
    <x v="10"/>
    <n v="96"/>
    <n v="1.9400000000000001E-2"/>
  </r>
  <r>
    <x v="1"/>
    <x v="95"/>
    <x v="5"/>
    <x v="0"/>
    <x v="11"/>
    <n v="100"/>
    <n v="2.6700000000000002E-2"/>
  </r>
  <r>
    <x v="1"/>
    <x v="95"/>
    <x v="5"/>
    <x v="0"/>
    <x v="12"/>
    <n v="99"/>
    <n v="2.9700000000000001E-2"/>
  </r>
  <r>
    <x v="1"/>
    <x v="95"/>
    <x v="5"/>
    <x v="0"/>
    <x v="13"/>
    <n v="97"/>
    <n v="2.6100000000000002E-2"/>
  </r>
  <r>
    <x v="1"/>
    <x v="96"/>
    <x v="5"/>
    <x v="0"/>
    <x v="0"/>
    <n v="100"/>
    <n v="8.09E-2"/>
  </r>
  <r>
    <x v="1"/>
    <x v="96"/>
    <x v="5"/>
    <x v="0"/>
    <x v="1"/>
    <n v="83"/>
    <n v="3.8999999999999998E-3"/>
  </r>
  <r>
    <x v="1"/>
    <x v="96"/>
    <x v="5"/>
    <x v="0"/>
    <x v="2"/>
    <n v="104"/>
    <n v="2.2100000000000002E-2"/>
  </r>
  <r>
    <x v="1"/>
    <x v="96"/>
    <x v="5"/>
    <x v="0"/>
    <x v="3"/>
    <n v="111"/>
    <n v="2.0899999999999998E-2"/>
  </r>
  <r>
    <x v="1"/>
    <x v="96"/>
    <x v="5"/>
    <x v="0"/>
    <x v="4"/>
    <n v="102"/>
    <n v="5.1799999999999999E-2"/>
  </r>
  <r>
    <x v="1"/>
    <x v="96"/>
    <x v="5"/>
    <x v="0"/>
    <x v="5"/>
    <n v="95"/>
    <n v="3.4500000000000003E-2"/>
  </r>
  <r>
    <x v="1"/>
    <x v="96"/>
    <x v="5"/>
    <x v="0"/>
    <x v="6"/>
    <n v="92"/>
    <n v="2.9899999999999999E-2"/>
  </r>
  <r>
    <x v="1"/>
    <x v="96"/>
    <x v="5"/>
    <x v="0"/>
    <x v="7"/>
    <n v="91"/>
    <n v="3.6200000000000003E-2"/>
  </r>
  <r>
    <x v="1"/>
    <x v="96"/>
    <x v="5"/>
    <x v="0"/>
    <x v="8"/>
    <n v="79"/>
    <n v="5.0000000000000001E-3"/>
  </r>
  <r>
    <x v="1"/>
    <x v="96"/>
    <x v="5"/>
    <x v="0"/>
    <x v="9"/>
    <n v="111"/>
    <n v="1.7000000000000001E-2"/>
  </r>
  <r>
    <x v="1"/>
    <x v="96"/>
    <x v="5"/>
    <x v="0"/>
    <x v="10"/>
    <n v="97"/>
    <n v="3.1300000000000001E-2"/>
  </r>
  <r>
    <x v="1"/>
    <x v="96"/>
    <x v="5"/>
    <x v="0"/>
    <x v="11"/>
    <n v="103"/>
    <n v="3.0599999999999999E-2"/>
  </r>
  <r>
    <x v="1"/>
    <x v="96"/>
    <x v="5"/>
    <x v="0"/>
    <x v="12"/>
    <n v="104"/>
    <n v="2.8199999999999999E-2"/>
  </r>
  <r>
    <x v="1"/>
    <x v="96"/>
    <x v="5"/>
    <x v="0"/>
    <x v="13"/>
    <n v="78"/>
    <n v="8.8999999999999999E-3"/>
  </r>
  <r>
    <x v="1"/>
    <x v="146"/>
    <x v="5"/>
    <x v="0"/>
    <x v="0"/>
    <n v="153"/>
    <n v="1.1000000000000001E-3"/>
  </r>
  <r>
    <x v="1"/>
    <x v="97"/>
    <x v="5"/>
    <x v="0"/>
    <x v="0"/>
    <n v="104"/>
    <n v="0.13150000000000001"/>
  </r>
  <r>
    <x v="1"/>
    <x v="97"/>
    <x v="5"/>
    <x v="0"/>
    <x v="1"/>
    <n v="86"/>
    <n v="1.52E-2"/>
  </r>
  <r>
    <x v="1"/>
    <x v="97"/>
    <x v="5"/>
    <x v="0"/>
    <x v="2"/>
    <n v="99"/>
    <n v="4.6300000000000001E-2"/>
  </r>
  <r>
    <x v="1"/>
    <x v="97"/>
    <x v="5"/>
    <x v="0"/>
    <x v="3"/>
    <n v="110"/>
    <n v="4.1399999999999999E-2"/>
  </r>
  <r>
    <x v="1"/>
    <x v="97"/>
    <x v="5"/>
    <x v="0"/>
    <x v="4"/>
    <n v="109"/>
    <n v="8.7800000000000003E-2"/>
  </r>
  <r>
    <x v="1"/>
    <x v="97"/>
    <x v="5"/>
    <x v="0"/>
    <x v="5"/>
    <n v="103"/>
    <n v="5.79E-2"/>
  </r>
  <r>
    <x v="1"/>
    <x v="97"/>
    <x v="5"/>
    <x v="0"/>
    <x v="6"/>
    <n v="103"/>
    <n v="5.5E-2"/>
  </r>
  <r>
    <x v="1"/>
    <x v="97"/>
    <x v="5"/>
    <x v="0"/>
    <x v="7"/>
    <n v="107"/>
    <n v="5.9400000000000001E-2"/>
  </r>
  <r>
    <x v="1"/>
    <x v="97"/>
    <x v="5"/>
    <x v="0"/>
    <x v="8"/>
    <n v="90"/>
    <n v="1.78E-2"/>
  </r>
  <r>
    <x v="1"/>
    <x v="97"/>
    <x v="5"/>
    <x v="0"/>
    <x v="9"/>
    <n v="109"/>
    <n v="3.44E-2"/>
  </r>
  <r>
    <x v="1"/>
    <x v="97"/>
    <x v="5"/>
    <x v="0"/>
    <x v="10"/>
    <n v="103"/>
    <n v="4.9700000000000001E-2"/>
  </r>
  <r>
    <x v="1"/>
    <x v="97"/>
    <x v="5"/>
    <x v="0"/>
    <x v="11"/>
    <n v="108"/>
    <n v="4.7800000000000002E-2"/>
  </r>
  <r>
    <x v="1"/>
    <x v="97"/>
    <x v="5"/>
    <x v="0"/>
    <x v="12"/>
    <n v="109"/>
    <n v="4.3700000000000003E-2"/>
  </r>
  <r>
    <x v="1"/>
    <x v="97"/>
    <x v="5"/>
    <x v="0"/>
    <x v="13"/>
    <n v="92"/>
    <n v="2.4500000000000001E-2"/>
  </r>
  <r>
    <x v="1"/>
    <x v="98"/>
    <x v="5"/>
    <x v="0"/>
    <x v="0"/>
    <n v="81"/>
    <n v="5.9400000000000001E-2"/>
  </r>
  <r>
    <x v="1"/>
    <x v="98"/>
    <x v="5"/>
    <x v="0"/>
    <x v="1"/>
    <n v="81"/>
    <n v="2.5999999999999999E-3"/>
  </r>
  <r>
    <x v="1"/>
    <x v="98"/>
    <x v="5"/>
    <x v="0"/>
    <x v="2"/>
    <n v="81"/>
    <n v="1.35E-2"/>
  </r>
  <r>
    <x v="1"/>
    <x v="98"/>
    <x v="5"/>
    <x v="0"/>
    <x v="3"/>
    <n v="103"/>
    <n v="1.2E-2"/>
  </r>
  <r>
    <x v="1"/>
    <x v="98"/>
    <x v="5"/>
    <x v="0"/>
    <x v="4"/>
    <n v="84"/>
    <n v="3.7400000000000003E-2"/>
  </r>
  <r>
    <x v="1"/>
    <x v="98"/>
    <x v="5"/>
    <x v="0"/>
    <x v="5"/>
    <n v="74"/>
    <n v="1.41E-2"/>
  </r>
  <r>
    <x v="1"/>
    <x v="98"/>
    <x v="5"/>
    <x v="0"/>
    <x v="6"/>
    <n v="68"/>
    <n v="1.23E-2"/>
  </r>
  <r>
    <x v="1"/>
    <x v="98"/>
    <x v="5"/>
    <x v="0"/>
    <x v="7"/>
    <n v="75"/>
    <n v="2.4E-2"/>
  </r>
  <r>
    <x v="1"/>
    <x v="98"/>
    <x v="5"/>
    <x v="0"/>
    <x v="8"/>
    <n v="69"/>
    <n v="3.0999999999999999E-3"/>
  </r>
  <r>
    <x v="1"/>
    <x v="98"/>
    <x v="5"/>
    <x v="0"/>
    <x v="9"/>
    <n v="115"/>
    <n v="7.9000000000000008E-3"/>
  </r>
  <r>
    <x v="1"/>
    <x v="98"/>
    <x v="5"/>
    <x v="0"/>
    <x v="10"/>
    <n v="90"/>
    <n v="1.3100000000000001E-2"/>
  </r>
  <r>
    <x v="1"/>
    <x v="98"/>
    <x v="5"/>
    <x v="0"/>
    <x v="11"/>
    <n v="86"/>
    <n v="1.46E-2"/>
  </r>
  <r>
    <x v="1"/>
    <x v="98"/>
    <x v="5"/>
    <x v="0"/>
    <x v="12"/>
    <n v="79"/>
    <n v="1.67E-2"/>
  </r>
  <r>
    <x v="1"/>
    <x v="98"/>
    <x v="5"/>
    <x v="0"/>
    <x v="13"/>
    <n v="68"/>
    <n v="5.1999999999999998E-3"/>
  </r>
  <r>
    <x v="1"/>
    <x v="99"/>
    <x v="5"/>
    <x v="0"/>
    <x v="0"/>
    <n v="106"/>
    <n v="0.13270000000000001"/>
  </r>
  <r>
    <x v="1"/>
    <x v="99"/>
    <x v="5"/>
    <x v="0"/>
    <x v="1"/>
    <n v="107"/>
    <n v="2.47E-2"/>
  </r>
  <r>
    <x v="1"/>
    <x v="99"/>
    <x v="5"/>
    <x v="0"/>
    <x v="2"/>
    <n v="113"/>
    <n v="5.8200000000000002E-2"/>
  </r>
  <r>
    <x v="1"/>
    <x v="99"/>
    <x v="5"/>
    <x v="0"/>
    <x v="3"/>
    <n v="107"/>
    <n v="5.3999999999999999E-2"/>
  </r>
  <r>
    <x v="1"/>
    <x v="99"/>
    <x v="5"/>
    <x v="0"/>
    <x v="4"/>
    <n v="103"/>
    <n v="8.9700000000000002E-2"/>
  </r>
  <r>
    <x v="1"/>
    <x v="99"/>
    <x v="5"/>
    <x v="0"/>
    <x v="5"/>
    <n v="98"/>
    <n v="2.5700000000000001E-2"/>
  </r>
  <r>
    <x v="1"/>
    <x v="99"/>
    <x v="5"/>
    <x v="0"/>
    <x v="6"/>
    <n v="95"/>
    <n v="2.93E-2"/>
  </r>
  <r>
    <x v="1"/>
    <x v="99"/>
    <x v="5"/>
    <x v="0"/>
    <x v="7"/>
    <n v="109"/>
    <n v="6.9900000000000004E-2"/>
  </r>
  <r>
    <x v="1"/>
    <x v="99"/>
    <x v="5"/>
    <x v="0"/>
    <x v="8"/>
    <n v="98"/>
    <n v="1.6400000000000001E-2"/>
  </r>
  <r>
    <x v="1"/>
    <x v="99"/>
    <x v="5"/>
    <x v="0"/>
    <x v="9"/>
    <n v="106"/>
    <n v="4.2799999999999998E-2"/>
  </r>
  <r>
    <x v="1"/>
    <x v="99"/>
    <x v="5"/>
    <x v="0"/>
    <x v="10"/>
    <n v="102"/>
    <n v="3.0099999999999998E-2"/>
  </r>
  <r>
    <x v="1"/>
    <x v="99"/>
    <x v="5"/>
    <x v="0"/>
    <x v="11"/>
    <n v="99"/>
    <n v="4.1700000000000001E-2"/>
  </r>
  <r>
    <x v="1"/>
    <x v="99"/>
    <x v="5"/>
    <x v="0"/>
    <x v="12"/>
    <n v="101"/>
    <n v="4.9599999999999998E-2"/>
  </r>
  <r>
    <x v="1"/>
    <x v="99"/>
    <x v="5"/>
    <x v="0"/>
    <x v="13"/>
    <n v="100"/>
    <n v="3.7699999999999997E-2"/>
  </r>
  <r>
    <x v="1"/>
    <x v="100"/>
    <x v="5"/>
    <x v="0"/>
    <x v="0"/>
    <n v="117"/>
    <n v="6.7699999999999996E-2"/>
  </r>
  <r>
    <x v="1"/>
    <x v="100"/>
    <x v="5"/>
    <x v="0"/>
    <x v="1"/>
    <n v="112"/>
    <n v="5.7000000000000002E-3"/>
  </r>
  <r>
    <x v="1"/>
    <x v="100"/>
    <x v="5"/>
    <x v="0"/>
    <x v="2"/>
    <n v="120"/>
    <n v="2.2499999999999999E-2"/>
  </r>
  <r>
    <x v="1"/>
    <x v="100"/>
    <x v="5"/>
    <x v="0"/>
    <x v="3"/>
    <n v="114"/>
    <n v="2.0500000000000001E-2"/>
  </r>
  <r>
    <x v="1"/>
    <x v="100"/>
    <x v="5"/>
    <x v="0"/>
    <x v="4"/>
    <n v="121"/>
    <n v="4.3700000000000003E-2"/>
  </r>
  <r>
    <x v="1"/>
    <x v="100"/>
    <x v="5"/>
    <x v="0"/>
    <x v="5"/>
    <n v="121"/>
    <n v="2.3400000000000001E-2"/>
  </r>
  <r>
    <x v="1"/>
    <x v="100"/>
    <x v="5"/>
    <x v="0"/>
    <x v="6"/>
    <n v="124"/>
    <n v="2.06E-2"/>
  </r>
  <r>
    <x v="1"/>
    <x v="100"/>
    <x v="5"/>
    <x v="0"/>
    <x v="7"/>
    <n v="107"/>
    <n v="3.0300000000000001E-2"/>
  </r>
  <r>
    <x v="1"/>
    <x v="100"/>
    <x v="5"/>
    <x v="0"/>
    <x v="8"/>
    <n v="95"/>
    <n v="5.7999999999999996E-3"/>
  </r>
  <r>
    <x v="1"/>
    <x v="100"/>
    <x v="5"/>
    <x v="0"/>
    <x v="9"/>
    <n v="115"/>
    <n v="1.5299999999999999E-2"/>
  </r>
  <r>
    <x v="1"/>
    <x v="100"/>
    <x v="5"/>
    <x v="0"/>
    <x v="10"/>
    <n v="121"/>
    <n v="2.1299999999999999E-2"/>
  </r>
  <r>
    <x v="1"/>
    <x v="100"/>
    <x v="5"/>
    <x v="0"/>
    <x v="11"/>
    <n v="125"/>
    <n v="2.01E-2"/>
  </r>
  <r>
    <x v="1"/>
    <x v="100"/>
    <x v="5"/>
    <x v="0"/>
    <x v="12"/>
    <n v="117"/>
    <n v="2.01E-2"/>
  </r>
  <r>
    <x v="1"/>
    <x v="100"/>
    <x v="5"/>
    <x v="0"/>
    <x v="13"/>
    <n v="104"/>
    <n v="8.8999999999999999E-3"/>
  </r>
  <r>
    <x v="1"/>
    <x v="101"/>
    <x v="5"/>
    <x v="0"/>
    <x v="0"/>
    <n v="129"/>
    <n v="1.9E-3"/>
  </r>
  <r>
    <x v="1"/>
    <x v="101"/>
    <x v="5"/>
    <x v="0"/>
    <x v="4"/>
    <n v="138"/>
    <n v="1.1999999999999999E-3"/>
  </r>
  <r>
    <x v="0"/>
    <x v="102"/>
    <x v="5"/>
    <x v="0"/>
    <x v="0"/>
    <n v="89"/>
    <n v="0.26569999999999999"/>
  </r>
  <r>
    <x v="0"/>
    <x v="102"/>
    <x v="5"/>
    <x v="0"/>
    <x v="1"/>
    <n v="90"/>
    <n v="4.4499999999999998E-2"/>
  </r>
  <r>
    <x v="0"/>
    <x v="102"/>
    <x v="5"/>
    <x v="0"/>
    <x v="2"/>
    <n v="94"/>
    <n v="0.10879999999999999"/>
  </r>
  <r>
    <x v="0"/>
    <x v="102"/>
    <x v="5"/>
    <x v="0"/>
    <x v="3"/>
    <n v="89"/>
    <n v="0.10440000000000001"/>
  </r>
  <r>
    <x v="0"/>
    <x v="102"/>
    <x v="5"/>
    <x v="0"/>
    <x v="4"/>
    <n v="86"/>
    <n v="0.17960000000000001"/>
  </r>
  <r>
    <x v="0"/>
    <x v="102"/>
    <x v="5"/>
    <x v="0"/>
    <x v="5"/>
    <n v="86"/>
    <n v="4.5100000000000001E-2"/>
  </r>
  <r>
    <x v="0"/>
    <x v="102"/>
    <x v="5"/>
    <x v="0"/>
    <x v="6"/>
    <n v="87"/>
    <n v="5.62E-2"/>
  </r>
  <r>
    <x v="0"/>
    <x v="102"/>
    <x v="5"/>
    <x v="0"/>
    <x v="7"/>
    <n v="91"/>
    <n v="0.13159999999999999"/>
  </r>
  <r>
    <x v="0"/>
    <x v="102"/>
    <x v="5"/>
    <x v="0"/>
    <x v="8"/>
    <n v="87"/>
    <n v="2.9100000000000001E-2"/>
  </r>
  <r>
    <x v="0"/>
    <x v="102"/>
    <x v="5"/>
    <x v="0"/>
    <x v="9"/>
    <n v="91"/>
    <n v="7.9500000000000001E-2"/>
  </r>
  <r>
    <x v="0"/>
    <x v="102"/>
    <x v="5"/>
    <x v="0"/>
    <x v="10"/>
    <n v="86"/>
    <n v="5.91E-2"/>
  </r>
  <r>
    <x v="0"/>
    <x v="102"/>
    <x v="5"/>
    <x v="0"/>
    <x v="11"/>
    <n v="85"/>
    <n v="8.4199999999999997E-2"/>
  </r>
  <r>
    <x v="0"/>
    <x v="102"/>
    <x v="5"/>
    <x v="0"/>
    <x v="12"/>
    <n v="86"/>
    <n v="9.8000000000000004E-2"/>
  </r>
  <r>
    <x v="0"/>
    <x v="102"/>
    <x v="5"/>
    <x v="0"/>
    <x v="13"/>
    <n v="90"/>
    <n v="6.5199999999999994E-2"/>
  </r>
  <r>
    <x v="0"/>
    <x v="103"/>
    <x v="5"/>
    <x v="0"/>
    <x v="0"/>
    <n v="92"/>
    <n v="0.3256"/>
  </r>
  <r>
    <x v="0"/>
    <x v="103"/>
    <x v="5"/>
    <x v="0"/>
    <x v="1"/>
    <n v="92"/>
    <n v="5.1999999999999998E-2"/>
  </r>
  <r>
    <x v="0"/>
    <x v="103"/>
    <x v="5"/>
    <x v="0"/>
    <x v="2"/>
    <n v="94"/>
    <n v="0.12520000000000001"/>
  </r>
  <r>
    <x v="0"/>
    <x v="103"/>
    <x v="5"/>
    <x v="0"/>
    <x v="3"/>
    <n v="94"/>
    <n v="0.1328"/>
  </r>
  <r>
    <x v="0"/>
    <x v="103"/>
    <x v="5"/>
    <x v="0"/>
    <x v="4"/>
    <n v="91"/>
    <n v="0.22359999999999999"/>
  </r>
  <r>
    <x v="0"/>
    <x v="103"/>
    <x v="5"/>
    <x v="0"/>
    <x v="5"/>
    <n v="95"/>
    <n v="6.3500000000000001E-2"/>
  </r>
  <r>
    <x v="0"/>
    <x v="103"/>
    <x v="5"/>
    <x v="0"/>
    <x v="6"/>
    <n v="90"/>
    <n v="6.9800000000000001E-2"/>
  </r>
  <r>
    <x v="0"/>
    <x v="103"/>
    <x v="5"/>
    <x v="0"/>
    <x v="7"/>
    <n v="89"/>
    <n v="0.17549999999999999"/>
  </r>
  <r>
    <x v="0"/>
    <x v="103"/>
    <x v="5"/>
    <x v="0"/>
    <x v="8"/>
    <n v="88"/>
    <n v="3.5700000000000003E-2"/>
  </r>
  <r>
    <x v="0"/>
    <x v="103"/>
    <x v="5"/>
    <x v="0"/>
    <x v="9"/>
    <n v="94"/>
    <n v="0.10730000000000001"/>
  </r>
  <r>
    <x v="0"/>
    <x v="103"/>
    <x v="5"/>
    <x v="0"/>
    <x v="10"/>
    <n v="93"/>
    <n v="8.0399999999999999E-2"/>
  </r>
  <r>
    <x v="0"/>
    <x v="103"/>
    <x v="5"/>
    <x v="0"/>
    <x v="11"/>
    <n v="93"/>
    <n v="0.11269999999999999"/>
  </r>
  <r>
    <x v="0"/>
    <x v="103"/>
    <x v="5"/>
    <x v="0"/>
    <x v="12"/>
    <n v="91"/>
    <n v="0.1326"/>
  </r>
  <r>
    <x v="0"/>
    <x v="103"/>
    <x v="5"/>
    <x v="0"/>
    <x v="13"/>
    <n v="91"/>
    <n v="8.0100000000000005E-2"/>
  </r>
  <r>
    <x v="1"/>
    <x v="104"/>
    <x v="5"/>
    <x v="0"/>
    <x v="0"/>
    <n v="110"/>
    <n v="8.5900000000000004E-2"/>
  </r>
  <r>
    <x v="1"/>
    <x v="104"/>
    <x v="5"/>
    <x v="0"/>
    <x v="1"/>
    <n v="121"/>
    <n v="9.1999999999999998E-3"/>
  </r>
  <r>
    <x v="1"/>
    <x v="104"/>
    <x v="5"/>
    <x v="0"/>
    <x v="2"/>
    <n v="124"/>
    <n v="2.3E-2"/>
  </r>
  <r>
    <x v="1"/>
    <x v="104"/>
    <x v="5"/>
    <x v="0"/>
    <x v="3"/>
    <n v="105"/>
    <n v="1.9E-2"/>
  </r>
  <r>
    <x v="1"/>
    <x v="104"/>
    <x v="5"/>
    <x v="0"/>
    <x v="4"/>
    <n v="97"/>
    <n v="4.1799999999999997E-2"/>
  </r>
  <r>
    <x v="1"/>
    <x v="104"/>
    <x v="5"/>
    <x v="0"/>
    <x v="5"/>
    <n v="114"/>
    <n v="8.3000000000000001E-3"/>
  </r>
  <r>
    <x v="1"/>
    <x v="104"/>
    <x v="5"/>
    <x v="0"/>
    <x v="6"/>
    <n v="121"/>
    <n v="1.11E-2"/>
  </r>
  <r>
    <x v="1"/>
    <x v="104"/>
    <x v="5"/>
    <x v="0"/>
    <x v="7"/>
    <n v="109"/>
    <n v="5.0900000000000001E-2"/>
  </r>
  <r>
    <x v="1"/>
    <x v="104"/>
    <x v="5"/>
    <x v="0"/>
    <x v="8"/>
    <n v="131"/>
    <n v="6.4000000000000003E-3"/>
  </r>
  <r>
    <x v="1"/>
    <x v="104"/>
    <x v="5"/>
    <x v="0"/>
    <x v="9"/>
    <n v="103"/>
    <n v="1.3899999999999999E-2"/>
  </r>
  <r>
    <x v="1"/>
    <x v="104"/>
    <x v="5"/>
    <x v="0"/>
    <x v="10"/>
    <n v="107"/>
    <n v="8.8999999999999999E-3"/>
  </r>
  <r>
    <x v="1"/>
    <x v="104"/>
    <x v="5"/>
    <x v="0"/>
    <x v="11"/>
    <n v="95"/>
    <n v="1.3299999999999999E-2"/>
  </r>
  <r>
    <x v="1"/>
    <x v="104"/>
    <x v="5"/>
    <x v="0"/>
    <x v="12"/>
    <n v="95"/>
    <n v="1.83E-2"/>
  </r>
  <r>
    <x v="1"/>
    <x v="104"/>
    <x v="5"/>
    <x v="0"/>
    <x v="13"/>
    <n v="122"/>
    <n v="1.5100000000000001E-2"/>
  </r>
  <r>
    <x v="0"/>
    <x v="105"/>
    <x v="5"/>
    <x v="0"/>
    <x v="0"/>
    <n v="102"/>
    <n v="0.33850000000000002"/>
  </r>
  <r>
    <x v="0"/>
    <x v="105"/>
    <x v="5"/>
    <x v="0"/>
    <x v="1"/>
    <n v="103"/>
    <n v="6.4399999999999999E-2"/>
  </r>
  <r>
    <x v="0"/>
    <x v="105"/>
    <x v="5"/>
    <x v="0"/>
    <x v="2"/>
    <n v="101"/>
    <n v="0.16750000000000001"/>
  </r>
  <r>
    <x v="0"/>
    <x v="105"/>
    <x v="5"/>
    <x v="0"/>
    <x v="3"/>
    <n v="100"/>
    <n v="0.16300000000000001"/>
  </r>
  <r>
    <x v="0"/>
    <x v="105"/>
    <x v="5"/>
    <x v="0"/>
    <x v="4"/>
    <n v="103"/>
    <n v="0.2487"/>
  </r>
  <r>
    <x v="0"/>
    <x v="105"/>
    <x v="5"/>
    <x v="0"/>
    <x v="5"/>
    <n v="101"/>
    <n v="7.5700000000000003E-2"/>
  </r>
  <r>
    <x v="0"/>
    <x v="105"/>
    <x v="5"/>
    <x v="0"/>
    <x v="6"/>
    <n v="99"/>
    <n v="7.5999999999999998E-2"/>
  </r>
  <r>
    <x v="0"/>
    <x v="105"/>
    <x v="5"/>
    <x v="0"/>
    <x v="7"/>
    <n v="104"/>
    <n v="0.1961"/>
  </r>
  <r>
    <x v="0"/>
    <x v="105"/>
    <x v="5"/>
    <x v="0"/>
    <x v="8"/>
    <n v="104"/>
    <n v="3.6999999999999998E-2"/>
  </r>
  <r>
    <x v="0"/>
    <x v="105"/>
    <x v="5"/>
    <x v="0"/>
    <x v="9"/>
    <n v="100"/>
    <n v="0.12939999999999999"/>
  </r>
  <r>
    <x v="0"/>
    <x v="105"/>
    <x v="5"/>
    <x v="0"/>
    <x v="10"/>
    <n v="100"/>
    <n v="0.10050000000000001"/>
  </r>
  <r>
    <x v="0"/>
    <x v="105"/>
    <x v="5"/>
    <x v="0"/>
    <x v="11"/>
    <n v="101"/>
    <n v="0.14360000000000001"/>
  </r>
  <r>
    <x v="0"/>
    <x v="105"/>
    <x v="5"/>
    <x v="0"/>
    <x v="12"/>
    <n v="103"/>
    <n v="0.1666"/>
  </r>
  <r>
    <x v="0"/>
    <x v="105"/>
    <x v="5"/>
    <x v="0"/>
    <x v="13"/>
    <n v="101"/>
    <n v="9.3799999999999994E-2"/>
  </r>
  <r>
    <x v="1"/>
    <x v="106"/>
    <x v="5"/>
    <x v="0"/>
    <x v="0"/>
    <n v="105"/>
    <n v="3.5700000000000003E-2"/>
  </r>
  <r>
    <x v="1"/>
    <x v="106"/>
    <x v="5"/>
    <x v="0"/>
    <x v="1"/>
    <n v="101"/>
    <n v="5.1000000000000004E-3"/>
  </r>
  <r>
    <x v="1"/>
    <x v="106"/>
    <x v="5"/>
    <x v="0"/>
    <x v="2"/>
    <n v="108"/>
    <n v="1.7399999999999999E-2"/>
  </r>
  <r>
    <x v="1"/>
    <x v="106"/>
    <x v="5"/>
    <x v="0"/>
    <x v="3"/>
    <n v="120"/>
    <n v="1.6299999999999999E-2"/>
  </r>
  <r>
    <x v="1"/>
    <x v="106"/>
    <x v="5"/>
    <x v="0"/>
    <x v="4"/>
    <n v="103"/>
    <n v="2.6800000000000001E-2"/>
  </r>
  <r>
    <x v="1"/>
    <x v="106"/>
    <x v="5"/>
    <x v="0"/>
    <x v="5"/>
    <n v="100"/>
    <n v="1.8100000000000002E-2"/>
  </r>
  <r>
    <x v="1"/>
    <x v="106"/>
    <x v="5"/>
    <x v="0"/>
    <x v="6"/>
    <n v="96"/>
    <n v="1.6299999999999999E-2"/>
  </r>
  <r>
    <x v="1"/>
    <x v="106"/>
    <x v="5"/>
    <x v="0"/>
    <x v="7"/>
    <n v="107"/>
    <n v="2.0799999999999999E-2"/>
  </r>
  <r>
    <x v="1"/>
    <x v="106"/>
    <x v="5"/>
    <x v="0"/>
    <x v="8"/>
    <n v="102"/>
    <n v="4.7999999999999996E-3"/>
  </r>
  <r>
    <x v="1"/>
    <x v="106"/>
    <x v="5"/>
    <x v="0"/>
    <x v="9"/>
    <n v="116"/>
    <n v="1.43E-2"/>
  </r>
  <r>
    <x v="1"/>
    <x v="106"/>
    <x v="5"/>
    <x v="0"/>
    <x v="10"/>
    <n v="108"/>
    <n v="1.8700000000000001E-2"/>
  </r>
  <r>
    <x v="1"/>
    <x v="106"/>
    <x v="5"/>
    <x v="0"/>
    <x v="11"/>
    <n v="99"/>
    <n v="1.8800000000000001E-2"/>
  </r>
  <r>
    <x v="1"/>
    <x v="106"/>
    <x v="5"/>
    <x v="0"/>
    <x v="12"/>
    <n v="99"/>
    <n v="1.83E-2"/>
  </r>
  <r>
    <x v="1"/>
    <x v="106"/>
    <x v="5"/>
    <x v="0"/>
    <x v="13"/>
    <n v="101"/>
    <n v="6.7999999999999996E-3"/>
  </r>
  <r>
    <x v="0"/>
    <x v="107"/>
    <x v="5"/>
    <x v="0"/>
    <x v="0"/>
    <n v="88"/>
    <n v="0.25040000000000001"/>
  </r>
  <r>
    <x v="0"/>
    <x v="107"/>
    <x v="5"/>
    <x v="0"/>
    <x v="1"/>
    <n v="92"/>
    <n v="4.8000000000000001E-2"/>
  </r>
  <r>
    <x v="0"/>
    <x v="107"/>
    <x v="5"/>
    <x v="0"/>
    <x v="2"/>
    <n v="89"/>
    <n v="0.12039999999999999"/>
  </r>
  <r>
    <x v="0"/>
    <x v="107"/>
    <x v="5"/>
    <x v="0"/>
    <x v="3"/>
    <n v="87"/>
    <n v="0.10680000000000001"/>
  </r>
  <r>
    <x v="0"/>
    <x v="107"/>
    <x v="5"/>
    <x v="0"/>
    <x v="4"/>
    <n v="89"/>
    <n v="0.16750000000000001"/>
  </r>
  <r>
    <x v="0"/>
    <x v="107"/>
    <x v="5"/>
    <x v="0"/>
    <x v="5"/>
    <n v="86"/>
    <n v="5.1400000000000001E-2"/>
  </r>
  <r>
    <x v="0"/>
    <x v="107"/>
    <x v="5"/>
    <x v="0"/>
    <x v="6"/>
    <n v="87"/>
    <n v="5.6500000000000002E-2"/>
  </r>
  <r>
    <x v="0"/>
    <x v="107"/>
    <x v="5"/>
    <x v="0"/>
    <x v="7"/>
    <n v="86"/>
    <n v="0.1263"/>
  </r>
  <r>
    <x v="0"/>
    <x v="107"/>
    <x v="5"/>
    <x v="0"/>
    <x v="8"/>
    <n v="91"/>
    <n v="3.2500000000000001E-2"/>
  </r>
  <r>
    <x v="0"/>
    <x v="107"/>
    <x v="5"/>
    <x v="0"/>
    <x v="9"/>
    <n v="86"/>
    <n v="8.3400000000000002E-2"/>
  </r>
  <r>
    <x v="0"/>
    <x v="107"/>
    <x v="5"/>
    <x v="0"/>
    <x v="10"/>
    <n v="87"/>
    <n v="6.4600000000000005E-2"/>
  </r>
  <r>
    <x v="0"/>
    <x v="107"/>
    <x v="5"/>
    <x v="0"/>
    <x v="11"/>
    <n v="88"/>
    <n v="8.8999999999999996E-2"/>
  </r>
  <r>
    <x v="0"/>
    <x v="107"/>
    <x v="5"/>
    <x v="0"/>
    <x v="12"/>
    <n v="90"/>
    <n v="9.9699999999999997E-2"/>
  </r>
  <r>
    <x v="0"/>
    <x v="107"/>
    <x v="5"/>
    <x v="0"/>
    <x v="13"/>
    <n v="90"/>
    <n v="7.1599999999999997E-2"/>
  </r>
  <r>
    <x v="1"/>
    <x v="108"/>
    <x v="5"/>
    <x v="0"/>
    <x v="0"/>
    <n v="84"/>
    <n v="7.8899999999999998E-2"/>
  </r>
  <r>
    <x v="1"/>
    <x v="108"/>
    <x v="5"/>
    <x v="0"/>
    <x v="1"/>
    <n v="85"/>
    <n v="7.0000000000000001E-3"/>
  </r>
  <r>
    <x v="1"/>
    <x v="108"/>
    <x v="5"/>
    <x v="0"/>
    <x v="2"/>
    <n v="87"/>
    <n v="2.4799999999999999E-2"/>
  </r>
  <r>
    <x v="1"/>
    <x v="108"/>
    <x v="5"/>
    <x v="0"/>
    <x v="3"/>
    <n v="85"/>
    <n v="2.2800000000000001E-2"/>
  </r>
  <r>
    <x v="1"/>
    <x v="108"/>
    <x v="5"/>
    <x v="0"/>
    <x v="4"/>
    <n v="80"/>
    <n v="4.9099999999999998E-2"/>
  </r>
  <r>
    <x v="1"/>
    <x v="108"/>
    <x v="5"/>
    <x v="0"/>
    <x v="5"/>
    <n v="81"/>
    <n v="2.58E-2"/>
  </r>
  <r>
    <x v="1"/>
    <x v="108"/>
    <x v="5"/>
    <x v="0"/>
    <x v="6"/>
    <n v="84"/>
    <n v="2.4400000000000002E-2"/>
  </r>
  <r>
    <x v="1"/>
    <x v="108"/>
    <x v="5"/>
    <x v="0"/>
    <x v="7"/>
    <n v="88"/>
    <n v="3.9600000000000003E-2"/>
  </r>
  <r>
    <x v="1"/>
    <x v="108"/>
    <x v="5"/>
    <x v="0"/>
    <x v="8"/>
    <n v="85"/>
    <n v="7.4999999999999997E-3"/>
  </r>
  <r>
    <x v="1"/>
    <x v="108"/>
    <x v="5"/>
    <x v="0"/>
    <x v="9"/>
    <n v="87"/>
    <n v="1.8700000000000001E-2"/>
  </r>
  <r>
    <x v="1"/>
    <x v="108"/>
    <x v="5"/>
    <x v="0"/>
    <x v="10"/>
    <n v="81"/>
    <n v="2.3900000000000001E-2"/>
  </r>
  <r>
    <x v="1"/>
    <x v="108"/>
    <x v="5"/>
    <x v="0"/>
    <x v="11"/>
    <n v="78"/>
    <n v="2.3900000000000001E-2"/>
  </r>
  <r>
    <x v="1"/>
    <x v="108"/>
    <x v="5"/>
    <x v="0"/>
    <x v="12"/>
    <n v="78"/>
    <n v="2.3699999999999999E-2"/>
  </r>
  <r>
    <x v="1"/>
    <x v="108"/>
    <x v="5"/>
    <x v="0"/>
    <x v="13"/>
    <n v="86"/>
    <n v="1.0999999999999999E-2"/>
  </r>
  <r>
    <x v="0"/>
    <x v="109"/>
    <x v="5"/>
    <x v="0"/>
    <x v="0"/>
    <n v="110"/>
    <n v="0.1925"/>
  </r>
  <r>
    <x v="0"/>
    <x v="109"/>
    <x v="5"/>
    <x v="0"/>
    <x v="1"/>
    <n v="108"/>
    <n v="2.6499999999999999E-2"/>
  </r>
  <r>
    <x v="0"/>
    <x v="109"/>
    <x v="5"/>
    <x v="0"/>
    <x v="2"/>
    <n v="108"/>
    <n v="7.9299999999999995E-2"/>
  </r>
  <r>
    <x v="0"/>
    <x v="109"/>
    <x v="5"/>
    <x v="0"/>
    <x v="3"/>
    <n v="111"/>
    <n v="6.0600000000000001E-2"/>
  </r>
  <r>
    <x v="0"/>
    <x v="109"/>
    <x v="5"/>
    <x v="0"/>
    <x v="4"/>
    <n v="109"/>
    <n v="0.12620000000000001"/>
  </r>
  <r>
    <x v="0"/>
    <x v="109"/>
    <x v="5"/>
    <x v="0"/>
    <x v="5"/>
    <n v="114"/>
    <n v="7.6999999999999999E-2"/>
  </r>
  <r>
    <x v="0"/>
    <x v="109"/>
    <x v="5"/>
    <x v="0"/>
    <x v="6"/>
    <n v="112"/>
    <n v="7.3899999999999993E-2"/>
  </r>
  <r>
    <x v="0"/>
    <x v="109"/>
    <x v="5"/>
    <x v="0"/>
    <x v="7"/>
    <n v="109"/>
    <n v="8.9099999999999999E-2"/>
  </r>
  <r>
    <x v="0"/>
    <x v="109"/>
    <x v="5"/>
    <x v="0"/>
    <x v="8"/>
    <n v="102"/>
    <n v="2.5600000000000001E-2"/>
  </r>
  <r>
    <x v="0"/>
    <x v="109"/>
    <x v="5"/>
    <x v="0"/>
    <x v="9"/>
    <n v="108"/>
    <n v="4.9200000000000001E-2"/>
  </r>
  <r>
    <x v="0"/>
    <x v="109"/>
    <x v="5"/>
    <x v="0"/>
    <x v="10"/>
    <n v="107"/>
    <n v="6.7699999999999996E-2"/>
  </r>
  <r>
    <x v="0"/>
    <x v="109"/>
    <x v="5"/>
    <x v="0"/>
    <x v="11"/>
    <n v="108"/>
    <n v="6.5199999999999994E-2"/>
  </r>
  <r>
    <x v="0"/>
    <x v="109"/>
    <x v="5"/>
    <x v="0"/>
    <x v="12"/>
    <n v="110"/>
    <n v="5.8599999999999999E-2"/>
  </r>
  <r>
    <x v="0"/>
    <x v="109"/>
    <x v="5"/>
    <x v="0"/>
    <x v="13"/>
    <n v="107"/>
    <n v="3.7999999999999999E-2"/>
  </r>
  <r>
    <x v="1"/>
    <x v="110"/>
    <x v="5"/>
    <x v="0"/>
    <x v="0"/>
    <n v="40"/>
    <n v="1.5699999999999999E-2"/>
  </r>
  <r>
    <x v="1"/>
    <x v="110"/>
    <x v="5"/>
    <x v="0"/>
    <x v="1"/>
    <n v="17"/>
    <n v="1E-3"/>
  </r>
  <r>
    <x v="1"/>
    <x v="110"/>
    <x v="5"/>
    <x v="0"/>
    <x v="2"/>
    <n v="45"/>
    <n v="4.3E-3"/>
  </r>
  <r>
    <x v="1"/>
    <x v="110"/>
    <x v="5"/>
    <x v="0"/>
    <x v="3"/>
    <n v="35"/>
    <n v="3.0999999999999999E-3"/>
  </r>
  <r>
    <x v="1"/>
    <x v="110"/>
    <x v="5"/>
    <x v="0"/>
    <x v="4"/>
    <n v="53"/>
    <n v="7.0000000000000001E-3"/>
  </r>
  <r>
    <x v="1"/>
    <x v="110"/>
    <x v="5"/>
    <x v="0"/>
    <x v="5"/>
    <n v="29"/>
    <n v="1.4E-3"/>
  </r>
  <r>
    <x v="1"/>
    <x v="110"/>
    <x v="5"/>
    <x v="0"/>
    <x v="6"/>
    <n v="33"/>
    <n v="2E-3"/>
  </r>
  <r>
    <x v="1"/>
    <x v="110"/>
    <x v="5"/>
    <x v="0"/>
    <x v="7"/>
    <n v="32"/>
    <n v="5.3E-3"/>
  </r>
  <r>
    <x v="1"/>
    <x v="110"/>
    <x v="5"/>
    <x v="0"/>
    <x v="9"/>
    <n v="43"/>
    <n v="1.9E-3"/>
  </r>
  <r>
    <x v="1"/>
    <x v="110"/>
    <x v="5"/>
    <x v="0"/>
    <x v="10"/>
    <n v="53"/>
    <n v="1E-3"/>
  </r>
  <r>
    <x v="1"/>
    <x v="110"/>
    <x v="5"/>
    <x v="0"/>
    <x v="11"/>
    <n v="85"/>
    <n v="1.6000000000000001E-3"/>
  </r>
  <r>
    <x v="1"/>
    <x v="110"/>
    <x v="5"/>
    <x v="0"/>
    <x v="12"/>
    <n v="75"/>
    <n v="1.8E-3"/>
  </r>
  <r>
    <x v="1"/>
    <x v="110"/>
    <x v="5"/>
    <x v="0"/>
    <x v="13"/>
    <n v="12"/>
    <n v="2E-3"/>
  </r>
  <r>
    <x v="0"/>
    <x v="111"/>
    <x v="5"/>
    <x v="0"/>
    <x v="0"/>
    <n v="101"/>
    <n v="0.21210000000000001"/>
  </r>
  <r>
    <x v="0"/>
    <x v="111"/>
    <x v="5"/>
    <x v="0"/>
    <x v="1"/>
    <n v="98"/>
    <n v="3.8100000000000002E-2"/>
  </r>
  <r>
    <x v="0"/>
    <x v="111"/>
    <x v="5"/>
    <x v="0"/>
    <x v="2"/>
    <n v="99"/>
    <n v="9.3600000000000003E-2"/>
  </r>
  <r>
    <x v="0"/>
    <x v="111"/>
    <x v="5"/>
    <x v="0"/>
    <x v="3"/>
    <n v="105"/>
    <n v="8.1000000000000003E-2"/>
  </r>
  <r>
    <x v="0"/>
    <x v="111"/>
    <x v="5"/>
    <x v="0"/>
    <x v="4"/>
    <n v="103"/>
    <n v="0.1278"/>
  </r>
  <r>
    <x v="0"/>
    <x v="111"/>
    <x v="5"/>
    <x v="0"/>
    <x v="5"/>
    <n v="103"/>
    <n v="3.0800000000000001E-2"/>
  </r>
  <r>
    <x v="0"/>
    <x v="111"/>
    <x v="5"/>
    <x v="0"/>
    <x v="6"/>
    <n v="101"/>
    <n v="3.8199999999999998E-2"/>
  </r>
  <r>
    <x v="0"/>
    <x v="111"/>
    <x v="5"/>
    <x v="0"/>
    <x v="7"/>
    <n v="96"/>
    <n v="9.4500000000000001E-2"/>
  </r>
  <r>
    <x v="0"/>
    <x v="111"/>
    <x v="5"/>
    <x v="0"/>
    <x v="8"/>
    <n v="95"/>
    <n v="2.3300000000000001E-2"/>
  </r>
  <r>
    <x v="0"/>
    <x v="111"/>
    <x v="5"/>
    <x v="0"/>
    <x v="9"/>
    <n v="106"/>
    <n v="6.1800000000000001E-2"/>
  </r>
  <r>
    <x v="0"/>
    <x v="111"/>
    <x v="5"/>
    <x v="0"/>
    <x v="10"/>
    <n v="103"/>
    <n v="3.73E-2"/>
  </r>
  <r>
    <x v="0"/>
    <x v="111"/>
    <x v="5"/>
    <x v="0"/>
    <x v="11"/>
    <n v="101"/>
    <n v="5.1900000000000002E-2"/>
  </r>
  <r>
    <x v="0"/>
    <x v="111"/>
    <x v="5"/>
    <x v="0"/>
    <x v="12"/>
    <n v="104"/>
    <n v="6.4299999999999996E-2"/>
  </r>
  <r>
    <x v="0"/>
    <x v="111"/>
    <x v="5"/>
    <x v="0"/>
    <x v="13"/>
    <n v="98"/>
    <n v="5.62E-2"/>
  </r>
  <r>
    <x v="0"/>
    <x v="112"/>
    <x v="5"/>
    <x v="0"/>
    <x v="0"/>
    <n v="85"/>
    <n v="0.17019999999999999"/>
  </r>
  <r>
    <x v="0"/>
    <x v="112"/>
    <x v="5"/>
    <x v="0"/>
    <x v="1"/>
    <n v="69"/>
    <n v="1.55E-2"/>
  </r>
  <r>
    <x v="0"/>
    <x v="112"/>
    <x v="5"/>
    <x v="0"/>
    <x v="2"/>
    <n v="81"/>
    <n v="4.6699999999999998E-2"/>
  </r>
  <r>
    <x v="0"/>
    <x v="112"/>
    <x v="5"/>
    <x v="0"/>
    <x v="3"/>
    <n v="90"/>
    <n v="4.1099999999999998E-2"/>
  </r>
  <r>
    <x v="0"/>
    <x v="112"/>
    <x v="5"/>
    <x v="0"/>
    <x v="4"/>
    <n v="83"/>
    <n v="0.1041"/>
  </r>
  <r>
    <x v="0"/>
    <x v="112"/>
    <x v="5"/>
    <x v="0"/>
    <x v="5"/>
    <n v="73"/>
    <n v="2.06E-2"/>
  </r>
  <r>
    <x v="0"/>
    <x v="112"/>
    <x v="5"/>
    <x v="0"/>
    <x v="6"/>
    <n v="87"/>
    <n v="2.35E-2"/>
  </r>
  <r>
    <x v="0"/>
    <x v="112"/>
    <x v="5"/>
    <x v="0"/>
    <x v="7"/>
    <n v="93"/>
    <n v="6.9900000000000004E-2"/>
  </r>
  <r>
    <x v="0"/>
    <x v="112"/>
    <x v="5"/>
    <x v="0"/>
    <x v="8"/>
    <n v="95"/>
    <n v="8.8999999999999999E-3"/>
  </r>
  <r>
    <x v="0"/>
    <x v="112"/>
    <x v="5"/>
    <x v="0"/>
    <x v="9"/>
    <n v="88"/>
    <n v="3.09E-2"/>
  </r>
  <r>
    <x v="0"/>
    <x v="112"/>
    <x v="5"/>
    <x v="0"/>
    <x v="10"/>
    <n v="74"/>
    <n v="2.3900000000000001E-2"/>
  </r>
  <r>
    <x v="0"/>
    <x v="112"/>
    <x v="5"/>
    <x v="0"/>
    <x v="11"/>
    <n v="81"/>
    <n v="3.5400000000000001E-2"/>
  </r>
  <r>
    <x v="0"/>
    <x v="112"/>
    <x v="5"/>
    <x v="0"/>
    <x v="12"/>
    <n v="82"/>
    <n v="4.7100000000000003E-2"/>
  </r>
  <r>
    <x v="0"/>
    <x v="112"/>
    <x v="5"/>
    <x v="0"/>
    <x v="13"/>
    <n v="82"/>
    <n v="2.9100000000000001E-2"/>
  </r>
  <r>
    <x v="0"/>
    <x v="114"/>
    <x v="5"/>
    <x v="0"/>
    <x v="0"/>
    <n v="89"/>
    <n v="0.36299999999999999"/>
  </r>
  <r>
    <x v="0"/>
    <x v="114"/>
    <x v="5"/>
    <x v="0"/>
    <x v="1"/>
    <n v="80"/>
    <n v="4.8000000000000001E-2"/>
  </r>
  <r>
    <x v="0"/>
    <x v="114"/>
    <x v="5"/>
    <x v="0"/>
    <x v="2"/>
    <n v="92"/>
    <n v="0.15440000000000001"/>
  </r>
  <r>
    <x v="0"/>
    <x v="114"/>
    <x v="5"/>
    <x v="0"/>
    <x v="3"/>
    <n v="88"/>
    <n v="0.1416"/>
  </r>
  <r>
    <x v="0"/>
    <x v="114"/>
    <x v="5"/>
    <x v="0"/>
    <x v="4"/>
    <n v="89"/>
    <n v="0.254"/>
  </r>
  <r>
    <x v="0"/>
    <x v="114"/>
    <x v="5"/>
    <x v="0"/>
    <x v="5"/>
    <n v="87"/>
    <n v="6.0299999999999999E-2"/>
  </r>
  <r>
    <x v="0"/>
    <x v="114"/>
    <x v="5"/>
    <x v="0"/>
    <x v="6"/>
    <n v="84"/>
    <n v="6.8099999999999994E-2"/>
  </r>
  <r>
    <x v="0"/>
    <x v="114"/>
    <x v="5"/>
    <x v="0"/>
    <x v="7"/>
    <n v="91"/>
    <n v="0.1661"/>
  </r>
  <r>
    <x v="0"/>
    <x v="114"/>
    <x v="5"/>
    <x v="0"/>
    <x v="8"/>
    <n v="80"/>
    <n v="3.4099999999999998E-2"/>
  </r>
  <r>
    <x v="0"/>
    <x v="114"/>
    <x v="5"/>
    <x v="0"/>
    <x v="9"/>
    <n v="89"/>
    <n v="0.1081"/>
  </r>
  <r>
    <x v="0"/>
    <x v="114"/>
    <x v="5"/>
    <x v="0"/>
    <x v="10"/>
    <n v="89"/>
    <n v="7.4899999999999994E-2"/>
  </r>
  <r>
    <x v="0"/>
    <x v="114"/>
    <x v="5"/>
    <x v="0"/>
    <x v="11"/>
    <n v="89"/>
    <n v="0.1125"/>
  </r>
  <r>
    <x v="0"/>
    <x v="114"/>
    <x v="5"/>
    <x v="0"/>
    <x v="12"/>
    <n v="89"/>
    <n v="0.14269999999999999"/>
  </r>
  <r>
    <x v="0"/>
    <x v="114"/>
    <x v="5"/>
    <x v="0"/>
    <x v="13"/>
    <n v="84"/>
    <n v="7.7299999999999994E-2"/>
  </r>
  <r>
    <x v="1"/>
    <x v="115"/>
    <x v="5"/>
    <x v="0"/>
    <x v="0"/>
    <n v="67"/>
    <n v="7.7600000000000002E-2"/>
  </r>
  <r>
    <x v="1"/>
    <x v="115"/>
    <x v="5"/>
    <x v="0"/>
    <x v="1"/>
    <n v="86"/>
    <n v="6.1999999999999998E-3"/>
  </r>
  <r>
    <x v="1"/>
    <x v="115"/>
    <x v="5"/>
    <x v="0"/>
    <x v="2"/>
    <n v="61"/>
    <n v="2.0400000000000001E-2"/>
  </r>
  <r>
    <x v="1"/>
    <x v="115"/>
    <x v="5"/>
    <x v="0"/>
    <x v="3"/>
    <n v="75"/>
    <n v="1.54E-2"/>
  </r>
  <r>
    <x v="1"/>
    <x v="115"/>
    <x v="5"/>
    <x v="0"/>
    <x v="4"/>
    <n v="65"/>
    <n v="4.4200000000000003E-2"/>
  </r>
  <r>
    <x v="1"/>
    <x v="115"/>
    <x v="5"/>
    <x v="0"/>
    <x v="5"/>
    <n v="60"/>
    <n v="2.5499999999999998E-2"/>
  </r>
  <r>
    <x v="1"/>
    <x v="115"/>
    <x v="5"/>
    <x v="0"/>
    <x v="6"/>
    <n v="60"/>
    <n v="2.35E-2"/>
  </r>
  <r>
    <x v="1"/>
    <x v="115"/>
    <x v="5"/>
    <x v="0"/>
    <x v="7"/>
    <n v="75"/>
    <n v="2.7E-2"/>
  </r>
  <r>
    <x v="1"/>
    <x v="115"/>
    <x v="5"/>
    <x v="0"/>
    <x v="8"/>
    <n v="64"/>
    <n v="6.3E-3"/>
  </r>
  <r>
    <x v="1"/>
    <x v="115"/>
    <x v="5"/>
    <x v="0"/>
    <x v="9"/>
    <n v="76"/>
    <n v="1.1599999999999999E-2"/>
  </r>
  <r>
    <x v="1"/>
    <x v="115"/>
    <x v="5"/>
    <x v="0"/>
    <x v="10"/>
    <n v="63"/>
    <n v="1.9599999999999999E-2"/>
  </r>
  <r>
    <x v="1"/>
    <x v="115"/>
    <x v="5"/>
    <x v="0"/>
    <x v="11"/>
    <n v="60"/>
    <n v="1.84E-2"/>
  </r>
  <r>
    <x v="1"/>
    <x v="115"/>
    <x v="5"/>
    <x v="0"/>
    <x v="12"/>
    <n v="62"/>
    <n v="1.6400000000000001E-2"/>
  </r>
  <r>
    <x v="1"/>
    <x v="115"/>
    <x v="5"/>
    <x v="0"/>
    <x v="13"/>
    <n v="82"/>
    <n v="1.09E-2"/>
  </r>
  <r>
    <x v="1"/>
    <x v="116"/>
    <x v="5"/>
    <x v="0"/>
    <x v="0"/>
    <n v="33"/>
    <n v="1.6199999999999999E-2"/>
  </r>
  <r>
    <x v="1"/>
    <x v="116"/>
    <x v="5"/>
    <x v="0"/>
    <x v="1"/>
    <n v="58"/>
    <n v="1.2999999999999999E-3"/>
  </r>
  <r>
    <x v="1"/>
    <x v="116"/>
    <x v="5"/>
    <x v="0"/>
    <x v="2"/>
    <n v="43"/>
    <n v="4.7999999999999996E-3"/>
  </r>
  <r>
    <x v="1"/>
    <x v="116"/>
    <x v="5"/>
    <x v="0"/>
    <x v="3"/>
    <n v="32"/>
    <n v="2.8999999999999998E-3"/>
  </r>
  <r>
    <x v="1"/>
    <x v="116"/>
    <x v="5"/>
    <x v="0"/>
    <x v="4"/>
    <n v="29"/>
    <n v="6.8999999999999999E-3"/>
  </r>
  <r>
    <x v="1"/>
    <x v="116"/>
    <x v="5"/>
    <x v="0"/>
    <x v="5"/>
    <n v="22"/>
    <n v="1.6000000000000001E-3"/>
  </r>
  <r>
    <x v="1"/>
    <x v="116"/>
    <x v="5"/>
    <x v="0"/>
    <x v="6"/>
    <n v="26"/>
    <n v="2E-3"/>
  </r>
  <r>
    <x v="1"/>
    <x v="116"/>
    <x v="5"/>
    <x v="0"/>
    <x v="7"/>
    <n v="28"/>
    <n v="4.8999999999999998E-3"/>
  </r>
  <r>
    <x v="1"/>
    <x v="116"/>
    <x v="5"/>
    <x v="0"/>
    <x v="9"/>
    <n v="36"/>
    <n v="2.3E-3"/>
  </r>
  <r>
    <x v="1"/>
    <x v="116"/>
    <x v="5"/>
    <x v="0"/>
    <x v="10"/>
    <n v="32"/>
    <n v="1.5E-3"/>
  </r>
  <r>
    <x v="1"/>
    <x v="116"/>
    <x v="5"/>
    <x v="0"/>
    <x v="11"/>
    <n v="34"/>
    <n v="2.3999999999999998E-3"/>
  </r>
  <r>
    <x v="1"/>
    <x v="116"/>
    <x v="5"/>
    <x v="0"/>
    <x v="12"/>
    <n v="29"/>
    <n v="2.7000000000000001E-3"/>
  </r>
  <r>
    <x v="1"/>
    <x v="116"/>
    <x v="5"/>
    <x v="0"/>
    <x v="13"/>
    <n v="52"/>
    <n v="2.0999999999999999E-3"/>
  </r>
  <r>
    <x v="1"/>
    <x v="117"/>
    <x v="5"/>
    <x v="1"/>
    <x v="0"/>
    <n v="83"/>
    <n v="0.37919999999999998"/>
  </r>
  <r>
    <x v="1"/>
    <x v="117"/>
    <x v="5"/>
    <x v="1"/>
    <x v="1"/>
    <n v="69"/>
    <n v="5.1200000000000002E-2"/>
  </r>
  <r>
    <x v="1"/>
    <x v="117"/>
    <x v="5"/>
    <x v="1"/>
    <x v="2"/>
    <n v="84"/>
    <n v="0.13600000000000001"/>
  </r>
  <r>
    <x v="1"/>
    <x v="117"/>
    <x v="5"/>
    <x v="1"/>
    <x v="3"/>
    <n v="68"/>
    <n v="0.1118"/>
  </r>
  <r>
    <x v="1"/>
    <x v="117"/>
    <x v="5"/>
    <x v="1"/>
    <x v="4"/>
    <n v="83"/>
    <n v="0.24529999999999999"/>
  </r>
  <r>
    <x v="1"/>
    <x v="117"/>
    <x v="5"/>
    <x v="1"/>
    <x v="5"/>
    <n v="84"/>
    <n v="4.3999999999999997E-2"/>
  </r>
  <r>
    <x v="1"/>
    <x v="117"/>
    <x v="5"/>
    <x v="1"/>
    <x v="6"/>
    <n v="80"/>
    <n v="5.57E-2"/>
  </r>
  <r>
    <x v="1"/>
    <x v="117"/>
    <x v="5"/>
    <x v="1"/>
    <x v="7"/>
    <n v="92"/>
    <n v="0.20580000000000001"/>
  </r>
  <r>
    <x v="1"/>
    <x v="117"/>
    <x v="5"/>
    <x v="1"/>
    <x v="8"/>
    <n v="67"/>
    <n v="0.03"/>
  </r>
  <r>
    <x v="1"/>
    <x v="117"/>
    <x v="5"/>
    <x v="1"/>
    <x v="9"/>
    <n v="69"/>
    <n v="8.4699999999999998E-2"/>
  </r>
  <r>
    <x v="1"/>
    <x v="117"/>
    <x v="5"/>
    <x v="1"/>
    <x v="10"/>
    <n v="83"/>
    <n v="5.4600000000000003E-2"/>
  </r>
  <r>
    <x v="1"/>
    <x v="117"/>
    <x v="5"/>
    <x v="1"/>
    <x v="11"/>
    <n v="88"/>
    <n v="9.8400000000000001E-2"/>
  </r>
  <r>
    <x v="1"/>
    <x v="117"/>
    <x v="5"/>
    <x v="1"/>
    <x v="12"/>
    <n v="87"/>
    <n v="0.1258"/>
  </r>
  <r>
    <x v="1"/>
    <x v="117"/>
    <x v="5"/>
    <x v="1"/>
    <x v="13"/>
    <n v="75"/>
    <n v="9.3600000000000003E-2"/>
  </r>
  <r>
    <x v="1"/>
    <x v="118"/>
    <x v="5"/>
    <x v="0"/>
    <x v="0"/>
    <n v="108"/>
    <n v="0.1288"/>
  </r>
  <r>
    <x v="1"/>
    <x v="118"/>
    <x v="5"/>
    <x v="0"/>
    <x v="1"/>
    <n v="93"/>
    <n v="1.01E-2"/>
  </r>
  <r>
    <x v="1"/>
    <x v="118"/>
    <x v="5"/>
    <x v="0"/>
    <x v="2"/>
    <n v="99"/>
    <n v="4.3700000000000003E-2"/>
  </r>
  <r>
    <x v="1"/>
    <x v="118"/>
    <x v="5"/>
    <x v="0"/>
    <x v="3"/>
    <n v="110"/>
    <n v="4.2900000000000001E-2"/>
  </r>
  <r>
    <x v="1"/>
    <x v="118"/>
    <x v="5"/>
    <x v="0"/>
    <x v="4"/>
    <n v="111"/>
    <n v="8.3199999999999996E-2"/>
  </r>
  <r>
    <x v="1"/>
    <x v="118"/>
    <x v="5"/>
    <x v="0"/>
    <x v="5"/>
    <n v="112"/>
    <n v="5.57E-2"/>
  </r>
  <r>
    <x v="1"/>
    <x v="118"/>
    <x v="5"/>
    <x v="0"/>
    <x v="6"/>
    <n v="108"/>
    <n v="5.0900000000000001E-2"/>
  </r>
  <r>
    <x v="1"/>
    <x v="118"/>
    <x v="5"/>
    <x v="0"/>
    <x v="7"/>
    <n v="103"/>
    <n v="5.2400000000000002E-2"/>
  </r>
  <r>
    <x v="1"/>
    <x v="118"/>
    <x v="5"/>
    <x v="0"/>
    <x v="8"/>
    <n v="94"/>
    <n v="1.1299999999999999E-2"/>
  </r>
  <r>
    <x v="1"/>
    <x v="118"/>
    <x v="5"/>
    <x v="0"/>
    <x v="9"/>
    <n v="105"/>
    <n v="3.5999999999999997E-2"/>
  </r>
  <r>
    <x v="1"/>
    <x v="118"/>
    <x v="5"/>
    <x v="0"/>
    <x v="10"/>
    <n v="110"/>
    <n v="5.0799999999999998E-2"/>
  </r>
  <r>
    <x v="1"/>
    <x v="118"/>
    <x v="5"/>
    <x v="0"/>
    <x v="11"/>
    <n v="112"/>
    <n v="4.65E-2"/>
  </r>
  <r>
    <x v="1"/>
    <x v="118"/>
    <x v="5"/>
    <x v="0"/>
    <x v="12"/>
    <n v="111"/>
    <n v="4.3400000000000001E-2"/>
  </r>
  <r>
    <x v="1"/>
    <x v="118"/>
    <x v="5"/>
    <x v="0"/>
    <x v="13"/>
    <n v="91"/>
    <n v="1.61E-2"/>
  </r>
  <r>
    <x v="0"/>
    <x v="119"/>
    <x v="5"/>
    <x v="0"/>
    <x v="0"/>
    <n v="102"/>
    <n v="0.48139999999999999"/>
  </r>
  <r>
    <x v="0"/>
    <x v="119"/>
    <x v="5"/>
    <x v="0"/>
    <x v="1"/>
    <n v="103"/>
    <n v="0.1358"/>
  </r>
  <r>
    <x v="0"/>
    <x v="119"/>
    <x v="5"/>
    <x v="0"/>
    <x v="2"/>
    <n v="106"/>
    <n v="0.2888"/>
  </r>
  <r>
    <x v="0"/>
    <x v="119"/>
    <x v="5"/>
    <x v="0"/>
    <x v="3"/>
    <n v="102"/>
    <n v="0.28110000000000002"/>
  </r>
  <r>
    <x v="0"/>
    <x v="119"/>
    <x v="5"/>
    <x v="0"/>
    <x v="4"/>
    <n v="100"/>
    <n v="0.35970000000000002"/>
  </r>
  <r>
    <x v="0"/>
    <x v="119"/>
    <x v="5"/>
    <x v="0"/>
    <x v="5"/>
    <n v="98"/>
    <n v="0.1002"/>
  </r>
  <r>
    <x v="0"/>
    <x v="119"/>
    <x v="5"/>
    <x v="0"/>
    <x v="6"/>
    <n v="98"/>
    <n v="0.12559999999999999"/>
  </r>
  <r>
    <x v="0"/>
    <x v="119"/>
    <x v="5"/>
    <x v="0"/>
    <x v="7"/>
    <n v="102"/>
    <n v="0.33750000000000002"/>
  </r>
  <r>
    <x v="0"/>
    <x v="119"/>
    <x v="5"/>
    <x v="0"/>
    <x v="8"/>
    <n v="101"/>
    <n v="8.2500000000000004E-2"/>
  </r>
  <r>
    <x v="0"/>
    <x v="119"/>
    <x v="5"/>
    <x v="0"/>
    <x v="9"/>
    <n v="103"/>
    <n v="0.2407"/>
  </r>
  <r>
    <x v="0"/>
    <x v="119"/>
    <x v="5"/>
    <x v="0"/>
    <x v="10"/>
    <n v="98"/>
    <n v="0.1384"/>
  </r>
  <r>
    <x v="0"/>
    <x v="119"/>
    <x v="5"/>
    <x v="0"/>
    <x v="11"/>
    <n v="98"/>
    <n v="0.19289999999999999"/>
  </r>
  <r>
    <x v="0"/>
    <x v="119"/>
    <x v="5"/>
    <x v="0"/>
    <x v="12"/>
    <n v="100"/>
    <n v="0.2361"/>
  </r>
  <r>
    <x v="0"/>
    <x v="119"/>
    <x v="5"/>
    <x v="0"/>
    <x v="13"/>
    <n v="101"/>
    <n v="0.18759999999999999"/>
  </r>
  <r>
    <x v="0"/>
    <x v="120"/>
    <x v="5"/>
    <x v="0"/>
    <x v="0"/>
    <n v="74"/>
    <n v="0.14280000000000001"/>
  </r>
  <r>
    <x v="0"/>
    <x v="120"/>
    <x v="5"/>
    <x v="0"/>
    <x v="1"/>
    <n v="70"/>
    <n v="9.9000000000000008E-3"/>
  </r>
  <r>
    <x v="0"/>
    <x v="120"/>
    <x v="5"/>
    <x v="0"/>
    <x v="2"/>
    <n v="54"/>
    <n v="3.3599999999999998E-2"/>
  </r>
  <r>
    <x v="0"/>
    <x v="120"/>
    <x v="5"/>
    <x v="0"/>
    <x v="3"/>
    <n v="60"/>
    <n v="3.0099999999999998E-2"/>
  </r>
  <r>
    <x v="0"/>
    <x v="120"/>
    <x v="5"/>
    <x v="0"/>
    <x v="4"/>
    <n v="79"/>
    <n v="9.4899999999999998E-2"/>
  </r>
  <r>
    <x v="0"/>
    <x v="120"/>
    <x v="5"/>
    <x v="0"/>
    <x v="5"/>
    <n v="80"/>
    <n v="1.9900000000000001E-2"/>
  </r>
  <r>
    <x v="0"/>
    <x v="120"/>
    <x v="5"/>
    <x v="0"/>
    <x v="6"/>
    <n v="80"/>
    <n v="2.01E-2"/>
  </r>
  <r>
    <x v="0"/>
    <x v="120"/>
    <x v="5"/>
    <x v="0"/>
    <x v="7"/>
    <n v="70"/>
    <n v="5.7799999999999997E-2"/>
  </r>
  <r>
    <x v="0"/>
    <x v="120"/>
    <x v="5"/>
    <x v="0"/>
    <x v="8"/>
    <n v="87"/>
    <n v="7.6E-3"/>
  </r>
  <r>
    <x v="0"/>
    <x v="120"/>
    <x v="5"/>
    <x v="0"/>
    <x v="9"/>
    <n v="56"/>
    <n v="2.0199999999999999E-2"/>
  </r>
  <r>
    <x v="0"/>
    <x v="120"/>
    <x v="5"/>
    <x v="0"/>
    <x v="10"/>
    <n v="80"/>
    <n v="2.5899999999999999E-2"/>
  </r>
  <r>
    <x v="0"/>
    <x v="120"/>
    <x v="5"/>
    <x v="0"/>
    <x v="11"/>
    <n v="79"/>
    <n v="3.78E-2"/>
  </r>
  <r>
    <x v="0"/>
    <x v="120"/>
    <x v="5"/>
    <x v="0"/>
    <x v="12"/>
    <n v="82"/>
    <n v="4.5400000000000003E-2"/>
  </r>
  <r>
    <x v="0"/>
    <x v="120"/>
    <x v="5"/>
    <x v="0"/>
    <x v="13"/>
    <n v="68"/>
    <n v="1.67E-2"/>
  </r>
  <r>
    <x v="1"/>
    <x v="121"/>
    <x v="5"/>
    <x v="0"/>
    <x v="0"/>
    <n v="111"/>
    <n v="2E-3"/>
  </r>
  <r>
    <x v="0"/>
    <x v="122"/>
    <x v="5"/>
    <x v="0"/>
    <x v="0"/>
    <n v="102"/>
    <n v="0.1736"/>
  </r>
  <r>
    <x v="0"/>
    <x v="122"/>
    <x v="5"/>
    <x v="0"/>
    <x v="1"/>
    <n v="94"/>
    <n v="2.2700000000000001E-2"/>
  </r>
  <r>
    <x v="0"/>
    <x v="122"/>
    <x v="5"/>
    <x v="0"/>
    <x v="2"/>
    <n v="106"/>
    <n v="7.7299999999999994E-2"/>
  </r>
  <r>
    <x v="0"/>
    <x v="122"/>
    <x v="5"/>
    <x v="0"/>
    <x v="3"/>
    <n v="103"/>
    <n v="7.3499999999999996E-2"/>
  </r>
  <r>
    <x v="0"/>
    <x v="122"/>
    <x v="5"/>
    <x v="0"/>
    <x v="4"/>
    <n v="100"/>
    <n v="0.11409999999999999"/>
  </r>
  <r>
    <x v="0"/>
    <x v="122"/>
    <x v="5"/>
    <x v="0"/>
    <x v="5"/>
    <n v="97"/>
    <n v="0.03"/>
  </r>
  <r>
    <x v="0"/>
    <x v="122"/>
    <x v="5"/>
    <x v="0"/>
    <x v="6"/>
    <n v="94"/>
    <n v="3.0800000000000001E-2"/>
  </r>
  <r>
    <x v="0"/>
    <x v="122"/>
    <x v="5"/>
    <x v="0"/>
    <x v="7"/>
    <n v="102"/>
    <n v="8.4000000000000005E-2"/>
  </r>
  <r>
    <x v="0"/>
    <x v="122"/>
    <x v="5"/>
    <x v="0"/>
    <x v="8"/>
    <n v="101"/>
    <n v="1.44E-2"/>
  </r>
  <r>
    <x v="0"/>
    <x v="122"/>
    <x v="5"/>
    <x v="0"/>
    <x v="9"/>
    <n v="104"/>
    <n v="5.8500000000000003E-2"/>
  </r>
  <r>
    <x v="0"/>
    <x v="122"/>
    <x v="5"/>
    <x v="0"/>
    <x v="10"/>
    <n v="98"/>
    <n v="3.6499999999999998E-2"/>
  </r>
  <r>
    <x v="0"/>
    <x v="122"/>
    <x v="5"/>
    <x v="0"/>
    <x v="11"/>
    <n v="99"/>
    <n v="5.3699999999999998E-2"/>
  </r>
  <r>
    <x v="0"/>
    <x v="122"/>
    <x v="5"/>
    <x v="0"/>
    <x v="12"/>
    <n v="101"/>
    <n v="6.3500000000000001E-2"/>
  </r>
  <r>
    <x v="0"/>
    <x v="122"/>
    <x v="5"/>
    <x v="0"/>
    <x v="13"/>
    <n v="94"/>
    <n v="3.7600000000000001E-2"/>
  </r>
  <r>
    <x v="2"/>
    <x v="147"/>
    <x v="6"/>
    <x v="2"/>
    <x v="14"/>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x v="0"/>
    <n v="0.57999999999999996"/>
    <n v="0.42"/>
  </r>
  <r>
    <x v="1"/>
    <n v="0.63"/>
    <n v="0.37"/>
  </r>
  <r>
    <x v="2"/>
    <n v="0.61"/>
    <n v="0.39"/>
  </r>
  <r>
    <x v="3"/>
    <n v="0.65"/>
    <n v="0.35"/>
  </r>
  <r>
    <x v="4"/>
    <n v="0.62"/>
    <n v="0.38"/>
  </r>
  <r>
    <x v="5"/>
    <n v="0.68"/>
    <n v="0.32"/>
  </r>
  <r>
    <x v="6"/>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x v="0"/>
    <n v="7.4046571088826021E-2"/>
    <n v="0.19649507465902871"/>
    <n v="0.12467928942717872"/>
    <n v="0.37318414927551874"/>
    <n v="6.3101292904168202E-2"/>
    <n v="0.16849362264527956"/>
  </r>
  <r>
    <x v="1"/>
    <n v="0.10979843813076827"/>
    <n v="0.19874025650725127"/>
    <n v="0.1208491543074819"/>
    <n v="0.3271948471712573"/>
    <n v="6.9199566916639116E-2"/>
    <n v="0.17421773696660214"/>
  </r>
  <r>
    <x v="2"/>
    <n v="8.6304008739710905E-2"/>
    <n v="0.21163614903728156"/>
    <n v="0.13824400043888707"/>
    <n v="0.33258111110966282"/>
    <n v="5.7046938222042667E-2"/>
    <n v="0.17418779245241497"/>
  </r>
  <r>
    <x v="3"/>
    <n v="8.333338086393316E-2"/>
    <n v="0.21495401482233004"/>
    <n v="0.11949798176696448"/>
    <n v="0.34077853213765319"/>
    <n v="7.8405250152125683E-2"/>
    <n v="0.16303084025699346"/>
  </r>
  <r>
    <x v="4"/>
    <n v="0.10342176342652404"/>
    <n v="0.21159138460575186"/>
    <n v="0.12482742435956067"/>
    <n v="0.33623527688039406"/>
    <n v="5.1036432398382334E-2"/>
    <n v="0.17288771832938701"/>
  </r>
  <r>
    <x v="5"/>
    <n v="9.6627743543244021E-2"/>
    <n v="0.21555815328500855"/>
    <n v="0.13060380693978549"/>
    <n v="0.31846227314555542"/>
    <n v="7.0864531361432018E-2"/>
    <n v="0.16788349172497449"/>
  </r>
  <r>
    <x v="6"/>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D438BF0-02C8-4F01-9D83-C84AB94DF38C}" name="PivotTable1" cacheId="10" applyNumberFormats="0" applyBorderFormats="0" applyFontFormats="0" applyPatternFormats="0" applyAlignmentFormats="0" applyWidthHeightFormats="1" dataCaption="Values" updatedVersion="8" showDrill="0" rowGrandTotals="0" colGrandTotals="0" createdVersion="7" indent="0" compact="0" compactData="0" multipleFieldFilters="0">
  <location ref="B18:D106" firstHeaderRow="0" firstDataRow="1" firstDataCol="1"/>
  <pivotFields count="7">
    <pivotField compact="0" outline="0" subtotalTop="0" showAll="0" defaultSubtotal="0">
      <items count="3">
        <item h="1" x="1"/>
        <item x="0"/>
        <item h="1" x="2"/>
      </items>
    </pivotField>
    <pivotField axis="axisRow" compact="0" outline="0" subtotalTop="0" showAll="0" sortType="descending" defaultSubtotal="0">
      <items count="235">
        <item m="1" x="204"/>
        <item x="122"/>
        <item x="121"/>
        <item x="120"/>
        <item x="83"/>
        <item x="119"/>
        <item x="118"/>
        <item x="117"/>
        <item m="1" x="210"/>
        <item x="109"/>
        <item x="88"/>
        <item x="115"/>
        <item m="1" x="159"/>
        <item x="112"/>
        <item x="111"/>
        <item x="110"/>
        <item x="16"/>
        <item x="114"/>
        <item m="1" x="172"/>
        <item x="107"/>
        <item m="1" x="156"/>
        <item m="1" x="205"/>
        <item m="1" x="151"/>
        <item m="1" x="168"/>
        <item x="102"/>
        <item x="101"/>
        <item m="1" x="186"/>
        <item m="1" x="183"/>
        <item m="1" x="223"/>
        <item x="98"/>
        <item x="97"/>
        <item m="1" x="179"/>
        <item m="1" x="231"/>
        <item x="95"/>
        <item x="94"/>
        <item x="93"/>
        <item m="1" x="166"/>
        <item x="92"/>
        <item x="89"/>
        <item m="1" x="224"/>
        <item x="90"/>
        <item m="1" x="228"/>
        <item m="1" x="191"/>
        <item m="1" x="162"/>
        <item x="87"/>
        <item x="78"/>
        <item x="80"/>
        <item x="84"/>
        <item m="1" x="165"/>
        <item x="79"/>
        <item m="1" x="227"/>
        <item x="77"/>
        <item x="76"/>
        <item x="75"/>
        <item m="1" x="193"/>
        <item x="74"/>
        <item m="1" x="233"/>
        <item x="71"/>
        <item x="69"/>
        <item x="70"/>
        <item x="68"/>
        <item x="106"/>
        <item x="66"/>
        <item x="67"/>
        <item m="1" x="221"/>
        <item x="63"/>
        <item x="64"/>
        <item x="105"/>
        <item x="65"/>
        <item m="1" x="208"/>
        <item x="61"/>
        <item x="60"/>
        <item x="58"/>
        <item x="57"/>
        <item x="59"/>
        <item x="56"/>
        <item x="55"/>
        <item m="1" x="149"/>
        <item m="1" x="200"/>
        <item x="53"/>
        <item x="45"/>
        <item x="52"/>
        <item x="48"/>
        <item x="49"/>
        <item m="1" x="150"/>
        <item m="1" x="199"/>
        <item x="43"/>
        <item x="42"/>
        <item x="44"/>
        <item m="1" x="209"/>
        <item x="37"/>
        <item m="1" x="155"/>
        <item m="1" x="148"/>
        <item m="1" x="180"/>
        <item x="36"/>
        <item m="1" x="157"/>
        <item x="35"/>
        <item x="34"/>
        <item m="1" x="230"/>
        <item x="33"/>
        <item m="1" x="185"/>
        <item x="31"/>
        <item x="30"/>
        <item m="1" x="215"/>
        <item x="27"/>
        <item m="1" x="173"/>
        <item x="20"/>
        <item x="19"/>
        <item x="25"/>
        <item x="23"/>
        <item m="1" x="190"/>
        <item x="24"/>
        <item x="18"/>
        <item x="17"/>
        <item m="1" x="167"/>
        <item m="1" x="153"/>
        <item m="1" x="152"/>
        <item x="14"/>
        <item x="10"/>
        <item x="12"/>
        <item x="9"/>
        <item m="1" x="170"/>
        <item x="8"/>
        <item x="7"/>
        <item m="1" x="225"/>
        <item x="5"/>
        <item x="4"/>
        <item x="3"/>
        <item x="0"/>
        <item x="2"/>
        <item x="1"/>
        <item m="1" x="181"/>
        <item m="1" x="212"/>
        <item m="1" x="169"/>
        <item x="21"/>
        <item m="1" x="229"/>
        <item m="1" x="175"/>
        <item m="1" x="195"/>
        <item x="50"/>
        <item m="1" x="182"/>
        <item m="1" x="218"/>
        <item x="81"/>
        <item m="1" x="201"/>
        <item x="128"/>
        <item m="1" x="177"/>
        <item m="1" x="194"/>
        <item m="1" x="197"/>
        <item x="124"/>
        <item x="22"/>
        <item m="1" x="211"/>
        <item m="1" x="213"/>
        <item m="1" x="187"/>
        <item x="136"/>
        <item m="1" x="222"/>
        <item m="1" x="226"/>
        <item m="1" x="171"/>
        <item m="1" x="202"/>
        <item x="146"/>
        <item m="1" x="154"/>
        <item m="1" x="206"/>
        <item m="1" x="217"/>
        <item m="1" x="176"/>
        <item m="1" x="160"/>
        <item m="1" x="189"/>
        <item m="1" x="178"/>
        <item x="133"/>
        <item m="1" x="196"/>
        <item x="144"/>
        <item m="1" x="216"/>
        <item m="1" x="174"/>
        <item x="145"/>
        <item m="1" x="214"/>
        <item m="1" x="188"/>
        <item x="138"/>
        <item m="1" x="203"/>
        <item m="1" x="158"/>
        <item m="1" x="220"/>
        <item m="1" x="232"/>
        <item m="1" x="234"/>
        <item m="1" x="198"/>
        <item m="1" x="161"/>
        <item m="1" x="192"/>
        <item m="1" x="163"/>
        <item m="1" x="207"/>
        <item m="1" x="164"/>
        <item m="1" x="219"/>
        <item m="1" x="184"/>
        <item x="147"/>
        <item x="6"/>
        <item x="11"/>
        <item x="13"/>
        <item x="15"/>
        <item x="26"/>
        <item x="28"/>
        <item x="29"/>
        <item x="32"/>
        <item x="38"/>
        <item x="39"/>
        <item x="40"/>
        <item x="41"/>
        <item x="46"/>
        <item x="47"/>
        <item x="51"/>
        <item x="54"/>
        <item x="62"/>
        <item x="72"/>
        <item x="73"/>
        <item x="82"/>
        <item x="85"/>
        <item x="86"/>
        <item x="91"/>
        <item x="96"/>
        <item x="99"/>
        <item x="100"/>
        <item x="103"/>
        <item x="104"/>
        <item x="108"/>
        <item x="113"/>
        <item x="116"/>
        <item x="123"/>
        <item x="125"/>
        <item x="126"/>
        <item x="127"/>
        <item x="129"/>
        <item x="130"/>
        <item x="131"/>
        <item x="132"/>
        <item x="134"/>
        <item x="135"/>
        <item x="137"/>
        <item x="139"/>
        <item x="140"/>
        <item x="141"/>
        <item x="142"/>
        <item x="143"/>
      </items>
      <autoSortScope>
        <pivotArea dataOnly="0" outline="0" fieldPosition="0">
          <references count="1">
            <reference field="4294967294" count="1" selected="0">
              <x v="0"/>
            </reference>
          </references>
        </pivotArea>
      </autoSortScope>
    </pivotField>
    <pivotField compact="0" outline="0" subtotalTop="0" showAll="0" defaultSubtotal="0">
      <items count="15">
        <item h="1" m="1" x="8"/>
        <item x="0"/>
        <item h="1" m="1" x="7"/>
        <item h="1" m="1" x="9"/>
        <item x="1"/>
        <item x="2"/>
        <item x="3"/>
        <item h="1" m="1" x="10"/>
        <item h="1" m="1" x="12"/>
        <item h="1" x="4"/>
        <item h="1" m="1" x="14"/>
        <item h="1" x="5"/>
        <item h="1" m="1" x="13"/>
        <item h="1" m="1" x="11"/>
        <item h="1" x="6"/>
      </items>
    </pivotField>
    <pivotField compact="0" outline="0" subtotalTop="0" showAll="0" defaultSubtotal="0">
      <items count="3">
        <item x="1"/>
        <item x="0"/>
        <item x="2"/>
      </items>
    </pivotField>
    <pivotField compact="0" outline="0" subtotalTop="0" showAll="0" defaultSubtotal="0">
      <items count="15">
        <item h="1" x="8"/>
        <item h="1" x="9"/>
        <item h="1" x="3"/>
        <item h="1" x="1"/>
        <item h="1" x="2"/>
        <item h="1" x="11"/>
        <item h="1" x="10"/>
        <item h="1" x="5"/>
        <item h="1" x="6"/>
        <item h="1" x="13"/>
        <item x="0"/>
        <item h="1" x="4"/>
        <item h="1" x="12"/>
        <item h="1" x="7"/>
        <item h="1" x="14"/>
      </items>
    </pivotField>
    <pivotField dataField="1" compact="0" outline="0" subtotalTop="0" showAll="0" defaultSubtotal="0"/>
    <pivotField dataField="1" compact="0" outline="0" subtotalTop="0" showAll="0" defaultSubtotal="0"/>
  </pivotFields>
  <rowFields count="1">
    <field x="1"/>
  </rowFields>
  <rowItems count="88">
    <i>
      <x v="129"/>
    </i>
    <i>
      <x v="222"/>
    </i>
    <i>
      <x v="30"/>
    </i>
    <i>
      <x v="194"/>
    </i>
    <i>
      <x v="127"/>
    </i>
    <i>
      <x v="88"/>
    </i>
    <i>
      <x v="40"/>
    </i>
    <i>
      <x v="205"/>
    </i>
    <i>
      <x v="1"/>
    </i>
    <i>
      <x v="71"/>
    </i>
    <i>
      <x v="75"/>
    </i>
    <i>
      <x v="141"/>
    </i>
    <i>
      <x v="201"/>
    </i>
    <i>
      <x v="70"/>
    </i>
    <i>
      <x v="2"/>
    </i>
    <i>
      <x v="125"/>
    </i>
    <i>
      <x v="9"/>
    </i>
    <i>
      <x v="189"/>
    </i>
    <i>
      <x v="5"/>
    </i>
    <i>
      <x v="111"/>
    </i>
    <i>
      <x v="72"/>
    </i>
    <i>
      <x v="82"/>
    </i>
    <i>
      <x v="67"/>
    </i>
    <i>
      <x v="83"/>
    </i>
    <i>
      <x v="10"/>
    </i>
    <i>
      <x v="14"/>
    </i>
    <i>
      <x v="101"/>
    </i>
    <i>
      <x v="190"/>
    </i>
    <i>
      <x v="108"/>
    </i>
    <i>
      <x v="68"/>
    </i>
    <i>
      <x v="29"/>
    </i>
    <i>
      <x v="199"/>
    </i>
    <i>
      <x v="99"/>
    </i>
    <i>
      <x v="59"/>
    </i>
    <i>
      <x v="87"/>
    </i>
    <i>
      <x v="206"/>
    </i>
    <i>
      <x v="107"/>
    </i>
    <i>
      <x v="66"/>
    </i>
    <i>
      <x v="46"/>
    </i>
    <i>
      <x v="214"/>
    </i>
    <i>
      <x v="227"/>
    </i>
    <i>
      <x v="198"/>
    </i>
    <i>
      <x v="128"/>
    </i>
    <i>
      <x v="35"/>
    </i>
    <i>
      <x v="55"/>
    </i>
    <i>
      <x v="122"/>
    </i>
    <i>
      <x v="37"/>
    </i>
    <i>
      <x v="94"/>
    </i>
    <i>
      <x v="106"/>
    </i>
    <i>
      <x v="126"/>
    </i>
    <i>
      <x v="19"/>
    </i>
    <i>
      <x v="24"/>
    </i>
    <i>
      <x v="17"/>
    </i>
    <i>
      <x v="63"/>
    </i>
    <i>
      <x v="226"/>
    </i>
    <i>
      <x v="44"/>
    </i>
    <i>
      <x v="47"/>
    </i>
    <i>
      <x v="81"/>
    </i>
    <i>
      <x v="197"/>
    </i>
    <i>
      <x v="52"/>
    </i>
    <i>
      <x v="13"/>
    </i>
    <i>
      <x v="109"/>
    </i>
    <i>
      <x v="57"/>
    </i>
    <i>
      <x v="80"/>
    </i>
    <i>
      <x v="38"/>
    </i>
    <i>
      <x v="202"/>
    </i>
    <i>
      <x v="191"/>
    </i>
    <i>
      <x v="117"/>
    </i>
    <i>
      <x v="90"/>
    </i>
    <i>
      <x v="165"/>
    </i>
    <i>
      <x v="58"/>
    </i>
    <i>
      <x v="51"/>
    </i>
    <i>
      <x v="16"/>
    </i>
    <i>
      <x v="96"/>
    </i>
    <i>
      <x v="188"/>
    </i>
    <i>
      <x v="3"/>
    </i>
    <i>
      <x v="4"/>
    </i>
    <i>
      <x v="207"/>
    </i>
    <i>
      <x v="11"/>
    </i>
    <i>
      <x v="119"/>
    </i>
    <i>
      <x v="15"/>
    </i>
    <i>
      <x v="200"/>
    </i>
    <i>
      <x v="217"/>
    </i>
    <i>
      <x v="73"/>
    </i>
    <i>
      <x v="196"/>
    </i>
    <i>
      <x v="134"/>
    </i>
    <i>
      <x v="221"/>
    </i>
    <i>
      <x v="195"/>
    </i>
  </rowItems>
  <colFields count="1">
    <field x="-2"/>
  </colFields>
  <colItems count="2">
    <i>
      <x/>
    </i>
    <i i="1">
      <x v="1"/>
    </i>
  </colItems>
  <dataFields count="2">
    <dataField name=" AUDIENCE INDEX" fld="5" subtotal="average" baseField="1" baseItem="0" numFmtId="1"/>
    <dataField name=" AUDIENCE REACH" fld="6" subtotal="average" baseField="1" baseItem="0" numFmtId="10"/>
  </dataFields>
  <formats count="5">
    <format dxfId="20">
      <pivotArea type="all" dataOnly="0" outline="0" fieldPosition="0"/>
    </format>
    <format dxfId="19">
      <pivotArea field="1" type="button" dataOnly="0" labelOnly="1" outline="0" axis="axisRow" fieldPosition="0"/>
    </format>
    <format dxfId="18">
      <pivotArea dataOnly="0" labelOnly="1" outline="0" fieldPosition="0">
        <references count="1">
          <reference field="4294967294" count="2">
            <x v="0"/>
            <x v="1"/>
          </reference>
        </references>
      </pivotArea>
    </format>
    <format dxfId="17">
      <pivotArea field="1" type="button" dataOnly="0" labelOnly="1" outline="0" axis="axisRow" fieldPosition="0"/>
    </format>
    <format dxfId="16">
      <pivotArea dataOnly="0" labelOnly="1" outline="0" fieldPosition="0">
        <references count="1">
          <reference field="4294967294" count="2">
            <x v="0"/>
            <x v="1"/>
          </reference>
        </references>
      </pivotArea>
    </format>
  </formats>
  <conditionalFormats count="3">
    <conditionalFormat scope="field" priority="1">
      <pivotAreas count="1">
        <pivotArea outline="0" collapsedLevelsAreSubtotals="1" fieldPosition="0">
          <references count="2">
            <reference field="4294967294" count="1" selected="0">
              <x v="0"/>
            </reference>
            <reference field="1" count="0" selected="0"/>
          </references>
        </pivotArea>
      </pivotAreas>
    </conditionalFormat>
    <conditionalFormat scope="field" priority="2">
      <pivotAreas count="1">
        <pivotArea outline="0" collapsedLevelsAreSubtotals="1" fieldPosition="0">
          <references count="2">
            <reference field="4294967294" count="1" selected="0">
              <x v="0"/>
            </reference>
            <reference field="1" count="0" selected="0"/>
          </references>
        </pivotArea>
      </pivotAreas>
    </conditionalFormat>
    <conditionalFormat scope="field" priority="3">
      <pivotAreas count="1">
        <pivotArea outline="0" collapsedLevelsAreSubtotals="1" fieldPosition="0">
          <references count="2">
            <reference field="4294967294" count="1" selected="0">
              <x v="0"/>
            </reference>
            <reference field="1" count="0" selected="0"/>
          </references>
        </pivotArea>
      </pivotAreas>
    </conditionalFormat>
  </conditionalFormats>
  <pivotTableStyleInfo name="PivotStyleLigh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6954179-9892-4F55-8593-3209F819AAC8}" name="PivotTable2" cacheId="10" applyNumberFormats="0" applyBorderFormats="0" applyFontFormats="0" applyPatternFormats="0" applyAlignmentFormats="0" applyWidthHeightFormats="1" dataCaption="Values" updatedVersion="8" showDrill="0" enableDrill="0" rowGrandTotals="0" colGrandTotals="0" createdVersion="7" indent="0" compact="0" compactData="0" multipleFieldFilters="0">
  <location ref="B19:J118" firstHeaderRow="1" firstDataRow="2" firstDataCol="1"/>
  <pivotFields count="7">
    <pivotField compact="0" outline="0" subtotalTop="0" showAll="0" defaultSubtotal="0">
      <items count="3">
        <item h="1" x="1"/>
        <item x="0"/>
        <item h="1" x="2"/>
      </items>
    </pivotField>
    <pivotField axis="axisRow" compact="0" outline="0" subtotalTop="0" showAll="0" sortType="descending" defaultSubtotal="0">
      <items count="235">
        <item x="1"/>
        <item x="2"/>
        <item x="0"/>
        <item x="3"/>
        <item x="4"/>
        <item x="5"/>
        <item m="1" x="225"/>
        <item x="7"/>
        <item x="8"/>
        <item m="1" x="170"/>
        <item x="9"/>
        <item x="12"/>
        <item x="10"/>
        <item x="14"/>
        <item m="1" x="152"/>
        <item m="1" x="153"/>
        <item m="1" x="167"/>
        <item x="17"/>
        <item x="18"/>
        <item x="24"/>
        <item m="1" x="190"/>
        <item x="23"/>
        <item x="25"/>
        <item x="19"/>
        <item x="20"/>
        <item m="1" x="173"/>
        <item x="27"/>
        <item m="1" x="215"/>
        <item x="30"/>
        <item x="31"/>
        <item m="1" x="185"/>
        <item x="33"/>
        <item m="1" x="230"/>
        <item x="34"/>
        <item x="35"/>
        <item m="1" x="157"/>
        <item x="36"/>
        <item m="1" x="180"/>
        <item m="1" x="148"/>
        <item m="1" x="155"/>
        <item x="37"/>
        <item m="1" x="209"/>
        <item x="44"/>
        <item x="42"/>
        <item x="43"/>
        <item m="1" x="199"/>
        <item m="1" x="150"/>
        <item x="49"/>
        <item x="48"/>
        <item x="52"/>
        <item x="45"/>
        <item x="53"/>
        <item m="1" x="200"/>
        <item m="1" x="149"/>
        <item x="55"/>
        <item x="56"/>
        <item x="59"/>
        <item x="57"/>
        <item x="58"/>
        <item x="60"/>
        <item x="61"/>
        <item m="1" x="208"/>
        <item x="65"/>
        <item x="105"/>
        <item x="64"/>
        <item x="63"/>
        <item m="1" x="221"/>
        <item x="67"/>
        <item x="66"/>
        <item x="106"/>
        <item x="68"/>
        <item x="70"/>
        <item x="69"/>
        <item x="71"/>
        <item m="1" x="233"/>
        <item x="74"/>
        <item m="1" x="193"/>
        <item x="75"/>
        <item x="76"/>
        <item x="77"/>
        <item m="1" x="227"/>
        <item x="79"/>
        <item m="1" x="165"/>
        <item x="84"/>
        <item x="80"/>
        <item x="78"/>
        <item x="87"/>
        <item m="1" x="162"/>
        <item m="1" x="191"/>
        <item m="1" x="228"/>
        <item x="90"/>
        <item m="1" x="224"/>
        <item x="89"/>
        <item x="92"/>
        <item m="1" x="166"/>
        <item x="93"/>
        <item x="94"/>
        <item x="95"/>
        <item m="1" x="231"/>
        <item m="1" x="179"/>
        <item x="97"/>
        <item x="98"/>
        <item m="1" x="223"/>
        <item m="1" x="183"/>
        <item m="1" x="186"/>
        <item x="101"/>
        <item x="102"/>
        <item m="1" x="168"/>
        <item m="1" x="151"/>
        <item m="1" x="205"/>
        <item m="1" x="156"/>
        <item x="107"/>
        <item m="1" x="172"/>
        <item x="114"/>
        <item x="16"/>
        <item x="110"/>
        <item x="111"/>
        <item x="112"/>
        <item m="1" x="159"/>
        <item x="115"/>
        <item x="88"/>
        <item x="109"/>
        <item m="1" x="210"/>
        <item x="117"/>
        <item x="118"/>
        <item x="119"/>
        <item x="83"/>
        <item x="120"/>
        <item x="121"/>
        <item x="122"/>
        <item m="1" x="204"/>
        <item m="1" x="181"/>
        <item m="1" x="212"/>
        <item m="1" x="169"/>
        <item x="21"/>
        <item m="1" x="229"/>
        <item m="1" x="175"/>
        <item m="1" x="195"/>
        <item x="50"/>
        <item m="1" x="182"/>
        <item m="1" x="218"/>
        <item x="81"/>
        <item m="1" x="201"/>
        <item x="128"/>
        <item m="1" x="177"/>
        <item m="1" x="194"/>
        <item m="1" x="197"/>
        <item x="124"/>
        <item x="22"/>
        <item m="1" x="211"/>
        <item m="1" x="213"/>
        <item m="1" x="187"/>
        <item x="136"/>
        <item m="1" x="222"/>
        <item m="1" x="226"/>
        <item m="1" x="171"/>
        <item m="1" x="202"/>
        <item x="146"/>
        <item m="1" x="154"/>
        <item m="1" x="206"/>
        <item m="1" x="217"/>
        <item m="1" x="176"/>
        <item m="1" x="160"/>
        <item m="1" x="189"/>
        <item m="1" x="178"/>
        <item x="133"/>
        <item m="1" x="196"/>
        <item x="144"/>
        <item m="1" x="216"/>
        <item m="1" x="174"/>
        <item x="145"/>
        <item m="1" x="214"/>
        <item m="1" x="188"/>
        <item x="138"/>
        <item m="1" x="203"/>
        <item m="1" x="158"/>
        <item m="1" x="220"/>
        <item m="1" x="232"/>
        <item m="1" x="234"/>
        <item m="1" x="198"/>
        <item m="1" x="161"/>
        <item m="1" x="192"/>
        <item m="1" x="163"/>
        <item m="1" x="207"/>
        <item m="1" x="164"/>
        <item m="1" x="219"/>
        <item m="1" x="184"/>
        <item x="147"/>
        <item x="6"/>
        <item x="11"/>
        <item x="13"/>
        <item x="15"/>
        <item x="26"/>
        <item x="28"/>
        <item x="29"/>
        <item x="32"/>
        <item x="38"/>
        <item x="39"/>
        <item x="40"/>
        <item x="41"/>
        <item x="46"/>
        <item x="47"/>
        <item x="51"/>
        <item x="54"/>
        <item x="62"/>
        <item x="72"/>
        <item x="73"/>
        <item x="82"/>
        <item x="85"/>
        <item x="86"/>
        <item x="91"/>
        <item x="96"/>
        <item x="99"/>
        <item x="100"/>
        <item x="103"/>
        <item x="104"/>
        <item x="108"/>
        <item x="113"/>
        <item x="116"/>
        <item x="123"/>
        <item x="125"/>
        <item x="126"/>
        <item x="127"/>
        <item x="129"/>
        <item x="130"/>
        <item x="131"/>
        <item x="132"/>
        <item x="134"/>
        <item x="135"/>
        <item x="137"/>
        <item x="139"/>
        <item x="140"/>
        <item x="141"/>
        <item x="142"/>
        <item x="143"/>
      </items>
      <autoSortScope>
        <pivotArea dataOnly="0" outline="0" fieldPosition="0">
          <references count="1">
            <reference field="4294967294" count="1" selected="0">
              <x v="0"/>
            </reference>
          </references>
        </pivotArea>
      </autoSortScope>
    </pivotField>
    <pivotField compact="0" outline="0" subtotalTop="0" showAll="0" defaultSubtotal="0">
      <items count="15">
        <item m="1" x="8"/>
        <item x="0"/>
        <item m="1" x="7"/>
        <item m="1" x="9"/>
        <item x="1"/>
        <item x="2"/>
        <item x="3"/>
        <item m="1" x="10"/>
        <item m="1" x="12"/>
        <item x="4"/>
        <item m="1" x="14"/>
        <item x="5"/>
        <item m="1" x="13"/>
        <item m="1" x="11"/>
        <item x="6"/>
      </items>
    </pivotField>
    <pivotField compact="0" outline="0" subtotalTop="0" showAll="0" defaultSubtotal="0">
      <items count="3">
        <item x="1"/>
        <item x="0"/>
        <item x="2"/>
      </items>
    </pivotField>
    <pivotField axis="axisCol" compact="0" outline="0" subtotalTop="0" showAll="0" defaultSubtotal="0">
      <items count="15">
        <item n="Early Morning (Local News)" h="1" x="8"/>
        <item n="Early Fringe (Local News)" h="1" x="9"/>
        <item n="Early Fringe" x="3"/>
        <item n="Early Morning" x="1"/>
        <item n="Daytime" x="2"/>
        <item n="East/West Late News (10-11)" h="1" x="11"/>
        <item n=" East/West Late News (11-12)" h="1" x="10"/>
        <item n=" Late fringe" x="5"/>
        <item n="Overnight" x="6"/>
        <item n="Early Morning (5a-9a)" h="1" x="13"/>
        <item n="All Day" x="0"/>
        <item n="Prime" x="4"/>
        <item n="Central/Mountain Late News" h="1" x="12"/>
        <item n="Weekend" x="7"/>
        <item h="1" x="14"/>
      </items>
    </pivotField>
    <pivotField dataField="1" compact="0" outline="0" subtotalTop="0" showAll="0" defaultSubtotal="0"/>
    <pivotField compact="0" outline="0" subtotalTop="0" showAll="0" defaultSubtotal="0"/>
  </pivotFields>
  <rowFields count="1">
    <field x="1"/>
  </rowFields>
  <rowItems count="98">
    <i>
      <x v="100"/>
    </i>
    <i>
      <x v="3"/>
    </i>
    <i>
      <x v="85"/>
    </i>
    <i>
      <x v="194"/>
    </i>
    <i>
      <x v="205"/>
    </i>
    <i>
      <x v="59"/>
    </i>
    <i>
      <x v="42"/>
    </i>
    <i>
      <x v="141"/>
    </i>
    <i>
      <x v="121"/>
    </i>
    <i>
      <x v="201"/>
    </i>
    <i>
      <x v="55"/>
    </i>
    <i>
      <x v="60"/>
    </i>
    <i>
      <x v="129"/>
    </i>
    <i>
      <x v="28"/>
    </i>
    <i>
      <x v="5"/>
    </i>
    <i>
      <x v="19"/>
    </i>
    <i>
      <x v="90"/>
    </i>
    <i>
      <x v="222"/>
    </i>
    <i>
      <x v="120"/>
    </i>
    <i>
      <x v="68"/>
    </i>
    <i>
      <x v="231"/>
    </i>
    <i>
      <x v="125"/>
    </i>
    <i>
      <x v="48"/>
    </i>
    <i>
      <x v="167"/>
    </i>
    <i>
      <x v="63"/>
    </i>
    <i>
      <x v="189"/>
    </i>
    <i>
      <x v="1"/>
    </i>
    <i>
      <x v="199"/>
    </i>
    <i>
      <x v="58"/>
    </i>
    <i>
      <x v="62"/>
    </i>
    <i>
      <x v="29"/>
    </i>
    <i>
      <x v="116"/>
    </i>
    <i>
      <x v="128"/>
    </i>
    <i>
      <x v="22"/>
    </i>
    <i>
      <x v="47"/>
    </i>
    <i>
      <x v="71"/>
    </i>
    <i>
      <x v="43"/>
    </i>
    <i>
      <x v="64"/>
    </i>
    <i>
      <x v="8"/>
    </i>
    <i>
      <x v="206"/>
    </i>
    <i>
      <x v="31"/>
    </i>
    <i>
      <x v="23"/>
    </i>
    <i>
      <x v="54"/>
    </i>
    <i>
      <x v="2"/>
    </i>
    <i>
      <x v="232"/>
    </i>
    <i>
      <x v="84"/>
    </i>
    <i>
      <x v="95"/>
    </i>
    <i>
      <x v="101"/>
    </i>
    <i>
      <x v="214"/>
    </i>
    <i>
      <x v="190"/>
    </i>
    <i>
      <x v="227"/>
    </i>
    <i>
      <x v="75"/>
    </i>
    <i>
      <x v="111"/>
    </i>
    <i>
      <x v="93"/>
    </i>
    <i>
      <x v="4"/>
    </i>
    <i>
      <x v="36"/>
    </i>
    <i>
      <x v="67"/>
    </i>
    <i>
      <x v="106"/>
    </i>
    <i>
      <x v="24"/>
    </i>
    <i>
      <x v="49"/>
    </i>
    <i>
      <x v="117"/>
    </i>
    <i>
      <x v="113"/>
    </i>
    <i>
      <x v="198"/>
    </i>
    <i>
      <x v="226"/>
    </i>
    <i>
      <x v="78"/>
    </i>
    <i>
      <x v="21"/>
    </i>
    <i>
      <x v="92"/>
    </i>
    <i>
      <x v="83"/>
    </i>
    <i>
      <x v="50"/>
    </i>
    <i>
      <x v="197"/>
    </i>
    <i>
      <x v="202"/>
    </i>
    <i>
      <x v="191"/>
    </i>
    <i>
      <x v="72"/>
    </i>
    <i>
      <x v="13"/>
    </i>
    <i>
      <x v="86"/>
    </i>
    <i>
      <x v="73"/>
    </i>
    <i>
      <x v="165"/>
    </i>
    <i>
      <x v="40"/>
    </i>
    <i>
      <x v="188"/>
    </i>
    <i>
      <x v="79"/>
    </i>
    <i>
      <x v="152"/>
    </i>
    <i>
      <x v="114"/>
    </i>
    <i>
      <x v="34"/>
    </i>
    <i>
      <x v="234"/>
    </i>
    <i>
      <x v="127"/>
    </i>
    <i>
      <x v="207"/>
    </i>
    <i>
      <x v="115"/>
    </i>
    <i>
      <x v="119"/>
    </i>
    <i>
      <x v="11"/>
    </i>
    <i>
      <x v="126"/>
    </i>
    <i>
      <x v="200"/>
    </i>
    <i>
      <x v="134"/>
    </i>
    <i>
      <x v="217"/>
    </i>
    <i>
      <x v="57"/>
    </i>
    <i>
      <x v="230"/>
    </i>
    <i>
      <x v="221"/>
    </i>
    <i>
      <x v="196"/>
    </i>
    <i>
      <x v="195"/>
    </i>
  </rowItems>
  <colFields count="1">
    <field x="4"/>
  </colFields>
  <colItems count="8">
    <i>
      <x v="2"/>
    </i>
    <i>
      <x v="3"/>
    </i>
    <i>
      <x v="4"/>
    </i>
    <i>
      <x v="7"/>
    </i>
    <i>
      <x v="8"/>
    </i>
    <i>
      <x v="10"/>
    </i>
    <i>
      <x v="11"/>
    </i>
    <i>
      <x v="13"/>
    </i>
  </colItems>
  <dataFields count="1">
    <dataField name=" AUDIENCE INDEX" fld="5" subtotal="average" baseField="1" baseItem="0" numFmtId="1"/>
  </dataFields>
  <formats count="9">
    <format dxfId="32">
      <pivotArea field="1" type="button" dataOnly="0" labelOnly="1" outline="0" axis="axisRow" fieldPosition="0"/>
    </format>
    <format dxfId="31">
      <pivotArea field="1" type="button" dataOnly="0" labelOnly="1" outline="0" axis="axisRow" fieldPosition="0"/>
    </format>
    <format dxfId="30">
      <pivotArea dataOnly="0" labelOnly="1" outline="0" fieldPosition="0">
        <references count="1">
          <reference field="4" count="0"/>
        </references>
      </pivotArea>
    </format>
    <format dxfId="29">
      <pivotArea field="1" type="button" dataOnly="0" labelOnly="1" outline="0" axis="axisRow" fieldPosition="0"/>
    </format>
    <format dxfId="28">
      <pivotArea dataOnly="0" labelOnly="1" outline="0" fieldPosition="0">
        <references count="1">
          <reference field="4" count="0"/>
        </references>
      </pivotArea>
    </format>
    <format dxfId="27">
      <pivotArea outline="0" collapsedLevelsAreSubtotals="1" fieldPosition="0"/>
    </format>
    <format dxfId="26">
      <pivotArea field="4" type="button" dataOnly="0" labelOnly="1" outline="0" axis="axisCol" fieldPosition="0"/>
    </format>
    <format dxfId="25">
      <pivotArea type="topRight" dataOnly="0" labelOnly="1" outline="0" fieldPosition="0"/>
    </format>
    <format dxfId="24">
      <pivotArea dataOnly="0" labelOnly="1" outline="0" fieldPosition="0">
        <references count="1">
          <reference field="4" count="0"/>
        </references>
      </pivotArea>
    </format>
  </formats>
  <conditionalFormats count="3">
    <conditionalFormat scope="field" priority="1">
      <pivotAreas count="1">
        <pivotArea outline="0" collapsedLevelsAreSubtotals="1" fieldPosition="0">
          <references count="3">
            <reference field="4294967294" count="1" selected="0">
              <x v="0"/>
            </reference>
            <reference field="1" count="0" selected="0"/>
            <reference field="4" count="0" selected="0"/>
          </references>
        </pivotArea>
      </pivotAreas>
    </conditionalFormat>
    <conditionalFormat scope="field" priority="2">
      <pivotAreas count="1">
        <pivotArea outline="0" collapsedLevelsAreSubtotals="1" fieldPosition="0">
          <references count="3">
            <reference field="4294967294" count="1" selected="0">
              <x v="0"/>
            </reference>
            <reference field="1" count="0" selected="0"/>
            <reference field="4" count="0" selected="0"/>
          </references>
        </pivotArea>
      </pivotAreas>
    </conditionalFormat>
    <conditionalFormat scope="field" priority="3">
      <pivotAreas count="1">
        <pivotArea outline="0" collapsedLevelsAreSubtotals="1" fieldPosition="0">
          <references count="3">
            <reference field="4294967294" count="1" selected="0">
              <x v="0"/>
            </reference>
            <reference field="1" count="0" selected="0"/>
            <reference field="4" count="0" selected="0"/>
          </references>
        </pivotArea>
      </pivotAreas>
    </conditionalFormat>
  </conditionalFormats>
  <pivotTableStyleInfo name="PivotStyleLigh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C5234B3-71F6-4B8C-8847-020E58C3AB73}" name="PivotTable3" cacheId="14" dataOnRows="1" applyNumberFormats="0" applyBorderFormats="0" applyFontFormats="0" applyPatternFormats="0" applyAlignmentFormats="0" applyWidthHeightFormats="1" dataCaption="Values" updatedVersion="8" showDrill="0" rowGrandTotals="0" colGrandTotals="0" createdVersion="7" indent="0" compact="0" compactData="0" multipleFieldFilters="0" chartFormat="1">
  <location ref="B11:C13" firstHeaderRow="1" firstDataRow="1" firstDataCol="1"/>
  <pivotFields count="3">
    <pivotField compact="0" outline="0" subtotalTop="0" showAll="0" defaultSubtotal="0">
      <items count="7">
        <item x="4"/>
        <item x="0"/>
        <item x="3"/>
        <item x="5"/>
        <item x="1"/>
        <item x="2"/>
        <item x="6"/>
      </items>
    </pivotField>
    <pivotField dataField="1" compact="0" numFmtId="9" outline="0" subtotalTop="0" showAll="0" defaultSubtotal="0"/>
    <pivotField dataField="1" compact="0" numFmtId="9" outline="0" subtotalTop="0" showAll="0" defaultSubtotal="0"/>
  </pivotFields>
  <rowFields count="1">
    <field x="-2"/>
  </rowFields>
  <rowItems count="2">
    <i>
      <x/>
    </i>
    <i i="1">
      <x v="1"/>
    </i>
  </rowItems>
  <colItems count="1">
    <i/>
  </colItems>
  <dataFields count="2">
    <dataField name=" Cable" fld="1" subtotal="average" baseField="0" baseItem="1464807424" numFmtId="10"/>
    <dataField name=" Broadcast" fld="2" subtotal="average" baseField="0" baseItem="1464807424" numFmtId="10"/>
  </dataFields>
  <chartFormats count="3">
    <chartFormat chart="0" format="4" series="1">
      <pivotArea type="data" outline="0" fieldPosition="0">
        <references count="1">
          <reference field="4294967294" count="1" selected="0">
            <x v="0"/>
          </reference>
        </references>
      </pivotArea>
    </chartFormat>
    <chartFormat chart="0" format="5">
      <pivotArea type="data" outline="0" fieldPosition="0">
        <references count="1">
          <reference field="4294967294" count="1" selected="0">
            <x v="0"/>
          </reference>
        </references>
      </pivotArea>
    </chartFormat>
    <chartFormat chart="0" format="6">
      <pivotArea type="data" outline="0" fieldPosition="0">
        <references count="1">
          <reference field="4294967294" count="1" selected="0">
            <x v="1"/>
          </reference>
        </references>
      </pivotArea>
    </chartFormat>
  </chartFormats>
  <pivotTableStyleInfo name="PivotStyleLigh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1524A87-F482-4C26-88B5-5F21806FC8A8}" name="PivotTable1" cacheId="18" dataOnRows="1" applyNumberFormats="0" applyBorderFormats="0" applyFontFormats="0" applyPatternFormats="0" applyAlignmentFormats="0" applyWidthHeightFormats="1" dataCaption="Dayparts" updatedVersion="8" showDrill="0" rowGrandTotals="0" colGrandTotals="0" createdVersion="7" indent="0" compact="0" compactData="0" multipleFieldFilters="0" chartFormat="1">
  <location ref="B15:C21" firstHeaderRow="1" firstDataRow="1" firstDataCol="1"/>
  <pivotFields count="7">
    <pivotField compact="0" outline="0" subtotalTop="0" showAll="0" defaultSubtotal="0">
      <items count="7">
        <item x="4"/>
        <item x="0"/>
        <item x="3"/>
        <item x="5"/>
        <item x="1"/>
        <item x="2"/>
        <item x="6"/>
      </items>
    </pivotField>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s>
  <rowFields count="1">
    <field x="-2"/>
  </rowFields>
  <rowItems count="6">
    <i>
      <x/>
    </i>
    <i i="1">
      <x v="1"/>
    </i>
    <i i="2">
      <x v="2"/>
    </i>
    <i i="3">
      <x v="3"/>
    </i>
    <i i="4">
      <x v="4"/>
    </i>
    <i i="5">
      <x v="5"/>
    </i>
  </rowItems>
  <colItems count="1">
    <i/>
  </colItems>
  <dataFields count="6">
    <dataField name="Early morning" fld="1" subtotal="average" baseField="0" baseItem="0" numFmtId="10"/>
    <dataField name=" Daytime" fld="2" subtotal="average" baseField="0" baseItem="0" numFmtId="10"/>
    <dataField name=" Early fringe" fld="3" subtotal="average" baseField="0" baseItem="0" numFmtId="10"/>
    <dataField name=" Prime" fld="4" subtotal="average" baseField="0" baseItem="0" numFmtId="10"/>
    <dataField name=" Late fringe" fld="5" subtotal="average" baseField="0" baseItem="0" numFmtId="10"/>
    <dataField name=" Weekend" fld="6" subtotal="average" baseField="0" baseItem="0" numFmtId="10"/>
  </dataFields>
  <formats count="1">
    <format dxfId="15">
      <pivotArea outline="0" fieldPosition="0">
        <references count="1">
          <reference field="4294967294" count="1" selected="0">
            <x v="0"/>
          </reference>
        </references>
      </pivotArea>
    </format>
  </formats>
  <chartFormats count="1">
    <chartFormat chart="0" format="10" series="1">
      <pivotArea type="data" outline="0" fieldPosition="0">
        <references count="1">
          <reference field="4294967294" count="1" selected="0">
            <x v="0"/>
          </reference>
        </references>
      </pivotArea>
    </chartFormat>
  </chartFormats>
  <pivotTableStyleInfo name="PivotStyleLigh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MPERSAND_INSERTABLE" xr10:uid="{00000000-0013-0000-FFFF-FFFF01000000}" sourceName="AMPERSAND INSERTABLE">
  <pivotTables>
    <pivotTable tabId="6" name="PivotTable1"/>
  </pivotTables>
  <data>
    <tabular pivotCacheId="1125714813">
      <items count="3">
        <i x="1"/>
        <i x="0" s="1"/>
        <i x="2"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MA" xr10:uid="{00000000-0013-0000-FFFF-FFFF02000000}" sourceName="DMA">
  <pivotTables>
    <pivotTable tabId="6" name="PivotTable1"/>
  </pivotTables>
  <data>
    <tabular pivotCacheId="1125714813">
      <items count="15">
        <i x="0" s="1"/>
        <i x="1" s="1"/>
        <i x="2" s="1"/>
        <i x="3" s="1"/>
        <i x="4"/>
        <i x="5"/>
        <i x="8" nd="1"/>
        <i x="7" nd="1"/>
        <i x="9" nd="1"/>
        <i x="10" nd="1"/>
        <i x="12" nd="1"/>
        <i x="14" nd="1"/>
        <i x="13" nd="1"/>
        <i x="11" nd="1"/>
        <i x="6"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00000000-0013-0000-FFFF-FFFF03000000}" sourceName="TYPE">
  <pivotTables>
    <pivotTable tabId="6" name="PivotTable1"/>
  </pivotTables>
  <data>
    <tabular pivotCacheId="1125714813">
      <items count="3">
        <i x="0" s="1"/>
        <i x="1" s="1" nd="1"/>
        <i x="2" s="1"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PARTS" xr10:uid="{00000000-0013-0000-FFFF-FFFF04000000}" sourceName="DAYPARTS">
  <pivotTables>
    <pivotTable tabId="6" name="PivotTable1"/>
  </pivotTables>
  <data>
    <tabular pivotCacheId="1125714813">
      <items count="15">
        <i x="8"/>
        <i x="9"/>
        <i x="3"/>
        <i x="1"/>
        <i x="2"/>
        <i x="11"/>
        <i x="10"/>
        <i x="5"/>
        <i x="6"/>
        <i x="13"/>
        <i x="0" s="1"/>
        <i x="4"/>
        <i x="12"/>
        <i x="7"/>
        <i x="14" nd="1"/>
      </items>
    </tabular>
  </data>
  <extLst>
    <x:ext xmlns:x15="http://schemas.microsoft.com/office/spreadsheetml/2010/11/main" uri="{470722E0-AACD-4C17-9CDC-17EF765DBC7E}">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MPERSAND_INSERTABLE1" xr10:uid="{00000000-0013-0000-FFFF-FFFF05000000}" sourceName="AMPERSAND INSERTABLE">
  <pivotTables>
    <pivotTable tabId="10" name="PivotTable2"/>
  </pivotTables>
  <data>
    <tabular pivotCacheId="1125714813">
      <items count="3">
        <i x="1"/>
        <i x="0" s="1"/>
        <i x="2" nd="1"/>
      </items>
    </tabular>
  </data>
  <extLst>
    <x:ext xmlns:x15="http://schemas.microsoft.com/office/spreadsheetml/2010/11/main" uri="{470722E0-AACD-4C17-9CDC-17EF765DBC7E}">
      <x15:slicerCacheHideItemsWithNoData/>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MA1" xr10:uid="{00000000-0013-0000-FFFF-FFFF06000000}" sourceName="DMA">
  <pivotTables>
    <pivotTable tabId="10" name="PivotTable2"/>
  </pivotTables>
  <data>
    <tabular pivotCacheId="1125714813">
      <items count="15">
        <i x="0" s="1"/>
        <i x="1" s="1"/>
        <i x="2" s="1"/>
        <i x="3" s="1"/>
        <i x="4" s="1"/>
        <i x="5" s="1"/>
        <i x="8" s="1" nd="1"/>
        <i x="7" s="1" nd="1"/>
        <i x="9" s="1" nd="1"/>
        <i x="10" s="1" nd="1"/>
        <i x="12" s="1" nd="1"/>
        <i x="14" s="1" nd="1"/>
        <i x="13" s="1" nd="1"/>
        <i x="11" s="1" nd="1"/>
        <i x="6" s="1" nd="1"/>
      </items>
    </tabular>
  </data>
  <extLst>
    <x:ext xmlns:x15="http://schemas.microsoft.com/office/spreadsheetml/2010/11/main" uri="{470722E0-AACD-4C17-9CDC-17EF765DBC7E}">
      <x15:slicerCacheHideItemsWithNoData/>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1" xr10:uid="{00000000-0013-0000-FFFF-FFFF07000000}" sourceName="TYPE">
  <pivotTables>
    <pivotTable tabId="10" name="PivotTable2"/>
  </pivotTables>
  <data>
    <tabular pivotCacheId="1125714813">
      <items count="3">
        <i x="0" s="1"/>
        <i x="1" s="1" nd="1"/>
        <i x="2" s="1" nd="1"/>
      </items>
    </tabular>
  </data>
  <extLst>
    <x:ext xmlns:x15="http://schemas.microsoft.com/office/spreadsheetml/2010/11/main" uri="{470722E0-AACD-4C17-9CDC-17EF765DBC7E}">
      <x15:slicerCacheHideItemsWithNoData/>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ble_Broadcast_Breakdown" xr10:uid="{00000000-0013-0000-FFFF-FFFF08000000}" sourceName="Cable/Broadcast Breakdown">
  <pivotTables>
    <pivotTable tabId="8" name="PivotTable3"/>
  </pivotTables>
  <data>
    <tabular pivotCacheId="849359459" customListSort="0">
      <items count="7">
        <i x="4" s="1"/>
        <i x="0" s="1"/>
        <i x="3" s="1"/>
        <i x="5" s="1"/>
        <i x="1" s="1"/>
        <i x="2" s="1"/>
        <i x="6" s="1" nd="1"/>
      </items>
    </tabular>
  </data>
  <extLst>
    <x:ext xmlns:x15="http://schemas.microsoft.com/office/spreadsheetml/2010/11/main" uri="{470722E0-AACD-4C17-9CDC-17EF765DBC7E}">
      <x15:slicerCacheHideItemsWithNoData/>
    </x:ext>
  </extLst>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part_breakdown" xr10:uid="{00000000-0013-0000-FFFF-FFFF09000000}" sourceName="Daypart breakdown">
  <pivotTables>
    <pivotTable tabId="12" name="PivotTable1"/>
  </pivotTables>
  <data>
    <tabular pivotCacheId="843662268">
      <items count="7">
        <i x="4" s="1"/>
        <i x="0" s="1"/>
        <i x="3" s="1"/>
        <i x="5" s="1"/>
        <i x="1" s="1"/>
        <i x="2" s="1"/>
        <i x="6"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MPERSAND INSERTABLE" xr10:uid="{00000000-0014-0000-FFFF-FFFF01000000}" cache="Slicer_AMPERSAND_INSERTABLE" caption="AD-INSERTABLE" lockedPosition="1" rowHeight="209550"/>
  <slicer name="DMA" xr10:uid="{00000000-0014-0000-FFFF-FFFF02000000}" cache="Slicer_DMA" caption="DMA" lockedPosition="1" rowHeight="209550"/>
  <slicer name="TYPE" xr10:uid="{00000000-0014-0000-FFFF-FFFF03000000}" cache="Slicer_TYPE" caption="TYPE" lockedPosition="1" rowHeight="209550"/>
  <slicer name="DAYPARTS" xr10:uid="{00000000-0014-0000-FFFF-FFFF04000000}" cache="Slicer_DAYPARTS" caption="DAYPARTS" lockedPosition="1" rowHeight="2095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MPERSAND INSERTABLE 1" xr10:uid="{00000000-0014-0000-FFFF-FFFF05000000}" cache="Slicer_AMPERSAND_INSERTABLE1" caption="AD-INSERTABLE" lockedPosition="1" rowHeight="209550"/>
  <slicer name="DMA 1" xr10:uid="{00000000-0014-0000-FFFF-FFFF06000000}" cache="Slicer_DMA1" caption="DMA" lockedPosition="1" rowHeight="209550"/>
  <slicer name="TYPE 1" xr10:uid="{00000000-0014-0000-FFFF-FFFF07000000}" cache="Slicer_TYPE1" caption="TYPE" lockedPosition="1" rowHeight="2095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ble/Broadcast Breakdown" xr10:uid="{00000000-0014-0000-FFFF-FFFF08000000}" cache="Slicer_Cable_Broadcast_Breakdown" caption="DMA" rowHeight="2095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part breakdown" xr10:uid="{00000000-0014-0000-FFFF-FFFF09000000}" cache="Slicer_Daypart_breakdown" caption="DMA" rowHeight="209550"/>
</slicers>
</file>

<file path=xl/theme/theme1.xml><?xml version="1.0" encoding="utf-8"?>
<a:theme xmlns:a="http://schemas.openxmlformats.org/drawingml/2006/main" name="Office Theme">
  <a:themeElements>
    <a:clrScheme name="Ampersand">
      <a:dk1>
        <a:sysClr val="windowText" lastClr="000000"/>
      </a:dk1>
      <a:lt1>
        <a:srgbClr val="FFFFFF"/>
      </a:lt1>
      <a:dk2>
        <a:srgbClr val="7F7F7F"/>
      </a:dk2>
      <a:lt2>
        <a:srgbClr val="BDF6FF"/>
      </a:lt2>
      <a:accent1>
        <a:srgbClr val="00D9FF"/>
      </a:accent1>
      <a:accent2>
        <a:srgbClr val="81D947"/>
      </a:accent2>
      <a:accent3>
        <a:srgbClr val="151F6D"/>
      </a:accent3>
      <a:accent4>
        <a:srgbClr val="0068FF"/>
      </a:accent4>
      <a:accent5>
        <a:srgbClr val="007681"/>
      </a:accent5>
      <a:accent6>
        <a:srgbClr val="98ADC2"/>
      </a:accent6>
      <a:hlink>
        <a:srgbClr val="FF4F00"/>
      </a:hlink>
      <a:folHlink>
        <a:srgbClr val="81D947"/>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ivotTable" Target="../pivotTables/pivotTable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3.bin"/><Relationship Id="rId1" Type="http://schemas.openxmlformats.org/officeDocument/2006/relationships/pivotTable" Target="../pivotTables/pivotTable2.xml"/><Relationship Id="rId4" Type="http://schemas.microsoft.com/office/2007/relationships/slicer" Target="../slicers/slicer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4.bin"/><Relationship Id="rId1" Type="http://schemas.openxmlformats.org/officeDocument/2006/relationships/pivotTable" Target="../pivotTables/pivotTable3.xml"/><Relationship Id="rId4" Type="http://schemas.microsoft.com/office/2007/relationships/slicer" Target="../slicers/slicer3.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5.bin"/><Relationship Id="rId1" Type="http://schemas.openxmlformats.org/officeDocument/2006/relationships/pivotTable" Target="../pivotTables/pivotTable4.xml"/><Relationship Id="rId4" Type="http://schemas.microsoft.com/office/2007/relationships/slicer" Target="../slicers/slicer4.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EE6D6D-6F61-4B4E-8D20-1A20DECFE068}">
  <sheetPr codeName="Sheet1">
    <tabColor rgb="FF002060"/>
  </sheetPr>
  <dimension ref="B1:K23"/>
  <sheetViews>
    <sheetView showGridLines="0" showRowColHeaders="0" showRuler="0" view="pageLayout" topLeftCell="A14" zoomScaleNormal="100" workbookViewId="0">
      <selection activeCell="I6" sqref="I6"/>
    </sheetView>
  </sheetViews>
  <sheetFormatPr defaultColWidth="10.85546875" defaultRowHeight="16.5" x14ac:dyDescent="0.3"/>
  <cols>
    <col min="1" max="1" width="10.85546875" style="1"/>
    <col min="2" max="2" width="4" style="1" customWidth="1"/>
    <col min="3" max="3" width="4.85546875" style="1" customWidth="1"/>
    <col min="4" max="7" width="10.85546875" style="1"/>
    <col min="8" max="8" width="15.42578125" style="1" customWidth="1"/>
    <col min="9" max="16384" width="10.85546875" style="1"/>
  </cols>
  <sheetData>
    <row r="1" spans="2:11" ht="17.25" x14ac:dyDescent="0.3">
      <c r="I1" s="70" t="s">
        <v>57</v>
      </c>
      <c r="J1" s="70"/>
      <c r="K1" s="70"/>
    </row>
    <row r="7" spans="2:11" x14ac:dyDescent="0.3">
      <c r="H7" s="2"/>
    </row>
    <row r="13" spans="2:11" ht="40.700000000000003" customHeight="1" x14ac:dyDescent="0.3">
      <c r="C13" s="73" t="s">
        <v>0</v>
      </c>
      <c r="D13" s="73"/>
      <c r="E13" s="73"/>
      <c r="F13" s="73"/>
      <c r="G13" s="73"/>
      <c r="H13" s="73"/>
      <c r="I13" s="73"/>
    </row>
    <row r="14" spans="2:11" ht="13.7" customHeight="1" x14ac:dyDescent="0.3">
      <c r="B14" s="3"/>
      <c r="C14" s="4"/>
      <c r="D14" s="4"/>
      <c r="E14" s="5"/>
      <c r="F14" s="5"/>
      <c r="G14" s="6"/>
      <c r="H14" s="6"/>
      <c r="I14" s="6"/>
    </row>
    <row r="15" spans="2:11" ht="17.45" customHeight="1" x14ac:dyDescent="0.3">
      <c r="C15" s="74" t="s">
        <v>1</v>
      </c>
      <c r="D15" s="74"/>
      <c r="E15" s="74"/>
      <c r="F15" s="74"/>
      <c r="G15" s="74"/>
      <c r="H15" s="74"/>
      <c r="I15" s="74"/>
    </row>
    <row r="16" spans="2:11" ht="18.75" customHeight="1" x14ac:dyDescent="0.3">
      <c r="B16" s="3"/>
      <c r="C16" s="4"/>
      <c r="D16" s="4"/>
      <c r="E16" s="5"/>
      <c r="F16" s="5"/>
      <c r="G16" s="6"/>
      <c r="H16" s="6"/>
      <c r="I16" s="6"/>
    </row>
    <row r="17" spans="2:10" ht="39.200000000000003" customHeight="1" x14ac:dyDescent="0.3">
      <c r="B17" s="3"/>
      <c r="C17" s="75" t="s">
        <v>30</v>
      </c>
      <c r="D17" s="75"/>
      <c r="E17" s="75"/>
      <c r="F17" s="75"/>
      <c r="G17" s="75"/>
      <c r="H17" s="75"/>
      <c r="I17" s="75"/>
    </row>
    <row r="18" spans="2:10" ht="49.5" customHeight="1" x14ac:dyDescent="0.3">
      <c r="C18" s="76" t="str">
        <f>'Index-Reach'!B2</f>
        <v>Experian &gt; Experian Household Segments &gt; Lifestyles - Standard &gt; Domestic Travel</v>
      </c>
      <c r="D18" s="76"/>
      <c r="E18" s="76"/>
      <c r="F18" s="76"/>
      <c r="G18" s="76"/>
      <c r="H18" s="76"/>
      <c r="I18" s="76"/>
    </row>
    <row r="19" spans="2:10" ht="64.349999999999994" customHeight="1" x14ac:dyDescent="0.3">
      <c r="C19" s="77" t="str">
        <f>'Index-Reach'!B4</f>
        <v>Atlanta, Chicago, Dallas/Ft. Worth, Los Angeles, New York, Seattle/Tacoma</v>
      </c>
      <c r="D19" s="77"/>
      <c r="E19" s="77"/>
      <c r="F19" s="77"/>
      <c r="G19" s="77"/>
      <c r="H19" s="77"/>
      <c r="I19" s="77"/>
      <c r="J19" s="7"/>
    </row>
    <row r="20" spans="2:10" ht="19.5" x14ac:dyDescent="0.3">
      <c r="C20" s="78" t="str">
        <f>'Index-Reach'!B3</f>
        <v>February 2026</v>
      </c>
      <c r="D20" s="78"/>
      <c r="E20" s="78"/>
      <c r="F20" s="78"/>
      <c r="G20" s="78"/>
      <c r="H20" s="78"/>
      <c r="I20" s="78"/>
    </row>
    <row r="21" spans="2:10" x14ac:dyDescent="0.3">
      <c r="C21" s="6"/>
      <c r="D21" s="6"/>
      <c r="E21" s="6"/>
      <c r="F21" s="6"/>
      <c r="G21" s="6"/>
      <c r="H21" s="6"/>
      <c r="I21" s="6"/>
    </row>
    <row r="22" spans="2:10" x14ac:dyDescent="0.3">
      <c r="C22" s="71" t="s">
        <v>28</v>
      </c>
      <c r="D22" s="71"/>
      <c r="E22" s="71"/>
      <c r="F22" s="71"/>
      <c r="G22" s="71"/>
      <c r="H22" s="71"/>
      <c r="I22" s="71"/>
    </row>
    <row r="23" spans="2:10" x14ac:dyDescent="0.3">
      <c r="C23" s="72" t="s">
        <v>29</v>
      </c>
      <c r="D23" s="72"/>
      <c r="E23" s="72"/>
      <c r="F23" s="72"/>
      <c r="G23" s="72"/>
      <c r="H23" s="72"/>
      <c r="I23" s="72"/>
    </row>
  </sheetData>
  <mergeCells count="9">
    <mergeCell ref="I1:K1"/>
    <mergeCell ref="C22:I22"/>
    <mergeCell ref="C23:I23"/>
    <mergeCell ref="C13:I13"/>
    <mergeCell ref="C15:I15"/>
    <mergeCell ref="C17:I17"/>
    <mergeCell ref="C18:I18"/>
    <mergeCell ref="C19:I19"/>
    <mergeCell ref="C20:I20"/>
  </mergeCells>
  <pageMargins left="0" right="0" top="0" bottom="0" header="0" footer="0"/>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9D600B-8DFC-4DB1-A74C-6608F77BEE7E}">
  <sheetPr codeName="Sheet2">
    <tabColor theme="0" tint="-0.49995422223578601"/>
  </sheetPr>
  <dimension ref="A1:BT3674"/>
  <sheetViews>
    <sheetView showGridLines="0" showRuler="0" view="pageLayout" zoomScaleNormal="100" workbookViewId="0">
      <selection activeCell="C23" sqref="C23"/>
    </sheetView>
  </sheetViews>
  <sheetFormatPr defaultColWidth="13.85546875" defaultRowHeight="14.25" x14ac:dyDescent="0.2"/>
  <cols>
    <col min="1" max="1" width="2.140625" style="11" customWidth="1"/>
    <col min="2" max="2" width="11.85546875" style="47" bestFit="1" customWidth="1"/>
    <col min="3" max="3" width="15.140625" style="11" bestFit="1" customWidth="1"/>
    <col min="4" max="4" width="15.5703125" style="11" bestFit="1" customWidth="1"/>
    <col min="5" max="5" width="5.140625" style="11" customWidth="1"/>
    <col min="6" max="6" width="4.42578125" style="12" customWidth="1"/>
    <col min="7" max="8" width="18.85546875" style="12" customWidth="1"/>
    <col min="9" max="10" width="13.85546875" style="12"/>
    <col min="11" max="13" width="14.140625" style="56" customWidth="1"/>
    <col min="14" max="17" width="13.85546875" style="12"/>
    <col min="18" max="16384" width="13.85546875" style="11"/>
  </cols>
  <sheetData>
    <row r="1" spans="2:18" ht="24.6" customHeight="1" x14ac:dyDescent="0.2">
      <c r="B1" s="8" t="s">
        <v>21</v>
      </c>
      <c r="C1" s="9"/>
      <c r="D1" s="10"/>
    </row>
    <row r="2" spans="2:18" ht="15" customHeight="1" x14ac:dyDescent="0.2">
      <c r="B2" s="13" t="s">
        <v>22</v>
      </c>
      <c r="C2" s="9"/>
      <c r="D2" s="10"/>
    </row>
    <row r="3" spans="2:18" ht="12.2" customHeight="1" x14ac:dyDescent="0.2">
      <c r="B3" s="45"/>
      <c r="C3" s="10"/>
      <c r="D3" s="10"/>
      <c r="G3" s="11"/>
      <c r="J3" s="11"/>
      <c r="N3" s="15"/>
      <c r="O3" s="15"/>
      <c r="P3" s="15"/>
      <c r="Q3" s="15"/>
      <c r="R3" s="16"/>
    </row>
    <row r="4" spans="2:18" ht="13.7" customHeight="1" x14ac:dyDescent="0.2">
      <c r="B4" s="17" t="s">
        <v>23</v>
      </c>
      <c r="C4" s="18" t="str">
        <f>COVER!C17</f>
        <v>ENTER CLIENT NAME HERE</v>
      </c>
      <c r="D4" s="19"/>
      <c r="E4" s="20"/>
      <c r="F4" s="21"/>
      <c r="G4" s="22"/>
    </row>
    <row r="5" spans="2:18" ht="13.7" customHeight="1" x14ac:dyDescent="0.2">
      <c r="B5" s="17" t="s">
        <v>24</v>
      </c>
      <c r="C5" s="17" t="str">
        <f>COVER!C19</f>
        <v>Atlanta, Chicago, Dallas/Ft. Worth, Los Angeles, New York, Seattle/Tacoma</v>
      </c>
      <c r="D5" s="19"/>
      <c r="E5" s="23"/>
      <c r="F5" s="21"/>
      <c r="G5" s="24"/>
      <c r="H5" s="24"/>
      <c r="I5" s="24"/>
      <c r="J5" s="24"/>
      <c r="K5" s="57"/>
      <c r="L5" s="57"/>
      <c r="M5" s="57"/>
    </row>
    <row r="6" spans="2:18" ht="13.7" customHeight="1" x14ac:dyDescent="0.2">
      <c r="B6" s="17" t="s">
        <v>25</v>
      </c>
      <c r="C6" s="17" t="str">
        <f>COVER!C18</f>
        <v>Experian &gt; Experian Household Segments &gt; Lifestyles - Standard &gt; Domestic Travel</v>
      </c>
      <c r="D6" s="19"/>
      <c r="E6" s="25"/>
      <c r="F6" s="21"/>
      <c r="G6" s="24"/>
      <c r="H6" s="24"/>
      <c r="I6" s="24"/>
      <c r="J6" s="24"/>
      <c r="K6" s="57"/>
      <c r="L6" s="57"/>
      <c r="M6" s="57"/>
    </row>
    <row r="7" spans="2:18" s="12" customFormat="1" x14ac:dyDescent="0.2">
      <c r="B7" s="17" t="s">
        <v>26</v>
      </c>
      <c r="C7" s="42" t="str">
        <f>COVER!C20</f>
        <v>February 2026</v>
      </c>
      <c r="D7" s="9"/>
      <c r="E7" s="26"/>
      <c r="H7" s="15"/>
      <c r="I7" s="15"/>
      <c r="J7" s="15"/>
      <c r="K7" s="57"/>
      <c r="L7" s="57"/>
      <c r="M7" s="56"/>
    </row>
    <row r="8" spans="2:18" s="12" customFormat="1" ht="15" x14ac:dyDescent="0.25">
      <c r="B8" s="27" t="s">
        <v>27</v>
      </c>
      <c r="E8" s="28"/>
      <c r="I8" s="29"/>
      <c r="J8" s="29"/>
      <c r="K8" s="58"/>
      <c r="L8" s="58"/>
      <c r="M8" s="56"/>
    </row>
    <row r="9" spans="2:18" s="12" customFormat="1" ht="15" x14ac:dyDescent="0.25">
      <c r="B9" s="27"/>
      <c r="E9" s="28"/>
      <c r="I9" s="29"/>
      <c r="J9" s="29"/>
      <c r="K9" s="58"/>
      <c r="L9" s="58"/>
      <c r="M9" s="56"/>
    </row>
    <row r="10" spans="2:18" s="12" customFormat="1" ht="15" x14ac:dyDescent="0.25">
      <c r="B10" s="36" t="s">
        <v>32</v>
      </c>
      <c r="E10" s="28"/>
      <c r="I10" s="29"/>
      <c r="J10" s="29"/>
      <c r="K10" s="58"/>
      <c r="L10" s="58"/>
      <c r="M10" s="56"/>
    </row>
    <row r="11" spans="2:18" s="12" customFormat="1" ht="15" x14ac:dyDescent="0.25">
      <c r="B11" s="52" t="s">
        <v>33</v>
      </c>
      <c r="E11" s="28"/>
      <c r="I11" s="29"/>
      <c r="J11" s="29"/>
      <c r="K11" s="58"/>
      <c r="L11" s="58"/>
      <c r="M11" s="56"/>
    </row>
    <row r="12" spans="2:18" s="12" customFormat="1" ht="15" x14ac:dyDescent="0.25">
      <c r="B12" s="37" t="s">
        <v>34</v>
      </c>
      <c r="E12" s="28"/>
      <c r="I12" s="29"/>
      <c r="J12" s="29"/>
      <c r="K12" s="58"/>
      <c r="L12" s="58"/>
      <c r="M12" s="56"/>
    </row>
    <row r="13" spans="2:18" s="12" customFormat="1" ht="15" x14ac:dyDescent="0.25">
      <c r="B13" s="53" t="s">
        <v>35</v>
      </c>
      <c r="E13" s="28"/>
      <c r="I13" s="29"/>
      <c r="J13" s="29"/>
      <c r="K13" s="58"/>
      <c r="L13" s="58"/>
      <c r="M13" s="56"/>
    </row>
    <row r="14" spans="2:18" s="12" customFormat="1" ht="15" x14ac:dyDescent="0.25">
      <c r="B14" s="36" t="s">
        <v>36</v>
      </c>
      <c r="E14" s="28"/>
      <c r="I14" s="29"/>
      <c r="J14" s="29"/>
      <c r="K14" s="58"/>
      <c r="L14" s="58"/>
      <c r="M14" s="56"/>
    </row>
    <row r="15" spans="2:18" s="12" customFormat="1" ht="15" x14ac:dyDescent="0.25">
      <c r="B15" s="30"/>
      <c r="E15" s="28"/>
      <c r="I15" s="29"/>
      <c r="J15" s="29"/>
      <c r="K15" s="58"/>
      <c r="L15" s="58"/>
      <c r="M15" s="56"/>
    </row>
    <row r="16" spans="2:18" s="12" customFormat="1" ht="15" x14ac:dyDescent="0.25">
      <c r="B16" s="30"/>
      <c r="E16" s="28"/>
      <c r="I16" s="29"/>
      <c r="J16" s="29"/>
      <c r="K16" s="58"/>
      <c r="L16" s="58"/>
      <c r="M16" s="56"/>
    </row>
    <row r="17" spans="1:72" s="12" customFormat="1" ht="15" x14ac:dyDescent="0.25">
      <c r="B17" s="30"/>
      <c r="E17" s="28"/>
      <c r="I17" s="35"/>
      <c r="J17" s="29"/>
      <c r="K17" s="58"/>
      <c r="L17" s="58"/>
      <c r="M17" s="56"/>
    </row>
    <row r="18" spans="1:72" s="12" customFormat="1" ht="30" x14ac:dyDescent="0.25">
      <c r="B18" s="69" t="s">
        <v>2</v>
      </c>
      <c r="C18" s="33" t="s">
        <v>42</v>
      </c>
      <c r="D18" s="33" t="s">
        <v>31</v>
      </c>
      <c r="E18" s="28"/>
      <c r="I18" s="35"/>
      <c r="J18" s="29"/>
      <c r="K18" s="59" t="str">
        <f t="shared" ref="K18:M19" si="0">B18</f>
        <v>NETWORK</v>
      </c>
      <c r="L18" s="59" t="str">
        <f t="shared" si="0"/>
        <v xml:space="preserve"> AUDIENCE INDEX</v>
      </c>
      <c r="M18" s="56" t="str">
        <f t="shared" si="0"/>
        <v xml:space="preserve"> AUDIENCE REACH</v>
      </c>
    </row>
    <row r="19" spans="1:72" s="12" customFormat="1" ht="15" x14ac:dyDescent="0.25">
      <c r="A19" s="11"/>
      <c r="B19" s="41" t="s">
        <v>92</v>
      </c>
      <c r="C19" s="43">
        <v>129.5</v>
      </c>
      <c r="D19" s="44">
        <v>2.385E-2</v>
      </c>
      <c r="I19" s="35"/>
      <c r="J19" s="29"/>
      <c r="K19" s="60" t="str">
        <f t="shared" si="0"/>
        <v>ACCN</v>
      </c>
      <c r="L19" s="61">
        <f t="shared" si="0"/>
        <v>129.5</v>
      </c>
      <c r="M19" s="62">
        <f t="shared" si="0"/>
        <v>2.385E-2</v>
      </c>
    </row>
    <row r="20" spans="1:72" s="12" customFormat="1" ht="15" x14ac:dyDescent="0.25">
      <c r="A20" s="11"/>
      <c r="B20" s="41" t="s">
        <v>202</v>
      </c>
      <c r="C20" s="43">
        <v>125</v>
      </c>
      <c r="D20" s="44">
        <v>3.1099999999999999E-2</v>
      </c>
      <c r="I20" s="35"/>
      <c r="J20" s="29"/>
      <c r="K20" s="60" t="str">
        <f t="shared" ref="K20:K48" si="1">B20</f>
        <v>LRW</v>
      </c>
      <c r="L20" s="61">
        <f t="shared" ref="L20:L48" si="2">C20</f>
        <v>125</v>
      </c>
      <c r="M20" s="62">
        <f t="shared" ref="M20:M48" si="3">D20</f>
        <v>3.1099999999999999E-2</v>
      </c>
    </row>
    <row r="21" spans="1:72" ht="15" x14ac:dyDescent="0.25">
      <c r="B21" s="41" t="s">
        <v>174</v>
      </c>
      <c r="C21" s="43">
        <v>124</v>
      </c>
      <c r="D21" s="44">
        <v>0.10979999999999999</v>
      </c>
      <c r="E21" s="12"/>
      <c r="I21" s="35"/>
      <c r="J21" s="29"/>
      <c r="K21" s="60" t="str">
        <f t="shared" si="1"/>
        <v>SCI</v>
      </c>
      <c r="L21" s="61">
        <f t="shared" si="2"/>
        <v>124</v>
      </c>
      <c r="M21" s="62">
        <f t="shared" si="3"/>
        <v>0.10979999999999999</v>
      </c>
    </row>
    <row r="22" spans="1:72" ht="15" x14ac:dyDescent="0.25">
      <c r="B22" s="41" t="s">
        <v>115</v>
      </c>
      <c r="C22" s="43">
        <v>123</v>
      </c>
      <c r="D22" s="44">
        <v>8.4400000000000003E-2</v>
      </c>
      <c r="I22" s="35"/>
      <c r="J22" s="29"/>
      <c r="K22" s="60" t="str">
        <f t="shared" si="1"/>
        <v>DEST</v>
      </c>
      <c r="L22" s="61">
        <f t="shared" si="2"/>
        <v>123</v>
      </c>
      <c r="M22" s="62">
        <f t="shared" si="3"/>
        <v>8.4400000000000003E-2</v>
      </c>
    </row>
    <row r="23" spans="1:72" ht="15" x14ac:dyDescent="0.25">
      <c r="B23" s="41" t="s">
        <v>93</v>
      </c>
      <c r="C23" s="43">
        <v>121</v>
      </c>
      <c r="D23" s="44">
        <v>8.8499999999999995E-2</v>
      </c>
      <c r="E23" s="35"/>
      <c r="F23" s="35"/>
      <c r="G23" s="35"/>
      <c r="H23" s="35"/>
      <c r="I23" s="35"/>
      <c r="J23" s="29"/>
      <c r="K23" s="60" t="str">
        <f t="shared" si="1"/>
        <v>AHC</v>
      </c>
      <c r="L23" s="61">
        <f t="shared" si="2"/>
        <v>121</v>
      </c>
      <c r="M23" s="62">
        <f t="shared" si="3"/>
        <v>8.8499999999999995E-2</v>
      </c>
    </row>
    <row r="24" spans="1:72" ht="15" x14ac:dyDescent="0.25">
      <c r="B24" s="41" t="s">
        <v>127</v>
      </c>
      <c r="C24" s="43">
        <v>118</v>
      </c>
      <c r="D24" s="44">
        <v>0.17915</v>
      </c>
      <c r="E24" s="35"/>
      <c r="F24" s="35"/>
      <c r="G24" s="35"/>
      <c r="H24" s="35"/>
      <c r="I24" s="35"/>
      <c r="J24" s="31"/>
      <c r="K24" s="60" t="str">
        <f t="shared" si="1"/>
        <v>FBN</v>
      </c>
      <c r="L24" s="61">
        <f t="shared" si="2"/>
        <v>118</v>
      </c>
      <c r="M24" s="62">
        <f t="shared" si="3"/>
        <v>0.17915</v>
      </c>
      <c r="N24" s="24"/>
      <c r="O24" s="24"/>
      <c r="P24" s="24"/>
      <c r="Q24" s="24"/>
    </row>
    <row r="25" spans="1:72" ht="15" x14ac:dyDescent="0.25">
      <c r="B25" s="41" t="s">
        <v>168</v>
      </c>
      <c r="C25" s="43">
        <v>118</v>
      </c>
      <c r="D25" s="44">
        <v>1.83E-2</v>
      </c>
      <c r="E25" s="35"/>
      <c r="F25" s="35"/>
      <c r="G25" s="35"/>
      <c r="H25" s="35"/>
      <c r="I25" s="35"/>
      <c r="J25" s="29"/>
      <c r="K25" s="60" t="str">
        <f t="shared" si="1"/>
        <v>OUTD</v>
      </c>
      <c r="L25" s="61">
        <f t="shared" si="2"/>
        <v>118</v>
      </c>
      <c r="M25" s="62">
        <f t="shared" si="3"/>
        <v>1.83E-2</v>
      </c>
      <c r="N25" s="24"/>
      <c r="O25" s="24"/>
      <c r="P25" s="24"/>
      <c r="Q25" s="24"/>
    </row>
    <row r="26" spans="1:72" ht="15" x14ac:dyDescent="0.25">
      <c r="B26" s="41" t="s">
        <v>151</v>
      </c>
      <c r="C26" s="43">
        <v>117.33333333333333</v>
      </c>
      <c r="D26" s="44">
        <v>0.12326666666666668</v>
      </c>
      <c r="E26" s="35"/>
      <c r="F26" s="35"/>
      <c r="G26" s="35"/>
      <c r="H26" s="35"/>
      <c r="I26" s="35"/>
      <c r="J26" s="29"/>
      <c r="K26" s="60" t="str">
        <f t="shared" si="1"/>
        <v>MAG</v>
      </c>
      <c r="L26" s="61">
        <f t="shared" si="2"/>
        <v>117.33333333333333</v>
      </c>
      <c r="M26" s="62">
        <f t="shared" si="3"/>
        <v>0.12326666666666668</v>
      </c>
    </row>
    <row r="27" spans="1:72" ht="15" x14ac:dyDescent="0.25">
      <c r="B27" s="41" t="s">
        <v>195</v>
      </c>
      <c r="C27" s="43">
        <v>114.75</v>
      </c>
      <c r="D27" s="44">
        <v>0.16947499999999999</v>
      </c>
      <c r="E27" s="35"/>
      <c r="F27" s="35"/>
      <c r="G27" s="35"/>
      <c r="H27" s="35"/>
      <c r="I27" s="35"/>
      <c r="J27" s="29"/>
      <c r="K27" s="60" t="str">
        <f t="shared" si="1"/>
        <v>WETV</v>
      </c>
      <c r="L27" s="61">
        <f t="shared" si="2"/>
        <v>114.75</v>
      </c>
      <c r="M27" s="62">
        <f t="shared" si="3"/>
        <v>0.16947499999999999</v>
      </c>
      <c r="N27" s="29"/>
      <c r="O27" s="29"/>
      <c r="P27" s="29"/>
      <c r="Q27" s="29"/>
      <c r="R27" s="29"/>
      <c r="S27" s="29"/>
      <c r="T27" s="29"/>
      <c r="U27" s="29"/>
      <c r="V27" s="29"/>
      <c r="W27" s="29"/>
      <c r="X27" s="29"/>
      <c r="Y27" s="29"/>
      <c r="Z27" s="29"/>
      <c r="AA27" s="29"/>
      <c r="AB27" s="29"/>
      <c r="AC27" s="29"/>
      <c r="AD27" s="29"/>
      <c r="AE27" s="29"/>
      <c r="AF27" s="29"/>
      <c r="AG27" s="29"/>
      <c r="AH27" s="29"/>
      <c r="AI27" s="29"/>
      <c r="AJ27" s="29"/>
      <c r="AK27" s="29"/>
      <c r="AL27" s="29"/>
      <c r="AM27" s="29"/>
      <c r="AN27" s="29"/>
      <c r="AO27" s="29"/>
      <c r="AP27" s="29"/>
      <c r="AQ27" s="29"/>
      <c r="AR27" s="29"/>
      <c r="AS27" s="29"/>
      <c r="AT27" s="29"/>
      <c r="AU27" s="29"/>
      <c r="AV27" s="29"/>
      <c r="AW27" s="29"/>
      <c r="AX27" s="29"/>
      <c r="AY27" s="29"/>
      <c r="AZ27" s="29"/>
      <c r="BA27" s="29"/>
      <c r="BB27" s="29"/>
      <c r="BC27" s="29"/>
      <c r="BD27" s="29"/>
      <c r="BE27" s="29"/>
      <c r="BF27" s="29"/>
      <c r="BG27" s="29"/>
      <c r="BH27" s="29"/>
      <c r="BI27" s="29"/>
      <c r="BJ27" s="29"/>
      <c r="BK27" s="29"/>
      <c r="BL27" s="29"/>
      <c r="BM27" s="29"/>
      <c r="BN27" s="29"/>
      <c r="BO27" s="29"/>
      <c r="BP27" s="29"/>
      <c r="BQ27" s="29"/>
      <c r="BR27" s="29"/>
      <c r="BS27" s="29"/>
      <c r="BT27" s="29"/>
    </row>
    <row r="28" spans="1:72" ht="15" x14ac:dyDescent="0.25">
      <c r="B28" s="41" t="s">
        <v>141</v>
      </c>
      <c r="C28" s="43">
        <v>114.66666666666667</v>
      </c>
      <c r="D28" s="44">
        <v>0.15163333333333334</v>
      </c>
      <c r="E28" s="35"/>
      <c r="F28" s="35"/>
      <c r="G28" s="35"/>
      <c r="H28" s="35"/>
      <c r="I28" s="35"/>
      <c r="J28" s="29"/>
      <c r="K28" s="60" t="str">
        <f t="shared" si="1"/>
        <v>GSN</v>
      </c>
      <c r="L28" s="61">
        <f t="shared" si="2"/>
        <v>114.66666666666667</v>
      </c>
      <c r="M28" s="62">
        <f t="shared" si="3"/>
        <v>0.15163333333333334</v>
      </c>
      <c r="N28" s="29"/>
      <c r="O28" s="29"/>
      <c r="P28" s="29"/>
      <c r="Q28" s="29"/>
      <c r="R28" s="29"/>
      <c r="S28" s="29"/>
      <c r="T28" s="29"/>
      <c r="U28" s="29"/>
      <c r="V28" s="29"/>
      <c r="W28" s="29"/>
      <c r="X28" s="29"/>
      <c r="Y28" s="29"/>
      <c r="Z28" s="29"/>
      <c r="AA28" s="29"/>
      <c r="AB28" s="29"/>
      <c r="AC28" s="29"/>
      <c r="AD28" s="29"/>
      <c r="AE28" s="29"/>
      <c r="AF28" s="29"/>
      <c r="AG28" s="29"/>
      <c r="AH28" s="29"/>
      <c r="AI28" s="29"/>
      <c r="AJ28" s="29"/>
      <c r="AK28" s="29"/>
      <c r="AL28" s="29"/>
      <c r="AM28" s="29"/>
      <c r="AN28" s="29"/>
      <c r="AO28" s="29"/>
      <c r="AP28" s="29"/>
      <c r="AQ28" s="29"/>
      <c r="AR28" s="29"/>
      <c r="AS28" s="29"/>
      <c r="AT28" s="29"/>
      <c r="AU28" s="29"/>
      <c r="AV28" s="29"/>
      <c r="AW28" s="29"/>
      <c r="AX28" s="29"/>
      <c r="AY28" s="29"/>
      <c r="AZ28" s="29"/>
      <c r="BA28" s="29"/>
      <c r="BB28" s="29"/>
      <c r="BC28" s="29"/>
      <c r="BD28" s="29"/>
      <c r="BE28" s="29"/>
      <c r="BF28" s="29"/>
      <c r="BG28" s="29"/>
      <c r="BH28" s="29"/>
      <c r="BI28" s="29"/>
      <c r="BJ28" s="29"/>
      <c r="BK28" s="29"/>
      <c r="BL28" s="29"/>
      <c r="BM28" s="29"/>
      <c r="BN28" s="29"/>
      <c r="BO28" s="29"/>
      <c r="BP28" s="29"/>
      <c r="BQ28" s="29"/>
      <c r="BR28" s="29"/>
      <c r="BS28" s="29"/>
      <c r="BT28" s="29"/>
    </row>
    <row r="29" spans="1:72" ht="15" x14ac:dyDescent="0.25">
      <c r="B29" s="41" t="s">
        <v>137</v>
      </c>
      <c r="C29" s="43">
        <v>114.5</v>
      </c>
      <c r="D29" s="44">
        <v>8.7300000000000003E-2</v>
      </c>
      <c r="E29" s="35"/>
      <c r="F29" s="35"/>
      <c r="G29" s="35"/>
      <c r="H29" s="35"/>
      <c r="I29" s="35"/>
      <c r="J29" s="29"/>
      <c r="K29" s="60" t="str">
        <f t="shared" si="1"/>
        <v>FYI</v>
      </c>
      <c r="L29" s="61">
        <f t="shared" si="2"/>
        <v>114.5</v>
      </c>
      <c r="M29" s="62">
        <f t="shared" si="3"/>
        <v>8.7300000000000003E-2</v>
      </c>
      <c r="N29" s="29"/>
      <c r="O29" s="29"/>
      <c r="P29" s="29"/>
      <c r="Q29" s="29"/>
      <c r="R29" s="29"/>
      <c r="S29" s="29"/>
      <c r="T29" s="29"/>
      <c r="U29" s="29"/>
      <c r="V29" s="29"/>
      <c r="W29" s="29"/>
      <c r="X29" s="29"/>
      <c r="Y29" s="29"/>
      <c r="Z29" s="29"/>
      <c r="AA29" s="29"/>
      <c r="AB29" s="29"/>
      <c r="AC29" s="29"/>
      <c r="AD29" s="29"/>
      <c r="AE29" s="29"/>
      <c r="AF29" s="29"/>
      <c r="AG29" s="29"/>
      <c r="AH29" s="29"/>
      <c r="AI29" s="29"/>
      <c r="AJ29" s="29"/>
      <c r="AK29" s="29"/>
      <c r="AL29" s="29"/>
      <c r="AM29" s="29"/>
      <c r="AN29" s="29"/>
      <c r="AO29" s="29"/>
      <c r="AP29" s="29"/>
      <c r="AQ29" s="29"/>
      <c r="AR29" s="29"/>
      <c r="AS29" s="29"/>
      <c r="AT29" s="29"/>
      <c r="AU29" s="29"/>
      <c r="AV29" s="29"/>
      <c r="AW29" s="29"/>
      <c r="AX29" s="29"/>
      <c r="AY29" s="29"/>
      <c r="AZ29" s="29"/>
      <c r="BA29" s="29"/>
      <c r="BB29" s="29"/>
      <c r="BC29" s="29"/>
      <c r="BD29" s="29"/>
      <c r="BE29" s="29"/>
      <c r="BF29" s="29"/>
      <c r="BG29" s="29"/>
      <c r="BH29" s="29"/>
      <c r="BI29" s="29"/>
      <c r="BJ29" s="29"/>
      <c r="BK29" s="29"/>
      <c r="BL29" s="29"/>
      <c r="BM29" s="29"/>
      <c r="BN29" s="29"/>
      <c r="BO29" s="29"/>
      <c r="BP29" s="29"/>
      <c r="BQ29" s="29"/>
      <c r="BR29" s="29"/>
      <c r="BS29" s="29"/>
      <c r="BT29" s="29"/>
    </row>
    <row r="30" spans="1:72" ht="15" x14ac:dyDescent="0.25">
      <c r="B30" s="41" t="s">
        <v>160</v>
      </c>
      <c r="C30" s="43">
        <v>114</v>
      </c>
      <c r="D30" s="44">
        <v>2.86E-2</v>
      </c>
      <c r="E30" s="35"/>
      <c r="F30" s="35"/>
      <c r="G30" s="35"/>
      <c r="H30" s="35"/>
      <c r="I30" s="35"/>
      <c r="J30" s="29"/>
      <c r="K30" s="60" t="str">
        <f t="shared" si="1"/>
        <v>NHLN</v>
      </c>
      <c r="L30" s="61">
        <f t="shared" si="2"/>
        <v>114</v>
      </c>
      <c r="M30" s="62">
        <f t="shared" si="3"/>
        <v>2.86E-2</v>
      </c>
      <c r="N30" s="29"/>
      <c r="O30" s="29"/>
      <c r="P30" s="29"/>
      <c r="Q30" s="29"/>
      <c r="R30" s="29"/>
      <c r="S30" s="29"/>
      <c r="T30" s="29"/>
      <c r="U30" s="29"/>
      <c r="V30" s="29"/>
      <c r="W30" s="29"/>
      <c r="X30" s="29"/>
      <c r="Y30" s="29"/>
      <c r="Z30" s="29"/>
      <c r="AA30" s="29"/>
      <c r="AB30" s="29"/>
      <c r="AC30" s="29"/>
      <c r="AD30" s="29"/>
      <c r="AE30" s="29"/>
      <c r="AF30" s="29"/>
      <c r="AG30" s="29"/>
    </row>
    <row r="31" spans="1:72" ht="15" x14ac:dyDescent="0.25">
      <c r="B31" s="41" t="s">
        <v>129</v>
      </c>
      <c r="C31" s="43">
        <v>113.5</v>
      </c>
      <c r="D31" s="44">
        <v>0.46337499999999998</v>
      </c>
      <c r="E31" s="35"/>
      <c r="F31" s="35"/>
      <c r="G31" s="35"/>
      <c r="H31" s="35"/>
      <c r="I31" s="35"/>
      <c r="J31" s="29"/>
      <c r="K31" s="60" t="str">
        <f t="shared" si="1"/>
        <v>FNC</v>
      </c>
      <c r="L31" s="61">
        <f t="shared" si="2"/>
        <v>113.5</v>
      </c>
      <c r="M31" s="62">
        <f t="shared" si="3"/>
        <v>0.46337499999999998</v>
      </c>
      <c r="N31" s="29"/>
      <c r="O31" s="29"/>
      <c r="P31" s="29"/>
      <c r="Q31" s="29"/>
      <c r="R31" s="29"/>
      <c r="S31" s="29"/>
      <c r="T31" s="29"/>
      <c r="U31" s="29"/>
      <c r="V31" s="29"/>
      <c r="W31" s="29"/>
      <c r="X31" s="29"/>
      <c r="Y31" s="29"/>
      <c r="Z31" s="29"/>
      <c r="AA31" s="29"/>
      <c r="AB31" s="29"/>
      <c r="AC31" s="29"/>
      <c r="AD31" s="29"/>
      <c r="AE31" s="29"/>
      <c r="AF31" s="29"/>
      <c r="AG31" s="29"/>
    </row>
    <row r="32" spans="1:72" ht="15" x14ac:dyDescent="0.25">
      <c r="B32" s="41" t="s">
        <v>13</v>
      </c>
      <c r="C32" s="43">
        <v>113</v>
      </c>
      <c r="D32" s="44">
        <v>0.31235000000000002</v>
      </c>
      <c r="E32" s="35"/>
      <c r="F32" s="35"/>
      <c r="G32" s="35"/>
      <c r="H32" s="35"/>
      <c r="I32" s="35"/>
      <c r="J32" s="29"/>
      <c r="K32" s="60" t="str">
        <f t="shared" si="1"/>
        <v>HALL</v>
      </c>
      <c r="L32" s="61">
        <f t="shared" si="2"/>
        <v>113</v>
      </c>
      <c r="M32" s="62">
        <f t="shared" si="3"/>
        <v>0.31235000000000002</v>
      </c>
      <c r="N32" s="29"/>
      <c r="O32" s="29"/>
      <c r="P32" s="29"/>
      <c r="Q32" s="29"/>
      <c r="R32" s="29"/>
      <c r="S32" s="29"/>
      <c r="T32" s="29"/>
      <c r="U32" s="29"/>
      <c r="V32" s="29"/>
      <c r="W32" s="29"/>
      <c r="X32" s="29"/>
      <c r="Y32" s="29"/>
      <c r="Z32" s="29"/>
      <c r="AA32" s="29"/>
      <c r="AB32" s="29"/>
      <c r="AC32" s="29"/>
      <c r="AD32" s="29"/>
      <c r="AE32" s="29"/>
      <c r="AF32" s="29"/>
      <c r="AG32" s="29"/>
    </row>
    <row r="33" spans="2:33" ht="15" x14ac:dyDescent="0.25">
      <c r="B33" s="41" t="s">
        <v>194</v>
      </c>
      <c r="C33" s="43">
        <v>112</v>
      </c>
      <c r="D33" s="44">
        <v>7.4499999999999997E-2</v>
      </c>
      <c r="E33" s="35"/>
      <c r="F33" s="35"/>
      <c r="G33" s="35"/>
      <c r="H33" s="35"/>
      <c r="I33" s="35"/>
      <c r="J33" s="29"/>
      <c r="K33" s="60" t="str">
        <f t="shared" si="1"/>
        <v>VICE</v>
      </c>
      <c r="L33" s="61">
        <f t="shared" si="2"/>
        <v>112</v>
      </c>
      <c r="M33" s="62">
        <f t="shared" si="3"/>
        <v>7.4499999999999997E-2</v>
      </c>
      <c r="N33" s="29"/>
      <c r="O33" s="29"/>
      <c r="P33" s="29"/>
      <c r="Q33" s="29"/>
      <c r="R33" s="29"/>
      <c r="S33" s="29"/>
      <c r="T33" s="29"/>
      <c r="U33" s="29"/>
      <c r="V33" s="29"/>
      <c r="W33" s="29"/>
      <c r="X33" s="29"/>
      <c r="Y33" s="29"/>
      <c r="Z33" s="29"/>
      <c r="AA33" s="29"/>
      <c r="AB33" s="29"/>
      <c r="AC33" s="29"/>
      <c r="AD33" s="29"/>
      <c r="AE33" s="29"/>
      <c r="AF33" s="29"/>
      <c r="AG33" s="29"/>
    </row>
    <row r="34" spans="2:33" ht="15" x14ac:dyDescent="0.25">
      <c r="B34" s="41" t="s">
        <v>94</v>
      </c>
      <c r="C34" s="43">
        <v>112</v>
      </c>
      <c r="D34" s="44">
        <v>0.29054999999999997</v>
      </c>
      <c r="E34" s="35"/>
      <c r="F34" s="35"/>
      <c r="G34" s="35"/>
      <c r="H34" s="35"/>
      <c r="I34" s="35"/>
      <c r="J34" s="29"/>
      <c r="K34" s="60" t="str">
        <f t="shared" si="1"/>
        <v>APL</v>
      </c>
      <c r="L34" s="61">
        <f t="shared" si="2"/>
        <v>112</v>
      </c>
      <c r="M34" s="62">
        <f t="shared" si="3"/>
        <v>0.29054999999999997</v>
      </c>
      <c r="N34" s="29"/>
      <c r="O34" s="29"/>
      <c r="P34" s="29"/>
      <c r="Q34" s="29"/>
      <c r="R34" s="29"/>
      <c r="S34" s="29"/>
      <c r="T34" s="29"/>
      <c r="U34" s="29"/>
      <c r="V34" s="29"/>
      <c r="W34" s="29"/>
      <c r="X34" s="29"/>
      <c r="Y34" s="29"/>
      <c r="Z34" s="29"/>
      <c r="AA34" s="29"/>
      <c r="AB34" s="29"/>
      <c r="AC34" s="29"/>
      <c r="AD34" s="29"/>
      <c r="AE34" s="29"/>
      <c r="AF34" s="29"/>
      <c r="AG34" s="29"/>
    </row>
    <row r="35" spans="2:33" ht="15" x14ac:dyDescent="0.25">
      <c r="B35" s="41" t="s">
        <v>184</v>
      </c>
      <c r="C35" s="43">
        <v>111.75</v>
      </c>
      <c r="D35" s="44">
        <v>0.29597499999999999</v>
      </c>
      <c r="E35" s="35"/>
      <c r="F35" s="35"/>
      <c r="G35" s="35"/>
      <c r="H35" s="35"/>
      <c r="I35" s="35"/>
      <c r="J35" s="29"/>
      <c r="K35" s="60" t="str">
        <f t="shared" si="1"/>
        <v>TWC</v>
      </c>
      <c r="L35" s="61">
        <f t="shared" si="2"/>
        <v>111.75</v>
      </c>
      <c r="M35" s="62">
        <f t="shared" si="3"/>
        <v>0.29597499999999999</v>
      </c>
      <c r="N35" s="29"/>
      <c r="O35" s="29"/>
      <c r="P35" s="29"/>
      <c r="Q35" s="29"/>
      <c r="R35" s="29"/>
      <c r="S35" s="29"/>
      <c r="T35" s="29"/>
      <c r="U35" s="29"/>
      <c r="V35" s="29"/>
      <c r="W35" s="29"/>
      <c r="X35" s="29"/>
      <c r="Y35" s="29"/>
      <c r="Z35" s="29"/>
      <c r="AA35" s="29"/>
      <c r="AB35" s="29"/>
      <c r="AC35" s="29"/>
      <c r="AD35" s="29"/>
      <c r="AE35" s="29"/>
      <c r="AF35" s="29"/>
      <c r="AG35" s="29"/>
    </row>
    <row r="36" spans="2:33" ht="15" x14ac:dyDescent="0.25">
      <c r="B36" s="41" t="s">
        <v>100</v>
      </c>
      <c r="C36" s="43">
        <v>111.66666666666667</v>
      </c>
      <c r="D36" s="44">
        <v>9.4399999999999998E-2</v>
      </c>
      <c r="E36" s="35"/>
      <c r="F36" s="35"/>
      <c r="G36" s="35"/>
      <c r="H36" s="35"/>
      <c r="I36" s="35"/>
      <c r="J36" s="29"/>
      <c r="K36" s="60" t="str">
        <f t="shared" si="1"/>
        <v>B10N</v>
      </c>
      <c r="L36" s="61">
        <f t="shared" si="2"/>
        <v>111.66666666666667</v>
      </c>
      <c r="M36" s="62">
        <f t="shared" si="3"/>
        <v>9.4399999999999998E-2</v>
      </c>
      <c r="N36" s="29"/>
      <c r="O36" s="29"/>
      <c r="P36" s="29"/>
      <c r="Q36" s="29"/>
      <c r="R36" s="29"/>
      <c r="S36" s="29"/>
      <c r="T36" s="29"/>
      <c r="U36" s="29"/>
      <c r="V36" s="29"/>
      <c r="W36" s="29"/>
      <c r="X36" s="29"/>
      <c r="Y36" s="29"/>
      <c r="Z36" s="29"/>
      <c r="AA36" s="29"/>
      <c r="AB36" s="29"/>
      <c r="AC36" s="29"/>
      <c r="AD36" s="29"/>
      <c r="AE36" s="29"/>
      <c r="AF36" s="29"/>
      <c r="AG36" s="29"/>
    </row>
    <row r="37" spans="2:33" ht="15" x14ac:dyDescent="0.25">
      <c r="B37" s="41" t="s">
        <v>20</v>
      </c>
      <c r="C37" s="43">
        <v>110.5</v>
      </c>
      <c r="D37" s="44">
        <v>0.53457500000000002</v>
      </c>
      <c r="E37" s="35"/>
      <c r="F37" s="35"/>
      <c r="G37" s="35"/>
      <c r="H37" s="35"/>
      <c r="I37" s="35"/>
      <c r="J37" s="29"/>
      <c r="K37" s="60" t="str">
        <f t="shared" si="1"/>
        <v>USA</v>
      </c>
      <c r="L37" s="61">
        <f t="shared" si="2"/>
        <v>110.5</v>
      </c>
      <c r="M37" s="62">
        <f t="shared" si="3"/>
        <v>0.53457500000000002</v>
      </c>
      <c r="N37" s="29"/>
      <c r="O37" s="29"/>
      <c r="P37" s="29"/>
      <c r="Q37" s="29"/>
      <c r="R37" s="29"/>
      <c r="S37" s="29"/>
      <c r="T37" s="29"/>
      <c r="U37" s="29"/>
      <c r="V37" s="29"/>
      <c r="W37" s="29"/>
      <c r="X37" s="29"/>
      <c r="Y37" s="29"/>
      <c r="Z37" s="29"/>
      <c r="AA37" s="29"/>
      <c r="AB37" s="29"/>
      <c r="AC37" s="29"/>
      <c r="AD37" s="29"/>
      <c r="AE37" s="29"/>
      <c r="AF37" s="29"/>
      <c r="AG37" s="29"/>
    </row>
    <row r="38" spans="2:33" ht="15" x14ac:dyDescent="0.25">
      <c r="B38" s="41" t="s">
        <v>110</v>
      </c>
      <c r="C38" s="43">
        <v>109.5</v>
      </c>
      <c r="D38" s="44">
        <v>7.3149999999999993E-2</v>
      </c>
      <c r="E38" s="35"/>
      <c r="F38" s="35"/>
      <c r="G38" s="35"/>
      <c r="H38" s="35"/>
      <c r="I38" s="35"/>
      <c r="J38" s="29"/>
      <c r="K38" s="60" t="str">
        <f t="shared" si="1"/>
        <v>CC</v>
      </c>
      <c r="L38" s="61">
        <f t="shared" si="2"/>
        <v>109.5</v>
      </c>
      <c r="M38" s="62">
        <f t="shared" si="3"/>
        <v>7.3149999999999993E-2</v>
      </c>
      <c r="N38" s="29"/>
      <c r="O38" s="29"/>
      <c r="P38" s="29"/>
      <c r="Q38" s="29"/>
      <c r="R38" s="29"/>
      <c r="S38" s="29"/>
      <c r="T38" s="29"/>
      <c r="U38" s="29"/>
      <c r="V38" s="29"/>
      <c r="W38" s="29"/>
      <c r="X38" s="29"/>
      <c r="Y38" s="29"/>
      <c r="Z38" s="29"/>
      <c r="AA38" s="29"/>
      <c r="AB38" s="29"/>
      <c r="AC38" s="29"/>
      <c r="AD38" s="29"/>
      <c r="AE38" s="29"/>
      <c r="AF38" s="29"/>
      <c r="AG38" s="29"/>
    </row>
    <row r="39" spans="2:33" ht="15" x14ac:dyDescent="0.25">
      <c r="B39" s="41" t="s">
        <v>139</v>
      </c>
      <c r="C39" s="43">
        <v>108.25</v>
      </c>
      <c r="D39" s="44">
        <v>0.21177499999999999</v>
      </c>
      <c r="E39" s="35"/>
      <c r="F39" s="35"/>
      <c r="G39" s="35"/>
      <c r="H39" s="35"/>
      <c r="I39" s="35"/>
      <c r="J39" s="29"/>
      <c r="K39" s="60" t="str">
        <f t="shared" si="1"/>
        <v>GOLF</v>
      </c>
      <c r="L39" s="61">
        <f t="shared" si="2"/>
        <v>108.25</v>
      </c>
      <c r="M39" s="62">
        <f t="shared" si="3"/>
        <v>0.21177499999999999</v>
      </c>
      <c r="N39" s="29"/>
      <c r="O39" s="29"/>
      <c r="P39" s="29"/>
      <c r="Q39" s="29"/>
      <c r="R39" s="29"/>
      <c r="S39" s="29"/>
      <c r="T39" s="29"/>
      <c r="U39" s="29"/>
      <c r="V39" s="29"/>
      <c r="W39" s="29"/>
      <c r="X39" s="29"/>
      <c r="Y39" s="29"/>
      <c r="Z39" s="29"/>
      <c r="AA39" s="29"/>
      <c r="AB39" s="29"/>
      <c r="AC39" s="29"/>
      <c r="AD39" s="29"/>
      <c r="AE39" s="29"/>
      <c r="AF39" s="29"/>
      <c r="AG39" s="29"/>
    </row>
    <row r="40" spans="2:33" ht="15" x14ac:dyDescent="0.25">
      <c r="B40" s="41" t="s">
        <v>130</v>
      </c>
      <c r="C40" s="43">
        <v>108</v>
      </c>
      <c r="D40" s="44">
        <v>6.88E-2</v>
      </c>
      <c r="E40" s="35"/>
      <c r="F40" s="35"/>
      <c r="G40" s="35"/>
      <c r="H40" s="35"/>
      <c r="I40" s="35"/>
      <c r="J40" s="29"/>
      <c r="K40" s="60" t="str">
        <f t="shared" si="1"/>
        <v>FS2</v>
      </c>
      <c r="L40" s="61">
        <f t="shared" si="2"/>
        <v>108</v>
      </c>
      <c r="M40" s="62">
        <f t="shared" si="3"/>
        <v>6.88E-2</v>
      </c>
      <c r="N40" s="29"/>
      <c r="O40" s="29"/>
      <c r="P40" s="29"/>
      <c r="Q40" s="29"/>
      <c r="R40" s="29"/>
      <c r="S40" s="29"/>
      <c r="T40" s="29"/>
      <c r="U40" s="29"/>
      <c r="V40" s="29"/>
      <c r="W40" s="29"/>
      <c r="X40" s="29"/>
      <c r="Y40" s="29"/>
      <c r="Z40" s="29"/>
      <c r="AA40" s="29"/>
      <c r="AB40" s="29"/>
      <c r="AC40" s="29"/>
      <c r="AD40" s="29"/>
      <c r="AE40" s="29"/>
      <c r="AF40" s="29"/>
      <c r="AG40" s="29"/>
    </row>
    <row r="41" spans="2:33" ht="15" x14ac:dyDescent="0.25">
      <c r="B41" s="41" t="s">
        <v>18</v>
      </c>
      <c r="C41" s="43">
        <v>107.75</v>
      </c>
      <c r="D41" s="44">
        <v>0.35239999999999999</v>
      </c>
      <c r="E41" s="35"/>
      <c r="F41" s="35"/>
      <c r="G41" s="35"/>
      <c r="H41" s="35"/>
      <c r="I41" s="35"/>
      <c r="J41" s="29"/>
      <c r="K41" s="60" t="str">
        <f t="shared" si="1"/>
        <v>HIST</v>
      </c>
      <c r="L41" s="61">
        <f t="shared" si="2"/>
        <v>107.75</v>
      </c>
      <c r="M41" s="62">
        <f t="shared" si="3"/>
        <v>0.35239999999999999</v>
      </c>
      <c r="N41" s="29"/>
      <c r="O41" s="29"/>
      <c r="P41" s="29"/>
      <c r="Q41" s="29"/>
      <c r="R41" s="29"/>
      <c r="S41" s="29"/>
      <c r="T41" s="29"/>
      <c r="U41" s="29"/>
      <c r="V41" s="29"/>
      <c r="W41" s="29"/>
      <c r="X41" s="29"/>
      <c r="Y41" s="29"/>
      <c r="Z41" s="29"/>
      <c r="AA41" s="29"/>
      <c r="AB41" s="29"/>
      <c r="AC41" s="29"/>
      <c r="AD41" s="29"/>
      <c r="AE41" s="29"/>
      <c r="AF41" s="29"/>
      <c r="AG41" s="29"/>
    </row>
    <row r="42" spans="2:33" ht="15" x14ac:dyDescent="0.25">
      <c r="B42" s="41" t="s">
        <v>12</v>
      </c>
      <c r="C42" s="43">
        <v>107.25</v>
      </c>
      <c r="D42" s="44">
        <v>0.27757500000000002</v>
      </c>
      <c r="E42" s="35"/>
      <c r="F42" s="35"/>
      <c r="G42" s="35"/>
      <c r="H42" s="35"/>
      <c r="I42" s="35"/>
      <c r="J42" s="29"/>
      <c r="K42" s="60" t="str">
        <f t="shared" si="1"/>
        <v>FS1</v>
      </c>
      <c r="L42" s="61">
        <f t="shared" si="2"/>
        <v>107.25</v>
      </c>
      <c r="M42" s="62">
        <f t="shared" si="3"/>
        <v>0.27757500000000002</v>
      </c>
      <c r="N42" s="29"/>
      <c r="O42" s="29"/>
      <c r="P42" s="29"/>
      <c r="Q42" s="29"/>
      <c r="R42" s="29"/>
      <c r="S42" s="29"/>
      <c r="T42" s="29"/>
      <c r="U42" s="29"/>
      <c r="V42" s="29"/>
      <c r="W42" s="29"/>
      <c r="X42" s="29"/>
      <c r="Y42" s="29"/>
      <c r="Z42" s="29"/>
      <c r="AA42" s="29"/>
      <c r="AB42" s="29"/>
      <c r="AC42" s="29"/>
      <c r="AD42" s="29"/>
      <c r="AE42" s="29"/>
      <c r="AF42" s="29"/>
      <c r="AG42" s="29"/>
    </row>
    <row r="43" spans="2:33" ht="15" x14ac:dyDescent="0.25">
      <c r="B43" s="41" t="s">
        <v>166</v>
      </c>
      <c r="C43" s="43">
        <v>106.75</v>
      </c>
      <c r="D43" s="44">
        <v>0.24864999999999998</v>
      </c>
      <c r="E43" s="35"/>
      <c r="F43" s="35"/>
      <c r="G43" s="35"/>
      <c r="H43" s="35"/>
      <c r="I43" s="35"/>
      <c r="J43" s="29"/>
      <c r="K43" s="60" t="str">
        <f t="shared" si="1"/>
        <v>TVL</v>
      </c>
      <c r="L43" s="61">
        <f t="shared" si="2"/>
        <v>106.75</v>
      </c>
      <c r="M43" s="62">
        <f t="shared" si="3"/>
        <v>0.24864999999999998</v>
      </c>
      <c r="N43" s="29"/>
      <c r="O43" s="29"/>
      <c r="P43" s="29"/>
      <c r="Q43" s="29"/>
      <c r="R43" s="29"/>
      <c r="S43" s="29"/>
      <c r="T43" s="29"/>
      <c r="U43" s="29"/>
      <c r="V43" s="29"/>
      <c r="W43" s="29"/>
      <c r="X43" s="29"/>
      <c r="Y43" s="29"/>
      <c r="Z43" s="29"/>
      <c r="AA43" s="29"/>
      <c r="AB43" s="29"/>
      <c r="AC43" s="29"/>
      <c r="AD43" s="29"/>
      <c r="AE43" s="29"/>
      <c r="AF43" s="29"/>
      <c r="AG43" s="29"/>
    </row>
    <row r="44" spans="2:33" ht="15" x14ac:dyDescent="0.25">
      <c r="B44" s="41" t="s">
        <v>186</v>
      </c>
      <c r="C44" s="43">
        <v>105.5</v>
      </c>
      <c r="D44" s="44">
        <v>0.16985</v>
      </c>
      <c r="E44" s="35"/>
      <c r="F44" s="35"/>
      <c r="G44" s="35"/>
      <c r="H44" s="35"/>
      <c r="I44" s="35"/>
      <c r="J44" s="29"/>
      <c r="K44" s="60" t="str">
        <f t="shared" si="1"/>
        <v>TRAV</v>
      </c>
      <c r="L44" s="61">
        <f t="shared" si="2"/>
        <v>105.5</v>
      </c>
      <c r="M44" s="62">
        <f t="shared" si="3"/>
        <v>0.16985</v>
      </c>
      <c r="N44" s="29"/>
      <c r="O44" s="29"/>
      <c r="P44" s="29"/>
      <c r="Q44" s="29"/>
      <c r="R44" s="29"/>
      <c r="S44" s="29"/>
      <c r="T44" s="29"/>
      <c r="U44" s="29"/>
      <c r="V44" s="29"/>
      <c r="W44" s="29"/>
      <c r="X44" s="29"/>
      <c r="Y44" s="29"/>
      <c r="Z44" s="29"/>
      <c r="AA44" s="29"/>
      <c r="AB44" s="29"/>
      <c r="AC44" s="29"/>
      <c r="AD44" s="29"/>
      <c r="AE44" s="29"/>
      <c r="AF44" s="29"/>
      <c r="AG44" s="29"/>
    </row>
    <row r="45" spans="2:33" ht="15" x14ac:dyDescent="0.25">
      <c r="B45" s="41" t="s">
        <v>117</v>
      </c>
      <c r="C45" s="43">
        <v>105.5</v>
      </c>
      <c r="D45" s="44">
        <v>0.36170000000000002</v>
      </c>
      <c r="E45" s="35"/>
      <c r="F45" s="35"/>
      <c r="G45" s="35"/>
      <c r="H45" s="35"/>
      <c r="I45" s="35"/>
      <c r="J45" s="29"/>
      <c r="K45" s="60" t="str">
        <f t="shared" si="1"/>
        <v>DISC</v>
      </c>
      <c r="L45" s="61">
        <f t="shared" si="2"/>
        <v>105.5</v>
      </c>
      <c r="M45" s="62">
        <f t="shared" si="3"/>
        <v>0.36170000000000002</v>
      </c>
      <c r="N45" s="29"/>
      <c r="O45" s="29"/>
      <c r="P45" s="29"/>
      <c r="Q45" s="29"/>
      <c r="R45" s="29"/>
      <c r="S45" s="29"/>
      <c r="T45" s="29"/>
      <c r="U45" s="29"/>
      <c r="V45" s="29"/>
      <c r="W45" s="29"/>
      <c r="X45" s="29"/>
      <c r="Y45" s="29"/>
      <c r="Z45" s="29"/>
      <c r="AA45" s="29"/>
      <c r="AB45" s="29"/>
      <c r="AC45" s="29"/>
      <c r="AD45" s="29"/>
      <c r="AE45" s="29"/>
      <c r="AF45" s="29"/>
      <c r="AG45" s="29"/>
    </row>
    <row r="46" spans="2:33" ht="15" x14ac:dyDescent="0.25">
      <c r="B46" s="41" t="s">
        <v>102</v>
      </c>
      <c r="C46" s="43">
        <v>105</v>
      </c>
      <c r="D46" s="44">
        <v>3.9100000000000003E-2</v>
      </c>
      <c r="E46" s="35"/>
      <c r="F46" s="35"/>
      <c r="G46" s="35"/>
      <c r="H46" s="35"/>
      <c r="I46" s="35"/>
      <c r="J46" s="29"/>
      <c r="K46" s="60" t="str">
        <f t="shared" si="1"/>
        <v>BLOOM</v>
      </c>
      <c r="L46" s="61">
        <f t="shared" si="2"/>
        <v>105</v>
      </c>
      <c r="M46" s="62">
        <f t="shared" si="3"/>
        <v>3.9100000000000003E-2</v>
      </c>
      <c r="N46" s="29"/>
      <c r="O46" s="29"/>
      <c r="P46" s="29"/>
      <c r="Q46" s="29"/>
      <c r="R46" s="29"/>
      <c r="S46" s="29"/>
      <c r="T46" s="29"/>
      <c r="U46" s="29"/>
      <c r="V46" s="29"/>
      <c r="W46" s="29"/>
      <c r="X46" s="29"/>
      <c r="Y46" s="29"/>
      <c r="Z46" s="29"/>
      <c r="AA46" s="29"/>
      <c r="AB46" s="29"/>
      <c r="AC46" s="29"/>
      <c r="AD46" s="29"/>
      <c r="AE46" s="29"/>
      <c r="AF46" s="29"/>
      <c r="AG46" s="29"/>
    </row>
    <row r="47" spans="2:33" ht="15" x14ac:dyDescent="0.25">
      <c r="B47" s="41" t="s">
        <v>111</v>
      </c>
      <c r="C47" s="43">
        <v>105</v>
      </c>
      <c r="D47" s="44">
        <v>0.15426666666666666</v>
      </c>
      <c r="E47" s="35"/>
      <c r="F47" s="35"/>
      <c r="G47" s="35"/>
      <c r="H47" s="35"/>
      <c r="I47" s="35"/>
      <c r="J47" s="29"/>
      <c r="K47" s="60" t="str">
        <f t="shared" si="1"/>
        <v>CMT</v>
      </c>
      <c r="L47" s="61">
        <f t="shared" si="2"/>
        <v>105</v>
      </c>
      <c r="M47" s="62">
        <f t="shared" si="3"/>
        <v>0.15426666666666666</v>
      </c>
      <c r="N47" s="29"/>
      <c r="O47" s="29"/>
      <c r="P47" s="29"/>
      <c r="Q47" s="29"/>
      <c r="R47" s="29"/>
      <c r="S47" s="29"/>
      <c r="T47" s="29"/>
      <c r="U47" s="29"/>
      <c r="V47" s="29"/>
      <c r="W47" s="29"/>
      <c r="X47" s="29"/>
      <c r="Y47" s="29"/>
      <c r="Z47" s="29"/>
      <c r="AA47" s="29"/>
      <c r="AB47" s="29"/>
      <c r="AC47" s="29"/>
      <c r="AD47" s="29"/>
      <c r="AE47" s="29"/>
      <c r="AF47" s="29"/>
      <c r="AG47" s="29"/>
    </row>
    <row r="48" spans="2:33" ht="15" x14ac:dyDescent="0.25">
      <c r="B48" s="41" t="s">
        <v>14</v>
      </c>
      <c r="C48" s="43">
        <v>105</v>
      </c>
      <c r="D48" s="44">
        <v>0.39215</v>
      </c>
      <c r="E48" s="35"/>
      <c r="F48" s="35"/>
      <c r="G48" s="35"/>
      <c r="H48" s="35"/>
      <c r="I48" s="35"/>
      <c r="J48" s="29"/>
      <c r="K48" s="60" t="str">
        <f t="shared" si="1"/>
        <v>HGTV</v>
      </c>
      <c r="L48" s="61">
        <f t="shared" si="2"/>
        <v>105</v>
      </c>
      <c r="M48" s="62">
        <f t="shared" si="3"/>
        <v>0.39215</v>
      </c>
      <c r="N48" s="29"/>
      <c r="O48" s="29"/>
      <c r="P48" s="29"/>
      <c r="Q48" s="29"/>
      <c r="R48" s="29"/>
      <c r="S48" s="29"/>
      <c r="T48" s="29"/>
      <c r="U48" s="29"/>
      <c r="V48" s="29"/>
      <c r="W48" s="29"/>
      <c r="X48" s="29"/>
      <c r="Y48" s="29"/>
      <c r="Z48" s="29"/>
      <c r="AA48" s="29"/>
      <c r="AB48" s="29"/>
      <c r="AC48" s="29"/>
      <c r="AD48" s="29"/>
      <c r="AE48" s="29"/>
      <c r="AF48" s="29"/>
      <c r="AG48" s="29"/>
    </row>
    <row r="49" spans="2:33" ht="15" x14ac:dyDescent="0.25">
      <c r="B49" s="41" t="s">
        <v>17</v>
      </c>
      <c r="C49" s="43">
        <v>104</v>
      </c>
      <c r="D49" s="44">
        <v>0.16650000000000001</v>
      </c>
      <c r="E49" s="35"/>
      <c r="F49" s="35"/>
      <c r="G49" s="35"/>
      <c r="H49" s="35"/>
      <c r="I49" s="35"/>
      <c r="J49" s="29"/>
      <c r="N49" s="29"/>
      <c r="O49" s="29"/>
      <c r="P49" s="29"/>
      <c r="Q49" s="29"/>
      <c r="R49" s="29"/>
      <c r="S49" s="29"/>
      <c r="T49" s="29"/>
      <c r="U49" s="29"/>
      <c r="V49" s="29"/>
      <c r="W49" s="29"/>
      <c r="X49" s="29"/>
      <c r="Y49" s="29"/>
      <c r="Z49" s="29"/>
      <c r="AA49" s="29"/>
      <c r="AB49" s="29"/>
      <c r="AC49" s="29"/>
      <c r="AD49" s="29"/>
      <c r="AE49" s="29"/>
      <c r="AF49" s="29"/>
      <c r="AG49" s="29"/>
    </row>
    <row r="50" spans="2:33" ht="15" x14ac:dyDescent="0.25">
      <c r="B50" s="41" t="s">
        <v>125</v>
      </c>
      <c r="C50" s="43">
        <v>104</v>
      </c>
      <c r="D50" s="44">
        <v>6.9599999999999995E-2</v>
      </c>
      <c r="E50" s="35"/>
      <c r="F50" s="35"/>
      <c r="G50" s="35"/>
      <c r="H50" s="35"/>
      <c r="I50" s="35"/>
      <c r="J50" s="29"/>
      <c r="N50" s="29"/>
      <c r="O50" s="29"/>
      <c r="P50" s="29"/>
      <c r="Q50" s="29"/>
      <c r="R50" s="29"/>
      <c r="S50" s="29"/>
      <c r="T50" s="29"/>
      <c r="U50" s="29"/>
      <c r="V50" s="29"/>
      <c r="W50" s="29"/>
      <c r="X50" s="29"/>
      <c r="Y50" s="29"/>
      <c r="Z50" s="29"/>
      <c r="AA50" s="29"/>
      <c r="AB50" s="29"/>
      <c r="AC50" s="29"/>
      <c r="AD50" s="29"/>
      <c r="AE50" s="29"/>
      <c r="AF50" s="29"/>
      <c r="AG50" s="29"/>
    </row>
    <row r="51" spans="2:33" ht="15" x14ac:dyDescent="0.25">
      <c r="B51" s="41" t="s">
        <v>119</v>
      </c>
      <c r="C51" s="43">
        <v>103</v>
      </c>
      <c r="D51" s="44">
        <v>4.7399999999999998E-2</v>
      </c>
      <c r="E51" s="35"/>
      <c r="F51" s="35"/>
      <c r="G51" s="35"/>
      <c r="H51" s="35"/>
      <c r="I51" s="35"/>
      <c r="J51" s="29"/>
      <c r="N51" s="29"/>
      <c r="O51" s="29"/>
      <c r="P51" s="29"/>
      <c r="Q51" s="29"/>
      <c r="R51" s="29"/>
      <c r="S51" s="29"/>
      <c r="T51" s="29"/>
      <c r="U51" s="29"/>
      <c r="V51" s="29"/>
      <c r="W51" s="29"/>
      <c r="X51" s="29"/>
      <c r="Y51" s="29"/>
      <c r="Z51" s="29"/>
      <c r="AA51" s="29"/>
      <c r="AB51" s="29"/>
      <c r="AC51" s="29"/>
      <c r="AD51" s="29"/>
      <c r="AE51" s="29"/>
      <c r="AF51" s="29"/>
      <c r="AG51" s="29"/>
    </row>
    <row r="52" spans="2:33" ht="15" x14ac:dyDescent="0.25">
      <c r="B52" s="41" t="s">
        <v>149</v>
      </c>
      <c r="C52" s="43">
        <v>102.5</v>
      </c>
      <c r="D52" s="44">
        <v>0.30802499999999999</v>
      </c>
      <c r="E52" s="35"/>
      <c r="F52" s="35"/>
      <c r="G52" s="35"/>
      <c r="H52" s="35"/>
      <c r="I52" s="35"/>
      <c r="J52" s="29"/>
      <c r="N52" s="29"/>
      <c r="O52" s="29"/>
      <c r="P52" s="29"/>
      <c r="Q52" s="29"/>
      <c r="R52" s="29"/>
      <c r="S52" s="29"/>
      <c r="T52" s="29"/>
      <c r="U52" s="29"/>
      <c r="V52" s="29"/>
      <c r="W52" s="29"/>
      <c r="X52" s="29"/>
      <c r="Y52" s="29"/>
      <c r="Z52" s="29"/>
      <c r="AA52" s="29"/>
      <c r="AB52" s="29"/>
      <c r="AC52" s="29"/>
      <c r="AD52" s="29"/>
      <c r="AE52" s="29"/>
      <c r="AF52" s="29"/>
      <c r="AG52" s="29"/>
    </row>
    <row r="53" spans="2:33" ht="15" x14ac:dyDescent="0.25">
      <c r="B53" s="41" t="s">
        <v>10</v>
      </c>
      <c r="C53" s="43">
        <v>102</v>
      </c>
      <c r="D53" s="44">
        <v>0.33577499999999999</v>
      </c>
      <c r="E53" s="35"/>
      <c r="F53" s="35"/>
      <c r="G53" s="35"/>
      <c r="H53" s="35"/>
      <c r="I53" s="35"/>
      <c r="J53" s="29"/>
      <c r="N53" s="29"/>
      <c r="O53" s="29"/>
      <c r="P53" s="29"/>
      <c r="Q53" s="29"/>
      <c r="R53" s="29"/>
      <c r="S53" s="29"/>
      <c r="T53" s="29"/>
      <c r="U53" s="29"/>
      <c r="V53" s="29"/>
      <c r="W53" s="29"/>
      <c r="X53" s="29"/>
      <c r="Y53" s="29"/>
      <c r="Z53" s="29"/>
      <c r="AA53" s="29"/>
      <c r="AB53" s="29"/>
      <c r="AC53" s="29"/>
      <c r="AD53" s="29"/>
      <c r="AE53" s="29"/>
      <c r="AF53" s="29"/>
      <c r="AG53" s="29"/>
    </row>
    <row r="54" spans="2:33" ht="15" x14ac:dyDescent="0.25">
      <c r="B54" s="41" t="s">
        <v>152</v>
      </c>
      <c r="C54" s="43">
        <v>101.25</v>
      </c>
      <c r="D54" s="44">
        <v>0.33427499999999999</v>
      </c>
      <c r="E54" s="35"/>
      <c r="F54" s="35"/>
      <c r="G54" s="35"/>
      <c r="H54" s="35"/>
      <c r="I54" s="35"/>
      <c r="J54" s="29"/>
      <c r="N54" s="29"/>
      <c r="O54" s="29"/>
      <c r="P54" s="29"/>
      <c r="Q54" s="29"/>
      <c r="R54" s="29"/>
      <c r="S54" s="29"/>
      <c r="T54" s="29"/>
      <c r="U54" s="29"/>
      <c r="V54" s="29"/>
      <c r="W54" s="29"/>
      <c r="X54" s="29"/>
      <c r="Y54" s="29"/>
      <c r="Z54" s="29"/>
      <c r="AA54" s="29"/>
      <c r="AB54" s="29"/>
      <c r="AC54" s="29"/>
      <c r="AD54" s="29"/>
      <c r="AE54" s="29"/>
      <c r="AF54" s="29"/>
      <c r="AG54" s="29"/>
    </row>
    <row r="55" spans="2:33" ht="15" x14ac:dyDescent="0.25">
      <c r="B55" s="41" t="s">
        <v>5</v>
      </c>
      <c r="C55" s="43">
        <v>101.25</v>
      </c>
      <c r="D55" s="44">
        <v>0.376975</v>
      </c>
      <c r="E55" s="35"/>
      <c r="F55" s="35"/>
      <c r="G55" s="35"/>
      <c r="H55" s="35"/>
      <c r="I55" s="35"/>
      <c r="J55" s="29"/>
      <c r="N55" s="29"/>
      <c r="O55" s="29"/>
      <c r="P55" s="29"/>
      <c r="Q55" s="29"/>
      <c r="R55" s="29"/>
      <c r="S55" s="29"/>
      <c r="T55" s="29"/>
      <c r="U55" s="29"/>
      <c r="V55" s="29"/>
      <c r="W55" s="29"/>
      <c r="X55" s="29"/>
      <c r="Y55" s="29"/>
      <c r="Z55" s="29"/>
      <c r="AA55" s="29"/>
      <c r="AB55" s="29"/>
      <c r="AC55" s="29"/>
      <c r="AD55" s="29"/>
      <c r="AE55" s="29"/>
      <c r="AF55" s="29"/>
      <c r="AG55" s="29"/>
    </row>
    <row r="56" spans="2:33" ht="15" x14ac:dyDescent="0.25">
      <c r="B56" s="41" t="s">
        <v>144</v>
      </c>
      <c r="C56" s="43">
        <v>100.5</v>
      </c>
      <c r="D56" s="44">
        <v>0.219275</v>
      </c>
      <c r="E56" s="35"/>
      <c r="F56" s="35"/>
      <c r="G56" s="35"/>
      <c r="H56" s="35"/>
      <c r="I56" s="35"/>
      <c r="J56" s="29"/>
      <c r="N56" s="29"/>
      <c r="O56" s="29"/>
      <c r="P56" s="29"/>
      <c r="Q56" s="29"/>
      <c r="R56" s="29"/>
      <c r="S56" s="29"/>
      <c r="T56" s="29"/>
      <c r="U56" s="29"/>
      <c r="V56" s="29"/>
      <c r="W56" s="29"/>
      <c r="X56" s="29"/>
      <c r="Y56" s="29"/>
      <c r="Z56" s="29"/>
      <c r="AA56" s="29"/>
      <c r="AB56" s="29"/>
      <c r="AC56" s="29"/>
      <c r="AD56" s="29"/>
      <c r="AE56" s="29"/>
      <c r="AF56" s="29"/>
      <c r="AG56" s="29"/>
    </row>
    <row r="57" spans="2:33" ht="15" x14ac:dyDescent="0.25">
      <c r="B57" s="41" t="s">
        <v>159</v>
      </c>
      <c r="C57" s="43">
        <v>100</v>
      </c>
      <c r="D57" s="44">
        <v>0.29530000000000001</v>
      </c>
      <c r="E57" s="35"/>
      <c r="F57" s="35"/>
      <c r="G57" s="35"/>
      <c r="H57" s="35"/>
      <c r="I57" s="35"/>
      <c r="J57" s="29"/>
      <c r="N57" s="29"/>
      <c r="O57" s="29"/>
      <c r="P57" s="29"/>
      <c r="Q57" s="29"/>
      <c r="R57" s="29"/>
      <c r="S57" s="29"/>
      <c r="T57" s="29"/>
      <c r="U57" s="29"/>
      <c r="V57" s="29"/>
      <c r="W57" s="29"/>
      <c r="X57" s="29"/>
      <c r="Y57" s="29"/>
      <c r="Z57" s="29"/>
      <c r="AA57" s="29"/>
      <c r="AB57" s="29"/>
      <c r="AC57" s="29"/>
      <c r="AD57" s="29"/>
      <c r="AE57" s="29"/>
      <c r="AF57" s="29"/>
      <c r="AG57" s="29"/>
    </row>
    <row r="58" spans="2:33" ht="15" x14ac:dyDescent="0.25">
      <c r="B58" s="41" t="s">
        <v>179</v>
      </c>
      <c r="C58" s="43">
        <v>98.25</v>
      </c>
      <c r="D58" s="44">
        <v>0.41102499999999997</v>
      </c>
      <c r="E58" s="35"/>
      <c r="F58" s="35"/>
      <c r="G58" s="35"/>
      <c r="H58" s="35"/>
      <c r="I58" s="35"/>
      <c r="J58" s="29"/>
      <c r="N58" s="29"/>
      <c r="O58" s="29"/>
      <c r="P58" s="29"/>
      <c r="Q58" s="29"/>
      <c r="R58" s="29"/>
      <c r="S58" s="29"/>
      <c r="T58" s="29"/>
      <c r="U58" s="29"/>
      <c r="V58" s="29"/>
      <c r="W58" s="29"/>
      <c r="X58" s="29"/>
      <c r="Y58" s="29"/>
      <c r="Z58" s="29"/>
      <c r="AA58" s="29"/>
      <c r="AB58" s="29"/>
      <c r="AC58" s="29"/>
      <c r="AD58" s="29"/>
      <c r="AE58" s="29"/>
      <c r="AF58" s="29"/>
      <c r="AG58" s="29"/>
    </row>
    <row r="59" spans="2:33" ht="15" x14ac:dyDescent="0.25">
      <c r="B59" s="41" t="s">
        <v>210</v>
      </c>
      <c r="C59" s="43">
        <v>98</v>
      </c>
      <c r="D59" s="44">
        <v>0.26840000000000003</v>
      </c>
      <c r="E59" s="35"/>
      <c r="F59" s="35"/>
      <c r="G59" s="35"/>
      <c r="H59" s="35"/>
      <c r="I59" s="35"/>
      <c r="J59" s="29"/>
      <c r="N59" s="29"/>
      <c r="O59" s="29"/>
      <c r="P59" s="29"/>
      <c r="Q59" s="29"/>
      <c r="R59" s="29"/>
      <c r="S59" s="29"/>
      <c r="T59" s="29"/>
      <c r="U59" s="29"/>
      <c r="V59" s="29"/>
      <c r="W59" s="29"/>
      <c r="X59" s="29"/>
      <c r="Y59" s="29"/>
      <c r="Z59" s="29"/>
      <c r="AA59" s="29"/>
      <c r="AB59" s="29"/>
      <c r="AC59" s="29"/>
      <c r="AD59" s="29"/>
      <c r="AE59" s="29"/>
      <c r="AF59" s="29"/>
      <c r="AG59" s="29"/>
    </row>
    <row r="60" spans="2:33" ht="15" x14ac:dyDescent="0.25">
      <c r="B60" s="41" t="s">
        <v>124</v>
      </c>
      <c r="C60" s="43">
        <v>98</v>
      </c>
      <c r="D60" s="44">
        <v>5.6399999999999999E-2</v>
      </c>
      <c r="E60" s="35"/>
      <c r="F60" s="35"/>
      <c r="G60" s="35"/>
      <c r="H60" s="35"/>
      <c r="I60" s="35"/>
      <c r="J60" s="29"/>
      <c r="N60" s="29"/>
      <c r="O60" s="29"/>
      <c r="P60" s="29"/>
      <c r="Q60" s="29"/>
      <c r="R60" s="29"/>
      <c r="S60" s="29"/>
      <c r="T60" s="29"/>
      <c r="U60" s="29"/>
      <c r="V60" s="29"/>
      <c r="W60" s="29"/>
      <c r="X60" s="29"/>
      <c r="Y60" s="29"/>
      <c r="Z60" s="29"/>
      <c r="AA60" s="29"/>
      <c r="AB60" s="29"/>
      <c r="AC60" s="29"/>
      <c r="AD60" s="29"/>
      <c r="AE60" s="29"/>
      <c r="AF60" s="29"/>
      <c r="AG60" s="29"/>
    </row>
    <row r="61" spans="2:33" ht="15" x14ac:dyDescent="0.25">
      <c r="B61" s="41" t="s">
        <v>72</v>
      </c>
      <c r="C61" s="43">
        <v>97.5</v>
      </c>
      <c r="D61" s="44">
        <v>0.30559999999999998</v>
      </c>
      <c r="E61" s="35"/>
      <c r="F61" s="35"/>
      <c r="G61" s="35"/>
      <c r="H61" s="35"/>
      <c r="I61" s="35"/>
      <c r="J61" s="29"/>
      <c r="N61" s="29"/>
      <c r="O61" s="29"/>
      <c r="P61" s="29"/>
      <c r="Q61" s="29"/>
      <c r="R61" s="29"/>
      <c r="S61" s="29"/>
      <c r="T61" s="29"/>
      <c r="U61" s="29"/>
      <c r="V61" s="29"/>
      <c r="W61" s="29"/>
      <c r="X61" s="29"/>
      <c r="Y61" s="29"/>
      <c r="Z61" s="29"/>
      <c r="AA61" s="29"/>
      <c r="AB61" s="29"/>
      <c r="AC61" s="29"/>
      <c r="AD61" s="29"/>
      <c r="AE61" s="29"/>
      <c r="AF61" s="29"/>
      <c r="AG61" s="29"/>
    </row>
    <row r="62" spans="2:33" ht="15" x14ac:dyDescent="0.25">
      <c r="B62" s="41" t="s">
        <v>16</v>
      </c>
      <c r="C62" s="43">
        <v>97</v>
      </c>
      <c r="D62" s="44">
        <v>0.28015000000000001</v>
      </c>
      <c r="E62" s="35"/>
      <c r="F62" s="35"/>
      <c r="G62" s="35"/>
      <c r="H62" s="35"/>
      <c r="I62" s="35"/>
      <c r="J62" s="29"/>
      <c r="N62" s="29"/>
      <c r="O62" s="29"/>
      <c r="P62" s="29"/>
      <c r="Q62" s="29"/>
      <c r="R62" s="29"/>
      <c r="S62" s="29"/>
      <c r="T62" s="29"/>
      <c r="U62" s="29"/>
      <c r="V62" s="29"/>
      <c r="W62" s="29"/>
      <c r="X62" s="29"/>
      <c r="Y62" s="29"/>
      <c r="Z62" s="29"/>
      <c r="AA62" s="29"/>
      <c r="AB62" s="29"/>
      <c r="AC62" s="29"/>
      <c r="AD62" s="29"/>
      <c r="AE62" s="29"/>
      <c r="AF62" s="29"/>
      <c r="AG62" s="29"/>
    </row>
    <row r="63" spans="2:33" ht="15" x14ac:dyDescent="0.25">
      <c r="B63" s="41" t="s">
        <v>153</v>
      </c>
      <c r="C63" s="43">
        <v>96.666666666666671</v>
      </c>
      <c r="D63" s="44">
        <v>9.7200000000000009E-2</v>
      </c>
      <c r="E63" s="35"/>
      <c r="F63" s="35"/>
      <c r="G63" s="35"/>
      <c r="H63" s="35"/>
      <c r="I63" s="35"/>
      <c r="J63" s="29"/>
      <c r="N63" s="29"/>
      <c r="O63" s="29"/>
      <c r="P63" s="29"/>
      <c r="Q63" s="29"/>
      <c r="R63" s="29"/>
      <c r="S63" s="29"/>
      <c r="T63" s="29"/>
      <c r="U63" s="29"/>
      <c r="V63" s="29"/>
      <c r="W63" s="29"/>
      <c r="X63" s="29"/>
      <c r="Y63" s="29"/>
      <c r="Z63" s="29"/>
      <c r="AA63" s="29"/>
      <c r="AB63" s="29"/>
      <c r="AC63" s="29"/>
      <c r="AD63" s="29"/>
      <c r="AE63" s="29"/>
      <c r="AF63" s="29"/>
      <c r="AG63" s="29"/>
    </row>
    <row r="64" spans="2:33" ht="15" x14ac:dyDescent="0.25">
      <c r="B64" s="41" t="s">
        <v>97</v>
      </c>
      <c r="C64" s="43">
        <v>96</v>
      </c>
      <c r="D64" s="44">
        <v>0.21210000000000001</v>
      </c>
      <c r="E64" s="35"/>
      <c r="F64" s="35"/>
      <c r="G64" s="35"/>
      <c r="H64" s="35"/>
      <c r="I64" s="35"/>
      <c r="J64" s="29"/>
      <c r="N64" s="29"/>
      <c r="O64" s="29"/>
      <c r="P64" s="29"/>
      <c r="Q64" s="29"/>
      <c r="R64" s="29"/>
      <c r="S64" s="29"/>
      <c r="T64" s="29"/>
      <c r="U64" s="29"/>
      <c r="V64" s="29"/>
      <c r="W64" s="29"/>
      <c r="X64" s="29"/>
      <c r="Y64" s="29"/>
      <c r="Z64" s="29"/>
      <c r="AA64" s="29"/>
      <c r="AB64" s="29"/>
      <c r="AC64" s="29"/>
      <c r="AD64" s="29"/>
      <c r="AE64" s="29"/>
      <c r="AF64" s="29"/>
      <c r="AG64" s="29"/>
    </row>
    <row r="65" spans="2:33" ht="15" x14ac:dyDescent="0.25">
      <c r="B65" s="41" t="s">
        <v>170</v>
      </c>
      <c r="C65" s="43">
        <v>94.25</v>
      </c>
      <c r="D65" s="44">
        <v>0.2019</v>
      </c>
      <c r="E65" s="35"/>
      <c r="F65" s="35"/>
      <c r="G65" s="35"/>
      <c r="H65" s="35"/>
      <c r="I65" s="35"/>
      <c r="J65" s="29"/>
      <c r="N65" s="29"/>
      <c r="O65" s="29"/>
      <c r="P65" s="29"/>
      <c r="Q65" s="29"/>
      <c r="R65" s="29"/>
      <c r="S65" s="29"/>
      <c r="T65" s="29"/>
      <c r="U65" s="29"/>
      <c r="V65" s="29"/>
      <c r="W65" s="29"/>
      <c r="X65" s="29"/>
      <c r="Y65" s="29"/>
      <c r="Z65" s="29"/>
      <c r="AA65" s="29"/>
      <c r="AB65" s="29"/>
      <c r="AC65" s="29"/>
      <c r="AD65" s="29"/>
      <c r="AE65" s="29"/>
      <c r="AF65" s="29"/>
      <c r="AG65" s="29"/>
    </row>
    <row r="66" spans="2:33" ht="15" x14ac:dyDescent="0.25">
      <c r="B66" s="41" t="s">
        <v>8</v>
      </c>
      <c r="C66" s="43">
        <v>93.5</v>
      </c>
      <c r="D66" s="44">
        <v>0.28572500000000001</v>
      </c>
      <c r="E66" s="35"/>
      <c r="F66" s="35"/>
      <c r="G66" s="35"/>
      <c r="H66" s="35"/>
      <c r="I66" s="35"/>
      <c r="J66" s="29"/>
      <c r="N66" s="29"/>
      <c r="O66" s="29"/>
      <c r="P66" s="29"/>
      <c r="Q66" s="29"/>
      <c r="R66" s="29"/>
      <c r="S66" s="29"/>
      <c r="T66" s="29"/>
      <c r="U66" s="29"/>
      <c r="V66" s="29"/>
      <c r="W66" s="29"/>
      <c r="X66" s="29"/>
      <c r="Y66" s="29"/>
      <c r="Z66" s="29"/>
      <c r="AA66" s="29"/>
      <c r="AB66" s="29"/>
      <c r="AC66" s="29"/>
      <c r="AD66" s="29"/>
      <c r="AE66" s="29"/>
      <c r="AF66" s="29"/>
      <c r="AG66" s="29"/>
    </row>
    <row r="67" spans="2:33" ht="15" x14ac:dyDescent="0.25">
      <c r="B67" s="41" t="s">
        <v>6</v>
      </c>
      <c r="C67" s="43">
        <v>93.5</v>
      </c>
      <c r="D67" s="44">
        <v>0.47589999999999999</v>
      </c>
      <c r="E67" s="35"/>
      <c r="F67" s="35"/>
      <c r="G67" s="35"/>
      <c r="H67" s="35"/>
      <c r="I67" s="35"/>
      <c r="J67" s="29"/>
      <c r="N67" s="29"/>
      <c r="O67" s="29"/>
      <c r="P67" s="29"/>
      <c r="Q67" s="29"/>
      <c r="R67" s="29"/>
      <c r="S67" s="29"/>
      <c r="T67" s="29"/>
      <c r="U67" s="29"/>
      <c r="V67" s="29"/>
      <c r="W67" s="29"/>
      <c r="X67" s="29"/>
      <c r="Y67" s="29"/>
      <c r="Z67" s="29"/>
      <c r="AA67" s="29"/>
      <c r="AB67" s="29"/>
      <c r="AC67" s="29"/>
      <c r="AD67" s="29"/>
      <c r="AE67" s="29"/>
      <c r="AF67" s="29"/>
      <c r="AG67" s="29"/>
    </row>
    <row r="68" spans="2:33" ht="15" x14ac:dyDescent="0.25">
      <c r="B68" s="41" t="s">
        <v>4</v>
      </c>
      <c r="C68" s="43">
        <v>93.5</v>
      </c>
      <c r="D68" s="44">
        <v>0.40447499999999997</v>
      </c>
      <c r="E68" s="35"/>
      <c r="F68" s="35"/>
      <c r="G68" s="35"/>
      <c r="H68" s="35"/>
      <c r="I68" s="35"/>
      <c r="J68" s="29"/>
      <c r="N68" s="29"/>
      <c r="O68" s="29"/>
      <c r="P68" s="29"/>
      <c r="Q68" s="29"/>
      <c r="R68" s="29"/>
      <c r="S68" s="29"/>
      <c r="T68" s="29"/>
      <c r="U68" s="29"/>
      <c r="V68" s="29"/>
      <c r="W68" s="29"/>
      <c r="X68" s="29"/>
      <c r="Y68" s="29"/>
      <c r="Z68" s="29"/>
      <c r="AA68" s="29"/>
      <c r="AB68" s="29"/>
      <c r="AC68" s="29"/>
      <c r="AD68" s="29"/>
      <c r="AE68" s="29"/>
      <c r="AF68" s="29"/>
      <c r="AG68" s="29"/>
    </row>
    <row r="69" spans="2:33" ht="15" x14ac:dyDescent="0.25">
      <c r="B69" s="41" t="s">
        <v>182</v>
      </c>
      <c r="C69" s="43">
        <v>93.25</v>
      </c>
      <c r="D69" s="44">
        <v>0.28507499999999997</v>
      </c>
      <c r="E69" s="35"/>
      <c r="F69" s="35"/>
      <c r="G69" s="35"/>
      <c r="H69" s="35"/>
      <c r="I69" s="35"/>
      <c r="J69" s="29"/>
      <c r="N69" s="29"/>
      <c r="O69" s="29"/>
      <c r="P69" s="29"/>
      <c r="Q69" s="29"/>
      <c r="R69" s="29"/>
      <c r="S69" s="29"/>
      <c r="T69" s="29"/>
      <c r="U69" s="29"/>
      <c r="V69" s="29"/>
      <c r="W69" s="29"/>
      <c r="X69" s="29"/>
      <c r="Y69" s="29"/>
      <c r="Z69" s="29"/>
      <c r="AA69" s="29"/>
      <c r="AB69" s="29"/>
      <c r="AC69" s="29"/>
      <c r="AD69" s="29"/>
      <c r="AE69" s="29"/>
      <c r="AF69" s="29"/>
      <c r="AG69" s="29"/>
    </row>
    <row r="70" spans="2:33" ht="15" x14ac:dyDescent="0.25">
      <c r="B70" s="41" t="s">
        <v>178</v>
      </c>
      <c r="C70" s="43">
        <v>91.75</v>
      </c>
      <c r="D70" s="44">
        <v>0.26155</v>
      </c>
      <c r="E70" s="35"/>
      <c r="F70" s="35"/>
      <c r="G70" s="35"/>
      <c r="H70" s="35"/>
      <c r="I70" s="35"/>
      <c r="J70" s="29"/>
      <c r="N70" s="29"/>
      <c r="O70" s="29"/>
      <c r="P70" s="29"/>
      <c r="Q70" s="29"/>
      <c r="R70" s="29"/>
      <c r="S70" s="29"/>
      <c r="T70" s="29"/>
      <c r="U70" s="29"/>
      <c r="V70" s="29"/>
      <c r="W70" s="29"/>
      <c r="X70" s="29"/>
      <c r="Y70" s="29"/>
      <c r="Z70" s="29"/>
      <c r="AA70" s="29"/>
      <c r="AB70" s="29"/>
      <c r="AC70" s="29"/>
      <c r="AD70" s="29"/>
      <c r="AE70" s="29"/>
      <c r="AF70" s="29"/>
      <c r="AG70" s="29"/>
    </row>
    <row r="71" spans="2:33" ht="15" x14ac:dyDescent="0.25">
      <c r="B71" s="41" t="s">
        <v>19</v>
      </c>
      <c r="C71" s="43">
        <v>91.5</v>
      </c>
      <c r="D71" s="44">
        <v>0.40474999999999994</v>
      </c>
      <c r="E71" s="35"/>
      <c r="F71" s="35"/>
      <c r="G71" s="35"/>
      <c r="H71" s="35"/>
      <c r="I71" s="35"/>
      <c r="J71" s="29"/>
      <c r="N71" s="29"/>
      <c r="O71" s="29"/>
      <c r="P71" s="29"/>
      <c r="Q71" s="29"/>
      <c r="R71" s="29"/>
      <c r="S71" s="29"/>
      <c r="T71" s="29"/>
      <c r="U71" s="29"/>
      <c r="V71" s="29"/>
      <c r="W71" s="29"/>
      <c r="X71" s="29"/>
      <c r="Y71" s="29"/>
      <c r="Z71" s="29"/>
      <c r="AA71" s="29"/>
      <c r="AB71" s="29"/>
      <c r="AC71" s="29"/>
      <c r="AD71" s="29"/>
      <c r="AE71" s="29"/>
      <c r="AF71" s="29"/>
      <c r="AG71" s="29"/>
    </row>
    <row r="72" spans="2:33" ht="15" x14ac:dyDescent="0.25">
      <c r="B72" s="41" t="s">
        <v>146</v>
      </c>
      <c r="C72" s="43">
        <v>91</v>
      </c>
      <c r="D72" s="44">
        <v>0.21496666666666667</v>
      </c>
      <c r="E72" s="35"/>
      <c r="F72" s="35"/>
      <c r="G72" s="35"/>
      <c r="H72" s="35"/>
      <c r="I72" s="35"/>
      <c r="J72" s="29"/>
      <c r="N72" s="29"/>
      <c r="O72" s="29"/>
      <c r="P72" s="29"/>
      <c r="Q72" s="29"/>
      <c r="R72" s="29"/>
      <c r="S72" s="29"/>
      <c r="T72" s="29"/>
      <c r="U72" s="29"/>
      <c r="V72" s="29"/>
      <c r="W72" s="29"/>
      <c r="X72" s="29"/>
      <c r="Y72" s="29"/>
      <c r="Z72" s="29"/>
      <c r="AA72" s="29"/>
      <c r="AB72" s="29"/>
      <c r="AC72" s="29"/>
      <c r="AD72" s="29"/>
      <c r="AE72" s="29"/>
      <c r="AF72" s="29"/>
      <c r="AG72" s="29"/>
    </row>
    <row r="73" spans="2:33" ht="15" x14ac:dyDescent="0.25">
      <c r="B73" s="41" t="s">
        <v>208</v>
      </c>
      <c r="C73" s="43">
        <v>91</v>
      </c>
      <c r="D73" s="44">
        <v>0.85089999999999999</v>
      </c>
      <c r="E73" s="35"/>
      <c r="F73" s="35"/>
      <c r="G73" s="35"/>
      <c r="H73" s="35"/>
      <c r="I73" s="35"/>
      <c r="J73" s="29"/>
      <c r="N73" s="29"/>
      <c r="O73" s="29"/>
      <c r="P73" s="29"/>
      <c r="Q73" s="29"/>
      <c r="R73" s="29"/>
      <c r="S73" s="29"/>
      <c r="T73" s="29"/>
      <c r="U73" s="29"/>
      <c r="V73" s="29"/>
      <c r="W73" s="29"/>
      <c r="X73" s="29"/>
      <c r="Y73" s="29"/>
      <c r="Z73" s="29"/>
      <c r="AA73" s="29"/>
      <c r="AB73" s="29"/>
      <c r="AC73" s="29"/>
      <c r="AD73" s="29"/>
      <c r="AE73" s="29"/>
      <c r="AF73" s="29"/>
      <c r="AG73" s="29"/>
    </row>
    <row r="74" spans="2:33" ht="15" x14ac:dyDescent="0.25">
      <c r="B74" s="41" t="s">
        <v>15</v>
      </c>
      <c r="C74" s="43">
        <v>91</v>
      </c>
      <c r="D74" s="44">
        <v>0.21760000000000002</v>
      </c>
      <c r="E74" s="35"/>
      <c r="F74" s="35"/>
      <c r="G74" s="35"/>
      <c r="H74" s="35"/>
      <c r="I74" s="35"/>
      <c r="J74" s="29"/>
      <c r="N74" s="29"/>
      <c r="O74" s="29"/>
      <c r="P74" s="29"/>
      <c r="Q74" s="29"/>
      <c r="R74" s="29"/>
      <c r="S74" s="29"/>
      <c r="T74" s="29"/>
      <c r="U74" s="29"/>
      <c r="V74" s="29"/>
      <c r="W74" s="29"/>
      <c r="X74" s="29"/>
      <c r="Y74" s="29"/>
      <c r="Z74" s="29"/>
      <c r="AA74" s="29"/>
      <c r="AB74" s="29"/>
      <c r="AC74" s="29"/>
      <c r="AD74" s="29"/>
      <c r="AE74" s="29"/>
      <c r="AF74" s="29"/>
      <c r="AG74" s="29"/>
    </row>
    <row r="75" spans="2:33" ht="15" x14ac:dyDescent="0.25">
      <c r="B75" s="41" t="s">
        <v>163</v>
      </c>
      <c r="C75" s="43">
        <v>90</v>
      </c>
      <c r="D75" s="44">
        <v>0.14752499999999999</v>
      </c>
      <c r="E75" s="35"/>
      <c r="F75" s="35"/>
      <c r="G75" s="35"/>
      <c r="H75" s="35"/>
      <c r="I75" s="35"/>
      <c r="J75" s="29"/>
      <c r="N75" s="29"/>
      <c r="O75" s="29"/>
      <c r="P75" s="29"/>
      <c r="Q75" s="29"/>
      <c r="R75" s="29"/>
      <c r="S75" s="29"/>
      <c r="T75" s="29"/>
      <c r="U75" s="29"/>
      <c r="V75" s="29"/>
      <c r="W75" s="29"/>
      <c r="X75" s="29"/>
      <c r="Y75" s="29"/>
      <c r="Z75" s="29"/>
      <c r="AA75" s="29"/>
      <c r="AB75" s="29"/>
      <c r="AC75" s="29"/>
      <c r="AD75" s="29"/>
      <c r="AE75" s="29"/>
      <c r="AF75" s="29"/>
      <c r="AG75" s="29"/>
    </row>
    <row r="76" spans="2:33" ht="15" x14ac:dyDescent="0.25">
      <c r="B76" s="41" t="s">
        <v>133</v>
      </c>
      <c r="C76" s="43">
        <v>90</v>
      </c>
      <c r="D76" s="44">
        <v>6.3700000000000007E-2</v>
      </c>
      <c r="E76" s="35"/>
      <c r="F76" s="35"/>
      <c r="G76" s="35"/>
      <c r="H76" s="35"/>
      <c r="I76" s="35"/>
      <c r="J76" s="29"/>
      <c r="N76" s="29"/>
      <c r="O76" s="29"/>
      <c r="P76" s="29"/>
      <c r="Q76" s="29"/>
      <c r="R76" s="29"/>
      <c r="S76" s="29"/>
      <c r="T76" s="29"/>
      <c r="U76" s="29"/>
      <c r="V76" s="29"/>
      <c r="W76" s="29"/>
      <c r="X76" s="29"/>
      <c r="Y76" s="29"/>
      <c r="Z76" s="29"/>
      <c r="AA76" s="29"/>
      <c r="AB76" s="29"/>
      <c r="AC76" s="29"/>
      <c r="AD76" s="29"/>
      <c r="AE76" s="29"/>
      <c r="AF76" s="29"/>
      <c r="AG76" s="29"/>
    </row>
    <row r="77" spans="2:33" ht="15" x14ac:dyDescent="0.25">
      <c r="B77" s="41" t="s">
        <v>123</v>
      </c>
      <c r="C77" s="43">
        <v>89.5</v>
      </c>
      <c r="D77" s="44">
        <v>0.33750000000000002</v>
      </c>
      <c r="E77" s="35"/>
      <c r="F77" s="35"/>
      <c r="G77" s="35"/>
      <c r="H77" s="35"/>
      <c r="I77" s="35"/>
      <c r="J77" s="29"/>
      <c r="N77" s="29"/>
      <c r="O77" s="29"/>
      <c r="P77" s="29"/>
      <c r="Q77" s="29"/>
      <c r="R77" s="29"/>
      <c r="S77" s="29"/>
      <c r="T77" s="29"/>
      <c r="U77" s="29"/>
      <c r="V77" s="29"/>
      <c r="W77" s="29"/>
      <c r="X77" s="29"/>
      <c r="Y77" s="29"/>
      <c r="Z77" s="29"/>
      <c r="AA77" s="29"/>
      <c r="AB77" s="29"/>
      <c r="AC77" s="29"/>
      <c r="AD77" s="29"/>
      <c r="AE77" s="29"/>
      <c r="AF77" s="29"/>
      <c r="AG77" s="29"/>
    </row>
    <row r="78" spans="2:33" ht="15" x14ac:dyDescent="0.25">
      <c r="B78" s="41" t="s">
        <v>155</v>
      </c>
      <c r="C78" s="43">
        <v>89.5</v>
      </c>
      <c r="D78" s="44">
        <v>0.23664999999999997</v>
      </c>
      <c r="E78" s="35"/>
      <c r="F78" s="35"/>
      <c r="G78" s="35"/>
      <c r="H78" s="35"/>
      <c r="I78" s="35"/>
      <c r="J78" s="29"/>
      <c r="N78" s="29"/>
      <c r="O78" s="29"/>
      <c r="P78" s="29"/>
      <c r="Q78" s="29"/>
      <c r="R78" s="29"/>
      <c r="S78" s="29"/>
      <c r="T78" s="29"/>
      <c r="U78" s="29"/>
      <c r="V78" s="29"/>
      <c r="W78" s="29"/>
      <c r="X78" s="29"/>
      <c r="Y78" s="29"/>
      <c r="Z78" s="29"/>
      <c r="AA78" s="29"/>
      <c r="AB78" s="29"/>
      <c r="AC78" s="29"/>
      <c r="AD78" s="29"/>
      <c r="AE78" s="29"/>
      <c r="AF78" s="29"/>
      <c r="AG78" s="29"/>
    </row>
    <row r="79" spans="2:33" ht="15" x14ac:dyDescent="0.25">
      <c r="B79" s="41" t="s">
        <v>187</v>
      </c>
      <c r="C79" s="43">
        <v>89.25</v>
      </c>
      <c r="D79" s="44">
        <v>0.23965</v>
      </c>
      <c r="E79" s="35"/>
      <c r="F79" s="35"/>
      <c r="G79" s="35"/>
      <c r="H79" s="35"/>
      <c r="I79" s="35"/>
      <c r="J79" s="29"/>
      <c r="N79" s="29"/>
      <c r="O79" s="29"/>
      <c r="P79" s="29"/>
      <c r="Q79" s="29"/>
      <c r="R79" s="29"/>
      <c r="S79" s="29"/>
      <c r="T79" s="29"/>
      <c r="U79" s="29"/>
      <c r="V79" s="29"/>
      <c r="W79" s="29"/>
      <c r="X79" s="29"/>
      <c r="Y79" s="29"/>
      <c r="Z79" s="29"/>
      <c r="AA79" s="29"/>
      <c r="AB79" s="29"/>
      <c r="AC79" s="29"/>
      <c r="AD79" s="29"/>
      <c r="AE79" s="29"/>
      <c r="AF79" s="29"/>
      <c r="AG79" s="29"/>
    </row>
    <row r="80" spans="2:33" ht="15" x14ac:dyDescent="0.25">
      <c r="B80" s="41" t="s">
        <v>7</v>
      </c>
      <c r="C80" s="43">
        <v>89</v>
      </c>
      <c r="D80" s="44">
        <v>0.22939999999999999</v>
      </c>
      <c r="E80" s="35"/>
      <c r="F80" s="35"/>
      <c r="G80" s="35"/>
      <c r="H80" s="35"/>
      <c r="I80" s="35"/>
      <c r="J80" s="29"/>
      <c r="N80" s="29"/>
      <c r="O80" s="29"/>
      <c r="P80" s="29"/>
      <c r="Q80" s="29"/>
      <c r="R80" s="29"/>
      <c r="S80" s="29"/>
      <c r="T80" s="29"/>
      <c r="U80" s="29"/>
      <c r="V80" s="29"/>
      <c r="W80" s="29"/>
      <c r="X80" s="29"/>
      <c r="Y80" s="29"/>
      <c r="Z80" s="29"/>
      <c r="AA80" s="29"/>
      <c r="AB80" s="29"/>
      <c r="AC80" s="29"/>
      <c r="AD80" s="29"/>
      <c r="AE80" s="29"/>
      <c r="AF80" s="29"/>
      <c r="AG80" s="29"/>
    </row>
    <row r="81" spans="2:26" ht="15" x14ac:dyDescent="0.25">
      <c r="B81" s="41" t="s">
        <v>150</v>
      </c>
      <c r="C81" s="43">
        <v>89</v>
      </c>
      <c r="D81" s="44">
        <v>3.2599999999999997E-2</v>
      </c>
      <c r="E81" s="35"/>
      <c r="F81" s="35"/>
      <c r="G81" s="35"/>
      <c r="H81" s="35"/>
      <c r="I81" s="35"/>
      <c r="J81" s="29"/>
      <c r="N81" s="29"/>
      <c r="O81" s="29"/>
      <c r="P81" s="29"/>
      <c r="Q81" s="29"/>
      <c r="R81" s="29"/>
      <c r="S81" s="29"/>
      <c r="T81" s="29"/>
      <c r="U81" s="29"/>
      <c r="V81" s="29"/>
      <c r="W81" s="29"/>
      <c r="X81" s="29"/>
      <c r="Y81" s="29"/>
      <c r="Z81" s="29"/>
    </row>
    <row r="82" spans="2:26" ht="15" x14ac:dyDescent="0.25">
      <c r="B82" s="41" t="s">
        <v>11</v>
      </c>
      <c r="C82" s="43">
        <v>88.5</v>
      </c>
      <c r="D82" s="44">
        <v>0.37280000000000002</v>
      </c>
      <c r="E82" s="35"/>
      <c r="F82" s="35"/>
      <c r="G82" s="35"/>
      <c r="H82" s="35"/>
      <c r="I82" s="35"/>
      <c r="J82" s="29"/>
      <c r="N82" s="29"/>
      <c r="O82" s="29"/>
      <c r="P82" s="29"/>
      <c r="Q82" s="29"/>
      <c r="R82" s="29"/>
      <c r="S82" s="29"/>
      <c r="T82" s="29"/>
      <c r="U82" s="29"/>
      <c r="V82" s="29"/>
      <c r="W82" s="29"/>
      <c r="X82" s="29"/>
      <c r="Y82" s="29"/>
      <c r="Z82" s="29"/>
    </row>
    <row r="83" spans="2:26" ht="15" x14ac:dyDescent="0.25">
      <c r="B83" s="41" t="s">
        <v>167</v>
      </c>
      <c r="C83" s="43">
        <v>87.75</v>
      </c>
      <c r="D83" s="44">
        <v>0.18329999999999999</v>
      </c>
      <c r="E83" s="35"/>
      <c r="F83" s="35"/>
      <c r="G83" s="35"/>
      <c r="H83" s="35"/>
      <c r="I83" s="35"/>
      <c r="J83" s="29"/>
      <c r="N83" s="29"/>
      <c r="O83" s="29"/>
      <c r="P83" s="29"/>
      <c r="Q83" s="29"/>
      <c r="R83" s="29"/>
      <c r="S83" s="29"/>
      <c r="T83" s="29"/>
      <c r="U83" s="29"/>
      <c r="V83" s="29"/>
      <c r="W83" s="29"/>
      <c r="X83" s="29"/>
      <c r="Y83" s="29"/>
      <c r="Z83" s="29"/>
    </row>
    <row r="84" spans="2:26" ht="15" x14ac:dyDescent="0.25">
      <c r="B84" s="41" t="s">
        <v>132</v>
      </c>
      <c r="C84" s="43">
        <v>86.5</v>
      </c>
      <c r="D84" s="44">
        <v>0.23285</v>
      </c>
      <c r="E84" s="35"/>
      <c r="F84" s="35"/>
      <c r="G84" s="35"/>
      <c r="H84" s="35"/>
      <c r="I84" s="35"/>
      <c r="J84" s="29"/>
      <c r="N84" s="29"/>
      <c r="O84" s="29"/>
      <c r="P84" s="29"/>
      <c r="Q84" s="29"/>
      <c r="R84" s="29"/>
      <c r="S84" s="29"/>
      <c r="T84" s="29"/>
      <c r="U84" s="29"/>
      <c r="V84" s="29"/>
      <c r="W84" s="29"/>
      <c r="X84" s="29"/>
      <c r="Y84" s="29"/>
      <c r="Z84" s="29"/>
    </row>
    <row r="85" spans="2:26" ht="15" x14ac:dyDescent="0.25">
      <c r="B85" s="41" t="s">
        <v>104</v>
      </c>
      <c r="C85" s="43">
        <v>85</v>
      </c>
      <c r="D85" s="44">
        <v>0.26465</v>
      </c>
      <c r="E85" s="35"/>
      <c r="F85" s="35"/>
      <c r="G85" s="35"/>
      <c r="H85" s="35"/>
      <c r="I85" s="35"/>
      <c r="J85" s="29"/>
      <c r="N85" s="29"/>
      <c r="O85" s="29"/>
      <c r="P85" s="29"/>
      <c r="Q85" s="29"/>
      <c r="R85" s="29"/>
      <c r="S85" s="29"/>
      <c r="T85" s="29"/>
      <c r="U85" s="29"/>
      <c r="V85" s="29"/>
      <c r="W85" s="29"/>
      <c r="X85" s="29"/>
      <c r="Y85" s="29"/>
      <c r="Z85" s="29"/>
    </row>
    <row r="86" spans="2:26" ht="15" x14ac:dyDescent="0.25">
      <c r="B86" s="41" t="s">
        <v>103</v>
      </c>
      <c r="C86" s="43">
        <v>83</v>
      </c>
      <c r="D86" s="44">
        <v>3.0499999999999999E-2</v>
      </c>
      <c r="E86" s="35"/>
      <c r="F86" s="35"/>
      <c r="G86" s="35"/>
      <c r="H86" s="35"/>
      <c r="I86" s="35"/>
      <c r="J86" s="29"/>
      <c r="N86" s="29"/>
      <c r="O86" s="29"/>
      <c r="P86" s="29"/>
      <c r="Q86" s="29"/>
      <c r="R86" s="29"/>
      <c r="S86" s="29"/>
      <c r="T86" s="29"/>
      <c r="U86" s="29"/>
      <c r="V86" s="29"/>
      <c r="W86" s="29"/>
      <c r="X86" s="29"/>
      <c r="Y86" s="29"/>
      <c r="Z86" s="29"/>
    </row>
    <row r="87" spans="2:26" ht="15" x14ac:dyDescent="0.25">
      <c r="B87" s="41" t="s">
        <v>9</v>
      </c>
      <c r="C87" s="43">
        <v>82.25</v>
      </c>
      <c r="D87" s="44">
        <v>0.429925</v>
      </c>
      <c r="E87" s="35"/>
      <c r="F87" s="35"/>
      <c r="G87" s="35"/>
      <c r="H87" s="35"/>
      <c r="I87" s="35"/>
      <c r="J87" s="29"/>
      <c r="N87" s="29"/>
      <c r="O87" s="29"/>
      <c r="P87" s="29"/>
      <c r="Q87" s="29"/>
      <c r="R87" s="29"/>
      <c r="S87" s="29"/>
      <c r="T87" s="29"/>
      <c r="U87" s="29"/>
      <c r="V87" s="29"/>
      <c r="W87" s="29"/>
      <c r="X87" s="29"/>
      <c r="Y87" s="29"/>
      <c r="Z87" s="29"/>
    </row>
    <row r="88" spans="2:26" ht="15" x14ac:dyDescent="0.25">
      <c r="B88" s="41" t="s">
        <v>209</v>
      </c>
      <c r="C88" s="43">
        <v>82</v>
      </c>
      <c r="D88" s="44">
        <v>0.26719999999999999</v>
      </c>
      <c r="E88" s="35"/>
      <c r="F88" s="35"/>
      <c r="G88" s="35"/>
      <c r="H88" s="35"/>
      <c r="I88" s="35"/>
      <c r="J88" s="29"/>
      <c r="N88" s="29"/>
      <c r="O88" s="29"/>
      <c r="P88" s="29"/>
      <c r="Q88" s="29"/>
      <c r="R88" s="29"/>
      <c r="S88" s="29"/>
      <c r="T88" s="29"/>
      <c r="U88" s="29"/>
      <c r="V88" s="29"/>
      <c r="W88" s="29"/>
      <c r="X88" s="29"/>
      <c r="Y88" s="29"/>
      <c r="Z88" s="29"/>
    </row>
    <row r="89" spans="2:26" ht="15" x14ac:dyDescent="0.25">
      <c r="B89" s="41" t="s">
        <v>148</v>
      </c>
      <c r="C89" s="43">
        <v>79</v>
      </c>
      <c r="D89" s="44">
        <v>0.1094</v>
      </c>
      <c r="E89" s="35"/>
      <c r="F89" s="35"/>
      <c r="G89" s="35"/>
      <c r="H89" s="35"/>
      <c r="I89" s="35"/>
      <c r="J89" s="29"/>
      <c r="N89" s="29"/>
      <c r="O89" s="29"/>
      <c r="P89" s="29"/>
      <c r="Q89" s="29"/>
      <c r="R89" s="29"/>
      <c r="S89" s="29"/>
      <c r="T89" s="29"/>
      <c r="U89" s="29"/>
      <c r="V89" s="29"/>
      <c r="W89" s="29"/>
      <c r="X89" s="29"/>
      <c r="Y89" s="29"/>
      <c r="Z89" s="29"/>
    </row>
    <row r="90" spans="2:26" ht="15" x14ac:dyDescent="0.25">
      <c r="B90" s="41" t="s">
        <v>156</v>
      </c>
      <c r="C90" s="43">
        <v>78</v>
      </c>
      <c r="D90" s="44">
        <v>4.6433333333333333E-2</v>
      </c>
      <c r="E90" s="35"/>
      <c r="F90" s="35"/>
      <c r="G90" s="35"/>
      <c r="H90" s="35"/>
      <c r="I90" s="35"/>
      <c r="J90" s="29"/>
      <c r="N90" s="29"/>
      <c r="O90" s="29"/>
      <c r="P90" s="29"/>
      <c r="Q90" s="29"/>
      <c r="R90" s="29"/>
      <c r="S90" s="29"/>
      <c r="T90" s="29"/>
      <c r="U90" s="29"/>
      <c r="V90" s="29"/>
      <c r="W90" s="29"/>
      <c r="X90" s="29"/>
      <c r="Y90" s="29"/>
      <c r="Z90" s="29"/>
    </row>
    <row r="91" spans="2:26" ht="15" x14ac:dyDescent="0.25">
      <c r="B91" s="41" t="s">
        <v>105</v>
      </c>
      <c r="C91" s="43">
        <v>77.25</v>
      </c>
      <c r="D91" s="44">
        <v>9.9400000000000002E-2</v>
      </c>
      <c r="E91" s="35"/>
      <c r="F91" s="35"/>
      <c r="G91" s="35"/>
      <c r="H91" s="35"/>
      <c r="I91" s="35"/>
      <c r="J91" s="29"/>
      <c r="N91" s="29"/>
      <c r="O91" s="29"/>
      <c r="P91" s="29"/>
      <c r="Q91" s="29"/>
      <c r="R91" s="29"/>
      <c r="S91" s="29"/>
      <c r="T91" s="29"/>
      <c r="U91" s="29"/>
      <c r="V91" s="29"/>
      <c r="W91" s="29"/>
      <c r="X91" s="29"/>
      <c r="Y91" s="29"/>
      <c r="Z91" s="29"/>
    </row>
    <row r="92" spans="2:26" ht="15" x14ac:dyDescent="0.25">
      <c r="B92" s="41" t="s">
        <v>121</v>
      </c>
      <c r="C92" s="43">
        <v>76</v>
      </c>
      <c r="D92" s="44">
        <v>1.7100000000000001E-2</v>
      </c>
      <c r="E92" s="35"/>
      <c r="F92" s="35"/>
      <c r="G92" s="35"/>
      <c r="H92" s="35"/>
      <c r="I92" s="35"/>
      <c r="J92" s="29"/>
      <c r="N92" s="29"/>
      <c r="O92" s="29"/>
      <c r="P92" s="29"/>
      <c r="Q92" s="29"/>
      <c r="R92" s="29"/>
      <c r="S92" s="29"/>
      <c r="T92" s="29"/>
      <c r="U92" s="29"/>
      <c r="V92" s="29"/>
      <c r="W92" s="29"/>
      <c r="X92" s="29"/>
      <c r="Y92" s="29"/>
      <c r="Z92" s="29"/>
    </row>
    <row r="93" spans="2:26" ht="15" x14ac:dyDescent="0.25">
      <c r="B93" s="41" t="s">
        <v>95</v>
      </c>
      <c r="C93" s="43">
        <v>76</v>
      </c>
      <c r="D93" s="44">
        <v>4.2200000000000001E-2</v>
      </c>
      <c r="E93" s="35"/>
      <c r="F93" s="35"/>
      <c r="G93" s="35"/>
      <c r="H93" s="35"/>
      <c r="I93" s="35"/>
      <c r="J93" s="29"/>
      <c r="N93" s="29"/>
      <c r="O93" s="29"/>
      <c r="P93" s="29"/>
      <c r="Q93" s="29"/>
      <c r="R93" s="29"/>
      <c r="S93" s="29"/>
      <c r="T93" s="29"/>
      <c r="U93" s="29"/>
      <c r="V93" s="29"/>
      <c r="W93" s="29"/>
      <c r="X93" s="29"/>
      <c r="Y93" s="29"/>
      <c r="Z93" s="29"/>
    </row>
    <row r="94" spans="2:26" ht="15" x14ac:dyDescent="0.25">
      <c r="B94" s="41" t="s">
        <v>193</v>
      </c>
      <c r="C94" s="43">
        <v>71</v>
      </c>
      <c r="D94" s="44">
        <v>0.22420000000000001</v>
      </c>
      <c r="E94" s="35"/>
      <c r="F94" s="35"/>
      <c r="G94" s="35"/>
      <c r="H94" s="35"/>
      <c r="I94" s="35"/>
      <c r="J94" s="29"/>
      <c r="N94" s="29"/>
      <c r="O94" s="29"/>
      <c r="P94" s="29"/>
      <c r="Q94" s="29"/>
      <c r="R94" s="29"/>
      <c r="S94" s="29"/>
      <c r="T94" s="29"/>
      <c r="U94" s="29"/>
      <c r="V94" s="29"/>
      <c r="W94" s="29"/>
      <c r="X94" s="29"/>
      <c r="Y94" s="29"/>
      <c r="Z94" s="29"/>
    </row>
    <row r="95" spans="2:26" ht="15" x14ac:dyDescent="0.25">
      <c r="B95" s="41" t="s">
        <v>162</v>
      </c>
      <c r="C95" s="43">
        <v>70</v>
      </c>
      <c r="D95" s="44">
        <v>4.5949999999999998E-2</v>
      </c>
      <c r="E95" s="35"/>
      <c r="F95" s="35"/>
      <c r="G95" s="35"/>
      <c r="H95" s="35"/>
      <c r="I95" s="35"/>
      <c r="J95" s="29"/>
      <c r="N95" s="29"/>
      <c r="O95" s="29"/>
      <c r="P95" s="29"/>
      <c r="Q95" s="29"/>
      <c r="R95" s="29"/>
      <c r="S95" s="29"/>
      <c r="T95" s="29"/>
      <c r="U95" s="29"/>
      <c r="V95" s="29"/>
      <c r="W95" s="29"/>
      <c r="X95" s="29"/>
      <c r="Y95" s="29"/>
      <c r="Z95" s="29"/>
    </row>
    <row r="96" spans="2:26" ht="15" x14ac:dyDescent="0.25">
      <c r="B96" s="41" t="s">
        <v>161</v>
      </c>
      <c r="C96" s="43">
        <v>68.5</v>
      </c>
      <c r="D96" s="44">
        <v>5.1400000000000001E-2</v>
      </c>
      <c r="E96" s="35"/>
      <c r="F96" s="35"/>
      <c r="G96" s="35"/>
      <c r="H96" s="35"/>
      <c r="I96" s="35"/>
      <c r="J96" s="29"/>
      <c r="N96" s="29"/>
      <c r="O96" s="29"/>
      <c r="P96" s="29"/>
      <c r="Q96" s="29"/>
      <c r="R96" s="29"/>
      <c r="S96" s="29"/>
      <c r="T96" s="29"/>
      <c r="U96" s="29"/>
      <c r="V96" s="29"/>
      <c r="W96" s="29"/>
      <c r="X96" s="29"/>
      <c r="Y96" s="29"/>
      <c r="Z96" s="29"/>
    </row>
    <row r="97" spans="2:26" ht="15" x14ac:dyDescent="0.25">
      <c r="B97" s="41" t="s">
        <v>189</v>
      </c>
      <c r="C97" s="43">
        <v>66</v>
      </c>
      <c r="D97" s="44">
        <v>0.18149999999999999</v>
      </c>
      <c r="E97" s="35"/>
      <c r="F97" s="35"/>
      <c r="G97" s="35"/>
      <c r="H97" s="35"/>
      <c r="I97" s="35"/>
      <c r="J97" s="29"/>
      <c r="N97" s="29"/>
      <c r="O97" s="29"/>
      <c r="P97" s="29"/>
      <c r="Q97" s="29"/>
      <c r="R97" s="29"/>
      <c r="S97" s="29"/>
      <c r="T97" s="29"/>
      <c r="U97" s="29"/>
      <c r="V97" s="29"/>
      <c r="W97" s="29"/>
      <c r="X97" s="29"/>
      <c r="Y97" s="29"/>
      <c r="Z97" s="29"/>
    </row>
    <row r="98" spans="2:26" ht="15" x14ac:dyDescent="0.25">
      <c r="B98" s="41" t="s">
        <v>101</v>
      </c>
      <c r="C98" s="43">
        <v>65</v>
      </c>
      <c r="D98" s="44">
        <v>0.20330000000000001</v>
      </c>
      <c r="E98" s="35"/>
      <c r="F98" s="35"/>
      <c r="G98" s="35"/>
      <c r="H98" s="35"/>
      <c r="I98" s="35"/>
      <c r="J98" s="29"/>
      <c r="N98" s="29"/>
      <c r="O98" s="29"/>
      <c r="P98" s="29"/>
      <c r="Q98" s="29"/>
      <c r="R98" s="29"/>
      <c r="S98" s="29"/>
      <c r="T98" s="29"/>
      <c r="U98" s="29"/>
      <c r="V98" s="29"/>
      <c r="W98" s="29"/>
      <c r="X98" s="29"/>
      <c r="Y98" s="29"/>
      <c r="Z98" s="29"/>
    </row>
    <row r="99" spans="2:26" ht="15" x14ac:dyDescent="0.25">
      <c r="B99" s="41" t="s">
        <v>185</v>
      </c>
      <c r="C99" s="43">
        <v>61.5</v>
      </c>
      <c r="D99" s="44">
        <v>1.5349999999999999E-2</v>
      </c>
      <c r="E99" s="35"/>
      <c r="F99" s="35"/>
      <c r="G99" s="35"/>
      <c r="H99" s="35"/>
      <c r="I99" s="35"/>
      <c r="J99" s="29"/>
      <c r="N99" s="29"/>
      <c r="O99" s="29"/>
      <c r="P99" s="29"/>
      <c r="Q99" s="29"/>
      <c r="R99" s="29"/>
      <c r="S99" s="29"/>
      <c r="T99" s="29"/>
      <c r="U99" s="29"/>
      <c r="V99" s="29"/>
      <c r="W99" s="29"/>
      <c r="X99" s="29"/>
      <c r="Y99" s="29"/>
      <c r="Z99" s="29"/>
    </row>
    <row r="100" spans="2:26" ht="15" x14ac:dyDescent="0.25">
      <c r="B100" s="41" t="s">
        <v>128</v>
      </c>
      <c r="C100" s="43">
        <v>37</v>
      </c>
      <c r="D100" s="44">
        <v>4.4049999999999999E-2</v>
      </c>
      <c r="E100" s="35"/>
      <c r="F100" s="35"/>
      <c r="G100" s="35"/>
      <c r="H100" s="35"/>
      <c r="I100" s="35"/>
      <c r="J100" s="29"/>
      <c r="N100" s="29"/>
      <c r="O100" s="29"/>
      <c r="P100" s="29"/>
      <c r="Q100" s="29"/>
      <c r="R100" s="29"/>
      <c r="S100" s="29"/>
      <c r="T100" s="29"/>
      <c r="U100" s="29"/>
      <c r="V100" s="29"/>
      <c r="W100" s="29"/>
      <c r="X100" s="29"/>
      <c r="Y100" s="29"/>
      <c r="Z100" s="29"/>
    </row>
    <row r="101" spans="2:26" ht="15" x14ac:dyDescent="0.25">
      <c r="B101" s="41" t="s">
        <v>188</v>
      </c>
      <c r="C101" s="43">
        <v>32</v>
      </c>
      <c r="D101" s="44">
        <v>4.7E-2</v>
      </c>
      <c r="E101" s="35"/>
      <c r="F101" s="35"/>
      <c r="G101" s="35"/>
      <c r="H101" s="35"/>
      <c r="I101" s="35"/>
      <c r="J101" s="29"/>
      <c r="N101" s="29"/>
      <c r="O101" s="29"/>
      <c r="P101" s="29"/>
      <c r="Q101" s="29"/>
      <c r="R101" s="29"/>
      <c r="S101" s="29"/>
      <c r="T101" s="29"/>
      <c r="U101" s="29"/>
      <c r="V101" s="29"/>
      <c r="W101" s="29"/>
      <c r="X101" s="29"/>
      <c r="Y101" s="29"/>
      <c r="Z101" s="29"/>
    </row>
    <row r="102" spans="2:26" ht="15" x14ac:dyDescent="0.25">
      <c r="B102" s="41" t="s">
        <v>138</v>
      </c>
      <c r="C102" s="43">
        <v>29.75</v>
      </c>
      <c r="D102" s="44">
        <v>6.2574999999999992E-2</v>
      </c>
      <c r="E102" s="35"/>
      <c r="F102" s="35"/>
      <c r="G102" s="35"/>
      <c r="H102" s="35"/>
      <c r="I102" s="35"/>
      <c r="J102" s="29"/>
      <c r="N102" s="29"/>
      <c r="O102" s="29"/>
      <c r="P102" s="29"/>
      <c r="Q102" s="29"/>
      <c r="R102" s="29"/>
      <c r="S102" s="29"/>
      <c r="T102" s="29"/>
      <c r="U102" s="29"/>
      <c r="V102" s="29"/>
      <c r="W102" s="29"/>
      <c r="X102" s="29"/>
      <c r="Y102" s="29"/>
      <c r="Z102" s="29"/>
    </row>
    <row r="103" spans="2:26" ht="15" x14ac:dyDescent="0.25">
      <c r="B103" s="41" t="s">
        <v>122</v>
      </c>
      <c r="C103" s="43">
        <v>29.666666666666668</v>
      </c>
      <c r="D103" s="44">
        <v>3.3833333333333333E-2</v>
      </c>
      <c r="E103" s="35"/>
      <c r="F103" s="35"/>
      <c r="G103" s="35"/>
      <c r="H103" s="35"/>
      <c r="I103" s="35"/>
      <c r="J103" s="29"/>
      <c r="N103" s="29"/>
      <c r="O103" s="29"/>
      <c r="P103" s="29"/>
      <c r="Q103" s="29"/>
      <c r="R103" s="29"/>
      <c r="S103" s="29"/>
      <c r="T103" s="29"/>
      <c r="U103" s="29"/>
      <c r="V103" s="29"/>
      <c r="W103" s="29"/>
      <c r="X103" s="29"/>
      <c r="Y103" s="29"/>
      <c r="Z103" s="29"/>
    </row>
    <row r="104" spans="2:26" ht="15" x14ac:dyDescent="0.25">
      <c r="B104" s="41" t="s">
        <v>108</v>
      </c>
      <c r="C104" s="43">
        <v>28.5</v>
      </c>
      <c r="D104" s="44">
        <v>7.6500000000000005E-3</v>
      </c>
      <c r="E104" s="35"/>
      <c r="F104" s="35"/>
      <c r="G104" s="35"/>
      <c r="H104" s="35"/>
      <c r="I104" s="35"/>
      <c r="J104" s="29"/>
      <c r="N104" s="29"/>
      <c r="O104" s="29"/>
      <c r="P104" s="29"/>
      <c r="Q104" s="29"/>
      <c r="R104" s="29"/>
      <c r="S104" s="29"/>
      <c r="T104" s="29"/>
      <c r="U104" s="29"/>
      <c r="V104" s="29"/>
      <c r="W104" s="29"/>
      <c r="X104" s="29"/>
      <c r="Y104" s="29"/>
      <c r="Z104" s="29"/>
    </row>
    <row r="105" spans="2:26" ht="15" x14ac:dyDescent="0.25">
      <c r="B105" s="41" t="s">
        <v>201</v>
      </c>
      <c r="C105" s="43">
        <v>26.5</v>
      </c>
      <c r="D105" s="44">
        <v>6.8000000000000005E-3</v>
      </c>
      <c r="E105" s="35"/>
      <c r="F105" s="35"/>
      <c r="G105" s="35"/>
      <c r="H105" s="35"/>
      <c r="I105" s="35"/>
      <c r="J105" s="29"/>
      <c r="N105" s="29"/>
      <c r="O105" s="29"/>
      <c r="P105" s="29"/>
      <c r="Q105" s="29"/>
      <c r="R105" s="29"/>
      <c r="S105" s="29"/>
      <c r="T105" s="29"/>
      <c r="U105" s="29"/>
      <c r="V105" s="29"/>
      <c r="W105" s="29"/>
      <c r="X105" s="29"/>
      <c r="Y105" s="29"/>
      <c r="Z105" s="29"/>
    </row>
    <row r="106" spans="2:26" ht="15" x14ac:dyDescent="0.25">
      <c r="B106" s="41" t="s">
        <v>118</v>
      </c>
      <c r="C106" s="43">
        <v>24</v>
      </c>
      <c r="D106" s="44">
        <v>8.6499999999999997E-3</v>
      </c>
      <c r="E106" s="35"/>
      <c r="F106" s="35"/>
      <c r="G106" s="35"/>
      <c r="H106" s="35"/>
      <c r="I106" s="35"/>
      <c r="J106" s="29"/>
      <c r="N106" s="29"/>
      <c r="O106" s="29"/>
      <c r="P106" s="29"/>
      <c r="Q106" s="29"/>
      <c r="R106" s="29"/>
      <c r="S106" s="29"/>
      <c r="T106" s="29"/>
      <c r="U106" s="29"/>
      <c r="V106" s="29"/>
      <c r="W106" s="29"/>
      <c r="X106" s="29"/>
      <c r="Y106" s="29"/>
      <c r="Z106" s="29"/>
    </row>
    <row r="107" spans="2:26" ht="15" x14ac:dyDescent="0.25">
      <c r="B107"/>
      <c r="C107"/>
      <c r="D107"/>
      <c r="E107" s="35"/>
      <c r="F107" s="35"/>
      <c r="G107" s="35"/>
      <c r="H107" s="35"/>
      <c r="I107" s="35"/>
      <c r="J107" s="29"/>
      <c r="N107" s="29"/>
      <c r="O107" s="29"/>
      <c r="P107" s="29"/>
      <c r="Q107" s="29"/>
      <c r="R107" s="29"/>
      <c r="S107" s="29"/>
      <c r="T107" s="29"/>
      <c r="U107" s="29"/>
      <c r="V107" s="29"/>
      <c r="W107" s="29"/>
      <c r="X107" s="29"/>
      <c r="Y107" s="29"/>
      <c r="Z107" s="29"/>
    </row>
    <row r="108" spans="2:26" ht="15" x14ac:dyDescent="0.25">
      <c r="B108"/>
      <c r="C108"/>
      <c r="D108"/>
      <c r="E108" s="35"/>
      <c r="F108" s="35"/>
      <c r="G108" s="35"/>
      <c r="H108" s="35"/>
      <c r="I108" s="35"/>
      <c r="J108" s="29"/>
      <c r="N108" s="29"/>
      <c r="O108" s="29"/>
      <c r="P108" s="29"/>
      <c r="Q108" s="29"/>
      <c r="R108" s="29"/>
      <c r="S108" s="29"/>
      <c r="T108" s="29"/>
      <c r="U108" s="29"/>
      <c r="V108" s="29"/>
      <c r="W108" s="29"/>
      <c r="X108" s="29"/>
      <c r="Y108" s="29"/>
      <c r="Z108" s="29"/>
    </row>
    <row r="109" spans="2:26" ht="15" x14ac:dyDescent="0.25">
      <c r="B109"/>
      <c r="C109"/>
      <c r="D109"/>
      <c r="E109" s="35"/>
      <c r="F109" s="35"/>
      <c r="G109" s="35"/>
      <c r="H109" s="35"/>
      <c r="I109" s="35"/>
      <c r="J109" s="29"/>
      <c r="N109" s="29"/>
      <c r="O109" s="29"/>
      <c r="P109" s="29"/>
      <c r="Q109" s="29"/>
      <c r="R109" s="29"/>
      <c r="S109" s="29"/>
      <c r="T109" s="29"/>
      <c r="U109" s="29"/>
      <c r="V109" s="29"/>
      <c r="W109" s="29"/>
      <c r="X109" s="29"/>
      <c r="Y109" s="29"/>
      <c r="Z109" s="29"/>
    </row>
    <row r="110" spans="2:26" ht="15" x14ac:dyDescent="0.25">
      <c r="B110"/>
      <c r="C110"/>
      <c r="D110"/>
      <c r="E110" s="35"/>
      <c r="F110" s="35"/>
      <c r="G110" s="35"/>
      <c r="H110" s="35"/>
      <c r="I110" s="35"/>
      <c r="J110" s="29"/>
      <c r="N110" s="29"/>
      <c r="O110" s="29"/>
      <c r="P110" s="29"/>
      <c r="Q110" s="29"/>
      <c r="R110" s="29"/>
      <c r="S110" s="29"/>
      <c r="T110" s="29"/>
      <c r="U110" s="29"/>
      <c r="V110" s="29"/>
      <c r="W110" s="29"/>
      <c r="X110" s="29"/>
      <c r="Y110" s="29"/>
      <c r="Z110" s="29"/>
    </row>
    <row r="111" spans="2:26" ht="15" x14ac:dyDescent="0.25">
      <c r="B111"/>
      <c r="C111"/>
      <c r="D111"/>
      <c r="E111" s="35"/>
      <c r="F111" s="35"/>
      <c r="G111" s="35"/>
      <c r="H111" s="35"/>
      <c r="I111" s="35"/>
      <c r="J111" s="29"/>
      <c r="N111" s="29"/>
      <c r="O111" s="29"/>
      <c r="P111" s="29"/>
      <c r="Q111" s="29"/>
      <c r="R111" s="29"/>
      <c r="S111" s="29"/>
      <c r="T111" s="29"/>
      <c r="U111" s="29"/>
      <c r="V111" s="29"/>
      <c r="W111" s="29"/>
      <c r="X111" s="29"/>
      <c r="Y111" s="29"/>
      <c r="Z111" s="29"/>
    </row>
    <row r="112" spans="2:26" ht="15" x14ac:dyDescent="0.25">
      <c r="B112"/>
      <c r="C112"/>
      <c r="D112"/>
      <c r="E112" s="35"/>
      <c r="F112" s="35"/>
      <c r="G112" s="35"/>
      <c r="H112" s="35"/>
      <c r="I112" s="35"/>
      <c r="J112" s="29"/>
      <c r="N112" s="29"/>
      <c r="O112" s="29"/>
      <c r="P112" s="29"/>
      <c r="Q112" s="29"/>
      <c r="R112" s="29"/>
      <c r="S112" s="29"/>
      <c r="T112" s="29"/>
      <c r="U112" s="29"/>
      <c r="V112" s="29"/>
      <c r="W112" s="29"/>
      <c r="X112" s="29"/>
      <c r="Y112" s="29"/>
      <c r="Z112" s="29"/>
    </row>
    <row r="113" spans="2:26" ht="15" x14ac:dyDescent="0.25">
      <c r="B113"/>
      <c r="C113"/>
      <c r="D113"/>
      <c r="E113" s="35"/>
      <c r="F113" s="35"/>
      <c r="G113" s="35"/>
      <c r="H113" s="35"/>
      <c r="I113" s="35"/>
      <c r="J113" s="29"/>
      <c r="N113" s="29"/>
      <c r="O113" s="29"/>
      <c r="P113" s="29"/>
      <c r="Q113" s="29"/>
      <c r="R113" s="29"/>
      <c r="S113" s="29"/>
      <c r="T113" s="29"/>
      <c r="U113" s="29"/>
      <c r="V113" s="29"/>
      <c r="W113" s="29"/>
      <c r="X113" s="29"/>
      <c r="Y113" s="29"/>
      <c r="Z113" s="29"/>
    </row>
    <row r="114" spans="2:26" ht="15" x14ac:dyDescent="0.25">
      <c r="B114"/>
      <c r="C114"/>
      <c r="D114"/>
      <c r="E114" s="35"/>
      <c r="F114" s="35"/>
      <c r="G114" s="35"/>
      <c r="H114" s="35"/>
      <c r="I114" s="35"/>
      <c r="J114" s="29"/>
      <c r="N114" s="29"/>
      <c r="O114" s="29"/>
      <c r="P114" s="29"/>
      <c r="Q114" s="29"/>
      <c r="R114" s="29"/>
      <c r="S114" s="29"/>
      <c r="T114" s="29"/>
      <c r="U114" s="29"/>
      <c r="V114" s="29"/>
      <c r="W114" s="29"/>
      <c r="X114" s="29"/>
      <c r="Y114" s="29"/>
      <c r="Z114" s="29"/>
    </row>
    <row r="115" spans="2:26" ht="15" x14ac:dyDescent="0.25">
      <c r="B115"/>
      <c r="C115"/>
      <c r="D115"/>
      <c r="E115" s="35"/>
      <c r="F115" s="35"/>
      <c r="G115" s="35"/>
      <c r="H115" s="35"/>
      <c r="I115" s="35"/>
      <c r="J115" s="29"/>
      <c r="N115" s="29"/>
      <c r="O115" s="29"/>
      <c r="P115" s="29"/>
      <c r="Q115" s="29"/>
      <c r="R115" s="29"/>
      <c r="S115" s="29"/>
      <c r="T115" s="29"/>
      <c r="U115" s="29"/>
      <c r="V115" s="29"/>
      <c r="W115" s="29"/>
      <c r="X115" s="29"/>
      <c r="Y115" s="29"/>
      <c r="Z115" s="29"/>
    </row>
    <row r="116" spans="2:26" ht="15" x14ac:dyDescent="0.25">
      <c r="B116"/>
      <c r="C116"/>
      <c r="D116"/>
      <c r="E116" s="35"/>
      <c r="F116" s="35"/>
      <c r="G116" s="35"/>
      <c r="H116" s="35"/>
      <c r="I116" s="35"/>
      <c r="J116" s="29"/>
      <c r="N116" s="29"/>
      <c r="O116" s="29"/>
      <c r="P116" s="29"/>
      <c r="Q116" s="29"/>
      <c r="R116" s="29"/>
      <c r="S116" s="29"/>
      <c r="T116" s="29"/>
      <c r="U116" s="29"/>
      <c r="V116" s="29"/>
      <c r="W116" s="29"/>
      <c r="X116" s="29"/>
      <c r="Y116" s="29"/>
      <c r="Z116" s="29"/>
    </row>
    <row r="117" spans="2:26" ht="15" x14ac:dyDescent="0.25">
      <c r="B117"/>
      <c r="C117"/>
      <c r="D117"/>
      <c r="E117" s="35"/>
      <c r="F117" s="35"/>
      <c r="G117" s="35"/>
      <c r="H117" s="35"/>
      <c r="I117" s="35"/>
      <c r="J117" s="29"/>
      <c r="N117" s="29"/>
      <c r="O117" s="29"/>
      <c r="P117" s="29"/>
      <c r="Q117" s="29"/>
      <c r="R117" s="29"/>
      <c r="S117" s="29"/>
      <c r="T117" s="29"/>
      <c r="U117" s="29"/>
      <c r="V117" s="29"/>
      <c r="W117" s="29"/>
      <c r="X117" s="29"/>
      <c r="Y117" s="29"/>
      <c r="Z117" s="29"/>
    </row>
    <row r="118" spans="2:26" ht="15" x14ac:dyDescent="0.25">
      <c r="B118"/>
      <c r="C118"/>
      <c r="D118"/>
      <c r="E118" s="35"/>
      <c r="F118" s="35"/>
      <c r="G118" s="35"/>
      <c r="H118" s="35"/>
      <c r="I118" s="35"/>
      <c r="J118" s="29"/>
      <c r="N118" s="29"/>
      <c r="O118" s="29"/>
      <c r="P118" s="29"/>
      <c r="Q118" s="29"/>
      <c r="R118" s="29"/>
      <c r="S118" s="29"/>
      <c r="T118" s="29"/>
      <c r="U118" s="29"/>
      <c r="V118" s="29"/>
      <c r="W118" s="29"/>
      <c r="X118" s="29"/>
      <c r="Y118" s="29"/>
      <c r="Z118" s="29"/>
    </row>
    <row r="119" spans="2:26" ht="15" x14ac:dyDescent="0.25">
      <c r="B119"/>
      <c r="C119"/>
      <c r="D119"/>
      <c r="E119" s="35"/>
      <c r="F119" s="35"/>
      <c r="G119" s="35"/>
      <c r="H119" s="35"/>
      <c r="I119" s="35"/>
      <c r="J119" s="29"/>
      <c r="N119" s="29"/>
      <c r="O119" s="29"/>
      <c r="P119" s="29"/>
      <c r="Q119" s="29"/>
      <c r="R119" s="29"/>
      <c r="S119" s="29"/>
      <c r="T119" s="29"/>
      <c r="U119" s="29"/>
      <c r="V119" s="29"/>
      <c r="W119" s="29"/>
      <c r="X119" s="29"/>
      <c r="Y119" s="29"/>
      <c r="Z119" s="29"/>
    </row>
    <row r="120" spans="2:26" ht="15" x14ac:dyDescent="0.25">
      <c r="B120"/>
      <c r="C120"/>
      <c r="D120"/>
      <c r="E120" s="35"/>
      <c r="F120" s="35"/>
      <c r="G120" s="35"/>
      <c r="H120" s="35"/>
      <c r="I120" s="35"/>
      <c r="J120" s="29"/>
      <c r="N120" s="29"/>
      <c r="O120" s="29"/>
      <c r="P120" s="29"/>
      <c r="Q120" s="29"/>
      <c r="R120" s="29"/>
      <c r="S120" s="29"/>
      <c r="T120" s="29"/>
      <c r="U120" s="29"/>
      <c r="V120" s="29"/>
      <c r="W120" s="29"/>
      <c r="X120" s="29"/>
      <c r="Y120" s="29"/>
      <c r="Z120" s="29"/>
    </row>
    <row r="121" spans="2:26" ht="15" x14ac:dyDescent="0.25">
      <c r="B121"/>
      <c r="C121"/>
      <c r="D121"/>
      <c r="E121" s="35"/>
      <c r="F121" s="35"/>
      <c r="G121" s="35"/>
      <c r="H121" s="35"/>
      <c r="I121" s="35"/>
      <c r="J121" s="29"/>
      <c r="N121" s="29"/>
      <c r="O121" s="29"/>
      <c r="P121" s="29"/>
      <c r="Q121" s="29"/>
      <c r="R121" s="29"/>
      <c r="S121" s="29"/>
      <c r="T121" s="29"/>
      <c r="U121" s="29"/>
      <c r="V121" s="29"/>
      <c r="W121" s="29"/>
      <c r="X121" s="29"/>
      <c r="Y121" s="29"/>
      <c r="Z121" s="29"/>
    </row>
    <row r="122" spans="2:26" ht="15" x14ac:dyDescent="0.25">
      <c r="B122"/>
      <c r="C122"/>
      <c r="D122"/>
      <c r="E122" s="35"/>
      <c r="F122" s="35"/>
      <c r="G122" s="35"/>
      <c r="H122" s="35"/>
      <c r="I122" s="35"/>
      <c r="J122" s="29"/>
      <c r="N122" s="29"/>
      <c r="O122" s="29"/>
      <c r="P122" s="29"/>
      <c r="Q122" s="29"/>
      <c r="R122" s="29"/>
      <c r="S122" s="29"/>
      <c r="T122" s="29"/>
      <c r="U122" s="29"/>
      <c r="V122" s="29"/>
      <c r="W122" s="29"/>
      <c r="X122" s="29"/>
      <c r="Y122" s="29"/>
      <c r="Z122" s="29"/>
    </row>
    <row r="123" spans="2:26" ht="15" x14ac:dyDescent="0.25">
      <c r="B123"/>
      <c r="C123"/>
      <c r="D123"/>
      <c r="E123" s="35"/>
      <c r="F123" s="35"/>
      <c r="G123" s="35"/>
      <c r="H123" s="35"/>
      <c r="I123" s="35"/>
      <c r="J123" s="29"/>
      <c r="N123" s="29"/>
      <c r="O123" s="29"/>
      <c r="P123" s="29"/>
      <c r="Q123" s="29"/>
      <c r="R123" s="29"/>
      <c r="S123" s="29"/>
      <c r="T123" s="29"/>
      <c r="U123" s="29"/>
      <c r="V123" s="29"/>
      <c r="W123" s="29"/>
      <c r="X123" s="29"/>
      <c r="Y123" s="29"/>
      <c r="Z123" s="29"/>
    </row>
    <row r="124" spans="2:26" ht="15" x14ac:dyDescent="0.25">
      <c r="B124"/>
      <c r="C124"/>
      <c r="D124"/>
      <c r="E124" s="35"/>
      <c r="F124" s="35"/>
      <c r="G124" s="35"/>
      <c r="H124" s="35"/>
      <c r="I124" s="35"/>
      <c r="J124" s="29"/>
      <c r="N124" s="29"/>
      <c r="O124" s="29"/>
      <c r="P124" s="29"/>
      <c r="Q124" s="29"/>
      <c r="R124" s="29"/>
      <c r="S124" s="29"/>
      <c r="T124" s="29"/>
      <c r="U124" s="29"/>
      <c r="V124" s="29"/>
      <c r="W124" s="29"/>
      <c r="X124" s="29"/>
      <c r="Y124" s="29"/>
      <c r="Z124" s="29"/>
    </row>
    <row r="125" spans="2:26" ht="15" x14ac:dyDescent="0.25">
      <c r="B125"/>
      <c r="C125"/>
      <c r="D125"/>
      <c r="E125" s="35"/>
      <c r="F125" s="35"/>
      <c r="G125" s="35"/>
      <c r="H125" s="35"/>
      <c r="I125" s="35"/>
      <c r="J125" s="29"/>
      <c r="N125" s="29"/>
      <c r="O125" s="29"/>
      <c r="P125" s="29"/>
      <c r="Q125" s="29"/>
      <c r="R125" s="29"/>
      <c r="S125" s="29"/>
      <c r="T125" s="29"/>
      <c r="U125" s="29"/>
      <c r="V125" s="29"/>
      <c r="W125" s="29"/>
      <c r="X125" s="29"/>
      <c r="Y125" s="29"/>
      <c r="Z125" s="29"/>
    </row>
    <row r="126" spans="2:26" ht="15" x14ac:dyDescent="0.25">
      <c r="B126"/>
      <c r="C126"/>
      <c r="D126"/>
      <c r="E126" s="35"/>
      <c r="F126" s="35"/>
      <c r="G126" s="35"/>
      <c r="H126" s="35"/>
      <c r="I126" s="35"/>
      <c r="J126" s="29"/>
      <c r="N126" s="29"/>
      <c r="O126" s="29"/>
      <c r="P126" s="29"/>
      <c r="Q126" s="29"/>
      <c r="R126" s="29"/>
      <c r="S126" s="29"/>
      <c r="T126" s="29"/>
      <c r="U126" s="29"/>
      <c r="V126" s="29"/>
      <c r="W126" s="29"/>
      <c r="X126" s="29"/>
      <c r="Y126" s="29"/>
      <c r="Z126" s="29"/>
    </row>
    <row r="127" spans="2:26" ht="15" x14ac:dyDescent="0.25">
      <c r="B127"/>
      <c r="C127"/>
      <c r="D127"/>
      <c r="E127" s="35"/>
      <c r="F127" s="35"/>
      <c r="G127" s="35"/>
      <c r="H127" s="35"/>
      <c r="I127" s="35"/>
      <c r="J127" s="29"/>
      <c r="N127" s="29"/>
      <c r="O127" s="29"/>
      <c r="P127" s="29"/>
      <c r="Q127" s="29"/>
      <c r="R127" s="29"/>
      <c r="S127" s="29"/>
      <c r="T127" s="29"/>
      <c r="U127" s="29"/>
      <c r="V127" s="29"/>
      <c r="W127" s="29"/>
      <c r="X127" s="29"/>
      <c r="Y127" s="29"/>
      <c r="Z127" s="29"/>
    </row>
    <row r="128" spans="2:26" ht="15" x14ac:dyDescent="0.25">
      <c r="B128"/>
      <c r="C128"/>
      <c r="D128"/>
      <c r="E128" s="35"/>
      <c r="F128" s="35"/>
      <c r="G128" s="35"/>
      <c r="H128" s="35"/>
      <c r="I128" s="35"/>
      <c r="J128" s="29"/>
      <c r="N128" s="29"/>
      <c r="O128" s="29"/>
      <c r="P128" s="29"/>
      <c r="Q128" s="29"/>
      <c r="R128" s="29"/>
      <c r="S128" s="29"/>
      <c r="T128" s="29"/>
      <c r="U128" s="29"/>
      <c r="V128" s="29"/>
      <c r="W128" s="29"/>
      <c r="X128" s="29"/>
      <c r="Y128" s="29"/>
      <c r="Z128" s="29"/>
    </row>
    <row r="129" spans="2:26" ht="15" x14ac:dyDescent="0.25">
      <c r="B129"/>
      <c r="C129"/>
      <c r="D129"/>
      <c r="E129" s="35"/>
      <c r="F129" s="35"/>
      <c r="G129" s="35"/>
      <c r="H129" s="35"/>
      <c r="I129" s="35"/>
      <c r="J129" s="29"/>
      <c r="N129" s="29"/>
      <c r="O129" s="29"/>
      <c r="P129" s="29"/>
      <c r="Q129" s="29"/>
      <c r="R129" s="29"/>
      <c r="S129" s="29"/>
      <c r="T129" s="29"/>
      <c r="U129" s="29"/>
      <c r="V129" s="29"/>
      <c r="W129" s="29"/>
      <c r="X129" s="29"/>
      <c r="Y129" s="29"/>
      <c r="Z129" s="29"/>
    </row>
    <row r="130" spans="2:26" ht="15" x14ac:dyDescent="0.25">
      <c r="B130"/>
      <c r="C130"/>
      <c r="D130"/>
      <c r="E130" s="35"/>
      <c r="F130" s="35"/>
      <c r="G130" s="35"/>
      <c r="H130" s="35"/>
      <c r="I130" s="35"/>
      <c r="J130" s="29"/>
      <c r="N130" s="29"/>
      <c r="O130" s="29"/>
      <c r="P130" s="29"/>
      <c r="Q130" s="29"/>
      <c r="R130" s="29"/>
      <c r="S130" s="29"/>
      <c r="T130" s="29"/>
      <c r="U130" s="29"/>
      <c r="V130" s="29"/>
      <c r="W130" s="29"/>
      <c r="X130" s="29"/>
      <c r="Y130" s="29"/>
      <c r="Z130" s="29"/>
    </row>
    <row r="131" spans="2:26" ht="15" x14ac:dyDescent="0.25">
      <c r="B131"/>
      <c r="C131"/>
      <c r="D131"/>
      <c r="E131" s="35"/>
      <c r="F131" s="35"/>
      <c r="G131" s="35"/>
      <c r="H131" s="35"/>
      <c r="I131" s="35"/>
      <c r="J131" s="29"/>
      <c r="N131" s="29"/>
      <c r="O131" s="29"/>
      <c r="P131" s="29"/>
      <c r="Q131" s="29"/>
      <c r="R131" s="29"/>
      <c r="S131" s="29"/>
      <c r="T131" s="29"/>
      <c r="U131" s="29"/>
      <c r="V131" s="29"/>
      <c r="W131" s="29"/>
      <c r="X131" s="29"/>
      <c r="Y131" s="29"/>
      <c r="Z131" s="29"/>
    </row>
    <row r="132" spans="2:26" ht="15" x14ac:dyDescent="0.25">
      <c r="B132"/>
      <c r="C132"/>
      <c r="D132"/>
      <c r="E132" s="35"/>
      <c r="F132" s="35"/>
      <c r="G132" s="35"/>
      <c r="H132" s="35"/>
      <c r="I132" s="35"/>
      <c r="J132" s="29"/>
      <c r="N132" s="29"/>
      <c r="O132" s="29"/>
      <c r="P132" s="29"/>
      <c r="Q132" s="29"/>
      <c r="R132" s="29"/>
      <c r="S132" s="29"/>
      <c r="T132" s="29"/>
      <c r="U132" s="29"/>
      <c r="V132" s="29"/>
      <c r="W132" s="29"/>
      <c r="X132" s="29"/>
      <c r="Y132" s="29"/>
      <c r="Z132" s="29"/>
    </row>
    <row r="133" spans="2:26" ht="15" x14ac:dyDescent="0.25">
      <c r="B133"/>
      <c r="C133"/>
      <c r="D133"/>
      <c r="E133" s="35"/>
      <c r="F133" s="35"/>
      <c r="G133" s="35"/>
      <c r="H133" s="35"/>
      <c r="I133" s="35"/>
      <c r="J133" s="29"/>
      <c r="N133" s="29"/>
      <c r="O133" s="29"/>
      <c r="P133" s="29"/>
      <c r="Q133" s="29"/>
      <c r="R133" s="29"/>
      <c r="S133" s="29"/>
      <c r="T133" s="29"/>
      <c r="U133" s="29"/>
      <c r="V133" s="29"/>
      <c r="W133" s="29"/>
      <c r="X133" s="29"/>
      <c r="Y133" s="29"/>
      <c r="Z133" s="29"/>
    </row>
    <row r="134" spans="2:26" ht="15" x14ac:dyDescent="0.25">
      <c r="B134"/>
      <c r="C134"/>
      <c r="D134"/>
      <c r="E134" s="35"/>
      <c r="F134" s="35"/>
      <c r="G134" s="35"/>
      <c r="H134" s="35"/>
      <c r="I134" s="35"/>
      <c r="J134" s="29"/>
      <c r="N134" s="29"/>
      <c r="O134" s="29"/>
      <c r="P134" s="29"/>
      <c r="Q134" s="29"/>
      <c r="R134" s="29"/>
      <c r="S134" s="29"/>
      <c r="T134" s="29"/>
      <c r="U134" s="29"/>
      <c r="V134" s="29"/>
      <c r="W134" s="29"/>
      <c r="X134" s="29"/>
      <c r="Y134" s="29"/>
      <c r="Z134" s="29"/>
    </row>
    <row r="135" spans="2:26" ht="15" x14ac:dyDescent="0.25">
      <c r="B135"/>
      <c r="C135"/>
      <c r="D135"/>
      <c r="E135" s="35"/>
      <c r="F135" s="35"/>
      <c r="G135" s="35"/>
      <c r="H135" s="35"/>
      <c r="I135" s="35"/>
      <c r="J135" s="29"/>
      <c r="N135" s="29"/>
      <c r="O135" s="29"/>
      <c r="P135" s="29"/>
      <c r="Q135" s="29"/>
      <c r="R135" s="29"/>
      <c r="S135" s="29"/>
      <c r="T135" s="29"/>
      <c r="U135" s="29"/>
      <c r="V135" s="29"/>
      <c r="W135" s="29"/>
      <c r="X135" s="29"/>
      <c r="Y135" s="29"/>
      <c r="Z135" s="29"/>
    </row>
    <row r="136" spans="2:26" ht="15" x14ac:dyDescent="0.25">
      <c r="B136"/>
      <c r="C136"/>
      <c r="D136"/>
      <c r="E136" s="35"/>
      <c r="F136" s="35"/>
      <c r="G136" s="35"/>
      <c r="H136" s="35"/>
      <c r="I136" s="35"/>
      <c r="J136" s="29"/>
      <c r="N136" s="29"/>
      <c r="O136" s="29"/>
      <c r="P136" s="29"/>
      <c r="Q136" s="29"/>
      <c r="R136" s="29"/>
      <c r="S136" s="29"/>
      <c r="T136" s="29"/>
      <c r="U136" s="29"/>
      <c r="V136" s="29"/>
      <c r="W136" s="29"/>
      <c r="X136" s="29"/>
      <c r="Y136" s="29"/>
      <c r="Z136" s="29"/>
    </row>
    <row r="137" spans="2:26" ht="15" x14ac:dyDescent="0.25">
      <c r="B137"/>
      <c r="C137"/>
      <c r="D137"/>
      <c r="E137" s="35"/>
      <c r="F137" s="35"/>
      <c r="G137" s="35"/>
      <c r="H137" s="35"/>
      <c r="I137" s="35"/>
      <c r="J137" s="29"/>
      <c r="N137" s="29"/>
      <c r="O137" s="29"/>
      <c r="P137" s="29"/>
      <c r="Q137" s="29"/>
      <c r="R137" s="29"/>
      <c r="S137" s="29"/>
      <c r="T137" s="29"/>
      <c r="U137" s="29"/>
      <c r="V137" s="29"/>
      <c r="W137" s="29"/>
      <c r="X137" s="29"/>
      <c r="Y137" s="29"/>
      <c r="Z137" s="29"/>
    </row>
    <row r="138" spans="2:26" ht="15" x14ac:dyDescent="0.25">
      <c r="B138"/>
      <c r="C138"/>
      <c r="D138"/>
      <c r="E138" s="35"/>
      <c r="F138" s="35"/>
      <c r="G138" s="35"/>
      <c r="H138" s="35"/>
      <c r="I138" s="35"/>
      <c r="J138" s="29"/>
      <c r="N138" s="29"/>
      <c r="O138" s="29"/>
      <c r="P138" s="29"/>
      <c r="Q138" s="29"/>
      <c r="R138" s="29"/>
      <c r="S138" s="29"/>
      <c r="T138" s="29"/>
      <c r="U138" s="29"/>
      <c r="V138" s="29"/>
      <c r="W138" s="29"/>
      <c r="X138" s="29"/>
      <c r="Y138" s="29"/>
      <c r="Z138" s="29"/>
    </row>
    <row r="139" spans="2:26" ht="15" x14ac:dyDescent="0.25">
      <c r="B139"/>
      <c r="C139"/>
      <c r="D139"/>
      <c r="E139" s="35"/>
      <c r="F139" s="35"/>
      <c r="G139" s="35"/>
      <c r="H139" s="35"/>
      <c r="I139" s="35"/>
      <c r="J139" s="29"/>
      <c r="N139" s="29"/>
      <c r="O139" s="29"/>
      <c r="P139" s="29"/>
      <c r="Q139" s="29"/>
      <c r="R139" s="29"/>
      <c r="S139" s="29"/>
      <c r="T139" s="29"/>
      <c r="U139" s="29"/>
      <c r="V139" s="29"/>
      <c r="W139" s="29"/>
      <c r="X139" s="29"/>
      <c r="Y139" s="29"/>
      <c r="Z139" s="29"/>
    </row>
    <row r="140" spans="2:26" ht="15" x14ac:dyDescent="0.25">
      <c r="B140"/>
      <c r="C140"/>
      <c r="D140"/>
      <c r="E140" s="35"/>
      <c r="F140" s="35"/>
      <c r="G140" s="35"/>
      <c r="H140" s="35"/>
      <c r="I140" s="35"/>
      <c r="J140" s="29"/>
      <c r="N140" s="29"/>
      <c r="O140" s="29"/>
      <c r="P140" s="29"/>
      <c r="Q140" s="29"/>
      <c r="R140" s="29"/>
      <c r="S140" s="29"/>
      <c r="T140" s="29"/>
      <c r="U140" s="29"/>
      <c r="V140" s="29"/>
      <c r="W140" s="29"/>
      <c r="X140" s="29"/>
      <c r="Y140" s="29"/>
      <c r="Z140" s="29"/>
    </row>
    <row r="141" spans="2:26" ht="15" x14ac:dyDescent="0.25">
      <c r="B141"/>
      <c r="C141"/>
      <c r="D141"/>
      <c r="E141" s="35"/>
      <c r="F141" s="35"/>
      <c r="G141" s="35"/>
      <c r="H141" s="35"/>
      <c r="I141" s="35"/>
      <c r="J141" s="29"/>
      <c r="N141" s="29"/>
      <c r="O141" s="29"/>
      <c r="P141" s="29"/>
      <c r="Q141" s="29"/>
      <c r="R141" s="29"/>
      <c r="S141" s="29"/>
      <c r="T141" s="29"/>
      <c r="U141" s="29"/>
      <c r="V141" s="29"/>
      <c r="W141" s="29"/>
      <c r="X141" s="29"/>
      <c r="Y141" s="29"/>
      <c r="Z141" s="29"/>
    </row>
    <row r="142" spans="2:26" ht="15" x14ac:dyDescent="0.25">
      <c r="B142"/>
      <c r="C142"/>
      <c r="D142"/>
      <c r="E142" s="35"/>
      <c r="F142" s="35"/>
      <c r="G142" s="35"/>
      <c r="H142" s="35"/>
      <c r="I142" s="35"/>
      <c r="J142" s="29"/>
      <c r="N142" s="29"/>
      <c r="O142" s="29"/>
      <c r="P142" s="29"/>
      <c r="Q142" s="29"/>
      <c r="R142" s="29"/>
      <c r="S142" s="29"/>
      <c r="T142" s="29"/>
      <c r="U142" s="29"/>
      <c r="V142" s="29"/>
      <c r="W142" s="29"/>
      <c r="X142" s="29"/>
      <c r="Y142" s="29"/>
      <c r="Z142" s="29"/>
    </row>
    <row r="143" spans="2:26" ht="15" x14ac:dyDescent="0.25">
      <c r="B143"/>
      <c r="C143"/>
      <c r="D143"/>
      <c r="E143" s="35"/>
      <c r="F143" s="35"/>
      <c r="G143" s="35"/>
      <c r="H143" s="35"/>
      <c r="I143" s="35"/>
      <c r="J143" s="29"/>
      <c r="N143" s="29"/>
      <c r="O143" s="29"/>
      <c r="P143" s="29"/>
      <c r="Q143" s="29"/>
      <c r="R143" s="29"/>
      <c r="S143" s="29"/>
      <c r="T143" s="29"/>
      <c r="U143" s="29"/>
      <c r="V143" s="29"/>
      <c r="W143" s="29"/>
      <c r="X143" s="29"/>
      <c r="Y143" s="29"/>
      <c r="Z143" s="29"/>
    </row>
    <row r="144" spans="2:26" ht="15" x14ac:dyDescent="0.25">
      <c r="B144"/>
      <c r="C144"/>
      <c r="D144"/>
      <c r="E144" s="35"/>
      <c r="F144" s="35"/>
      <c r="G144" s="35"/>
      <c r="H144" s="35"/>
      <c r="I144" s="35"/>
      <c r="J144" s="29"/>
      <c r="N144" s="29"/>
      <c r="O144" s="29"/>
      <c r="P144" s="29"/>
      <c r="Q144" s="29"/>
      <c r="R144" s="29"/>
      <c r="S144" s="29"/>
      <c r="T144" s="29"/>
      <c r="U144" s="29"/>
      <c r="V144" s="29"/>
      <c r="W144" s="29"/>
      <c r="X144" s="29"/>
      <c r="Y144" s="29"/>
      <c r="Z144" s="29"/>
    </row>
    <row r="145" spans="2:26" ht="15" x14ac:dyDescent="0.25">
      <c r="B145"/>
      <c r="C145"/>
      <c r="D145"/>
      <c r="E145" s="35"/>
      <c r="F145" s="35"/>
      <c r="G145" s="35"/>
      <c r="H145" s="35"/>
      <c r="I145" s="35"/>
      <c r="J145" s="29"/>
      <c r="N145" s="29"/>
      <c r="O145" s="29"/>
      <c r="P145" s="29"/>
      <c r="Q145" s="29"/>
      <c r="R145" s="29"/>
      <c r="S145" s="29"/>
      <c r="T145" s="29"/>
      <c r="U145" s="29"/>
      <c r="V145" s="29"/>
      <c r="W145" s="29"/>
      <c r="X145" s="29"/>
      <c r="Y145" s="29"/>
      <c r="Z145" s="29"/>
    </row>
    <row r="146" spans="2:26" ht="15" x14ac:dyDescent="0.25">
      <c r="B146"/>
      <c r="C146"/>
      <c r="D146"/>
      <c r="E146" s="35"/>
      <c r="F146" s="35"/>
      <c r="G146" s="35"/>
      <c r="H146" s="35"/>
      <c r="I146" s="35"/>
      <c r="J146" s="29"/>
      <c r="N146" s="29"/>
      <c r="O146" s="29"/>
      <c r="P146" s="29"/>
      <c r="Q146" s="29"/>
      <c r="R146" s="29"/>
      <c r="S146" s="29"/>
      <c r="T146" s="29"/>
      <c r="U146" s="29"/>
      <c r="V146" s="29"/>
      <c r="W146" s="29"/>
      <c r="X146" s="29"/>
      <c r="Y146" s="29"/>
      <c r="Z146" s="29"/>
    </row>
    <row r="147" spans="2:26" ht="15" x14ac:dyDescent="0.25">
      <c r="B147"/>
      <c r="C147"/>
      <c r="D147"/>
      <c r="E147" s="35"/>
      <c r="F147" s="35"/>
      <c r="G147" s="35"/>
      <c r="H147" s="35"/>
      <c r="I147" s="35"/>
      <c r="J147" s="29"/>
      <c r="N147" s="29"/>
      <c r="O147" s="29"/>
      <c r="P147" s="29"/>
      <c r="Q147" s="29"/>
      <c r="R147" s="29"/>
      <c r="S147" s="29"/>
      <c r="T147" s="29"/>
      <c r="U147" s="29"/>
      <c r="V147" s="29"/>
      <c r="W147" s="29"/>
      <c r="X147" s="29"/>
      <c r="Y147" s="29"/>
      <c r="Z147" s="29"/>
    </row>
    <row r="148" spans="2:26" ht="15" x14ac:dyDescent="0.25">
      <c r="B148"/>
      <c r="C148"/>
      <c r="D148"/>
      <c r="E148" s="35"/>
      <c r="F148" s="35"/>
      <c r="G148" s="35"/>
      <c r="H148" s="35"/>
      <c r="I148" s="35"/>
      <c r="J148" s="29"/>
      <c r="N148" s="29"/>
      <c r="O148" s="29"/>
      <c r="P148" s="29"/>
      <c r="Q148" s="29"/>
      <c r="R148" s="29"/>
      <c r="S148" s="29"/>
      <c r="T148" s="29"/>
      <c r="U148" s="29"/>
      <c r="V148" s="29"/>
      <c r="W148" s="29"/>
      <c r="X148" s="29"/>
      <c r="Y148" s="29"/>
      <c r="Z148" s="29"/>
    </row>
    <row r="149" spans="2:26" ht="15" x14ac:dyDescent="0.25">
      <c r="B149"/>
      <c r="C149"/>
      <c r="D149"/>
      <c r="E149" s="35"/>
      <c r="F149" s="35"/>
      <c r="G149" s="35"/>
      <c r="H149" s="35"/>
      <c r="I149" s="35"/>
      <c r="J149" s="29"/>
      <c r="N149" s="29"/>
      <c r="O149" s="29"/>
      <c r="P149" s="29"/>
      <c r="Q149" s="29"/>
      <c r="R149" s="29"/>
      <c r="S149" s="29"/>
      <c r="T149" s="29"/>
      <c r="U149" s="29"/>
      <c r="V149" s="29"/>
      <c r="W149" s="29"/>
      <c r="X149" s="29"/>
      <c r="Y149" s="29"/>
      <c r="Z149" s="29"/>
    </row>
    <row r="150" spans="2:26" ht="15" x14ac:dyDescent="0.25">
      <c r="B150"/>
      <c r="C150"/>
      <c r="D150"/>
      <c r="F150" s="35"/>
      <c r="G150" s="35"/>
      <c r="H150" s="35"/>
      <c r="I150" s="35"/>
      <c r="J150" s="29"/>
      <c r="N150" s="29"/>
      <c r="O150" s="29"/>
      <c r="P150" s="29"/>
      <c r="Q150" s="29"/>
      <c r="R150" s="29"/>
      <c r="S150" s="29"/>
      <c r="T150" s="29"/>
      <c r="U150" s="29"/>
      <c r="V150" s="29"/>
      <c r="W150" s="29"/>
      <c r="X150" s="29"/>
      <c r="Y150" s="29"/>
      <c r="Z150" s="29"/>
    </row>
    <row r="151" spans="2:26" ht="15" x14ac:dyDescent="0.25">
      <c r="B151"/>
      <c r="C151"/>
      <c r="D151"/>
      <c r="F151" s="35"/>
      <c r="G151" s="35"/>
      <c r="H151" s="35"/>
      <c r="I151" s="35"/>
      <c r="J151" s="29"/>
      <c r="N151" s="29"/>
      <c r="O151" s="29"/>
      <c r="P151" s="29"/>
      <c r="Q151" s="29"/>
      <c r="R151" s="29"/>
      <c r="S151" s="29"/>
      <c r="T151" s="29"/>
      <c r="U151" s="29"/>
      <c r="V151" s="29"/>
      <c r="W151" s="29"/>
      <c r="X151" s="29"/>
      <c r="Y151" s="29"/>
      <c r="Z151" s="29"/>
    </row>
    <row r="152" spans="2:26" ht="15" x14ac:dyDescent="0.25">
      <c r="B152"/>
      <c r="C152"/>
      <c r="D152"/>
      <c r="F152" s="35"/>
      <c r="G152" s="35"/>
      <c r="H152" s="35"/>
      <c r="I152" s="35"/>
      <c r="J152" s="29"/>
      <c r="N152" s="29"/>
      <c r="O152" s="29"/>
      <c r="P152" s="29"/>
      <c r="Q152" s="29"/>
      <c r="R152" s="29"/>
      <c r="S152" s="29"/>
      <c r="T152" s="29"/>
      <c r="U152" s="29"/>
      <c r="V152" s="29"/>
      <c r="W152" s="29"/>
      <c r="X152" s="29"/>
      <c r="Y152" s="29"/>
      <c r="Z152" s="29"/>
    </row>
    <row r="153" spans="2:26" ht="15" x14ac:dyDescent="0.25">
      <c r="B153"/>
      <c r="C153"/>
      <c r="D153"/>
      <c r="F153" s="35"/>
      <c r="G153" s="35"/>
      <c r="H153" s="35"/>
      <c r="I153" s="35"/>
      <c r="J153" s="29"/>
      <c r="N153" s="29"/>
      <c r="O153" s="29"/>
      <c r="P153" s="29"/>
      <c r="Q153" s="29"/>
      <c r="R153" s="29"/>
      <c r="S153" s="29"/>
      <c r="T153" s="29"/>
      <c r="U153" s="29"/>
      <c r="V153" s="29"/>
      <c r="W153" s="29"/>
      <c r="X153" s="29"/>
      <c r="Y153" s="29"/>
      <c r="Z153" s="29"/>
    </row>
    <row r="154" spans="2:26" ht="15" x14ac:dyDescent="0.25">
      <c r="B154"/>
      <c r="C154"/>
      <c r="D154"/>
      <c r="F154" s="35"/>
      <c r="G154" s="35"/>
      <c r="H154" s="35"/>
      <c r="I154" s="35"/>
      <c r="J154" s="29"/>
      <c r="N154" s="29"/>
      <c r="O154" s="29"/>
      <c r="P154" s="29"/>
      <c r="Q154" s="29"/>
      <c r="R154" s="29"/>
      <c r="S154" s="29"/>
      <c r="T154" s="29"/>
      <c r="U154" s="29"/>
      <c r="V154" s="29"/>
      <c r="W154" s="29"/>
      <c r="X154" s="29"/>
      <c r="Y154" s="29"/>
      <c r="Z154" s="29"/>
    </row>
    <row r="155" spans="2:26" ht="15" x14ac:dyDescent="0.25">
      <c r="B155"/>
      <c r="C155"/>
      <c r="D155"/>
      <c r="F155" s="35"/>
      <c r="G155" s="35"/>
      <c r="H155" s="35"/>
      <c r="I155" s="35"/>
      <c r="J155" s="29"/>
      <c r="N155" s="29"/>
      <c r="O155" s="29"/>
      <c r="P155" s="29"/>
      <c r="Q155" s="29"/>
      <c r="R155" s="29"/>
      <c r="S155" s="29"/>
      <c r="T155" s="29"/>
      <c r="U155" s="29"/>
      <c r="V155" s="29"/>
      <c r="W155" s="29"/>
      <c r="X155" s="29"/>
      <c r="Y155" s="29"/>
      <c r="Z155" s="29"/>
    </row>
    <row r="156" spans="2:26" ht="15" x14ac:dyDescent="0.25">
      <c r="B156"/>
      <c r="C156"/>
      <c r="D156"/>
      <c r="F156" s="35"/>
      <c r="G156" s="35"/>
      <c r="H156" s="35"/>
      <c r="I156" s="35"/>
      <c r="J156" s="29"/>
      <c r="N156" s="29"/>
      <c r="O156" s="29"/>
      <c r="P156" s="29"/>
      <c r="Q156" s="29"/>
      <c r="R156" s="29"/>
      <c r="S156" s="29"/>
      <c r="T156" s="29"/>
      <c r="U156" s="29"/>
      <c r="V156" s="29"/>
      <c r="W156" s="29"/>
      <c r="X156" s="29"/>
      <c r="Y156" s="29"/>
      <c r="Z156" s="29"/>
    </row>
    <row r="157" spans="2:26" ht="15" x14ac:dyDescent="0.25">
      <c r="B157"/>
      <c r="C157"/>
      <c r="D157"/>
      <c r="F157" s="35"/>
      <c r="G157" s="35"/>
      <c r="H157" s="35"/>
      <c r="I157" s="35"/>
      <c r="J157" s="29"/>
      <c r="N157" s="29"/>
      <c r="O157" s="29"/>
      <c r="P157" s="29"/>
      <c r="Q157" s="29"/>
      <c r="R157" s="29"/>
      <c r="S157" s="29"/>
      <c r="T157" s="29"/>
      <c r="U157" s="29"/>
      <c r="V157" s="29"/>
      <c r="W157" s="29"/>
      <c r="X157" s="29"/>
      <c r="Y157" s="29"/>
      <c r="Z157" s="29"/>
    </row>
    <row r="158" spans="2:26" ht="15" x14ac:dyDescent="0.25">
      <c r="B158"/>
      <c r="C158"/>
      <c r="D158"/>
      <c r="F158" s="35"/>
      <c r="G158" s="35"/>
      <c r="H158" s="35"/>
      <c r="I158" s="35"/>
      <c r="J158" s="29"/>
      <c r="N158" s="29"/>
      <c r="O158" s="29"/>
      <c r="P158" s="29"/>
      <c r="Q158" s="29"/>
      <c r="R158" s="29"/>
      <c r="S158" s="29"/>
      <c r="T158" s="29"/>
      <c r="U158" s="29"/>
      <c r="V158" s="29"/>
      <c r="W158" s="29"/>
      <c r="X158" s="29"/>
      <c r="Y158" s="29"/>
      <c r="Z158" s="29"/>
    </row>
    <row r="159" spans="2:26" ht="15" x14ac:dyDescent="0.25">
      <c r="B159"/>
      <c r="C159"/>
      <c r="D159"/>
      <c r="F159" s="35"/>
      <c r="G159" s="35"/>
      <c r="H159" s="35"/>
      <c r="I159" s="35"/>
      <c r="J159" s="29"/>
      <c r="N159" s="29"/>
      <c r="O159" s="29"/>
      <c r="P159" s="29"/>
      <c r="Q159" s="29"/>
      <c r="R159" s="29"/>
      <c r="S159" s="29"/>
      <c r="T159" s="29"/>
      <c r="U159" s="29"/>
      <c r="V159" s="29"/>
      <c r="W159" s="29"/>
      <c r="X159" s="29"/>
      <c r="Y159" s="29"/>
      <c r="Z159" s="29"/>
    </row>
    <row r="160" spans="2:26" ht="15" x14ac:dyDescent="0.25">
      <c r="B160"/>
      <c r="C160"/>
      <c r="D160"/>
      <c r="F160" s="35"/>
      <c r="G160" s="35"/>
      <c r="H160" s="35"/>
      <c r="I160" s="35"/>
      <c r="J160" s="29"/>
      <c r="N160" s="29"/>
      <c r="O160" s="29"/>
      <c r="P160" s="29"/>
      <c r="Q160" s="29"/>
      <c r="R160" s="29"/>
      <c r="S160" s="29"/>
      <c r="T160" s="29"/>
      <c r="U160" s="29"/>
      <c r="V160" s="29"/>
      <c r="W160" s="29"/>
      <c r="X160" s="29"/>
      <c r="Y160" s="29"/>
      <c r="Z160" s="29"/>
    </row>
    <row r="161" spans="2:26" ht="15" x14ac:dyDescent="0.25">
      <c r="B161"/>
      <c r="C161"/>
      <c r="D161"/>
      <c r="F161" s="35"/>
      <c r="G161" s="35"/>
      <c r="H161" s="35"/>
      <c r="I161" s="35"/>
      <c r="J161" s="29"/>
      <c r="N161" s="29"/>
      <c r="O161" s="29"/>
      <c r="P161" s="29"/>
      <c r="Q161" s="29"/>
      <c r="R161" s="29"/>
      <c r="S161" s="29"/>
      <c r="T161" s="29"/>
      <c r="U161" s="29"/>
      <c r="V161" s="29"/>
      <c r="W161" s="29"/>
      <c r="X161" s="29"/>
      <c r="Y161" s="29"/>
      <c r="Z161" s="29"/>
    </row>
    <row r="162" spans="2:26" ht="15" x14ac:dyDescent="0.25">
      <c r="B162"/>
      <c r="C162"/>
      <c r="D162"/>
      <c r="F162" s="35"/>
      <c r="G162" s="35"/>
      <c r="H162" s="35"/>
      <c r="I162" s="35"/>
      <c r="J162" s="29"/>
      <c r="N162" s="29"/>
      <c r="O162" s="29"/>
      <c r="P162" s="29"/>
      <c r="Q162" s="29"/>
      <c r="R162" s="29"/>
      <c r="S162" s="29"/>
      <c r="T162" s="29"/>
      <c r="U162" s="29"/>
      <c r="V162" s="29"/>
      <c r="W162" s="29"/>
      <c r="X162" s="29"/>
      <c r="Y162" s="29"/>
      <c r="Z162" s="29"/>
    </row>
    <row r="163" spans="2:26" ht="15" x14ac:dyDescent="0.25">
      <c r="B163"/>
      <c r="C163"/>
      <c r="D163"/>
      <c r="F163" s="35"/>
      <c r="G163" s="35"/>
      <c r="H163" s="35"/>
      <c r="I163" s="35"/>
      <c r="J163" s="29"/>
      <c r="N163" s="29"/>
      <c r="O163" s="29"/>
      <c r="P163" s="29"/>
      <c r="Q163" s="29"/>
      <c r="R163" s="29"/>
      <c r="S163" s="29"/>
      <c r="T163" s="29"/>
      <c r="U163" s="29"/>
      <c r="V163" s="29"/>
      <c r="W163" s="29"/>
      <c r="X163" s="29"/>
      <c r="Y163" s="29"/>
      <c r="Z163" s="29"/>
    </row>
    <row r="164" spans="2:26" ht="15" x14ac:dyDescent="0.25">
      <c r="B164"/>
      <c r="C164"/>
      <c r="D164"/>
      <c r="F164" s="35"/>
      <c r="G164" s="35"/>
      <c r="H164" s="35"/>
      <c r="I164" s="35"/>
      <c r="J164" s="29"/>
      <c r="N164" s="29"/>
      <c r="O164" s="29"/>
      <c r="P164" s="29"/>
      <c r="Q164" s="29"/>
      <c r="R164" s="29"/>
      <c r="S164" s="29"/>
      <c r="T164" s="29"/>
      <c r="U164" s="29"/>
      <c r="V164" s="29"/>
      <c r="W164" s="29"/>
      <c r="X164" s="29"/>
      <c r="Y164" s="29"/>
      <c r="Z164" s="29"/>
    </row>
    <row r="165" spans="2:26" ht="15" x14ac:dyDescent="0.25">
      <c r="B165"/>
      <c r="C165"/>
      <c r="D165"/>
      <c r="F165" s="35"/>
      <c r="G165" s="35"/>
      <c r="H165" s="35"/>
      <c r="I165" s="35"/>
      <c r="J165" s="29"/>
      <c r="N165" s="29"/>
      <c r="O165" s="29"/>
      <c r="P165" s="29"/>
      <c r="Q165" s="29"/>
      <c r="R165" s="29"/>
      <c r="S165" s="29"/>
      <c r="T165" s="29"/>
      <c r="U165" s="29"/>
      <c r="V165" s="29"/>
      <c r="W165" s="29"/>
      <c r="X165" s="29"/>
      <c r="Y165" s="29"/>
      <c r="Z165" s="29"/>
    </row>
    <row r="166" spans="2:26" x14ac:dyDescent="0.2">
      <c r="B166"/>
      <c r="C166"/>
      <c r="D166"/>
    </row>
    <row r="167" spans="2:26" x14ac:dyDescent="0.2">
      <c r="B167"/>
      <c r="C167"/>
      <c r="D167"/>
    </row>
    <row r="168" spans="2:26" x14ac:dyDescent="0.2">
      <c r="B168"/>
      <c r="C168"/>
      <c r="D168"/>
    </row>
    <row r="169" spans="2:26" x14ac:dyDescent="0.2">
      <c r="B169"/>
      <c r="C169"/>
      <c r="D169"/>
    </row>
    <row r="170" spans="2:26" x14ac:dyDescent="0.2">
      <c r="B170"/>
      <c r="C170"/>
      <c r="D170"/>
    </row>
    <row r="171" spans="2:26" x14ac:dyDescent="0.2">
      <c r="B171"/>
      <c r="C171"/>
      <c r="D171"/>
    </row>
    <row r="172" spans="2:26" x14ac:dyDescent="0.2">
      <c r="B172"/>
      <c r="C172"/>
      <c r="D172"/>
    </row>
    <row r="173" spans="2:26" x14ac:dyDescent="0.2">
      <c r="B173"/>
      <c r="C173"/>
      <c r="D173"/>
    </row>
    <row r="174" spans="2:26" x14ac:dyDescent="0.2">
      <c r="B174" s="46"/>
      <c r="C174" s="32"/>
    </row>
    <row r="175" spans="2:26" x14ac:dyDescent="0.2">
      <c r="B175" s="46"/>
      <c r="C175" s="32"/>
    </row>
    <row r="176" spans="2:26" x14ac:dyDescent="0.2">
      <c r="B176" s="46"/>
      <c r="C176" s="32"/>
    </row>
    <row r="177" spans="2:3" x14ac:dyDescent="0.2">
      <c r="B177" s="46"/>
      <c r="C177" s="32"/>
    </row>
    <row r="178" spans="2:3" x14ac:dyDescent="0.2">
      <c r="B178" s="46"/>
      <c r="C178" s="32"/>
    </row>
    <row r="179" spans="2:3" x14ac:dyDescent="0.2">
      <c r="B179" s="46"/>
      <c r="C179" s="32"/>
    </row>
    <row r="180" spans="2:3" x14ac:dyDescent="0.2">
      <c r="B180" s="46"/>
      <c r="C180" s="32"/>
    </row>
    <row r="181" spans="2:3" x14ac:dyDescent="0.2">
      <c r="B181" s="46"/>
      <c r="C181" s="32"/>
    </row>
    <row r="182" spans="2:3" x14ac:dyDescent="0.2">
      <c r="B182" s="46"/>
      <c r="C182" s="32"/>
    </row>
    <row r="183" spans="2:3" x14ac:dyDescent="0.2">
      <c r="B183" s="46"/>
      <c r="C183" s="32"/>
    </row>
    <row r="184" spans="2:3" x14ac:dyDescent="0.2">
      <c r="B184" s="46"/>
      <c r="C184" s="32"/>
    </row>
    <row r="185" spans="2:3" x14ac:dyDescent="0.2">
      <c r="B185" s="46"/>
      <c r="C185" s="32"/>
    </row>
    <row r="186" spans="2:3" x14ac:dyDescent="0.2">
      <c r="B186" s="46"/>
      <c r="C186" s="32"/>
    </row>
    <row r="187" spans="2:3" x14ac:dyDescent="0.2">
      <c r="B187" s="46"/>
      <c r="C187" s="32"/>
    </row>
    <row r="188" spans="2:3" x14ac:dyDescent="0.2">
      <c r="B188" s="46"/>
      <c r="C188" s="32"/>
    </row>
    <row r="189" spans="2:3" x14ac:dyDescent="0.2">
      <c r="B189" s="46"/>
      <c r="C189" s="32"/>
    </row>
    <row r="190" spans="2:3" x14ac:dyDescent="0.2">
      <c r="B190" s="46"/>
      <c r="C190" s="32"/>
    </row>
    <row r="191" spans="2:3" x14ac:dyDescent="0.2">
      <c r="B191" s="46"/>
      <c r="C191" s="32"/>
    </row>
    <row r="192" spans="2:3" x14ac:dyDescent="0.2">
      <c r="B192" s="46"/>
      <c r="C192" s="32"/>
    </row>
    <row r="193" spans="2:3" x14ac:dyDescent="0.2">
      <c r="B193" s="46"/>
      <c r="C193" s="32"/>
    </row>
    <row r="194" spans="2:3" x14ac:dyDescent="0.2">
      <c r="B194" s="46"/>
      <c r="C194" s="32"/>
    </row>
    <row r="195" spans="2:3" x14ac:dyDescent="0.2">
      <c r="B195" s="46"/>
      <c r="C195" s="32"/>
    </row>
    <row r="196" spans="2:3" x14ac:dyDescent="0.2">
      <c r="B196" s="46"/>
      <c r="C196" s="32"/>
    </row>
    <row r="197" spans="2:3" x14ac:dyDescent="0.2">
      <c r="B197" s="46"/>
      <c r="C197" s="32"/>
    </row>
    <row r="198" spans="2:3" x14ac:dyDescent="0.2">
      <c r="B198" s="46"/>
      <c r="C198" s="32"/>
    </row>
    <row r="199" spans="2:3" x14ac:dyDescent="0.2">
      <c r="B199" s="46"/>
      <c r="C199" s="32"/>
    </row>
    <row r="200" spans="2:3" x14ac:dyDescent="0.2">
      <c r="B200" s="46"/>
      <c r="C200" s="32"/>
    </row>
    <row r="201" spans="2:3" x14ac:dyDescent="0.2">
      <c r="B201" s="46"/>
      <c r="C201" s="32"/>
    </row>
    <row r="202" spans="2:3" x14ac:dyDescent="0.2">
      <c r="B202" s="46"/>
      <c r="C202" s="32"/>
    </row>
    <row r="203" spans="2:3" x14ac:dyDescent="0.2">
      <c r="B203" s="46"/>
      <c r="C203" s="32"/>
    </row>
    <row r="204" spans="2:3" x14ac:dyDescent="0.2">
      <c r="B204" s="46"/>
      <c r="C204" s="32"/>
    </row>
    <row r="205" spans="2:3" x14ac:dyDescent="0.2">
      <c r="B205" s="46"/>
      <c r="C205" s="32"/>
    </row>
    <row r="206" spans="2:3" x14ac:dyDescent="0.2">
      <c r="B206" s="46"/>
      <c r="C206" s="32"/>
    </row>
    <row r="207" spans="2:3" x14ac:dyDescent="0.2">
      <c r="B207" s="46"/>
      <c r="C207" s="32"/>
    </row>
    <row r="208" spans="2:3" x14ac:dyDescent="0.2">
      <c r="B208" s="46"/>
      <c r="C208" s="32"/>
    </row>
    <row r="209" spans="2:3" x14ac:dyDescent="0.2">
      <c r="B209" s="46"/>
      <c r="C209" s="32"/>
    </row>
    <row r="210" spans="2:3" x14ac:dyDescent="0.2">
      <c r="B210" s="46"/>
      <c r="C210" s="32"/>
    </row>
    <row r="211" spans="2:3" x14ac:dyDescent="0.2">
      <c r="B211" s="46"/>
      <c r="C211" s="32"/>
    </row>
    <row r="212" spans="2:3" x14ac:dyDescent="0.2">
      <c r="B212" s="46"/>
      <c r="C212" s="32"/>
    </row>
    <row r="213" spans="2:3" x14ac:dyDescent="0.2">
      <c r="B213" s="46"/>
      <c r="C213" s="32"/>
    </row>
    <row r="214" spans="2:3" x14ac:dyDescent="0.2">
      <c r="B214" s="46"/>
      <c r="C214" s="32"/>
    </row>
    <row r="215" spans="2:3" x14ac:dyDescent="0.2">
      <c r="B215" s="46"/>
      <c r="C215" s="32"/>
    </row>
    <row r="216" spans="2:3" x14ac:dyDescent="0.2">
      <c r="B216" s="46"/>
      <c r="C216" s="32"/>
    </row>
    <row r="217" spans="2:3" x14ac:dyDescent="0.2">
      <c r="B217" s="46"/>
      <c r="C217" s="32"/>
    </row>
    <row r="218" spans="2:3" x14ac:dyDescent="0.2">
      <c r="B218" s="46"/>
      <c r="C218" s="32"/>
    </row>
    <row r="219" spans="2:3" x14ac:dyDescent="0.2">
      <c r="B219" s="46"/>
      <c r="C219" s="32"/>
    </row>
    <row r="220" spans="2:3" x14ac:dyDescent="0.2">
      <c r="B220" s="46"/>
      <c r="C220" s="32"/>
    </row>
    <row r="221" spans="2:3" x14ac:dyDescent="0.2">
      <c r="B221" s="46"/>
      <c r="C221" s="32"/>
    </row>
    <row r="222" spans="2:3" x14ac:dyDescent="0.2">
      <c r="B222" s="46"/>
      <c r="C222" s="32"/>
    </row>
    <row r="223" spans="2:3" x14ac:dyDescent="0.2">
      <c r="B223" s="46"/>
      <c r="C223" s="32"/>
    </row>
    <row r="224" spans="2:3" x14ac:dyDescent="0.2">
      <c r="B224" s="46"/>
      <c r="C224" s="32"/>
    </row>
    <row r="225" spans="2:3" x14ac:dyDescent="0.2">
      <c r="B225" s="46"/>
      <c r="C225" s="32"/>
    </row>
    <row r="226" spans="2:3" x14ac:dyDescent="0.2">
      <c r="B226" s="46"/>
      <c r="C226" s="32"/>
    </row>
    <row r="227" spans="2:3" x14ac:dyDescent="0.2">
      <c r="B227" s="46"/>
      <c r="C227" s="32"/>
    </row>
    <row r="228" spans="2:3" x14ac:dyDescent="0.2">
      <c r="B228" s="46"/>
      <c r="C228" s="32"/>
    </row>
    <row r="229" spans="2:3" x14ac:dyDescent="0.2">
      <c r="B229" s="46"/>
      <c r="C229" s="32"/>
    </row>
    <row r="230" spans="2:3" x14ac:dyDescent="0.2">
      <c r="B230" s="46"/>
      <c r="C230" s="32"/>
    </row>
    <row r="231" spans="2:3" x14ac:dyDescent="0.2">
      <c r="B231" s="46"/>
      <c r="C231" s="32"/>
    </row>
    <row r="232" spans="2:3" x14ac:dyDescent="0.2">
      <c r="B232" s="46"/>
      <c r="C232" s="32"/>
    </row>
    <row r="233" spans="2:3" x14ac:dyDescent="0.2">
      <c r="B233" s="46"/>
      <c r="C233" s="32"/>
    </row>
    <row r="234" spans="2:3" x14ac:dyDescent="0.2">
      <c r="B234" s="46"/>
      <c r="C234" s="32"/>
    </row>
    <row r="235" spans="2:3" x14ac:dyDescent="0.2">
      <c r="B235" s="46"/>
      <c r="C235" s="32"/>
    </row>
    <row r="236" spans="2:3" x14ac:dyDescent="0.2">
      <c r="B236" s="46"/>
      <c r="C236" s="32"/>
    </row>
    <row r="237" spans="2:3" x14ac:dyDescent="0.2">
      <c r="B237" s="46"/>
      <c r="C237" s="32"/>
    </row>
    <row r="238" spans="2:3" x14ac:dyDescent="0.2">
      <c r="B238" s="46"/>
      <c r="C238" s="32"/>
    </row>
    <row r="239" spans="2:3" x14ac:dyDescent="0.2">
      <c r="B239" s="46"/>
      <c r="C239" s="32"/>
    </row>
    <row r="240" spans="2:3" x14ac:dyDescent="0.2">
      <c r="B240" s="46"/>
      <c r="C240" s="32"/>
    </row>
    <row r="241" spans="2:3" x14ac:dyDescent="0.2">
      <c r="B241" s="46"/>
      <c r="C241" s="32"/>
    </row>
    <row r="242" spans="2:3" x14ac:dyDescent="0.2">
      <c r="B242" s="46"/>
      <c r="C242" s="32"/>
    </row>
    <row r="243" spans="2:3" x14ac:dyDescent="0.2">
      <c r="B243" s="46"/>
      <c r="C243" s="32"/>
    </row>
    <row r="244" spans="2:3" x14ac:dyDescent="0.2">
      <c r="B244" s="46"/>
      <c r="C244" s="32"/>
    </row>
    <row r="245" spans="2:3" x14ac:dyDescent="0.2">
      <c r="B245" s="46"/>
      <c r="C245" s="32"/>
    </row>
    <row r="246" spans="2:3" x14ac:dyDescent="0.2">
      <c r="B246" s="46"/>
      <c r="C246" s="32"/>
    </row>
    <row r="247" spans="2:3" x14ac:dyDescent="0.2">
      <c r="B247" s="46"/>
      <c r="C247" s="32"/>
    </row>
    <row r="248" spans="2:3" x14ac:dyDescent="0.2">
      <c r="B248" s="46"/>
      <c r="C248" s="32"/>
    </row>
    <row r="249" spans="2:3" x14ac:dyDescent="0.2">
      <c r="B249" s="46"/>
      <c r="C249" s="32"/>
    </row>
    <row r="250" spans="2:3" x14ac:dyDescent="0.2">
      <c r="B250" s="46"/>
      <c r="C250" s="32"/>
    </row>
    <row r="251" spans="2:3" x14ac:dyDescent="0.2">
      <c r="B251" s="46"/>
      <c r="C251" s="32"/>
    </row>
    <row r="252" spans="2:3" x14ac:dyDescent="0.2">
      <c r="B252" s="46"/>
      <c r="C252" s="32"/>
    </row>
    <row r="253" spans="2:3" x14ac:dyDescent="0.2">
      <c r="B253" s="46"/>
      <c r="C253" s="32"/>
    </row>
    <row r="254" spans="2:3" x14ac:dyDescent="0.2">
      <c r="B254" s="46"/>
      <c r="C254" s="32"/>
    </row>
    <row r="255" spans="2:3" x14ac:dyDescent="0.2">
      <c r="B255" s="46"/>
      <c r="C255" s="32"/>
    </row>
    <row r="256" spans="2:3" x14ac:dyDescent="0.2">
      <c r="B256" s="46"/>
      <c r="C256" s="32"/>
    </row>
    <row r="257" spans="2:3" x14ac:dyDescent="0.2">
      <c r="B257" s="46"/>
      <c r="C257" s="32"/>
    </row>
    <row r="258" spans="2:3" x14ac:dyDescent="0.2">
      <c r="B258" s="46"/>
      <c r="C258" s="32"/>
    </row>
    <row r="259" spans="2:3" x14ac:dyDescent="0.2">
      <c r="B259" s="46"/>
      <c r="C259" s="32"/>
    </row>
    <row r="260" spans="2:3" x14ac:dyDescent="0.2">
      <c r="B260" s="46"/>
      <c r="C260" s="32"/>
    </row>
    <row r="261" spans="2:3" x14ac:dyDescent="0.2">
      <c r="B261" s="46"/>
      <c r="C261" s="32"/>
    </row>
    <row r="262" spans="2:3" x14ac:dyDescent="0.2">
      <c r="B262" s="46"/>
      <c r="C262" s="32"/>
    </row>
    <row r="263" spans="2:3" x14ac:dyDescent="0.2">
      <c r="B263" s="46"/>
      <c r="C263" s="32"/>
    </row>
    <row r="264" spans="2:3" x14ac:dyDescent="0.2">
      <c r="B264" s="46"/>
      <c r="C264" s="32"/>
    </row>
    <row r="265" spans="2:3" x14ac:dyDescent="0.2">
      <c r="B265" s="46"/>
      <c r="C265" s="32"/>
    </row>
    <row r="266" spans="2:3" x14ac:dyDescent="0.2">
      <c r="B266" s="46"/>
      <c r="C266" s="32"/>
    </row>
    <row r="267" spans="2:3" x14ac:dyDescent="0.2">
      <c r="B267" s="46"/>
      <c r="C267" s="32"/>
    </row>
    <row r="268" spans="2:3" x14ac:dyDescent="0.2">
      <c r="B268" s="46"/>
      <c r="C268" s="32"/>
    </row>
    <row r="269" spans="2:3" x14ac:dyDescent="0.2">
      <c r="B269" s="46"/>
      <c r="C269" s="32"/>
    </row>
    <row r="270" spans="2:3" x14ac:dyDescent="0.2">
      <c r="B270" s="46"/>
      <c r="C270" s="32"/>
    </row>
    <row r="271" spans="2:3" x14ac:dyDescent="0.2">
      <c r="B271" s="46"/>
      <c r="C271" s="32"/>
    </row>
    <row r="272" spans="2:3" x14ac:dyDescent="0.2">
      <c r="B272" s="46"/>
      <c r="C272" s="32"/>
    </row>
    <row r="273" spans="2:3" x14ac:dyDescent="0.2">
      <c r="B273" s="46"/>
      <c r="C273" s="32"/>
    </row>
    <row r="274" spans="2:3" x14ac:dyDescent="0.2">
      <c r="B274" s="46"/>
      <c r="C274" s="32"/>
    </row>
    <row r="275" spans="2:3" x14ac:dyDescent="0.2">
      <c r="B275" s="46"/>
      <c r="C275" s="32"/>
    </row>
    <row r="276" spans="2:3" x14ac:dyDescent="0.2">
      <c r="B276" s="46"/>
      <c r="C276" s="32"/>
    </row>
    <row r="277" spans="2:3" x14ac:dyDescent="0.2">
      <c r="B277" s="46"/>
      <c r="C277" s="32"/>
    </row>
    <row r="278" spans="2:3" x14ac:dyDescent="0.2">
      <c r="B278" s="46"/>
      <c r="C278" s="32"/>
    </row>
    <row r="279" spans="2:3" x14ac:dyDescent="0.2">
      <c r="B279" s="46"/>
      <c r="C279" s="32"/>
    </row>
    <row r="280" spans="2:3" x14ac:dyDescent="0.2">
      <c r="B280" s="46"/>
      <c r="C280" s="32"/>
    </row>
    <row r="281" spans="2:3" x14ac:dyDescent="0.2">
      <c r="B281" s="46"/>
      <c r="C281" s="32"/>
    </row>
    <row r="282" spans="2:3" x14ac:dyDescent="0.2">
      <c r="B282" s="46"/>
      <c r="C282" s="32"/>
    </row>
    <row r="283" spans="2:3" x14ac:dyDescent="0.2">
      <c r="B283" s="46"/>
      <c r="C283" s="32"/>
    </row>
    <row r="284" spans="2:3" x14ac:dyDescent="0.2">
      <c r="B284" s="46"/>
      <c r="C284" s="32"/>
    </row>
    <row r="285" spans="2:3" x14ac:dyDescent="0.2">
      <c r="B285" s="46"/>
      <c r="C285" s="32"/>
    </row>
    <row r="286" spans="2:3" x14ac:dyDescent="0.2">
      <c r="B286" s="46"/>
      <c r="C286" s="32"/>
    </row>
    <row r="287" spans="2:3" x14ac:dyDescent="0.2">
      <c r="B287" s="46"/>
      <c r="C287" s="32"/>
    </row>
    <row r="288" spans="2:3" x14ac:dyDescent="0.2">
      <c r="B288" s="46"/>
      <c r="C288" s="32"/>
    </row>
    <row r="289" spans="2:3" x14ac:dyDescent="0.2">
      <c r="B289" s="46"/>
      <c r="C289" s="32"/>
    </row>
    <row r="290" spans="2:3" x14ac:dyDescent="0.2">
      <c r="B290" s="46"/>
      <c r="C290" s="32"/>
    </row>
    <row r="291" spans="2:3" x14ac:dyDescent="0.2">
      <c r="B291" s="46"/>
      <c r="C291" s="32"/>
    </row>
    <row r="292" spans="2:3" x14ac:dyDescent="0.2">
      <c r="B292" s="46"/>
      <c r="C292" s="32"/>
    </row>
    <row r="293" spans="2:3" x14ac:dyDescent="0.2">
      <c r="B293" s="46"/>
      <c r="C293" s="32"/>
    </row>
    <row r="294" spans="2:3" x14ac:dyDescent="0.2">
      <c r="B294" s="46"/>
      <c r="C294" s="32"/>
    </row>
    <row r="295" spans="2:3" x14ac:dyDescent="0.2">
      <c r="B295" s="46"/>
      <c r="C295" s="32"/>
    </row>
    <row r="296" spans="2:3" x14ac:dyDescent="0.2">
      <c r="B296" s="46"/>
      <c r="C296" s="32"/>
    </row>
    <row r="297" spans="2:3" x14ac:dyDescent="0.2">
      <c r="B297" s="46"/>
      <c r="C297" s="32"/>
    </row>
    <row r="298" spans="2:3" x14ac:dyDescent="0.2">
      <c r="B298" s="46"/>
      <c r="C298" s="32"/>
    </row>
    <row r="299" spans="2:3" x14ac:dyDescent="0.2">
      <c r="B299" s="46"/>
      <c r="C299" s="32"/>
    </row>
    <row r="300" spans="2:3" x14ac:dyDescent="0.2">
      <c r="B300" s="46"/>
      <c r="C300" s="32"/>
    </row>
    <row r="301" spans="2:3" x14ac:dyDescent="0.2">
      <c r="B301" s="46"/>
      <c r="C301" s="32"/>
    </row>
    <row r="302" spans="2:3" x14ac:dyDescent="0.2">
      <c r="B302" s="46"/>
      <c r="C302" s="32"/>
    </row>
    <row r="303" spans="2:3" x14ac:dyDescent="0.2">
      <c r="B303" s="46"/>
      <c r="C303" s="32"/>
    </row>
    <row r="304" spans="2:3" x14ac:dyDescent="0.2">
      <c r="B304" s="46"/>
      <c r="C304" s="32"/>
    </row>
    <row r="305" spans="2:3" x14ac:dyDescent="0.2">
      <c r="B305" s="46"/>
      <c r="C305" s="32"/>
    </row>
    <row r="306" spans="2:3" x14ac:dyDescent="0.2">
      <c r="B306" s="46"/>
      <c r="C306" s="32"/>
    </row>
    <row r="307" spans="2:3" x14ac:dyDescent="0.2">
      <c r="B307" s="46"/>
      <c r="C307" s="32"/>
    </row>
    <row r="308" spans="2:3" x14ac:dyDescent="0.2">
      <c r="B308" s="46"/>
      <c r="C308" s="32"/>
    </row>
    <row r="309" spans="2:3" x14ac:dyDescent="0.2">
      <c r="B309" s="46"/>
      <c r="C309" s="32"/>
    </row>
    <row r="310" spans="2:3" x14ac:dyDescent="0.2">
      <c r="B310" s="46"/>
      <c r="C310" s="32"/>
    </row>
    <row r="311" spans="2:3" x14ac:dyDescent="0.2">
      <c r="B311" s="46"/>
      <c r="C311" s="32"/>
    </row>
    <row r="312" spans="2:3" x14ac:dyDescent="0.2">
      <c r="B312" s="46"/>
      <c r="C312" s="32"/>
    </row>
    <row r="313" spans="2:3" x14ac:dyDescent="0.2">
      <c r="B313" s="46"/>
      <c r="C313" s="32"/>
    </row>
    <row r="314" spans="2:3" x14ac:dyDescent="0.2">
      <c r="B314" s="46"/>
      <c r="C314" s="32"/>
    </row>
    <row r="315" spans="2:3" x14ac:dyDescent="0.2">
      <c r="B315" s="46"/>
      <c r="C315" s="32"/>
    </row>
    <row r="316" spans="2:3" x14ac:dyDescent="0.2">
      <c r="B316" s="46"/>
      <c r="C316" s="32"/>
    </row>
    <row r="317" spans="2:3" x14ac:dyDescent="0.2">
      <c r="B317" s="46"/>
      <c r="C317" s="32"/>
    </row>
    <row r="318" spans="2:3" x14ac:dyDescent="0.2">
      <c r="B318" s="46"/>
      <c r="C318" s="32"/>
    </row>
    <row r="319" spans="2:3" x14ac:dyDescent="0.2">
      <c r="B319" s="46"/>
      <c r="C319" s="32"/>
    </row>
    <row r="320" spans="2:3" x14ac:dyDescent="0.2">
      <c r="B320" s="46"/>
      <c r="C320" s="32"/>
    </row>
    <row r="321" spans="2:3" x14ac:dyDescent="0.2">
      <c r="B321" s="46"/>
      <c r="C321" s="32"/>
    </row>
    <row r="322" spans="2:3" x14ac:dyDescent="0.2">
      <c r="B322" s="46"/>
      <c r="C322" s="32"/>
    </row>
    <row r="323" spans="2:3" x14ac:dyDescent="0.2">
      <c r="B323" s="46"/>
      <c r="C323" s="32"/>
    </row>
    <row r="324" spans="2:3" x14ac:dyDescent="0.2">
      <c r="B324" s="46"/>
      <c r="C324" s="32"/>
    </row>
    <row r="325" spans="2:3" x14ac:dyDescent="0.2">
      <c r="B325" s="46"/>
      <c r="C325" s="32"/>
    </row>
    <row r="326" spans="2:3" x14ac:dyDescent="0.2">
      <c r="B326" s="46"/>
      <c r="C326" s="32"/>
    </row>
    <row r="327" spans="2:3" x14ac:dyDescent="0.2">
      <c r="B327" s="46"/>
      <c r="C327" s="32"/>
    </row>
    <row r="328" spans="2:3" x14ac:dyDescent="0.2">
      <c r="B328" s="46"/>
      <c r="C328" s="32"/>
    </row>
    <row r="329" spans="2:3" x14ac:dyDescent="0.2">
      <c r="B329" s="46"/>
      <c r="C329" s="32"/>
    </row>
    <row r="330" spans="2:3" x14ac:dyDescent="0.2">
      <c r="B330" s="46"/>
      <c r="C330" s="32"/>
    </row>
    <row r="331" spans="2:3" x14ac:dyDescent="0.2">
      <c r="B331" s="46"/>
      <c r="C331" s="32"/>
    </row>
    <row r="332" spans="2:3" x14ac:dyDescent="0.2">
      <c r="B332" s="46"/>
      <c r="C332" s="32"/>
    </row>
    <row r="333" spans="2:3" x14ac:dyDescent="0.2">
      <c r="B333" s="46"/>
      <c r="C333" s="32"/>
    </row>
    <row r="334" spans="2:3" x14ac:dyDescent="0.2">
      <c r="B334" s="46"/>
      <c r="C334" s="32"/>
    </row>
    <row r="335" spans="2:3" x14ac:dyDescent="0.2">
      <c r="B335" s="46"/>
      <c r="C335" s="32"/>
    </row>
    <row r="336" spans="2:3" x14ac:dyDescent="0.2">
      <c r="B336" s="46"/>
      <c r="C336" s="32"/>
    </row>
    <row r="337" spans="2:3" x14ac:dyDescent="0.2">
      <c r="B337" s="46"/>
      <c r="C337" s="32"/>
    </row>
    <row r="338" spans="2:3" x14ac:dyDescent="0.2">
      <c r="B338" s="46"/>
      <c r="C338" s="32"/>
    </row>
    <row r="339" spans="2:3" x14ac:dyDescent="0.2">
      <c r="B339" s="46"/>
      <c r="C339" s="32"/>
    </row>
    <row r="340" spans="2:3" x14ac:dyDescent="0.2">
      <c r="B340" s="46"/>
      <c r="C340" s="32"/>
    </row>
    <row r="341" spans="2:3" x14ac:dyDescent="0.2">
      <c r="B341" s="46"/>
      <c r="C341" s="32"/>
    </row>
    <row r="342" spans="2:3" x14ac:dyDescent="0.2">
      <c r="B342" s="46"/>
      <c r="C342" s="32"/>
    </row>
    <row r="343" spans="2:3" x14ac:dyDescent="0.2">
      <c r="B343" s="46"/>
      <c r="C343" s="32"/>
    </row>
    <row r="344" spans="2:3" x14ac:dyDescent="0.2">
      <c r="B344" s="46"/>
      <c r="C344" s="32"/>
    </row>
    <row r="345" spans="2:3" x14ac:dyDescent="0.2">
      <c r="B345" s="46"/>
      <c r="C345" s="32"/>
    </row>
    <row r="346" spans="2:3" x14ac:dyDescent="0.2">
      <c r="B346" s="46"/>
      <c r="C346" s="32"/>
    </row>
    <row r="347" spans="2:3" x14ac:dyDescent="0.2">
      <c r="B347" s="46"/>
      <c r="C347" s="32"/>
    </row>
    <row r="348" spans="2:3" x14ac:dyDescent="0.2">
      <c r="B348" s="46"/>
      <c r="C348" s="32"/>
    </row>
    <row r="349" spans="2:3" x14ac:dyDescent="0.2">
      <c r="B349" s="46"/>
      <c r="C349" s="32"/>
    </row>
    <row r="350" spans="2:3" x14ac:dyDescent="0.2">
      <c r="B350" s="46"/>
      <c r="C350" s="32"/>
    </row>
    <row r="351" spans="2:3" x14ac:dyDescent="0.2">
      <c r="B351" s="46"/>
      <c r="C351" s="32"/>
    </row>
    <row r="352" spans="2:3" x14ac:dyDescent="0.2">
      <c r="B352" s="46"/>
      <c r="C352" s="32"/>
    </row>
    <row r="353" spans="2:3" x14ac:dyDescent="0.2">
      <c r="B353" s="46"/>
      <c r="C353" s="32"/>
    </row>
    <row r="354" spans="2:3" x14ac:dyDescent="0.2">
      <c r="B354" s="46"/>
      <c r="C354" s="32"/>
    </row>
    <row r="355" spans="2:3" x14ac:dyDescent="0.2">
      <c r="B355" s="46"/>
      <c r="C355" s="32"/>
    </row>
    <row r="356" spans="2:3" x14ac:dyDescent="0.2">
      <c r="B356" s="46"/>
      <c r="C356" s="32"/>
    </row>
    <row r="357" spans="2:3" x14ac:dyDescent="0.2">
      <c r="B357" s="46"/>
      <c r="C357" s="32"/>
    </row>
    <row r="358" spans="2:3" x14ac:dyDescent="0.2">
      <c r="B358" s="46"/>
      <c r="C358" s="32"/>
    </row>
    <row r="359" spans="2:3" x14ac:dyDescent="0.2">
      <c r="B359" s="46"/>
      <c r="C359" s="32"/>
    </row>
    <row r="360" spans="2:3" x14ac:dyDescent="0.2">
      <c r="B360" s="46"/>
      <c r="C360" s="32"/>
    </row>
    <row r="361" spans="2:3" x14ac:dyDescent="0.2">
      <c r="B361" s="46"/>
      <c r="C361" s="32"/>
    </row>
    <row r="362" spans="2:3" x14ac:dyDescent="0.2">
      <c r="B362" s="46"/>
      <c r="C362" s="32"/>
    </row>
    <row r="363" spans="2:3" x14ac:dyDescent="0.2">
      <c r="B363" s="46"/>
      <c r="C363" s="32"/>
    </row>
    <row r="364" spans="2:3" x14ac:dyDescent="0.2">
      <c r="B364" s="46"/>
      <c r="C364" s="32"/>
    </row>
    <row r="365" spans="2:3" x14ac:dyDescent="0.2">
      <c r="B365" s="46"/>
      <c r="C365" s="32"/>
    </row>
    <row r="366" spans="2:3" x14ac:dyDescent="0.2">
      <c r="B366" s="46"/>
      <c r="C366" s="32"/>
    </row>
    <row r="367" spans="2:3" x14ac:dyDescent="0.2">
      <c r="B367" s="46"/>
      <c r="C367" s="32"/>
    </row>
    <row r="368" spans="2:3" x14ac:dyDescent="0.2">
      <c r="B368" s="46"/>
      <c r="C368" s="32"/>
    </row>
    <row r="369" spans="2:3" x14ac:dyDescent="0.2">
      <c r="B369" s="46"/>
      <c r="C369" s="32"/>
    </row>
    <row r="370" spans="2:3" x14ac:dyDescent="0.2">
      <c r="B370" s="46"/>
      <c r="C370" s="32"/>
    </row>
    <row r="371" spans="2:3" x14ac:dyDescent="0.2">
      <c r="B371" s="46"/>
      <c r="C371" s="32"/>
    </row>
    <row r="372" spans="2:3" x14ac:dyDescent="0.2">
      <c r="B372" s="46"/>
      <c r="C372" s="32"/>
    </row>
    <row r="373" spans="2:3" x14ac:dyDescent="0.2">
      <c r="B373" s="46"/>
      <c r="C373" s="32"/>
    </row>
    <row r="374" spans="2:3" x14ac:dyDescent="0.2">
      <c r="B374" s="46"/>
      <c r="C374" s="32"/>
    </row>
    <row r="375" spans="2:3" x14ac:dyDescent="0.2">
      <c r="B375" s="46"/>
      <c r="C375" s="32"/>
    </row>
    <row r="376" spans="2:3" x14ac:dyDescent="0.2">
      <c r="B376" s="46"/>
      <c r="C376" s="32"/>
    </row>
    <row r="377" spans="2:3" x14ac:dyDescent="0.2">
      <c r="B377" s="46"/>
      <c r="C377" s="32"/>
    </row>
    <row r="378" spans="2:3" x14ac:dyDescent="0.2">
      <c r="B378" s="46"/>
      <c r="C378" s="32"/>
    </row>
    <row r="379" spans="2:3" x14ac:dyDescent="0.2">
      <c r="B379" s="46"/>
      <c r="C379" s="32"/>
    </row>
    <row r="380" spans="2:3" x14ac:dyDescent="0.2">
      <c r="B380" s="46"/>
      <c r="C380" s="32"/>
    </row>
    <row r="381" spans="2:3" x14ac:dyDescent="0.2">
      <c r="B381" s="46"/>
      <c r="C381" s="32"/>
    </row>
    <row r="382" spans="2:3" x14ac:dyDescent="0.2">
      <c r="B382" s="46"/>
      <c r="C382" s="32"/>
    </row>
    <row r="383" spans="2:3" x14ac:dyDescent="0.2">
      <c r="B383" s="46"/>
      <c r="C383" s="32"/>
    </row>
    <row r="384" spans="2:3" x14ac:dyDescent="0.2">
      <c r="B384" s="46"/>
      <c r="C384" s="32"/>
    </row>
    <row r="385" spans="2:3" x14ac:dyDescent="0.2">
      <c r="B385" s="46"/>
      <c r="C385" s="32"/>
    </row>
    <row r="386" spans="2:3" x14ac:dyDescent="0.2">
      <c r="B386" s="46"/>
      <c r="C386" s="32"/>
    </row>
    <row r="387" spans="2:3" x14ac:dyDescent="0.2">
      <c r="B387" s="46"/>
      <c r="C387" s="32"/>
    </row>
    <row r="388" spans="2:3" x14ac:dyDescent="0.2">
      <c r="B388" s="46"/>
      <c r="C388" s="32"/>
    </row>
    <row r="389" spans="2:3" x14ac:dyDescent="0.2">
      <c r="B389" s="46"/>
      <c r="C389" s="32"/>
    </row>
    <row r="390" spans="2:3" x14ac:dyDescent="0.2">
      <c r="B390" s="46"/>
      <c r="C390" s="32"/>
    </row>
    <row r="391" spans="2:3" x14ac:dyDescent="0.2">
      <c r="B391" s="46"/>
      <c r="C391" s="32"/>
    </row>
    <row r="392" spans="2:3" x14ac:dyDescent="0.2">
      <c r="B392" s="46"/>
      <c r="C392" s="32"/>
    </row>
    <row r="393" spans="2:3" x14ac:dyDescent="0.2">
      <c r="B393" s="46"/>
      <c r="C393" s="32"/>
    </row>
    <row r="394" spans="2:3" x14ac:dyDescent="0.2">
      <c r="B394" s="46"/>
      <c r="C394" s="32"/>
    </row>
    <row r="395" spans="2:3" x14ac:dyDescent="0.2">
      <c r="B395" s="46"/>
      <c r="C395" s="32"/>
    </row>
    <row r="396" spans="2:3" x14ac:dyDescent="0.2">
      <c r="B396" s="46"/>
      <c r="C396" s="32"/>
    </row>
    <row r="397" spans="2:3" x14ac:dyDescent="0.2">
      <c r="B397" s="46"/>
      <c r="C397" s="32"/>
    </row>
    <row r="398" spans="2:3" x14ac:dyDescent="0.2">
      <c r="B398" s="46"/>
      <c r="C398" s="32"/>
    </row>
    <row r="399" spans="2:3" x14ac:dyDescent="0.2">
      <c r="B399" s="46"/>
      <c r="C399" s="32"/>
    </row>
    <row r="400" spans="2:3" x14ac:dyDescent="0.2">
      <c r="B400" s="46"/>
      <c r="C400" s="32"/>
    </row>
    <row r="401" spans="2:3" x14ac:dyDescent="0.2">
      <c r="B401" s="46"/>
      <c r="C401" s="32"/>
    </row>
    <row r="402" spans="2:3" x14ac:dyDescent="0.2">
      <c r="B402" s="46"/>
      <c r="C402" s="32"/>
    </row>
    <row r="403" spans="2:3" x14ac:dyDescent="0.2">
      <c r="B403" s="46"/>
      <c r="C403" s="32"/>
    </row>
    <row r="404" spans="2:3" x14ac:dyDescent="0.2">
      <c r="B404" s="46"/>
      <c r="C404" s="32"/>
    </row>
    <row r="405" spans="2:3" x14ac:dyDescent="0.2">
      <c r="B405" s="46"/>
      <c r="C405" s="32"/>
    </row>
    <row r="406" spans="2:3" x14ac:dyDescent="0.2">
      <c r="B406" s="46"/>
      <c r="C406" s="32"/>
    </row>
    <row r="407" spans="2:3" x14ac:dyDescent="0.2">
      <c r="B407" s="46"/>
      <c r="C407" s="32"/>
    </row>
    <row r="408" spans="2:3" x14ac:dyDescent="0.2">
      <c r="B408" s="46"/>
      <c r="C408" s="32"/>
    </row>
    <row r="409" spans="2:3" x14ac:dyDescent="0.2">
      <c r="B409" s="46"/>
      <c r="C409" s="32"/>
    </row>
    <row r="410" spans="2:3" x14ac:dyDescent="0.2">
      <c r="B410" s="46"/>
      <c r="C410" s="32"/>
    </row>
    <row r="411" spans="2:3" x14ac:dyDescent="0.2">
      <c r="B411" s="46"/>
      <c r="C411" s="32"/>
    </row>
    <row r="412" spans="2:3" x14ac:dyDescent="0.2">
      <c r="B412" s="46"/>
      <c r="C412" s="32"/>
    </row>
    <row r="413" spans="2:3" x14ac:dyDescent="0.2">
      <c r="B413" s="46"/>
      <c r="C413" s="32"/>
    </row>
    <row r="414" spans="2:3" x14ac:dyDescent="0.2">
      <c r="B414" s="46"/>
      <c r="C414" s="32"/>
    </row>
    <row r="415" spans="2:3" x14ac:dyDescent="0.2">
      <c r="B415" s="46"/>
      <c r="C415" s="32"/>
    </row>
    <row r="416" spans="2:3" x14ac:dyDescent="0.2">
      <c r="B416" s="46"/>
      <c r="C416" s="32"/>
    </row>
    <row r="417" spans="2:3" x14ac:dyDescent="0.2">
      <c r="B417" s="46"/>
      <c r="C417" s="32"/>
    </row>
    <row r="418" spans="2:3" x14ac:dyDescent="0.2">
      <c r="B418" s="46"/>
      <c r="C418" s="32"/>
    </row>
    <row r="419" spans="2:3" x14ac:dyDescent="0.2">
      <c r="B419" s="46"/>
      <c r="C419" s="32"/>
    </row>
    <row r="420" spans="2:3" x14ac:dyDescent="0.2">
      <c r="B420" s="46"/>
      <c r="C420" s="32"/>
    </row>
    <row r="421" spans="2:3" x14ac:dyDescent="0.2">
      <c r="B421" s="46"/>
      <c r="C421" s="32"/>
    </row>
    <row r="422" spans="2:3" x14ac:dyDescent="0.2">
      <c r="B422" s="46"/>
      <c r="C422" s="32"/>
    </row>
    <row r="423" spans="2:3" x14ac:dyDescent="0.2">
      <c r="B423" s="46"/>
      <c r="C423" s="32"/>
    </row>
    <row r="424" spans="2:3" x14ac:dyDescent="0.2">
      <c r="B424" s="46"/>
      <c r="C424" s="32"/>
    </row>
    <row r="425" spans="2:3" x14ac:dyDescent="0.2">
      <c r="B425" s="46"/>
      <c r="C425" s="32"/>
    </row>
    <row r="426" spans="2:3" x14ac:dyDescent="0.2">
      <c r="B426" s="46"/>
      <c r="C426" s="32"/>
    </row>
    <row r="427" spans="2:3" x14ac:dyDescent="0.2">
      <c r="B427" s="46"/>
      <c r="C427" s="32"/>
    </row>
    <row r="428" spans="2:3" x14ac:dyDescent="0.2">
      <c r="B428" s="46"/>
      <c r="C428" s="32"/>
    </row>
    <row r="429" spans="2:3" x14ac:dyDescent="0.2">
      <c r="B429" s="46"/>
      <c r="C429" s="32"/>
    </row>
    <row r="430" spans="2:3" x14ac:dyDescent="0.2">
      <c r="B430" s="46"/>
      <c r="C430" s="32"/>
    </row>
    <row r="431" spans="2:3" x14ac:dyDescent="0.2">
      <c r="B431" s="46"/>
      <c r="C431" s="32"/>
    </row>
    <row r="432" spans="2:3" x14ac:dyDescent="0.2">
      <c r="B432" s="46"/>
      <c r="C432" s="32"/>
    </row>
    <row r="433" spans="2:3" x14ac:dyDescent="0.2">
      <c r="B433" s="46"/>
      <c r="C433" s="32"/>
    </row>
    <row r="434" spans="2:3" x14ac:dyDescent="0.2">
      <c r="B434" s="46"/>
      <c r="C434" s="32"/>
    </row>
    <row r="435" spans="2:3" x14ac:dyDescent="0.2">
      <c r="B435" s="46"/>
      <c r="C435" s="32"/>
    </row>
    <row r="436" spans="2:3" x14ac:dyDescent="0.2">
      <c r="B436" s="46"/>
      <c r="C436" s="32"/>
    </row>
    <row r="437" spans="2:3" x14ac:dyDescent="0.2">
      <c r="B437" s="46"/>
      <c r="C437" s="32"/>
    </row>
    <row r="438" spans="2:3" x14ac:dyDescent="0.2">
      <c r="B438" s="46"/>
      <c r="C438" s="32"/>
    </row>
    <row r="439" spans="2:3" x14ac:dyDescent="0.2">
      <c r="B439" s="46"/>
      <c r="C439" s="32"/>
    </row>
    <row r="440" spans="2:3" x14ac:dyDescent="0.2">
      <c r="B440" s="46"/>
      <c r="C440" s="32"/>
    </row>
    <row r="441" spans="2:3" x14ac:dyDescent="0.2">
      <c r="B441" s="46"/>
      <c r="C441" s="32"/>
    </row>
    <row r="442" spans="2:3" x14ac:dyDescent="0.2">
      <c r="B442" s="46"/>
      <c r="C442" s="32"/>
    </row>
    <row r="443" spans="2:3" x14ac:dyDescent="0.2">
      <c r="B443" s="46"/>
      <c r="C443" s="32"/>
    </row>
    <row r="444" spans="2:3" x14ac:dyDescent="0.2">
      <c r="B444" s="46"/>
      <c r="C444" s="32"/>
    </row>
    <row r="445" spans="2:3" x14ac:dyDescent="0.2">
      <c r="B445" s="46"/>
      <c r="C445" s="32"/>
    </row>
    <row r="446" spans="2:3" x14ac:dyDescent="0.2">
      <c r="B446" s="46"/>
      <c r="C446" s="32"/>
    </row>
    <row r="447" spans="2:3" x14ac:dyDescent="0.2">
      <c r="B447" s="46"/>
      <c r="C447" s="32"/>
    </row>
    <row r="448" spans="2:3" x14ac:dyDescent="0.2">
      <c r="B448" s="46"/>
      <c r="C448" s="32"/>
    </row>
    <row r="449" spans="2:3" x14ac:dyDescent="0.2">
      <c r="B449" s="46"/>
      <c r="C449" s="32"/>
    </row>
    <row r="450" spans="2:3" x14ac:dyDescent="0.2">
      <c r="B450" s="46"/>
      <c r="C450" s="32"/>
    </row>
    <row r="451" spans="2:3" x14ac:dyDescent="0.2">
      <c r="B451" s="46"/>
      <c r="C451" s="32"/>
    </row>
    <row r="452" spans="2:3" x14ac:dyDescent="0.2">
      <c r="B452" s="46"/>
      <c r="C452" s="32"/>
    </row>
    <row r="453" spans="2:3" x14ac:dyDescent="0.2">
      <c r="B453" s="46"/>
      <c r="C453" s="32"/>
    </row>
    <row r="454" spans="2:3" x14ac:dyDescent="0.2">
      <c r="B454" s="46"/>
      <c r="C454" s="32"/>
    </row>
    <row r="455" spans="2:3" x14ac:dyDescent="0.2">
      <c r="B455" s="46"/>
      <c r="C455" s="32"/>
    </row>
    <row r="456" spans="2:3" x14ac:dyDescent="0.2">
      <c r="B456" s="46"/>
      <c r="C456" s="32"/>
    </row>
    <row r="457" spans="2:3" x14ac:dyDescent="0.2">
      <c r="B457" s="46"/>
      <c r="C457" s="32"/>
    </row>
    <row r="458" spans="2:3" x14ac:dyDescent="0.2">
      <c r="B458" s="46"/>
      <c r="C458" s="32"/>
    </row>
    <row r="459" spans="2:3" x14ac:dyDescent="0.2">
      <c r="B459" s="46"/>
      <c r="C459" s="32"/>
    </row>
    <row r="460" spans="2:3" x14ac:dyDescent="0.2">
      <c r="B460" s="46"/>
      <c r="C460" s="32"/>
    </row>
    <row r="461" spans="2:3" x14ac:dyDescent="0.2">
      <c r="B461" s="46"/>
      <c r="C461" s="32"/>
    </row>
    <row r="462" spans="2:3" x14ac:dyDescent="0.2">
      <c r="B462" s="46"/>
      <c r="C462" s="32"/>
    </row>
    <row r="463" spans="2:3" x14ac:dyDescent="0.2">
      <c r="B463" s="46"/>
      <c r="C463" s="32"/>
    </row>
    <row r="464" spans="2:3" x14ac:dyDescent="0.2">
      <c r="B464" s="46"/>
      <c r="C464" s="32"/>
    </row>
    <row r="465" spans="2:3" x14ac:dyDescent="0.2">
      <c r="B465" s="46"/>
      <c r="C465" s="32"/>
    </row>
    <row r="466" spans="2:3" x14ac:dyDescent="0.2">
      <c r="B466" s="46"/>
      <c r="C466" s="32"/>
    </row>
    <row r="467" spans="2:3" x14ac:dyDescent="0.2">
      <c r="B467" s="46"/>
      <c r="C467" s="32"/>
    </row>
    <row r="468" spans="2:3" x14ac:dyDescent="0.2">
      <c r="B468" s="46"/>
      <c r="C468" s="32"/>
    </row>
    <row r="469" spans="2:3" x14ac:dyDescent="0.2">
      <c r="B469" s="46"/>
      <c r="C469" s="32"/>
    </row>
    <row r="470" spans="2:3" x14ac:dyDescent="0.2">
      <c r="B470" s="46"/>
      <c r="C470" s="32"/>
    </row>
    <row r="471" spans="2:3" x14ac:dyDescent="0.2">
      <c r="B471" s="46"/>
      <c r="C471" s="32"/>
    </row>
    <row r="472" spans="2:3" x14ac:dyDescent="0.2">
      <c r="B472" s="46"/>
      <c r="C472" s="32"/>
    </row>
    <row r="473" spans="2:3" x14ac:dyDescent="0.2">
      <c r="B473" s="46"/>
      <c r="C473" s="32"/>
    </row>
    <row r="474" spans="2:3" x14ac:dyDescent="0.2">
      <c r="B474" s="46"/>
      <c r="C474" s="32"/>
    </row>
    <row r="475" spans="2:3" x14ac:dyDescent="0.2">
      <c r="B475" s="46"/>
      <c r="C475" s="32"/>
    </row>
    <row r="476" spans="2:3" x14ac:dyDescent="0.2">
      <c r="B476" s="46"/>
      <c r="C476" s="32"/>
    </row>
    <row r="477" spans="2:3" x14ac:dyDescent="0.2">
      <c r="B477" s="46"/>
      <c r="C477" s="32"/>
    </row>
    <row r="478" spans="2:3" x14ac:dyDescent="0.2">
      <c r="B478" s="46"/>
      <c r="C478" s="32"/>
    </row>
    <row r="479" spans="2:3" x14ac:dyDescent="0.2">
      <c r="B479" s="46"/>
      <c r="C479" s="32"/>
    </row>
    <row r="480" spans="2:3" x14ac:dyDescent="0.2">
      <c r="B480" s="46"/>
      <c r="C480" s="32"/>
    </row>
    <row r="481" spans="2:3" x14ac:dyDescent="0.2">
      <c r="B481" s="46"/>
      <c r="C481" s="32"/>
    </row>
    <row r="482" spans="2:3" x14ac:dyDescent="0.2">
      <c r="B482" s="46"/>
      <c r="C482" s="32"/>
    </row>
    <row r="483" spans="2:3" x14ac:dyDescent="0.2">
      <c r="B483" s="46"/>
      <c r="C483" s="32"/>
    </row>
    <row r="484" spans="2:3" x14ac:dyDescent="0.2">
      <c r="B484" s="46"/>
      <c r="C484" s="32"/>
    </row>
    <row r="485" spans="2:3" x14ac:dyDescent="0.2">
      <c r="B485" s="46"/>
      <c r="C485" s="32"/>
    </row>
    <row r="486" spans="2:3" x14ac:dyDescent="0.2">
      <c r="B486" s="46"/>
      <c r="C486" s="32"/>
    </row>
    <row r="487" spans="2:3" x14ac:dyDescent="0.2">
      <c r="B487" s="46"/>
      <c r="C487" s="32"/>
    </row>
    <row r="488" spans="2:3" x14ac:dyDescent="0.2">
      <c r="B488" s="46"/>
      <c r="C488" s="32"/>
    </row>
    <row r="489" spans="2:3" x14ac:dyDescent="0.2">
      <c r="B489" s="46"/>
      <c r="C489" s="32"/>
    </row>
    <row r="490" spans="2:3" x14ac:dyDescent="0.2">
      <c r="B490" s="46"/>
      <c r="C490" s="32"/>
    </row>
    <row r="491" spans="2:3" x14ac:dyDescent="0.2">
      <c r="B491" s="46"/>
      <c r="C491" s="32"/>
    </row>
    <row r="492" spans="2:3" x14ac:dyDescent="0.2">
      <c r="B492" s="46"/>
      <c r="C492" s="32"/>
    </row>
    <row r="493" spans="2:3" x14ac:dyDescent="0.2">
      <c r="B493" s="46"/>
      <c r="C493" s="32"/>
    </row>
    <row r="494" spans="2:3" x14ac:dyDescent="0.2">
      <c r="B494" s="46"/>
      <c r="C494" s="32"/>
    </row>
    <row r="495" spans="2:3" x14ac:dyDescent="0.2">
      <c r="B495" s="46"/>
      <c r="C495" s="32"/>
    </row>
    <row r="496" spans="2:3" x14ac:dyDescent="0.2">
      <c r="B496" s="46"/>
      <c r="C496" s="32"/>
    </row>
    <row r="497" spans="2:3" x14ac:dyDescent="0.2">
      <c r="B497" s="46"/>
      <c r="C497" s="32"/>
    </row>
    <row r="498" spans="2:3" x14ac:dyDescent="0.2">
      <c r="B498" s="46"/>
      <c r="C498" s="32"/>
    </row>
    <row r="499" spans="2:3" x14ac:dyDescent="0.2">
      <c r="B499" s="46"/>
      <c r="C499" s="32"/>
    </row>
    <row r="500" spans="2:3" x14ac:dyDescent="0.2">
      <c r="B500" s="46"/>
      <c r="C500" s="32"/>
    </row>
    <row r="501" spans="2:3" x14ac:dyDescent="0.2">
      <c r="B501" s="46"/>
      <c r="C501" s="32"/>
    </row>
    <row r="502" spans="2:3" x14ac:dyDescent="0.2">
      <c r="B502" s="46"/>
      <c r="C502" s="32"/>
    </row>
    <row r="503" spans="2:3" x14ac:dyDescent="0.2">
      <c r="B503" s="46"/>
      <c r="C503" s="32"/>
    </row>
    <row r="504" spans="2:3" x14ac:dyDescent="0.2">
      <c r="B504" s="46"/>
      <c r="C504" s="32"/>
    </row>
    <row r="505" spans="2:3" x14ac:dyDescent="0.2">
      <c r="B505" s="46"/>
      <c r="C505" s="32"/>
    </row>
    <row r="506" spans="2:3" x14ac:dyDescent="0.2">
      <c r="B506" s="46"/>
      <c r="C506" s="32"/>
    </row>
    <row r="507" spans="2:3" x14ac:dyDescent="0.2">
      <c r="B507" s="46"/>
      <c r="C507" s="32"/>
    </row>
    <row r="508" spans="2:3" x14ac:dyDescent="0.2">
      <c r="B508" s="46"/>
      <c r="C508" s="32"/>
    </row>
    <row r="509" spans="2:3" x14ac:dyDescent="0.2">
      <c r="B509" s="46"/>
      <c r="C509" s="32"/>
    </row>
    <row r="510" spans="2:3" x14ac:dyDescent="0.2">
      <c r="B510" s="46"/>
      <c r="C510" s="32"/>
    </row>
    <row r="511" spans="2:3" x14ac:dyDescent="0.2">
      <c r="B511" s="46"/>
      <c r="C511" s="32"/>
    </row>
    <row r="512" spans="2:3" x14ac:dyDescent="0.2">
      <c r="B512" s="46"/>
      <c r="C512" s="32"/>
    </row>
    <row r="513" spans="2:3" x14ac:dyDescent="0.2">
      <c r="B513" s="46"/>
      <c r="C513" s="32"/>
    </row>
    <row r="514" spans="2:3" x14ac:dyDescent="0.2">
      <c r="B514" s="46"/>
      <c r="C514" s="32"/>
    </row>
    <row r="515" spans="2:3" x14ac:dyDescent="0.2">
      <c r="B515" s="46"/>
      <c r="C515" s="32"/>
    </row>
    <row r="516" spans="2:3" x14ac:dyDescent="0.2">
      <c r="B516" s="46"/>
      <c r="C516" s="32"/>
    </row>
    <row r="517" spans="2:3" x14ac:dyDescent="0.2">
      <c r="B517" s="46"/>
      <c r="C517" s="32"/>
    </row>
    <row r="518" spans="2:3" x14ac:dyDescent="0.2">
      <c r="B518" s="46"/>
      <c r="C518" s="32"/>
    </row>
    <row r="519" spans="2:3" x14ac:dyDescent="0.2">
      <c r="B519" s="46"/>
      <c r="C519" s="32"/>
    </row>
    <row r="520" spans="2:3" x14ac:dyDescent="0.2">
      <c r="B520" s="46"/>
      <c r="C520" s="32"/>
    </row>
    <row r="521" spans="2:3" x14ac:dyDescent="0.2">
      <c r="B521" s="46"/>
      <c r="C521" s="32"/>
    </row>
    <row r="522" spans="2:3" x14ac:dyDescent="0.2">
      <c r="B522" s="46"/>
      <c r="C522" s="32"/>
    </row>
    <row r="523" spans="2:3" x14ac:dyDescent="0.2">
      <c r="B523" s="46"/>
      <c r="C523" s="32"/>
    </row>
    <row r="524" spans="2:3" x14ac:dyDescent="0.2">
      <c r="B524" s="46"/>
      <c r="C524" s="32"/>
    </row>
    <row r="525" spans="2:3" x14ac:dyDescent="0.2">
      <c r="B525" s="46"/>
      <c r="C525" s="32"/>
    </row>
    <row r="526" spans="2:3" x14ac:dyDescent="0.2">
      <c r="B526" s="46"/>
      <c r="C526" s="32"/>
    </row>
    <row r="527" spans="2:3" x14ac:dyDescent="0.2">
      <c r="B527" s="46"/>
      <c r="C527" s="32"/>
    </row>
    <row r="528" spans="2:3" x14ac:dyDescent="0.2">
      <c r="B528" s="46"/>
      <c r="C528" s="32"/>
    </row>
    <row r="529" spans="2:3" x14ac:dyDescent="0.2">
      <c r="B529" s="46"/>
      <c r="C529" s="32"/>
    </row>
    <row r="530" spans="2:3" x14ac:dyDescent="0.2">
      <c r="B530" s="46"/>
      <c r="C530" s="32"/>
    </row>
    <row r="531" spans="2:3" x14ac:dyDescent="0.2">
      <c r="B531" s="46"/>
      <c r="C531" s="32"/>
    </row>
    <row r="532" spans="2:3" x14ac:dyDescent="0.2">
      <c r="B532" s="46"/>
      <c r="C532" s="32"/>
    </row>
    <row r="533" spans="2:3" x14ac:dyDescent="0.2">
      <c r="B533" s="46"/>
      <c r="C533" s="32"/>
    </row>
    <row r="534" spans="2:3" x14ac:dyDescent="0.2">
      <c r="B534" s="46"/>
      <c r="C534" s="32"/>
    </row>
    <row r="535" spans="2:3" x14ac:dyDescent="0.2">
      <c r="B535" s="46"/>
      <c r="C535" s="32"/>
    </row>
    <row r="536" spans="2:3" x14ac:dyDescent="0.2">
      <c r="B536" s="46"/>
      <c r="C536" s="32"/>
    </row>
    <row r="537" spans="2:3" x14ac:dyDescent="0.2">
      <c r="B537" s="46"/>
      <c r="C537" s="32"/>
    </row>
    <row r="538" spans="2:3" x14ac:dyDescent="0.2">
      <c r="B538" s="46"/>
      <c r="C538" s="32"/>
    </row>
    <row r="539" spans="2:3" x14ac:dyDescent="0.2">
      <c r="B539" s="46"/>
      <c r="C539" s="32"/>
    </row>
    <row r="540" spans="2:3" x14ac:dyDescent="0.2">
      <c r="B540" s="46"/>
      <c r="C540" s="32"/>
    </row>
    <row r="541" spans="2:3" x14ac:dyDescent="0.2">
      <c r="B541" s="46"/>
      <c r="C541" s="32"/>
    </row>
    <row r="542" spans="2:3" x14ac:dyDescent="0.2">
      <c r="B542" s="46"/>
      <c r="C542" s="32"/>
    </row>
    <row r="543" spans="2:3" x14ac:dyDescent="0.2">
      <c r="B543" s="46"/>
      <c r="C543" s="32"/>
    </row>
    <row r="544" spans="2:3" x14ac:dyDescent="0.2">
      <c r="B544" s="46"/>
      <c r="C544" s="32"/>
    </row>
    <row r="545" spans="2:3" x14ac:dyDescent="0.2">
      <c r="B545" s="46"/>
      <c r="C545" s="32"/>
    </row>
    <row r="546" spans="2:3" x14ac:dyDescent="0.2">
      <c r="B546" s="46"/>
      <c r="C546" s="32"/>
    </row>
    <row r="547" spans="2:3" x14ac:dyDescent="0.2">
      <c r="B547" s="46"/>
      <c r="C547" s="32"/>
    </row>
    <row r="548" spans="2:3" x14ac:dyDescent="0.2">
      <c r="B548" s="46"/>
      <c r="C548" s="32"/>
    </row>
    <row r="549" spans="2:3" x14ac:dyDescent="0.2">
      <c r="B549" s="46"/>
      <c r="C549" s="32"/>
    </row>
    <row r="550" spans="2:3" x14ac:dyDescent="0.2">
      <c r="B550" s="46"/>
      <c r="C550" s="32"/>
    </row>
    <row r="551" spans="2:3" x14ac:dyDescent="0.2">
      <c r="B551" s="46"/>
      <c r="C551" s="32"/>
    </row>
    <row r="552" spans="2:3" x14ac:dyDescent="0.2">
      <c r="B552" s="46"/>
      <c r="C552" s="32"/>
    </row>
    <row r="553" spans="2:3" x14ac:dyDescent="0.2">
      <c r="B553" s="46"/>
      <c r="C553" s="32"/>
    </row>
    <row r="554" spans="2:3" x14ac:dyDescent="0.2">
      <c r="B554" s="46"/>
      <c r="C554" s="32"/>
    </row>
    <row r="555" spans="2:3" x14ac:dyDescent="0.2">
      <c r="B555" s="46"/>
      <c r="C555" s="32"/>
    </row>
    <row r="556" spans="2:3" x14ac:dyDescent="0.2">
      <c r="B556" s="46"/>
      <c r="C556" s="32"/>
    </row>
    <row r="557" spans="2:3" x14ac:dyDescent="0.2">
      <c r="B557" s="46"/>
      <c r="C557" s="32"/>
    </row>
    <row r="558" spans="2:3" x14ac:dyDescent="0.2">
      <c r="B558" s="46"/>
      <c r="C558" s="32"/>
    </row>
    <row r="559" spans="2:3" x14ac:dyDescent="0.2">
      <c r="B559" s="46"/>
      <c r="C559" s="32"/>
    </row>
    <row r="560" spans="2:3" x14ac:dyDescent="0.2">
      <c r="B560" s="46"/>
      <c r="C560" s="32"/>
    </row>
    <row r="561" spans="2:3" x14ac:dyDescent="0.2">
      <c r="B561" s="46"/>
      <c r="C561" s="32"/>
    </row>
    <row r="562" spans="2:3" x14ac:dyDescent="0.2">
      <c r="B562" s="46"/>
      <c r="C562" s="32"/>
    </row>
    <row r="563" spans="2:3" x14ac:dyDescent="0.2">
      <c r="B563" s="46"/>
      <c r="C563" s="32"/>
    </row>
    <row r="564" spans="2:3" x14ac:dyDescent="0.2">
      <c r="B564" s="46"/>
      <c r="C564" s="32"/>
    </row>
    <row r="565" spans="2:3" x14ac:dyDescent="0.2">
      <c r="B565" s="46"/>
      <c r="C565" s="32"/>
    </row>
    <row r="566" spans="2:3" x14ac:dyDescent="0.2">
      <c r="B566" s="46"/>
      <c r="C566" s="32"/>
    </row>
    <row r="567" spans="2:3" x14ac:dyDescent="0.2">
      <c r="B567" s="46"/>
      <c r="C567" s="32"/>
    </row>
    <row r="568" spans="2:3" x14ac:dyDescent="0.2">
      <c r="B568" s="46"/>
      <c r="C568" s="32"/>
    </row>
    <row r="569" spans="2:3" x14ac:dyDescent="0.2">
      <c r="B569" s="46"/>
      <c r="C569" s="32"/>
    </row>
    <row r="570" spans="2:3" x14ac:dyDescent="0.2">
      <c r="B570" s="46"/>
      <c r="C570" s="32"/>
    </row>
    <row r="571" spans="2:3" x14ac:dyDescent="0.2">
      <c r="B571" s="46"/>
      <c r="C571" s="32"/>
    </row>
    <row r="572" spans="2:3" x14ac:dyDescent="0.2">
      <c r="B572" s="46"/>
      <c r="C572" s="32"/>
    </row>
    <row r="573" spans="2:3" x14ac:dyDescent="0.2">
      <c r="B573" s="46"/>
      <c r="C573" s="32"/>
    </row>
    <row r="574" spans="2:3" x14ac:dyDescent="0.2">
      <c r="B574" s="46"/>
      <c r="C574" s="32"/>
    </row>
    <row r="575" spans="2:3" x14ac:dyDescent="0.2">
      <c r="B575" s="46"/>
      <c r="C575" s="32"/>
    </row>
    <row r="576" spans="2:3" x14ac:dyDescent="0.2">
      <c r="B576" s="46"/>
      <c r="C576" s="32"/>
    </row>
    <row r="577" spans="2:3" x14ac:dyDescent="0.2">
      <c r="B577" s="46"/>
      <c r="C577" s="32"/>
    </row>
    <row r="578" spans="2:3" x14ac:dyDescent="0.2">
      <c r="B578" s="46"/>
      <c r="C578" s="32"/>
    </row>
    <row r="579" spans="2:3" x14ac:dyDescent="0.2">
      <c r="B579" s="46"/>
      <c r="C579" s="32"/>
    </row>
    <row r="580" spans="2:3" x14ac:dyDescent="0.2">
      <c r="B580" s="46"/>
      <c r="C580" s="32"/>
    </row>
    <row r="581" spans="2:3" x14ac:dyDescent="0.2">
      <c r="B581" s="46"/>
      <c r="C581" s="32"/>
    </row>
    <row r="582" spans="2:3" x14ac:dyDescent="0.2">
      <c r="B582" s="46"/>
      <c r="C582" s="32"/>
    </row>
    <row r="583" spans="2:3" x14ac:dyDescent="0.2">
      <c r="B583" s="46"/>
      <c r="C583" s="32"/>
    </row>
    <row r="584" spans="2:3" x14ac:dyDescent="0.2">
      <c r="B584" s="46"/>
      <c r="C584" s="32"/>
    </row>
    <row r="585" spans="2:3" x14ac:dyDescent="0.2">
      <c r="B585" s="46"/>
      <c r="C585" s="32"/>
    </row>
    <row r="586" spans="2:3" x14ac:dyDescent="0.2">
      <c r="B586" s="46"/>
      <c r="C586" s="32"/>
    </row>
    <row r="587" spans="2:3" x14ac:dyDescent="0.2">
      <c r="B587" s="46"/>
      <c r="C587" s="32"/>
    </row>
    <row r="588" spans="2:3" x14ac:dyDescent="0.2">
      <c r="B588" s="46"/>
      <c r="C588" s="32"/>
    </row>
    <row r="589" spans="2:3" x14ac:dyDescent="0.2">
      <c r="B589" s="46"/>
      <c r="C589" s="32"/>
    </row>
    <row r="590" spans="2:3" x14ac:dyDescent="0.2">
      <c r="B590" s="46"/>
      <c r="C590" s="32"/>
    </row>
    <row r="591" spans="2:3" x14ac:dyDescent="0.2">
      <c r="B591" s="46"/>
      <c r="C591" s="32"/>
    </row>
    <row r="592" spans="2:3" x14ac:dyDescent="0.2">
      <c r="B592" s="46"/>
      <c r="C592" s="32"/>
    </row>
    <row r="593" spans="2:3" x14ac:dyDescent="0.2">
      <c r="B593" s="46"/>
      <c r="C593" s="32"/>
    </row>
    <row r="594" spans="2:3" x14ac:dyDescent="0.2">
      <c r="B594" s="46"/>
      <c r="C594" s="32"/>
    </row>
    <row r="595" spans="2:3" x14ac:dyDescent="0.2">
      <c r="B595" s="46"/>
      <c r="C595" s="32"/>
    </row>
    <row r="596" spans="2:3" x14ac:dyDescent="0.2">
      <c r="B596" s="46"/>
      <c r="C596" s="32"/>
    </row>
    <row r="597" spans="2:3" x14ac:dyDescent="0.2">
      <c r="B597" s="46"/>
      <c r="C597" s="32"/>
    </row>
    <row r="598" spans="2:3" x14ac:dyDescent="0.2">
      <c r="B598" s="46"/>
      <c r="C598" s="32"/>
    </row>
    <row r="599" spans="2:3" x14ac:dyDescent="0.2">
      <c r="B599" s="46"/>
      <c r="C599" s="32"/>
    </row>
    <row r="600" spans="2:3" x14ac:dyDescent="0.2">
      <c r="B600" s="46"/>
      <c r="C600" s="32"/>
    </row>
    <row r="601" spans="2:3" x14ac:dyDescent="0.2">
      <c r="B601" s="46"/>
      <c r="C601" s="32"/>
    </row>
    <row r="602" spans="2:3" x14ac:dyDescent="0.2">
      <c r="B602" s="46"/>
      <c r="C602" s="32"/>
    </row>
    <row r="603" spans="2:3" x14ac:dyDescent="0.2">
      <c r="B603" s="46"/>
      <c r="C603" s="32"/>
    </row>
    <row r="604" spans="2:3" x14ac:dyDescent="0.2">
      <c r="B604" s="46"/>
      <c r="C604" s="32"/>
    </row>
    <row r="605" spans="2:3" x14ac:dyDescent="0.2">
      <c r="B605" s="46"/>
      <c r="C605" s="32"/>
    </row>
    <row r="606" spans="2:3" x14ac:dyDescent="0.2">
      <c r="B606" s="46"/>
      <c r="C606" s="32"/>
    </row>
    <row r="607" spans="2:3" x14ac:dyDescent="0.2">
      <c r="B607" s="46"/>
      <c r="C607" s="32"/>
    </row>
    <row r="608" spans="2:3" x14ac:dyDescent="0.2">
      <c r="B608" s="46"/>
      <c r="C608" s="32"/>
    </row>
    <row r="609" spans="2:3" x14ac:dyDescent="0.2">
      <c r="B609" s="46"/>
      <c r="C609" s="32"/>
    </row>
    <row r="610" spans="2:3" x14ac:dyDescent="0.2">
      <c r="B610" s="46"/>
      <c r="C610" s="32"/>
    </row>
    <row r="611" spans="2:3" x14ac:dyDescent="0.2">
      <c r="B611" s="46"/>
      <c r="C611" s="32"/>
    </row>
    <row r="612" spans="2:3" x14ac:dyDescent="0.2">
      <c r="B612" s="46"/>
      <c r="C612" s="32"/>
    </row>
    <row r="613" spans="2:3" x14ac:dyDescent="0.2">
      <c r="B613" s="46"/>
      <c r="C613" s="32"/>
    </row>
    <row r="614" spans="2:3" x14ac:dyDescent="0.2">
      <c r="B614" s="46"/>
      <c r="C614" s="32"/>
    </row>
    <row r="615" spans="2:3" x14ac:dyDescent="0.2">
      <c r="B615" s="46"/>
      <c r="C615" s="32"/>
    </row>
    <row r="616" spans="2:3" x14ac:dyDescent="0.2">
      <c r="B616" s="46"/>
      <c r="C616" s="32"/>
    </row>
    <row r="617" spans="2:3" x14ac:dyDescent="0.2">
      <c r="B617" s="46"/>
      <c r="C617" s="32"/>
    </row>
    <row r="618" spans="2:3" x14ac:dyDescent="0.2">
      <c r="B618" s="46"/>
      <c r="C618" s="32"/>
    </row>
    <row r="619" spans="2:3" x14ac:dyDescent="0.2">
      <c r="B619" s="46"/>
      <c r="C619" s="32"/>
    </row>
    <row r="620" spans="2:3" x14ac:dyDescent="0.2">
      <c r="B620" s="46"/>
      <c r="C620" s="32"/>
    </row>
    <row r="621" spans="2:3" x14ac:dyDescent="0.2">
      <c r="B621" s="46"/>
      <c r="C621" s="32"/>
    </row>
    <row r="622" spans="2:3" x14ac:dyDescent="0.2">
      <c r="B622" s="46"/>
      <c r="C622" s="32"/>
    </row>
    <row r="623" spans="2:3" x14ac:dyDescent="0.2">
      <c r="B623" s="46"/>
      <c r="C623" s="32"/>
    </row>
    <row r="624" spans="2:3" x14ac:dyDescent="0.2">
      <c r="B624" s="46"/>
      <c r="C624" s="32"/>
    </row>
    <row r="625" spans="2:3" x14ac:dyDescent="0.2">
      <c r="B625" s="46"/>
      <c r="C625" s="32"/>
    </row>
    <row r="626" spans="2:3" x14ac:dyDescent="0.2">
      <c r="B626" s="46"/>
      <c r="C626" s="32"/>
    </row>
    <row r="627" spans="2:3" x14ac:dyDescent="0.2">
      <c r="B627" s="46"/>
      <c r="C627" s="32"/>
    </row>
    <row r="628" spans="2:3" x14ac:dyDescent="0.2">
      <c r="B628" s="46"/>
      <c r="C628" s="32"/>
    </row>
    <row r="629" spans="2:3" x14ac:dyDescent="0.2">
      <c r="B629" s="46"/>
      <c r="C629" s="32"/>
    </row>
    <row r="630" spans="2:3" x14ac:dyDescent="0.2">
      <c r="B630" s="46"/>
      <c r="C630" s="32"/>
    </row>
    <row r="631" spans="2:3" x14ac:dyDescent="0.2">
      <c r="B631" s="46"/>
      <c r="C631" s="32"/>
    </row>
    <row r="632" spans="2:3" x14ac:dyDescent="0.2">
      <c r="B632" s="46"/>
      <c r="C632" s="32"/>
    </row>
    <row r="633" spans="2:3" x14ac:dyDescent="0.2">
      <c r="B633" s="46"/>
      <c r="C633" s="32"/>
    </row>
    <row r="634" spans="2:3" x14ac:dyDescent="0.2">
      <c r="B634" s="46"/>
      <c r="C634" s="32"/>
    </row>
    <row r="635" spans="2:3" x14ac:dyDescent="0.2">
      <c r="B635" s="46"/>
      <c r="C635" s="32"/>
    </row>
    <row r="636" spans="2:3" x14ac:dyDescent="0.2">
      <c r="B636" s="46"/>
      <c r="C636" s="32"/>
    </row>
    <row r="637" spans="2:3" x14ac:dyDescent="0.2">
      <c r="B637" s="46"/>
      <c r="C637" s="32"/>
    </row>
    <row r="638" spans="2:3" x14ac:dyDescent="0.2">
      <c r="B638" s="46"/>
      <c r="C638" s="32"/>
    </row>
    <row r="639" spans="2:3" x14ac:dyDescent="0.2">
      <c r="B639" s="46"/>
      <c r="C639" s="32"/>
    </row>
    <row r="640" spans="2:3" x14ac:dyDescent="0.2">
      <c r="B640" s="46"/>
      <c r="C640" s="32"/>
    </row>
    <row r="641" spans="2:3" x14ac:dyDescent="0.2">
      <c r="B641" s="46"/>
      <c r="C641" s="32"/>
    </row>
    <row r="642" spans="2:3" x14ac:dyDescent="0.2">
      <c r="B642" s="46"/>
      <c r="C642" s="32"/>
    </row>
    <row r="643" spans="2:3" x14ac:dyDescent="0.2">
      <c r="B643" s="46"/>
      <c r="C643" s="32"/>
    </row>
    <row r="644" spans="2:3" x14ac:dyDescent="0.2">
      <c r="B644" s="46"/>
      <c r="C644" s="32"/>
    </row>
    <row r="645" spans="2:3" x14ac:dyDescent="0.2">
      <c r="B645" s="46"/>
      <c r="C645" s="32"/>
    </row>
    <row r="646" spans="2:3" x14ac:dyDescent="0.2">
      <c r="B646" s="46"/>
      <c r="C646" s="32"/>
    </row>
    <row r="647" spans="2:3" x14ac:dyDescent="0.2">
      <c r="B647" s="46"/>
      <c r="C647" s="32"/>
    </row>
    <row r="648" spans="2:3" x14ac:dyDescent="0.2">
      <c r="B648" s="46"/>
      <c r="C648" s="32"/>
    </row>
    <row r="649" spans="2:3" x14ac:dyDescent="0.2">
      <c r="B649" s="46"/>
      <c r="C649" s="32"/>
    </row>
    <row r="650" spans="2:3" x14ac:dyDescent="0.2">
      <c r="B650" s="46"/>
      <c r="C650" s="32"/>
    </row>
    <row r="651" spans="2:3" x14ac:dyDescent="0.2">
      <c r="B651" s="46"/>
      <c r="C651" s="32"/>
    </row>
    <row r="652" spans="2:3" x14ac:dyDescent="0.2">
      <c r="B652" s="46"/>
      <c r="C652" s="32"/>
    </row>
    <row r="653" spans="2:3" x14ac:dyDescent="0.2">
      <c r="B653" s="46"/>
      <c r="C653" s="32"/>
    </row>
    <row r="654" spans="2:3" x14ac:dyDescent="0.2">
      <c r="B654" s="46"/>
      <c r="C654" s="32"/>
    </row>
    <row r="655" spans="2:3" x14ac:dyDescent="0.2">
      <c r="B655" s="46"/>
      <c r="C655" s="32"/>
    </row>
    <row r="656" spans="2:3" x14ac:dyDescent="0.2">
      <c r="B656" s="46"/>
      <c r="C656" s="32"/>
    </row>
    <row r="657" spans="2:3" x14ac:dyDescent="0.2">
      <c r="B657" s="46"/>
      <c r="C657" s="32"/>
    </row>
    <row r="658" spans="2:3" x14ac:dyDescent="0.2">
      <c r="B658" s="46"/>
      <c r="C658" s="32"/>
    </row>
    <row r="659" spans="2:3" x14ac:dyDescent="0.2">
      <c r="B659" s="46"/>
      <c r="C659" s="32"/>
    </row>
    <row r="660" spans="2:3" x14ac:dyDescent="0.2">
      <c r="B660" s="46"/>
      <c r="C660" s="32"/>
    </row>
    <row r="661" spans="2:3" x14ac:dyDescent="0.2">
      <c r="B661" s="46"/>
      <c r="C661" s="32"/>
    </row>
    <row r="662" spans="2:3" x14ac:dyDescent="0.2">
      <c r="B662" s="46"/>
      <c r="C662" s="32"/>
    </row>
    <row r="663" spans="2:3" x14ac:dyDescent="0.2">
      <c r="B663" s="46"/>
      <c r="C663" s="32"/>
    </row>
    <row r="664" spans="2:3" x14ac:dyDescent="0.2">
      <c r="B664" s="46"/>
      <c r="C664" s="32"/>
    </row>
    <row r="665" spans="2:3" x14ac:dyDescent="0.2">
      <c r="B665" s="46"/>
      <c r="C665" s="32"/>
    </row>
    <row r="666" spans="2:3" x14ac:dyDescent="0.2">
      <c r="B666" s="46"/>
      <c r="C666" s="32"/>
    </row>
    <row r="667" spans="2:3" x14ac:dyDescent="0.2">
      <c r="B667" s="46"/>
      <c r="C667" s="32"/>
    </row>
    <row r="668" spans="2:3" x14ac:dyDescent="0.2">
      <c r="B668" s="46"/>
      <c r="C668" s="32"/>
    </row>
    <row r="669" spans="2:3" x14ac:dyDescent="0.2">
      <c r="B669" s="46"/>
      <c r="C669" s="32"/>
    </row>
    <row r="670" spans="2:3" x14ac:dyDescent="0.2">
      <c r="B670" s="46"/>
      <c r="C670" s="32"/>
    </row>
    <row r="671" spans="2:3" x14ac:dyDescent="0.2">
      <c r="B671" s="46"/>
      <c r="C671" s="32"/>
    </row>
    <row r="672" spans="2:3" x14ac:dyDescent="0.2">
      <c r="B672" s="46"/>
      <c r="C672" s="32"/>
    </row>
    <row r="673" spans="2:3" x14ac:dyDescent="0.2">
      <c r="B673" s="46"/>
      <c r="C673" s="32"/>
    </row>
    <row r="674" spans="2:3" x14ac:dyDescent="0.2">
      <c r="B674" s="46"/>
      <c r="C674" s="32"/>
    </row>
    <row r="675" spans="2:3" x14ac:dyDescent="0.2">
      <c r="B675" s="46"/>
      <c r="C675" s="32"/>
    </row>
    <row r="676" spans="2:3" x14ac:dyDescent="0.2">
      <c r="B676" s="46"/>
      <c r="C676" s="32"/>
    </row>
    <row r="677" spans="2:3" x14ac:dyDescent="0.2">
      <c r="B677" s="46"/>
      <c r="C677" s="32"/>
    </row>
    <row r="678" spans="2:3" x14ac:dyDescent="0.2">
      <c r="B678" s="46"/>
      <c r="C678" s="32"/>
    </row>
    <row r="679" spans="2:3" x14ac:dyDescent="0.2">
      <c r="B679" s="46"/>
      <c r="C679" s="32"/>
    </row>
    <row r="680" spans="2:3" x14ac:dyDescent="0.2">
      <c r="B680" s="46"/>
      <c r="C680" s="32"/>
    </row>
    <row r="681" spans="2:3" x14ac:dyDescent="0.2">
      <c r="B681" s="46"/>
      <c r="C681" s="32"/>
    </row>
    <row r="682" spans="2:3" x14ac:dyDescent="0.2">
      <c r="B682" s="46"/>
      <c r="C682" s="32"/>
    </row>
    <row r="683" spans="2:3" x14ac:dyDescent="0.2">
      <c r="B683" s="46"/>
      <c r="C683" s="32"/>
    </row>
    <row r="684" spans="2:3" x14ac:dyDescent="0.2">
      <c r="B684" s="46"/>
      <c r="C684" s="32"/>
    </row>
    <row r="685" spans="2:3" x14ac:dyDescent="0.2">
      <c r="B685" s="46"/>
      <c r="C685" s="32"/>
    </row>
    <row r="686" spans="2:3" x14ac:dyDescent="0.2">
      <c r="B686" s="46"/>
      <c r="C686" s="32"/>
    </row>
    <row r="687" spans="2:3" x14ac:dyDescent="0.2">
      <c r="B687" s="46"/>
      <c r="C687" s="32"/>
    </row>
    <row r="688" spans="2:3" x14ac:dyDescent="0.2">
      <c r="B688" s="46"/>
      <c r="C688" s="32"/>
    </row>
    <row r="689" spans="2:3" x14ac:dyDescent="0.2">
      <c r="B689" s="46"/>
      <c r="C689" s="32"/>
    </row>
    <row r="690" spans="2:3" x14ac:dyDescent="0.2">
      <c r="B690" s="46"/>
      <c r="C690" s="32"/>
    </row>
    <row r="691" spans="2:3" x14ac:dyDescent="0.2">
      <c r="B691" s="46"/>
      <c r="C691" s="32"/>
    </row>
    <row r="692" spans="2:3" x14ac:dyDescent="0.2">
      <c r="B692" s="46"/>
      <c r="C692" s="32"/>
    </row>
    <row r="693" spans="2:3" x14ac:dyDescent="0.2">
      <c r="B693" s="46"/>
      <c r="C693" s="32"/>
    </row>
    <row r="694" spans="2:3" x14ac:dyDescent="0.2">
      <c r="B694" s="46"/>
      <c r="C694" s="32"/>
    </row>
    <row r="695" spans="2:3" x14ac:dyDescent="0.2">
      <c r="B695" s="46"/>
      <c r="C695" s="32"/>
    </row>
    <row r="696" spans="2:3" x14ac:dyDescent="0.2">
      <c r="B696" s="46"/>
      <c r="C696" s="32"/>
    </row>
    <row r="697" spans="2:3" x14ac:dyDescent="0.2">
      <c r="B697" s="46"/>
      <c r="C697" s="32"/>
    </row>
    <row r="698" spans="2:3" x14ac:dyDescent="0.2">
      <c r="B698" s="46"/>
      <c r="C698" s="32"/>
    </row>
    <row r="699" spans="2:3" x14ac:dyDescent="0.2">
      <c r="B699" s="46"/>
      <c r="C699" s="32"/>
    </row>
    <row r="700" spans="2:3" x14ac:dyDescent="0.2">
      <c r="B700" s="46"/>
      <c r="C700" s="32"/>
    </row>
    <row r="701" spans="2:3" x14ac:dyDescent="0.2">
      <c r="B701" s="46"/>
      <c r="C701" s="32"/>
    </row>
    <row r="702" spans="2:3" x14ac:dyDescent="0.2">
      <c r="B702" s="46"/>
      <c r="C702" s="32"/>
    </row>
    <row r="703" spans="2:3" x14ac:dyDescent="0.2">
      <c r="B703" s="46"/>
      <c r="C703" s="32"/>
    </row>
    <row r="704" spans="2:3" x14ac:dyDescent="0.2">
      <c r="B704" s="46"/>
      <c r="C704" s="32"/>
    </row>
    <row r="705" spans="2:3" x14ac:dyDescent="0.2">
      <c r="B705" s="46"/>
      <c r="C705" s="32"/>
    </row>
    <row r="706" spans="2:3" x14ac:dyDescent="0.2">
      <c r="B706" s="46"/>
      <c r="C706" s="32"/>
    </row>
    <row r="707" spans="2:3" x14ac:dyDescent="0.2">
      <c r="B707" s="46"/>
      <c r="C707" s="32"/>
    </row>
    <row r="708" spans="2:3" x14ac:dyDescent="0.2">
      <c r="B708" s="46"/>
      <c r="C708" s="32"/>
    </row>
    <row r="709" spans="2:3" x14ac:dyDescent="0.2">
      <c r="B709" s="46"/>
      <c r="C709" s="32"/>
    </row>
    <row r="710" spans="2:3" x14ac:dyDescent="0.2">
      <c r="B710" s="46"/>
      <c r="C710" s="32"/>
    </row>
    <row r="711" spans="2:3" x14ac:dyDescent="0.2">
      <c r="B711" s="46"/>
      <c r="C711" s="32"/>
    </row>
    <row r="712" spans="2:3" x14ac:dyDescent="0.2">
      <c r="B712" s="46"/>
      <c r="C712" s="32"/>
    </row>
    <row r="713" spans="2:3" x14ac:dyDescent="0.2">
      <c r="B713" s="46"/>
      <c r="C713" s="32"/>
    </row>
    <row r="714" spans="2:3" x14ac:dyDescent="0.2">
      <c r="B714" s="46"/>
      <c r="C714" s="32"/>
    </row>
    <row r="715" spans="2:3" x14ac:dyDescent="0.2">
      <c r="B715" s="46"/>
      <c r="C715" s="32"/>
    </row>
    <row r="716" spans="2:3" x14ac:dyDescent="0.2">
      <c r="B716" s="46"/>
      <c r="C716" s="32"/>
    </row>
    <row r="717" spans="2:3" x14ac:dyDescent="0.2">
      <c r="B717" s="46"/>
      <c r="C717" s="32"/>
    </row>
    <row r="718" spans="2:3" x14ac:dyDescent="0.2">
      <c r="B718" s="46"/>
      <c r="C718" s="32"/>
    </row>
    <row r="719" spans="2:3" x14ac:dyDescent="0.2">
      <c r="B719" s="46"/>
      <c r="C719" s="32"/>
    </row>
    <row r="720" spans="2:3" x14ac:dyDescent="0.2">
      <c r="B720" s="46"/>
      <c r="C720" s="32"/>
    </row>
    <row r="721" spans="2:3" x14ac:dyDescent="0.2">
      <c r="B721" s="46"/>
      <c r="C721" s="32"/>
    </row>
    <row r="722" spans="2:3" x14ac:dyDescent="0.2">
      <c r="B722" s="46"/>
      <c r="C722" s="32"/>
    </row>
    <row r="723" spans="2:3" x14ac:dyDescent="0.2">
      <c r="B723" s="46"/>
      <c r="C723" s="32"/>
    </row>
    <row r="724" spans="2:3" x14ac:dyDescent="0.2">
      <c r="B724" s="46"/>
      <c r="C724" s="32"/>
    </row>
    <row r="725" spans="2:3" x14ac:dyDescent="0.2">
      <c r="B725" s="46"/>
      <c r="C725" s="32"/>
    </row>
    <row r="726" spans="2:3" x14ac:dyDescent="0.2">
      <c r="B726" s="46"/>
      <c r="C726" s="32"/>
    </row>
    <row r="727" spans="2:3" x14ac:dyDescent="0.2">
      <c r="B727" s="46"/>
      <c r="C727" s="32"/>
    </row>
    <row r="728" spans="2:3" x14ac:dyDescent="0.2">
      <c r="B728" s="46"/>
      <c r="C728" s="32"/>
    </row>
    <row r="729" spans="2:3" x14ac:dyDescent="0.2">
      <c r="B729" s="46"/>
      <c r="C729" s="32"/>
    </row>
    <row r="730" spans="2:3" x14ac:dyDescent="0.2">
      <c r="B730" s="46"/>
      <c r="C730" s="32"/>
    </row>
    <row r="731" spans="2:3" x14ac:dyDescent="0.2">
      <c r="B731" s="46"/>
      <c r="C731" s="32"/>
    </row>
    <row r="732" spans="2:3" x14ac:dyDescent="0.2">
      <c r="B732" s="46"/>
      <c r="C732" s="32"/>
    </row>
    <row r="733" spans="2:3" x14ac:dyDescent="0.2">
      <c r="B733" s="46"/>
      <c r="C733" s="32"/>
    </row>
    <row r="734" spans="2:3" x14ac:dyDescent="0.2">
      <c r="B734" s="46"/>
      <c r="C734" s="32"/>
    </row>
    <row r="735" spans="2:3" x14ac:dyDescent="0.2">
      <c r="B735" s="46"/>
      <c r="C735" s="32"/>
    </row>
    <row r="736" spans="2:3" x14ac:dyDescent="0.2">
      <c r="B736" s="46"/>
      <c r="C736" s="32"/>
    </row>
    <row r="737" spans="2:3" x14ac:dyDescent="0.2">
      <c r="B737" s="46"/>
      <c r="C737" s="32"/>
    </row>
    <row r="738" spans="2:3" x14ac:dyDescent="0.2">
      <c r="B738" s="46"/>
      <c r="C738" s="32"/>
    </row>
    <row r="739" spans="2:3" x14ac:dyDescent="0.2">
      <c r="B739" s="46"/>
      <c r="C739" s="32"/>
    </row>
    <row r="740" spans="2:3" x14ac:dyDescent="0.2">
      <c r="B740" s="46"/>
      <c r="C740" s="32"/>
    </row>
    <row r="741" spans="2:3" x14ac:dyDescent="0.2">
      <c r="B741" s="46"/>
      <c r="C741" s="32"/>
    </row>
    <row r="742" spans="2:3" x14ac:dyDescent="0.2">
      <c r="B742" s="46"/>
      <c r="C742" s="32"/>
    </row>
    <row r="743" spans="2:3" x14ac:dyDescent="0.2">
      <c r="B743" s="46"/>
      <c r="C743" s="32"/>
    </row>
    <row r="744" spans="2:3" x14ac:dyDescent="0.2">
      <c r="B744" s="46"/>
      <c r="C744" s="32"/>
    </row>
    <row r="745" spans="2:3" x14ac:dyDescent="0.2">
      <c r="B745" s="46"/>
      <c r="C745" s="32"/>
    </row>
    <row r="746" spans="2:3" x14ac:dyDescent="0.2">
      <c r="B746" s="46"/>
      <c r="C746" s="32"/>
    </row>
    <row r="747" spans="2:3" x14ac:dyDescent="0.2">
      <c r="B747" s="46"/>
      <c r="C747" s="32"/>
    </row>
    <row r="748" spans="2:3" x14ac:dyDescent="0.2">
      <c r="B748" s="46"/>
      <c r="C748" s="32"/>
    </row>
    <row r="749" spans="2:3" x14ac:dyDescent="0.2">
      <c r="B749" s="46"/>
      <c r="C749" s="32"/>
    </row>
    <row r="750" spans="2:3" x14ac:dyDescent="0.2">
      <c r="B750" s="46"/>
      <c r="C750" s="32"/>
    </row>
    <row r="751" spans="2:3" x14ac:dyDescent="0.2">
      <c r="B751" s="46"/>
      <c r="C751" s="32"/>
    </row>
    <row r="752" spans="2:3" x14ac:dyDescent="0.2">
      <c r="B752" s="46"/>
      <c r="C752" s="32"/>
    </row>
    <row r="753" spans="2:3" x14ac:dyDescent="0.2">
      <c r="B753" s="46"/>
      <c r="C753" s="32"/>
    </row>
    <row r="754" spans="2:3" x14ac:dyDescent="0.2">
      <c r="B754" s="46"/>
      <c r="C754" s="32"/>
    </row>
    <row r="755" spans="2:3" x14ac:dyDescent="0.2">
      <c r="B755" s="46"/>
      <c r="C755" s="32"/>
    </row>
    <row r="756" spans="2:3" x14ac:dyDescent="0.2">
      <c r="B756" s="46"/>
      <c r="C756" s="32"/>
    </row>
    <row r="757" spans="2:3" x14ac:dyDescent="0.2">
      <c r="B757" s="46"/>
      <c r="C757" s="32"/>
    </row>
    <row r="758" spans="2:3" x14ac:dyDescent="0.2">
      <c r="B758" s="46"/>
      <c r="C758" s="32"/>
    </row>
    <row r="759" spans="2:3" x14ac:dyDescent="0.2">
      <c r="B759" s="46"/>
      <c r="C759" s="32"/>
    </row>
    <row r="760" spans="2:3" x14ac:dyDescent="0.2">
      <c r="B760" s="46"/>
      <c r="C760" s="32"/>
    </row>
    <row r="761" spans="2:3" x14ac:dyDescent="0.2">
      <c r="B761" s="46"/>
      <c r="C761" s="32"/>
    </row>
    <row r="762" spans="2:3" x14ac:dyDescent="0.2">
      <c r="B762" s="46"/>
      <c r="C762" s="32"/>
    </row>
    <row r="763" spans="2:3" x14ac:dyDescent="0.2">
      <c r="B763" s="46"/>
      <c r="C763" s="32"/>
    </row>
    <row r="764" spans="2:3" x14ac:dyDescent="0.2">
      <c r="B764" s="46"/>
      <c r="C764" s="32"/>
    </row>
    <row r="765" spans="2:3" x14ac:dyDescent="0.2">
      <c r="B765" s="46"/>
      <c r="C765" s="32"/>
    </row>
    <row r="766" spans="2:3" x14ac:dyDescent="0.2">
      <c r="B766" s="46"/>
      <c r="C766" s="32"/>
    </row>
    <row r="767" spans="2:3" x14ac:dyDescent="0.2">
      <c r="B767" s="46"/>
      <c r="C767" s="32"/>
    </row>
    <row r="768" spans="2:3" x14ac:dyDescent="0.2">
      <c r="B768" s="46"/>
      <c r="C768" s="32"/>
    </row>
    <row r="769" spans="2:3" x14ac:dyDescent="0.2">
      <c r="B769" s="46"/>
      <c r="C769" s="32"/>
    </row>
    <row r="770" spans="2:3" x14ac:dyDescent="0.2">
      <c r="B770" s="46"/>
      <c r="C770" s="32"/>
    </row>
    <row r="771" spans="2:3" x14ac:dyDescent="0.2">
      <c r="B771" s="46"/>
      <c r="C771" s="32"/>
    </row>
    <row r="772" spans="2:3" x14ac:dyDescent="0.2">
      <c r="B772" s="46"/>
      <c r="C772" s="32"/>
    </row>
    <row r="773" spans="2:3" x14ac:dyDescent="0.2">
      <c r="B773" s="46"/>
      <c r="C773" s="32"/>
    </row>
    <row r="774" spans="2:3" x14ac:dyDescent="0.2">
      <c r="B774" s="46"/>
      <c r="C774" s="32"/>
    </row>
    <row r="775" spans="2:3" x14ac:dyDescent="0.2">
      <c r="B775" s="46"/>
      <c r="C775" s="32"/>
    </row>
    <row r="776" spans="2:3" x14ac:dyDescent="0.2">
      <c r="B776" s="46"/>
      <c r="C776" s="32"/>
    </row>
    <row r="777" spans="2:3" x14ac:dyDescent="0.2">
      <c r="B777" s="46"/>
      <c r="C777" s="32"/>
    </row>
    <row r="778" spans="2:3" x14ac:dyDescent="0.2">
      <c r="B778" s="46"/>
      <c r="C778" s="32"/>
    </row>
    <row r="779" spans="2:3" x14ac:dyDescent="0.2">
      <c r="B779" s="46"/>
      <c r="C779" s="32"/>
    </row>
    <row r="780" spans="2:3" x14ac:dyDescent="0.2">
      <c r="B780" s="46"/>
      <c r="C780" s="32"/>
    </row>
    <row r="781" spans="2:3" x14ac:dyDescent="0.2">
      <c r="B781" s="46"/>
      <c r="C781" s="32"/>
    </row>
    <row r="782" spans="2:3" x14ac:dyDescent="0.2">
      <c r="B782" s="46"/>
      <c r="C782" s="32"/>
    </row>
    <row r="783" spans="2:3" x14ac:dyDescent="0.2">
      <c r="B783" s="46"/>
      <c r="C783" s="32"/>
    </row>
    <row r="784" spans="2:3" x14ac:dyDescent="0.2">
      <c r="B784" s="46"/>
      <c r="C784" s="32"/>
    </row>
    <row r="785" spans="2:3" x14ac:dyDescent="0.2">
      <c r="B785" s="46"/>
      <c r="C785" s="32"/>
    </row>
    <row r="786" spans="2:3" x14ac:dyDescent="0.2">
      <c r="B786" s="46"/>
      <c r="C786" s="32"/>
    </row>
    <row r="787" spans="2:3" x14ac:dyDescent="0.2">
      <c r="B787" s="46"/>
      <c r="C787" s="32"/>
    </row>
    <row r="788" spans="2:3" x14ac:dyDescent="0.2">
      <c r="B788" s="46"/>
      <c r="C788" s="32"/>
    </row>
    <row r="789" spans="2:3" x14ac:dyDescent="0.2">
      <c r="B789" s="46"/>
      <c r="C789" s="32"/>
    </row>
    <row r="790" spans="2:3" x14ac:dyDescent="0.2">
      <c r="B790" s="46"/>
      <c r="C790" s="32"/>
    </row>
    <row r="791" spans="2:3" x14ac:dyDescent="0.2">
      <c r="B791" s="46"/>
      <c r="C791" s="32"/>
    </row>
    <row r="792" spans="2:3" x14ac:dyDescent="0.2">
      <c r="B792" s="46"/>
      <c r="C792" s="32"/>
    </row>
    <row r="793" spans="2:3" x14ac:dyDescent="0.2">
      <c r="B793" s="46"/>
      <c r="C793" s="32"/>
    </row>
    <row r="794" spans="2:3" x14ac:dyDescent="0.2">
      <c r="B794" s="46"/>
      <c r="C794" s="32"/>
    </row>
    <row r="795" spans="2:3" x14ac:dyDescent="0.2">
      <c r="B795" s="46"/>
      <c r="C795" s="32"/>
    </row>
    <row r="796" spans="2:3" x14ac:dyDescent="0.2">
      <c r="B796" s="46"/>
      <c r="C796" s="32"/>
    </row>
    <row r="797" spans="2:3" x14ac:dyDescent="0.2">
      <c r="B797" s="46"/>
      <c r="C797" s="32"/>
    </row>
    <row r="798" spans="2:3" x14ac:dyDescent="0.2">
      <c r="B798" s="46"/>
      <c r="C798" s="32"/>
    </row>
    <row r="799" spans="2:3" x14ac:dyDescent="0.2">
      <c r="B799" s="46"/>
      <c r="C799" s="32"/>
    </row>
    <row r="800" spans="2:3" x14ac:dyDescent="0.2">
      <c r="B800" s="46"/>
      <c r="C800" s="32"/>
    </row>
    <row r="801" spans="2:3" x14ac:dyDescent="0.2">
      <c r="B801" s="46"/>
      <c r="C801" s="32"/>
    </row>
    <row r="802" spans="2:3" x14ac:dyDescent="0.2">
      <c r="B802" s="46"/>
      <c r="C802" s="32"/>
    </row>
    <row r="803" spans="2:3" x14ac:dyDescent="0.2">
      <c r="B803" s="46"/>
      <c r="C803" s="32"/>
    </row>
    <row r="804" spans="2:3" x14ac:dyDescent="0.2">
      <c r="B804" s="46"/>
      <c r="C804" s="32"/>
    </row>
    <row r="805" spans="2:3" x14ac:dyDescent="0.2">
      <c r="B805" s="46"/>
      <c r="C805" s="32"/>
    </row>
    <row r="806" spans="2:3" x14ac:dyDescent="0.2">
      <c r="B806" s="46"/>
      <c r="C806" s="32"/>
    </row>
    <row r="807" spans="2:3" x14ac:dyDescent="0.2">
      <c r="B807" s="46"/>
      <c r="C807" s="32"/>
    </row>
    <row r="808" spans="2:3" x14ac:dyDescent="0.2">
      <c r="B808" s="46"/>
      <c r="C808" s="32"/>
    </row>
    <row r="809" spans="2:3" x14ac:dyDescent="0.2">
      <c r="B809" s="46"/>
      <c r="C809" s="32"/>
    </row>
    <row r="810" spans="2:3" x14ac:dyDescent="0.2">
      <c r="B810" s="46"/>
      <c r="C810" s="32"/>
    </row>
    <row r="811" spans="2:3" x14ac:dyDescent="0.2">
      <c r="B811" s="46"/>
      <c r="C811" s="32"/>
    </row>
    <row r="812" spans="2:3" x14ac:dyDescent="0.2">
      <c r="B812" s="46"/>
      <c r="C812" s="32"/>
    </row>
    <row r="813" spans="2:3" x14ac:dyDescent="0.2">
      <c r="B813" s="46"/>
      <c r="C813" s="32"/>
    </row>
    <row r="814" spans="2:3" x14ac:dyDescent="0.2">
      <c r="B814" s="46"/>
      <c r="C814" s="32"/>
    </row>
    <row r="815" spans="2:3" x14ac:dyDescent="0.2">
      <c r="B815" s="46"/>
      <c r="C815" s="32"/>
    </row>
    <row r="816" spans="2:3" x14ac:dyDescent="0.2">
      <c r="B816" s="46"/>
      <c r="C816" s="32"/>
    </row>
    <row r="817" spans="2:3" x14ac:dyDescent="0.2">
      <c r="B817" s="46"/>
      <c r="C817" s="32"/>
    </row>
    <row r="818" spans="2:3" x14ac:dyDescent="0.2">
      <c r="B818" s="46"/>
      <c r="C818" s="32"/>
    </row>
    <row r="819" spans="2:3" x14ac:dyDescent="0.2">
      <c r="B819" s="46"/>
      <c r="C819" s="32"/>
    </row>
    <row r="820" spans="2:3" x14ac:dyDescent="0.2">
      <c r="B820" s="46"/>
      <c r="C820" s="32"/>
    </row>
    <row r="821" spans="2:3" x14ac:dyDescent="0.2">
      <c r="B821" s="46"/>
      <c r="C821" s="32"/>
    </row>
    <row r="822" spans="2:3" x14ac:dyDescent="0.2">
      <c r="B822" s="46"/>
      <c r="C822" s="32"/>
    </row>
    <row r="823" spans="2:3" x14ac:dyDescent="0.2">
      <c r="B823" s="46"/>
      <c r="C823" s="32"/>
    </row>
    <row r="824" spans="2:3" x14ac:dyDescent="0.2">
      <c r="B824" s="46"/>
      <c r="C824" s="32"/>
    </row>
    <row r="825" spans="2:3" x14ac:dyDescent="0.2">
      <c r="B825" s="46"/>
      <c r="C825" s="32"/>
    </row>
    <row r="826" spans="2:3" x14ac:dyDescent="0.2">
      <c r="B826" s="46"/>
      <c r="C826" s="32"/>
    </row>
    <row r="827" spans="2:3" x14ac:dyDescent="0.2">
      <c r="B827" s="46"/>
      <c r="C827" s="32"/>
    </row>
    <row r="828" spans="2:3" x14ac:dyDescent="0.2">
      <c r="B828" s="46"/>
      <c r="C828" s="32"/>
    </row>
    <row r="829" spans="2:3" x14ac:dyDescent="0.2">
      <c r="B829" s="46"/>
      <c r="C829" s="32"/>
    </row>
    <row r="830" spans="2:3" x14ac:dyDescent="0.2">
      <c r="B830" s="46"/>
      <c r="C830" s="32"/>
    </row>
    <row r="831" spans="2:3" x14ac:dyDescent="0.2">
      <c r="B831" s="46"/>
      <c r="C831" s="32"/>
    </row>
    <row r="832" spans="2:3" x14ac:dyDescent="0.2">
      <c r="B832" s="46"/>
      <c r="C832" s="32"/>
    </row>
    <row r="833" spans="2:3" x14ac:dyDescent="0.2">
      <c r="B833" s="46"/>
      <c r="C833" s="32"/>
    </row>
    <row r="834" spans="2:3" x14ac:dyDescent="0.2">
      <c r="B834" s="46"/>
      <c r="C834" s="32"/>
    </row>
    <row r="835" spans="2:3" x14ac:dyDescent="0.2">
      <c r="B835" s="46"/>
      <c r="C835" s="32"/>
    </row>
    <row r="836" spans="2:3" x14ac:dyDescent="0.2">
      <c r="B836" s="46"/>
      <c r="C836" s="32"/>
    </row>
    <row r="837" spans="2:3" x14ac:dyDescent="0.2">
      <c r="B837" s="46"/>
      <c r="C837" s="32"/>
    </row>
    <row r="838" spans="2:3" x14ac:dyDescent="0.2">
      <c r="B838" s="46"/>
      <c r="C838" s="32"/>
    </row>
    <row r="839" spans="2:3" x14ac:dyDescent="0.2">
      <c r="B839" s="46"/>
      <c r="C839" s="32"/>
    </row>
    <row r="840" spans="2:3" x14ac:dyDescent="0.2">
      <c r="B840" s="46"/>
      <c r="C840" s="32"/>
    </row>
    <row r="841" spans="2:3" x14ac:dyDescent="0.2">
      <c r="B841" s="46"/>
      <c r="C841" s="32"/>
    </row>
    <row r="842" spans="2:3" x14ac:dyDescent="0.2">
      <c r="B842" s="46"/>
      <c r="C842" s="32"/>
    </row>
    <row r="843" spans="2:3" x14ac:dyDescent="0.2">
      <c r="B843" s="46"/>
      <c r="C843" s="32"/>
    </row>
    <row r="844" spans="2:3" x14ac:dyDescent="0.2">
      <c r="B844" s="46"/>
      <c r="C844" s="32"/>
    </row>
    <row r="845" spans="2:3" x14ac:dyDescent="0.2">
      <c r="B845" s="46"/>
      <c r="C845" s="32"/>
    </row>
    <row r="846" spans="2:3" x14ac:dyDescent="0.2">
      <c r="B846" s="46"/>
      <c r="C846" s="32"/>
    </row>
    <row r="847" spans="2:3" x14ac:dyDescent="0.2">
      <c r="B847" s="46"/>
      <c r="C847" s="32"/>
    </row>
    <row r="848" spans="2:3" x14ac:dyDescent="0.2">
      <c r="B848" s="46"/>
      <c r="C848" s="32"/>
    </row>
    <row r="849" spans="2:3" x14ac:dyDescent="0.2">
      <c r="B849" s="46"/>
      <c r="C849" s="32"/>
    </row>
    <row r="850" spans="2:3" x14ac:dyDescent="0.2">
      <c r="B850" s="46"/>
      <c r="C850" s="32"/>
    </row>
    <row r="851" spans="2:3" x14ac:dyDescent="0.2">
      <c r="B851" s="46"/>
      <c r="C851" s="32"/>
    </row>
    <row r="852" spans="2:3" x14ac:dyDescent="0.2">
      <c r="B852" s="46"/>
      <c r="C852" s="32"/>
    </row>
    <row r="853" spans="2:3" x14ac:dyDescent="0.2">
      <c r="B853" s="46"/>
      <c r="C853" s="32"/>
    </row>
    <row r="854" spans="2:3" x14ac:dyDescent="0.2">
      <c r="B854" s="46"/>
      <c r="C854" s="32"/>
    </row>
    <row r="855" spans="2:3" x14ac:dyDescent="0.2">
      <c r="B855" s="46"/>
      <c r="C855" s="32"/>
    </row>
    <row r="856" spans="2:3" x14ac:dyDescent="0.2">
      <c r="B856" s="46"/>
      <c r="C856" s="32"/>
    </row>
    <row r="857" spans="2:3" x14ac:dyDescent="0.2">
      <c r="B857" s="46"/>
      <c r="C857" s="32"/>
    </row>
    <row r="858" spans="2:3" x14ac:dyDescent="0.2">
      <c r="B858" s="46"/>
      <c r="C858" s="32"/>
    </row>
    <row r="859" spans="2:3" x14ac:dyDescent="0.2">
      <c r="B859" s="46"/>
      <c r="C859" s="32"/>
    </row>
    <row r="860" spans="2:3" x14ac:dyDescent="0.2">
      <c r="B860" s="46"/>
      <c r="C860" s="32"/>
    </row>
    <row r="861" spans="2:3" x14ac:dyDescent="0.2">
      <c r="B861" s="46"/>
      <c r="C861" s="32"/>
    </row>
    <row r="862" spans="2:3" x14ac:dyDescent="0.2">
      <c r="B862" s="46"/>
      <c r="C862" s="32"/>
    </row>
    <row r="863" spans="2:3" x14ac:dyDescent="0.2">
      <c r="B863" s="46"/>
      <c r="C863" s="32"/>
    </row>
    <row r="864" spans="2:3" x14ac:dyDescent="0.2">
      <c r="B864" s="46"/>
      <c r="C864" s="32"/>
    </row>
    <row r="865" spans="2:3" x14ac:dyDescent="0.2">
      <c r="B865" s="46"/>
      <c r="C865" s="32"/>
    </row>
    <row r="866" spans="2:3" x14ac:dyDescent="0.2">
      <c r="B866" s="46"/>
      <c r="C866" s="32"/>
    </row>
    <row r="867" spans="2:3" x14ac:dyDescent="0.2">
      <c r="B867" s="46"/>
      <c r="C867" s="32"/>
    </row>
    <row r="868" spans="2:3" x14ac:dyDescent="0.2">
      <c r="B868" s="46"/>
      <c r="C868" s="32"/>
    </row>
    <row r="869" spans="2:3" x14ac:dyDescent="0.2">
      <c r="B869" s="46"/>
      <c r="C869" s="32"/>
    </row>
    <row r="870" spans="2:3" x14ac:dyDescent="0.2">
      <c r="B870" s="46"/>
      <c r="C870" s="32"/>
    </row>
    <row r="871" spans="2:3" x14ac:dyDescent="0.2">
      <c r="B871" s="46"/>
      <c r="C871" s="32"/>
    </row>
    <row r="872" spans="2:3" x14ac:dyDescent="0.2">
      <c r="B872" s="46"/>
      <c r="C872" s="32"/>
    </row>
    <row r="873" spans="2:3" x14ac:dyDescent="0.2">
      <c r="B873" s="46"/>
      <c r="C873" s="32"/>
    </row>
    <row r="874" spans="2:3" x14ac:dyDescent="0.2">
      <c r="B874" s="46"/>
      <c r="C874" s="32"/>
    </row>
    <row r="875" spans="2:3" x14ac:dyDescent="0.2">
      <c r="B875" s="46"/>
      <c r="C875" s="32"/>
    </row>
    <row r="876" spans="2:3" x14ac:dyDescent="0.2">
      <c r="B876" s="46"/>
      <c r="C876" s="32"/>
    </row>
    <row r="877" spans="2:3" x14ac:dyDescent="0.2">
      <c r="B877" s="46"/>
      <c r="C877" s="32"/>
    </row>
    <row r="878" spans="2:3" x14ac:dyDescent="0.2">
      <c r="B878" s="46"/>
      <c r="C878" s="32"/>
    </row>
    <row r="879" spans="2:3" x14ac:dyDescent="0.2">
      <c r="B879" s="46"/>
      <c r="C879" s="32"/>
    </row>
    <row r="880" spans="2:3" x14ac:dyDescent="0.2">
      <c r="B880" s="46"/>
      <c r="C880" s="32"/>
    </row>
    <row r="881" spans="2:3" x14ac:dyDescent="0.2">
      <c r="B881" s="46"/>
      <c r="C881" s="32"/>
    </row>
    <row r="882" spans="2:3" x14ac:dyDescent="0.2">
      <c r="B882" s="46"/>
      <c r="C882" s="32"/>
    </row>
    <row r="883" spans="2:3" x14ac:dyDescent="0.2">
      <c r="B883" s="46"/>
      <c r="C883" s="32"/>
    </row>
    <row r="884" spans="2:3" x14ac:dyDescent="0.2">
      <c r="B884" s="46"/>
      <c r="C884" s="32"/>
    </row>
    <row r="885" spans="2:3" x14ac:dyDescent="0.2">
      <c r="B885" s="46"/>
      <c r="C885" s="32"/>
    </row>
    <row r="886" spans="2:3" x14ac:dyDescent="0.2">
      <c r="B886" s="46"/>
      <c r="C886" s="32"/>
    </row>
    <row r="887" spans="2:3" x14ac:dyDescent="0.2">
      <c r="B887" s="46"/>
      <c r="C887" s="32"/>
    </row>
    <row r="888" spans="2:3" x14ac:dyDescent="0.2">
      <c r="B888" s="46"/>
      <c r="C888" s="32"/>
    </row>
    <row r="889" spans="2:3" x14ac:dyDescent="0.2">
      <c r="B889" s="46"/>
      <c r="C889" s="32"/>
    </row>
    <row r="890" spans="2:3" x14ac:dyDescent="0.2">
      <c r="B890" s="46"/>
      <c r="C890" s="32"/>
    </row>
    <row r="891" spans="2:3" x14ac:dyDescent="0.2">
      <c r="B891" s="46"/>
      <c r="C891" s="32"/>
    </row>
    <row r="892" spans="2:3" x14ac:dyDescent="0.2">
      <c r="B892" s="46"/>
      <c r="C892" s="32"/>
    </row>
    <row r="893" spans="2:3" x14ac:dyDescent="0.2">
      <c r="B893" s="46"/>
      <c r="C893" s="32"/>
    </row>
    <row r="894" spans="2:3" x14ac:dyDescent="0.2">
      <c r="B894" s="46"/>
      <c r="C894" s="32"/>
    </row>
    <row r="895" spans="2:3" x14ac:dyDescent="0.2">
      <c r="B895" s="46"/>
      <c r="C895" s="32"/>
    </row>
    <row r="896" spans="2:3" x14ac:dyDescent="0.2">
      <c r="B896" s="46"/>
      <c r="C896" s="32"/>
    </row>
    <row r="897" spans="2:3" x14ac:dyDescent="0.2">
      <c r="B897" s="46"/>
      <c r="C897" s="32"/>
    </row>
    <row r="898" spans="2:3" x14ac:dyDescent="0.2">
      <c r="B898" s="46"/>
      <c r="C898" s="32"/>
    </row>
    <row r="899" spans="2:3" x14ac:dyDescent="0.2">
      <c r="B899" s="46"/>
      <c r="C899" s="32"/>
    </row>
    <row r="900" spans="2:3" x14ac:dyDescent="0.2">
      <c r="B900" s="46"/>
      <c r="C900" s="32"/>
    </row>
    <row r="901" spans="2:3" x14ac:dyDescent="0.2">
      <c r="B901" s="46"/>
      <c r="C901" s="32"/>
    </row>
    <row r="902" spans="2:3" x14ac:dyDescent="0.2">
      <c r="B902" s="46"/>
      <c r="C902" s="32"/>
    </row>
    <row r="903" spans="2:3" x14ac:dyDescent="0.2">
      <c r="B903" s="46"/>
      <c r="C903" s="32"/>
    </row>
    <row r="904" spans="2:3" x14ac:dyDescent="0.2">
      <c r="B904" s="46"/>
      <c r="C904" s="32"/>
    </row>
    <row r="905" spans="2:3" x14ac:dyDescent="0.2">
      <c r="B905" s="46"/>
      <c r="C905" s="32"/>
    </row>
    <row r="906" spans="2:3" x14ac:dyDescent="0.2">
      <c r="B906" s="46"/>
      <c r="C906" s="32"/>
    </row>
    <row r="907" spans="2:3" x14ac:dyDescent="0.2">
      <c r="B907" s="46"/>
      <c r="C907" s="32"/>
    </row>
    <row r="908" spans="2:3" x14ac:dyDescent="0.2">
      <c r="B908" s="46"/>
      <c r="C908" s="32"/>
    </row>
    <row r="909" spans="2:3" x14ac:dyDescent="0.2">
      <c r="B909" s="46"/>
      <c r="C909" s="32"/>
    </row>
    <row r="910" spans="2:3" x14ac:dyDescent="0.2">
      <c r="B910" s="46"/>
      <c r="C910" s="32"/>
    </row>
    <row r="911" spans="2:3" x14ac:dyDescent="0.2">
      <c r="B911" s="46"/>
      <c r="C911" s="32"/>
    </row>
    <row r="912" spans="2:3" x14ac:dyDescent="0.2">
      <c r="B912" s="46"/>
      <c r="C912" s="32"/>
    </row>
    <row r="913" spans="2:3" x14ac:dyDescent="0.2">
      <c r="B913" s="46"/>
      <c r="C913" s="32"/>
    </row>
    <row r="914" spans="2:3" x14ac:dyDescent="0.2">
      <c r="B914" s="46"/>
      <c r="C914" s="32"/>
    </row>
    <row r="915" spans="2:3" x14ac:dyDescent="0.2">
      <c r="B915" s="46"/>
      <c r="C915" s="32"/>
    </row>
    <row r="916" spans="2:3" x14ac:dyDescent="0.2">
      <c r="B916" s="46"/>
      <c r="C916" s="32"/>
    </row>
    <row r="917" spans="2:3" x14ac:dyDescent="0.2">
      <c r="B917" s="46"/>
      <c r="C917" s="32"/>
    </row>
    <row r="918" spans="2:3" x14ac:dyDescent="0.2">
      <c r="B918" s="46"/>
      <c r="C918" s="32"/>
    </row>
    <row r="919" spans="2:3" x14ac:dyDescent="0.2">
      <c r="B919" s="46"/>
      <c r="C919" s="32"/>
    </row>
    <row r="920" spans="2:3" x14ac:dyDescent="0.2">
      <c r="B920" s="46"/>
      <c r="C920" s="32"/>
    </row>
    <row r="921" spans="2:3" x14ac:dyDescent="0.2">
      <c r="B921" s="46"/>
      <c r="C921" s="32"/>
    </row>
    <row r="922" spans="2:3" x14ac:dyDescent="0.2">
      <c r="B922" s="46"/>
      <c r="C922" s="32"/>
    </row>
    <row r="923" spans="2:3" x14ac:dyDescent="0.2">
      <c r="B923" s="46"/>
      <c r="C923" s="32"/>
    </row>
    <row r="924" spans="2:3" x14ac:dyDescent="0.2">
      <c r="B924" s="46"/>
      <c r="C924" s="32"/>
    </row>
    <row r="925" spans="2:3" x14ac:dyDescent="0.2">
      <c r="B925" s="46"/>
      <c r="C925" s="32"/>
    </row>
    <row r="926" spans="2:3" x14ac:dyDescent="0.2">
      <c r="B926" s="46"/>
      <c r="C926" s="32"/>
    </row>
    <row r="927" spans="2:3" x14ac:dyDescent="0.2">
      <c r="B927" s="46"/>
      <c r="C927" s="32"/>
    </row>
    <row r="928" spans="2:3" x14ac:dyDescent="0.2">
      <c r="B928" s="46"/>
      <c r="C928" s="32"/>
    </row>
    <row r="929" spans="2:3" x14ac:dyDescent="0.2">
      <c r="B929" s="46"/>
      <c r="C929" s="32"/>
    </row>
    <row r="930" spans="2:3" x14ac:dyDescent="0.2">
      <c r="B930" s="46"/>
      <c r="C930" s="32"/>
    </row>
    <row r="931" spans="2:3" x14ac:dyDescent="0.2">
      <c r="B931" s="46"/>
      <c r="C931" s="32"/>
    </row>
    <row r="932" spans="2:3" x14ac:dyDescent="0.2">
      <c r="B932" s="46"/>
      <c r="C932" s="32"/>
    </row>
    <row r="933" spans="2:3" x14ac:dyDescent="0.2">
      <c r="B933" s="46"/>
      <c r="C933" s="32"/>
    </row>
    <row r="934" spans="2:3" x14ac:dyDescent="0.2">
      <c r="B934" s="46"/>
      <c r="C934" s="32"/>
    </row>
    <row r="935" spans="2:3" x14ac:dyDescent="0.2">
      <c r="B935" s="46"/>
      <c r="C935" s="32"/>
    </row>
    <row r="936" spans="2:3" x14ac:dyDescent="0.2">
      <c r="B936" s="46"/>
      <c r="C936" s="32"/>
    </row>
    <row r="937" spans="2:3" x14ac:dyDescent="0.2">
      <c r="B937" s="46"/>
      <c r="C937" s="32"/>
    </row>
    <row r="938" spans="2:3" x14ac:dyDescent="0.2">
      <c r="B938" s="46"/>
      <c r="C938" s="32"/>
    </row>
    <row r="939" spans="2:3" x14ac:dyDescent="0.2">
      <c r="B939" s="46"/>
      <c r="C939" s="32"/>
    </row>
    <row r="940" spans="2:3" x14ac:dyDescent="0.2">
      <c r="B940" s="46"/>
      <c r="C940" s="32"/>
    </row>
    <row r="941" spans="2:3" x14ac:dyDescent="0.2">
      <c r="B941" s="46"/>
      <c r="C941" s="32"/>
    </row>
    <row r="942" spans="2:3" x14ac:dyDescent="0.2">
      <c r="B942" s="46"/>
      <c r="C942" s="32"/>
    </row>
    <row r="943" spans="2:3" x14ac:dyDescent="0.2">
      <c r="B943" s="46"/>
      <c r="C943" s="32"/>
    </row>
    <row r="944" spans="2:3" x14ac:dyDescent="0.2">
      <c r="B944" s="46"/>
      <c r="C944" s="32"/>
    </row>
    <row r="945" spans="2:3" x14ac:dyDescent="0.2">
      <c r="B945" s="46"/>
      <c r="C945" s="32"/>
    </row>
    <row r="946" spans="2:3" x14ac:dyDescent="0.2">
      <c r="B946" s="46"/>
      <c r="C946" s="32"/>
    </row>
    <row r="947" spans="2:3" x14ac:dyDescent="0.2">
      <c r="B947" s="46"/>
      <c r="C947" s="32"/>
    </row>
    <row r="948" spans="2:3" x14ac:dyDescent="0.2">
      <c r="B948" s="46"/>
      <c r="C948" s="32"/>
    </row>
    <row r="949" spans="2:3" x14ac:dyDescent="0.2">
      <c r="B949" s="46"/>
      <c r="C949" s="32"/>
    </row>
    <row r="950" spans="2:3" x14ac:dyDescent="0.2">
      <c r="B950" s="46"/>
      <c r="C950" s="32"/>
    </row>
    <row r="951" spans="2:3" x14ac:dyDescent="0.2">
      <c r="B951" s="46"/>
      <c r="C951" s="32"/>
    </row>
    <row r="952" spans="2:3" x14ac:dyDescent="0.2">
      <c r="B952" s="46"/>
      <c r="C952" s="32"/>
    </row>
    <row r="953" spans="2:3" x14ac:dyDescent="0.2">
      <c r="B953" s="46"/>
      <c r="C953" s="32"/>
    </row>
    <row r="954" spans="2:3" x14ac:dyDescent="0.2">
      <c r="B954" s="46"/>
      <c r="C954" s="32"/>
    </row>
    <row r="955" spans="2:3" x14ac:dyDescent="0.2">
      <c r="B955" s="46"/>
      <c r="C955" s="32"/>
    </row>
    <row r="956" spans="2:3" x14ac:dyDescent="0.2">
      <c r="B956" s="46"/>
      <c r="C956" s="32"/>
    </row>
    <row r="957" spans="2:3" x14ac:dyDescent="0.2">
      <c r="B957" s="46"/>
      <c r="C957" s="32"/>
    </row>
    <row r="958" spans="2:3" x14ac:dyDescent="0.2">
      <c r="B958" s="46"/>
      <c r="C958" s="32"/>
    </row>
    <row r="959" spans="2:3" x14ac:dyDescent="0.2">
      <c r="B959" s="46"/>
      <c r="C959" s="32"/>
    </row>
    <row r="960" spans="2:3" x14ac:dyDescent="0.2">
      <c r="B960" s="46"/>
      <c r="C960" s="32"/>
    </row>
    <row r="961" spans="2:3" x14ac:dyDescent="0.2">
      <c r="B961" s="46"/>
      <c r="C961" s="32"/>
    </row>
    <row r="962" spans="2:3" x14ac:dyDescent="0.2">
      <c r="B962" s="46"/>
      <c r="C962" s="32"/>
    </row>
    <row r="963" spans="2:3" x14ac:dyDescent="0.2">
      <c r="B963" s="46"/>
      <c r="C963" s="32"/>
    </row>
    <row r="964" spans="2:3" x14ac:dyDescent="0.2">
      <c r="B964" s="46"/>
      <c r="C964" s="32"/>
    </row>
    <row r="965" spans="2:3" x14ac:dyDescent="0.2">
      <c r="B965" s="46"/>
      <c r="C965" s="32"/>
    </row>
    <row r="966" spans="2:3" x14ac:dyDescent="0.2">
      <c r="B966" s="46"/>
      <c r="C966" s="32"/>
    </row>
    <row r="967" spans="2:3" x14ac:dyDescent="0.2">
      <c r="B967" s="46"/>
      <c r="C967" s="32"/>
    </row>
    <row r="968" spans="2:3" x14ac:dyDescent="0.2">
      <c r="B968" s="46"/>
      <c r="C968" s="32"/>
    </row>
    <row r="969" spans="2:3" x14ac:dyDescent="0.2">
      <c r="B969" s="46"/>
      <c r="C969" s="32"/>
    </row>
    <row r="970" spans="2:3" x14ac:dyDescent="0.2">
      <c r="B970" s="46"/>
      <c r="C970" s="32"/>
    </row>
    <row r="971" spans="2:3" x14ac:dyDescent="0.2">
      <c r="B971" s="46"/>
      <c r="C971" s="32"/>
    </row>
    <row r="972" spans="2:3" x14ac:dyDescent="0.2">
      <c r="B972" s="46"/>
      <c r="C972" s="32"/>
    </row>
    <row r="973" spans="2:3" x14ac:dyDescent="0.2">
      <c r="B973" s="46"/>
      <c r="C973" s="32"/>
    </row>
    <row r="974" spans="2:3" x14ac:dyDescent="0.2">
      <c r="B974" s="46"/>
      <c r="C974" s="32"/>
    </row>
    <row r="975" spans="2:3" x14ac:dyDescent="0.2">
      <c r="B975" s="46"/>
      <c r="C975" s="32"/>
    </row>
    <row r="976" spans="2:3" x14ac:dyDescent="0.2">
      <c r="B976" s="46"/>
      <c r="C976" s="32"/>
    </row>
    <row r="977" spans="2:3" x14ac:dyDescent="0.2">
      <c r="B977" s="46"/>
      <c r="C977" s="32"/>
    </row>
    <row r="978" spans="2:3" x14ac:dyDescent="0.2">
      <c r="B978" s="46"/>
      <c r="C978" s="32"/>
    </row>
    <row r="979" spans="2:3" x14ac:dyDescent="0.2">
      <c r="B979" s="46"/>
      <c r="C979" s="32"/>
    </row>
    <row r="980" spans="2:3" x14ac:dyDescent="0.2">
      <c r="B980" s="46"/>
      <c r="C980" s="32"/>
    </row>
    <row r="981" spans="2:3" x14ac:dyDescent="0.2">
      <c r="B981" s="46"/>
      <c r="C981" s="32"/>
    </row>
    <row r="982" spans="2:3" x14ac:dyDescent="0.2">
      <c r="B982" s="46"/>
      <c r="C982" s="32"/>
    </row>
    <row r="983" spans="2:3" x14ac:dyDescent="0.2">
      <c r="B983" s="46"/>
      <c r="C983" s="32"/>
    </row>
    <row r="984" spans="2:3" x14ac:dyDescent="0.2">
      <c r="B984" s="46"/>
      <c r="C984" s="32"/>
    </row>
    <row r="985" spans="2:3" x14ac:dyDescent="0.2">
      <c r="B985" s="46"/>
      <c r="C985" s="32"/>
    </row>
    <row r="986" spans="2:3" x14ac:dyDescent="0.2">
      <c r="B986" s="46"/>
      <c r="C986" s="32"/>
    </row>
    <row r="987" spans="2:3" x14ac:dyDescent="0.2">
      <c r="B987" s="46"/>
      <c r="C987" s="32"/>
    </row>
    <row r="988" spans="2:3" x14ac:dyDescent="0.2">
      <c r="B988" s="46"/>
      <c r="C988" s="32"/>
    </row>
    <row r="989" spans="2:3" x14ac:dyDescent="0.2">
      <c r="B989" s="46"/>
      <c r="C989" s="32"/>
    </row>
    <row r="990" spans="2:3" x14ac:dyDescent="0.2">
      <c r="B990" s="46"/>
      <c r="C990" s="32"/>
    </row>
    <row r="991" spans="2:3" x14ac:dyDescent="0.2">
      <c r="B991" s="46"/>
      <c r="C991" s="32"/>
    </row>
    <row r="992" spans="2:3" x14ac:dyDescent="0.2">
      <c r="B992" s="46"/>
      <c r="C992" s="32"/>
    </row>
    <row r="993" spans="2:3" x14ac:dyDescent="0.2">
      <c r="B993" s="46"/>
      <c r="C993" s="32"/>
    </row>
    <row r="994" spans="2:3" x14ac:dyDescent="0.2">
      <c r="B994" s="46"/>
      <c r="C994" s="32"/>
    </row>
    <row r="995" spans="2:3" x14ac:dyDescent="0.2">
      <c r="B995" s="46"/>
      <c r="C995" s="32"/>
    </row>
    <row r="996" spans="2:3" x14ac:dyDescent="0.2">
      <c r="B996" s="46"/>
      <c r="C996" s="32"/>
    </row>
    <row r="997" spans="2:3" x14ac:dyDescent="0.2">
      <c r="B997" s="46"/>
      <c r="C997" s="32"/>
    </row>
    <row r="998" spans="2:3" x14ac:dyDescent="0.2">
      <c r="B998" s="46"/>
      <c r="C998" s="32"/>
    </row>
    <row r="999" spans="2:3" x14ac:dyDescent="0.2">
      <c r="B999" s="46"/>
      <c r="C999" s="32"/>
    </row>
    <row r="1000" spans="2:3" x14ac:dyDescent="0.2">
      <c r="B1000" s="46"/>
      <c r="C1000" s="32"/>
    </row>
    <row r="1001" spans="2:3" x14ac:dyDescent="0.2">
      <c r="B1001" s="46"/>
      <c r="C1001" s="32"/>
    </row>
    <row r="1002" spans="2:3" x14ac:dyDescent="0.2">
      <c r="B1002" s="46"/>
      <c r="C1002" s="32"/>
    </row>
    <row r="1003" spans="2:3" x14ac:dyDescent="0.2">
      <c r="B1003" s="46"/>
      <c r="C1003" s="32"/>
    </row>
    <row r="1004" spans="2:3" x14ac:dyDescent="0.2">
      <c r="B1004" s="46"/>
      <c r="C1004" s="32"/>
    </row>
    <row r="1005" spans="2:3" x14ac:dyDescent="0.2">
      <c r="B1005" s="46"/>
      <c r="C1005" s="32"/>
    </row>
    <row r="1006" spans="2:3" x14ac:dyDescent="0.2">
      <c r="B1006" s="46"/>
      <c r="C1006" s="32"/>
    </row>
    <row r="1007" spans="2:3" x14ac:dyDescent="0.2">
      <c r="B1007" s="46"/>
      <c r="C1007" s="32"/>
    </row>
    <row r="1008" spans="2:3" x14ac:dyDescent="0.2">
      <c r="B1008" s="46"/>
      <c r="C1008" s="32"/>
    </row>
    <row r="1009" spans="2:3" x14ac:dyDescent="0.2">
      <c r="B1009" s="46"/>
      <c r="C1009" s="32"/>
    </row>
    <row r="1010" spans="2:3" x14ac:dyDescent="0.2">
      <c r="B1010" s="46"/>
      <c r="C1010" s="32"/>
    </row>
    <row r="1011" spans="2:3" x14ac:dyDescent="0.2">
      <c r="B1011" s="46"/>
      <c r="C1011" s="32"/>
    </row>
    <row r="1012" spans="2:3" x14ac:dyDescent="0.2">
      <c r="B1012" s="46"/>
      <c r="C1012" s="32"/>
    </row>
    <row r="1013" spans="2:3" x14ac:dyDescent="0.2">
      <c r="B1013" s="46"/>
      <c r="C1013" s="32"/>
    </row>
    <row r="1014" spans="2:3" x14ac:dyDescent="0.2">
      <c r="B1014" s="46"/>
      <c r="C1014" s="32"/>
    </row>
    <row r="1015" spans="2:3" x14ac:dyDescent="0.2">
      <c r="B1015" s="46"/>
      <c r="C1015" s="32"/>
    </row>
    <row r="1016" spans="2:3" x14ac:dyDescent="0.2">
      <c r="B1016" s="46"/>
      <c r="C1016" s="32"/>
    </row>
    <row r="1017" spans="2:3" x14ac:dyDescent="0.2">
      <c r="B1017" s="46"/>
      <c r="C1017" s="32"/>
    </row>
    <row r="1018" spans="2:3" x14ac:dyDescent="0.2">
      <c r="B1018" s="46"/>
      <c r="C1018" s="32"/>
    </row>
    <row r="1019" spans="2:3" x14ac:dyDescent="0.2">
      <c r="B1019" s="46"/>
      <c r="C1019" s="32"/>
    </row>
    <row r="1020" spans="2:3" x14ac:dyDescent="0.2">
      <c r="B1020" s="46"/>
      <c r="C1020" s="32"/>
    </row>
    <row r="1021" spans="2:3" x14ac:dyDescent="0.2">
      <c r="B1021" s="46"/>
      <c r="C1021" s="32"/>
    </row>
    <row r="1022" spans="2:3" x14ac:dyDescent="0.2">
      <c r="B1022" s="46"/>
      <c r="C1022" s="32"/>
    </row>
    <row r="1023" spans="2:3" x14ac:dyDescent="0.2">
      <c r="B1023" s="46"/>
      <c r="C1023" s="32"/>
    </row>
    <row r="1024" spans="2:3" x14ac:dyDescent="0.2">
      <c r="B1024" s="46"/>
      <c r="C1024" s="32"/>
    </row>
    <row r="1025" spans="2:3" x14ac:dyDescent="0.2">
      <c r="B1025" s="46"/>
      <c r="C1025" s="32"/>
    </row>
    <row r="1026" spans="2:3" x14ac:dyDescent="0.2">
      <c r="B1026" s="46"/>
      <c r="C1026" s="32"/>
    </row>
    <row r="1027" spans="2:3" x14ac:dyDescent="0.2">
      <c r="B1027" s="46"/>
      <c r="C1027" s="32"/>
    </row>
    <row r="1028" spans="2:3" x14ac:dyDescent="0.2">
      <c r="B1028" s="46"/>
      <c r="C1028" s="32"/>
    </row>
    <row r="1029" spans="2:3" x14ac:dyDescent="0.2">
      <c r="B1029" s="46"/>
      <c r="C1029" s="32"/>
    </row>
    <row r="1030" spans="2:3" x14ac:dyDescent="0.2">
      <c r="B1030" s="46"/>
      <c r="C1030" s="32"/>
    </row>
    <row r="1031" spans="2:3" x14ac:dyDescent="0.2">
      <c r="B1031" s="46"/>
      <c r="C1031" s="32"/>
    </row>
    <row r="1032" spans="2:3" x14ac:dyDescent="0.2">
      <c r="B1032" s="46"/>
      <c r="C1032" s="32"/>
    </row>
    <row r="1033" spans="2:3" x14ac:dyDescent="0.2">
      <c r="B1033" s="46"/>
      <c r="C1033" s="32"/>
    </row>
    <row r="1034" spans="2:3" x14ac:dyDescent="0.2">
      <c r="B1034" s="46"/>
      <c r="C1034" s="32"/>
    </row>
    <row r="1035" spans="2:3" x14ac:dyDescent="0.2">
      <c r="B1035" s="46"/>
      <c r="C1035" s="32"/>
    </row>
    <row r="1036" spans="2:3" x14ac:dyDescent="0.2">
      <c r="B1036" s="46"/>
      <c r="C1036" s="32"/>
    </row>
    <row r="1037" spans="2:3" x14ac:dyDescent="0.2">
      <c r="B1037" s="46"/>
      <c r="C1037" s="32"/>
    </row>
    <row r="1038" spans="2:3" x14ac:dyDescent="0.2">
      <c r="B1038" s="46"/>
      <c r="C1038" s="32"/>
    </row>
    <row r="1039" spans="2:3" x14ac:dyDescent="0.2">
      <c r="B1039" s="46"/>
      <c r="C1039" s="32"/>
    </row>
    <row r="1040" spans="2:3" x14ac:dyDescent="0.2">
      <c r="B1040" s="46"/>
      <c r="C1040" s="32"/>
    </row>
    <row r="1041" spans="2:3" x14ac:dyDescent="0.2">
      <c r="B1041" s="46"/>
      <c r="C1041" s="32"/>
    </row>
    <row r="1042" spans="2:3" x14ac:dyDescent="0.2">
      <c r="B1042" s="46"/>
      <c r="C1042" s="32"/>
    </row>
    <row r="1043" spans="2:3" x14ac:dyDescent="0.2">
      <c r="B1043" s="46"/>
      <c r="C1043" s="32"/>
    </row>
    <row r="1044" spans="2:3" x14ac:dyDescent="0.2">
      <c r="B1044" s="46"/>
      <c r="C1044" s="32"/>
    </row>
    <row r="1045" spans="2:3" x14ac:dyDescent="0.2">
      <c r="B1045" s="46"/>
      <c r="C1045" s="32"/>
    </row>
    <row r="1046" spans="2:3" x14ac:dyDescent="0.2">
      <c r="B1046" s="46"/>
      <c r="C1046" s="32"/>
    </row>
    <row r="1047" spans="2:3" x14ac:dyDescent="0.2">
      <c r="B1047" s="46"/>
      <c r="C1047" s="32"/>
    </row>
    <row r="1048" spans="2:3" x14ac:dyDescent="0.2">
      <c r="B1048" s="46"/>
      <c r="C1048" s="32"/>
    </row>
    <row r="1049" spans="2:3" x14ac:dyDescent="0.2">
      <c r="B1049" s="46"/>
      <c r="C1049" s="32"/>
    </row>
    <row r="1050" spans="2:3" x14ac:dyDescent="0.2">
      <c r="B1050" s="46"/>
      <c r="C1050" s="32"/>
    </row>
    <row r="1051" spans="2:3" x14ac:dyDescent="0.2">
      <c r="B1051" s="46"/>
      <c r="C1051" s="32"/>
    </row>
    <row r="1052" spans="2:3" x14ac:dyDescent="0.2">
      <c r="B1052" s="46"/>
      <c r="C1052" s="32"/>
    </row>
    <row r="1053" spans="2:3" x14ac:dyDescent="0.2">
      <c r="B1053" s="46"/>
      <c r="C1053" s="32"/>
    </row>
    <row r="1054" spans="2:3" x14ac:dyDescent="0.2">
      <c r="B1054" s="46"/>
      <c r="C1054" s="32"/>
    </row>
    <row r="1055" spans="2:3" x14ac:dyDescent="0.2">
      <c r="B1055" s="46"/>
      <c r="C1055" s="32"/>
    </row>
    <row r="1056" spans="2:3" x14ac:dyDescent="0.2">
      <c r="B1056" s="46"/>
      <c r="C1056" s="32"/>
    </row>
    <row r="1057" spans="2:3" x14ac:dyDescent="0.2">
      <c r="B1057" s="46"/>
      <c r="C1057" s="32"/>
    </row>
    <row r="1058" spans="2:3" x14ac:dyDescent="0.2">
      <c r="B1058" s="46"/>
      <c r="C1058" s="32"/>
    </row>
    <row r="1059" spans="2:3" x14ac:dyDescent="0.2">
      <c r="B1059" s="46"/>
      <c r="C1059" s="32"/>
    </row>
    <row r="1060" spans="2:3" x14ac:dyDescent="0.2">
      <c r="B1060" s="46"/>
      <c r="C1060" s="32"/>
    </row>
    <row r="1061" spans="2:3" x14ac:dyDescent="0.2">
      <c r="B1061" s="46"/>
      <c r="C1061" s="32"/>
    </row>
    <row r="1062" spans="2:3" x14ac:dyDescent="0.2">
      <c r="B1062" s="46"/>
      <c r="C1062" s="32"/>
    </row>
    <row r="1063" spans="2:3" x14ac:dyDescent="0.2">
      <c r="B1063" s="46"/>
      <c r="C1063" s="32"/>
    </row>
    <row r="1064" spans="2:3" x14ac:dyDescent="0.2">
      <c r="B1064" s="46"/>
      <c r="C1064" s="32"/>
    </row>
    <row r="1065" spans="2:3" x14ac:dyDescent="0.2">
      <c r="B1065" s="46"/>
      <c r="C1065" s="32"/>
    </row>
    <row r="1066" spans="2:3" x14ac:dyDescent="0.2">
      <c r="B1066" s="46"/>
      <c r="C1066" s="32"/>
    </row>
    <row r="1067" spans="2:3" x14ac:dyDescent="0.2">
      <c r="B1067" s="46"/>
      <c r="C1067" s="32"/>
    </row>
    <row r="1068" spans="2:3" x14ac:dyDescent="0.2">
      <c r="B1068" s="46"/>
      <c r="C1068" s="32"/>
    </row>
    <row r="1069" spans="2:3" x14ac:dyDescent="0.2">
      <c r="B1069" s="46"/>
      <c r="C1069" s="32"/>
    </row>
    <row r="1070" spans="2:3" x14ac:dyDescent="0.2">
      <c r="B1070" s="46"/>
      <c r="C1070" s="32"/>
    </row>
    <row r="1071" spans="2:3" x14ac:dyDescent="0.2">
      <c r="B1071" s="46"/>
      <c r="C1071" s="32"/>
    </row>
    <row r="1072" spans="2:3" x14ac:dyDescent="0.2">
      <c r="B1072" s="46"/>
      <c r="C1072" s="32"/>
    </row>
    <row r="1073" spans="2:3" x14ac:dyDescent="0.2">
      <c r="B1073" s="46"/>
      <c r="C1073" s="32"/>
    </row>
    <row r="1074" spans="2:3" x14ac:dyDescent="0.2">
      <c r="B1074" s="46"/>
      <c r="C1074" s="32"/>
    </row>
    <row r="1075" spans="2:3" x14ac:dyDescent="0.2">
      <c r="B1075" s="46"/>
      <c r="C1075" s="32"/>
    </row>
    <row r="1076" spans="2:3" x14ac:dyDescent="0.2">
      <c r="B1076" s="46"/>
      <c r="C1076" s="32"/>
    </row>
    <row r="1077" spans="2:3" x14ac:dyDescent="0.2">
      <c r="B1077" s="46"/>
      <c r="C1077" s="32"/>
    </row>
    <row r="1078" spans="2:3" x14ac:dyDescent="0.2">
      <c r="B1078" s="46"/>
      <c r="C1078" s="32"/>
    </row>
    <row r="1079" spans="2:3" x14ac:dyDescent="0.2">
      <c r="B1079" s="46"/>
      <c r="C1079" s="32"/>
    </row>
    <row r="1080" spans="2:3" x14ac:dyDescent="0.2">
      <c r="B1080" s="46"/>
      <c r="C1080" s="32"/>
    </row>
    <row r="1081" spans="2:3" x14ac:dyDescent="0.2">
      <c r="B1081" s="46"/>
      <c r="C1081" s="32"/>
    </row>
    <row r="1082" spans="2:3" x14ac:dyDescent="0.2">
      <c r="B1082" s="46"/>
      <c r="C1082" s="32"/>
    </row>
    <row r="1083" spans="2:3" x14ac:dyDescent="0.2">
      <c r="B1083" s="46"/>
      <c r="C1083" s="32"/>
    </row>
    <row r="1084" spans="2:3" x14ac:dyDescent="0.2">
      <c r="B1084" s="46"/>
      <c r="C1084" s="32"/>
    </row>
    <row r="1085" spans="2:3" x14ac:dyDescent="0.2">
      <c r="B1085" s="46"/>
      <c r="C1085" s="32"/>
    </row>
    <row r="1086" spans="2:3" x14ac:dyDescent="0.2">
      <c r="B1086" s="46"/>
      <c r="C1086" s="32"/>
    </row>
    <row r="1087" spans="2:3" x14ac:dyDescent="0.2">
      <c r="B1087" s="46"/>
      <c r="C1087" s="32"/>
    </row>
    <row r="1088" spans="2:3" x14ac:dyDescent="0.2">
      <c r="B1088" s="46"/>
      <c r="C1088" s="32"/>
    </row>
    <row r="1089" spans="2:3" x14ac:dyDescent="0.2">
      <c r="B1089" s="46"/>
      <c r="C1089" s="32"/>
    </row>
    <row r="1090" spans="2:3" x14ac:dyDescent="0.2">
      <c r="B1090" s="46"/>
      <c r="C1090" s="32"/>
    </row>
    <row r="1091" spans="2:3" x14ac:dyDescent="0.2">
      <c r="B1091" s="46"/>
      <c r="C1091" s="32"/>
    </row>
    <row r="1092" spans="2:3" x14ac:dyDescent="0.2">
      <c r="B1092" s="46"/>
      <c r="C1092" s="32"/>
    </row>
    <row r="1093" spans="2:3" x14ac:dyDescent="0.2">
      <c r="B1093" s="46"/>
      <c r="C1093" s="32"/>
    </row>
    <row r="1094" spans="2:3" x14ac:dyDescent="0.2">
      <c r="B1094" s="46"/>
      <c r="C1094" s="32"/>
    </row>
    <row r="1095" spans="2:3" x14ac:dyDescent="0.2">
      <c r="B1095" s="46"/>
      <c r="C1095" s="32"/>
    </row>
    <row r="1096" spans="2:3" x14ac:dyDescent="0.2">
      <c r="B1096" s="46"/>
      <c r="C1096" s="32"/>
    </row>
    <row r="1097" spans="2:3" x14ac:dyDescent="0.2">
      <c r="B1097" s="46"/>
      <c r="C1097" s="32"/>
    </row>
    <row r="1098" spans="2:3" x14ac:dyDescent="0.2">
      <c r="B1098" s="46"/>
      <c r="C1098" s="32"/>
    </row>
    <row r="1099" spans="2:3" x14ac:dyDescent="0.2">
      <c r="B1099" s="46"/>
      <c r="C1099" s="32"/>
    </row>
    <row r="1100" spans="2:3" x14ac:dyDescent="0.2">
      <c r="B1100" s="46"/>
      <c r="C1100" s="32"/>
    </row>
    <row r="1101" spans="2:3" x14ac:dyDescent="0.2">
      <c r="B1101" s="46"/>
      <c r="C1101" s="32"/>
    </row>
    <row r="1102" spans="2:3" x14ac:dyDescent="0.2">
      <c r="B1102" s="46"/>
      <c r="C1102" s="32"/>
    </row>
    <row r="1103" spans="2:3" x14ac:dyDescent="0.2">
      <c r="B1103" s="46"/>
      <c r="C1103" s="32"/>
    </row>
    <row r="1104" spans="2:3" x14ac:dyDescent="0.2">
      <c r="B1104" s="46"/>
      <c r="C1104" s="32"/>
    </row>
    <row r="1105" spans="2:3" x14ac:dyDescent="0.2">
      <c r="B1105" s="46"/>
      <c r="C1105" s="32"/>
    </row>
    <row r="1106" spans="2:3" x14ac:dyDescent="0.2">
      <c r="B1106" s="46"/>
      <c r="C1106" s="32"/>
    </row>
    <row r="1107" spans="2:3" x14ac:dyDescent="0.2">
      <c r="B1107" s="46"/>
      <c r="C1107" s="32"/>
    </row>
    <row r="1108" spans="2:3" x14ac:dyDescent="0.2">
      <c r="B1108" s="46"/>
      <c r="C1108" s="32"/>
    </row>
    <row r="1109" spans="2:3" x14ac:dyDescent="0.2">
      <c r="B1109" s="46"/>
      <c r="C1109" s="32"/>
    </row>
    <row r="1110" spans="2:3" x14ac:dyDescent="0.2">
      <c r="B1110" s="46"/>
      <c r="C1110" s="32"/>
    </row>
    <row r="1111" spans="2:3" x14ac:dyDescent="0.2">
      <c r="B1111" s="46"/>
      <c r="C1111" s="32"/>
    </row>
    <row r="1112" spans="2:3" x14ac:dyDescent="0.2">
      <c r="B1112" s="46"/>
      <c r="C1112" s="32"/>
    </row>
    <row r="1113" spans="2:3" x14ac:dyDescent="0.2">
      <c r="B1113" s="46"/>
      <c r="C1113" s="32"/>
    </row>
    <row r="1114" spans="2:3" x14ac:dyDescent="0.2">
      <c r="B1114" s="46"/>
      <c r="C1114" s="32"/>
    </row>
    <row r="1115" spans="2:3" x14ac:dyDescent="0.2">
      <c r="B1115" s="46"/>
      <c r="C1115" s="32"/>
    </row>
    <row r="1116" spans="2:3" x14ac:dyDescent="0.2">
      <c r="B1116" s="46"/>
      <c r="C1116" s="32"/>
    </row>
    <row r="1117" spans="2:3" x14ac:dyDescent="0.2">
      <c r="B1117" s="46"/>
      <c r="C1117" s="32"/>
    </row>
    <row r="1118" spans="2:3" x14ac:dyDescent="0.2">
      <c r="B1118" s="46"/>
      <c r="C1118" s="32"/>
    </row>
    <row r="1119" spans="2:3" x14ac:dyDescent="0.2">
      <c r="B1119" s="46"/>
      <c r="C1119" s="32"/>
    </row>
    <row r="1120" spans="2:3" x14ac:dyDescent="0.2">
      <c r="B1120" s="46"/>
      <c r="C1120" s="32"/>
    </row>
    <row r="1121" spans="2:3" x14ac:dyDescent="0.2">
      <c r="B1121" s="46"/>
      <c r="C1121" s="32"/>
    </row>
    <row r="1122" spans="2:3" x14ac:dyDescent="0.2">
      <c r="B1122" s="46"/>
      <c r="C1122" s="32"/>
    </row>
    <row r="1123" spans="2:3" x14ac:dyDescent="0.2">
      <c r="B1123" s="46"/>
      <c r="C1123" s="32"/>
    </row>
    <row r="1124" spans="2:3" x14ac:dyDescent="0.2">
      <c r="B1124" s="46"/>
      <c r="C1124" s="32"/>
    </row>
    <row r="1125" spans="2:3" x14ac:dyDescent="0.2">
      <c r="B1125" s="46"/>
      <c r="C1125" s="32"/>
    </row>
    <row r="1126" spans="2:3" x14ac:dyDescent="0.2">
      <c r="B1126" s="46"/>
      <c r="C1126" s="32"/>
    </row>
    <row r="1127" spans="2:3" x14ac:dyDescent="0.2">
      <c r="B1127" s="46"/>
      <c r="C1127" s="32"/>
    </row>
    <row r="1128" spans="2:3" x14ac:dyDescent="0.2">
      <c r="B1128" s="46"/>
      <c r="C1128" s="32"/>
    </row>
    <row r="1129" spans="2:3" x14ac:dyDescent="0.2">
      <c r="B1129" s="46"/>
      <c r="C1129" s="32"/>
    </row>
    <row r="1130" spans="2:3" x14ac:dyDescent="0.2">
      <c r="B1130" s="46"/>
      <c r="C1130" s="32"/>
    </row>
    <row r="1131" spans="2:3" x14ac:dyDescent="0.2">
      <c r="B1131" s="46"/>
      <c r="C1131" s="32"/>
    </row>
    <row r="1132" spans="2:3" x14ac:dyDescent="0.2">
      <c r="B1132" s="46"/>
      <c r="C1132" s="32"/>
    </row>
    <row r="1133" spans="2:3" x14ac:dyDescent="0.2">
      <c r="B1133" s="46"/>
      <c r="C1133" s="32"/>
    </row>
    <row r="1134" spans="2:3" x14ac:dyDescent="0.2">
      <c r="B1134" s="46"/>
      <c r="C1134" s="32"/>
    </row>
    <row r="1135" spans="2:3" x14ac:dyDescent="0.2">
      <c r="B1135" s="46"/>
      <c r="C1135" s="32"/>
    </row>
    <row r="1136" spans="2:3" x14ac:dyDescent="0.2">
      <c r="B1136" s="46"/>
      <c r="C1136" s="32"/>
    </row>
    <row r="1137" spans="2:3" x14ac:dyDescent="0.2">
      <c r="B1137" s="46"/>
      <c r="C1137" s="32"/>
    </row>
    <row r="1138" spans="2:3" x14ac:dyDescent="0.2">
      <c r="B1138" s="46"/>
      <c r="C1138" s="32"/>
    </row>
    <row r="1139" spans="2:3" x14ac:dyDescent="0.2">
      <c r="B1139" s="46"/>
      <c r="C1139" s="32"/>
    </row>
    <row r="1140" spans="2:3" x14ac:dyDescent="0.2">
      <c r="B1140" s="46"/>
      <c r="C1140" s="32"/>
    </row>
    <row r="1141" spans="2:3" x14ac:dyDescent="0.2">
      <c r="B1141" s="46"/>
      <c r="C1141" s="32"/>
    </row>
    <row r="1142" spans="2:3" x14ac:dyDescent="0.2">
      <c r="B1142" s="46"/>
      <c r="C1142" s="32"/>
    </row>
    <row r="1143" spans="2:3" x14ac:dyDescent="0.2">
      <c r="B1143" s="46"/>
      <c r="C1143" s="32"/>
    </row>
    <row r="1144" spans="2:3" x14ac:dyDescent="0.2">
      <c r="B1144" s="46"/>
      <c r="C1144" s="32"/>
    </row>
    <row r="1145" spans="2:3" x14ac:dyDescent="0.2">
      <c r="B1145" s="46"/>
      <c r="C1145" s="32"/>
    </row>
    <row r="1146" spans="2:3" x14ac:dyDescent="0.2">
      <c r="B1146" s="46"/>
      <c r="C1146" s="32"/>
    </row>
    <row r="1147" spans="2:3" x14ac:dyDescent="0.2">
      <c r="B1147" s="46"/>
      <c r="C1147" s="32"/>
    </row>
    <row r="1148" spans="2:3" x14ac:dyDescent="0.2">
      <c r="B1148" s="46"/>
      <c r="C1148" s="32"/>
    </row>
    <row r="1149" spans="2:3" x14ac:dyDescent="0.2">
      <c r="B1149" s="46"/>
      <c r="C1149" s="32"/>
    </row>
    <row r="1150" spans="2:3" x14ac:dyDescent="0.2">
      <c r="B1150" s="46"/>
      <c r="C1150" s="32"/>
    </row>
    <row r="1151" spans="2:3" x14ac:dyDescent="0.2">
      <c r="B1151" s="46"/>
      <c r="C1151" s="32"/>
    </row>
    <row r="1152" spans="2:3" x14ac:dyDescent="0.2">
      <c r="B1152" s="46"/>
      <c r="C1152" s="32"/>
    </row>
    <row r="1153" spans="2:3" x14ac:dyDescent="0.2">
      <c r="B1153" s="46"/>
      <c r="C1153" s="32"/>
    </row>
    <row r="1154" spans="2:3" x14ac:dyDescent="0.2">
      <c r="B1154" s="46"/>
      <c r="C1154" s="32"/>
    </row>
    <row r="1155" spans="2:3" x14ac:dyDescent="0.2">
      <c r="B1155" s="46"/>
      <c r="C1155" s="32"/>
    </row>
    <row r="1156" spans="2:3" x14ac:dyDescent="0.2">
      <c r="B1156" s="46"/>
      <c r="C1156" s="32"/>
    </row>
    <row r="1157" spans="2:3" x14ac:dyDescent="0.2">
      <c r="B1157" s="46"/>
      <c r="C1157" s="32"/>
    </row>
    <row r="1158" spans="2:3" x14ac:dyDescent="0.2">
      <c r="B1158" s="46"/>
      <c r="C1158" s="32"/>
    </row>
    <row r="1159" spans="2:3" x14ac:dyDescent="0.2">
      <c r="B1159" s="46"/>
      <c r="C1159" s="32"/>
    </row>
    <row r="1160" spans="2:3" x14ac:dyDescent="0.2">
      <c r="B1160" s="46"/>
      <c r="C1160" s="32"/>
    </row>
    <row r="1161" spans="2:3" x14ac:dyDescent="0.2">
      <c r="B1161" s="46"/>
      <c r="C1161" s="32"/>
    </row>
    <row r="1162" spans="2:3" x14ac:dyDescent="0.2">
      <c r="B1162" s="46"/>
      <c r="C1162" s="32"/>
    </row>
    <row r="1163" spans="2:3" x14ac:dyDescent="0.2">
      <c r="B1163" s="46"/>
      <c r="C1163" s="32"/>
    </row>
    <row r="1164" spans="2:3" x14ac:dyDescent="0.2">
      <c r="B1164" s="46"/>
      <c r="C1164" s="32"/>
    </row>
    <row r="1165" spans="2:3" x14ac:dyDescent="0.2">
      <c r="B1165" s="46"/>
      <c r="C1165" s="32"/>
    </row>
    <row r="1166" spans="2:3" x14ac:dyDescent="0.2">
      <c r="B1166" s="46"/>
      <c r="C1166" s="32"/>
    </row>
    <row r="1167" spans="2:3" x14ac:dyDescent="0.2">
      <c r="B1167" s="46"/>
      <c r="C1167" s="32"/>
    </row>
    <row r="1168" spans="2:3" x14ac:dyDescent="0.2">
      <c r="B1168" s="46"/>
      <c r="C1168" s="32"/>
    </row>
    <row r="1169" spans="2:3" x14ac:dyDescent="0.2">
      <c r="B1169" s="46"/>
      <c r="C1169" s="32"/>
    </row>
    <row r="1170" spans="2:3" x14ac:dyDescent="0.2">
      <c r="B1170" s="46"/>
      <c r="C1170" s="32"/>
    </row>
    <row r="1171" spans="2:3" x14ac:dyDescent="0.2">
      <c r="B1171" s="46"/>
      <c r="C1171" s="32"/>
    </row>
    <row r="1172" spans="2:3" x14ac:dyDescent="0.2">
      <c r="B1172" s="46"/>
      <c r="C1172" s="32"/>
    </row>
    <row r="1173" spans="2:3" x14ac:dyDescent="0.2">
      <c r="B1173" s="46"/>
      <c r="C1173" s="32"/>
    </row>
    <row r="1174" spans="2:3" x14ac:dyDescent="0.2">
      <c r="B1174" s="46"/>
      <c r="C1174" s="32"/>
    </row>
    <row r="1175" spans="2:3" x14ac:dyDescent="0.2">
      <c r="B1175" s="46"/>
      <c r="C1175" s="32"/>
    </row>
    <row r="1176" spans="2:3" x14ac:dyDescent="0.2">
      <c r="B1176" s="46"/>
      <c r="C1176" s="32"/>
    </row>
    <row r="1177" spans="2:3" x14ac:dyDescent="0.2">
      <c r="B1177" s="46"/>
      <c r="C1177" s="32"/>
    </row>
    <row r="1178" spans="2:3" x14ac:dyDescent="0.2">
      <c r="B1178" s="46"/>
      <c r="C1178" s="32"/>
    </row>
    <row r="1179" spans="2:3" x14ac:dyDescent="0.2">
      <c r="B1179" s="46"/>
      <c r="C1179" s="32"/>
    </row>
    <row r="1180" spans="2:3" x14ac:dyDescent="0.2">
      <c r="B1180" s="46"/>
      <c r="C1180" s="32"/>
    </row>
    <row r="1181" spans="2:3" x14ac:dyDescent="0.2">
      <c r="B1181" s="46"/>
      <c r="C1181" s="32"/>
    </row>
    <row r="1182" spans="2:3" x14ac:dyDescent="0.2">
      <c r="B1182" s="46"/>
      <c r="C1182" s="32"/>
    </row>
    <row r="1183" spans="2:3" x14ac:dyDescent="0.2">
      <c r="B1183" s="46"/>
      <c r="C1183" s="32"/>
    </row>
    <row r="1184" spans="2:3" x14ac:dyDescent="0.2">
      <c r="B1184" s="46"/>
      <c r="C1184" s="32"/>
    </row>
    <row r="1185" spans="2:3" x14ac:dyDescent="0.2">
      <c r="B1185" s="46"/>
      <c r="C1185" s="32"/>
    </row>
    <row r="1186" spans="2:3" x14ac:dyDescent="0.2">
      <c r="B1186" s="46"/>
      <c r="C1186" s="32"/>
    </row>
    <row r="1187" spans="2:3" x14ac:dyDescent="0.2">
      <c r="B1187" s="46"/>
      <c r="C1187" s="32"/>
    </row>
    <row r="1188" spans="2:3" x14ac:dyDescent="0.2">
      <c r="B1188" s="46"/>
      <c r="C1188" s="32"/>
    </row>
    <row r="1189" spans="2:3" x14ac:dyDescent="0.2">
      <c r="B1189" s="46"/>
      <c r="C1189" s="32"/>
    </row>
    <row r="1190" spans="2:3" x14ac:dyDescent="0.2">
      <c r="B1190" s="46"/>
      <c r="C1190" s="32"/>
    </row>
    <row r="1191" spans="2:3" x14ac:dyDescent="0.2">
      <c r="B1191" s="46"/>
      <c r="C1191" s="32"/>
    </row>
    <row r="1192" spans="2:3" x14ac:dyDescent="0.2">
      <c r="B1192" s="46"/>
      <c r="C1192" s="32"/>
    </row>
    <row r="1193" spans="2:3" x14ac:dyDescent="0.2">
      <c r="B1193" s="46"/>
      <c r="C1193" s="32"/>
    </row>
    <row r="1194" spans="2:3" x14ac:dyDescent="0.2">
      <c r="B1194" s="46"/>
      <c r="C1194" s="32"/>
    </row>
    <row r="1195" spans="2:3" x14ac:dyDescent="0.2">
      <c r="B1195" s="46"/>
      <c r="C1195" s="32"/>
    </row>
    <row r="1196" spans="2:3" x14ac:dyDescent="0.2">
      <c r="B1196" s="46"/>
      <c r="C1196" s="32"/>
    </row>
    <row r="1197" spans="2:3" x14ac:dyDescent="0.2">
      <c r="B1197" s="46"/>
      <c r="C1197" s="32"/>
    </row>
    <row r="1198" spans="2:3" x14ac:dyDescent="0.2">
      <c r="B1198" s="46"/>
      <c r="C1198" s="32"/>
    </row>
    <row r="1199" spans="2:3" x14ac:dyDescent="0.2">
      <c r="B1199" s="46"/>
      <c r="C1199" s="32"/>
    </row>
    <row r="1200" spans="2:3" x14ac:dyDescent="0.2">
      <c r="B1200" s="46"/>
      <c r="C1200" s="32"/>
    </row>
    <row r="1201" spans="2:3" x14ac:dyDescent="0.2">
      <c r="B1201" s="46"/>
      <c r="C1201" s="32"/>
    </row>
    <row r="1202" spans="2:3" x14ac:dyDescent="0.2">
      <c r="B1202" s="46"/>
      <c r="C1202" s="32"/>
    </row>
    <row r="1203" spans="2:3" x14ac:dyDescent="0.2">
      <c r="B1203" s="46"/>
      <c r="C1203" s="32"/>
    </row>
    <row r="1204" spans="2:3" x14ac:dyDescent="0.2">
      <c r="B1204" s="46"/>
      <c r="C1204" s="32"/>
    </row>
    <row r="1205" spans="2:3" x14ac:dyDescent="0.2">
      <c r="B1205" s="46"/>
      <c r="C1205" s="32"/>
    </row>
    <row r="1206" spans="2:3" x14ac:dyDescent="0.2">
      <c r="B1206" s="46"/>
      <c r="C1206" s="32"/>
    </row>
    <row r="1207" spans="2:3" x14ac:dyDescent="0.2">
      <c r="B1207" s="46"/>
      <c r="C1207" s="32"/>
    </row>
    <row r="1208" spans="2:3" x14ac:dyDescent="0.2">
      <c r="B1208" s="46"/>
      <c r="C1208" s="32"/>
    </row>
    <row r="1209" spans="2:3" x14ac:dyDescent="0.2">
      <c r="B1209" s="46"/>
      <c r="C1209" s="32"/>
    </row>
    <row r="1210" spans="2:3" x14ac:dyDescent="0.2">
      <c r="B1210" s="46"/>
      <c r="C1210" s="32"/>
    </row>
    <row r="1211" spans="2:3" x14ac:dyDescent="0.2">
      <c r="B1211" s="46"/>
      <c r="C1211" s="32"/>
    </row>
    <row r="1212" spans="2:3" x14ac:dyDescent="0.2">
      <c r="B1212" s="46"/>
      <c r="C1212" s="32"/>
    </row>
    <row r="1213" spans="2:3" x14ac:dyDescent="0.2">
      <c r="B1213" s="46"/>
      <c r="C1213" s="32"/>
    </row>
    <row r="1214" spans="2:3" x14ac:dyDescent="0.2">
      <c r="B1214" s="46"/>
      <c r="C1214" s="32"/>
    </row>
    <row r="1215" spans="2:3" x14ac:dyDescent="0.2">
      <c r="B1215" s="46"/>
      <c r="C1215" s="32"/>
    </row>
    <row r="1216" spans="2:3" x14ac:dyDescent="0.2">
      <c r="B1216" s="46"/>
      <c r="C1216" s="32"/>
    </row>
    <row r="1217" spans="2:3" x14ac:dyDescent="0.2">
      <c r="B1217" s="46"/>
      <c r="C1217" s="32"/>
    </row>
    <row r="1218" spans="2:3" x14ac:dyDescent="0.2">
      <c r="B1218" s="46"/>
      <c r="C1218" s="32"/>
    </row>
    <row r="1219" spans="2:3" x14ac:dyDescent="0.2">
      <c r="B1219" s="46"/>
      <c r="C1219" s="32"/>
    </row>
    <row r="1220" spans="2:3" x14ac:dyDescent="0.2">
      <c r="B1220" s="46"/>
      <c r="C1220" s="32"/>
    </row>
    <row r="1221" spans="2:3" x14ac:dyDescent="0.2">
      <c r="B1221" s="46"/>
      <c r="C1221" s="32"/>
    </row>
    <row r="1222" spans="2:3" x14ac:dyDescent="0.2">
      <c r="B1222" s="46"/>
      <c r="C1222" s="32"/>
    </row>
    <row r="1223" spans="2:3" x14ac:dyDescent="0.2">
      <c r="B1223" s="46"/>
      <c r="C1223" s="32"/>
    </row>
    <row r="1224" spans="2:3" x14ac:dyDescent="0.2">
      <c r="B1224" s="46"/>
      <c r="C1224" s="32"/>
    </row>
    <row r="1225" spans="2:3" x14ac:dyDescent="0.2">
      <c r="B1225" s="46"/>
      <c r="C1225" s="32"/>
    </row>
    <row r="1226" spans="2:3" x14ac:dyDescent="0.2">
      <c r="B1226" s="46"/>
      <c r="C1226" s="32"/>
    </row>
    <row r="1227" spans="2:3" x14ac:dyDescent="0.2">
      <c r="B1227" s="46"/>
      <c r="C1227" s="32"/>
    </row>
    <row r="1228" spans="2:3" x14ac:dyDescent="0.2">
      <c r="B1228" s="46"/>
      <c r="C1228" s="32"/>
    </row>
    <row r="1229" spans="2:3" x14ac:dyDescent="0.2">
      <c r="B1229" s="46"/>
      <c r="C1229" s="32"/>
    </row>
    <row r="1230" spans="2:3" x14ac:dyDescent="0.2">
      <c r="B1230" s="46"/>
      <c r="C1230" s="32"/>
    </row>
    <row r="1231" spans="2:3" x14ac:dyDescent="0.2">
      <c r="B1231" s="46"/>
      <c r="C1231" s="32"/>
    </row>
    <row r="1232" spans="2:3" x14ac:dyDescent="0.2">
      <c r="B1232" s="46"/>
      <c r="C1232" s="32"/>
    </row>
    <row r="1233" spans="2:3" x14ac:dyDescent="0.2">
      <c r="B1233" s="46"/>
      <c r="C1233" s="32"/>
    </row>
    <row r="1234" spans="2:3" x14ac:dyDescent="0.2">
      <c r="B1234" s="46"/>
      <c r="C1234" s="32"/>
    </row>
    <row r="1235" spans="2:3" x14ac:dyDescent="0.2">
      <c r="B1235" s="46"/>
      <c r="C1235" s="32"/>
    </row>
    <row r="1236" spans="2:3" x14ac:dyDescent="0.2">
      <c r="B1236" s="46"/>
      <c r="C1236" s="32"/>
    </row>
    <row r="1237" spans="2:3" x14ac:dyDescent="0.2">
      <c r="B1237" s="46"/>
      <c r="C1237" s="32"/>
    </row>
    <row r="1238" spans="2:3" x14ac:dyDescent="0.2">
      <c r="B1238" s="46"/>
      <c r="C1238" s="32"/>
    </row>
    <row r="1239" spans="2:3" x14ac:dyDescent="0.2">
      <c r="B1239" s="46"/>
      <c r="C1239" s="32"/>
    </row>
    <row r="1240" spans="2:3" x14ac:dyDescent="0.2">
      <c r="B1240" s="46"/>
      <c r="C1240" s="32"/>
    </row>
    <row r="1241" spans="2:3" x14ac:dyDescent="0.2">
      <c r="B1241" s="46"/>
      <c r="C1241" s="32"/>
    </row>
    <row r="1242" spans="2:3" x14ac:dyDescent="0.2">
      <c r="B1242" s="46"/>
      <c r="C1242" s="32"/>
    </row>
    <row r="1243" spans="2:3" x14ac:dyDescent="0.2">
      <c r="B1243" s="46"/>
      <c r="C1243" s="32"/>
    </row>
    <row r="1244" spans="2:3" x14ac:dyDescent="0.2">
      <c r="B1244" s="46"/>
      <c r="C1244" s="32"/>
    </row>
    <row r="1245" spans="2:3" x14ac:dyDescent="0.2">
      <c r="B1245" s="46"/>
      <c r="C1245" s="32"/>
    </row>
    <row r="1246" spans="2:3" x14ac:dyDescent="0.2">
      <c r="B1246" s="46"/>
      <c r="C1246" s="32"/>
    </row>
    <row r="1247" spans="2:3" x14ac:dyDescent="0.2">
      <c r="B1247" s="46"/>
      <c r="C1247" s="32"/>
    </row>
    <row r="1248" spans="2:3" x14ac:dyDescent="0.2">
      <c r="B1248" s="46"/>
      <c r="C1248" s="32"/>
    </row>
    <row r="1249" spans="2:3" x14ac:dyDescent="0.2">
      <c r="B1249" s="46"/>
      <c r="C1249" s="32"/>
    </row>
    <row r="1250" spans="2:3" x14ac:dyDescent="0.2">
      <c r="B1250" s="46"/>
      <c r="C1250" s="32"/>
    </row>
    <row r="1251" spans="2:3" x14ac:dyDescent="0.2">
      <c r="B1251" s="46"/>
      <c r="C1251" s="32"/>
    </row>
    <row r="1252" spans="2:3" x14ac:dyDescent="0.2">
      <c r="B1252" s="46"/>
      <c r="C1252" s="32"/>
    </row>
    <row r="1253" spans="2:3" x14ac:dyDescent="0.2">
      <c r="B1253" s="46"/>
      <c r="C1253" s="32"/>
    </row>
    <row r="1254" spans="2:3" x14ac:dyDescent="0.2">
      <c r="B1254" s="46"/>
      <c r="C1254" s="32"/>
    </row>
    <row r="1255" spans="2:3" x14ac:dyDescent="0.2">
      <c r="B1255" s="46"/>
      <c r="C1255" s="32"/>
    </row>
    <row r="1256" spans="2:3" x14ac:dyDescent="0.2">
      <c r="B1256" s="46"/>
      <c r="C1256" s="32"/>
    </row>
    <row r="1257" spans="2:3" x14ac:dyDescent="0.2">
      <c r="B1257" s="46"/>
      <c r="C1257" s="32"/>
    </row>
    <row r="1258" spans="2:3" x14ac:dyDescent="0.2">
      <c r="B1258" s="46"/>
      <c r="C1258" s="32"/>
    </row>
    <row r="1259" spans="2:3" x14ac:dyDescent="0.2">
      <c r="B1259" s="46"/>
      <c r="C1259" s="32"/>
    </row>
    <row r="1260" spans="2:3" x14ac:dyDescent="0.2">
      <c r="B1260" s="46"/>
      <c r="C1260" s="32"/>
    </row>
    <row r="1261" spans="2:3" x14ac:dyDescent="0.2">
      <c r="B1261" s="46"/>
      <c r="C1261" s="32"/>
    </row>
    <row r="1262" spans="2:3" x14ac:dyDescent="0.2">
      <c r="B1262" s="46"/>
      <c r="C1262" s="32"/>
    </row>
    <row r="1263" spans="2:3" x14ac:dyDescent="0.2">
      <c r="B1263" s="46"/>
      <c r="C1263" s="32"/>
    </row>
    <row r="1264" spans="2:3" x14ac:dyDescent="0.2">
      <c r="B1264" s="46"/>
      <c r="C1264" s="32"/>
    </row>
    <row r="1265" spans="2:3" x14ac:dyDescent="0.2">
      <c r="B1265" s="46"/>
      <c r="C1265" s="32"/>
    </row>
    <row r="1266" spans="2:3" x14ac:dyDescent="0.2">
      <c r="B1266" s="46"/>
      <c r="C1266" s="32"/>
    </row>
    <row r="1267" spans="2:3" x14ac:dyDescent="0.2">
      <c r="B1267" s="46"/>
      <c r="C1267" s="32"/>
    </row>
    <row r="1268" spans="2:3" x14ac:dyDescent="0.2">
      <c r="B1268" s="46"/>
      <c r="C1268" s="32"/>
    </row>
    <row r="1269" spans="2:3" x14ac:dyDescent="0.2">
      <c r="B1269" s="46"/>
      <c r="C1269" s="32"/>
    </row>
    <row r="1270" spans="2:3" x14ac:dyDescent="0.2">
      <c r="B1270" s="46"/>
      <c r="C1270" s="32"/>
    </row>
    <row r="1271" spans="2:3" x14ac:dyDescent="0.2">
      <c r="B1271" s="46"/>
      <c r="C1271" s="32"/>
    </row>
    <row r="1272" spans="2:3" x14ac:dyDescent="0.2">
      <c r="B1272" s="46"/>
      <c r="C1272" s="32"/>
    </row>
    <row r="1273" spans="2:3" x14ac:dyDescent="0.2">
      <c r="B1273" s="46"/>
      <c r="C1273" s="32"/>
    </row>
    <row r="1274" spans="2:3" x14ac:dyDescent="0.2">
      <c r="B1274" s="46"/>
      <c r="C1274" s="32"/>
    </row>
    <row r="1275" spans="2:3" x14ac:dyDescent="0.2">
      <c r="B1275" s="46"/>
      <c r="C1275" s="32"/>
    </row>
    <row r="1276" spans="2:3" x14ac:dyDescent="0.2">
      <c r="B1276" s="46"/>
      <c r="C1276" s="32"/>
    </row>
    <row r="1277" spans="2:3" x14ac:dyDescent="0.2">
      <c r="B1277" s="46"/>
      <c r="C1277" s="32"/>
    </row>
    <row r="1278" spans="2:3" x14ac:dyDescent="0.2">
      <c r="B1278" s="46"/>
      <c r="C1278" s="32"/>
    </row>
    <row r="1279" spans="2:3" x14ac:dyDescent="0.2">
      <c r="B1279" s="46"/>
      <c r="C1279" s="32"/>
    </row>
    <row r="1280" spans="2:3" x14ac:dyDescent="0.2">
      <c r="B1280" s="46"/>
      <c r="C1280" s="32"/>
    </row>
    <row r="1281" spans="2:3" x14ac:dyDescent="0.2">
      <c r="B1281" s="46"/>
      <c r="C1281" s="32"/>
    </row>
    <row r="1282" spans="2:3" x14ac:dyDescent="0.2">
      <c r="B1282" s="46"/>
      <c r="C1282" s="32"/>
    </row>
    <row r="1283" spans="2:3" x14ac:dyDescent="0.2">
      <c r="B1283" s="46"/>
      <c r="C1283" s="32"/>
    </row>
    <row r="1284" spans="2:3" x14ac:dyDescent="0.2">
      <c r="B1284" s="46"/>
      <c r="C1284" s="32"/>
    </row>
    <row r="1285" spans="2:3" x14ac:dyDescent="0.2">
      <c r="B1285" s="46"/>
      <c r="C1285" s="32"/>
    </row>
    <row r="1286" spans="2:3" x14ac:dyDescent="0.2">
      <c r="B1286" s="46"/>
      <c r="C1286" s="32"/>
    </row>
    <row r="1287" spans="2:3" x14ac:dyDescent="0.2">
      <c r="B1287" s="46"/>
      <c r="C1287" s="32"/>
    </row>
    <row r="1288" spans="2:3" x14ac:dyDescent="0.2">
      <c r="B1288" s="46"/>
      <c r="C1288" s="32"/>
    </row>
    <row r="1289" spans="2:3" x14ac:dyDescent="0.2">
      <c r="B1289" s="46"/>
      <c r="C1289" s="32"/>
    </row>
    <row r="1290" spans="2:3" x14ac:dyDescent="0.2">
      <c r="B1290" s="46"/>
      <c r="C1290" s="32"/>
    </row>
    <row r="1291" spans="2:3" x14ac:dyDescent="0.2">
      <c r="B1291" s="46"/>
      <c r="C1291" s="32"/>
    </row>
    <row r="1292" spans="2:3" x14ac:dyDescent="0.2">
      <c r="B1292" s="46"/>
      <c r="C1292" s="32"/>
    </row>
    <row r="1293" spans="2:3" x14ac:dyDescent="0.2">
      <c r="B1293" s="46"/>
      <c r="C1293" s="32"/>
    </row>
    <row r="1294" spans="2:3" x14ac:dyDescent="0.2">
      <c r="B1294" s="46"/>
      <c r="C1294" s="32"/>
    </row>
    <row r="1295" spans="2:3" x14ac:dyDescent="0.2">
      <c r="B1295" s="46"/>
      <c r="C1295" s="32"/>
    </row>
    <row r="1296" spans="2:3" x14ac:dyDescent="0.2">
      <c r="B1296" s="46"/>
      <c r="C1296" s="32"/>
    </row>
    <row r="1297" spans="2:3" x14ac:dyDescent="0.2">
      <c r="B1297" s="46"/>
      <c r="C1297" s="32"/>
    </row>
    <row r="1298" spans="2:3" x14ac:dyDescent="0.2">
      <c r="B1298" s="46"/>
      <c r="C1298" s="32"/>
    </row>
    <row r="1299" spans="2:3" x14ac:dyDescent="0.2">
      <c r="B1299" s="46"/>
      <c r="C1299" s="32"/>
    </row>
    <row r="1300" spans="2:3" x14ac:dyDescent="0.2">
      <c r="B1300" s="46"/>
      <c r="C1300" s="32"/>
    </row>
    <row r="1301" spans="2:3" x14ac:dyDescent="0.2">
      <c r="B1301" s="46"/>
      <c r="C1301" s="32"/>
    </row>
    <row r="1302" spans="2:3" x14ac:dyDescent="0.2">
      <c r="B1302" s="46"/>
      <c r="C1302" s="32"/>
    </row>
    <row r="1303" spans="2:3" x14ac:dyDescent="0.2">
      <c r="B1303" s="46"/>
      <c r="C1303" s="32"/>
    </row>
    <row r="1304" spans="2:3" x14ac:dyDescent="0.2">
      <c r="B1304" s="46"/>
      <c r="C1304" s="32"/>
    </row>
    <row r="1305" spans="2:3" x14ac:dyDescent="0.2">
      <c r="B1305" s="46"/>
      <c r="C1305" s="32"/>
    </row>
    <row r="1306" spans="2:3" x14ac:dyDescent="0.2">
      <c r="B1306" s="46"/>
      <c r="C1306" s="32"/>
    </row>
    <row r="1307" spans="2:3" x14ac:dyDescent="0.2">
      <c r="B1307" s="46"/>
      <c r="C1307" s="32"/>
    </row>
    <row r="1308" spans="2:3" x14ac:dyDescent="0.2">
      <c r="B1308" s="46"/>
      <c r="C1308" s="32"/>
    </row>
    <row r="1309" spans="2:3" x14ac:dyDescent="0.2">
      <c r="B1309" s="46"/>
      <c r="C1309" s="32"/>
    </row>
    <row r="1310" spans="2:3" x14ac:dyDescent="0.2">
      <c r="B1310" s="46"/>
      <c r="C1310" s="32"/>
    </row>
    <row r="1311" spans="2:3" x14ac:dyDescent="0.2">
      <c r="B1311" s="46"/>
      <c r="C1311" s="32"/>
    </row>
    <row r="1312" spans="2:3" x14ac:dyDescent="0.2">
      <c r="B1312" s="46"/>
      <c r="C1312" s="32"/>
    </row>
    <row r="1313" spans="2:3" x14ac:dyDescent="0.2">
      <c r="B1313" s="46"/>
      <c r="C1313" s="32"/>
    </row>
    <row r="1314" spans="2:3" x14ac:dyDescent="0.2">
      <c r="B1314" s="46"/>
      <c r="C1314" s="32"/>
    </row>
    <row r="1315" spans="2:3" x14ac:dyDescent="0.2">
      <c r="B1315" s="46"/>
      <c r="C1315" s="32"/>
    </row>
    <row r="1316" spans="2:3" x14ac:dyDescent="0.2">
      <c r="B1316" s="46"/>
      <c r="C1316" s="32"/>
    </row>
    <row r="1317" spans="2:3" x14ac:dyDescent="0.2">
      <c r="B1317" s="46"/>
      <c r="C1317" s="32"/>
    </row>
    <row r="1318" spans="2:3" x14ac:dyDescent="0.2">
      <c r="B1318" s="46"/>
      <c r="C1318" s="32"/>
    </row>
    <row r="1319" spans="2:3" x14ac:dyDescent="0.2">
      <c r="B1319" s="46"/>
      <c r="C1319" s="32"/>
    </row>
    <row r="1320" spans="2:3" x14ac:dyDescent="0.2">
      <c r="B1320" s="46"/>
      <c r="C1320" s="32"/>
    </row>
    <row r="1321" spans="2:3" x14ac:dyDescent="0.2">
      <c r="B1321" s="46"/>
      <c r="C1321" s="32"/>
    </row>
    <row r="1322" spans="2:3" x14ac:dyDescent="0.2">
      <c r="B1322" s="46"/>
      <c r="C1322" s="32"/>
    </row>
    <row r="1323" spans="2:3" x14ac:dyDescent="0.2">
      <c r="B1323" s="46"/>
      <c r="C1323" s="32"/>
    </row>
    <row r="1324" spans="2:3" x14ac:dyDescent="0.2">
      <c r="B1324" s="46"/>
      <c r="C1324" s="32"/>
    </row>
    <row r="1325" spans="2:3" x14ac:dyDescent="0.2">
      <c r="B1325" s="46"/>
      <c r="C1325" s="32"/>
    </row>
    <row r="1326" spans="2:3" x14ac:dyDescent="0.2">
      <c r="B1326" s="46"/>
      <c r="C1326" s="32"/>
    </row>
    <row r="1327" spans="2:3" x14ac:dyDescent="0.2">
      <c r="B1327" s="46"/>
      <c r="C1327" s="32"/>
    </row>
    <row r="1328" spans="2:3" x14ac:dyDescent="0.2">
      <c r="B1328" s="46"/>
      <c r="C1328" s="32"/>
    </row>
    <row r="1329" spans="2:3" x14ac:dyDescent="0.2">
      <c r="B1329" s="46"/>
      <c r="C1329" s="32"/>
    </row>
    <row r="1330" spans="2:3" x14ac:dyDescent="0.2">
      <c r="B1330" s="46"/>
      <c r="C1330" s="32"/>
    </row>
    <row r="1331" spans="2:3" x14ac:dyDescent="0.2">
      <c r="B1331" s="46"/>
      <c r="C1331" s="32"/>
    </row>
    <row r="1332" spans="2:3" x14ac:dyDescent="0.2">
      <c r="B1332" s="46"/>
      <c r="C1332" s="32"/>
    </row>
    <row r="1333" spans="2:3" x14ac:dyDescent="0.2">
      <c r="B1333" s="46"/>
      <c r="C1333" s="32"/>
    </row>
    <row r="1334" spans="2:3" x14ac:dyDescent="0.2">
      <c r="B1334" s="46"/>
      <c r="C1334" s="32"/>
    </row>
    <row r="1335" spans="2:3" x14ac:dyDescent="0.2">
      <c r="B1335" s="46"/>
      <c r="C1335" s="32"/>
    </row>
    <row r="1336" spans="2:3" x14ac:dyDescent="0.2">
      <c r="B1336" s="46"/>
      <c r="C1336" s="32"/>
    </row>
    <row r="1337" spans="2:3" x14ac:dyDescent="0.2">
      <c r="B1337" s="46"/>
      <c r="C1337" s="32"/>
    </row>
    <row r="1338" spans="2:3" x14ac:dyDescent="0.2">
      <c r="B1338" s="46"/>
      <c r="C1338" s="32"/>
    </row>
    <row r="1339" spans="2:3" x14ac:dyDescent="0.2">
      <c r="B1339" s="46"/>
      <c r="C1339" s="32"/>
    </row>
    <row r="1340" spans="2:3" x14ac:dyDescent="0.2">
      <c r="B1340" s="46"/>
      <c r="C1340" s="32"/>
    </row>
    <row r="1341" spans="2:3" x14ac:dyDescent="0.2">
      <c r="B1341" s="46"/>
      <c r="C1341" s="32"/>
    </row>
    <row r="1342" spans="2:3" x14ac:dyDescent="0.2">
      <c r="B1342" s="46"/>
      <c r="C1342" s="32"/>
    </row>
    <row r="1343" spans="2:3" x14ac:dyDescent="0.2">
      <c r="B1343" s="46"/>
      <c r="C1343" s="32"/>
    </row>
    <row r="1344" spans="2:3" x14ac:dyDescent="0.2">
      <c r="B1344" s="46"/>
      <c r="C1344" s="32"/>
    </row>
    <row r="1345" spans="2:3" x14ac:dyDescent="0.2">
      <c r="B1345" s="46"/>
      <c r="C1345" s="32"/>
    </row>
    <row r="1346" spans="2:3" x14ac:dyDescent="0.2">
      <c r="B1346" s="46"/>
      <c r="C1346" s="32"/>
    </row>
    <row r="1347" spans="2:3" x14ac:dyDescent="0.2">
      <c r="B1347" s="46"/>
      <c r="C1347" s="32"/>
    </row>
    <row r="1348" spans="2:3" x14ac:dyDescent="0.2">
      <c r="B1348" s="46"/>
      <c r="C1348" s="32"/>
    </row>
    <row r="1349" spans="2:3" x14ac:dyDescent="0.2">
      <c r="B1349" s="46"/>
      <c r="C1349" s="32"/>
    </row>
    <row r="1350" spans="2:3" x14ac:dyDescent="0.2">
      <c r="B1350" s="46"/>
      <c r="C1350" s="32"/>
    </row>
    <row r="1351" spans="2:3" x14ac:dyDescent="0.2">
      <c r="B1351" s="46"/>
      <c r="C1351" s="32"/>
    </row>
    <row r="1352" spans="2:3" x14ac:dyDescent="0.2">
      <c r="B1352" s="46"/>
      <c r="C1352" s="32"/>
    </row>
    <row r="1353" spans="2:3" x14ac:dyDescent="0.2">
      <c r="B1353" s="46"/>
      <c r="C1353" s="32"/>
    </row>
    <row r="1354" spans="2:3" x14ac:dyDescent="0.2">
      <c r="B1354" s="46"/>
      <c r="C1354" s="32"/>
    </row>
    <row r="1355" spans="2:3" x14ac:dyDescent="0.2">
      <c r="B1355" s="46"/>
      <c r="C1355" s="32"/>
    </row>
    <row r="1356" spans="2:3" x14ac:dyDescent="0.2">
      <c r="B1356" s="46"/>
      <c r="C1356" s="32"/>
    </row>
    <row r="1357" spans="2:3" x14ac:dyDescent="0.2">
      <c r="B1357" s="46"/>
      <c r="C1357" s="32"/>
    </row>
    <row r="1358" spans="2:3" x14ac:dyDescent="0.2">
      <c r="B1358" s="46"/>
      <c r="C1358" s="32"/>
    </row>
    <row r="1359" spans="2:3" x14ac:dyDescent="0.2">
      <c r="B1359" s="46"/>
      <c r="C1359" s="32"/>
    </row>
    <row r="1360" spans="2:3" x14ac:dyDescent="0.2">
      <c r="B1360" s="46"/>
      <c r="C1360" s="32"/>
    </row>
    <row r="1361" spans="2:3" x14ac:dyDescent="0.2">
      <c r="B1361" s="46"/>
      <c r="C1361" s="32"/>
    </row>
    <row r="1362" spans="2:3" x14ac:dyDescent="0.2">
      <c r="B1362" s="46"/>
      <c r="C1362" s="32"/>
    </row>
    <row r="1363" spans="2:3" x14ac:dyDescent="0.2">
      <c r="B1363" s="46"/>
      <c r="C1363" s="32"/>
    </row>
    <row r="1364" spans="2:3" x14ac:dyDescent="0.2">
      <c r="B1364" s="46"/>
      <c r="C1364" s="32"/>
    </row>
    <row r="1365" spans="2:3" x14ac:dyDescent="0.2">
      <c r="B1365" s="46"/>
      <c r="C1365" s="32"/>
    </row>
    <row r="1366" spans="2:3" x14ac:dyDescent="0.2">
      <c r="B1366" s="46"/>
      <c r="C1366" s="32"/>
    </row>
    <row r="1367" spans="2:3" x14ac:dyDescent="0.2">
      <c r="B1367" s="46"/>
      <c r="C1367" s="32"/>
    </row>
    <row r="1368" spans="2:3" x14ac:dyDescent="0.2">
      <c r="B1368" s="46"/>
      <c r="C1368" s="32"/>
    </row>
    <row r="1369" spans="2:3" x14ac:dyDescent="0.2">
      <c r="B1369" s="46"/>
      <c r="C1369" s="32"/>
    </row>
    <row r="1370" spans="2:3" x14ac:dyDescent="0.2">
      <c r="B1370" s="46"/>
      <c r="C1370" s="32"/>
    </row>
    <row r="1371" spans="2:3" x14ac:dyDescent="0.2">
      <c r="B1371" s="46"/>
      <c r="C1371" s="32"/>
    </row>
    <row r="1372" spans="2:3" x14ac:dyDescent="0.2">
      <c r="B1372" s="46"/>
      <c r="C1372" s="32"/>
    </row>
    <row r="1373" spans="2:3" x14ac:dyDescent="0.2">
      <c r="B1373" s="46"/>
      <c r="C1373" s="32"/>
    </row>
    <row r="1374" spans="2:3" x14ac:dyDescent="0.2">
      <c r="B1374" s="46"/>
      <c r="C1374" s="32"/>
    </row>
    <row r="1375" spans="2:3" x14ac:dyDescent="0.2">
      <c r="B1375" s="46"/>
      <c r="C1375" s="32"/>
    </row>
    <row r="1376" spans="2:3" x14ac:dyDescent="0.2">
      <c r="B1376" s="46"/>
      <c r="C1376" s="32"/>
    </row>
    <row r="1377" spans="2:3" x14ac:dyDescent="0.2">
      <c r="B1377" s="46"/>
      <c r="C1377" s="32"/>
    </row>
    <row r="1378" spans="2:3" x14ac:dyDescent="0.2">
      <c r="B1378" s="46"/>
      <c r="C1378" s="32"/>
    </row>
    <row r="1379" spans="2:3" x14ac:dyDescent="0.2">
      <c r="B1379" s="46"/>
      <c r="C1379" s="32"/>
    </row>
    <row r="1380" spans="2:3" x14ac:dyDescent="0.2">
      <c r="B1380" s="46"/>
      <c r="C1380" s="32"/>
    </row>
    <row r="1381" spans="2:3" x14ac:dyDescent="0.2">
      <c r="B1381" s="46"/>
      <c r="C1381" s="32"/>
    </row>
    <row r="1382" spans="2:3" x14ac:dyDescent="0.2">
      <c r="B1382" s="46"/>
      <c r="C1382" s="32"/>
    </row>
    <row r="1383" spans="2:3" x14ac:dyDescent="0.2">
      <c r="B1383" s="46"/>
      <c r="C1383" s="32"/>
    </row>
    <row r="1384" spans="2:3" x14ac:dyDescent="0.2">
      <c r="B1384" s="46"/>
      <c r="C1384" s="32"/>
    </row>
    <row r="1385" spans="2:3" x14ac:dyDescent="0.2">
      <c r="B1385" s="46"/>
      <c r="C1385" s="32"/>
    </row>
    <row r="1386" spans="2:3" x14ac:dyDescent="0.2">
      <c r="B1386" s="46"/>
      <c r="C1386" s="32"/>
    </row>
    <row r="1387" spans="2:3" x14ac:dyDescent="0.2">
      <c r="B1387" s="46"/>
      <c r="C1387" s="32"/>
    </row>
    <row r="1388" spans="2:3" x14ac:dyDescent="0.2">
      <c r="B1388" s="46"/>
      <c r="C1388" s="32"/>
    </row>
    <row r="1389" spans="2:3" x14ac:dyDescent="0.2">
      <c r="B1389" s="46"/>
      <c r="C1389" s="32"/>
    </row>
    <row r="1390" spans="2:3" x14ac:dyDescent="0.2">
      <c r="B1390" s="46"/>
      <c r="C1390" s="32"/>
    </row>
    <row r="1391" spans="2:3" x14ac:dyDescent="0.2">
      <c r="B1391" s="46"/>
      <c r="C1391" s="32"/>
    </row>
    <row r="1392" spans="2:3" x14ac:dyDescent="0.2">
      <c r="B1392" s="46"/>
      <c r="C1392" s="32"/>
    </row>
    <row r="1393" spans="2:3" x14ac:dyDescent="0.2">
      <c r="B1393" s="46"/>
      <c r="C1393" s="32"/>
    </row>
    <row r="1394" spans="2:3" x14ac:dyDescent="0.2">
      <c r="B1394" s="46"/>
      <c r="C1394" s="32"/>
    </row>
    <row r="1395" spans="2:3" x14ac:dyDescent="0.2">
      <c r="B1395" s="46"/>
      <c r="C1395" s="32"/>
    </row>
    <row r="1396" spans="2:3" x14ac:dyDescent="0.2">
      <c r="B1396" s="46"/>
      <c r="C1396" s="32"/>
    </row>
    <row r="1397" spans="2:3" x14ac:dyDescent="0.2">
      <c r="B1397" s="46"/>
      <c r="C1397" s="32"/>
    </row>
    <row r="1398" spans="2:3" x14ac:dyDescent="0.2">
      <c r="B1398" s="46"/>
      <c r="C1398" s="32"/>
    </row>
    <row r="1399" spans="2:3" x14ac:dyDescent="0.2">
      <c r="B1399" s="46"/>
      <c r="C1399" s="32"/>
    </row>
    <row r="1400" spans="2:3" x14ac:dyDescent="0.2">
      <c r="B1400" s="46"/>
      <c r="C1400" s="32"/>
    </row>
    <row r="1401" spans="2:3" x14ac:dyDescent="0.2">
      <c r="B1401" s="46"/>
      <c r="C1401" s="32"/>
    </row>
    <row r="1402" spans="2:3" x14ac:dyDescent="0.2">
      <c r="B1402" s="46"/>
      <c r="C1402" s="32"/>
    </row>
    <row r="1403" spans="2:3" x14ac:dyDescent="0.2">
      <c r="B1403" s="46"/>
      <c r="C1403" s="32"/>
    </row>
    <row r="1404" spans="2:3" x14ac:dyDescent="0.2">
      <c r="B1404" s="46"/>
      <c r="C1404" s="32"/>
    </row>
    <row r="1405" spans="2:3" x14ac:dyDescent="0.2">
      <c r="B1405" s="46"/>
      <c r="C1405" s="32"/>
    </row>
    <row r="1406" spans="2:3" x14ac:dyDescent="0.2">
      <c r="B1406" s="46"/>
      <c r="C1406" s="32"/>
    </row>
    <row r="1407" spans="2:3" x14ac:dyDescent="0.2">
      <c r="B1407" s="46"/>
      <c r="C1407" s="32"/>
    </row>
    <row r="1408" spans="2:3" x14ac:dyDescent="0.2">
      <c r="B1408" s="46"/>
      <c r="C1408" s="32"/>
    </row>
    <row r="1409" spans="2:3" x14ac:dyDescent="0.2">
      <c r="B1409" s="46"/>
      <c r="C1409" s="32"/>
    </row>
    <row r="1410" spans="2:3" x14ac:dyDescent="0.2">
      <c r="B1410" s="46"/>
      <c r="C1410" s="32"/>
    </row>
    <row r="1411" spans="2:3" x14ac:dyDescent="0.2">
      <c r="B1411" s="46"/>
      <c r="C1411" s="32"/>
    </row>
    <row r="1412" spans="2:3" x14ac:dyDescent="0.2">
      <c r="B1412" s="46"/>
      <c r="C1412" s="32"/>
    </row>
    <row r="1413" spans="2:3" x14ac:dyDescent="0.2">
      <c r="B1413" s="46"/>
      <c r="C1413" s="32"/>
    </row>
    <row r="1414" spans="2:3" x14ac:dyDescent="0.2">
      <c r="B1414" s="46"/>
      <c r="C1414" s="32"/>
    </row>
    <row r="1415" spans="2:3" x14ac:dyDescent="0.2">
      <c r="B1415" s="46"/>
      <c r="C1415" s="32"/>
    </row>
    <row r="1416" spans="2:3" x14ac:dyDescent="0.2">
      <c r="B1416" s="46"/>
      <c r="C1416" s="32"/>
    </row>
    <row r="1417" spans="2:3" x14ac:dyDescent="0.2">
      <c r="B1417" s="46"/>
      <c r="C1417" s="32"/>
    </row>
    <row r="1418" spans="2:3" x14ac:dyDescent="0.2">
      <c r="B1418" s="46"/>
      <c r="C1418" s="32"/>
    </row>
    <row r="1419" spans="2:3" x14ac:dyDescent="0.2">
      <c r="B1419" s="46"/>
      <c r="C1419" s="32"/>
    </row>
    <row r="1420" spans="2:3" x14ac:dyDescent="0.2">
      <c r="B1420" s="46"/>
      <c r="C1420" s="32"/>
    </row>
    <row r="1421" spans="2:3" x14ac:dyDescent="0.2">
      <c r="B1421" s="46"/>
      <c r="C1421" s="32"/>
    </row>
    <row r="1422" spans="2:3" x14ac:dyDescent="0.2">
      <c r="B1422" s="46"/>
      <c r="C1422" s="32"/>
    </row>
    <row r="1423" spans="2:3" x14ac:dyDescent="0.2">
      <c r="B1423" s="46"/>
      <c r="C1423" s="32"/>
    </row>
    <row r="1424" spans="2:3" x14ac:dyDescent="0.2">
      <c r="B1424" s="46"/>
      <c r="C1424" s="32"/>
    </row>
    <row r="1425" spans="2:3" x14ac:dyDescent="0.2">
      <c r="B1425" s="46"/>
      <c r="C1425" s="32"/>
    </row>
    <row r="1426" spans="2:3" x14ac:dyDescent="0.2">
      <c r="B1426" s="46"/>
      <c r="C1426" s="32"/>
    </row>
    <row r="1427" spans="2:3" x14ac:dyDescent="0.2">
      <c r="B1427" s="46"/>
      <c r="C1427" s="32"/>
    </row>
    <row r="1428" spans="2:3" x14ac:dyDescent="0.2">
      <c r="B1428" s="46"/>
      <c r="C1428" s="32"/>
    </row>
    <row r="1429" spans="2:3" x14ac:dyDescent="0.2">
      <c r="B1429" s="46"/>
      <c r="C1429" s="32"/>
    </row>
    <row r="1430" spans="2:3" x14ac:dyDescent="0.2">
      <c r="B1430" s="46"/>
      <c r="C1430" s="32"/>
    </row>
    <row r="1431" spans="2:3" x14ac:dyDescent="0.2">
      <c r="B1431" s="46"/>
      <c r="C1431" s="32"/>
    </row>
    <row r="1432" spans="2:3" x14ac:dyDescent="0.2">
      <c r="B1432" s="46"/>
      <c r="C1432" s="32"/>
    </row>
    <row r="1433" spans="2:3" x14ac:dyDescent="0.2">
      <c r="B1433" s="46"/>
      <c r="C1433" s="32"/>
    </row>
    <row r="1434" spans="2:3" x14ac:dyDescent="0.2">
      <c r="B1434" s="46"/>
      <c r="C1434" s="32"/>
    </row>
    <row r="1435" spans="2:3" x14ac:dyDescent="0.2">
      <c r="B1435" s="46"/>
      <c r="C1435" s="32"/>
    </row>
    <row r="1436" spans="2:3" x14ac:dyDescent="0.2">
      <c r="B1436" s="46"/>
      <c r="C1436" s="32"/>
    </row>
    <row r="1437" spans="2:3" x14ac:dyDescent="0.2">
      <c r="B1437" s="46"/>
      <c r="C1437" s="32"/>
    </row>
    <row r="1438" spans="2:3" x14ac:dyDescent="0.2">
      <c r="B1438" s="46"/>
      <c r="C1438" s="32"/>
    </row>
    <row r="1439" spans="2:3" x14ac:dyDescent="0.2">
      <c r="B1439" s="46"/>
      <c r="C1439" s="32"/>
    </row>
    <row r="1440" spans="2:3" x14ac:dyDescent="0.2">
      <c r="B1440" s="46"/>
      <c r="C1440" s="32"/>
    </row>
    <row r="1441" spans="2:3" x14ac:dyDescent="0.2">
      <c r="B1441" s="46"/>
      <c r="C1441" s="32"/>
    </row>
    <row r="1442" spans="2:3" x14ac:dyDescent="0.2">
      <c r="B1442" s="46"/>
      <c r="C1442" s="32"/>
    </row>
    <row r="1443" spans="2:3" x14ac:dyDescent="0.2">
      <c r="B1443" s="46"/>
      <c r="C1443" s="32"/>
    </row>
    <row r="1444" spans="2:3" x14ac:dyDescent="0.2">
      <c r="B1444" s="46"/>
      <c r="C1444" s="32"/>
    </row>
    <row r="1445" spans="2:3" x14ac:dyDescent="0.2">
      <c r="B1445" s="46"/>
      <c r="C1445" s="32"/>
    </row>
    <row r="1446" spans="2:3" x14ac:dyDescent="0.2">
      <c r="B1446" s="46"/>
      <c r="C1446" s="32"/>
    </row>
    <row r="1447" spans="2:3" x14ac:dyDescent="0.2">
      <c r="B1447" s="46"/>
      <c r="C1447" s="32"/>
    </row>
    <row r="1448" spans="2:3" x14ac:dyDescent="0.2">
      <c r="B1448" s="46"/>
      <c r="C1448" s="32"/>
    </row>
    <row r="1449" spans="2:3" x14ac:dyDescent="0.2">
      <c r="B1449" s="46"/>
      <c r="C1449" s="32"/>
    </row>
    <row r="1450" spans="2:3" x14ac:dyDescent="0.2">
      <c r="B1450" s="46"/>
      <c r="C1450" s="32"/>
    </row>
    <row r="1451" spans="2:3" x14ac:dyDescent="0.2">
      <c r="B1451" s="46"/>
      <c r="C1451" s="32"/>
    </row>
    <row r="1452" spans="2:3" x14ac:dyDescent="0.2">
      <c r="B1452" s="46"/>
      <c r="C1452" s="32"/>
    </row>
    <row r="1453" spans="2:3" x14ac:dyDescent="0.2">
      <c r="B1453" s="46"/>
      <c r="C1453" s="32"/>
    </row>
    <row r="1454" spans="2:3" x14ac:dyDescent="0.2">
      <c r="B1454" s="46"/>
      <c r="C1454" s="32"/>
    </row>
    <row r="1455" spans="2:3" x14ac:dyDescent="0.2">
      <c r="B1455" s="46"/>
      <c r="C1455" s="32"/>
    </row>
    <row r="1456" spans="2:3" x14ac:dyDescent="0.2">
      <c r="B1456" s="46"/>
      <c r="C1456" s="32"/>
    </row>
    <row r="1457" spans="2:3" x14ac:dyDescent="0.2">
      <c r="B1457" s="46"/>
      <c r="C1457" s="32"/>
    </row>
    <row r="1458" spans="2:3" x14ac:dyDescent="0.2">
      <c r="B1458" s="46"/>
      <c r="C1458" s="32"/>
    </row>
    <row r="1459" spans="2:3" x14ac:dyDescent="0.2">
      <c r="B1459" s="46"/>
      <c r="C1459" s="32"/>
    </row>
    <row r="1460" spans="2:3" x14ac:dyDescent="0.2">
      <c r="B1460" s="46"/>
      <c r="C1460" s="32"/>
    </row>
    <row r="1461" spans="2:3" x14ac:dyDescent="0.2">
      <c r="B1461" s="46"/>
      <c r="C1461" s="32"/>
    </row>
    <row r="1462" spans="2:3" x14ac:dyDescent="0.2">
      <c r="B1462" s="46"/>
      <c r="C1462" s="32"/>
    </row>
    <row r="1463" spans="2:3" x14ac:dyDescent="0.2">
      <c r="B1463" s="46"/>
      <c r="C1463" s="32"/>
    </row>
    <row r="1464" spans="2:3" x14ac:dyDescent="0.2">
      <c r="B1464" s="46"/>
      <c r="C1464" s="32"/>
    </row>
    <row r="1465" spans="2:3" x14ac:dyDescent="0.2">
      <c r="B1465" s="46"/>
      <c r="C1465" s="32"/>
    </row>
    <row r="1466" spans="2:3" x14ac:dyDescent="0.2">
      <c r="B1466" s="46"/>
      <c r="C1466" s="32"/>
    </row>
    <row r="1467" spans="2:3" x14ac:dyDescent="0.2">
      <c r="B1467" s="46"/>
      <c r="C1467" s="32"/>
    </row>
    <row r="1468" spans="2:3" x14ac:dyDescent="0.2">
      <c r="B1468" s="46"/>
      <c r="C1468" s="32"/>
    </row>
    <row r="1469" spans="2:3" x14ac:dyDescent="0.2">
      <c r="B1469" s="46"/>
      <c r="C1469" s="32"/>
    </row>
    <row r="1470" spans="2:3" x14ac:dyDescent="0.2">
      <c r="B1470" s="46"/>
      <c r="C1470" s="32"/>
    </row>
    <row r="1471" spans="2:3" x14ac:dyDescent="0.2">
      <c r="B1471" s="46"/>
      <c r="C1471" s="32"/>
    </row>
    <row r="1472" spans="2:3" x14ac:dyDescent="0.2">
      <c r="B1472" s="46"/>
      <c r="C1472" s="32"/>
    </row>
    <row r="1473" spans="2:3" x14ac:dyDescent="0.2">
      <c r="B1473" s="46"/>
      <c r="C1473" s="32"/>
    </row>
    <row r="1474" spans="2:3" x14ac:dyDescent="0.2">
      <c r="B1474" s="46"/>
      <c r="C1474" s="32"/>
    </row>
    <row r="1475" spans="2:3" x14ac:dyDescent="0.2">
      <c r="B1475" s="46"/>
      <c r="C1475" s="32"/>
    </row>
    <row r="1476" spans="2:3" x14ac:dyDescent="0.2">
      <c r="B1476" s="46"/>
      <c r="C1476" s="32"/>
    </row>
    <row r="1477" spans="2:3" x14ac:dyDescent="0.2">
      <c r="B1477" s="46"/>
      <c r="C1477" s="32"/>
    </row>
    <row r="1478" spans="2:3" x14ac:dyDescent="0.2">
      <c r="B1478" s="46"/>
      <c r="C1478" s="32"/>
    </row>
    <row r="1479" spans="2:3" x14ac:dyDescent="0.2">
      <c r="B1479" s="46"/>
      <c r="C1479" s="32"/>
    </row>
    <row r="1480" spans="2:3" x14ac:dyDescent="0.2">
      <c r="B1480" s="46"/>
      <c r="C1480" s="32"/>
    </row>
    <row r="1481" spans="2:3" x14ac:dyDescent="0.2">
      <c r="B1481" s="46"/>
      <c r="C1481" s="32"/>
    </row>
    <row r="1482" spans="2:3" x14ac:dyDescent="0.2">
      <c r="B1482" s="46"/>
      <c r="C1482" s="32"/>
    </row>
    <row r="1483" spans="2:3" x14ac:dyDescent="0.2">
      <c r="B1483" s="46"/>
      <c r="C1483" s="32"/>
    </row>
    <row r="1484" spans="2:3" x14ac:dyDescent="0.2">
      <c r="B1484" s="46"/>
      <c r="C1484" s="32"/>
    </row>
    <row r="1485" spans="2:3" x14ac:dyDescent="0.2">
      <c r="B1485" s="46"/>
      <c r="C1485" s="32"/>
    </row>
    <row r="1486" spans="2:3" x14ac:dyDescent="0.2">
      <c r="B1486" s="46"/>
      <c r="C1486" s="32"/>
    </row>
    <row r="1487" spans="2:3" x14ac:dyDescent="0.2">
      <c r="B1487" s="46"/>
      <c r="C1487" s="32"/>
    </row>
    <row r="1488" spans="2:3" x14ac:dyDescent="0.2">
      <c r="B1488" s="46"/>
      <c r="C1488" s="32"/>
    </row>
    <row r="1489" spans="2:3" x14ac:dyDescent="0.2">
      <c r="B1489" s="46"/>
      <c r="C1489" s="32"/>
    </row>
    <row r="1490" spans="2:3" x14ac:dyDescent="0.2">
      <c r="B1490" s="46"/>
      <c r="C1490" s="32"/>
    </row>
    <row r="1491" spans="2:3" x14ac:dyDescent="0.2">
      <c r="B1491" s="46"/>
      <c r="C1491" s="32"/>
    </row>
    <row r="1492" spans="2:3" x14ac:dyDescent="0.2">
      <c r="B1492" s="46"/>
      <c r="C1492" s="32"/>
    </row>
    <row r="1493" spans="2:3" x14ac:dyDescent="0.2">
      <c r="B1493" s="46"/>
      <c r="C1493" s="32"/>
    </row>
    <row r="1494" spans="2:3" x14ac:dyDescent="0.2">
      <c r="B1494" s="46"/>
      <c r="C1494" s="32"/>
    </row>
    <row r="1495" spans="2:3" x14ac:dyDescent="0.2">
      <c r="B1495" s="46"/>
      <c r="C1495" s="32"/>
    </row>
    <row r="1496" spans="2:3" x14ac:dyDescent="0.2">
      <c r="B1496" s="46"/>
      <c r="C1496" s="32"/>
    </row>
    <row r="1497" spans="2:3" x14ac:dyDescent="0.2">
      <c r="B1497" s="46"/>
      <c r="C1497" s="32"/>
    </row>
    <row r="1498" spans="2:3" x14ac:dyDescent="0.2">
      <c r="B1498" s="46"/>
      <c r="C1498" s="32"/>
    </row>
    <row r="1499" spans="2:3" x14ac:dyDescent="0.2">
      <c r="B1499" s="46"/>
      <c r="C1499" s="32"/>
    </row>
    <row r="1500" spans="2:3" x14ac:dyDescent="0.2">
      <c r="B1500" s="46"/>
      <c r="C1500" s="32"/>
    </row>
    <row r="1501" spans="2:3" x14ac:dyDescent="0.2">
      <c r="B1501" s="46"/>
      <c r="C1501" s="32"/>
    </row>
    <row r="1502" spans="2:3" x14ac:dyDescent="0.2">
      <c r="B1502" s="46"/>
      <c r="C1502" s="32"/>
    </row>
    <row r="1503" spans="2:3" x14ac:dyDescent="0.2">
      <c r="B1503" s="46"/>
      <c r="C1503" s="32"/>
    </row>
    <row r="1504" spans="2:3" x14ac:dyDescent="0.2">
      <c r="B1504" s="46"/>
      <c r="C1504" s="32"/>
    </row>
    <row r="1505" spans="2:3" x14ac:dyDescent="0.2">
      <c r="B1505" s="46"/>
      <c r="C1505" s="32"/>
    </row>
    <row r="1506" spans="2:3" x14ac:dyDescent="0.2">
      <c r="B1506" s="46"/>
      <c r="C1506" s="32"/>
    </row>
    <row r="1507" spans="2:3" x14ac:dyDescent="0.2">
      <c r="B1507" s="46"/>
      <c r="C1507" s="32"/>
    </row>
    <row r="1508" spans="2:3" x14ac:dyDescent="0.2">
      <c r="B1508" s="46"/>
      <c r="C1508" s="32"/>
    </row>
    <row r="1509" spans="2:3" x14ac:dyDescent="0.2">
      <c r="B1509" s="46"/>
      <c r="C1509" s="32"/>
    </row>
    <row r="1510" spans="2:3" x14ac:dyDescent="0.2">
      <c r="B1510" s="46"/>
      <c r="C1510" s="32"/>
    </row>
    <row r="1511" spans="2:3" x14ac:dyDescent="0.2">
      <c r="B1511" s="46"/>
      <c r="C1511" s="32"/>
    </row>
    <row r="1512" spans="2:3" x14ac:dyDescent="0.2">
      <c r="B1512" s="46"/>
      <c r="C1512" s="32"/>
    </row>
    <row r="1513" spans="2:3" x14ac:dyDescent="0.2">
      <c r="B1513" s="46"/>
      <c r="C1513" s="32"/>
    </row>
    <row r="1514" spans="2:3" x14ac:dyDescent="0.2">
      <c r="B1514" s="46"/>
      <c r="C1514" s="32"/>
    </row>
    <row r="1515" spans="2:3" x14ac:dyDescent="0.2">
      <c r="B1515" s="46"/>
      <c r="C1515" s="32"/>
    </row>
    <row r="1516" spans="2:3" x14ac:dyDescent="0.2">
      <c r="B1516" s="46"/>
      <c r="C1516" s="32"/>
    </row>
    <row r="1517" spans="2:3" x14ac:dyDescent="0.2">
      <c r="B1517" s="46"/>
      <c r="C1517" s="32"/>
    </row>
    <row r="1518" spans="2:3" x14ac:dyDescent="0.2">
      <c r="B1518" s="46"/>
      <c r="C1518" s="32"/>
    </row>
    <row r="1519" spans="2:3" x14ac:dyDescent="0.2">
      <c r="B1519" s="46"/>
      <c r="C1519" s="32"/>
    </row>
    <row r="1520" spans="2:3" x14ac:dyDescent="0.2">
      <c r="B1520" s="46"/>
      <c r="C1520" s="32"/>
    </row>
    <row r="1521" spans="2:3" x14ac:dyDescent="0.2">
      <c r="B1521" s="46"/>
      <c r="C1521" s="32"/>
    </row>
    <row r="1522" spans="2:3" x14ac:dyDescent="0.2">
      <c r="B1522" s="46"/>
      <c r="C1522" s="32"/>
    </row>
    <row r="1523" spans="2:3" x14ac:dyDescent="0.2">
      <c r="B1523" s="46"/>
      <c r="C1523" s="32"/>
    </row>
    <row r="1524" spans="2:3" x14ac:dyDescent="0.2">
      <c r="B1524" s="46"/>
      <c r="C1524" s="32"/>
    </row>
    <row r="1525" spans="2:3" x14ac:dyDescent="0.2">
      <c r="B1525" s="46"/>
      <c r="C1525" s="32"/>
    </row>
    <row r="1526" spans="2:3" x14ac:dyDescent="0.2">
      <c r="B1526" s="46"/>
      <c r="C1526" s="32"/>
    </row>
    <row r="1527" spans="2:3" x14ac:dyDescent="0.2">
      <c r="B1527" s="46"/>
      <c r="C1527" s="32"/>
    </row>
    <row r="1528" spans="2:3" x14ac:dyDescent="0.2">
      <c r="B1528" s="46"/>
      <c r="C1528" s="32"/>
    </row>
    <row r="1529" spans="2:3" x14ac:dyDescent="0.2">
      <c r="B1529" s="46"/>
      <c r="C1529" s="32"/>
    </row>
    <row r="1530" spans="2:3" x14ac:dyDescent="0.2">
      <c r="B1530" s="46"/>
      <c r="C1530" s="32"/>
    </row>
    <row r="1531" spans="2:3" x14ac:dyDescent="0.2">
      <c r="B1531" s="46"/>
      <c r="C1531" s="32"/>
    </row>
    <row r="1532" spans="2:3" x14ac:dyDescent="0.2">
      <c r="B1532" s="46"/>
      <c r="C1532" s="32"/>
    </row>
    <row r="1533" spans="2:3" x14ac:dyDescent="0.2">
      <c r="B1533" s="46"/>
      <c r="C1533" s="32"/>
    </row>
    <row r="1534" spans="2:3" x14ac:dyDescent="0.2">
      <c r="B1534" s="46"/>
      <c r="C1534" s="32"/>
    </row>
    <row r="1535" spans="2:3" x14ac:dyDescent="0.2">
      <c r="B1535" s="46"/>
      <c r="C1535" s="32"/>
    </row>
    <row r="1536" spans="2:3" x14ac:dyDescent="0.2">
      <c r="B1536" s="46"/>
      <c r="C1536" s="32"/>
    </row>
    <row r="1537" spans="2:3" x14ac:dyDescent="0.2">
      <c r="B1537" s="46"/>
      <c r="C1537" s="32"/>
    </row>
    <row r="1538" spans="2:3" x14ac:dyDescent="0.2">
      <c r="B1538" s="46"/>
      <c r="C1538" s="32"/>
    </row>
    <row r="1539" spans="2:3" x14ac:dyDescent="0.2">
      <c r="B1539" s="46"/>
      <c r="C1539" s="32"/>
    </row>
    <row r="1540" spans="2:3" x14ac:dyDescent="0.2">
      <c r="B1540" s="46"/>
      <c r="C1540" s="32"/>
    </row>
    <row r="1541" spans="2:3" x14ac:dyDescent="0.2">
      <c r="B1541" s="46"/>
      <c r="C1541" s="32"/>
    </row>
    <row r="1542" spans="2:3" x14ac:dyDescent="0.2">
      <c r="B1542" s="46"/>
      <c r="C1542" s="32"/>
    </row>
    <row r="1543" spans="2:3" x14ac:dyDescent="0.2">
      <c r="B1543" s="46"/>
      <c r="C1543" s="32"/>
    </row>
    <row r="1544" spans="2:3" x14ac:dyDescent="0.2">
      <c r="B1544" s="46"/>
      <c r="C1544" s="32"/>
    </row>
    <row r="1545" spans="2:3" x14ac:dyDescent="0.2">
      <c r="B1545" s="46"/>
      <c r="C1545" s="32"/>
    </row>
    <row r="1546" spans="2:3" x14ac:dyDescent="0.2">
      <c r="B1546" s="46"/>
      <c r="C1546" s="32"/>
    </row>
    <row r="1547" spans="2:3" x14ac:dyDescent="0.2">
      <c r="B1547" s="46"/>
      <c r="C1547" s="41"/>
    </row>
    <row r="1548" spans="2:3" x14ac:dyDescent="0.2">
      <c r="B1548" s="46"/>
      <c r="C1548" s="41"/>
    </row>
    <row r="1549" spans="2:3" x14ac:dyDescent="0.2">
      <c r="B1549" s="46"/>
      <c r="C1549" s="41"/>
    </row>
    <row r="1550" spans="2:3" x14ac:dyDescent="0.2">
      <c r="B1550" s="46"/>
      <c r="C1550" s="41"/>
    </row>
    <row r="1551" spans="2:3" x14ac:dyDescent="0.2">
      <c r="B1551" s="46"/>
      <c r="C1551" s="41"/>
    </row>
    <row r="1552" spans="2:3" x14ac:dyDescent="0.2">
      <c r="B1552" s="46"/>
      <c r="C1552" s="41"/>
    </row>
    <row r="1553" spans="2:3" x14ac:dyDescent="0.2">
      <c r="B1553" s="46"/>
      <c r="C1553" s="41"/>
    </row>
    <row r="1554" spans="2:3" x14ac:dyDescent="0.2">
      <c r="B1554" s="46"/>
      <c r="C1554" s="41"/>
    </row>
    <row r="1555" spans="2:3" x14ac:dyDescent="0.2">
      <c r="B1555" s="46"/>
      <c r="C1555" s="41"/>
    </row>
    <row r="1556" spans="2:3" x14ac:dyDescent="0.2">
      <c r="B1556" s="46"/>
      <c r="C1556" s="41"/>
    </row>
    <row r="1557" spans="2:3" x14ac:dyDescent="0.2">
      <c r="B1557" s="46"/>
      <c r="C1557" s="41"/>
    </row>
    <row r="1558" spans="2:3" x14ac:dyDescent="0.2">
      <c r="B1558" s="46"/>
      <c r="C1558" s="41"/>
    </row>
    <row r="1559" spans="2:3" x14ac:dyDescent="0.2">
      <c r="B1559" s="46"/>
      <c r="C1559" s="41"/>
    </row>
    <row r="1560" spans="2:3" x14ac:dyDescent="0.2">
      <c r="B1560" s="46"/>
      <c r="C1560" s="41"/>
    </row>
    <row r="1561" spans="2:3" x14ac:dyDescent="0.2">
      <c r="B1561" s="46"/>
      <c r="C1561" s="41"/>
    </row>
    <row r="1562" spans="2:3" x14ac:dyDescent="0.2">
      <c r="B1562" s="46"/>
      <c r="C1562" s="41"/>
    </row>
    <row r="1563" spans="2:3" x14ac:dyDescent="0.2">
      <c r="B1563" s="46"/>
      <c r="C1563" s="41"/>
    </row>
    <row r="1564" spans="2:3" x14ac:dyDescent="0.2">
      <c r="B1564" s="46"/>
      <c r="C1564" s="41"/>
    </row>
    <row r="1565" spans="2:3" x14ac:dyDescent="0.2">
      <c r="B1565" s="46"/>
      <c r="C1565" s="41"/>
    </row>
    <row r="1566" spans="2:3" x14ac:dyDescent="0.2">
      <c r="B1566" s="46"/>
      <c r="C1566" s="41"/>
    </row>
    <row r="1567" spans="2:3" x14ac:dyDescent="0.2">
      <c r="B1567" s="46"/>
      <c r="C1567" s="41"/>
    </row>
    <row r="1568" spans="2:3" x14ac:dyDescent="0.2">
      <c r="B1568" s="46"/>
      <c r="C1568" s="41"/>
    </row>
    <row r="1569" spans="2:3" x14ac:dyDescent="0.2">
      <c r="B1569" s="46"/>
      <c r="C1569" s="41"/>
    </row>
    <row r="1570" spans="2:3" x14ac:dyDescent="0.2">
      <c r="B1570" s="46"/>
      <c r="C1570" s="41"/>
    </row>
    <row r="1571" spans="2:3" x14ac:dyDescent="0.2">
      <c r="B1571" s="46"/>
      <c r="C1571" s="41"/>
    </row>
    <row r="1572" spans="2:3" x14ac:dyDescent="0.2">
      <c r="B1572" s="46"/>
      <c r="C1572" s="41"/>
    </row>
    <row r="1573" spans="2:3" x14ac:dyDescent="0.2">
      <c r="B1573" s="46"/>
      <c r="C1573" s="41"/>
    </row>
    <row r="1574" spans="2:3" x14ac:dyDescent="0.2">
      <c r="B1574" s="46"/>
      <c r="C1574" s="41"/>
    </row>
    <row r="1575" spans="2:3" x14ac:dyDescent="0.2">
      <c r="B1575" s="46"/>
      <c r="C1575" s="41"/>
    </row>
    <row r="1576" spans="2:3" x14ac:dyDescent="0.2">
      <c r="B1576" s="46"/>
      <c r="C1576" s="41"/>
    </row>
    <row r="1577" spans="2:3" x14ac:dyDescent="0.2">
      <c r="B1577" s="46"/>
      <c r="C1577" s="41"/>
    </row>
    <row r="1578" spans="2:3" x14ac:dyDescent="0.2">
      <c r="B1578" s="46"/>
      <c r="C1578" s="41"/>
    </row>
    <row r="1579" spans="2:3" x14ac:dyDescent="0.2">
      <c r="B1579" s="46"/>
      <c r="C1579" s="41"/>
    </row>
    <row r="1580" spans="2:3" x14ac:dyDescent="0.2">
      <c r="B1580" s="46"/>
      <c r="C1580" s="41"/>
    </row>
    <row r="1581" spans="2:3" x14ac:dyDescent="0.2">
      <c r="B1581" s="46"/>
      <c r="C1581" s="41"/>
    </row>
    <row r="1582" spans="2:3" x14ac:dyDescent="0.2">
      <c r="B1582" s="46"/>
      <c r="C1582" s="41"/>
    </row>
    <row r="1583" spans="2:3" x14ac:dyDescent="0.2">
      <c r="B1583" s="46"/>
      <c r="C1583" s="41"/>
    </row>
    <row r="1584" spans="2:3" x14ac:dyDescent="0.2">
      <c r="B1584" s="46"/>
      <c r="C1584" s="41"/>
    </row>
    <row r="1585" spans="2:3" x14ac:dyDescent="0.2">
      <c r="B1585" s="46"/>
      <c r="C1585" s="41"/>
    </row>
    <row r="1586" spans="2:3" x14ac:dyDescent="0.2">
      <c r="B1586" s="46"/>
      <c r="C1586" s="41"/>
    </row>
    <row r="1587" spans="2:3" x14ac:dyDescent="0.2">
      <c r="B1587" s="46"/>
      <c r="C1587" s="41"/>
    </row>
    <row r="1588" spans="2:3" x14ac:dyDescent="0.2">
      <c r="B1588" s="46"/>
      <c r="C1588" s="41"/>
    </row>
    <row r="1589" spans="2:3" x14ac:dyDescent="0.2">
      <c r="B1589" s="46"/>
      <c r="C1589" s="41"/>
    </row>
    <row r="1590" spans="2:3" x14ac:dyDescent="0.2">
      <c r="B1590" s="46"/>
      <c r="C1590" s="41"/>
    </row>
    <row r="1591" spans="2:3" x14ac:dyDescent="0.2">
      <c r="B1591" s="46"/>
      <c r="C1591" s="41"/>
    </row>
    <row r="1592" spans="2:3" x14ac:dyDescent="0.2">
      <c r="B1592" s="46"/>
      <c r="C1592" s="41"/>
    </row>
    <row r="1593" spans="2:3" x14ac:dyDescent="0.2">
      <c r="B1593" s="46"/>
      <c r="C1593" s="41"/>
    </row>
    <row r="1594" spans="2:3" x14ac:dyDescent="0.2">
      <c r="B1594" s="46"/>
      <c r="C1594" s="41"/>
    </row>
    <row r="1595" spans="2:3" x14ac:dyDescent="0.2">
      <c r="B1595" s="46"/>
      <c r="C1595" s="41"/>
    </row>
    <row r="1596" spans="2:3" x14ac:dyDescent="0.2">
      <c r="B1596" s="46"/>
      <c r="C1596" s="41"/>
    </row>
    <row r="1597" spans="2:3" x14ac:dyDescent="0.2">
      <c r="B1597" s="46"/>
      <c r="C1597" s="41"/>
    </row>
    <row r="1598" spans="2:3" x14ac:dyDescent="0.2">
      <c r="B1598" s="46"/>
      <c r="C1598" s="41"/>
    </row>
    <row r="1599" spans="2:3" x14ac:dyDescent="0.2">
      <c r="B1599" s="46"/>
      <c r="C1599" s="41"/>
    </row>
    <row r="1600" spans="2:3" x14ac:dyDescent="0.2">
      <c r="B1600" s="46"/>
      <c r="C1600" s="41"/>
    </row>
    <row r="1601" spans="2:3" x14ac:dyDescent="0.2">
      <c r="B1601" s="46"/>
      <c r="C1601" s="41"/>
    </row>
    <row r="1602" spans="2:3" x14ac:dyDescent="0.2">
      <c r="B1602" s="46"/>
      <c r="C1602" s="41"/>
    </row>
    <row r="1603" spans="2:3" x14ac:dyDescent="0.2">
      <c r="B1603" s="46"/>
      <c r="C1603" s="41"/>
    </row>
    <row r="1604" spans="2:3" x14ac:dyDescent="0.2">
      <c r="B1604" s="46"/>
      <c r="C1604" s="41"/>
    </row>
    <row r="1605" spans="2:3" x14ac:dyDescent="0.2">
      <c r="B1605" s="46"/>
      <c r="C1605" s="41"/>
    </row>
    <row r="1606" spans="2:3" x14ac:dyDescent="0.2">
      <c r="B1606" s="46"/>
      <c r="C1606" s="41"/>
    </row>
    <row r="1607" spans="2:3" x14ac:dyDescent="0.2">
      <c r="B1607" s="46"/>
      <c r="C1607" s="41"/>
    </row>
    <row r="1608" spans="2:3" x14ac:dyDescent="0.2">
      <c r="B1608" s="46"/>
      <c r="C1608" s="41"/>
    </row>
    <row r="1609" spans="2:3" x14ac:dyDescent="0.2">
      <c r="B1609" s="46"/>
      <c r="C1609" s="41"/>
    </row>
    <row r="1610" spans="2:3" x14ac:dyDescent="0.2">
      <c r="B1610" s="46"/>
      <c r="C1610" s="41"/>
    </row>
    <row r="1611" spans="2:3" x14ac:dyDescent="0.2">
      <c r="B1611" s="46"/>
      <c r="C1611" s="41"/>
    </row>
    <row r="1612" spans="2:3" x14ac:dyDescent="0.2">
      <c r="B1612" s="46"/>
      <c r="C1612" s="41"/>
    </row>
    <row r="1613" spans="2:3" x14ac:dyDescent="0.2">
      <c r="B1613" s="46"/>
      <c r="C1613" s="41"/>
    </row>
    <row r="1614" spans="2:3" x14ac:dyDescent="0.2">
      <c r="B1614" s="46"/>
      <c r="C1614" s="41"/>
    </row>
    <row r="1615" spans="2:3" x14ac:dyDescent="0.2">
      <c r="B1615" s="46"/>
      <c r="C1615" s="41"/>
    </row>
    <row r="1616" spans="2:3" x14ac:dyDescent="0.2">
      <c r="B1616" s="46"/>
      <c r="C1616" s="41"/>
    </row>
    <row r="1617" spans="2:3" x14ac:dyDescent="0.2">
      <c r="B1617" s="46"/>
      <c r="C1617" s="41"/>
    </row>
    <row r="1618" spans="2:3" x14ac:dyDescent="0.2">
      <c r="B1618" s="46"/>
      <c r="C1618" s="41"/>
    </row>
    <row r="1619" spans="2:3" x14ac:dyDescent="0.2">
      <c r="B1619" s="46"/>
      <c r="C1619" s="41"/>
    </row>
    <row r="1620" spans="2:3" x14ac:dyDescent="0.2">
      <c r="B1620" s="46"/>
      <c r="C1620" s="41"/>
    </row>
    <row r="1621" spans="2:3" x14ac:dyDescent="0.2">
      <c r="B1621" s="46"/>
      <c r="C1621" s="41"/>
    </row>
    <row r="1622" spans="2:3" x14ac:dyDescent="0.2">
      <c r="B1622" s="46"/>
      <c r="C1622" s="41"/>
    </row>
    <row r="1623" spans="2:3" x14ac:dyDescent="0.2">
      <c r="B1623" s="46"/>
      <c r="C1623" s="41"/>
    </row>
    <row r="1624" spans="2:3" x14ac:dyDescent="0.2">
      <c r="B1624" s="46"/>
      <c r="C1624" s="41"/>
    </row>
    <row r="1625" spans="2:3" x14ac:dyDescent="0.2">
      <c r="B1625" s="46"/>
      <c r="C1625" s="41"/>
    </row>
    <row r="1626" spans="2:3" x14ac:dyDescent="0.2">
      <c r="B1626" s="46"/>
      <c r="C1626" s="41"/>
    </row>
    <row r="1627" spans="2:3" x14ac:dyDescent="0.2">
      <c r="B1627" s="46"/>
      <c r="C1627" s="41"/>
    </row>
    <row r="1628" spans="2:3" x14ac:dyDescent="0.2">
      <c r="B1628" s="46"/>
      <c r="C1628" s="41"/>
    </row>
    <row r="1629" spans="2:3" x14ac:dyDescent="0.2">
      <c r="B1629" s="46"/>
      <c r="C1629" s="41"/>
    </row>
    <row r="1630" spans="2:3" x14ac:dyDescent="0.2">
      <c r="B1630" s="46"/>
      <c r="C1630" s="41"/>
    </row>
    <row r="1631" spans="2:3" x14ac:dyDescent="0.2">
      <c r="B1631" s="46"/>
      <c r="C1631" s="41"/>
    </row>
    <row r="1632" spans="2:3" x14ac:dyDescent="0.2">
      <c r="B1632" s="46"/>
      <c r="C1632" s="41"/>
    </row>
    <row r="1633" spans="2:3" x14ac:dyDescent="0.2">
      <c r="B1633" s="46"/>
      <c r="C1633" s="41"/>
    </row>
    <row r="1634" spans="2:3" x14ac:dyDescent="0.2">
      <c r="B1634" s="46"/>
      <c r="C1634" s="41"/>
    </row>
    <row r="1635" spans="2:3" x14ac:dyDescent="0.2">
      <c r="B1635" s="46"/>
      <c r="C1635" s="41"/>
    </row>
    <row r="1636" spans="2:3" x14ac:dyDescent="0.2">
      <c r="B1636" s="46"/>
      <c r="C1636" s="41"/>
    </row>
    <row r="1637" spans="2:3" x14ac:dyDescent="0.2">
      <c r="B1637" s="46"/>
      <c r="C1637" s="41"/>
    </row>
    <row r="1638" spans="2:3" x14ac:dyDescent="0.2">
      <c r="B1638" s="46"/>
      <c r="C1638" s="41"/>
    </row>
    <row r="1639" spans="2:3" x14ac:dyDescent="0.2">
      <c r="B1639" s="46"/>
      <c r="C1639" s="41"/>
    </row>
    <row r="1640" spans="2:3" x14ac:dyDescent="0.2">
      <c r="B1640" s="46"/>
      <c r="C1640" s="41"/>
    </row>
    <row r="1641" spans="2:3" x14ac:dyDescent="0.2">
      <c r="B1641" s="46"/>
      <c r="C1641" s="41"/>
    </row>
    <row r="1642" spans="2:3" x14ac:dyDescent="0.2">
      <c r="B1642" s="46"/>
      <c r="C1642" s="41"/>
    </row>
    <row r="1643" spans="2:3" x14ac:dyDescent="0.2">
      <c r="B1643" s="46"/>
      <c r="C1643" s="41"/>
    </row>
    <row r="1644" spans="2:3" x14ac:dyDescent="0.2">
      <c r="B1644" s="46"/>
      <c r="C1644" s="41"/>
    </row>
    <row r="1645" spans="2:3" x14ac:dyDescent="0.2">
      <c r="B1645" s="46"/>
      <c r="C1645" s="41"/>
    </row>
    <row r="1646" spans="2:3" x14ac:dyDescent="0.2">
      <c r="B1646" s="46"/>
      <c r="C1646" s="41"/>
    </row>
    <row r="1647" spans="2:3" x14ac:dyDescent="0.2">
      <c r="B1647" s="46"/>
      <c r="C1647" s="41"/>
    </row>
    <row r="1648" spans="2:3" x14ac:dyDescent="0.2">
      <c r="B1648" s="46"/>
      <c r="C1648" s="41"/>
    </row>
    <row r="1649" spans="2:3" x14ac:dyDescent="0.2">
      <c r="B1649" s="46"/>
      <c r="C1649" s="41"/>
    </row>
    <row r="1650" spans="2:3" x14ac:dyDescent="0.2">
      <c r="B1650" s="46"/>
      <c r="C1650" s="41"/>
    </row>
    <row r="1651" spans="2:3" x14ac:dyDescent="0.2">
      <c r="B1651" s="46"/>
      <c r="C1651" s="41"/>
    </row>
    <row r="1652" spans="2:3" x14ac:dyDescent="0.2">
      <c r="B1652" s="46"/>
      <c r="C1652" s="41"/>
    </row>
    <row r="1653" spans="2:3" x14ac:dyDescent="0.2">
      <c r="B1653" s="46"/>
      <c r="C1653" s="41"/>
    </row>
    <row r="1654" spans="2:3" x14ac:dyDescent="0.2">
      <c r="B1654" s="46"/>
      <c r="C1654" s="41"/>
    </row>
    <row r="1655" spans="2:3" x14ac:dyDescent="0.2">
      <c r="B1655" s="46"/>
      <c r="C1655" s="41"/>
    </row>
    <row r="1656" spans="2:3" x14ac:dyDescent="0.2">
      <c r="B1656" s="46"/>
      <c r="C1656" s="41"/>
    </row>
    <row r="1657" spans="2:3" x14ac:dyDescent="0.2">
      <c r="B1657" s="46"/>
      <c r="C1657" s="41"/>
    </row>
    <row r="1658" spans="2:3" x14ac:dyDescent="0.2">
      <c r="B1658" s="46"/>
      <c r="C1658" s="41"/>
    </row>
    <row r="1659" spans="2:3" x14ac:dyDescent="0.2">
      <c r="B1659" s="46"/>
      <c r="C1659" s="41"/>
    </row>
    <row r="1660" spans="2:3" x14ac:dyDescent="0.2">
      <c r="B1660" s="46"/>
      <c r="C1660" s="41"/>
    </row>
    <row r="1661" spans="2:3" x14ac:dyDescent="0.2">
      <c r="B1661" s="46"/>
      <c r="C1661" s="41"/>
    </row>
    <row r="1662" spans="2:3" x14ac:dyDescent="0.2">
      <c r="B1662" s="46"/>
      <c r="C1662" s="41"/>
    </row>
    <row r="1663" spans="2:3" x14ac:dyDescent="0.2">
      <c r="B1663" s="46"/>
      <c r="C1663" s="41"/>
    </row>
    <row r="1664" spans="2:3" x14ac:dyDescent="0.2">
      <c r="B1664" s="46"/>
      <c r="C1664" s="41"/>
    </row>
    <row r="1665" spans="2:3" x14ac:dyDescent="0.2">
      <c r="B1665" s="46"/>
      <c r="C1665" s="41"/>
    </row>
    <row r="1666" spans="2:3" x14ac:dyDescent="0.2">
      <c r="B1666" s="46"/>
      <c r="C1666" s="41"/>
    </row>
    <row r="1667" spans="2:3" x14ac:dyDescent="0.2">
      <c r="B1667" s="46"/>
      <c r="C1667" s="41"/>
    </row>
    <row r="1668" spans="2:3" x14ac:dyDescent="0.2">
      <c r="B1668" s="46"/>
      <c r="C1668" s="41"/>
    </row>
    <row r="1669" spans="2:3" x14ac:dyDescent="0.2">
      <c r="B1669" s="46"/>
      <c r="C1669" s="41"/>
    </row>
    <row r="1670" spans="2:3" x14ac:dyDescent="0.2">
      <c r="B1670" s="46"/>
      <c r="C1670" s="41"/>
    </row>
    <row r="1671" spans="2:3" x14ac:dyDescent="0.2">
      <c r="B1671" s="46"/>
      <c r="C1671" s="41"/>
    </row>
    <row r="1672" spans="2:3" x14ac:dyDescent="0.2">
      <c r="B1672" s="46"/>
      <c r="C1672" s="41"/>
    </row>
    <row r="1673" spans="2:3" x14ac:dyDescent="0.2">
      <c r="B1673" s="46"/>
      <c r="C1673" s="41"/>
    </row>
    <row r="1674" spans="2:3" x14ac:dyDescent="0.2">
      <c r="B1674" s="46"/>
      <c r="C1674" s="41"/>
    </row>
    <row r="1675" spans="2:3" x14ac:dyDescent="0.2">
      <c r="B1675" s="46"/>
      <c r="C1675" s="41"/>
    </row>
    <row r="1676" spans="2:3" x14ac:dyDescent="0.2">
      <c r="B1676" s="46"/>
      <c r="C1676" s="41"/>
    </row>
    <row r="1677" spans="2:3" x14ac:dyDescent="0.2">
      <c r="B1677" s="46"/>
      <c r="C1677" s="41"/>
    </row>
    <row r="1678" spans="2:3" x14ac:dyDescent="0.2">
      <c r="B1678" s="46"/>
      <c r="C1678" s="41"/>
    </row>
    <row r="1679" spans="2:3" x14ac:dyDescent="0.2">
      <c r="B1679" s="46"/>
      <c r="C1679" s="41"/>
    </row>
    <row r="1680" spans="2:3" x14ac:dyDescent="0.2">
      <c r="B1680" s="46"/>
      <c r="C1680" s="41"/>
    </row>
    <row r="1681" spans="2:3" x14ac:dyDescent="0.2">
      <c r="B1681" s="46"/>
      <c r="C1681" s="41"/>
    </row>
    <row r="1682" spans="2:3" x14ac:dyDescent="0.2">
      <c r="B1682" s="46"/>
      <c r="C1682" s="41"/>
    </row>
    <row r="1683" spans="2:3" x14ac:dyDescent="0.2">
      <c r="B1683" s="46"/>
      <c r="C1683" s="41"/>
    </row>
    <row r="1684" spans="2:3" x14ac:dyDescent="0.2">
      <c r="B1684" s="46"/>
      <c r="C1684" s="41"/>
    </row>
    <row r="1685" spans="2:3" x14ac:dyDescent="0.2">
      <c r="B1685" s="46"/>
      <c r="C1685" s="41"/>
    </row>
    <row r="1686" spans="2:3" x14ac:dyDescent="0.2">
      <c r="B1686" s="46"/>
      <c r="C1686" s="41"/>
    </row>
    <row r="1687" spans="2:3" x14ac:dyDescent="0.2">
      <c r="B1687" s="46"/>
      <c r="C1687" s="41"/>
    </row>
    <row r="1688" spans="2:3" x14ac:dyDescent="0.2">
      <c r="B1688" s="46"/>
      <c r="C1688" s="41"/>
    </row>
    <row r="1689" spans="2:3" x14ac:dyDescent="0.2">
      <c r="B1689" s="46"/>
      <c r="C1689" s="41"/>
    </row>
    <row r="1690" spans="2:3" x14ac:dyDescent="0.2">
      <c r="B1690" s="46"/>
      <c r="C1690" s="41"/>
    </row>
    <row r="1691" spans="2:3" x14ac:dyDescent="0.2">
      <c r="B1691" s="46"/>
      <c r="C1691" s="41"/>
    </row>
    <row r="1692" spans="2:3" x14ac:dyDescent="0.2">
      <c r="B1692" s="46"/>
      <c r="C1692" s="41"/>
    </row>
    <row r="1693" spans="2:3" x14ac:dyDescent="0.2">
      <c r="B1693" s="46"/>
      <c r="C1693" s="41"/>
    </row>
    <row r="1694" spans="2:3" x14ac:dyDescent="0.2">
      <c r="B1694" s="46"/>
      <c r="C1694" s="41"/>
    </row>
    <row r="1695" spans="2:3" x14ac:dyDescent="0.2">
      <c r="B1695" s="46"/>
      <c r="C1695" s="41"/>
    </row>
    <row r="1696" spans="2:3" x14ac:dyDescent="0.2">
      <c r="B1696" s="46"/>
      <c r="C1696" s="41"/>
    </row>
    <row r="1697" spans="2:3" x14ac:dyDescent="0.2">
      <c r="B1697" s="46"/>
      <c r="C1697" s="41"/>
    </row>
    <row r="1698" spans="2:3" x14ac:dyDescent="0.2">
      <c r="B1698" s="46"/>
      <c r="C1698" s="41"/>
    </row>
    <row r="1699" spans="2:3" x14ac:dyDescent="0.2">
      <c r="B1699" s="46"/>
      <c r="C1699" s="41"/>
    </row>
    <row r="1700" spans="2:3" x14ac:dyDescent="0.2">
      <c r="B1700" s="46"/>
      <c r="C1700" s="41"/>
    </row>
    <row r="1701" spans="2:3" x14ac:dyDescent="0.2">
      <c r="B1701" s="46"/>
      <c r="C1701" s="41"/>
    </row>
    <row r="1702" spans="2:3" x14ac:dyDescent="0.2">
      <c r="B1702" s="46"/>
      <c r="C1702" s="41"/>
    </row>
    <row r="1703" spans="2:3" x14ac:dyDescent="0.2">
      <c r="B1703" s="46"/>
      <c r="C1703" s="41"/>
    </row>
    <row r="1704" spans="2:3" x14ac:dyDescent="0.2">
      <c r="B1704" s="46"/>
      <c r="C1704" s="41"/>
    </row>
    <row r="1705" spans="2:3" x14ac:dyDescent="0.2">
      <c r="B1705" s="46"/>
      <c r="C1705" s="41"/>
    </row>
    <row r="1706" spans="2:3" x14ac:dyDescent="0.2">
      <c r="B1706" s="46"/>
      <c r="C1706" s="41"/>
    </row>
    <row r="1707" spans="2:3" x14ac:dyDescent="0.2">
      <c r="B1707" s="46"/>
      <c r="C1707" s="41"/>
    </row>
    <row r="1708" spans="2:3" x14ac:dyDescent="0.2">
      <c r="B1708" s="46"/>
      <c r="C1708" s="41"/>
    </row>
    <row r="1709" spans="2:3" x14ac:dyDescent="0.2">
      <c r="B1709" s="46"/>
      <c r="C1709" s="41"/>
    </row>
    <row r="1710" spans="2:3" x14ac:dyDescent="0.2">
      <c r="B1710" s="46"/>
      <c r="C1710" s="41"/>
    </row>
    <row r="1711" spans="2:3" x14ac:dyDescent="0.2">
      <c r="B1711" s="46"/>
      <c r="C1711" s="41"/>
    </row>
    <row r="1712" spans="2:3" x14ac:dyDescent="0.2">
      <c r="B1712" s="46"/>
      <c r="C1712" s="41"/>
    </row>
    <row r="1713" spans="2:3" x14ac:dyDescent="0.2">
      <c r="B1713" s="46"/>
      <c r="C1713" s="41"/>
    </row>
    <row r="1714" spans="2:3" x14ac:dyDescent="0.2">
      <c r="B1714" s="46"/>
      <c r="C1714" s="41"/>
    </row>
    <row r="1715" spans="2:3" x14ac:dyDescent="0.2">
      <c r="B1715" s="46"/>
      <c r="C1715" s="41"/>
    </row>
    <row r="1716" spans="2:3" x14ac:dyDescent="0.2">
      <c r="B1716" s="46"/>
      <c r="C1716" s="41"/>
    </row>
    <row r="1717" spans="2:3" x14ac:dyDescent="0.2">
      <c r="B1717" s="46"/>
      <c r="C1717" s="41"/>
    </row>
    <row r="1718" spans="2:3" x14ac:dyDescent="0.2">
      <c r="B1718" s="46"/>
      <c r="C1718" s="41"/>
    </row>
    <row r="1719" spans="2:3" x14ac:dyDescent="0.2">
      <c r="B1719" s="46"/>
      <c r="C1719" s="41"/>
    </row>
    <row r="1720" spans="2:3" x14ac:dyDescent="0.2">
      <c r="B1720" s="46"/>
      <c r="C1720" s="41"/>
    </row>
    <row r="1721" spans="2:3" x14ac:dyDescent="0.2">
      <c r="B1721" s="46"/>
      <c r="C1721" s="41"/>
    </row>
    <row r="1722" spans="2:3" x14ac:dyDescent="0.2">
      <c r="B1722" s="46"/>
      <c r="C1722" s="41"/>
    </row>
    <row r="1723" spans="2:3" x14ac:dyDescent="0.2">
      <c r="B1723" s="46"/>
      <c r="C1723" s="41"/>
    </row>
    <row r="1724" spans="2:3" x14ac:dyDescent="0.2">
      <c r="B1724" s="46"/>
      <c r="C1724" s="41"/>
    </row>
    <row r="1725" spans="2:3" x14ac:dyDescent="0.2">
      <c r="B1725" s="46"/>
      <c r="C1725" s="41"/>
    </row>
    <row r="1726" spans="2:3" x14ac:dyDescent="0.2">
      <c r="B1726" s="46"/>
      <c r="C1726" s="41"/>
    </row>
    <row r="1727" spans="2:3" x14ac:dyDescent="0.2">
      <c r="B1727" s="46"/>
      <c r="C1727" s="41"/>
    </row>
    <row r="1728" spans="2:3" x14ac:dyDescent="0.2">
      <c r="B1728" s="46"/>
      <c r="C1728" s="41"/>
    </row>
    <row r="1729" spans="2:3" x14ac:dyDescent="0.2">
      <c r="B1729" s="46"/>
      <c r="C1729" s="41"/>
    </row>
    <row r="1730" spans="2:3" x14ac:dyDescent="0.2">
      <c r="B1730" s="46"/>
      <c r="C1730" s="41"/>
    </row>
    <row r="1731" spans="2:3" x14ac:dyDescent="0.2">
      <c r="B1731" s="46"/>
      <c r="C1731" s="41"/>
    </row>
    <row r="1732" spans="2:3" x14ac:dyDescent="0.2">
      <c r="B1732" s="46"/>
      <c r="C1732" s="41"/>
    </row>
    <row r="1733" spans="2:3" x14ac:dyDescent="0.2">
      <c r="B1733" s="46"/>
      <c r="C1733" s="41"/>
    </row>
    <row r="1734" spans="2:3" x14ac:dyDescent="0.2">
      <c r="B1734" s="46"/>
      <c r="C1734" s="41"/>
    </row>
    <row r="1735" spans="2:3" x14ac:dyDescent="0.2">
      <c r="B1735" s="46"/>
      <c r="C1735" s="41"/>
    </row>
    <row r="1736" spans="2:3" x14ac:dyDescent="0.2">
      <c r="B1736" s="46"/>
      <c r="C1736" s="41"/>
    </row>
    <row r="1737" spans="2:3" x14ac:dyDescent="0.2">
      <c r="B1737" s="46"/>
      <c r="C1737" s="41"/>
    </row>
    <row r="1738" spans="2:3" x14ac:dyDescent="0.2">
      <c r="B1738" s="46"/>
      <c r="C1738" s="41"/>
    </row>
    <row r="1739" spans="2:3" x14ac:dyDescent="0.2">
      <c r="B1739" s="46"/>
      <c r="C1739" s="41"/>
    </row>
    <row r="1740" spans="2:3" x14ac:dyDescent="0.2">
      <c r="B1740" s="46"/>
      <c r="C1740" s="41"/>
    </row>
    <row r="1741" spans="2:3" x14ac:dyDescent="0.2">
      <c r="B1741" s="46"/>
      <c r="C1741" s="41"/>
    </row>
    <row r="1742" spans="2:3" x14ac:dyDescent="0.2">
      <c r="B1742" s="46"/>
      <c r="C1742" s="41"/>
    </row>
    <row r="1743" spans="2:3" x14ac:dyDescent="0.2">
      <c r="B1743" s="46"/>
      <c r="C1743" s="41"/>
    </row>
    <row r="1744" spans="2:3" x14ac:dyDescent="0.2">
      <c r="B1744" s="46"/>
      <c r="C1744" s="41"/>
    </row>
    <row r="1745" spans="2:3" x14ac:dyDescent="0.2">
      <c r="B1745" s="46"/>
      <c r="C1745" s="41"/>
    </row>
    <row r="1746" spans="2:3" x14ac:dyDescent="0.2">
      <c r="B1746" s="46"/>
      <c r="C1746" s="41"/>
    </row>
    <row r="1747" spans="2:3" x14ac:dyDescent="0.2">
      <c r="B1747" s="46"/>
      <c r="C1747" s="41"/>
    </row>
    <row r="1748" spans="2:3" x14ac:dyDescent="0.2">
      <c r="B1748" s="46"/>
      <c r="C1748" s="41"/>
    </row>
    <row r="1749" spans="2:3" x14ac:dyDescent="0.2">
      <c r="B1749" s="46"/>
      <c r="C1749" s="41"/>
    </row>
    <row r="1750" spans="2:3" x14ac:dyDescent="0.2">
      <c r="B1750" s="46"/>
      <c r="C1750" s="41"/>
    </row>
    <row r="1751" spans="2:3" x14ac:dyDescent="0.2">
      <c r="B1751" s="46"/>
      <c r="C1751" s="41"/>
    </row>
    <row r="1752" spans="2:3" x14ac:dyDescent="0.2">
      <c r="B1752" s="46"/>
      <c r="C1752" s="41"/>
    </row>
    <row r="1753" spans="2:3" x14ac:dyDescent="0.2">
      <c r="B1753" s="46"/>
      <c r="C1753" s="41"/>
    </row>
    <row r="1754" spans="2:3" x14ac:dyDescent="0.2">
      <c r="B1754" s="46"/>
      <c r="C1754" s="41"/>
    </row>
    <row r="1755" spans="2:3" x14ac:dyDescent="0.2">
      <c r="B1755" s="46"/>
      <c r="C1755" s="41"/>
    </row>
    <row r="1756" spans="2:3" x14ac:dyDescent="0.2">
      <c r="B1756" s="46"/>
      <c r="C1756" s="41"/>
    </row>
    <row r="1757" spans="2:3" x14ac:dyDescent="0.2">
      <c r="B1757" s="46"/>
      <c r="C1757" s="41"/>
    </row>
    <row r="1758" spans="2:3" x14ac:dyDescent="0.2">
      <c r="B1758" s="46"/>
      <c r="C1758" s="41"/>
    </row>
    <row r="1759" spans="2:3" x14ac:dyDescent="0.2">
      <c r="B1759" s="46"/>
      <c r="C1759" s="41"/>
    </row>
    <row r="1760" spans="2:3" x14ac:dyDescent="0.2">
      <c r="B1760" s="46"/>
      <c r="C1760" s="41"/>
    </row>
    <row r="1761" spans="2:3" x14ac:dyDescent="0.2">
      <c r="B1761" s="46"/>
      <c r="C1761" s="41"/>
    </row>
    <row r="1762" spans="2:3" x14ac:dyDescent="0.2">
      <c r="B1762" s="46"/>
      <c r="C1762" s="41"/>
    </row>
    <row r="1763" spans="2:3" x14ac:dyDescent="0.2">
      <c r="B1763" s="46"/>
      <c r="C1763" s="41"/>
    </row>
    <row r="1764" spans="2:3" x14ac:dyDescent="0.2">
      <c r="B1764" s="46"/>
      <c r="C1764" s="41"/>
    </row>
    <row r="1765" spans="2:3" x14ac:dyDescent="0.2">
      <c r="B1765" s="46"/>
      <c r="C1765" s="41"/>
    </row>
    <row r="1766" spans="2:3" x14ac:dyDescent="0.2">
      <c r="B1766" s="46"/>
      <c r="C1766" s="41"/>
    </row>
    <row r="1767" spans="2:3" x14ac:dyDescent="0.2">
      <c r="B1767" s="46"/>
      <c r="C1767" s="41"/>
    </row>
    <row r="1768" spans="2:3" x14ac:dyDescent="0.2">
      <c r="B1768" s="46"/>
      <c r="C1768" s="41"/>
    </row>
    <row r="1769" spans="2:3" x14ac:dyDescent="0.2">
      <c r="B1769" s="46"/>
      <c r="C1769" s="41"/>
    </row>
    <row r="1770" spans="2:3" x14ac:dyDescent="0.2">
      <c r="B1770" s="46"/>
      <c r="C1770" s="41"/>
    </row>
    <row r="1771" spans="2:3" x14ac:dyDescent="0.2">
      <c r="B1771" s="46"/>
      <c r="C1771" s="41"/>
    </row>
    <row r="1772" spans="2:3" x14ac:dyDescent="0.2">
      <c r="B1772" s="46"/>
      <c r="C1772" s="41"/>
    </row>
    <row r="1773" spans="2:3" x14ac:dyDescent="0.2">
      <c r="B1773" s="46"/>
      <c r="C1773" s="41"/>
    </row>
    <row r="1774" spans="2:3" x14ac:dyDescent="0.2">
      <c r="B1774" s="46"/>
      <c r="C1774" s="41"/>
    </row>
    <row r="1775" spans="2:3" x14ac:dyDescent="0.2">
      <c r="B1775" s="46"/>
      <c r="C1775" s="41"/>
    </row>
    <row r="1776" spans="2:3" x14ac:dyDescent="0.2">
      <c r="B1776" s="46"/>
      <c r="C1776" s="41"/>
    </row>
    <row r="1777" spans="2:3" x14ac:dyDescent="0.2">
      <c r="B1777" s="46"/>
      <c r="C1777" s="41"/>
    </row>
    <row r="1778" spans="2:3" x14ac:dyDescent="0.2">
      <c r="B1778" s="46"/>
      <c r="C1778" s="41"/>
    </row>
    <row r="1779" spans="2:3" x14ac:dyDescent="0.2">
      <c r="B1779" s="46"/>
      <c r="C1779" s="41"/>
    </row>
    <row r="1780" spans="2:3" x14ac:dyDescent="0.2">
      <c r="B1780" s="46"/>
      <c r="C1780" s="41"/>
    </row>
    <row r="1781" spans="2:3" x14ac:dyDescent="0.2">
      <c r="B1781" s="46"/>
      <c r="C1781" s="41"/>
    </row>
    <row r="1782" spans="2:3" x14ac:dyDescent="0.2">
      <c r="B1782" s="46"/>
      <c r="C1782" s="41"/>
    </row>
    <row r="1783" spans="2:3" x14ac:dyDescent="0.2">
      <c r="B1783" s="46"/>
      <c r="C1783" s="41"/>
    </row>
    <row r="1784" spans="2:3" x14ac:dyDescent="0.2">
      <c r="B1784" s="46"/>
      <c r="C1784" s="41"/>
    </row>
    <row r="1785" spans="2:3" x14ac:dyDescent="0.2">
      <c r="B1785" s="46"/>
      <c r="C1785" s="41"/>
    </row>
    <row r="1786" spans="2:3" x14ac:dyDescent="0.2">
      <c r="B1786" s="46"/>
      <c r="C1786" s="41"/>
    </row>
    <row r="1787" spans="2:3" x14ac:dyDescent="0.2">
      <c r="B1787" s="46"/>
      <c r="C1787" s="41"/>
    </row>
    <row r="1788" spans="2:3" x14ac:dyDescent="0.2">
      <c r="B1788" s="46"/>
      <c r="C1788" s="41"/>
    </row>
    <row r="1789" spans="2:3" x14ac:dyDescent="0.2">
      <c r="B1789" s="46"/>
      <c r="C1789" s="41"/>
    </row>
    <row r="1790" spans="2:3" x14ac:dyDescent="0.2">
      <c r="B1790" s="46"/>
      <c r="C1790" s="41"/>
    </row>
    <row r="1791" spans="2:3" x14ac:dyDescent="0.2">
      <c r="B1791" s="46"/>
      <c r="C1791" s="41"/>
    </row>
    <row r="1792" spans="2:3" x14ac:dyDescent="0.2">
      <c r="B1792" s="46"/>
      <c r="C1792" s="41"/>
    </row>
    <row r="1793" spans="2:3" x14ac:dyDescent="0.2">
      <c r="B1793" s="46"/>
      <c r="C1793" s="41"/>
    </row>
    <row r="1794" spans="2:3" x14ac:dyDescent="0.2">
      <c r="B1794" s="46"/>
      <c r="C1794" s="41"/>
    </row>
    <row r="1795" spans="2:3" x14ac:dyDescent="0.2">
      <c r="B1795" s="46"/>
      <c r="C1795" s="41"/>
    </row>
    <row r="1796" spans="2:3" x14ac:dyDescent="0.2">
      <c r="B1796" s="46"/>
      <c r="C1796" s="41"/>
    </row>
    <row r="1797" spans="2:3" x14ac:dyDescent="0.2">
      <c r="B1797" s="46"/>
      <c r="C1797" s="41"/>
    </row>
    <row r="1798" spans="2:3" x14ac:dyDescent="0.2">
      <c r="B1798" s="46"/>
      <c r="C1798" s="41"/>
    </row>
    <row r="1799" spans="2:3" x14ac:dyDescent="0.2">
      <c r="B1799" s="46"/>
      <c r="C1799" s="41"/>
    </row>
    <row r="1800" spans="2:3" x14ac:dyDescent="0.2">
      <c r="B1800" s="46"/>
      <c r="C1800" s="41"/>
    </row>
    <row r="1801" spans="2:3" x14ac:dyDescent="0.2">
      <c r="B1801" s="46"/>
      <c r="C1801" s="41"/>
    </row>
    <row r="1802" spans="2:3" x14ac:dyDescent="0.2">
      <c r="B1802" s="46"/>
      <c r="C1802" s="41"/>
    </row>
    <row r="1803" spans="2:3" x14ac:dyDescent="0.2">
      <c r="B1803" s="46"/>
      <c r="C1803" s="41"/>
    </row>
    <row r="1804" spans="2:3" x14ac:dyDescent="0.2">
      <c r="B1804" s="46"/>
      <c r="C1804" s="41"/>
    </row>
    <row r="1805" spans="2:3" x14ac:dyDescent="0.2">
      <c r="B1805" s="46"/>
      <c r="C1805" s="41"/>
    </row>
    <row r="1806" spans="2:3" x14ac:dyDescent="0.2">
      <c r="B1806" s="46"/>
      <c r="C1806" s="41"/>
    </row>
    <row r="1807" spans="2:3" x14ac:dyDescent="0.2">
      <c r="B1807" s="46"/>
      <c r="C1807" s="41"/>
    </row>
    <row r="1808" spans="2:3" x14ac:dyDescent="0.2">
      <c r="B1808" s="46"/>
      <c r="C1808" s="41"/>
    </row>
    <row r="1809" spans="2:3" x14ac:dyDescent="0.2">
      <c r="B1809" s="46"/>
      <c r="C1809" s="41"/>
    </row>
    <row r="1810" spans="2:3" x14ac:dyDescent="0.2">
      <c r="B1810" s="46"/>
      <c r="C1810" s="41"/>
    </row>
    <row r="1811" spans="2:3" x14ac:dyDescent="0.2">
      <c r="B1811" s="46"/>
      <c r="C1811" s="41"/>
    </row>
    <row r="1812" spans="2:3" x14ac:dyDescent="0.2">
      <c r="B1812" s="46"/>
      <c r="C1812" s="41"/>
    </row>
    <row r="1813" spans="2:3" x14ac:dyDescent="0.2">
      <c r="B1813" s="46"/>
      <c r="C1813" s="41"/>
    </row>
    <row r="1814" spans="2:3" x14ac:dyDescent="0.2">
      <c r="B1814" s="46"/>
      <c r="C1814" s="41"/>
    </row>
    <row r="1815" spans="2:3" x14ac:dyDescent="0.2">
      <c r="B1815" s="46"/>
      <c r="C1815" s="41"/>
    </row>
    <row r="1816" spans="2:3" x14ac:dyDescent="0.2">
      <c r="B1816" s="46"/>
      <c r="C1816" s="41"/>
    </row>
    <row r="1817" spans="2:3" x14ac:dyDescent="0.2">
      <c r="B1817" s="46"/>
      <c r="C1817" s="41"/>
    </row>
    <row r="1818" spans="2:3" x14ac:dyDescent="0.2">
      <c r="B1818" s="46"/>
      <c r="C1818" s="41"/>
    </row>
    <row r="1819" spans="2:3" x14ac:dyDescent="0.2">
      <c r="B1819" s="46"/>
      <c r="C1819" s="41"/>
    </row>
    <row r="1820" spans="2:3" x14ac:dyDescent="0.2">
      <c r="B1820" s="46"/>
      <c r="C1820" s="41"/>
    </row>
    <row r="1821" spans="2:3" x14ac:dyDescent="0.2">
      <c r="B1821" s="46"/>
      <c r="C1821" s="41"/>
    </row>
    <row r="1822" spans="2:3" x14ac:dyDescent="0.2">
      <c r="B1822" s="46"/>
      <c r="C1822" s="41"/>
    </row>
    <row r="1823" spans="2:3" x14ac:dyDescent="0.2">
      <c r="B1823" s="46"/>
      <c r="C1823" s="41"/>
    </row>
    <row r="1824" spans="2:3" x14ac:dyDescent="0.2">
      <c r="B1824" s="46"/>
      <c r="C1824" s="41"/>
    </row>
    <row r="1825" spans="2:3" x14ac:dyDescent="0.2">
      <c r="B1825" s="46"/>
      <c r="C1825" s="41"/>
    </row>
    <row r="1826" spans="2:3" x14ac:dyDescent="0.2">
      <c r="B1826" s="46"/>
      <c r="C1826" s="41"/>
    </row>
    <row r="1827" spans="2:3" x14ac:dyDescent="0.2">
      <c r="B1827" s="46"/>
      <c r="C1827" s="41"/>
    </row>
    <row r="1828" spans="2:3" x14ac:dyDescent="0.2">
      <c r="B1828" s="46"/>
      <c r="C1828" s="41"/>
    </row>
    <row r="1829" spans="2:3" x14ac:dyDescent="0.2">
      <c r="B1829" s="46"/>
      <c r="C1829" s="41"/>
    </row>
    <row r="1830" spans="2:3" x14ac:dyDescent="0.2">
      <c r="B1830" s="46"/>
      <c r="C1830" s="41"/>
    </row>
    <row r="1831" spans="2:3" x14ac:dyDescent="0.2">
      <c r="B1831" s="46"/>
      <c r="C1831" s="41"/>
    </row>
    <row r="1832" spans="2:3" x14ac:dyDescent="0.2">
      <c r="B1832" s="46"/>
      <c r="C1832" s="41"/>
    </row>
    <row r="1833" spans="2:3" x14ac:dyDescent="0.2">
      <c r="B1833" s="46"/>
      <c r="C1833" s="41"/>
    </row>
    <row r="1834" spans="2:3" x14ac:dyDescent="0.2">
      <c r="B1834" s="46"/>
      <c r="C1834" s="41"/>
    </row>
    <row r="1835" spans="2:3" x14ac:dyDescent="0.2">
      <c r="B1835" s="46"/>
      <c r="C1835" s="41"/>
    </row>
    <row r="1836" spans="2:3" x14ac:dyDescent="0.2">
      <c r="B1836" s="46"/>
      <c r="C1836" s="41"/>
    </row>
    <row r="1837" spans="2:3" x14ac:dyDescent="0.2">
      <c r="B1837" s="46"/>
      <c r="C1837" s="41"/>
    </row>
    <row r="1838" spans="2:3" x14ac:dyDescent="0.2">
      <c r="B1838" s="46"/>
      <c r="C1838" s="41"/>
    </row>
    <row r="1839" spans="2:3" x14ac:dyDescent="0.2">
      <c r="B1839" s="46"/>
      <c r="C1839" s="41"/>
    </row>
    <row r="1840" spans="2:3" x14ac:dyDescent="0.2">
      <c r="B1840" s="46"/>
      <c r="C1840" s="41"/>
    </row>
    <row r="1841" spans="2:3" x14ac:dyDescent="0.2">
      <c r="B1841" s="46"/>
      <c r="C1841" s="41"/>
    </row>
    <row r="1842" spans="2:3" x14ac:dyDescent="0.2">
      <c r="B1842" s="46"/>
      <c r="C1842" s="41"/>
    </row>
    <row r="1843" spans="2:3" x14ac:dyDescent="0.2">
      <c r="B1843" s="46"/>
      <c r="C1843" s="41"/>
    </row>
    <row r="1844" spans="2:3" x14ac:dyDescent="0.2">
      <c r="B1844" s="46"/>
      <c r="C1844" s="41"/>
    </row>
    <row r="1845" spans="2:3" x14ac:dyDescent="0.2">
      <c r="B1845" s="46"/>
      <c r="C1845" s="41"/>
    </row>
    <row r="1846" spans="2:3" x14ac:dyDescent="0.2">
      <c r="B1846" s="46"/>
      <c r="C1846" s="41"/>
    </row>
    <row r="1847" spans="2:3" x14ac:dyDescent="0.2">
      <c r="B1847" s="46"/>
      <c r="C1847" s="41"/>
    </row>
    <row r="1848" spans="2:3" x14ac:dyDescent="0.2">
      <c r="B1848" s="46"/>
      <c r="C1848" s="41"/>
    </row>
    <row r="1849" spans="2:3" x14ac:dyDescent="0.2">
      <c r="B1849" s="46"/>
      <c r="C1849" s="41"/>
    </row>
    <row r="1850" spans="2:3" x14ac:dyDescent="0.2">
      <c r="B1850" s="46"/>
      <c r="C1850" s="41"/>
    </row>
    <row r="1851" spans="2:3" x14ac:dyDescent="0.2">
      <c r="B1851" s="46"/>
      <c r="C1851" s="41"/>
    </row>
    <row r="1852" spans="2:3" x14ac:dyDescent="0.2">
      <c r="B1852" s="46"/>
      <c r="C1852" s="41"/>
    </row>
    <row r="1853" spans="2:3" x14ac:dyDescent="0.2">
      <c r="B1853" s="46"/>
      <c r="C1853" s="41"/>
    </row>
    <row r="1854" spans="2:3" x14ac:dyDescent="0.2">
      <c r="B1854" s="46"/>
      <c r="C1854" s="41"/>
    </row>
    <row r="1855" spans="2:3" x14ac:dyDescent="0.2">
      <c r="B1855" s="46"/>
      <c r="C1855" s="41"/>
    </row>
    <row r="1856" spans="2:3" x14ac:dyDescent="0.2">
      <c r="B1856" s="46"/>
      <c r="C1856" s="41"/>
    </row>
    <row r="1857" spans="2:3" x14ac:dyDescent="0.2">
      <c r="B1857" s="46"/>
      <c r="C1857" s="41"/>
    </row>
    <row r="1858" spans="2:3" x14ac:dyDescent="0.2">
      <c r="B1858" s="46"/>
      <c r="C1858" s="41"/>
    </row>
    <row r="1859" spans="2:3" x14ac:dyDescent="0.2">
      <c r="B1859" s="46"/>
      <c r="C1859" s="41"/>
    </row>
    <row r="1860" spans="2:3" x14ac:dyDescent="0.2">
      <c r="B1860" s="46"/>
      <c r="C1860" s="41"/>
    </row>
    <row r="1861" spans="2:3" x14ac:dyDescent="0.2">
      <c r="B1861" s="46"/>
      <c r="C1861" s="41"/>
    </row>
    <row r="1862" spans="2:3" x14ac:dyDescent="0.2">
      <c r="B1862" s="46"/>
      <c r="C1862" s="41"/>
    </row>
    <row r="1863" spans="2:3" x14ac:dyDescent="0.2">
      <c r="B1863" s="46"/>
      <c r="C1863" s="41"/>
    </row>
    <row r="1864" spans="2:3" x14ac:dyDescent="0.2">
      <c r="B1864" s="46"/>
      <c r="C1864" s="41"/>
    </row>
    <row r="1865" spans="2:3" x14ac:dyDescent="0.2">
      <c r="B1865" s="46"/>
      <c r="C1865" s="41"/>
    </row>
    <row r="1866" spans="2:3" x14ac:dyDescent="0.2">
      <c r="B1866" s="46"/>
      <c r="C1866" s="41"/>
    </row>
    <row r="1867" spans="2:3" x14ac:dyDescent="0.2">
      <c r="B1867" s="46"/>
      <c r="C1867" s="41"/>
    </row>
    <row r="1868" spans="2:3" x14ac:dyDescent="0.2">
      <c r="B1868" s="46"/>
      <c r="C1868" s="41"/>
    </row>
    <row r="1869" spans="2:3" x14ac:dyDescent="0.2">
      <c r="B1869" s="46"/>
      <c r="C1869" s="41"/>
    </row>
    <row r="1870" spans="2:3" x14ac:dyDescent="0.2">
      <c r="B1870" s="46"/>
      <c r="C1870" s="41"/>
    </row>
    <row r="1871" spans="2:3" x14ac:dyDescent="0.2">
      <c r="B1871" s="46"/>
      <c r="C1871" s="41"/>
    </row>
    <row r="1872" spans="2:3" x14ac:dyDescent="0.2">
      <c r="B1872" s="46"/>
      <c r="C1872" s="41"/>
    </row>
    <row r="1873" spans="2:3" x14ac:dyDescent="0.2">
      <c r="B1873" s="46"/>
      <c r="C1873" s="41"/>
    </row>
    <row r="1874" spans="2:3" x14ac:dyDescent="0.2">
      <c r="B1874" s="46"/>
      <c r="C1874" s="41"/>
    </row>
    <row r="1875" spans="2:3" x14ac:dyDescent="0.2">
      <c r="B1875" s="46"/>
      <c r="C1875" s="41"/>
    </row>
    <row r="1876" spans="2:3" x14ac:dyDescent="0.2">
      <c r="B1876" s="46"/>
      <c r="C1876" s="41"/>
    </row>
    <row r="1877" spans="2:3" x14ac:dyDescent="0.2">
      <c r="B1877" s="46"/>
      <c r="C1877" s="41"/>
    </row>
    <row r="1878" spans="2:3" x14ac:dyDescent="0.2">
      <c r="B1878" s="46"/>
      <c r="C1878" s="41"/>
    </row>
    <row r="1879" spans="2:3" x14ac:dyDescent="0.2">
      <c r="B1879" s="46"/>
      <c r="C1879" s="41"/>
    </row>
    <row r="1880" spans="2:3" x14ac:dyDescent="0.2">
      <c r="B1880" s="46"/>
      <c r="C1880" s="41"/>
    </row>
    <row r="1881" spans="2:3" x14ac:dyDescent="0.2">
      <c r="B1881" s="46"/>
      <c r="C1881" s="41"/>
    </row>
    <row r="1882" spans="2:3" x14ac:dyDescent="0.2">
      <c r="B1882" s="46"/>
      <c r="C1882" s="41"/>
    </row>
    <row r="1883" spans="2:3" x14ac:dyDescent="0.2">
      <c r="B1883" s="46"/>
      <c r="C1883" s="41"/>
    </row>
    <row r="1884" spans="2:3" x14ac:dyDescent="0.2">
      <c r="B1884" s="46"/>
      <c r="C1884" s="41"/>
    </row>
    <row r="1885" spans="2:3" x14ac:dyDescent="0.2">
      <c r="B1885" s="46"/>
      <c r="C1885" s="41"/>
    </row>
    <row r="1886" spans="2:3" x14ac:dyDescent="0.2">
      <c r="B1886" s="46"/>
      <c r="C1886" s="41"/>
    </row>
    <row r="1887" spans="2:3" x14ac:dyDescent="0.2">
      <c r="B1887" s="46"/>
      <c r="C1887" s="41"/>
    </row>
    <row r="1888" spans="2:3" x14ac:dyDescent="0.2">
      <c r="B1888" s="46"/>
      <c r="C1888" s="41"/>
    </row>
    <row r="1889" spans="2:3" x14ac:dyDescent="0.2">
      <c r="B1889" s="46"/>
      <c r="C1889" s="41"/>
    </row>
    <row r="1890" spans="2:3" x14ac:dyDescent="0.2">
      <c r="B1890" s="46"/>
      <c r="C1890" s="41"/>
    </row>
    <row r="1891" spans="2:3" x14ac:dyDescent="0.2">
      <c r="B1891" s="46"/>
      <c r="C1891" s="41"/>
    </row>
    <row r="1892" spans="2:3" x14ac:dyDescent="0.2">
      <c r="B1892" s="46"/>
      <c r="C1892" s="41"/>
    </row>
    <row r="1893" spans="2:3" x14ac:dyDescent="0.2">
      <c r="B1893" s="46"/>
      <c r="C1893" s="41"/>
    </row>
    <row r="1894" spans="2:3" x14ac:dyDescent="0.2">
      <c r="B1894" s="46"/>
      <c r="C1894" s="41"/>
    </row>
    <row r="1895" spans="2:3" x14ac:dyDescent="0.2">
      <c r="B1895" s="46"/>
      <c r="C1895" s="41"/>
    </row>
    <row r="1896" spans="2:3" x14ac:dyDescent="0.2">
      <c r="B1896" s="46"/>
      <c r="C1896" s="41"/>
    </row>
    <row r="1897" spans="2:3" x14ac:dyDescent="0.2">
      <c r="B1897" s="46"/>
      <c r="C1897" s="41"/>
    </row>
    <row r="1898" spans="2:3" x14ac:dyDescent="0.2">
      <c r="B1898" s="46"/>
      <c r="C1898" s="41"/>
    </row>
    <row r="1899" spans="2:3" x14ac:dyDescent="0.2">
      <c r="B1899" s="46"/>
      <c r="C1899" s="41"/>
    </row>
    <row r="1900" spans="2:3" x14ac:dyDescent="0.2">
      <c r="B1900" s="46"/>
      <c r="C1900" s="41"/>
    </row>
    <row r="1901" spans="2:3" x14ac:dyDescent="0.2">
      <c r="B1901" s="46"/>
      <c r="C1901" s="41"/>
    </row>
    <row r="1902" spans="2:3" x14ac:dyDescent="0.2">
      <c r="B1902" s="46"/>
      <c r="C1902" s="41"/>
    </row>
    <row r="1903" spans="2:3" x14ac:dyDescent="0.2">
      <c r="B1903" s="46"/>
      <c r="C1903" s="41"/>
    </row>
    <row r="1904" spans="2:3" x14ac:dyDescent="0.2">
      <c r="B1904" s="46"/>
      <c r="C1904" s="41"/>
    </row>
    <row r="1905" spans="2:3" x14ac:dyDescent="0.2">
      <c r="B1905" s="46"/>
      <c r="C1905" s="41"/>
    </row>
    <row r="1906" spans="2:3" x14ac:dyDescent="0.2">
      <c r="B1906" s="46"/>
      <c r="C1906" s="41"/>
    </row>
    <row r="1907" spans="2:3" x14ac:dyDescent="0.2">
      <c r="B1907" s="46"/>
      <c r="C1907" s="41"/>
    </row>
    <row r="1908" spans="2:3" x14ac:dyDescent="0.2">
      <c r="B1908" s="46"/>
      <c r="C1908" s="41"/>
    </row>
    <row r="1909" spans="2:3" x14ac:dyDescent="0.2">
      <c r="B1909" s="46"/>
      <c r="C1909" s="41"/>
    </row>
    <row r="1910" spans="2:3" x14ac:dyDescent="0.2">
      <c r="B1910" s="46"/>
      <c r="C1910" s="41"/>
    </row>
    <row r="1911" spans="2:3" x14ac:dyDescent="0.2">
      <c r="B1911" s="46"/>
      <c r="C1911" s="41"/>
    </row>
    <row r="1912" spans="2:3" x14ac:dyDescent="0.2">
      <c r="B1912" s="46"/>
      <c r="C1912" s="41"/>
    </row>
    <row r="1913" spans="2:3" x14ac:dyDescent="0.2">
      <c r="B1913" s="46"/>
      <c r="C1913" s="41"/>
    </row>
    <row r="1914" spans="2:3" x14ac:dyDescent="0.2">
      <c r="B1914" s="46"/>
      <c r="C1914" s="41"/>
    </row>
    <row r="1915" spans="2:3" x14ac:dyDescent="0.2">
      <c r="B1915" s="46"/>
      <c r="C1915" s="41"/>
    </row>
    <row r="1916" spans="2:3" x14ac:dyDescent="0.2">
      <c r="B1916" s="46"/>
      <c r="C1916" s="41"/>
    </row>
    <row r="1917" spans="2:3" x14ac:dyDescent="0.2">
      <c r="B1917" s="46"/>
      <c r="C1917" s="41"/>
    </row>
    <row r="1918" spans="2:3" x14ac:dyDescent="0.2">
      <c r="B1918" s="46"/>
      <c r="C1918" s="41"/>
    </row>
    <row r="1919" spans="2:3" x14ac:dyDescent="0.2">
      <c r="B1919" s="46"/>
      <c r="C1919" s="41"/>
    </row>
    <row r="1920" spans="2:3" x14ac:dyDescent="0.2">
      <c r="B1920" s="46"/>
      <c r="C1920" s="41"/>
    </row>
    <row r="1921" spans="2:3" x14ac:dyDescent="0.2">
      <c r="B1921" s="46"/>
      <c r="C1921" s="41"/>
    </row>
    <row r="1922" spans="2:3" x14ac:dyDescent="0.2">
      <c r="B1922" s="46"/>
      <c r="C1922" s="41"/>
    </row>
    <row r="1923" spans="2:3" x14ac:dyDescent="0.2">
      <c r="B1923" s="46"/>
      <c r="C1923" s="41"/>
    </row>
    <row r="1924" spans="2:3" x14ac:dyDescent="0.2">
      <c r="B1924" s="46"/>
      <c r="C1924" s="41"/>
    </row>
    <row r="1925" spans="2:3" x14ac:dyDescent="0.2">
      <c r="B1925" s="46"/>
      <c r="C1925" s="41"/>
    </row>
    <row r="1926" spans="2:3" x14ac:dyDescent="0.2">
      <c r="B1926" s="46"/>
      <c r="C1926" s="41"/>
    </row>
    <row r="1927" spans="2:3" x14ac:dyDescent="0.2">
      <c r="B1927" s="46"/>
      <c r="C1927" s="41"/>
    </row>
    <row r="1928" spans="2:3" x14ac:dyDescent="0.2">
      <c r="B1928" s="46"/>
      <c r="C1928" s="41"/>
    </row>
    <row r="1929" spans="2:3" x14ac:dyDescent="0.2">
      <c r="B1929" s="46"/>
      <c r="C1929" s="41"/>
    </row>
    <row r="1930" spans="2:3" x14ac:dyDescent="0.2">
      <c r="B1930" s="46"/>
      <c r="C1930" s="41"/>
    </row>
    <row r="1931" spans="2:3" x14ac:dyDescent="0.2">
      <c r="B1931" s="46"/>
      <c r="C1931" s="41"/>
    </row>
    <row r="1932" spans="2:3" x14ac:dyDescent="0.2">
      <c r="B1932" s="46"/>
      <c r="C1932" s="41"/>
    </row>
    <row r="1933" spans="2:3" x14ac:dyDescent="0.2">
      <c r="B1933" s="46"/>
      <c r="C1933" s="41"/>
    </row>
    <row r="1934" spans="2:3" x14ac:dyDescent="0.2">
      <c r="B1934" s="46"/>
      <c r="C1934" s="41"/>
    </row>
    <row r="1935" spans="2:3" x14ac:dyDescent="0.2">
      <c r="B1935" s="46"/>
      <c r="C1935" s="41"/>
    </row>
    <row r="1936" spans="2:3" x14ac:dyDescent="0.2">
      <c r="B1936" s="46"/>
      <c r="C1936" s="41"/>
    </row>
    <row r="1937" spans="2:3" x14ac:dyDescent="0.2">
      <c r="B1937" s="46"/>
      <c r="C1937" s="41"/>
    </row>
    <row r="1938" spans="2:3" x14ac:dyDescent="0.2">
      <c r="B1938" s="46"/>
      <c r="C1938" s="41"/>
    </row>
    <row r="1939" spans="2:3" x14ac:dyDescent="0.2">
      <c r="B1939" s="46"/>
      <c r="C1939" s="41"/>
    </row>
    <row r="1940" spans="2:3" x14ac:dyDescent="0.2">
      <c r="B1940" s="46"/>
      <c r="C1940" s="41"/>
    </row>
    <row r="1941" spans="2:3" x14ac:dyDescent="0.2">
      <c r="B1941" s="46"/>
      <c r="C1941" s="41"/>
    </row>
    <row r="1942" spans="2:3" x14ac:dyDescent="0.2">
      <c r="B1942" s="46"/>
      <c r="C1942" s="41"/>
    </row>
    <row r="1943" spans="2:3" x14ac:dyDescent="0.2">
      <c r="B1943" s="46"/>
      <c r="C1943" s="41"/>
    </row>
    <row r="1944" spans="2:3" x14ac:dyDescent="0.2">
      <c r="B1944" s="46"/>
      <c r="C1944" s="41"/>
    </row>
    <row r="1945" spans="2:3" x14ac:dyDescent="0.2">
      <c r="B1945" s="46"/>
      <c r="C1945" s="41"/>
    </row>
    <row r="1946" spans="2:3" x14ac:dyDescent="0.2">
      <c r="B1946" s="46"/>
      <c r="C1946" s="41"/>
    </row>
    <row r="1947" spans="2:3" x14ac:dyDescent="0.2">
      <c r="B1947" s="46"/>
      <c r="C1947" s="41"/>
    </row>
    <row r="1948" spans="2:3" x14ac:dyDescent="0.2">
      <c r="B1948" s="46"/>
      <c r="C1948" s="41"/>
    </row>
    <row r="1949" spans="2:3" x14ac:dyDescent="0.2">
      <c r="B1949" s="46"/>
      <c r="C1949" s="41"/>
    </row>
    <row r="1950" spans="2:3" x14ac:dyDescent="0.2">
      <c r="B1950" s="46"/>
      <c r="C1950" s="41"/>
    </row>
    <row r="1951" spans="2:3" x14ac:dyDescent="0.2">
      <c r="B1951" s="46"/>
      <c r="C1951" s="41"/>
    </row>
    <row r="1952" spans="2:3" x14ac:dyDescent="0.2">
      <c r="B1952" s="46"/>
      <c r="C1952" s="41"/>
    </row>
    <row r="1953" spans="2:3" x14ac:dyDescent="0.2">
      <c r="B1953" s="46"/>
      <c r="C1953" s="41"/>
    </row>
    <row r="1954" spans="2:3" x14ac:dyDescent="0.2">
      <c r="B1954" s="46"/>
      <c r="C1954" s="41"/>
    </row>
    <row r="1955" spans="2:3" x14ac:dyDescent="0.2">
      <c r="B1955" s="46"/>
      <c r="C1955" s="41"/>
    </row>
    <row r="1956" spans="2:3" x14ac:dyDescent="0.2">
      <c r="B1956" s="46"/>
      <c r="C1956" s="41"/>
    </row>
    <row r="1957" spans="2:3" x14ac:dyDescent="0.2">
      <c r="B1957" s="46"/>
      <c r="C1957" s="41"/>
    </row>
    <row r="1958" spans="2:3" x14ac:dyDescent="0.2">
      <c r="B1958" s="46"/>
      <c r="C1958" s="41"/>
    </row>
    <row r="1959" spans="2:3" x14ac:dyDescent="0.2">
      <c r="B1959" s="46"/>
      <c r="C1959" s="41"/>
    </row>
    <row r="1960" spans="2:3" x14ac:dyDescent="0.2">
      <c r="B1960" s="46"/>
      <c r="C1960" s="41"/>
    </row>
    <row r="1961" spans="2:3" x14ac:dyDescent="0.2">
      <c r="B1961" s="46"/>
      <c r="C1961" s="41"/>
    </row>
    <row r="1962" spans="2:3" x14ac:dyDescent="0.2">
      <c r="B1962" s="46"/>
      <c r="C1962" s="41"/>
    </row>
    <row r="1963" spans="2:3" x14ac:dyDescent="0.2">
      <c r="B1963" s="46"/>
      <c r="C1963" s="41"/>
    </row>
    <row r="1964" spans="2:3" x14ac:dyDescent="0.2">
      <c r="B1964" s="46"/>
      <c r="C1964" s="41"/>
    </row>
    <row r="1965" spans="2:3" x14ac:dyDescent="0.2">
      <c r="B1965" s="46"/>
      <c r="C1965" s="41"/>
    </row>
    <row r="1966" spans="2:3" x14ac:dyDescent="0.2">
      <c r="B1966" s="46"/>
      <c r="C1966" s="41"/>
    </row>
    <row r="1967" spans="2:3" x14ac:dyDescent="0.2">
      <c r="B1967" s="46"/>
      <c r="C1967" s="41"/>
    </row>
    <row r="1968" spans="2:3" x14ac:dyDescent="0.2">
      <c r="B1968" s="46"/>
      <c r="C1968" s="41"/>
    </row>
    <row r="1969" spans="2:3" x14ac:dyDescent="0.2">
      <c r="B1969" s="46"/>
      <c r="C1969" s="41"/>
    </row>
    <row r="1970" spans="2:3" x14ac:dyDescent="0.2">
      <c r="B1970" s="46"/>
      <c r="C1970" s="41"/>
    </row>
    <row r="1971" spans="2:3" x14ac:dyDescent="0.2">
      <c r="B1971" s="46"/>
      <c r="C1971" s="41"/>
    </row>
    <row r="1972" spans="2:3" x14ac:dyDescent="0.2">
      <c r="B1972" s="46"/>
      <c r="C1972" s="41"/>
    </row>
    <row r="1973" spans="2:3" x14ac:dyDescent="0.2">
      <c r="B1973" s="46"/>
      <c r="C1973" s="41"/>
    </row>
    <row r="1974" spans="2:3" x14ac:dyDescent="0.2">
      <c r="B1974" s="46"/>
      <c r="C1974" s="41"/>
    </row>
    <row r="1975" spans="2:3" x14ac:dyDescent="0.2">
      <c r="B1975" s="46"/>
      <c r="C1975" s="41"/>
    </row>
    <row r="1976" spans="2:3" x14ac:dyDescent="0.2">
      <c r="B1976" s="46"/>
      <c r="C1976" s="41"/>
    </row>
    <row r="1977" spans="2:3" x14ac:dyDescent="0.2">
      <c r="B1977" s="46"/>
      <c r="C1977" s="41"/>
    </row>
    <row r="1978" spans="2:3" x14ac:dyDescent="0.2">
      <c r="B1978" s="46"/>
      <c r="C1978" s="41"/>
    </row>
    <row r="1979" spans="2:3" x14ac:dyDescent="0.2">
      <c r="B1979" s="46"/>
      <c r="C1979" s="41"/>
    </row>
    <row r="1980" spans="2:3" x14ac:dyDescent="0.2">
      <c r="B1980" s="46"/>
      <c r="C1980" s="41"/>
    </row>
    <row r="1981" spans="2:3" x14ac:dyDescent="0.2">
      <c r="B1981" s="46"/>
      <c r="C1981" s="41"/>
    </row>
    <row r="1982" spans="2:3" x14ac:dyDescent="0.2">
      <c r="B1982" s="46"/>
      <c r="C1982" s="41"/>
    </row>
    <row r="1983" spans="2:3" x14ac:dyDescent="0.2">
      <c r="B1983" s="46"/>
      <c r="C1983" s="41"/>
    </row>
    <row r="1984" spans="2:3" x14ac:dyDescent="0.2">
      <c r="B1984" s="46"/>
      <c r="C1984" s="41"/>
    </row>
    <row r="1985" spans="2:3" x14ac:dyDescent="0.2">
      <c r="B1985" s="46"/>
      <c r="C1985" s="41"/>
    </row>
    <row r="1986" spans="2:3" x14ac:dyDescent="0.2">
      <c r="B1986" s="46"/>
      <c r="C1986" s="41"/>
    </row>
    <row r="1987" spans="2:3" x14ac:dyDescent="0.2">
      <c r="B1987" s="46"/>
      <c r="C1987" s="41"/>
    </row>
    <row r="1988" spans="2:3" x14ac:dyDescent="0.2">
      <c r="B1988" s="46"/>
      <c r="C1988" s="41"/>
    </row>
    <row r="1989" spans="2:3" x14ac:dyDescent="0.2">
      <c r="B1989" s="46"/>
      <c r="C1989" s="41"/>
    </row>
    <row r="1990" spans="2:3" x14ac:dyDescent="0.2">
      <c r="B1990" s="46"/>
      <c r="C1990" s="41"/>
    </row>
    <row r="1991" spans="2:3" x14ac:dyDescent="0.2">
      <c r="B1991" s="46"/>
      <c r="C1991" s="41"/>
    </row>
    <row r="1992" spans="2:3" x14ac:dyDescent="0.2">
      <c r="B1992" s="46"/>
      <c r="C1992" s="41"/>
    </row>
    <row r="1993" spans="2:3" x14ac:dyDescent="0.2">
      <c r="B1993" s="46"/>
      <c r="C1993" s="41"/>
    </row>
    <row r="1994" spans="2:3" x14ac:dyDescent="0.2">
      <c r="B1994" s="46"/>
      <c r="C1994" s="41"/>
    </row>
    <row r="1995" spans="2:3" x14ac:dyDescent="0.2">
      <c r="B1995" s="46"/>
      <c r="C1995" s="41"/>
    </row>
    <row r="1996" spans="2:3" x14ac:dyDescent="0.2">
      <c r="B1996" s="46"/>
      <c r="C1996" s="41"/>
    </row>
    <row r="1997" spans="2:3" x14ac:dyDescent="0.2">
      <c r="B1997" s="46"/>
      <c r="C1997" s="41"/>
    </row>
    <row r="1998" spans="2:3" x14ac:dyDescent="0.2">
      <c r="B1998" s="46"/>
      <c r="C1998" s="41"/>
    </row>
    <row r="1999" spans="2:3" x14ac:dyDescent="0.2">
      <c r="B1999" s="46"/>
      <c r="C1999" s="41"/>
    </row>
    <row r="2000" spans="2:3" x14ac:dyDescent="0.2">
      <c r="B2000" s="46"/>
      <c r="C2000" s="41"/>
    </row>
    <row r="2001" spans="2:3" x14ac:dyDescent="0.2">
      <c r="B2001" s="46"/>
      <c r="C2001" s="41"/>
    </row>
    <row r="2002" spans="2:3" x14ac:dyDescent="0.2">
      <c r="B2002" s="46"/>
      <c r="C2002" s="41"/>
    </row>
    <row r="2003" spans="2:3" x14ac:dyDescent="0.2">
      <c r="B2003" s="46"/>
      <c r="C2003" s="41"/>
    </row>
    <row r="2004" spans="2:3" x14ac:dyDescent="0.2">
      <c r="B2004" s="46"/>
      <c r="C2004" s="41"/>
    </row>
    <row r="2005" spans="2:3" x14ac:dyDescent="0.2">
      <c r="B2005" s="46"/>
      <c r="C2005" s="41"/>
    </row>
    <row r="2006" spans="2:3" x14ac:dyDescent="0.2">
      <c r="B2006" s="46"/>
      <c r="C2006" s="41"/>
    </row>
    <row r="2007" spans="2:3" x14ac:dyDescent="0.2">
      <c r="B2007" s="46"/>
      <c r="C2007" s="41"/>
    </row>
    <row r="2008" spans="2:3" x14ac:dyDescent="0.2">
      <c r="B2008" s="46"/>
      <c r="C2008" s="41"/>
    </row>
    <row r="2009" spans="2:3" x14ac:dyDescent="0.2">
      <c r="B2009" s="46"/>
      <c r="C2009" s="41"/>
    </row>
    <row r="2010" spans="2:3" x14ac:dyDescent="0.2">
      <c r="B2010" s="46"/>
      <c r="C2010" s="41"/>
    </row>
    <row r="2011" spans="2:3" x14ac:dyDescent="0.2">
      <c r="B2011" s="46"/>
      <c r="C2011" s="41"/>
    </row>
    <row r="2012" spans="2:3" x14ac:dyDescent="0.2">
      <c r="B2012" s="46"/>
      <c r="C2012" s="41"/>
    </row>
    <row r="2013" spans="2:3" x14ac:dyDescent="0.2">
      <c r="B2013" s="46"/>
      <c r="C2013" s="41"/>
    </row>
    <row r="2014" spans="2:3" x14ac:dyDescent="0.2">
      <c r="B2014" s="46"/>
      <c r="C2014" s="41"/>
    </row>
    <row r="2015" spans="2:3" x14ac:dyDescent="0.2">
      <c r="B2015" s="46"/>
      <c r="C2015" s="41"/>
    </row>
    <row r="2016" spans="2:3" x14ac:dyDescent="0.2">
      <c r="B2016" s="46"/>
      <c r="C2016" s="41"/>
    </row>
    <row r="2017" spans="2:3" x14ac:dyDescent="0.2">
      <c r="B2017" s="46"/>
      <c r="C2017" s="41"/>
    </row>
    <row r="2018" spans="2:3" x14ac:dyDescent="0.2">
      <c r="B2018" s="46"/>
      <c r="C2018" s="41"/>
    </row>
    <row r="2019" spans="2:3" x14ac:dyDescent="0.2">
      <c r="B2019" s="46"/>
      <c r="C2019" s="41"/>
    </row>
    <row r="2020" spans="2:3" x14ac:dyDescent="0.2">
      <c r="B2020" s="46"/>
      <c r="C2020" s="41"/>
    </row>
    <row r="2021" spans="2:3" x14ac:dyDescent="0.2">
      <c r="B2021" s="46"/>
      <c r="C2021" s="41"/>
    </row>
    <row r="2022" spans="2:3" x14ac:dyDescent="0.2">
      <c r="B2022" s="46"/>
      <c r="C2022" s="41"/>
    </row>
    <row r="2023" spans="2:3" x14ac:dyDescent="0.2">
      <c r="B2023" s="46"/>
      <c r="C2023" s="41"/>
    </row>
    <row r="2024" spans="2:3" x14ac:dyDescent="0.2">
      <c r="B2024" s="46"/>
      <c r="C2024" s="41"/>
    </row>
    <row r="2025" spans="2:3" x14ac:dyDescent="0.2">
      <c r="B2025" s="46"/>
      <c r="C2025" s="41"/>
    </row>
    <row r="2026" spans="2:3" x14ac:dyDescent="0.2">
      <c r="B2026" s="46"/>
      <c r="C2026" s="41"/>
    </row>
    <row r="2027" spans="2:3" x14ac:dyDescent="0.2">
      <c r="B2027" s="46"/>
      <c r="C2027" s="41"/>
    </row>
    <row r="2028" spans="2:3" x14ac:dyDescent="0.2">
      <c r="B2028" s="46"/>
      <c r="C2028" s="41"/>
    </row>
    <row r="2029" spans="2:3" x14ac:dyDescent="0.2">
      <c r="B2029" s="46"/>
      <c r="C2029" s="41"/>
    </row>
    <row r="2030" spans="2:3" x14ac:dyDescent="0.2">
      <c r="B2030" s="46"/>
      <c r="C2030" s="41"/>
    </row>
    <row r="2031" spans="2:3" x14ac:dyDescent="0.2">
      <c r="B2031" s="46"/>
      <c r="C2031" s="41"/>
    </row>
    <row r="2032" spans="2:3" x14ac:dyDescent="0.2">
      <c r="B2032" s="46"/>
      <c r="C2032" s="41"/>
    </row>
    <row r="2033" spans="2:3" x14ac:dyDescent="0.2">
      <c r="B2033" s="46"/>
      <c r="C2033" s="41"/>
    </row>
    <row r="2034" spans="2:3" x14ac:dyDescent="0.2">
      <c r="B2034" s="46"/>
      <c r="C2034" s="41"/>
    </row>
    <row r="2035" spans="2:3" x14ac:dyDescent="0.2">
      <c r="B2035" s="46"/>
      <c r="C2035" s="41"/>
    </row>
    <row r="2036" spans="2:3" x14ac:dyDescent="0.2">
      <c r="B2036" s="46"/>
      <c r="C2036" s="41"/>
    </row>
    <row r="2037" spans="2:3" x14ac:dyDescent="0.2">
      <c r="B2037" s="46"/>
      <c r="C2037" s="41"/>
    </row>
    <row r="2038" spans="2:3" x14ac:dyDescent="0.2">
      <c r="B2038" s="46"/>
      <c r="C2038" s="41"/>
    </row>
    <row r="2039" spans="2:3" x14ac:dyDescent="0.2">
      <c r="B2039" s="46"/>
      <c r="C2039" s="41"/>
    </row>
    <row r="2040" spans="2:3" x14ac:dyDescent="0.2">
      <c r="B2040" s="46"/>
      <c r="C2040" s="41"/>
    </row>
    <row r="2041" spans="2:3" x14ac:dyDescent="0.2">
      <c r="B2041" s="46"/>
      <c r="C2041" s="41"/>
    </row>
    <row r="2042" spans="2:3" x14ac:dyDescent="0.2">
      <c r="B2042" s="46"/>
      <c r="C2042" s="41"/>
    </row>
    <row r="2043" spans="2:3" x14ac:dyDescent="0.2">
      <c r="B2043" s="46"/>
      <c r="C2043" s="41"/>
    </row>
    <row r="2044" spans="2:3" x14ac:dyDescent="0.2">
      <c r="B2044" s="46"/>
      <c r="C2044" s="41"/>
    </row>
    <row r="2045" spans="2:3" x14ac:dyDescent="0.2">
      <c r="B2045" s="46"/>
      <c r="C2045" s="41"/>
    </row>
    <row r="2046" spans="2:3" x14ac:dyDescent="0.2">
      <c r="B2046" s="46"/>
      <c r="C2046" s="41"/>
    </row>
    <row r="2047" spans="2:3" x14ac:dyDescent="0.2">
      <c r="B2047" s="46"/>
      <c r="C2047" s="41"/>
    </row>
    <row r="2048" spans="2:3" x14ac:dyDescent="0.2">
      <c r="B2048" s="46"/>
      <c r="C2048" s="41"/>
    </row>
    <row r="2049" spans="2:3" x14ac:dyDescent="0.2">
      <c r="B2049" s="46"/>
      <c r="C2049" s="41"/>
    </row>
    <row r="2050" spans="2:3" x14ac:dyDescent="0.2">
      <c r="B2050" s="46"/>
      <c r="C2050" s="41"/>
    </row>
    <row r="2051" spans="2:3" x14ac:dyDescent="0.2">
      <c r="B2051" s="46"/>
      <c r="C2051" s="41"/>
    </row>
    <row r="2052" spans="2:3" x14ac:dyDescent="0.2">
      <c r="B2052" s="46"/>
      <c r="C2052" s="41"/>
    </row>
    <row r="2053" spans="2:3" x14ac:dyDescent="0.2">
      <c r="B2053" s="46"/>
      <c r="C2053" s="41"/>
    </row>
    <row r="2054" spans="2:3" x14ac:dyDescent="0.2">
      <c r="B2054" s="46"/>
      <c r="C2054" s="41"/>
    </row>
    <row r="2055" spans="2:3" x14ac:dyDescent="0.2">
      <c r="B2055" s="46"/>
      <c r="C2055" s="41"/>
    </row>
    <row r="2056" spans="2:3" x14ac:dyDescent="0.2">
      <c r="B2056" s="46"/>
      <c r="C2056" s="41"/>
    </row>
    <row r="2057" spans="2:3" x14ac:dyDescent="0.2">
      <c r="B2057" s="46"/>
      <c r="C2057" s="41"/>
    </row>
    <row r="2058" spans="2:3" x14ac:dyDescent="0.2">
      <c r="B2058" s="46"/>
      <c r="C2058" s="41"/>
    </row>
    <row r="2059" spans="2:3" x14ac:dyDescent="0.2">
      <c r="B2059" s="46"/>
      <c r="C2059" s="41"/>
    </row>
    <row r="2060" spans="2:3" x14ac:dyDescent="0.2">
      <c r="B2060" s="46"/>
      <c r="C2060" s="41"/>
    </row>
    <row r="2061" spans="2:3" x14ac:dyDescent="0.2">
      <c r="B2061" s="46"/>
      <c r="C2061" s="41"/>
    </row>
    <row r="2062" spans="2:3" x14ac:dyDescent="0.2">
      <c r="B2062" s="46"/>
      <c r="C2062" s="41"/>
    </row>
    <row r="2063" spans="2:3" x14ac:dyDescent="0.2">
      <c r="B2063" s="46"/>
      <c r="C2063" s="41"/>
    </row>
    <row r="2064" spans="2:3" x14ac:dyDescent="0.2">
      <c r="B2064" s="46"/>
      <c r="C2064" s="41"/>
    </row>
    <row r="2065" spans="2:3" x14ac:dyDescent="0.2">
      <c r="B2065" s="46"/>
      <c r="C2065" s="41"/>
    </row>
    <row r="2066" spans="2:3" x14ac:dyDescent="0.2">
      <c r="B2066" s="46"/>
      <c r="C2066" s="41"/>
    </row>
    <row r="2067" spans="2:3" x14ac:dyDescent="0.2">
      <c r="B2067" s="46"/>
      <c r="C2067" s="41"/>
    </row>
    <row r="2068" spans="2:3" x14ac:dyDescent="0.2">
      <c r="B2068" s="46"/>
      <c r="C2068" s="41"/>
    </row>
    <row r="2069" spans="2:3" x14ac:dyDescent="0.2">
      <c r="B2069" s="46"/>
      <c r="C2069" s="41"/>
    </row>
    <row r="2070" spans="2:3" x14ac:dyDescent="0.2">
      <c r="B2070" s="46"/>
      <c r="C2070" s="41"/>
    </row>
    <row r="2071" spans="2:3" x14ac:dyDescent="0.2">
      <c r="B2071" s="46"/>
      <c r="C2071" s="41"/>
    </row>
    <row r="2072" spans="2:3" x14ac:dyDescent="0.2">
      <c r="B2072" s="46"/>
      <c r="C2072" s="41"/>
    </row>
    <row r="2073" spans="2:3" x14ac:dyDescent="0.2">
      <c r="B2073" s="46"/>
      <c r="C2073" s="41"/>
    </row>
    <row r="2074" spans="2:3" x14ac:dyDescent="0.2">
      <c r="B2074" s="46"/>
      <c r="C2074" s="41"/>
    </row>
    <row r="2075" spans="2:3" x14ac:dyDescent="0.2">
      <c r="B2075" s="46"/>
      <c r="C2075" s="41"/>
    </row>
    <row r="2076" spans="2:3" x14ac:dyDescent="0.2">
      <c r="B2076" s="46"/>
      <c r="C2076" s="41"/>
    </row>
    <row r="2077" spans="2:3" x14ac:dyDescent="0.2">
      <c r="B2077" s="46"/>
      <c r="C2077" s="41"/>
    </row>
    <row r="2078" spans="2:3" x14ac:dyDescent="0.2">
      <c r="B2078" s="46"/>
      <c r="C2078" s="41"/>
    </row>
    <row r="2079" spans="2:3" x14ac:dyDescent="0.2">
      <c r="B2079" s="46"/>
      <c r="C2079" s="41"/>
    </row>
    <row r="2080" spans="2:3" x14ac:dyDescent="0.2">
      <c r="B2080" s="46"/>
      <c r="C2080" s="41"/>
    </row>
    <row r="2081" spans="2:3" x14ac:dyDescent="0.2">
      <c r="B2081" s="46"/>
      <c r="C2081" s="41"/>
    </row>
    <row r="2082" spans="2:3" x14ac:dyDescent="0.2">
      <c r="B2082" s="46"/>
      <c r="C2082" s="41"/>
    </row>
    <row r="2083" spans="2:3" x14ac:dyDescent="0.2">
      <c r="B2083" s="46"/>
      <c r="C2083" s="41"/>
    </row>
    <row r="2084" spans="2:3" x14ac:dyDescent="0.2">
      <c r="B2084" s="46"/>
      <c r="C2084" s="41"/>
    </row>
    <row r="2085" spans="2:3" x14ac:dyDescent="0.2">
      <c r="B2085" s="46"/>
      <c r="C2085" s="41"/>
    </row>
    <row r="2086" spans="2:3" x14ac:dyDescent="0.2">
      <c r="B2086" s="46"/>
      <c r="C2086" s="41"/>
    </row>
    <row r="2087" spans="2:3" x14ac:dyDescent="0.2">
      <c r="B2087" s="46"/>
      <c r="C2087" s="41"/>
    </row>
    <row r="2088" spans="2:3" x14ac:dyDescent="0.2">
      <c r="B2088" s="46"/>
      <c r="C2088" s="41"/>
    </row>
    <row r="2089" spans="2:3" x14ac:dyDescent="0.2">
      <c r="B2089" s="46"/>
      <c r="C2089" s="41"/>
    </row>
    <row r="2090" spans="2:3" x14ac:dyDescent="0.2">
      <c r="B2090" s="46"/>
      <c r="C2090" s="41"/>
    </row>
    <row r="2091" spans="2:3" x14ac:dyDescent="0.2">
      <c r="B2091" s="46"/>
      <c r="C2091" s="41"/>
    </row>
    <row r="2092" spans="2:3" x14ac:dyDescent="0.2">
      <c r="B2092" s="46"/>
      <c r="C2092" s="41"/>
    </row>
    <row r="2093" spans="2:3" x14ac:dyDescent="0.2">
      <c r="B2093" s="46"/>
      <c r="C2093" s="41"/>
    </row>
    <row r="2094" spans="2:3" x14ac:dyDescent="0.2">
      <c r="B2094" s="46"/>
      <c r="C2094" s="41"/>
    </row>
    <row r="2095" spans="2:3" x14ac:dyDescent="0.2">
      <c r="B2095" s="46"/>
      <c r="C2095" s="41"/>
    </row>
    <row r="2096" spans="2:3" x14ac:dyDescent="0.2">
      <c r="B2096" s="46"/>
      <c r="C2096" s="41"/>
    </row>
    <row r="2097" spans="2:3" x14ac:dyDescent="0.2">
      <c r="B2097" s="46"/>
      <c r="C2097" s="41"/>
    </row>
    <row r="2098" spans="2:3" x14ac:dyDescent="0.2">
      <c r="B2098" s="46"/>
      <c r="C2098" s="41"/>
    </row>
    <row r="2099" spans="2:3" x14ac:dyDescent="0.2">
      <c r="B2099" s="46"/>
      <c r="C2099" s="41"/>
    </row>
    <row r="2100" spans="2:3" x14ac:dyDescent="0.2">
      <c r="B2100" s="46"/>
      <c r="C2100" s="41"/>
    </row>
    <row r="2101" spans="2:3" x14ac:dyDescent="0.2">
      <c r="B2101" s="46"/>
      <c r="C2101" s="41"/>
    </row>
    <row r="2102" spans="2:3" x14ac:dyDescent="0.2">
      <c r="B2102" s="46"/>
      <c r="C2102" s="41"/>
    </row>
    <row r="2103" spans="2:3" x14ac:dyDescent="0.2">
      <c r="B2103" s="46"/>
      <c r="C2103" s="41"/>
    </row>
    <row r="2104" spans="2:3" x14ac:dyDescent="0.2">
      <c r="B2104" s="46"/>
      <c r="C2104" s="41"/>
    </row>
    <row r="2105" spans="2:3" x14ac:dyDescent="0.2">
      <c r="B2105" s="46"/>
      <c r="C2105" s="41"/>
    </row>
    <row r="2106" spans="2:3" x14ac:dyDescent="0.2">
      <c r="B2106" s="46"/>
      <c r="C2106" s="41"/>
    </row>
    <row r="2107" spans="2:3" x14ac:dyDescent="0.2">
      <c r="B2107" s="46"/>
      <c r="C2107" s="41"/>
    </row>
    <row r="2108" spans="2:3" x14ac:dyDescent="0.2">
      <c r="B2108" s="46"/>
      <c r="C2108" s="41"/>
    </row>
    <row r="2109" spans="2:3" x14ac:dyDescent="0.2">
      <c r="B2109" s="46"/>
      <c r="C2109" s="41"/>
    </row>
    <row r="2110" spans="2:3" x14ac:dyDescent="0.2">
      <c r="B2110" s="46"/>
      <c r="C2110" s="41"/>
    </row>
    <row r="2111" spans="2:3" x14ac:dyDescent="0.2">
      <c r="B2111" s="46"/>
      <c r="C2111" s="41"/>
    </row>
    <row r="2112" spans="2:3" x14ac:dyDescent="0.2">
      <c r="B2112" s="46"/>
      <c r="C2112" s="41"/>
    </row>
    <row r="2113" spans="2:3" x14ac:dyDescent="0.2">
      <c r="B2113" s="46"/>
      <c r="C2113" s="41"/>
    </row>
    <row r="2114" spans="2:3" x14ac:dyDescent="0.2">
      <c r="B2114" s="46"/>
      <c r="C2114" s="41"/>
    </row>
    <row r="2115" spans="2:3" x14ac:dyDescent="0.2">
      <c r="B2115" s="46"/>
      <c r="C2115" s="41"/>
    </row>
    <row r="2116" spans="2:3" x14ac:dyDescent="0.2">
      <c r="B2116" s="46"/>
      <c r="C2116" s="41"/>
    </row>
    <row r="2117" spans="2:3" x14ac:dyDescent="0.2">
      <c r="B2117" s="46"/>
      <c r="C2117" s="41"/>
    </row>
    <row r="2118" spans="2:3" x14ac:dyDescent="0.2">
      <c r="B2118" s="46"/>
      <c r="C2118" s="41"/>
    </row>
    <row r="2119" spans="2:3" x14ac:dyDescent="0.2">
      <c r="B2119" s="46"/>
      <c r="C2119" s="41"/>
    </row>
    <row r="2120" spans="2:3" x14ac:dyDescent="0.2">
      <c r="B2120" s="46"/>
      <c r="C2120" s="41"/>
    </row>
    <row r="2121" spans="2:3" x14ac:dyDescent="0.2">
      <c r="B2121" s="46"/>
      <c r="C2121" s="41"/>
    </row>
    <row r="2122" spans="2:3" x14ac:dyDescent="0.2">
      <c r="B2122" s="46"/>
      <c r="C2122" s="41"/>
    </row>
    <row r="2123" spans="2:3" x14ac:dyDescent="0.2">
      <c r="B2123" s="46"/>
      <c r="C2123" s="41"/>
    </row>
    <row r="2124" spans="2:3" x14ac:dyDescent="0.2">
      <c r="B2124" s="46"/>
      <c r="C2124" s="41"/>
    </row>
    <row r="2125" spans="2:3" x14ac:dyDescent="0.2">
      <c r="B2125" s="46"/>
      <c r="C2125" s="41"/>
    </row>
    <row r="2126" spans="2:3" x14ac:dyDescent="0.2">
      <c r="B2126" s="46"/>
      <c r="C2126" s="41"/>
    </row>
    <row r="2127" spans="2:3" x14ac:dyDescent="0.2">
      <c r="B2127" s="46"/>
      <c r="C2127" s="41"/>
    </row>
    <row r="2128" spans="2:3" x14ac:dyDescent="0.2">
      <c r="B2128" s="46"/>
      <c r="C2128" s="41"/>
    </row>
    <row r="2129" spans="2:3" x14ac:dyDescent="0.2">
      <c r="B2129" s="46"/>
      <c r="C2129" s="41"/>
    </row>
    <row r="2130" spans="2:3" x14ac:dyDescent="0.2">
      <c r="B2130" s="46"/>
      <c r="C2130" s="41"/>
    </row>
    <row r="2131" spans="2:3" x14ac:dyDescent="0.2">
      <c r="B2131" s="46"/>
      <c r="C2131" s="41"/>
    </row>
    <row r="2132" spans="2:3" x14ac:dyDescent="0.2">
      <c r="B2132" s="46"/>
      <c r="C2132" s="41"/>
    </row>
    <row r="2133" spans="2:3" x14ac:dyDescent="0.2">
      <c r="B2133" s="46"/>
      <c r="C2133" s="41"/>
    </row>
    <row r="2134" spans="2:3" x14ac:dyDescent="0.2">
      <c r="B2134" s="46"/>
      <c r="C2134" s="41"/>
    </row>
    <row r="2135" spans="2:3" x14ac:dyDescent="0.2">
      <c r="B2135" s="46"/>
      <c r="C2135" s="41"/>
    </row>
    <row r="2136" spans="2:3" x14ac:dyDescent="0.2">
      <c r="B2136" s="46"/>
      <c r="C2136" s="41"/>
    </row>
    <row r="2137" spans="2:3" x14ac:dyDescent="0.2">
      <c r="B2137" s="46"/>
      <c r="C2137" s="41"/>
    </row>
    <row r="2138" spans="2:3" x14ac:dyDescent="0.2">
      <c r="B2138" s="46"/>
      <c r="C2138" s="41"/>
    </row>
    <row r="2139" spans="2:3" x14ac:dyDescent="0.2">
      <c r="B2139" s="46"/>
      <c r="C2139" s="41"/>
    </row>
    <row r="2140" spans="2:3" x14ac:dyDescent="0.2">
      <c r="B2140" s="46"/>
      <c r="C2140" s="41"/>
    </row>
    <row r="2141" spans="2:3" x14ac:dyDescent="0.2">
      <c r="B2141" s="46"/>
      <c r="C2141" s="41"/>
    </row>
    <row r="2142" spans="2:3" x14ac:dyDescent="0.2">
      <c r="B2142" s="46"/>
      <c r="C2142" s="41"/>
    </row>
    <row r="2143" spans="2:3" x14ac:dyDescent="0.2">
      <c r="B2143" s="46"/>
      <c r="C2143" s="41"/>
    </row>
    <row r="2144" spans="2:3" x14ac:dyDescent="0.2">
      <c r="B2144" s="46"/>
      <c r="C2144" s="41"/>
    </row>
    <row r="2145" spans="2:3" x14ac:dyDescent="0.2">
      <c r="B2145" s="46"/>
      <c r="C2145" s="41"/>
    </row>
    <row r="2146" spans="2:3" x14ac:dyDescent="0.2">
      <c r="B2146" s="46"/>
      <c r="C2146" s="41"/>
    </row>
    <row r="2147" spans="2:3" x14ac:dyDescent="0.2">
      <c r="B2147" s="46"/>
      <c r="C2147" s="41"/>
    </row>
    <row r="2148" spans="2:3" x14ac:dyDescent="0.2">
      <c r="B2148" s="46"/>
      <c r="C2148" s="41"/>
    </row>
    <row r="2149" spans="2:3" x14ac:dyDescent="0.2">
      <c r="B2149" s="46"/>
      <c r="C2149" s="41"/>
    </row>
    <row r="2150" spans="2:3" x14ac:dyDescent="0.2">
      <c r="B2150" s="46"/>
      <c r="C2150" s="41"/>
    </row>
    <row r="2151" spans="2:3" x14ac:dyDescent="0.2">
      <c r="B2151" s="46"/>
      <c r="C2151" s="41"/>
    </row>
    <row r="2152" spans="2:3" x14ac:dyDescent="0.2">
      <c r="B2152" s="46"/>
      <c r="C2152" s="41"/>
    </row>
    <row r="2153" spans="2:3" x14ac:dyDescent="0.2">
      <c r="B2153" s="46"/>
      <c r="C2153" s="41"/>
    </row>
    <row r="2154" spans="2:3" x14ac:dyDescent="0.2">
      <c r="B2154" s="46"/>
      <c r="C2154" s="41"/>
    </row>
    <row r="2155" spans="2:3" x14ac:dyDescent="0.2">
      <c r="B2155" s="46"/>
      <c r="C2155" s="41"/>
    </row>
    <row r="2156" spans="2:3" x14ac:dyDescent="0.2">
      <c r="B2156" s="46"/>
      <c r="C2156" s="41"/>
    </row>
    <row r="2157" spans="2:3" x14ac:dyDescent="0.2">
      <c r="B2157" s="46"/>
      <c r="C2157" s="41"/>
    </row>
    <row r="2158" spans="2:3" x14ac:dyDescent="0.2">
      <c r="B2158" s="46"/>
      <c r="C2158" s="41"/>
    </row>
    <row r="2159" spans="2:3" x14ac:dyDescent="0.2">
      <c r="B2159" s="46"/>
      <c r="C2159" s="41"/>
    </row>
    <row r="2160" spans="2:3" x14ac:dyDescent="0.2">
      <c r="B2160" s="46"/>
      <c r="C2160" s="41"/>
    </row>
    <row r="2161" spans="2:3" x14ac:dyDescent="0.2">
      <c r="B2161" s="46"/>
      <c r="C2161" s="41"/>
    </row>
    <row r="2162" spans="2:3" x14ac:dyDescent="0.2">
      <c r="B2162" s="46"/>
      <c r="C2162" s="41"/>
    </row>
    <row r="2163" spans="2:3" x14ac:dyDescent="0.2">
      <c r="B2163" s="46"/>
      <c r="C2163" s="41"/>
    </row>
    <row r="2164" spans="2:3" x14ac:dyDescent="0.2">
      <c r="B2164" s="46"/>
      <c r="C2164" s="41"/>
    </row>
    <row r="2165" spans="2:3" x14ac:dyDescent="0.2">
      <c r="B2165" s="46"/>
      <c r="C2165" s="41"/>
    </row>
    <row r="2166" spans="2:3" x14ac:dyDescent="0.2">
      <c r="B2166" s="46"/>
      <c r="C2166" s="41"/>
    </row>
    <row r="2167" spans="2:3" x14ac:dyDescent="0.2">
      <c r="B2167" s="46"/>
      <c r="C2167" s="41"/>
    </row>
    <row r="2168" spans="2:3" x14ac:dyDescent="0.2">
      <c r="B2168" s="46"/>
      <c r="C2168" s="41"/>
    </row>
    <row r="2169" spans="2:3" x14ac:dyDescent="0.2">
      <c r="B2169" s="46"/>
      <c r="C2169" s="41"/>
    </row>
    <row r="2170" spans="2:3" x14ac:dyDescent="0.2">
      <c r="B2170" s="46"/>
      <c r="C2170" s="41"/>
    </row>
    <row r="2171" spans="2:3" x14ac:dyDescent="0.2">
      <c r="B2171" s="46"/>
      <c r="C2171" s="41"/>
    </row>
    <row r="2172" spans="2:3" x14ac:dyDescent="0.2">
      <c r="B2172" s="46"/>
      <c r="C2172" s="41"/>
    </row>
    <row r="2173" spans="2:3" x14ac:dyDescent="0.2">
      <c r="B2173" s="46"/>
      <c r="C2173" s="41"/>
    </row>
    <row r="2174" spans="2:3" x14ac:dyDescent="0.2">
      <c r="B2174" s="46"/>
      <c r="C2174" s="41"/>
    </row>
    <row r="2175" spans="2:3" x14ac:dyDescent="0.2">
      <c r="B2175" s="46"/>
      <c r="C2175" s="41"/>
    </row>
    <row r="2176" spans="2:3" x14ac:dyDescent="0.2">
      <c r="B2176" s="46"/>
      <c r="C2176" s="41"/>
    </row>
    <row r="2177" spans="2:3" x14ac:dyDescent="0.2">
      <c r="B2177" s="46"/>
      <c r="C2177" s="41"/>
    </row>
    <row r="2178" spans="2:3" x14ac:dyDescent="0.2">
      <c r="B2178" s="46"/>
      <c r="C2178" s="41"/>
    </row>
    <row r="2179" spans="2:3" x14ac:dyDescent="0.2">
      <c r="B2179" s="46"/>
      <c r="C2179" s="41"/>
    </row>
    <row r="2180" spans="2:3" x14ac:dyDescent="0.2">
      <c r="B2180" s="46"/>
      <c r="C2180" s="41"/>
    </row>
    <row r="2181" spans="2:3" x14ac:dyDescent="0.2">
      <c r="B2181" s="46"/>
      <c r="C2181" s="41"/>
    </row>
    <row r="2182" spans="2:3" x14ac:dyDescent="0.2">
      <c r="B2182" s="46"/>
      <c r="C2182" s="41"/>
    </row>
    <row r="2183" spans="2:3" x14ac:dyDescent="0.2">
      <c r="B2183" s="46"/>
      <c r="C2183" s="41"/>
    </row>
    <row r="2184" spans="2:3" x14ac:dyDescent="0.2">
      <c r="B2184" s="46"/>
      <c r="C2184" s="41"/>
    </row>
    <row r="2185" spans="2:3" x14ac:dyDescent="0.2">
      <c r="B2185" s="46"/>
      <c r="C2185" s="41"/>
    </row>
    <row r="2186" spans="2:3" x14ac:dyDescent="0.2">
      <c r="B2186" s="46"/>
      <c r="C2186" s="41"/>
    </row>
    <row r="2187" spans="2:3" x14ac:dyDescent="0.2">
      <c r="B2187" s="46"/>
      <c r="C2187" s="41"/>
    </row>
    <row r="2188" spans="2:3" x14ac:dyDescent="0.2">
      <c r="B2188" s="46"/>
      <c r="C2188" s="41"/>
    </row>
    <row r="2189" spans="2:3" x14ac:dyDescent="0.2">
      <c r="B2189" s="46"/>
      <c r="C2189" s="41"/>
    </row>
    <row r="2190" spans="2:3" x14ac:dyDescent="0.2">
      <c r="B2190" s="46"/>
      <c r="C2190" s="41"/>
    </row>
    <row r="2191" spans="2:3" x14ac:dyDescent="0.2">
      <c r="B2191" s="46"/>
      <c r="C2191" s="41"/>
    </row>
    <row r="2192" spans="2:3" x14ac:dyDescent="0.2">
      <c r="B2192" s="46"/>
      <c r="C2192" s="41"/>
    </row>
    <row r="2193" spans="2:3" x14ac:dyDescent="0.2">
      <c r="B2193" s="46"/>
      <c r="C2193" s="41"/>
    </row>
    <row r="2194" spans="2:3" x14ac:dyDescent="0.2">
      <c r="B2194" s="46"/>
      <c r="C2194" s="41"/>
    </row>
    <row r="2195" spans="2:3" x14ac:dyDescent="0.2">
      <c r="B2195" s="46"/>
      <c r="C2195" s="41"/>
    </row>
    <row r="2196" spans="2:3" x14ac:dyDescent="0.2">
      <c r="B2196" s="46"/>
      <c r="C2196" s="41"/>
    </row>
    <row r="2197" spans="2:3" x14ac:dyDescent="0.2">
      <c r="B2197" s="46"/>
      <c r="C2197" s="41"/>
    </row>
    <row r="2198" spans="2:3" x14ac:dyDescent="0.2">
      <c r="B2198" s="46"/>
      <c r="C2198" s="41"/>
    </row>
    <row r="2199" spans="2:3" x14ac:dyDescent="0.2">
      <c r="B2199" s="46"/>
      <c r="C2199" s="41"/>
    </row>
    <row r="2200" spans="2:3" x14ac:dyDescent="0.2">
      <c r="B2200" s="46"/>
      <c r="C2200" s="41"/>
    </row>
    <row r="2201" spans="2:3" x14ac:dyDescent="0.2">
      <c r="B2201" s="46"/>
      <c r="C2201" s="41"/>
    </row>
    <row r="2202" spans="2:3" x14ac:dyDescent="0.2">
      <c r="B2202" s="46"/>
      <c r="C2202" s="41"/>
    </row>
    <row r="2203" spans="2:3" x14ac:dyDescent="0.2">
      <c r="B2203" s="46"/>
      <c r="C2203" s="41"/>
    </row>
    <row r="2204" spans="2:3" x14ac:dyDescent="0.2">
      <c r="B2204" s="46"/>
      <c r="C2204" s="41"/>
    </row>
    <row r="2205" spans="2:3" x14ac:dyDescent="0.2">
      <c r="B2205" s="46"/>
      <c r="C2205" s="41"/>
    </row>
    <row r="2206" spans="2:3" x14ac:dyDescent="0.2">
      <c r="B2206" s="46"/>
      <c r="C2206" s="41"/>
    </row>
    <row r="2207" spans="2:3" x14ac:dyDescent="0.2">
      <c r="B2207" s="46"/>
      <c r="C2207" s="41"/>
    </row>
    <row r="2208" spans="2:3" x14ac:dyDescent="0.2">
      <c r="B2208" s="46"/>
      <c r="C2208" s="41"/>
    </row>
    <row r="2209" spans="2:3" x14ac:dyDescent="0.2">
      <c r="B2209" s="46"/>
      <c r="C2209" s="41"/>
    </row>
    <row r="2210" spans="2:3" x14ac:dyDescent="0.2">
      <c r="B2210" s="46"/>
      <c r="C2210" s="41"/>
    </row>
    <row r="2211" spans="2:3" x14ac:dyDescent="0.2">
      <c r="B2211" s="46"/>
      <c r="C2211" s="41"/>
    </row>
    <row r="2212" spans="2:3" x14ac:dyDescent="0.2">
      <c r="B2212" s="46"/>
      <c r="C2212" s="41"/>
    </row>
    <row r="2213" spans="2:3" x14ac:dyDescent="0.2">
      <c r="B2213" s="46"/>
      <c r="C2213" s="41"/>
    </row>
    <row r="2214" spans="2:3" x14ac:dyDescent="0.2">
      <c r="B2214" s="46"/>
      <c r="C2214" s="41"/>
    </row>
    <row r="2215" spans="2:3" x14ac:dyDescent="0.2">
      <c r="B2215" s="46"/>
      <c r="C2215" s="41"/>
    </row>
    <row r="2216" spans="2:3" x14ac:dyDescent="0.2">
      <c r="B2216" s="46"/>
      <c r="C2216" s="41"/>
    </row>
    <row r="2217" spans="2:3" x14ac:dyDescent="0.2">
      <c r="B2217" s="46"/>
      <c r="C2217" s="41"/>
    </row>
    <row r="2218" spans="2:3" x14ac:dyDescent="0.2">
      <c r="B2218" s="46"/>
      <c r="C2218" s="41"/>
    </row>
    <row r="2219" spans="2:3" x14ac:dyDescent="0.2">
      <c r="B2219" s="46"/>
      <c r="C2219" s="41"/>
    </row>
    <row r="2220" spans="2:3" x14ac:dyDescent="0.2">
      <c r="B2220" s="46"/>
      <c r="C2220" s="41"/>
    </row>
    <row r="2221" spans="2:3" x14ac:dyDescent="0.2">
      <c r="B2221" s="46"/>
      <c r="C2221" s="41"/>
    </row>
    <row r="2222" spans="2:3" x14ac:dyDescent="0.2">
      <c r="B2222" s="46"/>
      <c r="C2222" s="41"/>
    </row>
    <row r="2223" spans="2:3" x14ac:dyDescent="0.2">
      <c r="B2223" s="46"/>
      <c r="C2223" s="41"/>
    </row>
    <row r="2224" spans="2:3" x14ac:dyDescent="0.2">
      <c r="B2224" s="46"/>
      <c r="C2224" s="41"/>
    </row>
    <row r="2225" spans="2:3" x14ac:dyDescent="0.2">
      <c r="B2225" s="46"/>
      <c r="C2225" s="41"/>
    </row>
    <row r="2226" spans="2:3" x14ac:dyDescent="0.2">
      <c r="B2226" s="46"/>
      <c r="C2226" s="41"/>
    </row>
    <row r="2227" spans="2:3" x14ac:dyDescent="0.2">
      <c r="B2227" s="46"/>
      <c r="C2227" s="41"/>
    </row>
    <row r="2228" spans="2:3" x14ac:dyDescent="0.2">
      <c r="B2228" s="46"/>
      <c r="C2228" s="41"/>
    </row>
    <row r="2229" spans="2:3" x14ac:dyDescent="0.2">
      <c r="B2229" s="46"/>
      <c r="C2229" s="41"/>
    </row>
    <row r="2230" spans="2:3" x14ac:dyDescent="0.2">
      <c r="B2230" s="46"/>
      <c r="C2230" s="41"/>
    </row>
    <row r="2231" spans="2:3" x14ac:dyDescent="0.2">
      <c r="B2231" s="46"/>
      <c r="C2231" s="41"/>
    </row>
    <row r="2232" spans="2:3" x14ac:dyDescent="0.2">
      <c r="B2232" s="46"/>
      <c r="C2232" s="41"/>
    </row>
    <row r="2233" spans="2:3" x14ac:dyDescent="0.2">
      <c r="B2233" s="46"/>
      <c r="C2233" s="41"/>
    </row>
    <row r="2234" spans="2:3" x14ac:dyDescent="0.2">
      <c r="B2234" s="46"/>
      <c r="C2234" s="41"/>
    </row>
    <row r="2235" spans="2:3" x14ac:dyDescent="0.2">
      <c r="B2235" s="46"/>
      <c r="C2235" s="41"/>
    </row>
    <row r="2236" spans="2:3" x14ac:dyDescent="0.2">
      <c r="B2236" s="46"/>
      <c r="C2236" s="41"/>
    </row>
    <row r="2237" spans="2:3" x14ac:dyDescent="0.2">
      <c r="B2237" s="46"/>
      <c r="C2237" s="41"/>
    </row>
    <row r="2238" spans="2:3" x14ac:dyDescent="0.2">
      <c r="B2238" s="46"/>
      <c r="C2238" s="41"/>
    </row>
    <row r="2239" spans="2:3" x14ac:dyDescent="0.2">
      <c r="B2239" s="46"/>
      <c r="C2239" s="41"/>
    </row>
    <row r="2240" spans="2:3" x14ac:dyDescent="0.2">
      <c r="B2240" s="46"/>
      <c r="C2240" s="41"/>
    </row>
    <row r="2241" spans="2:3" x14ac:dyDescent="0.2">
      <c r="B2241" s="46"/>
      <c r="C2241" s="41"/>
    </row>
    <row r="2242" spans="2:3" x14ac:dyDescent="0.2">
      <c r="B2242" s="46"/>
      <c r="C2242" s="41"/>
    </row>
    <row r="2243" spans="2:3" x14ac:dyDescent="0.2">
      <c r="B2243" s="46"/>
      <c r="C2243" s="41"/>
    </row>
    <row r="2244" spans="2:3" x14ac:dyDescent="0.2">
      <c r="B2244" s="46"/>
      <c r="C2244" s="41"/>
    </row>
    <row r="2245" spans="2:3" x14ac:dyDescent="0.2">
      <c r="B2245" s="46"/>
      <c r="C2245" s="41"/>
    </row>
    <row r="2246" spans="2:3" x14ac:dyDescent="0.2">
      <c r="B2246" s="46"/>
      <c r="C2246" s="41"/>
    </row>
    <row r="2247" spans="2:3" x14ac:dyDescent="0.2">
      <c r="B2247" s="46"/>
      <c r="C2247" s="41"/>
    </row>
    <row r="2248" spans="2:3" x14ac:dyDescent="0.2">
      <c r="B2248" s="46"/>
      <c r="C2248" s="41"/>
    </row>
    <row r="2249" spans="2:3" x14ac:dyDescent="0.2">
      <c r="B2249" s="46"/>
      <c r="C2249" s="41"/>
    </row>
    <row r="2250" spans="2:3" x14ac:dyDescent="0.2">
      <c r="B2250" s="46"/>
      <c r="C2250" s="41"/>
    </row>
    <row r="2251" spans="2:3" x14ac:dyDescent="0.2">
      <c r="B2251" s="46"/>
      <c r="C2251" s="41"/>
    </row>
    <row r="2252" spans="2:3" x14ac:dyDescent="0.2">
      <c r="B2252" s="46"/>
      <c r="C2252" s="41"/>
    </row>
    <row r="2253" spans="2:3" x14ac:dyDescent="0.2">
      <c r="B2253" s="46"/>
      <c r="C2253" s="41"/>
    </row>
    <row r="2254" spans="2:3" x14ac:dyDescent="0.2">
      <c r="B2254" s="46"/>
      <c r="C2254" s="41"/>
    </row>
    <row r="2255" spans="2:3" x14ac:dyDescent="0.2">
      <c r="B2255" s="46"/>
      <c r="C2255" s="41"/>
    </row>
    <row r="2256" spans="2:3" x14ac:dyDescent="0.2">
      <c r="B2256" s="46"/>
      <c r="C2256" s="41"/>
    </row>
    <row r="2257" spans="2:3" x14ac:dyDescent="0.2">
      <c r="B2257" s="46"/>
      <c r="C2257" s="41"/>
    </row>
    <row r="2258" spans="2:3" x14ac:dyDescent="0.2">
      <c r="B2258" s="46"/>
      <c r="C2258" s="41"/>
    </row>
    <row r="2259" spans="2:3" x14ac:dyDescent="0.2">
      <c r="B2259" s="46"/>
      <c r="C2259" s="41"/>
    </row>
    <row r="2260" spans="2:3" x14ac:dyDescent="0.2">
      <c r="B2260" s="46"/>
      <c r="C2260" s="41"/>
    </row>
    <row r="2261" spans="2:3" x14ac:dyDescent="0.2">
      <c r="B2261" s="46"/>
      <c r="C2261" s="41"/>
    </row>
    <row r="2262" spans="2:3" x14ac:dyDescent="0.2">
      <c r="B2262" s="46"/>
      <c r="C2262" s="41"/>
    </row>
    <row r="2263" spans="2:3" x14ac:dyDescent="0.2">
      <c r="B2263" s="46"/>
      <c r="C2263" s="41"/>
    </row>
    <row r="2264" spans="2:3" x14ac:dyDescent="0.2">
      <c r="B2264" s="46"/>
      <c r="C2264" s="41"/>
    </row>
    <row r="2265" spans="2:3" x14ac:dyDescent="0.2">
      <c r="B2265" s="46"/>
      <c r="C2265" s="41"/>
    </row>
    <row r="2266" spans="2:3" x14ac:dyDescent="0.2">
      <c r="B2266" s="46"/>
      <c r="C2266" s="41"/>
    </row>
    <row r="2267" spans="2:3" x14ac:dyDescent="0.2">
      <c r="B2267" s="46"/>
      <c r="C2267" s="41"/>
    </row>
    <row r="2268" spans="2:3" x14ac:dyDescent="0.2">
      <c r="B2268" s="46"/>
      <c r="C2268" s="41"/>
    </row>
    <row r="2269" spans="2:3" x14ac:dyDescent="0.2">
      <c r="B2269" s="46"/>
      <c r="C2269" s="41"/>
    </row>
    <row r="2270" spans="2:3" x14ac:dyDescent="0.2">
      <c r="B2270" s="46"/>
      <c r="C2270" s="41"/>
    </row>
    <row r="2271" spans="2:3" x14ac:dyDescent="0.2">
      <c r="B2271" s="46"/>
      <c r="C2271" s="41"/>
    </row>
    <row r="2272" spans="2:3" x14ac:dyDescent="0.2">
      <c r="B2272" s="46"/>
      <c r="C2272" s="41"/>
    </row>
    <row r="2273" spans="2:3" x14ac:dyDescent="0.2">
      <c r="B2273" s="46"/>
      <c r="C2273" s="41"/>
    </row>
    <row r="2274" spans="2:3" x14ac:dyDescent="0.2">
      <c r="B2274" s="46"/>
      <c r="C2274" s="41"/>
    </row>
    <row r="2275" spans="2:3" x14ac:dyDescent="0.2">
      <c r="B2275" s="46"/>
      <c r="C2275" s="41"/>
    </row>
    <row r="2276" spans="2:3" x14ac:dyDescent="0.2">
      <c r="B2276" s="46"/>
      <c r="C2276" s="41"/>
    </row>
    <row r="2277" spans="2:3" x14ac:dyDescent="0.2">
      <c r="B2277" s="46"/>
      <c r="C2277" s="41"/>
    </row>
    <row r="2278" spans="2:3" x14ac:dyDescent="0.2">
      <c r="B2278" s="46"/>
      <c r="C2278" s="41"/>
    </row>
    <row r="2279" spans="2:3" x14ac:dyDescent="0.2">
      <c r="B2279" s="46"/>
      <c r="C2279" s="41"/>
    </row>
    <row r="2280" spans="2:3" x14ac:dyDescent="0.2">
      <c r="B2280" s="46"/>
      <c r="C2280" s="41"/>
    </row>
    <row r="2281" spans="2:3" x14ac:dyDescent="0.2">
      <c r="B2281" s="46"/>
      <c r="C2281" s="41"/>
    </row>
    <row r="2282" spans="2:3" x14ac:dyDescent="0.2">
      <c r="B2282" s="46"/>
      <c r="C2282" s="41"/>
    </row>
    <row r="2283" spans="2:3" x14ac:dyDescent="0.2">
      <c r="B2283" s="46"/>
      <c r="C2283" s="41"/>
    </row>
    <row r="2284" spans="2:3" x14ac:dyDescent="0.2">
      <c r="B2284" s="46"/>
      <c r="C2284" s="41"/>
    </row>
    <row r="2285" spans="2:3" x14ac:dyDescent="0.2">
      <c r="B2285" s="46"/>
      <c r="C2285" s="41"/>
    </row>
    <row r="2286" spans="2:3" x14ac:dyDescent="0.2">
      <c r="B2286" s="46"/>
      <c r="C2286" s="41"/>
    </row>
    <row r="2287" spans="2:3" x14ac:dyDescent="0.2">
      <c r="B2287" s="46"/>
      <c r="C2287" s="41"/>
    </row>
    <row r="2288" spans="2:3" x14ac:dyDescent="0.2">
      <c r="B2288" s="46"/>
      <c r="C2288" s="41"/>
    </row>
    <row r="2289" spans="2:3" x14ac:dyDescent="0.2">
      <c r="B2289" s="46"/>
      <c r="C2289" s="41"/>
    </row>
    <row r="2290" spans="2:3" x14ac:dyDescent="0.2">
      <c r="B2290" s="46"/>
      <c r="C2290" s="41"/>
    </row>
    <row r="2291" spans="2:3" x14ac:dyDescent="0.2">
      <c r="B2291" s="46"/>
      <c r="C2291" s="41"/>
    </row>
    <row r="2292" spans="2:3" x14ac:dyDescent="0.2">
      <c r="B2292" s="46"/>
      <c r="C2292" s="41"/>
    </row>
    <row r="2293" spans="2:3" x14ac:dyDescent="0.2">
      <c r="B2293" s="46"/>
      <c r="C2293" s="41"/>
    </row>
    <row r="2294" spans="2:3" x14ac:dyDescent="0.2">
      <c r="B2294" s="46"/>
      <c r="C2294" s="41"/>
    </row>
    <row r="2295" spans="2:3" x14ac:dyDescent="0.2">
      <c r="B2295" s="46"/>
      <c r="C2295" s="41"/>
    </row>
    <row r="2296" spans="2:3" x14ac:dyDescent="0.2">
      <c r="B2296" s="46"/>
      <c r="C2296" s="41"/>
    </row>
    <row r="2297" spans="2:3" x14ac:dyDescent="0.2">
      <c r="B2297" s="46"/>
      <c r="C2297" s="41"/>
    </row>
    <row r="2298" spans="2:3" x14ac:dyDescent="0.2">
      <c r="B2298" s="46"/>
      <c r="C2298" s="41"/>
    </row>
    <row r="2299" spans="2:3" x14ac:dyDescent="0.2">
      <c r="B2299" s="46"/>
      <c r="C2299" s="41"/>
    </row>
    <row r="2300" spans="2:3" x14ac:dyDescent="0.2">
      <c r="B2300" s="46"/>
      <c r="C2300" s="41"/>
    </row>
    <row r="2301" spans="2:3" x14ac:dyDescent="0.2">
      <c r="B2301" s="46"/>
      <c r="C2301" s="41"/>
    </row>
    <row r="2302" spans="2:3" x14ac:dyDescent="0.2">
      <c r="B2302" s="46"/>
      <c r="C2302" s="41"/>
    </row>
    <row r="2303" spans="2:3" x14ac:dyDescent="0.2">
      <c r="B2303" s="46"/>
      <c r="C2303" s="41"/>
    </row>
    <row r="2304" spans="2:3" x14ac:dyDescent="0.2">
      <c r="B2304" s="46"/>
      <c r="C2304" s="41"/>
    </row>
    <row r="2305" spans="2:3" x14ac:dyDescent="0.2">
      <c r="B2305" s="46"/>
      <c r="C2305" s="41"/>
    </row>
    <row r="2306" spans="2:3" x14ac:dyDescent="0.2">
      <c r="B2306" s="46"/>
      <c r="C2306" s="41"/>
    </row>
    <row r="2307" spans="2:3" x14ac:dyDescent="0.2">
      <c r="B2307" s="46"/>
      <c r="C2307" s="41"/>
    </row>
    <row r="2308" spans="2:3" x14ac:dyDescent="0.2">
      <c r="B2308" s="46"/>
      <c r="C2308" s="41"/>
    </row>
    <row r="2309" spans="2:3" x14ac:dyDescent="0.2">
      <c r="B2309" s="46"/>
      <c r="C2309" s="41"/>
    </row>
    <row r="2310" spans="2:3" x14ac:dyDescent="0.2">
      <c r="B2310" s="46"/>
      <c r="C2310" s="41"/>
    </row>
    <row r="2311" spans="2:3" x14ac:dyDescent="0.2">
      <c r="B2311" s="46"/>
      <c r="C2311" s="41"/>
    </row>
    <row r="2312" spans="2:3" x14ac:dyDescent="0.2">
      <c r="B2312" s="46"/>
      <c r="C2312" s="41"/>
    </row>
    <row r="2313" spans="2:3" x14ac:dyDescent="0.2">
      <c r="B2313" s="46"/>
      <c r="C2313" s="41"/>
    </row>
    <row r="2314" spans="2:3" x14ac:dyDescent="0.2">
      <c r="B2314" s="46"/>
      <c r="C2314" s="41"/>
    </row>
    <row r="2315" spans="2:3" x14ac:dyDescent="0.2">
      <c r="B2315" s="46"/>
      <c r="C2315" s="41"/>
    </row>
    <row r="2316" spans="2:3" x14ac:dyDescent="0.2">
      <c r="B2316" s="46"/>
      <c r="C2316" s="41"/>
    </row>
    <row r="2317" spans="2:3" x14ac:dyDescent="0.2">
      <c r="B2317" s="46"/>
      <c r="C2317" s="41"/>
    </row>
    <row r="2318" spans="2:3" x14ac:dyDescent="0.2">
      <c r="B2318" s="46"/>
      <c r="C2318" s="41"/>
    </row>
    <row r="2319" spans="2:3" x14ac:dyDescent="0.2">
      <c r="B2319" s="46"/>
      <c r="C2319" s="41"/>
    </row>
    <row r="2320" spans="2:3" x14ac:dyDescent="0.2">
      <c r="B2320" s="46"/>
      <c r="C2320" s="41"/>
    </row>
    <row r="2321" spans="2:3" x14ac:dyDescent="0.2">
      <c r="B2321" s="46"/>
      <c r="C2321" s="41"/>
    </row>
    <row r="2322" spans="2:3" x14ac:dyDescent="0.2">
      <c r="B2322" s="46"/>
      <c r="C2322" s="41"/>
    </row>
    <row r="2323" spans="2:3" x14ac:dyDescent="0.2">
      <c r="B2323" s="46"/>
      <c r="C2323" s="41"/>
    </row>
    <row r="2324" spans="2:3" x14ac:dyDescent="0.2">
      <c r="B2324" s="46"/>
      <c r="C2324" s="41"/>
    </row>
    <row r="2325" spans="2:3" x14ac:dyDescent="0.2">
      <c r="B2325" s="46"/>
      <c r="C2325" s="41"/>
    </row>
    <row r="2326" spans="2:3" x14ac:dyDescent="0.2">
      <c r="B2326" s="46"/>
      <c r="C2326" s="41"/>
    </row>
    <row r="2327" spans="2:3" x14ac:dyDescent="0.2">
      <c r="B2327" s="46"/>
      <c r="C2327" s="41"/>
    </row>
    <row r="2328" spans="2:3" x14ac:dyDescent="0.2">
      <c r="B2328" s="46"/>
      <c r="C2328" s="41"/>
    </row>
    <row r="2329" spans="2:3" x14ac:dyDescent="0.2">
      <c r="B2329" s="46"/>
      <c r="C2329" s="41"/>
    </row>
    <row r="2330" spans="2:3" x14ac:dyDescent="0.2">
      <c r="B2330" s="46"/>
      <c r="C2330" s="41"/>
    </row>
    <row r="2331" spans="2:3" x14ac:dyDescent="0.2">
      <c r="B2331" s="46"/>
      <c r="C2331" s="41"/>
    </row>
    <row r="2332" spans="2:3" x14ac:dyDescent="0.2">
      <c r="B2332" s="46"/>
      <c r="C2332" s="41"/>
    </row>
    <row r="2333" spans="2:3" x14ac:dyDescent="0.2">
      <c r="B2333" s="46"/>
      <c r="C2333" s="41"/>
    </row>
    <row r="2334" spans="2:3" x14ac:dyDescent="0.2">
      <c r="B2334" s="46"/>
      <c r="C2334" s="41"/>
    </row>
    <row r="2335" spans="2:3" x14ac:dyDescent="0.2">
      <c r="B2335" s="46"/>
      <c r="C2335" s="41"/>
    </row>
    <row r="2336" spans="2:3" x14ac:dyDescent="0.2">
      <c r="B2336" s="46"/>
      <c r="C2336" s="41"/>
    </row>
    <row r="2337" spans="2:3" x14ac:dyDescent="0.2">
      <c r="B2337" s="46"/>
      <c r="C2337" s="41"/>
    </row>
    <row r="2338" spans="2:3" x14ac:dyDescent="0.2">
      <c r="B2338" s="46"/>
      <c r="C2338" s="41"/>
    </row>
    <row r="2339" spans="2:3" x14ac:dyDescent="0.2">
      <c r="B2339" s="46"/>
      <c r="C2339" s="41"/>
    </row>
    <row r="2340" spans="2:3" x14ac:dyDescent="0.2">
      <c r="B2340" s="46"/>
      <c r="C2340" s="41"/>
    </row>
    <row r="2341" spans="2:3" x14ac:dyDescent="0.2">
      <c r="B2341" s="46"/>
      <c r="C2341" s="41"/>
    </row>
    <row r="2342" spans="2:3" x14ac:dyDescent="0.2">
      <c r="B2342" s="46"/>
      <c r="C2342" s="41"/>
    </row>
    <row r="2343" spans="2:3" x14ac:dyDescent="0.2">
      <c r="B2343" s="46"/>
      <c r="C2343" s="41"/>
    </row>
    <row r="2344" spans="2:3" x14ac:dyDescent="0.2">
      <c r="B2344" s="46"/>
      <c r="C2344" s="41"/>
    </row>
    <row r="2345" spans="2:3" x14ac:dyDescent="0.2">
      <c r="B2345" s="46"/>
      <c r="C2345" s="41"/>
    </row>
    <row r="2346" spans="2:3" x14ac:dyDescent="0.2">
      <c r="B2346" s="46"/>
      <c r="C2346" s="41"/>
    </row>
    <row r="2347" spans="2:3" x14ac:dyDescent="0.2">
      <c r="B2347" s="46"/>
      <c r="C2347" s="41"/>
    </row>
    <row r="2348" spans="2:3" x14ac:dyDescent="0.2">
      <c r="B2348" s="46"/>
      <c r="C2348" s="41"/>
    </row>
    <row r="2349" spans="2:3" x14ac:dyDescent="0.2">
      <c r="B2349" s="46"/>
      <c r="C2349" s="41"/>
    </row>
    <row r="2350" spans="2:3" x14ac:dyDescent="0.2">
      <c r="B2350" s="46"/>
      <c r="C2350" s="41"/>
    </row>
    <row r="2351" spans="2:3" x14ac:dyDescent="0.2">
      <c r="B2351" s="46"/>
      <c r="C2351" s="41"/>
    </row>
    <row r="2352" spans="2:3" x14ac:dyDescent="0.2">
      <c r="B2352" s="46"/>
      <c r="C2352" s="41"/>
    </row>
    <row r="2353" spans="2:3" x14ac:dyDescent="0.2">
      <c r="B2353" s="46"/>
      <c r="C2353" s="41"/>
    </row>
    <row r="2354" spans="2:3" x14ac:dyDescent="0.2">
      <c r="B2354" s="46"/>
      <c r="C2354" s="41"/>
    </row>
    <row r="2355" spans="2:3" x14ac:dyDescent="0.2">
      <c r="B2355" s="46"/>
      <c r="C2355" s="41"/>
    </row>
    <row r="2356" spans="2:3" x14ac:dyDescent="0.2">
      <c r="B2356" s="46"/>
      <c r="C2356" s="41"/>
    </row>
    <row r="2357" spans="2:3" x14ac:dyDescent="0.2">
      <c r="B2357" s="46"/>
      <c r="C2357" s="41"/>
    </row>
    <row r="2358" spans="2:3" x14ac:dyDescent="0.2">
      <c r="B2358" s="46"/>
      <c r="C2358" s="41"/>
    </row>
    <row r="2359" spans="2:3" x14ac:dyDescent="0.2">
      <c r="B2359" s="46"/>
      <c r="C2359" s="41"/>
    </row>
    <row r="2360" spans="2:3" x14ac:dyDescent="0.2">
      <c r="B2360" s="46"/>
      <c r="C2360" s="41"/>
    </row>
    <row r="2361" spans="2:3" x14ac:dyDescent="0.2">
      <c r="B2361" s="46"/>
      <c r="C2361" s="41"/>
    </row>
    <row r="2362" spans="2:3" x14ac:dyDescent="0.2">
      <c r="B2362" s="46"/>
      <c r="C2362" s="41"/>
    </row>
    <row r="2363" spans="2:3" x14ac:dyDescent="0.2">
      <c r="B2363" s="46"/>
      <c r="C2363" s="41"/>
    </row>
    <row r="2364" spans="2:3" x14ac:dyDescent="0.2">
      <c r="B2364" s="46"/>
      <c r="C2364" s="41"/>
    </row>
    <row r="2365" spans="2:3" x14ac:dyDescent="0.2">
      <c r="B2365" s="46"/>
      <c r="C2365" s="41"/>
    </row>
    <row r="2366" spans="2:3" x14ac:dyDescent="0.2">
      <c r="B2366" s="46"/>
      <c r="C2366" s="41"/>
    </row>
    <row r="2367" spans="2:3" x14ac:dyDescent="0.2">
      <c r="B2367" s="46"/>
      <c r="C2367" s="41"/>
    </row>
    <row r="2368" spans="2:3" x14ac:dyDescent="0.2">
      <c r="B2368" s="46"/>
      <c r="C2368" s="41"/>
    </row>
    <row r="2369" spans="2:3" x14ac:dyDescent="0.2">
      <c r="B2369" s="46"/>
      <c r="C2369" s="41"/>
    </row>
    <row r="2370" spans="2:3" x14ac:dyDescent="0.2">
      <c r="B2370" s="46"/>
      <c r="C2370" s="41"/>
    </row>
    <row r="2371" spans="2:3" x14ac:dyDescent="0.2">
      <c r="B2371" s="46"/>
      <c r="C2371" s="41"/>
    </row>
    <row r="2372" spans="2:3" x14ac:dyDescent="0.2">
      <c r="B2372" s="46"/>
      <c r="C2372" s="41"/>
    </row>
    <row r="2373" spans="2:3" x14ac:dyDescent="0.2">
      <c r="B2373" s="46"/>
      <c r="C2373" s="41"/>
    </row>
    <row r="2374" spans="2:3" x14ac:dyDescent="0.2">
      <c r="B2374" s="46"/>
      <c r="C2374" s="41"/>
    </row>
    <row r="2375" spans="2:3" x14ac:dyDescent="0.2">
      <c r="B2375" s="46"/>
      <c r="C2375" s="41"/>
    </row>
    <row r="2376" spans="2:3" x14ac:dyDescent="0.2">
      <c r="B2376" s="46"/>
      <c r="C2376" s="41"/>
    </row>
    <row r="2377" spans="2:3" x14ac:dyDescent="0.2">
      <c r="B2377" s="46"/>
      <c r="C2377" s="41"/>
    </row>
    <row r="2378" spans="2:3" x14ac:dyDescent="0.2">
      <c r="B2378" s="46"/>
      <c r="C2378" s="41"/>
    </row>
    <row r="2379" spans="2:3" x14ac:dyDescent="0.2">
      <c r="B2379" s="46"/>
      <c r="C2379" s="41"/>
    </row>
    <row r="2380" spans="2:3" x14ac:dyDescent="0.2">
      <c r="B2380" s="46"/>
      <c r="C2380" s="41"/>
    </row>
    <row r="2381" spans="2:3" x14ac:dyDescent="0.2">
      <c r="B2381" s="46"/>
      <c r="C2381" s="41"/>
    </row>
    <row r="2382" spans="2:3" x14ac:dyDescent="0.2">
      <c r="B2382" s="46"/>
      <c r="C2382" s="41"/>
    </row>
    <row r="2383" spans="2:3" x14ac:dyDescent="0.2">
      <c r="B2383" s="46"/>
      <c r="C2383" s="41"/>
    </row>
    <row r="2384" spans="2:3" x14ac:dyDescent="0.2">
      <c r="B2384" s="46"/>
      <c r="C2384" s="41"/>
    </row>
    <row r="2385" spans="2:3" x14ac:dyDescent="0.2">
      <c r="B2385" s="46"/>
      <c r="C2385" s="41"/>
    </row>
    <row r="2386" spans="2:3" x14ac:dyDescent="0.2">
      <c r="B2386" s="46"/>
      <c r="C2386" s="41"/>
    </row>
    <row r="2387" spans="2:3" x14ac:dyDescent="0.2">
      <c r="B2387" s="46"/>
      <c r="C2387" s="41"/>
    </row>
    <row r="2388" spans="2:3" x14ac:dyDescent="0.2">
      <c r="B2388" s="46"/>
      <c r="C2388" s="41"/>
    </row>
    <row r="2389" spans="2:3" x14ac:dyDescent="0.2">
      <c r="B2389" s="46"/>
      <c r="C2389" s="41"/>
    </row>
    <row r="2390" spans="2:3" x14ac:dyDescent="0.2">
      <c r="B2390" s="46"/>
      <c r="C2390" s="41"/>
    </row>
    <row r="2391" spans="2:3" x14ac:dyDescent="0.2">
      <c r="B2391" s="46"/>
      <c r="C2391" s="41"/>
    </row>
    <row r="2392" spans="2:3" x14ac:dyDescent="0.2">
      <c r="B2392" s="46"/>
      <c r="C2392" s="41"/>
    </row>
    <row r="2393" spans="2:3" x14ac:dyDescent="0.2">
      <c r="B2393" s="46"/>
      <c r="C2393" s="41"/>
    </row>
    <row r="2394" spans="2:3" x14ac:dyDescent="0.2">
      <c r="B2394" s="46"/>
      <c r="C2394" s="41"/>
    </row>
    <row r="2395" spans="2:3" x14ac:dyDescent="0.2">
      <c r="B2395" s="46"/>
      <c r="C2395" s="41"/>
    </row>
    <row r="2396" spans="2:3" x14ac:dyDescent="0.2">
      <c r="B2396" s="46"/>
      <c r="C2396" s="41"/>
    </row>
    <row r="2397" spans="2:3" x14ac:dyDescent="0.2">
      <c r="B2397" s="46"/>
      <c r="C2397" s="41"/>
    </row>
    <row r="2398" spans="2:3" x14ac:dyDescent="0.2">
      <c r="B2398" s="46"/>
      <c r="C2398" s="41"/>
    </row>
    <row r="2399" spans="2:3" x14ac:dyDescent="0.2">
      <c r="B2399" s="46"/>
      <c r="C2399" s="41"/>
    </row>
    <row r="2400" spans="2:3" x14ac:dyDescent="0.2">
      <c r="B2400" s="46"/>
      <c r="C2400" s="41"/>
    </row>
    <row r="2401" spans="2:3" x14ac:dyDescent="0.2">
      <c r="B2401" s="46"/>
      <c r="C2401" s="41"/>
    </row>
    <row r="2402" spans="2:3" x14ac:dyDescent="0.2">
      <c r="B2402" s="46"/>
      <c r="C2402" s="41"/>
    </row>
    <row r="2403" spans="2:3" x14ac:dyDescent="0.2">
      <c r="B2403" s="46"/>
      <c r="C2403" s="41"/>
    </row>
    <row r="2404" spans="2:3" x14ac:dyDescent="0.2">
      <c r="B2404" s="46"/>
      <c r="C2404" s="41"/>
    </row>
    <row r="2405" spans="2:3" x14ac:dyDescent="0.2">
      <c r="B2405" s="46"/>
      <c r="C2405" s="41"/>
    </row>
    <row r="2406" spans="2:3" x14ac:dyDescent="0.2">
      <c r="B2406" s="46"/>
      <c r="C2406" s="41"/>
    </row>
    <row r="2407" spans="2:3" x14ac:dyDescent="0.2">
      <c r="B2407" s="46"/>
      <c r="C2407" s="41"/>
    </row>
    <row r="2408" spans="2:3" x14ac:dyDescent="0.2">
      <c r="B2408" s="46"/>
      <c r="C2408" s="41"/>
    </row>
    <row r="2409" spans="2:3" x14ac:dyDescent="0.2">
      <c r="B2409" s="46"/>
      <c r="C2409" s="41"/>
    </row>
    <row r="2410" spans="2:3" x14ac:dyDescent="0.2">
      <c r="B2410" s="46"/>
      <c r="C2410" s="41"/>
    </row>
    <row r="2411" spans="2:3" x14ac:dyDescent="0.2">
      <c r="B2411" s="46"/>
      <c r="C2411" s="41"/>
    </row>
    <row r="2412" spans="2:3" x14ac:dyDescent="0.2">
      <c r="B2412" s="46"/>
      <c r="C2412" s="41"/>
    </row>
    <row r="2413" spans="2:3" x14ac:dyDescent="0.2">
      <c r="B2413" s="46"/>
      <c r="C2413" s="41"/>
    </row>
    <row r="2414" spans="2:3" x14ac:dyDescent="0.2">
      <c r="B2414" s="46"/>
      <c r="C2414" s="41"/>
    </row>
    <row r="2415" spans="2:3" x14ac:dyDescent="0.2">
      <c r="B2415" s="46"/>
      <c r="C2415" s="41"/>
    </row>
    <row r="2416" spans="2:3" x14ac:dyDescent="0.2">
      <c r="B2416" s="46"/>
      <c r="C2416" s="41"/>
    </row>
    <row r="2417" spans="2:3" x14ac:dyDescent="0.2">
      <c r="B2417" s="46"/>
      <c r="C2417" s="41"/>
    </row>
    <row r="2418" spans="2:3" x14ac:dyDescent="0.2">
      <c r="B2418" s="46"/>
      <c r="C2418" s="41"/>
    </row>
    <row r="2419" spans="2:3" x14ac:dyDescent="0.2">
      <c r="B2419" s="46"/>
      <c r="C2419" s="41"/>
    </row>
    <row r="2420" spans="2:3" x14ac:dyDescent="0.2">
      <c r="B2420" s="46"/>
      <c r="C2420" s="41"/>
    </row>
    <row r="2421" spans="2:3" x14ac:dyDescent="0.2">
      <c r="B2421" s="46"/>
      <c r="C2421" s="41"/>
    </row>
    <row r="2422" spans="2:3" x14ac:dyDescent="0.2">
      <c r="B2422" s="46"/>
      <c r="C2422" s="41"/>
    </row>
    <row r="2423" spans="2:3" x14ac:dyDescent="0.2">
      <c r="B2423" s="46"/>
      <c r="C2423" s="41"/>
    </row>
    <row r="2424" spans="2:3" x14ac:dyDescent="0.2">
      <c r="B2424" s="46"/>
      <c r="C2424" s="41"/>
    </row>
    <row r="2425" spans="2:3" x14ac:dyDescent="0.2">
      <c r="B2425" s="46"/>
      <c r="C2425" s="41"/>
    </row>
    <row r="2426" spans="2:3" x14ac:dyDescent="0.2">
      <c r="B2426" s="46"/>
      <c r="C2426" s="41"/>
    </row>
    <row r="2427" spans="2:3" x14ac:dyDescent="0.2">
      <c r="B2427" s="46"/>
      <c r="C2427" s="41"/>
    </row>
    <row r="2428" spans="2:3" x14ac:dyDescent="0.2">
      <c r="B2428" s="46"/>
      <c r="C2428" s="41"/>
    </row>
    <row r="2429" spans="2:3" x14ac:dyDescent="0.2">
      <c r="B2429" s="46"/>
      <c r="C2429" s="41"/>
    </row>
    <row r="2430" spans="2:3" x14ac:dyDescent="0.2">
      <c r="B2430" s="46"/>
      <c r="C2430" s="41"/>
    </row>
    <row r="2431" spans="2:3" x14ac:dyDescent="0.2">
      <c r="B2431" s="46"/>
      <c r="C2431" s="41"/>
    </row>
    <row r="2432" spans="2:3" x14ac:dyDescent="0.2">
      <c r="B2432" s="46"/>
      <c r="C2432" s="41"/>
    </row>
    <row r="2433" spans="2:3" x14ac:dyDescent="0.2">
      <c r="B2433" s="46"/>
      <c r="C2433" s="41"/>
    </row>
    <row r="2434" spans="2:3" x14ac:dyDescent="0.2">
      <c r="B2434" s="46"/>
      <c r="C2434" s="41"/>
    </row>
    <row r="2435" spans="2:3" x14ac:dyDescent="0.2">
      <c r="B2435" s="46"/>
      <c r="C2435" s="41"/>
    </row>
    <row r="2436" spans="2:3" x14ac:dyDescent="0.2">
      <c r="B2436" s="46"/>
      <c r="C2436" s="41"/>
    </row>
    <row r="2437" spans="2:3" x14ac:dyDescent="0.2">
      <c r="B2437" s="46"/>
      <c r="C2437" s="41"/>
    </row>
    <row r="2438" spans="2:3" x14ac:dyDescent="0.2">
      <c r="B2438" s="46"/>
      <c r="C2438" s="41"/>
    </row>
    <row r="2439" spans="2:3" x14ac:dyDescent="0.2">
      <c r="B2439" s="46"/>
      <c r="C2439" s="41"/>
    </row>
    <row r="2440" spans="2:3" x14ac:dyDescent="0.2">
      <c r="B2440" s="46"/>
      <c r="C2440" s="41"/>
    </row>
    <row r="2441" spans="2:3" x14ac:dyDescent="0.2">
      <c r="B2441" s="46"/>
      <c r="C2441" s="41"/>
    </row>
    <row r="2442" spans="2:3" x14ac:dyDescent="0.2">
      <c r="B2442" s="46"/>
      <c r="C2442" s="41"/>
    </row>
    <row r="2443" spans="2:3" x14ac:dyDescent="0.2">
      <c r="B2443" s="46"/>
      <c r="C2443" s="41"/>
    </row>
    <row r="2444" spans="2:3" x14ac:dyDescent="0.2">
      <c r="B2444" s="46"/>
      <c r="C2444" s="41"/>
    </row>
    <row r="2445" spans="2:3" x14ac:dyDescent="0.2">
      <c r="B2445" s="46"/>
      <c r="C2445" s="41"/>
    </row>
    <row r="2446" spans="2:3" x14ac:dyDescent="0.2">
      <c r="B2446" s="46"/>
      <c r="C2446" s="41"/>
    </row>
    <row r="2447" spans="2:3" x14ac:dyDescent="0.2">
      <c r="B2447" s="46"/>
      <c r="C2447" s="41"/>
    </row>
    <row r="2448" spans="2:3" x14ac:dyDescent="0.2">
      <c r="B2448" s="46"/>
      <c r="C2448" s="41"/>
    </row>
    <row r="2449" spans="2:3" x14ac:dyDescent="0.2">
      <c r="B2449" s="46"/>
      <c r="C2449" s="41"/>
    </row>
    <row r="2450" spans="2:3" x14ac:dyDescent="0.2">
      <c r="B2450" s="46"/>
      <c r="C2450" s="41"/>
    </row>
    <row r="2451" spans="2:3" x14ac:dyDescent="0.2">
      <c r="B2451" s="46"/>
      <c r="C2451" s="41"/>
    </row>
    <row r="2452" spans="2:3" x14ac:dyDescent="0.2">
      <c r="B2452" s="46"/>
      <c r="C2452" s="41"/>
    </row>
    <row r="2453" spans="2:3" x14ac:dyDescent="0.2">
      <c r="B2453" s="46"/>
      <c r="C2453" s="41"/>
    </row>
    <row r="2454" spans="2:3" x14ac:dyDescent="0.2">
      <c r="B2454" s="46"/>
      <c r="C2454" s="41"/>
    </row>
    <row r="2455" spans="2:3" x14ac:dyDescent="0.2">
      <c r="B2455" s="46"/>
      <c r="C2455" s="41"/>
    </row>
    <row r="2456" spans="2:3" x14ac:dyDescent="0.2">
      <c r="B2456" s="46"/>
      <c r="C2456" s="41"/>
    </row>
    <row r="2457" spans="2:3" x14ac:dyDescent="0.2">
      <c r="B2457" s="46"/>
      <c r="C2457" s="41"/>
    </row>
    <row r="2458" spans="2:3" x14ac:dyDescent="0.2">
      <c r="B2458" s="46"/>
      <c r="C2458" s="41"/>
    </row>
    <row r="2459" spans="2:3" x14ac:dyDescent="0.2">
      <c r="B2459" s="46"/>
      <c r="C2459" s="41"/>
    </row>
    <row r="2460" spans="2:3" x14ac:dyDescent="0.2">
      <c r="B2460" s="46"/>
      <c r="C2460" s="41"/>
    </row>
    <row r="2461" spans="2:3" x14ac:dyDescent="0.2">
      <c r="B2461" s="46"/>
      <c r="C2461" s="41"/>
    </row>
    <row r="2462" spans="2:3" x14ac:dyDescent="0.2">
      <c r="B2462" s="46"/>
      <c r="C2462" s="41"/>
    </row>
    <row r="2463" spans="2:3" x14ac:dyDescent="0.2">
      <c r="B2463" s="46"/>
      <c r="C2463" s="41"/>
    </row>
    <row r="2464" spans="2:3" x14ac:dyDescent="0.2">
      <c r="B2464" s="46"/>
      <c r="C2464" s="41"/>
    </row>
    <row r="2465" spans="2:3" x14ac:dyDescent="0.2">
      <c r="B2465" s="46"/>
      <c r="C2465" s="41"/>
    </row>
    <row r="2466" spans="2:3" x14ac:dyDescent="0.2">
      <c r="B2466" s="46"/>
      <c r="C2466" s="41"/>
    </row>
    <row r="2467" spans="2:3" x14ac:dyDescent="0.2">
      <c r="B2467" s="46"/>
      <c r="C2467" s="41"/>
    </row>
    <row r="2468" spans="2:3" x14ac:dyDescent="0.2">
      <c r="B2468" s="46"/>
      <c r="C2468" s="41"/>
    </row>
    <row r="2469" spans="2:3" x14ac:dyDescent="0.2">
      <c r="B2469" s="46"/>
      <c r="C2469" s="41"/>
    </row>
    <row r="2470" spans="2:3" x14ac:dyDescent="0.2">
      <c r="B2470" s="46"/>
      <c r="C2470" s="41"/>
    </row>
    <row r="2471" spans="2:3" x14ac:dyDescent="0.2">
      <c r="B2471" s="46"/>
      <c r="C2471" s="41"/>
    </row>
    <row r="2472" spans="2:3" x14ac:dyDescent="0.2">
      <c r="B2472" s="46"/>
      <c r="C2472" s="41"/>
    </row>
    <row r="2473" spans="2:3" x14ac:dyDescent="0.2">
      <c r="B2473" s="46"/>
      <c r="C2473" s="41"/>
    </row>
    <row r="2474" spans="2:3" x14ac:dyDescent="0.2">
      <c r="B2474" s="46"/>
      <c r="C2474" s="41"/>
    </row>
    <row r="2475" spans="2:3" x14ac:dyDescent="0.2">
      <c r="B2475" s="46"/>
      <c r="C2475" s="41"/>
    </row>
    <row r="2476" spans="2:3" x14ac:dyDescent="0.2">
      <c r="B2476" s="46"/>
      <c r="C2476" s="41"/>
    </row>
    <row r="2477" spans="2:3" x14ac:dyDescent="0.2">
      <c r="B2477" s="46"/>
      <c r="C2477" s="41"/>
    </row>
    <row r="2478" spans="2:3" x14ac:dyDescent="0.2">
      <c r="B2478" s="46"/>
      <c r="C2478" s="41"/>
    </row>
    <row r="2479" spans="2:3" x14ac:dyDescent="0.2">
      <c r="B2479" s="46"/>
      <c r="C2479" s="41"/>
    </row>
    <row r="2480" spans="2:3" x14ac:dyDescent="0.2">
      <c r="B2480" s="46"/>
      <c r="C2480" s="41"/>
    </row>
    <row r="2481" spans="2:3" x14ac:dyDescent="0.2">
      <c r="B2481" s="46"/>
      <c r="C2481" s="41"/>
    </row>
    <row r="2482" spans="2:3" x14ac:dyDescent="0.2">
      <c r="B2482" s="46"/>
      <c r="C2482" s="41"/>
    </row>
    <row r="2483" spans="2:3" x14ac:dyDescent="0.2">
      <c r="B2483" s="46"/>
      <c r="C2483" s="41"/>
    </row>
    <row r="2484" spans="2:3" x14ac:dyDescent="0.2">
      <c r="B2484" s="46"/>
      <c r="C2484" s="41"/>
    </row>
    <row r="2485" spans="2:3" x14ac:dyDescent="0.2">
      <c r="B2485" s="46"/>
      <c r="C2485" s="41"/>
    </row>
    <row r="2486" spans="2:3" x14ac:dyDescent="0.2">
      <c r="B2486" s="46"/>
      <c r="C2486" s="41"/>
    </row>
    <row r="2487" spans="2:3" x14ac:dyDescent="0.2">
      <c r="B2487" s="46"/>
      <c r="C2487" s="41"/>
    </row>
    <row r="2488" spans="2:3" x14ac:dyDescent="0.2">
      <c r="B2488" s="46"/>
      <c r="C2488" s="41"/>
    </row>
    <row r="2489" spans="2:3" x14ac:dyDescent="0.2">
      <c r="B2489" s="46"/>
      <c r="C2489" s="41"/>
    </row>
    <row r="2490" spans="2:3" x14ac:dyDescent="0.2">
      <c r="B2490" s="46"/>
      <c r="C2490" s="41"/>
    </row>
    <row r="2491" spans="2:3" x14ac:dyDescent="0.2">
      <c r="B2491" s="46"/>
      <c r="C2491" s="41"/>
    </row>
    <row r="2492" spans="2:3" x14ac:dyDescent="0.2">
      <c r="B2492" s="46"/>
      <c r="C2492" s="41"/>
    </row>
    <row r="2493" spans="2:3" x14ac:dyDescent="0.2">
      <c r="B2493" s="46"/>
      <c r="C2493" s="41"/>
    </row>
    <row r="2494" spans="2:3" x14ac:dyDescent="0.2">
      <c r="B2494" s="46"/>
      <c r="C2494" s="41"/>
    </row>
    <row r="2495" spans="2:3" x14ac:dyDescent="0.2">
      <c r="B2495" s="46"/>
      <c r="C2495" s="41"/>
    </row>
    <row r="2496" spans="2:3" x14ac:dyDescent="0.2">
      <c r="B2496" s="46"/>
      <c r="C2496" s="41"/>
    </row>
    <row r="2497" spans="2:3" x14ac:dyDescent="0.2">
      <c r="B2497" s="46"/>
      <c r="C2497" s="41"/>
    </row>
    <row r="2498" spans="2:3" x14ac:dyDescent="0.2">
      <c r="B2498" s="46"/>
      <c r="C2498" s="41"/>
    </row>
    <row r="2499" spans="2:3" x14ac:dyDescent="0.2">
      <c r="B2499" s="46"/>
      <c r="C2499" s="41"/>
    </row>
    <row r="2500" spans="2:3" x14ac:dyDescent="0.2">
      <c r="B2500" s="46"/>
      <c r="C2500" s="41"/>
    </row>
    <row r="2501" spans="2:3" x14ac:dyDescent="0.2">
      <c r="B2501" s="46"/>
      <c r="C2501" s="41"/>
    </row>
    <row r="2502" spans="2:3" x14ac:dyDescent="0.2">
      <c r="B2502" s="46"/>
      <c r="C2502" s="41"/>
    </row>
    <row r="2503" spans="2:3" x14ac:dyDescent="0.2">
      <c r="B2503" s="46"/>
      <c r="C2503" s="41"/>
    </row>
    <row r="2504" spans="2:3" x14ac:dyDescent="0.2">
      <c r="B2504" s="46"/>
      <c r="C2504" s="41"/>
    </row>
    <row r="2505" spans="2:3" x14ac:dyDescent="0.2">
      <c r="B2505" s="46"/>
      <c r="C2505" s="41"/>
    </row>
    <row r="2506" spans="2:3" x14ac:dyDescent="0.2">
      <c r="B2506" s="46"/>
      <c r="C2506" s="41"/>
    </row>
    <row r="2507" spans="2:3" x14ac:dyDescent="0.2">
      <c r="B2507" s="46"/>
      <c r="C2507" s="41"/>
    </row>
    <row r="2508" spans="2:3" x14ac:dyDescent="0.2">
      <c r="B2508" s="46"/>
      <c r="C2508" s="41"/>
    </row>
    <row r="2509" spans="2:3" x14ac:dyDescent="0.2">
      <c r="B2509" s="46"/>
      <c r="C2509" s="41"/>
    </row>
    <row r="2510" spans="2:3" x14ac:dyDescent="0.2">
      <c r="B2510" s="46"/>
      <c r="C2510" s="41"/>
    </row>
    <row r="2511" spans="2:3" x14ac:dyDescent="0.2">
      <c r="B2511" s="46"/>
      <c r="C2511" s="41"/>
    </row>
    <row r="2512" spans="2:3" x14ac:dyDescent="0.2">
      <c r="B2512" s="46"/>
      <c r="C2512" s="41"/>
    </row>
    <row r="2513" spans="2:3" x14ac:dyDescent="0.2">
      <c r="B2513" s="46"/>
      <c r="C2513" s="41"/>
    </row>
    <row r="2514" spans="2:3" x14ac:dyDescent="0.2">
      <c r="B2514" s="46"/>
      <c r="C2514" s="41"/>
    </row>
    <row r="2515" spans="2:3" x14ac:dyDescent="0.2">
      <c r="B2515" s="46"/>
      <c r="C2515" s="41"/>
    </row>
    <row r="2516" spans="2:3" x14ac:dyDescent="0.2">
      <c r="B2516" s="46"/>
      <c r="C2516" s="41"/>
    </row>
    <row r="2517" spans="2:3" x14ac:dyDescent="0.2">
      <c r="B2517" s="46"/>
      <c r="C2517" s="41"/>
    </row>
    <row r="2518" spans="2:3" x14ac:dyDescent="0.2">
      <c r="B2518" s="46"/>
      <c r="C2518" s="41"/>
    </row>
    <row r="2519" spans="2:3" x14ac:dyDescent="0.2">
      <c r="B2519" s="46"/>
      <c r="C2519" s="41"/>
    </row>
    <row r="2520" spans="2:3" x14ac:dyDescent="0.2">
      <c r="B2520" s="46"/>
      <c r="C2520" s="41"/>
    </row>
    <row r="2521" spans="2:3" x14ac:dyDescent="0.2">
      <c r="B2521" s="46"/>
      <c r="C2521" s="41"/>
    </row>
    <row r="2522" spans="2:3" x14ac:dyDescent="0.2">
      <c r="B2522" s="46"/>
      <c r="C2522" s="41"/>
    </row>
    <row r="2523" spans="2:3" x14ac:dyDescent="0.2">
      <c r="B2523" s="46"/>
      <c r="C2523" s="41"/>
    </row>
    <row r="2524" spans="2:3" x14ac:dyDescent="0.2">
      <c r="B2524" s="46"/>
      <c r="C2524" s="41"/>
    </row>
    <row r="2525" spans="2:3" x14ac:dyDescent="0.2">
      <c r="B2525" s="46"/>
      <c r="C2525" s="41"/>
    </row>
    <row r="2526" spans="2:3" x14ac:dyDescent="0.2">
      <c r="B2526" s="46"/>
      <c r="C2526" s="41"/>
    </row>
    <row r="2527" spans="2:3" x14ac:dyDescent="0.2">
      <c r="B2527" s="46"/>
      <c r="C2527" s="41"/>
    </row>
    <row r="2528" spans="2:3" x14ac:dyDescent="0.2">
      <c r="B2528" s="46"/>
      <c r="C2528" s="41"/>
    </row>
    <row r="2529" spans="2:3" x14ac:dyDescent="0.2">
      <c r="B2529" s="46"/>
      <c r="C2529" s="41"/>
    </row>
    <row r="2530" spans="2:3" x14ac:dyDescent="0.2">
      <c r="B2530" s="46"/>
      <c r="C2530" s="41"/>
    </row>
    <row r="2531" spans="2:3" x14ac:dyDescent="0.2">
      <c r="B2531" s="46"/>
      <c r="C2531" s="41"/>
    </row>
    <row r="2532" spans="2:3" x14ac:dyDescent="0.2">
      <c r="B2532" s="46"/>
      <c r="C2532" s="41"/>
    </row>
    <row r="2533" spans="2:3" x14ac:dyDescent="0.2">
      <c r="B2533" s="46"/>
      <c r="C2533" s="41"/>
    </row>
    <row r="2534" spans="2:3" x14ac:dyDescent="0.2">
      <c r="B2534" s="46"/>
      <c r="C2534" s="41"/>
    </row>
    <row r="2535" spans="2:3" x14ac:dyDescent="0.2">
      <c r="B2535" s="46"/>
      <c r="C2535" s="41"/>
    </row>
    <row r="2536" spans="2:3" x14ac:dyDescent="0.2">
      <c r="B2536" s="46"/>
      <c r="C2536" s="41"/>
    </row>
    <row r="2537" spans="2:3" x14ac:dyDescent="0.2">
      <c r="B2537" s="46"/>
      <c r="C2537" s="41"/>
    </row>
    <row r="2538" spans="2:3" x14ac:dyDescent="0.2">
      <c r="B2538" s="46"/>
      <c r="C2538" s="41"/>
    </row>
    <row r="2539" spans="2:3" x14ac:dyDescent="0.2">
      <c r="B2539" s="46"/>
      <c r="C2539" s="41"/>
    </row>
    <row r="2540" spans="2:3" x14ac:dyDescent="0.2">
      <c r="B2540" s="46"/>
      <c r="C2540" s="41"/>
    </row>
    <row r="2541" spans="2:3" x14ac:dyDescent="0.2">
      <c r="B2541" s="46"/>
      <c r="C2541" s="41"/>
    </row>
    <row r="2542" spans="2:3" x14ac:dyDescent="0.2">
      <c r="B2542" s="46"/>
      <c r="C2542" s="41"/>
    </row>
    <row r="2543" spans="2:3" x14ac:dyDescent="0.2">
      <c r="B2543" s="46"/>
      <c r="C2543" s="41"/>
    </row>
    <row r="2544" spans="2:3" x14ac:dyDescent="0.2">
      <c r="B2544" s="46"/>
      <c r="C2544" s="41"/>
    </row>
    <row r="2545" spans="2:3" x14ac:dyDescent="0.2">
      <c r="B2545" s="46"/>
      <c r="C2545" s="41"/>
    </row>
    <row r="2546" spans="2:3" x14ac:dyDescent="0.2">
      <c r="B2546" s="46"/>
      <c r="C2546" s="41"/>
    </row>
    <row r="2547" spans="2:3" x14ac:dyDescent="0.2">
      <c r="B2547" s="46"/>
      <c r="C2547" s="41"/>
    </row>
    <row r="2548" spans="2:3" x14ac:dyDescent="0.2">
      <c r="B2548" s="46"/>
      <c r="C2548" s="41"/>
    </row>
    <row r="2549" spans="2:3" x14ac:dyDescent="0.2">
      <c r="B2549" s="46"/>
      <c r="C2549" s="41"/>
    </row>
    <row r="2550" spans="2:3" x14ac:dyDescent="0.2">
      <c r="B2550" s="46"/>
      <c r="C2550" s="41"/>
    </row>
    <row r="2551" spans="2:3" x14ac:dyDescent="0.2">
      <c r="B2551" s="46"/>
      <c r="C2551" s="41"/>
    </row>
    <row r="2552" spans="2:3" x14ac:dyDescent="0.2">
      <c r="B2552" s="46"/>
      <c r="C2552" s="41"/>
    </row>
    <row r="2553" spans="2:3" x14ac:dyDescent="0.2">
      <c r="B2553" s="46"/>
      <c r="C2553" s="41"/>
    </row>
    <row r="2554" spans="2:3" x14ac:dyDescent="0.2">
      <c r="B2554" s="46"/>
      <c r="C2554" s="41"/>
    </row>
    <row r="2555" spans="2:3" x14ac:dyDescent="0.2">
      <c r="B2555" s="46"/>
      <c r="C2555" s="41"/>
    </row>
    <row r="2556" spans="2:3" x14ac:dyDescent="0.2">
      <c r="B2556" s="46"/>
      <c r="C2556" s="41"/>
    </row>
    <row r="2557" spans="2:3" x14ac:dyDescent="0.2">
      <c r="B2557" s="46"/>
      <c r="C2557" s="41"/>
    </row>
    <row r="2558" spans="2:3" x14ac:dyDescent="0.2">
      <c r="B2558" s="46"/>
      <c r="C2558" s="41"/>
    </row>
    <row r="2559" spans="2:3" x14ac:dyDescent="0.2">
      <c r="B2559" s="46"/>
      <c r="C2559" s="41"/>
    </row>
    <row r="2560" spans="2:3" x14ac:dyDescent="0.2">
      <c r="B2560" s="46"/>
      <c r="C2560" s="41"/>
    </row>
    <row r="2561" spans="2:3" x14ac:dyDescent="0.2">
      <c r="B2561" s="46"/>
      <c r="C2561" s="41"/>
    </row>
    <row r="2562" spans="2:3" x14ac:dyDescent="0.2">
      <c r="B2562" s="46"/>
      <c r="C2562" s="41"/>
    </row>
    <row r="2563" spans="2:3" x14ac:dyDescent="0.2">
      <c r="B2563" s="46"/>
      <c r="C2563" s="41"/>
    </row>
    <row r="2564" spans="2:3" x14ac:dyDescent="0.2">
      <c r="B2564" s="46"/>
      <c r="C2564" s="41"/>
    </row>
    <row r="2565" spans="2:3" x14ac:dyDescent="0.2">
      <c r="B2565" s="46"/>
      <c r="C2565" s="41"/>
    </row>
    <row r="2566" spans="2:3" x14ac:dyDescent="0.2">
      <c r="B2566" s="46"/>
      <c r="C2566" s="41"/>
    </row>
    <row r="2567" spans="2:3" x14ac:dyDescent="0.2">
      <c r="B2567" s="46"/>
      <c r="C2567" s="41"/>
    </row>
    <row r="2568" spans="2:3" x14ac:dyDescent="0.2">
      <c r="B2568" s="46"/>
      <c r="C2568" s="41"/>
    </row>
    <row r="2569" spans="2:3" x14ac:dyDescent="0.2">
      <c r="B2569" s="46"/>
      <c r="C2569" s="41"/>
    </row>
    <row r="2570" spans="2:3" x14ac:dyDescent="0.2">
      <c r="B2570" s="46"/>
      <c r="C2570" s="41"/>
    </row>
    <row r="2571" spans="2:3" x14ac:dyDescent="0.2">
      <c r="B2571" s="46"/>
      <c r="C2571" s="41"/>
    </row>
    <row r="2572" spans="2:3" x14ac:dyDescent="0.2">
      <c r="B2572" s="46"/>
      <c r="C2572" s="41"/>
    </row>
    <row r="2573" spans="2:3" x14ac:dyDescent="0.2">
      <c r="B2573" s="46"/>
      <c r="C2573" s="41"/>
    </row>
    <row r="2574" spans="2:3" x14ac:dyDescent="0.2">
      <c r="B2574" s="46"/>
      <c r="C2574" s="41"/>
    </row>
    <row r="2575" spans="2:3" x14ac:dyDescent="0.2">
      <c r="B2575" s="46"/>
      <c r="C2575" s="41"/>
    </row>
    <row r="2576" spans="2:3" x14ac:dyDescent="0.2">
      <c r="B2576" s="46"/>
      <c r="C2576" s="41"/>
    </row>
    <row r="2577" spans="2:3" x14ac:dyDescent="0.2">
      <c r="B2577" s="46"/>
      <c r="C2577" s="41"/>
    </row>
    <row r="2578" spans="2:3" x14ac:dyDescent="0.2">
      <c r="B2578" s="46"/>
      <c r="C2578" s="41"/>
    </row>
    <row r="2579" spans="2:3" x14ac:dyDescent="0.2">
      <c r="B2579" s="46"/>
      <c r="C2579" s="41"/>
    </row>
    <row r="2580" spans="2:3" x14ac:dyDescent="0.2">
      <c r="B2580" s="46"/>
      <c r="C2580" s="41"/>
    </row>
    <row r="2581" spans="2:3" x14ac:dyDescent="0.2">
      <c r="B2581" s="46"/>
      <c r="C2581" s="41"/>
    </row>
    <row r="2582" spans="2:3" x14ac:dyDescent="0.2">
      <c r="B2582" s="46"/>
      <c r="C2582" s="41"/>
    </row>
    <row r="2583" spans="2:3" x14ac:dyDescent="0.2">
      <c r="B2583" s="46"/>
      <c r="C2583" s="41"/>
    </row>
    <row r="2584" spans="2:3" x14ac:dyDescent="0.2">
      <c r="B2584" s="46"/>
      <c r="C2584" s="41"/>
    </row>
    <row r="2585" spans="2:3" x14ac:dyDescent="0.2">
      <c r="B2585" s="46"/>
      <c r="C2585" s="41"/>
    </row>
    <row r="2586" spans="2:3" x14ac:dyDescent="0.2">
      <c r="B2586" s="46"/>
      <c r="C2586" s="41"/>
    </row>
    <row r="2587" spans="2:3" x14ac:dyDescent="0.2">
      <c r="B2587" s="46"/>
      <c r="C2587" s="41"/>
    </row>
    <row r="2588" spans="2:3" x14ac:dyDescent="0.2">
      <c r="B2588" s="46"/>
      <c r="C2588" s="41"/>
    </row>
    <row r="2589" spans="2:3" x14ac:dyDescent="0.2">
      <c r="B2589" s="46"/>
      <c r="C2589" s="41"/>
    </row>
    <row r="2590" spans="2:3" x14ac:dyDescent="0.2">
      <c r="B2590" s="46"/>
      <c r="C2590" s="41"/>
    </row>
    <row r="2591" spans="2:3" x14ac:dyDescent="0.2">
      <c r="B2591" s="46"/>
      <c r="C2591" s="41"/>
    </row>
    <row r="2592" spans="2:3" x14ac:dyDescent="0.2">
      <c r="B2592" s="46"/>
      <c r="C2592" s="41"/>
    </row>
    <row r="2593" spans="2:3" x14ac:dyDescent="0.2">
      <c r="B2593" s="46"/>
      <c r="C2593" s="41"/>
    </row>
    <row r="2594" spans="2:3" x14ac:dyDescent="0.2">
      <c r="B2594" s="46"/>
      <c r="C2594" s="41"/>
    </row>
    <row r="2595" spans="2:3" x14ac:dyDescent="0.2">
      <c r="B2595" s="46"/>
      <c r="C2595" s="41"/>
    </row>
    <row r="2596" spans="2:3" x14ac:dyDescent="0.2">
      <c r="B2596" s="46"/>
      <c r="C2596" s="41"/>
    </row>
    <row r="2597" spans="2:3" x14ac:dyDescent="0.2">
      <c r="B2597" s="46"/>
      <c r="C2597" s="41"/>
    </row>
    <row r="2598" spans="2:3" x14ac:dyDescent="0.2">
      <c r="B2598" s="46"/>
      <c r="C2598" s="41"/>
    </row>
    <row r="2599" spans="2:3" x14ac:dyDescent="0.2">
      <c r="B2599" s="46"/>
      <c r="C2599" s="41"/>
    </row>
    <row r="2600" spans="2:3" x14ac:dyDescent="0.2">
      <c r="B2600" s="46"/>
      <c r="C2600" s="41"/>
    </row>
    <row r="2601" spans="2:3" x14ac:dyDescent="0.2">
      <c r="B2601" s="46"/>
      <c r="C2601" s="41"/>
    </row>
    <row r="2602" spans="2:3" x14ac:dyDescent="0.2">
      <c r="B2602" s="46"/>
      <c r="C2602" s="41"/>
    </row>
    <row r="2603" spans="2:3" x14ac:dyDescent="0.2">
      <c r="B2603" s="46"/>
      <c r="C2603" s="41"/>
    </row>
    <row r="2604" spans="2:3" x14ac:dyDescent="0.2">
      <c r="B2604" s="46"/>
      <c r="C2604" s="41"/>
    </row>
    <row r="2605" spans="2:3" x14ac:dyDescent="0.2">
      <c r="B2605" s="46"/>
      <c r="C2605" s="41"/>
    </row>
    <row r="2606" spans="2:3" x14ac:dyDescent="0.2">
      <c r="B2606" s="46"/>
      <c r="C2606" s="41"/>
    </row>
    <row r="2607" spans="2:3" x14ac:dyDescent="0.2">
      <c r="B2607" s="46"/>
      <c r="C2607" s="41"/>
    </row>
    <row r="2608" spans="2:3" x14ac:dyDescent="0.2">
      <c r="B2608" s="46"/>
      <c r="C2608" s="41"/>
    </row>
    <row r="2609" spans="2:3" x14ac:dyDescent="0.2">
      <c r="B2609" s="46"/>
      <c r="C2609" s="41"/>
    </row>
    <row r="2610" spans="2:3" x14ac:dyDescent="0.2">
      <c r="B2610" s="46"/>
      <c r="C2610" s="41"/>
    </row>
    <row r="2611" spans="2:3" x14ac:dyDescent="0.2">
      <c r="B2611" s="46"/>
      <c r="C2611" s="41"/>
    </row>
    <row r="2612" spans="2:3" x14ac:dyDescent="0.2">
      <c r="B2612" s="46"/>
      <c r="C2612" s="41"/>
    </row>
    <row r="2613" spans="2:3" x14ac:dyDescent="0.2">
      <c r="B2613" s="46"/>
      <c r="C2613" s="41"/>
    </row>
    <row r="2614" spans="2:3" x14ac:dyDescent="0.2">
      <c r="B2614" s="46"/>
      <c r="C2614" s="41"/>
    </row>
    <row r="2615" spans="2:3" x14ac:dyDescent="0.2">
      <c r="B2615" s="46"/>
      <c r="C2615" s="41"/>
    </row>
    <row r="2616" spans="2:3" x14ac:dyDescent="0.2">
      <c r="B2616" s="46"/>
      <c r="C2616" s="41"/>
    </row>
    <row r="2617" spans="2:3" x14ac:dyDescent="0.2">
      <c r="B2617" s="46"/>
      <c r="C2617" s="41"/>
    </row>
    <row r="2618" spans="2:3" x14ac:dyDescent="0.2">
      <c r="B2618" s="46"/>
      <c r="C2618" s="41"/>
    </row>
    <row r="2619" spans="2:3" x14ac:dyDescent="0.2">
      <c r="B2619" s="46"/>
      <c r="C2619" s="41"/>
    </row>
    <row r="2620" spans="2:3" x14ac:dyDescent="0.2">
      <c r="B2620" s="46"/>
      <c r="C2620" s="41"/>
    </row>
    <row r="2621" spans="2:3" x14ac:dyDescent="0.2">
      <c r="B2621" s="46"/>
      <c r="C2621" s="41"/>
    </row>
    <row r="2622" spans="2:3" x14ac:dyDescent="0.2">
      <c r="B2622" s="46"/>
      <c r="C2622" s="41"/>
    </row>
    <row r="2623" spans="2:3" x14ac:dyDescent="0.2">
      <c r="B2623" s="46"/>
      <c r="C2623" s="41"/>
    </row>
    <row r="2624" spans="2:3" x14ac:dyDescent="0.2">
      <c r="B2624" s="46"/>
      <c r="C2624" s="41"/>
    </row>
    <row r="2625" spans="2:3" x14ac:dyDescent="0.2">
      <c r="B2625" s="46"/>
      <c r="C2625" s="41"/>
    </row>
    <row r="2626" spans="2:3" x14ac:dyDescent="0.2">
      <c r="B2626" s="46"/>
      <c r="C2626" s="41"/>
    </row>
    <row r="2627" spans="2:3" x14ac:dyDescent="0.2">
      <c r="B2627" s="46"/>
      <c r="C2627" s="41"/>
    </row>
    <row r="2628" spans="2:3" x14ac:dyDescent="0.2">
      <c r="B2628" s="46"/>
      <c r="C2628" s="41"/>
    </row>
    <row r="2629" spans="2:3" x14ac:dyDescent="0.2">
      <c r="B2629" s="46"/>
      <c r="C2629" s="41"/>
    </row>
    <row r="2630" spans="2:3" x14ac:dyDescent="0.2">
      <c r="B2630" s="46"/>
      <c r="C2630" s="41"/>
    </row>
    <row r="2631" spans="2:3" x14ac:dyDescent="0.2">
      <c r="B2631" s="46"/>
      <c r="C2631" s="41"/>
    </row>
    <row r="2632" spans="2:3" x14ac:dyDescent="0.2">
      <c r="B2632" s="46"/>
      <c r="C2632" s="41"/>
    </row>
    <row r="2633" spans="2:3" x14ac:dyDescent="0.2">
      <c r="B2633" s="46"/>
      <c r="C2633" s="41"/>
    </row>
    <row r="2634" spans="2:3" x14ac:dyDescent="0.2">
      <c r="B2634" s="46"/>
      <c r="C2634" s="41"/>
    </row>
    <row r="2635" spans="2:3" x14ac:dyDescent="0.2">
      <c r="B2635" s="46"/>
      <c r="C2635" s="41"/>
    </row>
    <row r="2636" spans="2:3" x14ac:dyDescent="0.2">
      <c r="B2636" s="46"/>
      <c r="C2636" s="41"/>
    </row>
    <row r="2637" spans="2:3" x14ac:dyDescent="0.2">
      <c r="B2637" s="46"/>
      <c r="C2637" s="41"/>
    </row>
    <row r="2638" spans="2:3" x14ac:dyDescent="0.2">
      <c r="B2638" s="46"/>
      <c r="C2638" s="41"/>
    </row>
    <row r="2639" spans="2:3" x14ac:dyDescent="0.2">
      <c r="B2639" s="46"/>
      <c r="C2639" s="41"/>
    </row>
    <row r="2640" spans="2:3" x14ac:dyDescent="0.2">
      <c r="B2640" s="46"/>
      <c r="C2640" s="41"/>
    </row>
    <row r="2641" spans="2:3" x14ac:dyDescent="0.2">
      <c r="B2641" s="46"/>
      <c r="C2641" s="41"/>
    </row>
    <row r="2642" spans="2:3" x14ac:dyDescent="0.2">
      <c r="B2642" s="46"/>
      <c r="C2642" s="41"/>
    </row>
    <row r="2643" spans="2:3" x14ac:dyDescent="0.2">
      <c r="B2643" s="46"/>
      <c r="C2643" s="41"/>
    </row>
    <row r="2644" spans="2:3" x14ac:dyDescent="0.2">
      <c r="B2644" s="46"/>
      <c r="C2644" s="41"/>
    </row>
    <row r="2645" spans="2:3" x14ac:dyDescent="0.2">
      <c r="B2645" s="46"/>
      <c r="C2645" s="41"/>
    </row>
    <row r="2646" spans="2:3" x14ac:dyDescent="0.2">
      <c r="B2646" s="46"/>
      <c r="C2646" s="41"/>
    </row>
    <row r="2647" spans="2:3" x14ac:dyDescent="0.2">
      <c r="B2647" s="46"/>
      <c r="C2647" s="41"/>
    </row>
    <row r="2648" spans="2:3" x14ac:dyDescent="0.2">
      <c r="B2648" s="46"/>
      <c r="C2648" s="41"/>
    </row>
    <row r="2649" spans="2:3" x14ac:dyDescent="0.2">
      <c r="B2649" s="46"/>
      <c r="C2649" s="41"/>
    </row>
    <row r="2650" spans="2:3" x14ac:dyDescent="0.2">
      <c r="B2650" s="46"/>
      <c r="C2650" s="41"/>
    </row>
    <row r="2651" spans="2:3" x14ac:dyDescent="0.2">
      <c r="B2651" s="46"/>
      <c r="C2651" s="41"/>
    </row>
    <row r="2652" spans="2:3" x14ac:dyDescent="0.2">
      <c r="B2652" s="46"/>
      <c r="C2652" s="41"/>
    </row>
    <row r="2653" spans="2:3" x14ac:dyDescent="0.2">
      <c r="B2653" s="46"/>
      <c r="C2653" s="41"/>
    </row>
    <row r="2654" spans="2:3" x14ac:dyDescent="0.2">
      <c r="B2654" s="46"/>
      <c r="C2654" s="41"/>
    </row>
    <row r="2655" spans="2:3" x14ac:dyDescent="0.2">
      <c r="B2655" s="46"/>
      <c r="C2655" s="41"/>
    </row>
    <row r="2656" spans="2:3" x14ac:dyDescent="0.2">
      <c r="B2656" s="46"/>
      <c r="C2656" s="41"/>
    </row>
    <row r="2657" spans="2:3" x14ac:dyDescent="0.2">
      <c r="B2657" s="46"/>
      <c r="C2657" s="41"/>
    </row>
    <row r="2658" spans="2:3" x14ac:dyDescent="0.2">
      <c r="B2658" s="46"/>
      <c r="C2658" s="41"/>
    </row>
    <row r="2659" spans="2:3" x14ac:dyDescent="0.2">
      <c r="B2659" s="46"/>
      <c r="C2659" s="41"/>
    </row>
    <row r="2660" spans="2:3" x14ac:dyDescent="0.2">
      <c r="B2660" s="46"/>
      <c r="C2660" s="41"/>
    </row>
    <row r="2661" spans="2:3" x14ac:dyDescent="0.2">
      <c r="B2661" s="46"/>
      <c r="C2661" s="41"/>
    </row>
    <row r="2662" spans="2:3" x14ac:dyDescent="0.2">
      <c r="B2662" s="46"/>
      <c r="C2662" s="41"/>
    </row>
    <row r="2663" spans="2:3" x14ac:dyDescent="0.2">
      <c r="B2663" s="46"/>
      <c r="C2663" s="41"/>
    </row>
    <row r="2664" spans="2:3" x14ac:dyDescent="0.2">
      <c r="B2664" s="46"/>
      <c r="C2664" s="41"/>
    </row>
    <row r="2665" spans="2:3" x14ac:dyDescent="0.2">
      <c r="B2665" s="46"/>
      <c r="C2665" s="41"/>
    </row>
    <row r="2666" spans="2:3" x14ac:dyDescent="0.2">
      <c r="B2666" s="46"/>
      <c r="C2666" s="41"/>
    </row>
    <row r="2667" spans="2:3" x14ac:dyDescent="0.2">
      <c r="B2667" s="46"/>
      <c r="C2667" s="41"/>
    </row>
    <row r="2668" spans="2:3" x14ac:dyDescent="0.2">
      <c r="B2668" s="46"/>
      <c r="C2668" s="41"/>
    </row>
    <row r="2669" spans="2:3" x14ac:dyDescent="0.2">
      <c r="B2669" s="46"/>
      <c r="C2669" s="41"/>
    </row>
    <row r="2670" spans="2:3" x14ac:dyDescent="0.2">
      <c r="B2670" s="46"/>
      <c r="C2670" s="41"/>
    </row>
    <row r="2671" spans="2:3" x14ac:dyDescent="0.2">
      <c r="B2671" s="46"/>
      <c r="C2671" s="41"/>
    </row>
    <row r="2672" spans="2:3" x14ac:dyDescent="0.2">
      <c r="B2672" s="46"/>
      <c r="C2672" s="41"/>
    </row>
    <row r="2673" spans="2:3" x14ac:dyDescent="0.2">
      <c r="B2673" s="46"/>
      <c r="C2673" s="41"/>
    </row>
    <row r="2674" spans="2:3" x14ac:dyDescent="0.2">
      <c r="B2674" s="46"/>
      <c r="C2674" s="41"/>
    </row>
    <row r="2675" spans="2:3" x14ac:dyDescent="0.2">
      <c r="B2675" s="46"/>
      <c r="C2675" s="41"/>
    </row>
    <row r="2676" spans="2:3" x14ac:dyDescent="0.2">
      <c r="B2676" s="46"/>
      <c r="C2676" s="41"/>
    </row>
    <row r="2677" spans="2:3" x14ac:dyDescent="0.2">
      <c r="B2677" s="46"/>
      <c r="C2677" s="41"/>
    </row>
    <row r="2678" spans="2:3" x14ac:dyDescent="0.2">
      <c r="B2678" s="46"/>
      <c r="C2678" s="41"/>
    </row>
    <row r="2679" spans="2:3" x14ac:dyDescent="0.2">
      <c r="B2679" s="46"/>
      <c r="C2679" s="41"/>
    </row>
    <row r="2680" spans="2:3" x14ac:dyDescent="0.2">
      <c r="B2680" s="46"/>
      <c r="C2680" s="41"/>
    </row>
    <row r="2681" spans="2:3" x14ac:dyDescent="0.2">
      <c r="B2681" s="46"/>
      <c r="C2681" s="41"/>
    </row>
    <row r="2682" spans="2:3" x14ac:dyDescent="0.2">
      <c r="B2682" s="46"/>
      <c r="C2682" s="41"/>
    </row>
    <row r="2683" spans="2:3" x14ac:dyDescent="0.2">
      <c r="B2683" s="46"/>
      <c r="C2683" s="41"/>
    </row>
    <row r="2684" spans="2:3" x14ac:dyDescent="0.2">
      <c r="B2684" s="46"/>
      <c r="C2684" s="41"/>
    </row>
    <row r="2685" spans="2:3" x14ac:dyDescent="0.2">
      <c r="B2685" s="46"/>
      <c r="C2685" s="41"/>
    </row>
    <row r="2686" spans="2:3" x14ac:dyDescent="0.2">
      <c r="B2686" s="46"/>
      <c r="C2686" s="41"/>
    </row>
    <row r="2687" spans="2:3" x14ac:dyDescent="0.2">
      <c r="B2687" s="46"/>
      <c r="C2687" s="41"/>
    </row>
    <row r="2688" spans="2:3" x14ac:dyDescent="0.2">
      <c r="B2688" s="46"/>
      <c r="C2688" s="41"/>
    </row>
    <row r="2689" spans="2:3" x14ac:dyDescent="0.2">
      <c r="B2689" s="46"/>
      <c r="C2689" s="41"/>
    </row>
    <row r="2690" spans="2:3" x14ac:dyDescent="0.2">
      <c r="B2690" s="46"/>
      <c r="C2690" s="41"/>
    </row>
    <row r="2691" spans="2:3" x14ac:dyDescent="0.2">
      <c r="B2691" s="46"/>
      <c r="C2691" s="41"/>
    </row>
    <row r="2692" spans="2:3" x14ac:dyDescent="0.2">
      <c r="B2692" s="46"/>
      <c r="C2692" s="41"/>
    </row>
    <row r="2693" spans="2:3" x14ac:dyDescent="0.2">
      <c r="B2693" s="46"/>
      <c r="C2693" s="41"/>
    </row>
    <row r="2694" spans="2:3" x14ac:dyDescent="0.2">
      <c r="B2694" s="46"/>
      <c r="C2694" s="41"/>
    </row>
    <row r="2695" spans="2:3" x14ac:dyDescent="0.2">
      <c r="B2695" s="46"/>
      <c r="C2695" s="41"/>
    </row>
    <row r="2696" spans="2:3" x14ac:dyDescent="0.2">
      <c r="B2696" s="46"/>
      <c r="C2696" s="41"/>
    </row>
    <row r="2697" spans="2:3" x14ac:dyDescent="0.2">
      <c r="B2697" s="46"/>
      <c r="C2697" s="41"/>
    </row>
    <row r="2698" spans="2:3" x14ac:dyDescent="0.2">
      <c r="B2698" s="46"/>
      <c r="C2698" s="41"/>
    </row>
    <row r="2699" spans="2:3" x14ac:dyDescent="0.2">
      <c r="B2699" s="46"/>
      <c r="C2699" s="41"/>
    </row>
    <row r="2700" spans="2:3" x14ac:dyDescent="0.2">
      <c r="B2700" s="46"/>
      <c r="C2700" s="41"/>
    </row>
    <row r="2701" spans="2:3" x14ac:dyDescent="0.2">
      <c r="B2701" s="46"/>
      <c r="C2701" s="41"/>
    </row>
    <row r="2702" spans="2:3" x14ac:dyDescent="0.2">
      <c r="B2702" s="46"/>
      <c r="C2702" s="41"/>
    </row>
    <row r="2703" spans="2:3" x14ac:dyDescent="0.2">
      <c r="B2703" s="46"/>
      <c r="C2703" s="41"/>
    </row>
    <row r="2704" spans="2:3" x14ac:dyDescent="0.2">
      <c r="B2704" s="46"/>
      <c r="C2704" s="41"/>
    </row>
    <row r="2705" spans="2:3" x14ac:dyDescent="0.2">
      <c r="B2705" s="46"/>
      <c r="C2705" s="41"/>
    </row>
    <row r="2706" spans="2:3" x14ac:dyDescent="0.2">
      <c r="B2706" s="46"/>
      <c r="C2706" s="41"/>
    </row>
    <row r="2707" spans="2:3" x14ac:dyDescent="0.2">
      <c r="B2707" s="46"/>
      <c r="C2707" s="41"/>
    </row>
    <row r="2708" spans="2:3" x14ac:dyDescent="0.2">
      <c r="B2708" s="46"/>
      <c r="C2708" s="41"/>
    </row>
    <row r="2709" spans="2:3" x14ac:dyDescent="0.2">
      <c r="B2709" s="46"/>
      <c r="C2709" s="41"/>
    </row>
    <row r="2710" spans="2:3" x14ac:dyDescent="0.2">
      <c r="B2710" s="46"/>
      <c r="C2710" s="41"/>
    </row>
    <row r="2711" spans="2:3" x14ac:dyDescent="0.2">
      <c r="B2711" s="46"/>
      <c r="C2711" s="41"/>
    </row>
    <row r="2712" spans="2:3" x14ac:dyDescent="0.2">
      <c r="B2712" s="46"/>
      <c r="C2712" s="41"/>
    </row>
    <row r="2713" spans="2:3" x14ac:dyDescent="0.2">
      <c r="B2713" s="46"/>
      <c r="C2713" s="41"/>
    </row>
    <row r="2714" spans="2:3" x14ac:dyDescent="0.2">
      <c r="B2714" s="46"/>
      <c r="C2714" s="41"/>
    </row>
    <row r="2715" spans="2:3" x14ac:dyDescent="0.2">
      <c r="B2715" s="46"/>
      <c r="C2715" s="41"/>
    </row>
    <row r="2716" spans="2:3" x14ac:dyDescent="0.2">
      <c r="B2716" s="46"/>
      <c r="C2716" s="41"/>
    </row>
    <row r="2717" spans="2:3" x14ac:dyDescent="0.2">
      <c r="B2717" s="46"/>
      <c r="C2717" s="41"/>
    </row>
    <row r="2718" spans="2:3" x14ac:dyDescent="0.2">
      <c r="B2718" s="46"/>
      <c r="C2718" s="41"/>
    </row>
    <row r="2719" spans="2:3" x14ac:dyDescent="0.2">
      <c r="B2719" s="46"/>
      <c r="C2719" s="41"/>
    </row>
    <row r="2720" spans="2:3" x14ac:dyDescent="0.2">
      <c r="B2720" s="46"/>
      <c r="C2720" s="41"/>
    </row>
    <row r="2721" spans="2:3" x14ac:dyDescent="0.2">
      <c r="B2721" s="46"/>
      <c r="C2721" s="41"/>
    </row>
    <row r="2722" spans="2:3" x14ac:dyDescent="0.2">
      <c r="B2722" s="46"/>
      <c r="C2722" s="41"/>
    </row>
    <row r="2723" spans="2:3" x14ac:dyDescent="0.2">
      <c r="B2723" s="46"/>
      <c r="C2723" s="41"/>
    </row>
    <row r="2724" spans="2:3" x14ac:dyDescent="0.2">
      <c r="B2724" s="46"/>
      <c r="C2724" s="41"/>
    </row>
    <row r="2725" spans="2:3" x14ac:dyDescent="0.2">
      <c r="B2725" s="46"/>
      <c r="C2725" s="41"/>
    </row>
    <row r="2726" spans="2:3" x14ac:dyDescent="0.2">
      <c r="B2726" s="46"/>
      <c r="C2726" s="41"/>
    </row>
    <row r="2727" spans="2:3" x14ac:dyDescent="0.2">
      <c r="B2727" s="46"/>
      <c r="C2727" s="41"/>
    </row>
    <row r="2728" spans="2:3" x14ac:dyDescent="0.2">
      <c r="B2728" s="46"/>
      <c r="C2728" s="41"/>
    </row>
    <row r="2729" spans="2:3" x14ac:dyDescent="0.2">
      <c r="B2729" s="46"/>
      <c r="C2729" s="41"/>
    </row>
    <row r="2730" spans="2:3" x14ac:dyDescent="0.2">
      <c r="B2730" s="46"/>
      <c r="C2730" s="41"/>
    </row>
    <row r="2731" spans="2:3" x14ac:dyDescent="0.2">
      <c r="B2731" s="46"/>
      <c r="C2731" s="41"/>
    </row>
    <row r="2732" spans="2:3" x14ac:dyDescent="0.2">
      <c r="B2732" s="46"/>
      <c r="C2732" s="41"/>
    </row>
    <row r="2733" spans="2:3" x14ac:dyDescent="0.2">
      <c r="B2733" s="46"/>
      <c r="C2733" s="41"/>
    </row>
    <row r="2734" spans="2:3" x14ac:dyDescent="0.2">
      <c r="B2734" s="46"/>
      <c r="C2734" s="41"/>
    </row>
    <row r="2735" spans="2:3" x14ac:dyDescent="0.2">
      <c r="B2735" s="46"/>
      <c r="C2735" s="41"/>
    </row>
    <row r="2736" spans="2:3" x14ac:dyDescent="0.2">
      <c r="B2736" s="46"/>
      <c r="C2736" s="41"/>
    </row>
    <row r="2737" spans="2:3" x14ac:dyDescent="0.2">
      <c r="B2737" s="46"/>
      <c r="C2737" s="41"/>
    </row>
    <row r="2738" spans="2:3" x14ac:dyDescent="0.2">
      <c r="B2738" s="46"/>
      <c r="C2738" s="41"/>
    </row>
    <row r="2739" spans="2:3" x14ac:dyDescent="0.2">
      <c r="B2739" s="46"/>
      <c r="C2739" s="41"/>
    </row>
    <row r="2740" spans="2:3" x14ac:dyDescent="0.2">
      <c r="B2740" s="46"/>
      <c r="C2740" s="41"/>
    </row>
    <row r="2741" spans="2:3" x14ac:dyDescent="0.2">
      <c r="B2741" s="46"/>
      <c r="C2741" s="41"/>
    </row>
    <row r="2742" spans="2:3" x14ac:dyDescent="0.2">
      <c r="B2742" s="46"/>
      <c r="C2742" s="41"/>
    </row>
    <row r="2743" spans="2:3" x14ac:dyDescent="0.2">
      <c r="B2743" s="46"/>
      <c r="C2743" s="41"/>
    </row>
    <row r="2744" spans="2:3" x14ac:dyDescent="0.2">
      <c r="B2744" s="46"/>
      <c r="C2744" s="41"/>
    </row>
    <row r="2745" spans="2:3" x14ac:dyDescent="0.2">
      <c r="B2745" s="46"/>
      <c r="C2745" s="41"/>
    </row>
    <row r="2746" spans="2:3" x14ac:dyDescent="0.2">
      <c r="B2746" s="46"/>
      <c r="C2746" s="41"/>
    </row>
    <row r="2747" spans="2:3" x14ac:dyDescent="0.2">
      <c r="B2747" s="46"/>
      <c r="C2747" s="41"/>
    </row>
    <row r="2748" spans="2:3" x14ac:dyDescent="0.2">
      <c r="B2748" s="46"/>
      <c r="C2748" s="41"/>
    </row>
    <row r="2749" spans="2:3" x14ac:dyDescent="0.2">
      <c r="B2749" s="46"/>
      <c r="C2749" s="41"/>
    </row>
    <row r="2750" spans="2:3" x14ac:dyDescent="0.2">
      <c r="B2750" s="46"/>
      <c r="C2750" s="41"/>
    </row>
    <row r="2751" spans="2:3" x14ac:dyDescent="0.2">
      <c r="B2751" s="46"/>
      <c r="C2751" s="41"/>
    </row>
    <row r="2752" spans="2:3" x14ac:dyDescent="0.2">
      <c r="B2752" s="46"/>
      <c r="C2752" s="41"/>
    </row>
    <row r="2753" spans="2:3" x14ac:dyDescent="0.2">
      <c r="B2753" s="46"/>
      <c r="C2753" s="41"/>
    </row>
    <row r="2754" spans="2:3" x14ac:dyDescent="0.2">
      <c r="B2754" s="46"/>
      <c r="C2754" s="41"/>
    </row>
    <row r="2755" spans="2:3" x14ac:dyDescent="0.2">
      <c r="B2755" s="46"/>
      <c r="C2755" s="41"/>
    </row>
    <row r="2756" spans="2:3" x14ac:dyDescent="0.2">
      <c r="B2756" s="46"/>
      <c r="C2756" s="41"/>
    </row>
    <row r="2757" spans="2:3" x14ac:dyDescent="0.2">
      <c r="B2757" s="46"/>
      <c r="C2757" s="41"/>
    </row>
    <row r="2758" spans="2:3" x14ac:dyDescent="0.2">
      <c r="B2758" s="46"/>
      <c r="C2758" s="41"/>
    </row>
    <row r="2759" spans="2:3" x14ac:dyDescent="0.2">
      <c r="B2759" s="46"/>
      <c r="C2759" s="41"/>
    </row>
    <row r="2760" spans="2:3" x14ac:dyDescent="0.2">
      <c r="B2760" s="46"/>
      <c r="C2760" s="41"/>
    </row>
    <row r="2761" spans="2:3" x14ac:dyDescent="0.2">
      <c r="B2761" s="46"/>
      <c r="C2761" s="41"/>
    </row>
    <row r="2762" spans="2:3" x14ac:dyDescent="0.2">
      <c r="B2762" s="46"/>
      <c r="C2762" s="41"/>
    </row>
    <row r="2763" spans="2:3" x14ac:dyDescent="0.2">
      <c r="B2763" s="46"/>
      <c r="C2763" s="41"/>
    </row>
    <row r="2764" spans="2:3" x14ac:dyDescent="0.2">
      <c r="B2764" s="46"/>
      <c r="C2764" s="41"/>
    </row>
    <row r="2765" spans="2:3" x14ac:dyDescent="0.2">
      <c r="B2765" s="46"/>
      <c r="C2765" s="41"/>
    </row>
    <row r="2766" spans="2:3" x14ac:dyDescent="0.2">
      <c r="B2766" s="46"/>
      <c r="C2766" s="41"/>
    </row>
    <row r="2767" spans="2:3" x14ac:dyDescent="0.2">
      <c r="B2767" s="46"/>
      <c r="C2767" s="41"/>
    </row>
    <row r="2768" spans="2:3" x14ac:dyDescent="0.2">
      <c r="B2768" s="46"/>
      <c r="C2768" s="41"/>
    </row>
    <row r="2769" spans="2:3" x14ac:dyDescent="0.2">
      <c r="B2769" s="46"/>
      <c r="C2769" s="41"/>
    </row>
    <row r="2770" spans="2:3" x14ac:dyDescent="0.2">
      <c r="B2770" s="46"/>
      <c r="C2770" s="41"/>
    </row>
    <row r="2771" spans="2:3" x14ac:dyDescent="0.2">
      <c r="B2771" s="46"/>
      <c r="C2771" s="41"/>
    </row>
    <row r="2772" spans="2:3" x14ac:dyDescent="0.2">
      <c r="B2772" s="46"/>
      <c r="C2772" s="41"/>
    </row>
    <row r="2773" spans="2:3" x14ac:dyDescent="0.2">
      <c r="B2773" s="46"/>
      <c r="C2773" s="41"/>
    </row>
    <row r="2774" spans="2:3" x14ac:dyDescent="0.2">
      <c r="B2774" s="46"/>
      <c r="C2774" s="41"/>
    </row>
    <row r="2775" spans="2:3" x14ac:dyDescent="0.2">
      <c r="B2775" s="46"/>
      <c r="C2775" s="41"/>
    </row>
    <row r="2776" spans="2:3" x14ac:dyDescent="0.2">
      <c r="B2776" s="46"/>
      <c r="C2776" s="41"/>
    </row>
    <row r="2777" spans="2:3" x14ac:dyDescent="0.2">
      <c r="B2777" s="46"/>
      <c r="C2777" s="41"/>
    </row>
    <row r="2778" spans="2:3" x14ac:dyDescent="0.2">
      <c r="B2778" s="46"/>
      <c r="C2778" s="41"/>
    </row>
    <row r="2779" spans="2:3" x14ac:dyDescent="0.2">
      <c r="B2779" s="46"/>
      <c r="C2779" s="41"/>
    </row>
    <row r="2780" spans="2:3" x14ac:dyDescent="0.2">
      <c r="B2780" s="46"/>
      <c r="C2780" s="41"/>
    </row>
    <row r="2781" spans="2:3" x14ac:dyDescent="0.2">
      <c r="B2781" s="46"/>
      <c r="C2781" s="41"/>
    </row>
    <row r="2782" spans="2:3" x14ac:dyDescent="0.2">
      <c r="B2782" s="46"/>
      <c r="C2782" s="41"/>
    </row>
    <row r="2783" spans="2:3" x14ac:dyDescent="0.2">
      <c r="B2783" s="46"/>
      <c r="C2783" s="41"/>
    </row>
    <row r="2784" spans="2:3" x14ac:dyDescent="0.2">
      <c r="B2784" s="46"/>
      <c r="C2784" s="41"/>
    </row>
    <row r="2785" spans="2:3" x14ac:dyDescent="0.2">
      <c r="B2785" s="46"/>
      <c r="C2785" s="41"/>
    </row>
    <row r="2786" spans="2:3" x14ac:dyDescent="0.2">
      <c r="B2786" s="46"/>
      <c r="C2786" s="41"/>
    </row>
    <row r="2787" spans="2:3" x14ac:dyDescent="0.2">
      <c r="B2787" s="46"/>
      <c r="C2787" s="41"/>
    </row>
    <row r="2788" spans="2:3" x14ac:dyDescent="0.2">
      <c r="B2788" s="46"/>
      <c r="C2788" s="41"/>
    </row>
    <row r="2789" spans="2:3" x14ac:dyDescent="0.2">
      <c r="B2789" s="46"/>
      <c r="C2789" s="41"/>
    </row>
    <row r="2790" spans="2:3" x14ac:dyDescent="0.2">
      <c r="B2790" s="46"/>
      <c r="C2790" s="41"/>
    </row>
    <row r="2791" spans="2:3" x14ac:dyDescent="0.2">
      <c r="B2791" s="46"/>
      <c r="C2791" s="41"/>
    </row>
    <row r="2792" spans="2:3" x14ac:dyDescent="0.2">
      <c r="B2792" s="46"/>
      <c r="C2792" s="41"/>
    </row>
    <row r="2793" spans="2:3" x14ac:dyDescent="0.2">
      <c r="B2793" s="46"/>
      <c r="C2793" s="41"/>
    </row>
    <row r="2794" spans="2:3" x14ac:dyDescent="0.2">
      <c r="B2794" s="46"/>
      <c r="C2794" s="41"/>
    </row>
    <row r="2795" spans="2:3" x14ac:dyDescent="0.2">
      <c r="B2795" s="46"/>
      <c r="C2795" s="41"/>
    </row>
    <row r="2796" spans="2:3" x14ac:dyDescent="0.2">
      <c r="B2796" s="46"/>
      <c r="C2796" s="41"/>
    </row>
    <row r="2797" spans="2:3" x14ac:dyDescent="0.2">
      <c r="B2797" s="46"/>
      <c r="C2797" s="41"/>
    </row>
    <row r="2798" spans="2:3" x14ac:dyDescent="0.2">
      <c r="B2798" s="46"/>
      <c r="C2798" s="41"/>
    </row>
    <row r="2799" spans="2:3" x14ac:dyDescent="0.2">
      <c r="B2799" s="46"/>
      <c r="C2799" s="41"/>
    </row>
    <row r="2800" spans="2:3" x14ac:dyDescent="0.2">
      <c r="B2800" s="46"/>
      <c r="C2800" s="41"/>
    </row>
    <row r="2801" spans="2:3" x14ac:dyDescent="0.2">
      <c r="B2801" s="46"/>
      <c r="C2801" s="41"/>
    </row>
    <row r="2802" spans="2:3" x14ac:dyDescent="0.2">
      <c r="B2802" s="46"/>
      <c r="C2802" s="41"/>
    </row>
    <row r="2803" spans="2:3" x14ac:dyDescent="0.2">
      <c r="B2803" s="46"/>
      <c r="C2803" s="41"/>
    </row>
    <row r="2804" spans="2:3" x14ac:dyDescent="0.2">
      <c r="B2804" s="46"/>
      <c r="C2804" s="41"/>
    </row>
    <row r="2805" spans="2:3" x14ac:dyDescent="0.2">
      <c r="B2805" s="46"/>
      <c r="C2805" s="41"/>
    </row>
    <row r="2806" spans="2:3" x14ac:dyDescent="0.2">
      <c r="B2806" s="46"/>
      <c r="C2806" s="41"/>
    </row>
    <row r="2807" spans="2:3" x14ac:dyDescent="0.2">
      <c r="B2807" s="46"/>
      <c r="C2807" s="41"/>
    </row>
    <row r="2808" spans="2:3" x14ac:dyDescent="0.2">
      <c r="B2808" s="46"/>
      <c r="C2808" s="41"/>
    </row>
    <row r="2809" spans="2:3" x14ac:dyDescent="0.2">
      <c r="B2809" s="46"/>
      <c r="C2809" s="41"/>
    </row>
    <row r="2810" spans="2:3" x14ac:dyDescent="0.2">
      <c r="B2810" s="46"/>
      <c r="C2810" s="41"/>
    </row>
    <row r="2811" spans="2:3" x14ac:dyDescent="0.2">
      <c r="B2811" s="46"/>
      <c r="C2811" s="41"/>
    </row>
    <row r="2812" spans="2:3" x14ac:dyDescent="0.2">
      <c r="B2812" s="46"/>
      <c r="C2812" s="41"/>
    </row>
    <row r="2813" spans="2:3" x14ac:dyDescent="0.2">
      <c r="B2813" s="46"/>
      <c r="C2813" s="41"/>
    </row>
    <row r="2814" spans="2:3" x14ac:dyDescent="0.2">
      <c r="B2814" s="46"/>
      <c r="C2814" s="41"/>
    </row>
    <row r="2815" spans="2:3" x14ac:dyDescent="0.2">
      <c r="B2815" s="46"/>
      <c r="C2815" s="41"/>
    </row>
    <row r="2816" spans="2:3" x14ac:dyDescent="0.2">
      <c r="B2816" s="46"/>
      <c r="C2816" s="41"/>
    </row>
    <row r="2817" spans="2:3" x14ac:dyDescent="0.2">
      <c r="B2817" s="46"/>
      <c r="C2817" s="41"/>
    </row>
    <row r="2818" spans="2:3" x14ac:dyDescent="0.2">
      <c r="B2818" s="46"/>
      <c r="C2818" s="41"/>
    </row>
    <row r="2819" spans="2:3" x14ac:dyDescent="0.2">
      <c r="B2819" s="46"/>
      <c r="C2819" s="41"/>
    </row>
    <row r="2820" spans="2:3" x14ac:dyDescent="0.2">
      <c r="B2820" s="46"/>
      <c r="C2820" s="41"/>
    </row>
    <row r="2821" spans="2:3" x14ac:dyDescent="0.2">
      <c r="B2821" s="46"/>
      <c r="C2821" s="41"/>
    </row>
    <row r="2822" spans="2:3" x14ac:dyDescent="0.2">
      <c r="B2822" s="46"/>
      <c r="C2822" s="41"/>
    </row>
    <row r="2823" spans="2:3" x14ac:dyDescent="0.2">
      <c r="B2823" s="46"/>
      <c r="C2823" s="41"/>
    </row>
    <row r="2824" spans="2:3" x14ac:dyDescent="0.2">
      <c r="B2824" s="46"/>
      <c r="C2824" s="41"/>
    </row>
    <row r="2825" spans="2:3" x14ac:dyDescent="0.2">
      <c r="B2825" s="46"/>
      <c r="C2825" s="41"/>
    </row>
    <row r="2826" spans="2:3" x14ac:dyDescent="0.2">
      <c r="B2826" s="46"/>
      <c r="C2826" s="41"/>
    </row>
    <row r="2827" spans="2:3" x14ac:dyDescent="0.2">
      <c r="B2827" s="46"/>
      <c r="C2827" s="41"/>
    </row>
    <row r="2828" spans="2:3" x14ac:dyDescent="0.2">
      <c r="B2828" s="46"/>
      <c r="C2828" s="41"/>
    </row>
    <row r="2829" spans="2:3" x14ac:dyDescent="0.2">
      <c r="B2829" s="46"/>
      <c r="C2829" s="41"/>
    </row>
    <row r="2830" spans="2:3" x14ac:dyDescent="0.2">
      <c r="B2830" s="46"/>
      <c r="C2830" s="41"/>
    </row>
    <row r="2831" spans="2:3" x14ac:dyDescent="0.2">
      <c r="B2831" s="46"/>
      <c r="C2831" s="41"/>
    </row>
    <row r="2832" spans="2:3" x14ac:dyDescent="0.2">
      <c r="B2832" s="46"/>
      <c r="C2832" s="41"/>
    </row>
    <row r="2833" spans="2:3" x14ac:dyDescent="0.2">
      <c r="B2833" s="46"/>
      <c r="C2833" s="41"/>
    </row>
    <row r="2834" spans="2:3" x14ac:dyDescent="0.2">
      <c r="B2834" s="46"/>
      <c r="C2834" s="41"/>
    </row>
    <row r="2835" spans="2:3" x14ac:dyDescent="0.2">
      <c r="B2835" s="46"/>
      <c r="C2835" s="41"/>
    </row>
    <row r="2836" spans="2:3" x14ac:dyDescent="0.2">
      <c r="B2836" s="46"/>
      <c r="C2836" s="41"/>
    </row>
    <row r="2837" spans="2:3" x14ac:dyDescent="0.2">
      <c r="B2837" s="46"/>
      <c r="C2837" s="41"/>
    </row>
    <row r="2838" spans="2:3" x14ac:dyDescent="0.2">
      <c r="B2838" s="46"/>
      <c r="C2838" s="41"/>
    </row>
    <row r="2839" spans="2:3" x14ac:dyDescent="0.2">
      <c r="B2839" s="46"/>
      <c r="C2839" s="41"/>
    </row>
    <row r="2840" spans="2:3" x14ac:dyDescent="0.2">
      <c r="B2840" s="46"/>
      <c r="C2840" s="41"/>
    </row>
    <row r="2841" spans="2:3" x14ac:dyDescent="0.2">
      <c r="B2841" s="46"/>
      <c r="C2841" s="41"/>
    </row>
    <row r="2842" spans="2:3" x14ac:dyDescent="0.2">
      <c r="B2842" s="46"/>
      <c r="C2842" s="41"/>
    </row>
    <row r="2843" spans="2:3" x14ac:dyDescent="0.2">
      <c r="B2843" s="46"/>
      <c r="C2843" s="41"/>
    </row>
    <row r="2844" spans="2:3" x14ac:dyDescent="0.2">
      <c r="B2844" s="46"/>
      <c r="C2844" s="41"/>
    </row>
    <row r="2845" spans="2:3" x14ac:dyDescent="0.2">
      <c r="B2845" s="46"/>
      <c r="C2845" s="41"/>
    </row>
    <row r="2846" spans="2:3" x14ac:dyDescent="0.2">
      <c r="B2846" s="46"/>
      <c r="C2846" s="41"/>
    </row>
    <row r="2847" spans="2:3" x14ac:dyDescent="0.2">
      <c r="B2847" s="46"/>
      <c r="C2847" s="41"/>
    </row>
    <row r="2848" spans="2:3" x14ac:dyDescent="0.2">
      <c r="B2848" s="46"/>
      <c r="C2848" s="41"/>
    </row>
    <row r="2849" spans="2:3" x14ac:dyDescent="0.2">
      <c r="B2849" s="46"/>
      <c r="C2849" s="41"/>
    </row>
    <row r="2850" spans="2:3" x14ac:dyDescent="0.2">
      <c r="B2850" s="46"/>
      <c r="C2850" s="41"/>
    </row>
    <row r="2851" spans="2:3" x14ac:dyDescent="0.2">
      <c r="B2851" s="46"/>
      <c r="C2851" s="41"/>
    </row>
    <row r="2852" spans="2:3" x14ac:dyDescent="0.2">
      <c r="B2852" s="46"/>
      <c r="C2852" s="41"/>
    </row>
    <row r="2853" spans="2:3" x14ac:dyDescent="0.2">
      <c r="B2853" s="46"/>
      <c r="C2853" s="41"/>
    </row>
    <row r="2854" spans="2:3" x14ac:dyDescent="0.2">
      <c r="B2854" s="46"/>
      <c r="C2854" s="41"/>
    </row>
    <row r="2855" spans="2:3" x14ac:dyDescent="0.2">
      <c r="B2855" s="46"/>
      <c r="C2855" s="41"/>
    </row>
    <row r="2856" spans="2:3" x14ac:dyDescent="0.2">
      <c r="B2856" s="46"/>
      <c r="C2856" s="41"/>
    </row>
    <row r="2857" spans="2:3" x14ac:dyDescent="0.2">
      <c r="B2857" s="46"/>
      <c r="C2857" s="41"/>
    </row>
    <row r="2858" spans="2:3" x14ac:dyDescent="0.2">
      <c r="B2858" s="46"/>
      <c r="C2858" s="41"/>
    </row>
    <row r="2859" spans="2:3" x14ac:dyDescent="0.2">
      <c r="B2859" s="46"/>
      <c r="C2859" s="41"/>
    </row>
    <row r="2860" spans="2:3" x14ac:dyDescent="0.2">
      <c r="B2860" s="46"/>
      <c r="C2860" s="41"/>
    </row>
    <row r="2861" spans="2:3" x14ac:dyDescent="0.2">
      <c r="B2861" s="46"/>
      <c r="C2861" s="41"/>
    </row>
    <row r="2862" spans="2:3" x14ac:dyDescent="0.2">
      <c r="B2862" s="46"/>
      <c r="C2862" s="41"/>
    </row>
    <row r="2863" spans="2:3" x14ac:dyDescent="0.2">
      <c r="B2863" s="46"/>
      <c r="C2863" s="41"/>
    </row>
    <row r="2864" spans="2:3" x14ac:dyDescent="0.2">
      <c r="B2864" s="46"/>
      <c r="C2864" s="41"/>
    </row>
    <row r="2865" spans="2:3" x14ac:dyDescent="0.2">
      <c r="B2865" s="46"/>
      <c r="C2865" s="41"/>
    </row>
    <row r="2866" spans="2:3" x14ac:dyDescent="0.2">
      <c r="B2866" s="46"/>
      <c r="C2866" s="41"/>
    </row>
    <row r="2867" spans="2:3" x14ac:dyDescent="0.2">
      <c r="B2867" s="46"/>
      <c r="C2867" s="41"/>
    </row>
    <row r="2868" spans="2:3" x14ac:dyDescent="0.2">
      <c r="B2868" s="46"/>
      <c r="C2868" s="41"/>
    </row>
    <row r="2869" spans="2:3" x14ac:dyDescent="0.2">
      <c r="B2869" s="46"/>
      <c r="C2869" s="41"/>
    </row>
    <row r="2870" spans="2:3" x14ac:dyDescent="0.2">
      <c r="B2870" s="46"/>
      <c r="C2870" s="41"/>
    </row>
    <row r="2871" spans="2:3" x14ac:dyDescent="0.2">
      <c r="B2871" s="46"/>
      <c r="C2871" s="41"/>
    </row>
    <row r="2872" spans="2:3" x14ac:dyDescent="0.2">
      <c r="B2872" s="46"/>
      <c r="C2872" s="41"/>
    </row>
    <row r="2873" spans="2:3" x14ac:dyDescent="0.2">
      <c r="B2873" s="46"/>
      <c r="C2873" s="41"/>
    </row>
    <row r="2874" spans="2:3" x14ac:dyDescent="0.2">
      <c r="B2874" s="46"/>
      <c r="C2874" s="41"/>
    </row>
    <row r="2875" spans="2:3" x14ac:dyDescent="0.2">
      <c r="B2875" s="46"/>
      <c r="C2875" s="41"/>
    </row>
    <row r="2876" spans="2:3" x14ac:dyDescent="0.2">
      <c r="B2876" s="46"/>
      <c r="C2876" s="41"/>
    </row>
    <row r="2877" spans="2:3" x14ac:dyDescent="0.2">
      <c r="B2877" s="46"/>
      <c r="C2877" s="41"/>
    </row>
    <row r="2878" spans="2:3" x14ac:dyDescent="0.2">
      <c r="B2878" s="46"/>
      <c r="C2878" s="41"/>
    </row>
    <row r="2879" spans="2:3" x14ac:dyDescent="0.2">
      <c r="B2879" s="46"/>
      <c r="C2879" s="41"/>
    </row>
    <row r="2880" spans="2:3" x14ac:dyDescent="0.2">
      <c r="B2880" s="46"/>
      <c r="C2880" s="41"/>
    </row>
    <row r="2881" spans="2:3" x14ac:dyDescent="0.2">
      <c r="B2881" s="46"/>
      <c r="C2881" s="41"/>
    </row>
    <row r="2882" spans="2:3" x14ac:dyDescent="0.2">
      <c r="B2882" s="46"/>
      <c r="C2882" s="41"/>
    </row>
    <row r="2883" spans="2:3" x14ac:dyDescent="0.2">
      <c r="B2883" s="46"/>
      <c r="C2883" s="41"/>
    </row>
    <row r="2884" spans="2:3" x14ac:dyDescent="0.2">
      <c r="B2884" s="46"/>
      <c r="C2884" s="41"/>
    </row>
    <row r="2885" spans="2:3" x14ac:dyDescent="0.2">
      <c r="B2885" s="46"/>
      <c r="C2885" s="41"/>
    </row>
    <row r="2886" spans="2:3" x14ac:dyDescent="0.2">
      <c r="B2886" s="46"/>
      <c r="C2886" s="41"/>
    </row>
    <row r="2887" spans="2:3" x14ac:dyDescent="0.2">
      <c r="B2887" s="46"/>
      <c r="C2887" s="41"/>
    </row>
    <row r="2888" spans="2:3" x14ac:dyDescent="0.2">
      <c r="B2888" s="46"/>
      <c r="C2888" s="41"/>
    </row>
    <row r="2889" spans="2:3" x14ac:dyDescent="0.2">
      <c r="B2889" s="46"/>
      <c r="C2889" s="41"/>
    </row>
    <row r="2890" spans="2:3" x14ac:dyDescent="0.2">
      <c r="B2890" s="46"/>
      <c r="C2890" s="41"/>
    </row>
    <row r="2891" spans="2:3" x14ac:dyDescent="0.2">
      <c r="B2891" s="46"/>
      <c r="C2891" s="41"/>
    </row>
    <row r="2892" spans="2:3" x14ac:dyDescent="0.2">
      <c r="B2892" s="46"/>
      <c r="C2892" s="41"/>
    </row>
    <row r="2893" spans="2:3" x14ac:dyDescent="0.2">
      <c r="B2893" s="46"/>
      <c r="C2893" s="41"/>
    </row>
    <row r="2894" spans="2:3" x14ac:dyDescent="0.2">
      <c r="B2894" s="46"/>
      <c r="C2894" s="41"/>
    </row>
    <row r="2895" spans="2:3" x14ac:dyDescent="0.2">
      <c r="B2895" s="46"/>
      <c r="C2895" s="41"/>
    </row>
    <row r="2896" spans="2:3" x14ac:dyDescent="0.2">
      <c r="B2896" s="46"/>
      <c r="C2896" s="41"/>
    </row>
    <row r="2897" spans="2:3" x14ac:dyDescent="0.2">
      <c r="B2897" s="46"/>
      <c r="C2897" s="41"/>
    </row>
    <row r="2898" spans="2:3" x14ac:dyDescent="0.2">
      <c r="B2898" s="46"/>
      <c r="C2898" s="41"/>
    </row>
    <row r="2899" spans="2:3" x14ac:dyDescent="0.2">
      <c r="B2899" s="46"/>
      <c r="C2899" s="41"/>
    </row>
    <row r="2900" spans="2:3" x14ac:dyDescent="0.2">
      <c r="B2900" s="46"/>
      <c r="C2900" s="41"/>
    </row>
    <row r="2901" spans="2:3" x14ac:dyDescent="0.2">
      <c r="B2901" s="46"/>
      <c r="C2901" s="41"/>
    </row>
    <row r="2902" spans="2:3" x14ac:dyDescent="0.2">
      <c r="B2902" s="46"/>
      <c r="C2902" s="41"/>
    </row>
    <row r="2903" spans="2:3" x14ac:dyDescent="0.2">
      <c r="B2903" s="46"/>
      <c r="C2903" s="41"/>
    </row>
    <row r="2904" spans="2:3" x14ac:dyDescent="0.2">
      <c r="B2904" s="46"/>
      <c r="C2904" s="41"/>
    </row>
    <row r="2905" spans="2:3" x14ac:dyDescent="0.2">
      <c r="B2905" s="46"/>
      <c r="C2905" s="41"/>
    </row>
    <row r="2906" spans="2:3" x14ac:dyDescent="0.2">
      <c r="B2906" s="46"/>
      <c r="C2906" s="41"/>
    </row>
    <row r="2907" spans="2:3" x14ac:dyDescent="0.2">
      <c r="B2907" s="46"/>
      <c r="C2907" s="41"/>
    </row>
    <row r="2908" spans="2:3" x14ac:dyDescent="0.2">
      <c r="B2908" s="46"/>
      <c r="C2908" s="41"/>
    </row>
    <row r="2909" spans="2:3" x14ac:dyDescent="0.2">
      <c r="B2909" s="46"/>
      <c r="C2909" s="41"/>
    </row>
    <row r="2910" spans="2:3" x14ac:dyDescent="0.2">
      <c r="B2910" s="46"/>
      <c r="C2910" s="41"/>
    </row>
    <row r="2911" spans="2:3" x14ac:dyDescent="0.2">
      <c r="B2911" s="46"/>
      <c r="C2911" s="41"/>
    </row>
    <row r="2912" spans="2:3" x14ac:dyDescent="0.2">
      <c r="B2912" s="46"/>
      <c r="C2912" s="41"/>
    </row>
    <row r="2913" spans="2:3" x14ac:dyDescent="0.2">
      <c r="B2913" s="46"/>
      <c r="C2913" s="41"/>
    </row>
    <row r="2914" spans="2:3" x14ac:dyDescent="0.2">
      <c r="B2914" s="46"/>
      <c r="C2914" s="41"/>
    </row>
    <row r="2915" spans="2:3" x14ac:dyDescent="0.2">
      <c r="B2915" s="46"/>
      <c r="C2915" s="41"/>
    </row>
    <row r="2916" spans="2:3" x14ac:dyDescent="0.2">
      <c r="B2916" s="46"/>
      <c r="C2916" s="41"/>
    </row>
    <row r="2917" spans="2:3" x14ac:dyDescent="0.2">
      <c r="B2917" s="46"/>
      <c r="C2917" s="41"/>
    </row>
    <row r="2918" spans="2:3" x14ac:dyDescent="0.2">
      <c r="B2918" s="46"/>
      <c r="C2918" s="41"/>
    </row>
    <row r="2919" spans="2:3" x14ac:dyDescent="0.2">
      <c r="B2919" s="46"/>
      <c r="C2919" s="41"/>
    </row>
    <row r="2920" spans="2:3" x14ac:dyDescent="0.2">
      <c r="B2920" s="46"/>
      <c r="C2920" s="41"/>
    </row>
    <row r="2921" spans="2:3" x14ac:dyDescent="0.2">
      <c r="B2921" s="46"/>
      <c r="C2921" s="41"/>
    </row>
    <row r="2922" spans="2:3" x14ac:dyDescent="0.2">
      <c r="B2922" s="46"/>
      <c r="C2922" s="41"/>
    </row>
    <row r="2923" spans="2:3" x14ac:dyDescent="0.2">
      <c r="B2923" s="46"/>
      <c r="C2923" s="41"/>
    </row>
    <row r="2924" spans="2:3" x14ac:dyDescent="0.2">
      <c r="B2924" s="46"/>
      <c r="C2924" s="41"/>
    </row>
    <row r="2925" spans="2:3" x14ac:dyDescent="0.2">
      <c r="B2925" s="46"/>
      <c r="C2925" s="41"/>
    </row>
    <row r="2926" spans="2:3" x14ac:dyDescent="0.2">
      <c r="B2926" s="46"/>
      <c r="C2926" s="41"/>
    </row>
    <row r="2927" spans="2:3" x14ac:dyDescent="0.2">
      <c r="B2927" s="46"/>
      <c r="C2927" s="41"/>
    </row>
    <row r="2928" spans="2:3" x14ac:dyDescent="0.2">
      <c r="B2928" s="46"/>
      <c r="C2928" s="41"/>
    </row>
    <row r="2929" spans="2:3" x14ac:dyDescent="0.2">
      <c r="B2929" s="46"/>
      <c r="C2929" s="41"/>
    </row>
    <row r="2930" spans="2:3" x14ac:dyDescent="0.2">
      <c r="B2930" s="46"/>
      <c r="C2930" s="41"/>
    </row>
    <row r="2931" spans="2:3" x14ac:dyDescent="0.2">
      <c r="B2931" s="46"/>
      <c r="C2931" s="41"/>
    </row>
    <row r="2932" spans="2:3" x14ac:dyDescent="0.2">
      <c r="B2932" s="46"/>
      <c r="C2932" s="41"/>
    </row>
    <row r="2933" spans="2:3" x14ac:dyDescent="0.2">
      <c r="B2933" s="46"/>
      <c r="C2933" s="41"/>
    </row>
    <row r="2934" spans="2:3" x14ac:dyDescent="0.2">
      <c r="B2934" s="46"/>
      <c r="C2934" s="41"/>
    </row>
    <row r="2935" spans="2:3" x14ac:dyDescent="0.2">
      <c r="B2935" s="46"/>
      <c r="C2935" s="41"/>
    </row>
    <row r="2936" spans="2:3" x14ac:dyDescent="0.2">
      <c r="B2936" s="46"/>
      <c r="C2936" s="41"/>
    </row>
    <row r="2937" spans="2:3" x14ac:dyDescent="0.2">
      <c r="B2937" s="46"/>
      <c r="C2937" s="41"/>
    </row>
    <row r="2938" spans="2:3" x14ac:dyDescent="0.2">
      <c r="B2938" s="46"/>
      <c r="C2938" s="41"/>
    </row>
    <row r="2939" spans="2:3" x14ac:dyDescent="0.2">
      <c r="B2939" s="46"/>
      <c r="C2939" s="41"/>
    </row>
    <row r="2940" spans="2:3" x14ac:dyDescent="0.2">
      <c r="B2940" s="46"/>
      <c r="C2940" s="41"/>
    </row>
    <row r="2941" spans="2:3" x14ac:dyDescent="0.2">
      <c r="B2941" s="46"/>
      <c r="C2941" s="41"/>
    </row>
    <row r="2942" spans="2:3" x14ac:dyDescent="0.2">
      <c r="B2942" s="46"/>
      <c r="C2942" s="41"/>
    </row>
    <row r="2943" spans="2:3" x14ac:dyDescent="0.2">
      <c r="B2943" s="46"/>
      <c r="C2943" s="41"/>
    </row>
    <row r="2944" spans="2:3" x14ac:dyDescent="0.2">
      <c r="B2944" s="46"/>
      <c r="C2944" s="41"/>
    </row>
    <row r="2945" spans="2:3" x14ac:dyDescent="0.2">
      <c r="B2945" s="46"/>
      <c r="C2945" s="41"/>
    </row>
    <row r="2946" spans="2:3" x14ac:dyDescent="0.2">
      <c r="B2946" s="46"/>
      <c r="C2946" s="41"/>
    </row>
    <row r="2947" spans="2:3" x14ac:dyDescent="0.2">
      <c r="B2947" s="46"/>
      <c r="C2947" s="41"/>
    </row>
    <row r="2948" spans="2:3" x14ac:dyDescent="0.2">
      <c r="B2948" s="46"/>
      <c r="C2948" s="41"/>
    </row>
    <row r="2949" spans="2:3" x14ac:dyDescent="0.2">
      <c r="B2949" s="46"/>
      <c r="C2949" s="41"/>
    </row>
    <row r="2950" spans="2:3" x14ac:dyDescent="0.2">
      <c r="B2950" s="46"/>
      <c r="C2950" s="41"/>
    </row>
    <row r="2951" spans="2:3" x14ac:dyDescent="0.2">
      <c r="B2951" s="46"/>
      <c r="C2951" s="41"/>
    </row>
    <row r="2952" spans="2:3" x14ac:dyDescent="0.2">
      <c r="B2952" s="46"/>
      <c r="C2952" s="41"/>
    </row>
    <row r="2953" spans="2:3" x14ac:dyDescent="0.2">
      <c r="B2953" s="46"/>
      <c r="C2953" s="41"/>
    </row>
    <row r="2954" spans="2:3" x14ac:dyDescent="0.2">
      <c r="B2954" s="46"/>
      <c r="C2954" s="41"/>
    </row>
    <row r="2955" spans="2:3" x14ac:dyDescent="0.2">
      <c r="B2955" s="46"/>
      <c r="C2955" s="41"/>
    </row>
    <row r="2956" spans="2:3" x14ac:dyDescent="0.2">
      <c r="B2956" s="46"/>
      <c r="C2956" s="41"/>
    </row>
    <row r="2957" spans="2:3" x14ac:dyDescent="0.2">
      <c r="B2957" s="46"/>
      <c r="C2957" s="41"/>
    </row>
    <row r="2958" spans="2:3" x14ac:dyDescent="0.2">
      <c r="B2958" s="46"/>
      <c r="C2958" s="41"/>
    </row>
    <row r="2959" spans="2:3" x14ac:dyDescent="0.2">
      <c r="B2959" s="46"/>
      <c r="C2959" s="41"/>
    </row>
    <row r="2960" spans="2:3" x14ac:dyDescent="0.2">
      <c r="B2960" s="46"/>
      <c r="C2960" s="41"/>
    </row>
    <row r="2961" spans="2:3" x14ac:dyDescent="0.2">
      <c r="B2961" s="46"/>
      <c r="C2961" s="41"/>
    </row>
    <row r="2962" spans="2:3" x14ac:dyDescent="0.2">
      <c r="B2962" s="46"/>
      <c r="C2962" s="41"/>
    </row>
    <row r="2963" spans="2:3" x14ac:dyDescent="0.2">
      <c r="B2963" s="46"/>
      <c r="C2963" s="41"/>
    </row>
    <row r="2964" spans="2:3" x14ac:dyDescent="0.2">
      <c r="B2964" s="46"/>
      <c r="C2964" s="41"/>
    </row>
    <row r="2965" spans="2:3" x14ac:dyDescent="0.2">
      <c r="B2965" s="46"/>
      <c r="C2965" s="41"/>
    </row>
    <row r="2966" spans="2:3" x14ac:dyDescent="0.2">
      <c r="B2966" s="46"/>
      <c r="C2966" s="41"/>
    </row>
    <row r="2967" spans="2:3" x14ac:dyDescent="0.2">
      <c r="B2967" s="46"/>
      <c r="C2967" s="41"/>
    </row>
    <row r="2968" spans="2:3" x14ac:dyDescent="0.2">
      <c r="B2968" s="46"/>
      <c r="C2968" s="41"/>
    </row>
    <row r="2969" spans="2:3" x14ac:dyDescent="0.2">
      <c r="B2969" s="46"/>
      <c r="C2969" s="41"/>
    </row>
    <row r="2970" spans="2:3" x14ac:dyDescent="0.2">
      <c r="B2970" s="46"/>
      <c r="C2970" s="41"/>
    </row>
    <row r="2971" spans="2:3" x14ac:dyDescent="0.2">
      <c r="B2971" s="46"/>
      <c r="C2971" s="41"/>
    </row>
    <row r="2972" spans="2:3" x14ac:dyDescent="0.2">
      <c r="B2972" s="46"/>
      <c r="C2972" s="41"/>
    </row>
    <row r="2973" spans="2:3" x14ac:dyDescent="0.2">
      <c r="B2973" s="46"/>
      <c r="C2973" s="41"/>
    </row>
    <row r="2974" spans="2:3" x14ac:dyDescent="0.2">
      <c r="B2974" s="46"/>
      <c r="C2974" s="41"/>
    </row>
    <row r="2975" spans="2:3" x14ac:dyDescent="0.2">
      <c r="B2975" s="46"/>
      <c r="C2975" s="41"/>
    </row>
    <row r="2976" spans="2:3" x14ac:dyDescent="0.2">
      <c r="B2976" s="46"/>
      <c r="C2976" s="41"/>
    </row>
    <row r="2977" spans="2:3" x14ac:dyDescent="0.2">
      <c r="B2977" s="46"/>
      <c r="C2977" s="41"/>
    </row>
    <row r="2978" spans="2:3" x14ac:dyDescent="0.2">
      <c r="B2978" s="46"/>
      <c r="C2978" s="41"/>
    </row>
    <row r="2979" spans="2:3" x14ac:dyDescent="0.2">
      <c r="B2979" s="46"/>
      <c r="C2979" s="41"/>
    </row>
    <row r="2980" spans="2:3" x14ac:dyDescent="0.2">
      <c r="B2980" s="46"/>
      <c r="C2980" s="41"/>
    </row>
    <row r="2981" spans="2:3" x14ac:dyDescent="0.2">
      <c r="B2981" s="46"/>
      <c r="C2981" s="41"/>
    </row>
    <row r="2982" spans="2:3" x14ac:dyDescent="0.2">
      <c r="B2982" s="46"/>
      <c r="C2982" s="41"/>
    </row>
    <row r="2983" spans="2:3" x14ac:dyDescent="0.2">
      <c r="B2983" s="46"/>
      <c r="C2983" s="41"/>
    </row>
    <row r="2984" spans="2:3" x14ac:dyDescent="0.2">
      <c r="B2984" s="46"/>
      <c r="C2984" s="41"/>
    </row>
    <row r="2985" spans="2:3" x14ac:dyDescent="0.2">
      <c r="B2985" s="46"/>
      <c r="C2985" s="41"/>
    </row>
    <row r="2986" spans="2:3" x14ac:dyDescent="0.2">
      <c r="B2986" s="46"/>
      <c r="C2986" s="41"/>
    </row>
    <row r="2987" spans="2:3" x14ac:dyDescent="0.2">
      <c r="B2987" s="46"/>
      <c r="C2987" s="41"/>
    </row>
    <row r="2988" spans="2:3" x14ac:dyDescent="0.2">
      <c r="B2988" s="46"/>
      <c r="C2988" s="41"/>
    </row>
    <row r="2989" spans="2:3" x14ac:dyDescent="0.2">
      <c r="B2989" s="46"/>
      <c r="C2989" s="41"/>
    </row>
    <row r="2990" spans="2:3" x14ac:dyDescent="0.2">
      <c r="B2990" s="46"/>
      <c r="C2990" s="41"/>
    </row>
    <row r="2991" spans="2:3" x14ac:dyDescent="0.2">
      <c r="B2991" s="46"/>
      <c r="C2991" s="41"/>
    </row>
    <row r="2992" spans="2:3" x14ac:dyDescent="0.2">
      <c r="B2992" s="46"/>
      <c r="C2992" s="41"/>
    </row>
    <row r="2993" spans="2:3" x14ac:dyDescent="0.2">
      <c r="B2993" s="46"/>
      <c r="C2993" s="41"/>
    </row>
    <row r="2994" spans="2:3" x14ac:dyDescent="0.2">
      <c r="B2994" s="46"/>
      <c r="C2994" s="41"/>
    </row>
    <row r="2995" spans="2:3" x14ac:dyDescent="0.2">
      <c r="B2995" s="46"/>
      <c r="C2995" s="41"/>
    </row>
    <row r="2996" spans="2:3" x14ac:dyDescent="0.2">
      <c r="B2996" s="46"/>
      <c r="C2996" s="41"/>
    </row>
    <row r="2997" spans="2:3" x14ac:dyDescent="0.2">
      <c r="B2997" s="46"/>
      <c r="C2997" s="41"/>
    </row>
    <row r="2998" spans="2:3" x14ac:dyDescent="0.2">
      <c r="B2998" s="46"/>
      <c r="C2998" s="41"/>
    </row>
    <row r="2999" spans="2:3" x14ac:dyDescent="0.2">
      <c r="B2999" s="46"/>
      <c r="C2999" s="41"/>
    </row>
    <row r="3000" spans="2:3" x14ac:dyDescent="0.2">
      <c r="B3000" s="46"/>
      <c r="C3000" s="41"/>
    </row>
    <row r="3001" spans="2:3" x14ac:dyDescent="0.2">
      <c r="B3001" s="46"/>
      <c r="C3001" s="41"/>
    </row>
    <row r="3002" spans="2:3" x14ac:dyDescent="0.2">
      <c r="B3002" s="46"/>
      <c r="C3002" s="41"/>
    </row>
    <row r="3003" spans="2:3" x14ac:dyDescent="0.2">
      <c r="B3003" s="46"/>
      <c r="C3003" s="41"/>
    </row>
    <row r="3004" spans="2:3" x14ac:dyDescent="0.2">
      <c r="B3004" s="46"/>
      <c r="C3004" s="41"/>
    </row>
    <row r="3005" spans="2:3" x14ac:dyDescent="0.2">
      <c r="B3005" s="46"/>
      <c r="C3005" s="41"/>
    </row>
    <row r="3006" spans="2:3" x14ac:dyDescent="0.2">
      <c r="B3006" s="46"/>
      <c r="C3006" s="41"/>
    </row>
    <row r="3007" spans="2:3" x14ac:dyDescent="0.2">
      <c r="B3007" s="46"/>
      <c r="C3007" s="41"/>
    </row>
    <row r="3008" spans="2:3" x14ac:dyDescent="0.2">
      <c r="B3008" s="46"/>
      <c r="C3008" s="41"/>
    </row>
    <row r="3009" spans="2:3" x14ac:dyDescent="0.2">
      <c r="B3009" s="46"/>
      <c r="C3009" s="41"/>
    </row>
    <row r="3010" spans="2:3" x14ac:dyDescent="0.2">
      <c r="B3010" s="46"/>
      <c r="C3010" s="41"/>
    </row>
    <row r="3011" spans="2:3" x14ac:dyDescent="0.2">
      <c r="B3011" s="46"/>
      <c r="C3011" s="41"/>
    </row>
    <row r="3012" spans="2:3" x14ac:dyDescent="0.2">
      <c r="B3012" s="46"/>
      <c r="C3012" s="41"/>
    </row>
    <row r="3013" spans="2:3" x14ac:dyDescent="0.2">
      <c r="B3013" s="46"/>
      <c r="C3013" s="41"/>
    </row>
    <row r="3014" spans="2:3" x14ac:dyDescent="0.2">
      <c r="B3014" s="46"/>
      <c r="C3014" s="41"/>
    </row>
    <row r="3015" spans="2:3" x14ac:dyDescent="0.2">
      <c r="B3015" s="46"/>
      <c r="C3015" s="41"/>
    </row>
    <row r="3016" spans="2:3" x14ac:dyDescent="0.2">
      <c r="B3016" s="46"/>
      <c r="C3016" s="41"/>
    </row>
    <row r="3017" spans="2:3" x14ac:dyDescent="0.2">
      <c r="B3017" s="46"/>
      <c r="C3017" s="41"/>
    </row>
    <row r="3018" spans="2:3" x14ac:dyDescent="0.2">
      <c r="B3018" s="46"/>
      <c r="C3018" s="41"/>
    </row>
    <row r="3019" spans="2:3" x14ac:dyDescent="0.2">
      <c r="B3019" s="46"/>
      <c r="C3019" s="41"/>
    </row>
    <row r="3020" spans="2:3" x14ac:dyDescent="0.2">
      <c r="B3020" s="46"/>
      <c r="C3020" s="41"/>
    </row>
    <row r="3021" spans="2:3" x14ac:dyDescent="0.2">
      <c r="B3021" s="46"/>
      <c r="C3021" s="41"/>
    </row>
    <row r="3022" spans="2:3" x14ac:dyDescent="0.2">
      <c r="B3022" s="46"/>
      <c r="C3022" s="41"/>
    </row>
    <row r="3023" spans="2:3" x14ac:dyDescent="0.2">
      <c r="B3023" s="46"/>
      <c r="C3023" s="41"/>
    </row>
    <row r="3024" spans="2:3" x14ac:dyDescent="0.2">
      <c r="B3024" s="46"/>
      <c r="C3024" s="41"/>
    </row>
    <row r="3025" spans="2:3" x14ac:dyDescent="0.2">
      <c r="B3025" s="46"/>
      <c r="C3025" s="41"/>
    </row>
    <row r="3026" spans="2:3" x14ac:dyDescent="0.2">
      <c r="B3026" s="46"/>
      <c r="C3026" s="41"/>
    </row>
    <row r="3027" spans="2:3" x14ac:dyDescent="0.2">
      <c r="B3027" s="46"/>
      <c r="C3027" s="41"/>
    </row>
    <row r="3028" spans="2:3" x14ac:dyDescent="0.2">
      <c r="B3028" s="46"/>
      <c r="C3028" s="41"/>
    </row>
    <row r="3029" spans="2:3" x14ac:dyDescent="0.2">
      <c r="B3029" s="46"/>
      <c r="C3029" s="41"/>
    </row>
    <row r="3030" spans="2:3" x14ac:dyDescent="0.2">
      <c r="B3030" s="46"/>
      <c r="C3030" s="41"/>
    </row>
    <row r="3031" spans="2:3" x14ac:dyDescent="0.2">
      <c r="B3031" s="46"/>
      <c r="C3031" s="41"/>
    </row>
    <row r="3032" spans="2:3" x14ac:dyDescent="0.2">
      <c r="B3032" s="46"/>
      <c r="C3032" s="41"/>
    </row>
    <row r="3033" spans="2:3" x14ac:dyDescent="0.2">
      <c r="B3033" s="46"/>
      <c r="C3033" s="41"/>
    </row>
    <row r="3034" spans="2:3" x14ac:dyDescent="0.2">
      <c r="B3034" s="46"/>
      <c r="C3034" s="41"/>
    </row>
    <row r="3035" spans="2:3" x14ac:dyDescent="0.2">
      <c r="B3035" s="46"/>
      <c r="C3035" s="41"/>
    </row>
    <row r="3036" spans="2:3" x14ac:dyDescent="0.2">
      <c r="B3036" s="46"/>
      <c r="C3036" s="41"/>
    </row>
    <row r="3037" spans="2:3" x14ac:dyDescent="0.2">
      <c r="B3037" s="46"/>
      <c r="C3037" s="41"/>
    </row>
    <row r="3038" spans="2:3" x14ac:dyDescent="0.2">
      <c r="B3038" s="46"/>
      <c r="C3038" s="41"/>
    </row>
    <row r="3039" spans="2:3" x14ac:dyDescent="0.2">
      <c r="B3039" s="46"/>
      <c r="C3039" s="41"/>
    </row>
    <row r="3040" spans="2:3" x14ac:dyDescent="0.2">
      <c r="B3040" s="46"/>
      <c r="C3040" s="41"/>
    </row>
    <row r="3041" spans="2:3" x14ac:dyDescent="0.2">
      <c r="B3041" s="46"/>
      <c r="C3041" s="41"/>
    </row>
    <row r="3042" spans="2:3" x14ac:dyDescent="0.2">
      <c r="B3042" s="46"/>
      <c r="C3042" s="41"/>
    </row>
    <row r="3043" spans="2:3" x14ac:dyDescent="0.2">
      <c r="B3043" s="46"/>
      <c r="C3043" s="41"/>
    </row>
    <row r="3044" spans="2:3" x14ac:dyDescent="0.2">
      <c r="B3044" s="46"/>
      <c r="C3044" s="41"/>
    </row>
    <row r="3045" spans="2:3" x14ac:dyDescent="0.2">
      <c r="B3045" s="46"/>
      <c r="C3045" s="41"/>
    </row>
    <row r="3046" spans="2:3" x14ac:dyDescent="0.2">
      <c r="B3046" s="46"/>
      <c r="C3046" s="41"/>
    </row>
    <row r="3047" spans="2:3" x14ac:dyDescent="0.2">
      <c r="B3047" s="46"/>
      <c r="C3047" s="41"/>
    </row>
    <row r="3048" spans="2:3" x14ac:dyDescent="0.2">
      <c r="B3048" s="46"/>
      <c r="C3048" s="41"/>
    </row>
    <row r="3049" spans="2:3" x14ac:dyDescent="0.2">
      <c r="B3049" s="46"/>
      <c r="C3049" s="41"/>
    </row>
    <row r="3050" spans="2:3" x14ac:dyDescent="0.2">
      <c r="B3050" s="46"/>
      <c r="C3050" s="41"/>
    </row>
    <row r="3051" spans="2:3" x14ac:dyDescent="0.2">
      <c r="B3051" s="46"/>
      <c r="C3051" s="41"/>
    </row>
    <row r="3052" spans="2:3" x14ac:dyDescent="0.2">
      <c r="B3052" s="46"/>
      <c r="C3052" s="41"/>
    </row>
    <row r="3053" spans="2:3" x14ac:dyDescent="0.2">
      <c r="B3053" s="46"/>
      <c r="C3053" s="41"/>
    </row>
    <row r="3054" spans="2:3" x14ac:dyDescent="0.2">
      <c r="B3054" s="46"/>
      <c r="C3054" s="41"/>
    </row>
    <row r="3055" spans="2:3" x14ac:dyDescent="0.2">
      <c r="B3055" s="46"/>
      <c r="C3055" s="41"/>
    </row>
    <row r="3056" spans="2:3" x14ac:dyDescent="0.2">
      <c r="B3056" s="46"/>
      <c r="C3056" s="41"/>
    </row>
    <row r="3057" spans="2:3" x14ac:dyDescent="0.2">
      <c r="B3057" s="46"/>
      <c r="C3057" s="41"/>
    </row>
    <row r="3058" spans="2:3" x14ac:dyDescent="0.2">
      <c r="B3058" s="46"/>
      <c r="C3058" s="41"/>
    </row>
    <row r="3059" spans="2:3" x14ac:dyDescent="0.2">
      <c r="B3059" s="46"/>
      <c r="C3059" s="41"/>
    </row>
    <row r="3060" spans="2:3" x14ac:dyDescent="0.2">
      <c r="B3060" s="46"/>
      <c r="C3060" s="41"/>
    </row>
    <row r="3061" spans="2:3" x14ac:dyDescent="0.2">
      <c r="B3061" s="46"/>
      <c r="C3061" s="41"/>
    </row>
    <row r="3062" spans="2:3" x14ac:dyDescent="0.2">
      <c r="B3062" s="46"/>
      <c r="C3062" s="41"/>
    </row>
    <row r="3063" spans="2:3" x14ac:dyDescent="0.2">
      <c r="B3063" s="46"/>
      <c r="C3063" s="41"/>
    </row>
    <row r="3064" spans="2:3" x14ac:dyDescent="0.2">
      <c r="B3064" s="46"/>
      <c r="C3064" s="41"/>
    </row>
    <row r="3065" spans="2:3" x14ac:dyDescent="0.2">
      <c r="B3065" s="46"/>
      <c r="C3065" s="41"/>
    </row>
    <row r="3066" spans="2:3" x14ac:dyDescent="0.2">
      <c r="B3066" s="46"/>
      <c r="C3066" s="41"/>
    </row>
    <row r="3067" spans="2:3" x14ac:dyDescent="0.2">
      <c r="B3067" s="46"/>
      <c r="C3067" s="41"/>
    </row>
    <row r="3068" spans="2:3" x14ac:dyDescent="0.2">
      <c r="B3068" s="46"/>
      <c r="C3068" s="41"/>
    </row>
    <row r="3069" spans="2:3" x14ac:dyDescent="0.2">
      <c r="B3069" s="46"/>
      <c r="C3069" s="41"/>
    </row>
    <row r="3070" spans="2:3" x14ac:dyDescent="0.2">
      <c r="B3070" s="46"/>
      <c r="C3070" s="41"/>
    </row>
    <row r="3071" spans="2:3" x14ac:dyDescent="0.2">
      <c r="B3071" s="46"/>
      <c r="C3071" s="41"/>
    </row>
    <row r="3072" spans="2:3" x14ac:dyDescent="0.2">
      <c r="B3072" s="46"/>
      <c r="C3072" s="41"/>
    </row>
    <row r="3073" spans="2:3" x14ac:dyDescent="0.2">
      <c r="B3073" s="46"/>
      <c r="C3073" s="41"/>
    </row>
    <row r="3074" spans="2:3" x14ac:dyDescent="0.2">
      <c r="B3074" s="46"/>
      <c r="C3074" s="41"/>
    </row>
    <row r="3075" spans="2:3" x14ac:dyDescent="0.2">
      <c r="B3075" s="46"/>
      <c r="C3075" s="41"/>
    </row>
    <row r="3076" spans="2:3" x14ac:dyDescent="0.2">
      <c r="B3076" s="46"/>
      <c r="C3076" s="41"/>
    </row>
    <row r="3077" spans="2:3" x14ac:dyDescent="0.2">
      <c r="B3077" s="46"/>
      <c r="C3077" s="41"/>
    </row>
    <row r="3078" spans="2:3" x14ac:dyDescent="0.2">
      <c r="B3078" s="46"/>
      <c r="C3078" s="41"/>
    </row>
    <row r="3079" spans="2:3" x14ac:dyDescent="0.2">
      <c r="B3079" s="46"/>
      <c r="C3079" s="41"/>
    </row>
    <row r="3080" spans="2:3" x14ac:dyDescent="0.2">
      <c r="B3080" s="46"/>
      <c r="C3080" s="41"/>
    </row>
    <row r="3081" spans="2:3" x14ac:dyDescent="0.2">
      <c r="B3081" s="46"/>
      <c r="C3081" s="41"/>
    </row>
    <row r="3082" spans="2:3" x14ac:dyDescent="0.2">
      <c r="B3082" s="46"/>
      <c r="C3082" s="41"/>
    </row>
    <row r="3083" spans="2:3" x14ac:dyDescent="0.2">
      <c r="B3083" s="46"/>
      <c r="C3083" s="41"/>
    </row>
    <row r="3084" spans="2:3" x14ac:dyDescent="0.2">
      <c r="B3084" s="46"/>
      <c r="C3084" s="41"/>
    </row>
    <row r="3085" spans="2:3" x14ac:dyDescent="0.2">
      <c r="B3085" s="46"/>
      <c r="C3085" s="41"/>
    </row>
    <row r="3086" spans="2:3" x14ac:dyDescent="0.2">
      <c r="B3086" s="46"/>
      <c r="C3086" s="41"/>
    </row>
    <row r="3087" spans="2:3" x14ac:dyDescent="0.2">
      <c r="B3087" s="46"/>
      <c r="C3087" s="41"/>
    </row>
    <row r="3088" spans="2:3" x14ac:dyDescent="0.2">
      <c r="B3088" s="46"/>
      <c r="C3088" s="41"/>
    </row>
    <row r="3089" spans="2:3" x14ac:dyDescent="0.2">
      <c r="B3089" s="46"/>
      <c r="C3089" s="41"/>
    </row>
    <row r="3090" spans="2:3" x14ac:dyDescent="0.2">
      <c r="B3090" s="46"/>
      <c r="C3090" s="41"/>
    </row>
    <row r="3091" spans="2:3" x14ac:dyDescent="0.2">
      <c r="B3091" s="46"/>
      <c r="C3091" s="41"/>
    </row>
    <row r="3092" spans="2:3" x14ac:dyDescent="0.2">
      <c r="B3092" s="46"/>
      <c r="C3092" s="41"/>
    </row>
    <row r="3093" spans="2:3" x14ac:dyDescent="0.2">
      <c r="B3093" s="46"/>
      <c r="C3093" s="41"/>
    </row>
    <row r="3094" spans="2:3" x14ac:dyDescent="0.2">
      <c r="B3094" s="46"/>
      <c r="C3094" s="41"/>
    </row>
    <row r="3095" spans="2:3" x14ac:dyDescent="0.2">
      <c r="B3095" s="46"/>
      <c r="C3095" s="41"/>
    </row>
    <row r="3096" spans="2:3" x14ac:dyDescent="0.2">
      <c r="B3096" s="46"/>
      <c r="C3096" s="41"/>
    </row>
    <row r="3097" spans="2:3" x14ac:dyDescent="0.2">
      <c r="B3097" s="46"/>
      <c r="C3097" s="41"/>
    </row>
    <row r="3098" spans="2:3" x14ac:dyDescent="0.2">
      <c r="B3098" s="46"/>
      <c r="C3098" s="41"/>
    </row>
    <row r="3099" spans="2:3" x14ac:dyDescent="0.2">
      <c r="B3099" s="46"/>
      <c r="C3099" s="41"/>
    </row>
    <row r="3100" spans="2:3" x14ac:dyDescent="0.2">
      <c r="B3100" s="46"/>
      <c r="C3100" s="41"/>
    </row>
    <row r="3101" spans="2:3" x14ac:dyDescent="0.2">
      <c r="B3101" s="46"/>
      <c r="C3101" s="41"/>
    </row>
    <row r="3102" spans="2:3" x14ac:dyDescent="0.2">
      <c r="B3102" s="46"/>
      <c r="C3102" s="41"/>
    </row>
    <row r="3103" spans="2:3" x14ac:dyDescent="0.2">
      <c r="B3103" s="46"/>
      <c r="C3103" s="41"/>
    </row>
    <row r="3104" spans="2:3" x14ac:dyDescent="0.2">
      <c r="B3104" s="46"/>
      <c r="C3104" s="41"/>
    </row>
    <row r="3105" spans="2:3" x14ac:dyDescent="0.2">
      <c r="B3105" s="46"/>
      <c r="C3105" s="41"/>
    </row>
    <row r="3106" spans="2:3" x14ac:dyDescent="0.2">
      <c r="B3106" s="46"/>
      <c r="C3106" s="41"/>
    </row>
    <row r="3107" spans="2:3" x14ac:dyDescent="0.2">
      <c r="B3107" s="46"/>
      <c r="C3107" s="41"/>
    </row>
    <row r="3108" spans="2:3" x14ac:dyDescent="0.2">
      <c r="B3108" s="46"/>
      <c r="C3108" s="41"/>
    </row>
    <row r="3109" spans="2:3" x14ac:dyDescent="0.2">
      <c r="B3109" s="46"/>
      <c r="C3109" s="41"/>
    </row>
    <row r="3110" spans="2:3" x14ac:dyDescent="0.2">
      <c r="B3110" s="46"/>
      <c r="C3110" s="41"/>
    </row>
    <row r="3111" spans="2:3" x14ac:dyDescent="0.2">
      <c r="B3111" s="46"/>
      <c r="C3111" s="41"/>
    </row>
    <row r="3112" spans="2:3" x14ac:dyDescent="0.2">
      <c r="B3112" s="46"/>
      <c r="C3112" s="41"/>
    </row>
    <row r="3113" spans="2:3" x14ac:dyDescent="0.2">
      <c r="B3113" s="46"/>
      <c r="C3113" s="41"/>
    </row>
    <row r="3114" spans="2:3" x14ac:dyDescent="0.2">
      <c r="B3114" s="46"/>
      <c r="C3114" s="41"/>
    </row>
    <row r="3115" spans="2:3" x14ac:dyDescent="0.2">
      <c r="B3115" s="46"/>
      <c r="C3115" s="41"/>
    </row>
    <row r="3116" spans="2:3" x14ac:dyDescent="0.2">
      <c r="B3116" s="46"/>
      <c r="C3116" s="41"/>
    </row>
    <row r="3117" spans="2:3" x14ac:dyDescent="0.2">
      <c r="B3117" s="46"/>
      <c r="C3117" s="41"/>
    </row>
    <row r="3118" spans="2:3" x14ac:dyDescent="0.2">
      <c r="B3118" s="46"/>
      <c r="C3118" s="41"/>
    </row>
    <row r="3119" spans="2:3" x14ac:dyDescent="0.2">
      <c r="B3119" s="46"/>
      <c r="C3119" s="41"/>
    </row>
    <row r="3120" spans="2:3" x14ac:dyDescent="0.2">
      <c r="B3120" s="46"/>
      <c r="C3120" s="41"/>
    </row>
    <row r="3121" spans="2:3" x14ac:dyDescent="0.2">
      <c r="B3121" s="46"/>
      <c r="C3121" s="41"/>
    </row>
    <row r="3122" spans="2:3" x14ac:dyDescent="0.2">
      <c r="B3122" s="46"/>
      <c r="C3122" s="41"/>
    </row>
    <row r="3123" spans="2:3" x14ac:dyDescent="0.2">
      <c r="B3123" s="46"/>
      <c r="C3123" s="41"/>
    </row>
    <row r="3124" spans="2:3" x14ac:dyDescent="0.2">
      <c r="B3124" s="46"/>
      <c r="C3124" s="41"/>
    </row>
    <row r="3125" spans="2:3" x14ac:dyDescent="0.2">
      <c r="B3125" s="46"/>
      <c r="C3125" s="41"/>
    </row>
    <row r="3126" spans="2:3" x14ac:dyDescent="0.2">
      <c r="B3126" s="46"/>
      <c r="C3126" s="41"/>
    </row>
    <row r="3127" spans="2:3" x14ac:dyDescent="0.2">
      <c r="B3127" s="46"/>
      <c r="C3127" s="41"/>
    </row>
    <row r="3128" spans="2:3" x14ac:dyDescent="0.2">
      <c r="B3128" s="46"/>
      <c r="C3128" s="41"/>
    </row>
    <row r="3129" spans="2:3" x14ac:dyDescent="0.2">
      <c r="B3129" s="46"/>
      <c r="C3129" s="41"/>
    </row>
    <row r="3130" spans="2:3" x14ac:dyDescent="0.2">
      <c r="B3130" s="46"/>
      <c r="C3130" s="41"/>
    </row>
    <row r="3131" spans="2:3" x14ac:dyDescent="0.2">
      <c r="B3131" s="46"/>
      <c r="C3131" s="41"/>
    </row>
    <row r="3132" spans="2:3" x14ac:dyDescent="0.2">
      <c r="B3132" s="46"/>
      <c r="C3132" s="41"/>
    </row>
    <row r="3133" spans="2:3" x14ac:dyDescent="0.2">
      <c r="B3133" s="46"/>
      <c r="C3133" s="41"/>
    </row>
    <row r="3134" spans="2:3" x14ac:dyDescent="0.2">
      <c r="B3134" s="46"/>
      <c r="C3134" s="41"/>
    </row>
    <row r="3135" spans="2:3" x14ac:dyDescent="0.2">
      <c r="B3135" s="46"/>
      <c r="C3135" s="41"/>
    </row>
    <row r="3136" spans="2:3" x14ac:dyDescent="0.2">
      <c r="B3136" s="46"/>
      <c r="C3136" s="41"/>
    </row>
    <row r="3137" spans="2:3" x14ac:dyDescent="0.2">
      <c r="B3137" s="46"/>
      <c r="C3137" s="41"/>
    </row>
    <row r="3138" spans="2:3" x14ac:dyDescent="0.2">
      <c r="B3138" s="46"/>
      <c r="C3138" s="41"/>
    </row>
    <row r="3139" spans="2:3" x14ac:dyDescent="0.2">
      <c r="B3139" s="46"/>
      <c r="C3139" s="41"/>
    </row>
    <row r="3140" spans="2:3" x14ac:dyDescent="0.2">
      <c r="B3140" s="46"/>
      <c r="C3140" s="41"/>
    </row>
    <row r="3141" spans="2:3" x14ac:dyDescent="0.2">
      <c r="B3141" s="46"/>
      <c r="C3141" s="41"/>
    </row>
    <row r="3142" spans="2:3" x14ac:dyDescent="0.2">
      <c r="B3142" s="46"/>
      <c r="C3142" s="41"/>
    </row>
    <row r="3143" spans="2:3" x14ac:dyDescent="0.2">
      <c r="B3143" s="46"/>
      <c r="C3143" s="41"/>
    </row>
    <row r="3144" spans="2:3" x14ac:dyDescent="0.2">
      <c r="B3144" s="46"/>
      <c r="C3144" s="41"/>
    </row>
    <row r="3145" spans="2:3" x14ac:dyDescent="0.2">
      <c r="B3145" s="46"/>
      <c r="C3145" s="41"/>
    </row>
    <row r="3146" spans="2:3" x14ac:dyDescent="0.2">
      <c r="B3146" s="46"/>
      <c r="C3146" s="41"/>
    </row>
    <row r="3147" spans="2:3" x14ac:dyDescent="0.2">
      <c r="B3147" s="46"/>
      <c r="C3147" s="41"/>
    </row>
    <row r="3148" spans="2:3" x14ac:dyDescent="0.2">
      <c r="B3148" s="46"/>
      <c r="C3148" s="41"/>
    </row>
    <row r="3149" spans="2:3" x14ac:dyDescent="0.2">
      <c r="B3149" s="46"/>
      <c r="C3149" s="41"/>
    </row>
    <row r="3150" spans="2:3" x14ac:dyDescent="0.2">
      <c r="B3150" s="46"/>
      <c r="C3150" s="41"/>
    </row>
    <row r="3151" spans="2:3" x14ac:dyDescent="0.2">
      <c r="B3151" s="46"/>
      <c r="C3151" s="41"/>
    </row>
    <row r="3152" spans="2:3" x14ac:dyDescent="0.2">
      <c r="B3152" s="46"/>
      <c r="C3152" s="41"/>
    </row>
    <row r="3153" spans="2:3" x14ac:dyDescent="0.2">
      <c r="B3153" s="46"/>
      <c r="C3153" s="41"/>
    </row>
    <row r="3154" spans="2:3" x14ac:dyDescent="0.2">
      <c r="B3154" s="46"/>
      <c r="C3154" s="41"/>
    </row>
    <row r="3155" spans="2:3" x14ac:dyDescent="0.2">
      <c r="B3155" s="46"/>
      <c r="C3155" s="41"/>
    </row>
    <row r="3156" spans="2:3" x14ac:dyDescent="0.2">
      <c r="B3156" s="46"/>
      <c r="C3156" s="41"/>
    </row>
    <row r="3157" spans="2:3" x14ac:dyDescent="0.2">
      <c r="B3157" s="46"/>
      <c r="C3157" s="41"/>
    </row>
    <row r="3158" spans="2:3" x14ac:dyDescent="0.2">
      <c r="B3158" s="46"/>
      <c r="C3158" s="41"/>
    </row>
    <row r="3159" spans="2:3" x14ac:dyDescent="0.2">
      <c r="B3159" s="46"/>
      <c r="C3159" s="41"/>
    </row>
    <row r="3160" spans="2:3" x14ac:dyDescent="0.2">
      <c r="B3160" s="46"/>
      <c r="C3160" s="41"/>
    </row>
    <row r="3161" spans="2:3" x14ac:dyDescent="0.2">
      <c r="B3161" s="46"/>
      <c r="C3161" s="41"/>
    </row>
    <row r="3162" spans="2:3" x14ac:dyDescent="0.2">
      <c r="B3162" s="46"/>
      <c r="C3162" s="41"/>
    </row>
    <row r="3163" spans="2:3" x14ac:dyDescent="0.2">
      <c r="B3163" s="46"/>
      <c r="C3163" s="41"/>
    </row>
    <row r="3164" spans="2:3" x14ac:dyDescent="0.2">
      <c r="B3164" s="46"/>
      <c r="C3164" s="41"/>
    </row>
    <row r="3165" spans="2:3" x14ac:dyDescent="0.2">
      <c r="B3165" s="46"/>
      <c r="C3165" s="41"/>
    </row>
    <row r="3166" spans="2:3" x14ac:dyDescent="0.2">
      <c r="B3166" s="46"/>
      <c r="C3166" s="41"/>
    </row>
    <row r="3167" spans="2:3" x14ac:dyDescent="0.2">
      <c r="B3167" s="46"/>
      <c r="C3167" s="41"/>
    </row>
    <row r="3168" spans="2:3" x14ac:dyDescent="0.2">
      <c r="B3168" s="46"/>
      <c r="C3168" s="41"/>
    </row>
    <row r="3169" spans="2:3" x14ac:dyDescent="0.2">
      <c r="B3169" s="46"/>
      <c r="C3169" s="41"/>
    </row>
    <row r="3170" spans="2:3" x14ac:dyDescent="0.2">
      <c r="B3170" s="46"/>
      <c r="C3170" s="41"/>
    </row>
    <row r="3171" spans="2:3" x14ac:dyDescent="0.2">
      <c r="B3171" s="46"/>
      <c r="C3171" s="41"/>
    </row>
    <row r="3172" spans="2:3" x14ac:dyDescent="0.2">
      <c r="B3172" s="46"/>
      <c r="C3172" s="41"/>
    </row>
    <row r="3173" spans="2:3" x14ac:dyDescent="0.2">
      <c r="B3173" s="46"/>
      <c r="C3173" s="41"/>
    </row>
    <row r="3174" spans="2:3" x14ac:dyDescent="0.2">
      <c r="B3174" s="46"/>
      <c r="C3174" s="41"/>
    </row>
    <row r="3175" spans="2:3" x14ac:dyDescent="0.2">
      <c r="B3175" s="46"/>
      <c r="C3175" s="41"/>
    </row>
    <row r="3176" spans="2:3" x14ac:dyDescent="0.2">
      <c r="B3176" s="46"/>
      <c r="C3176" s="41"/>
    </row>
    <row r="3177" spans="2:3" x14ac:dyDescent="0.2">
      <c r="B3177" s="46"/>
      <c r="C3177" s="41"/>
    </row>
    <row r="3178" spans="2:3" x14ac:dyDescent="0.2">
      <c r="B3178" s="46"/>
      <c r="C3178" s="41"/>
    </row>
    <row r="3179" spans="2:3" x14ac:dyDescent="0.2">
      <c r="B3179" s="46"/>
      <c r="C3179" s="41"/>
    </row>
    <row r="3180" spans="2:3" x14ac:dyDescent="0.2">
      <c r="B3180" s="46"/>
      <c r="C3180" s="41"/>
    </row>
    <row r="3181" spans="2:3" x14ac:dyDescent="0.2">
      <c r="B3181" s="46"/>
      <c r="C3181" s="41"/>
    </row>
    <row r="3182" spans="2:3" x14ac:dyDescent="0.2">
      <c r="B3182" s="46"/>
      <c r="C3182" s="41"/>
    </row>
    <row r="3183" spans="2:3" x14ac:dyDescent="0.2">
      <c r="B3183" s="46"/>
      <c r="C3183" s="41"/>
    </row>
    <row r="3184" spans="2:3" x14ac:dyDescent="0.2">
      <c r="B3184" s="46"/>
      <c r="C3184" s="41"/>
    </row>
    <row r="3185" spans="2:3" x14ac:dyDescent="0.2">
      <c r="B3185" s="46"/>
      <c r="C3185" s="41"/>
    </row>
    <row r="3186" spans="2:3" x14ac:dyDescent="0.2">
      <c r="B3186" s="46"/>
      <c r="C3186" s="41"/>
    </row>
    <row r="3187" spans="2:3" x14ac:dyDescent="0.2">
      <c r="B3187" s="46"/>
      <c r="C3187" s="41"/>
    </row>
    <row r="3188" spans="2:3" x14ac:dyDescent="0.2">
      <c r="B3188" s="46"/>
      <c r="C3188" s="41"/>
    </row>
    <row r="3189" spans="2:3" x14ac:dyDescent="0.2">
      <c r="B3189" s="46"/>
      <c r="C3189" s="41"/>
    </row>
    <row r="3190" spans="2:3" x14ac:dyDescent="0.2">
      <c r="B3190" s="46"/>
      <c r="C3190" s="41"/>
    </row>
    <row r="3191" spans="2:3" x14ac:dyDescent="0.2">
      <c r="B3191" s="46"/>
      <c r="C3191" s="41"/>
    </row>
    <row r="3192" spans="2:3" x14ac:dyDescent="0.2">
      <c r="B3192" s="46"/>
      <c r="C3192" s="41"/>
    </row>
    <row r="3193" spans="2:3" x14ac:dyDescent="0.2">
      <c r="B3193" s="46"/>
      <c r="C3193" s="41"/>
    </row>
    <row r="3194" spans="2:3" x14ac:dyDescent="0.2">
      <c r="B3194" s="46"/>
      <c r="C3194" s="41"/>
    </row>
    <row r="3195" spans="2:3" x14ac:dyDescent="0.2">
      <c r="B3195" s="46"/>
      <c r="C3195" s="41"/>
    </row>
    <row r="3196" spans="2:3" x14ac:dyDescent="0.2">
      <c r="B3196" s="46"/>
      <c r="C3196" s="41"/>
    </row>
    <row r="3197" spans="2:3" x14ac:dyDescent="0.2">
      <c r="B3197" s="46"/>
      <c r="C3197" s="41"/>
    </row>
    <row r="3198" spans="2:3" x14ac:dyDescent="0.2">
      <c r="B3198" s="46"/>
      <c r="C3198" s="41"/>
    </row>
    <row r="3199" spans="2:3" x14ac:dyDescent="0.2">
      <c r="B3199" s="46"/>
      <c r="C3199" s="41"/>
    </row>
    <row r="3200" spans="2:3" x14ac:dyDescent="0.2">
      <c r="B3200" s="46"/>
      <c r="C3200" s="41"/>
    </row>
    <row r="3201" spans="2:3" x14ac:dyDescent="0.2">
      <c r="B3201" s="46"/>
      <c r="C3201" s="41"/>
    </row>
    <row r="3202" spans="2:3" x14ac:dyDescent="0.2">
      <c r="B3202" s="46"/>
      <c r="C3202" s="41"/>
    </row>
    <row r="3203" spans="2:3" x14ac:dyDescent="0.2">
      <c r="B3203" s="46"/>
      <c r="C3203" s="41"/>
    </row>
    <row r="3204" spans="2:3" x14ac:dyDescent="0.2">
      <c r="B3204" s="46"/>
      <c r="C3204" s="41"/>
    </row>
    <row r="3205" spans="2:3" x14ac:dyDescent="0.2">
      <c r="B3205" s="46"/>
      <c r="C3205" s="41"/>
    </row>
    <row r="3206" spans="2:3" x14ac:dyDescent="0.2">
      <c r="B3206" s="46"/>
      <c r="C3206" s="41"/>
    </row>
    <row r="3207" spans="2:3" x14ac:dyDescent="0.2">
      <c r="B3207" s="46"/>
      <c r="C3207" s="41"/>
    </row>
    <row r="3208" spans="2:3" x14ac:dyDescent="0.2">
      <c r="B3208" s="46"/>
      <c r="C3208" s="41"/>
    </row>
    <row r="3209" spans="2:3" x14ac:dyDescent="0.2">
      <c r="B3209" s="46"/>
      <c r="C3209" s="41"/>
    </row>
    <row r="3210" spans="2:3" x14ac:dyDescent="0.2">
      <c r="B3210" s="46"/>
      <c r="C3210" s="41"/>
    </row>
    <row r="3211" spans="2:3" x14ac:dyDescent="0.2">
      <c r="B3211" s="46"/>
      <c r="C3211" s="41"/>
    </row>
    <row r="3212" spans="2:3" x14ac:dyDescent="0.2">
      <c r="B3212" s="46"/>
      <c r="C3212" s="41"/>
    </row>
    <row r="3213" spans="2:3" x14ac:dyDescent="0.2">
      <c r="B3213" s="46"/>
      <c r="C3213" s="41"/>
    </row>
    <row r="3214" spans="2:3" x14ac:dyDescent="0.2">
      <c r="B3214" s="46"/>
      <c r="C3214" s="41"/>
    </row>
    <row r="3215" spans="2:3" x14ac:dyDescent="0.2">
      <c r="B3215" s="46"/>
      <c r="C3215" s="41"/>
    </row>
    <row r="3216" spans="2:3" x14ac:dyDescent="0.2">
      <c r="B3216" s="46"/>
      <c r="C3216" s="41"/>
    </row>
    <row r="3217" spans="2:3" x14ac:dyDescent="0.2">
      <c r="B3217" s="46"/>
      <c r="C3217" s="41"/>
    </row>
    <row r="3218" spans="2:3" x14ac:dyDescent="0.2">
      <c r="B3218" s="46"/>
      <c r="C3218" s="41"/>
    </row>
    <row r="3219" spans="2:3" x14ac:dyDescent="0.2">
      <c r="B3219" s="46"/>
      <c r="C3219" s="41"/>
    </row>
    <row r="3220" spans="2:3" x14ac:dyDescent="0.2">
      <c r="B3220" s="46"/>
      <c r="C3220" s="41"/>
    </row>
    <row r="3221" spans="2:3" x14ac:dyDescent="0.2">
      <c r="B3221" s="46"/>
      <c r="C3221" s="41"/>
    </row>
    <row r="3222" spans="2:3" x14ac:dyDescent="0.2">
      <c r="B3222" s="46"/>
      <c r="C3222" s="41"/>
    </row>
    <row r="3223" spans="2:3" x14ac:dyDescent="0.2">
      <c r="B3223" s="46"/>
      <c r="C3223" s="41"/>
    </row>
    <row r="3224" spans="2:3" x14ac:dyDescent="0.2">
      <c r="B3224" s="46"/>
      <c r="C3224" s="41"/>
    </row>
    <row r="3225" spans="2:3" x14ac:dyDescent="0.2">
      <c r="B3225" s="46"/>
      <c r="C3225" s="41"/>
    </row>
    <row r="3226" spans="2:3" x14ac:dyDescent="0.2">
      <c r="B3226" s="46"/>
      <c r="C3226" s="41"/>
    </row>
    <row r="3227" spans="2:3" x14ac:dyDescent="0.2">
      <c r="B3227" s="46"/>
      <c r="C3227" s="41"/>
    </row>
    <row r="3228" spans="2:3" x14ac:dyDescent="0.2">
      <c r="B3228" s="46"/>
      <c r="C3228" s="41"/>
    </row>
    <row r="3229" spans="2:3" x14ac:dyDescent="0.2">
      <c r="B3229" s="46"/>
      <c r="C3229" s="41"/>
    </row>
    <row r="3230" spans="2:3" x14ac:dyDescent="0.2">
      <c r="B3230" s="46"/>
      <c r="C3230" s="41"/>
    </row>
    <row r="3231" spans="2:3" x14ac:dyDescent="0.2">
      <c r="B3231" s="46"/>
      <c r="C3231" s="41"/>
    </row>
    <row r="3232" spans="2:3" x14ac:dyDescent="0.2">
      <c r="B3232" s="46"/>
      <c r="C3232" s="41"/>
    </row>
    <row r="3233" spans="2:3" x14ac:dyDescent="0.2">
      <c r="B3233" s="46"/>
      <c r="C3233" s="41"/>
    </row>
    <row r="3234" spans="2:3" x14ac:dyDescent="0.2">
      <c r="B3234" s="46"/>
      <c r="C3234" s="41"/>
    </row>
    <row r="3235" spans="2:3" x14ac:dyDescent="0.2">
      <c r="B3235" s="46"/>
      <c r="C3235" s="41"/>
    </row>
    <row r="3236" spans="2:3" x14ac:dyDescent="0.2">
      <c r="B3236" s="46"/>
      <c r="C3236" s="41"/>
    </row>
    <row r="3237" spans="2:3" x14ac:dyDescent="0.2">
      <c r="B3237" s="46"/>
      <c r="C3237" s="41"/>
    </row>
    <row r="3238" spans="2:3" x14ac:dyDescent="0.2">
      <c r="B3238" s="46"/>
      <c r="C3238" s="41"/>
    </row>
    <row r="3239" spans="2:3" x14ac:dyDescent="0.2">
      <c r="B3239" s="46"/>
      <c r="C3239" s="41"/>
    </row>
    <row r="3240" spans="2:3" x14ac:dyDescent="0.2">
      <c r="B3240" s="46"/>
      <c r="C3240" s="41"/>
    </row>
    <row r="3241" spans="2:3" x14ac:dyDescent="0.2">
      <c r="B3241" s="46"/>
      <c r="C3241" s="41"/>
    </row>
    <row r="3242" spans="2:3" x14ac:dyDescent="0.2">
      <c r="B3242" s="46"/>
      <c r="C3242" s="41"/>
    </row>
    <row r="3243" spans="2:3" x14ac:dyDescent="0.2">
      <c r="B3243" s="46"/>
      <c r="C3243" s="41"/>
    </row>
    <row r="3244" spans="2:3" x14ac:dyDescent="0.2">
      <c r="B3244" s="46"/>
      <c r="C3244" s="41"/>
    </row>
    <row r="3245" spans="2:3" x14ac:dyDescent="0.2">
      <c r="B3245" s="46"/>
      <c r="C3245" s="41"/>
    </row>
    <row r="3246" spans="2:3" x14ac:dyDescent="0.2">
      <c r="B3246" s="46"/>
      <c r="C3246" s="41"/>
    </row>
    <row r="3247" spans="2:3" x14ac:dyDescent="0.2">
      <c r="B3247" s="46"/>
      <c r="C3247" s="41"/>
    </row>
    <row r="3248" spans="2:3" x14ac:dyDescent="0.2">
      <c r="B3248" s="46"/>
      <c r="C3248" s="41"/>
    </row>
    <row r="3249" spans="2:3" x14ac:dyDescent="0.2">
      <c r="B3249" s="46"/>
      <c r="C3249" s="41"/>
    </row>
    <row r="3250" spans="2:3" x14ac:dyDescent="0.2">
      <c r="B3250" s="46"/>
      <c r="C3250" s="41"/>
    </row>
    <row r="3251" spans="2:3" x14ac:dyDescent="0.2">
      <c r="B3251" s="46"/>
      <c r="C3251" s="41"/>
    </row>
    <row r="3252" spans="2:3" x14ac:dyDescent="0.2">
      <c r="B3252" s="46"/>
      <c r="C3252" s="41"/>
    </row>
    <row r="3253" spans="2:3" x14ac:dyDescent="0.2">
      <c r="B3253" s="46"/>
      <c r="C3253" s="41"/>
    </row>
    <row r="3254" spans="2:3" x14ac:dyDescent="0.2">
      <c r="B3254" s="46"/>
      <c r="C3254" s="41"/>
    </row>
    <row r="3255" spans="2:3" x14ac:dyDescent="0.2">
      <c r="B3255" s="46"/>
      <c r="C3255" s="41"/>
    </row>
    <row r="3256" spans="2:3" x14ac:dyDescent="0.2">
      <c r="B3256" s="46"/>
      <c r="C3256" s="41"/>
    </row>
    <row r="3257" spans="2:3" x14ac:dyDescent="0.2">
      <c r="B3257" s="46"/>
      <c r="C3257" s="41"/>
    </row>
    <row r="3258" spans="2:3" x14ac:dyDescent="0.2">
      <c r="B3258" s="46"/>
      <c r="C3258" s="41"/>
    </row>
    <row r="3259" spans="2:3" x14ac:dyDescent="0.2">
      <c r="B3259" s="46"/>
      <c r="C3259" s="41"/>
    </row>
    <row r="3260" spans="2:3" x14ac:dyDescent="0.2">
      <c r="B3260" s="46"/>
      <c r="C3260" s="41"/>
    </row>
    <row r="3261" spans="2:3" x14ac:dyDescent="0.2">
      <c r="B3261" s="46"/>
      <c r="C3261" s="41"/>
    </row>
    <row r="3262" spans="2:3" x14ac:dyDescent="0.2">
      <c r="B3262" s="46"/>
      <c r="C3262" s="41"/>
    </row>
    <row r="3263" spans="2:3" x14ac:dyDescent="0.2">
      <c r="B3263" s="46"/>
      <c r="C3263" s="41"/>
    </row>
    <row r="3264" spans="2:3" x14ac:dyDescent="0.2">
      <c r="B3264" s="46"/>
      <c r="C3264" s="41"/>
    </row>
    <row r="3265" spans="2:3" x14ac:dyDescent="0.2">
      <c r="B3265" s="46"/>
      <c r="C3265" s="41"/>
    </row>
    <row r="3266" spans="2:3" x14ac:dyDescent="0.2">
      <c r="B3266" s="46"/>
      <c r="C3266" s="41"/>
    </row>
    <row r="3267" spans="2:3" x14ac:dyDescent="0.2">
      <c r="B3267" s="46"/>
      <c r="C3267" s="41"/>
    </row>
    <row r="3268" spans="2:3" x14ac:dyDescent="0.2">
      <c r="B3268" s="46"/>
      <c r="C3268" s="41"/>
    </row>
    <row r="3269" spans="2:3" x14ac:dyDescent="0.2">
      <c r="B3269" s="46"/>
      <c r="C3269" s="41"/>
    </row>
    <row r="3270" spans="2:3" x14ac:dyDescent="0.2">
      <c r="B3270" s="46"/>
      <c r="C3270" s="41"/>
    </row>
    <row r="3271" spans="2:3" x14ac:dyDescent="0.2">
      <c r="B3271" s="46"/>
      <c r="C3271" s="41"/>
    </row>
    <row r="3272" spans="2:3" x14ac:dyDescent="0.2">
      <c r="B3272" s="46"/>
      <c r="C3272" s="41"/>
    </row>
    <row r="3273" spans="2:3" x14ac:dyDescent="0.2">
      <c r="B3273" s="46"/>
      <c r="C3273" s="41"/>
    </row>
    <row r="3274" spans="2:3" x14ac:dyDescent="0.2">
      <c r="B3274" s="46"/>
      <c r="C3274" s="41"/>
    </row>
    <row r="3275" spans="2:3" x14ac:dyDescent="0.2">
      <c r="B3275" s="46"/>
      <c r="C3275" s="41"/>
    </row>
    <row r="3276" spans="2:3" x14ac:dyDescent="0.2">
      <c r="B3276" s="46"/>
      <c r="C3276" s="41"/>
    </row>
    <row r="3277" spans="2:3" x14ac:dyDescent="0.2">
      <c r="B3277" s="46"/>
      <c r="C3277" s="41"/>
    </row>
    <row r="3278" spans="2:3" x14ac:dyDescent="0.2">
      <c r="B3278" s="46"/>
      <c r="C3278" s="41"/>
    </row>
    <row r="3279" spans="2:3" x14ac:dyDescent="0.2">
      <c r="B3279" s="46"/>
      <c r="C3279" s="41"/>
    </row>
    <row r="3280" spans="2:3" x14ac:dyDescent="0.2">
      <c r="B3280" s="46"/>
      <c r="C3280" s="41"/>
    </row>
    <row r="3281" spans="2:3" x14ac:dyDescent="0.2">
      <c r="B3281" s="46"/>
      <c r="C3281" s="41"/>
    </row>
    <row r="3282" spans="2:3" x14ac:dyDescent="0.2">
      <c r="B3282" s="46"/>
      <c r="C3282" s="41"/>
    </row>
    <row r="3283" spans="2:3" x14ac:dyDescent="0.2">
      <c r="B3283" s="46"/>
      <c r="C3283" s="41"/>
    </row>
    <row r="3284" spans="2:3" x14ac:dyDescent="0.2">
      <c r="B3284" s="46"/>
      <c r="C3284" s="41"/>
    </row>
    <row r="3285" spans="2:3" x14ac:dyDescent="0.2">
      <c r="B3285" s="46"/>
      <c r="C3285" s="41"/>
    </row>
    <row r="3286" spans="2:3" x14ac:dyDescent="0.2">
      <c r="B3286" s="46"/>
      <c r="C3286" s="41"/>
    </row>
    <row r="3287" spans="2:3" x14ac:dyDescent="0.2">
      <c r="B3287" s="46"/>
      <c r="C3287" s="41"/>
    </row>
    <row r="3288" spans="2:3" x14ac:dyDescent="0.2">
      <c r="B3288" s="46"/>
      <c r="C3288" s="41"/>
    </row>
    <row r="3289" spans="2:3" x14ac:dyDescent="0.2">
      <c r="B3289" s="46"/>
      <c r="C3289" s="41"/>
    </row>
    <row r="3290" spans="2:3" x14ac:dyDescent="0.2">
      <c r="B3290" s="46"/>
      <c r="C3290" s="41"/>
    </row>
    <row r="3291" spans="2:3" x14ac:dyDescent="0.2">
      <c r="B3291" s="46"/>
      <c r="C3291" s="41"/>
    </row>
    <row r="3292" spans="2:3" x14ac:dyDescent="0.2">
      <c r="B3292" s="46"/>
      <c r="C3292" s="41"/>
    </row>
    <row r="3293" spans="2:3" x14ac:dyDescent="0.2">
      <c r="B3293" s="46"/>
      <c r="C3293" s="41"/>
    </row>
    <row r="3294" spans="2:3" x14ac:dyDescent="0.2">
      <c r="B3294" s="46"/>
      <c r="C3294" s="41"/>
    </row>
    <row r="3295" spans="2:3" x14ac:dyDescent="0.2">
      <c r="B3295" s="46"/>
      <c r="C3295" s="41"/>
    </row>
    <row r="3296" spans="2:3" x14ac:dyDescent="0.2">
      <c r="B3296" s="46"/>
      <c r="C3296" s="41"/>
    </row>
    <row r="3297" spans="2:3" x14ac:dyDescent="0.2">
      <c r="B3297" s="46"/>
      <c r="C3297" s="41"/>
    </row>
    <row r="3298" spans="2:3" x14ac:dyDescent="0.2">
      <c r="B3298" s="46"/>
      <c r="C3298" s="41"/>
    </row>
    <row r="3299" spans="2:3" x14ac:dyDescent="0.2">
      <c r="B3299" s="46"/>
      <c r="C3299" s="41"/>
    </row>
    <row r="3300" spans="2:3" x14ac:dyDescent="0.2">
      <c r="B3300" s="46"/>
      <c r="C3300" s="41"/>
    </row>
    <row r="3301" spans="2:3" x14ac:dyDescent="0.2">
      <c r="B3301" s="46"/>
      <c r="C3301" s="41"/>
    </row>
    <row r="3302" spans="2:3" x14ac:dyDescent="0.2">
      <c r="B3302" s="46"/>
      <c r="C3302" s="41"/>
    </row>
    <row r="3303" spans="2:3" x14ac:dyDescent="0.2">
      <c r="B3303" s="46"/>
      <c r="C3303" s="41"/>
    </row>
    <row r="3304" spans="2:3" x14ac:dyDescent="0.2">
      <c r="B3304" s="46"/>
      <c r="C3304" s="41"/>
    </row>
    <row r="3305" spans="2:3" x14ac:dyDescent="0.2">
      <c r="B3305" s="46"/>
      <c r="C3305" s="41"/>
    </row>
    <row r="3306" spans="2:3" x14ac:dyDescent="0.2">
      <c r="B3306" s="46"/>
      <c r="C3306" s="41"/>
    </row>
    <row r="3307" spans="2:3" x14ac:dyDescent="0.2">
      <c r="B3307" s="46"/>
      <c r="C3307" s="41"/>
    </row>
    <row r="3308" spans="2:3" x14ac:dyDescent="0.2">
      <c r="B3308" s="46"/>
      <c r="C3308" s="41"/>
    </row>
    <row r="3309" spans="2:3" x14ac:dyDescent="0.2">
      <c r="B3309" s="46"/>
      <c r="C3309" s="41"/>
    </row>
    <row r="3310" spans="2:3" x14ac:dyDescent="0.2">
      <c r="B3310" s="46"/>
      <c r="C3310" s="41"/>
    </row>
    <row r="3311" spans="2:3" x14ac:dyDescent="0.2">
      <c r="B3311" s="46"/>
      <c r="C3311" s="41"/>
    </row>
    <row r="3312" spans="2:3" x14ac:dyDescent="0.2">
      <c r="B3312" s="46"/>
      <c r="C3312" s="41"/>
    </row>
    <row r="3313" spans="2:3" x14ac:dyDescent="0.2">
      <c r="B3313" s="46"/>
      <c r="C3313" s="41"/>
    </row>
    <row r="3314" spans="2:3" x14ac:dyDescent="0.2">
      <c r="B3314" s="46"/>
      <c r="C3314" s="41"/>
    </row>
    <row r="3315" spans="2:3" x14ac:dyDescent="0.2">
      <c r="B3315" s="46"/>
      <c r="C3315" s="41"/>
    </row>
    <row r="3316" spans="2:3" x14ac:dyDescent="0.2">
      <c r="B3316" s="46"/>
      <c r="C3316" s="41"/>
    </row>
    <row r="3317" spans="2:3" x14ac:dyDescent="0.2">
      <c r="B3317" s="46"/>
      <c r="C3317" s="41"/>
    </row>
    <row r="3318" spans="2:3" x14ac:dyDescent="0.2">
      <c r="B3318" s="46"/>
      <c r="C3318" s="41"/>
    </row>
    <row r="3319" spans="2:3" x14ac:dyDescent="0.2">
      <c r="B3319" s="46"/>
      <c r="C3319" s="41"/>
    </row>
    <row r="3320" spans="2:3" x14ac:dyDescent="0.2">
      <c r="B3320" s="46"/>
      <c r="C3320" s="41"/>
    </row>
    <row r="3321" spans="2:3" x14ac:dyDescent="0.2">
      <c r="B3321" s="46"/>
      <c r="C3321" s="41"/>
    </row>
    <row r="3322" spans="2:3" x14ac:dyDescent="0.2">
      <c r="B3322" s="46"/>
      <c r="C3322" s="41"/>
    </row>
    <row r="3323" spans="2:3" x14ac:dyDescent="0.2">
      <c r="B3323" s="46"/>
      <c r="C3323" s="41"/>
    </row>
    <row r="3324" spans="2:3" x14ac:dyDescent="0.2">
      <c r="B3324" s="46"/>
      <c r="C3324" s="41"/>
    </row>
    <row r="3325" spans="2:3" x14ac:dyDescent="0.2">
      <c r="B3325" s="46"/>
      <c r="C3325" s="41"/>
    </row>
    <row r="3326" spans="2:3" x14ac:dyDescent="0.2">
      <c r="B3326" s="46"/>
      <c r="C3326" s="41"/>
    </row>
    <row r="3327" spans="2:3" x14ac:dyDescent="0.2">
      <c r="B3327" s="46"/>
      <c r="C3327" s="41"/>
    </row>
    <row r="3328" spans="2:3" x14ac:dyDescent="0.2">
      <c r="B3328" s="46"/>
      <c r="C3328" s="41"/>
    </row>
    <row r="3329" spans="2:3" x14ac:dyDescent="0.2">
      <c r="B3329" s="46"/>
      <c r="C3329" s="41"/>
    </row>
    <row r="3330" spans="2:3" x14ac:dyDescent="0.2">
      <c r="B3330" s="46"/>
      <c r="C3330" s="41"/>
    </row>
    <row r="3331" spans="2:3" x14ac:dyDescent="0.2">
      <c r="B3331" s="46"/>
      <c r="C3331" s="41"/>
    </row>
    <row r="3332" spans="2:3" x14ac:dyDescent="0.2">
      <c r="B3332" s="46"/>
      <c r="C3332" s="41"/>
    </row>
    <row r="3333" spans="2:3" x14ac:dyDescent="0.2">
      <c r="B3333" s="46"/>
      <c r="C3333" s="41"/>
    </row>
    <row r="3334" spans="2:3" x14ac:dyDescent="0.2">
      <c r="B3334" s="46"/>
      <c r="C3334" s="41"/>
    </row>
    <row r="3335" spans="2:3" x14ac:dyDescent="0.2">
      <c r="B3335" s="46"/>
      <c r="C3335" s="41"/>
    </row>
    <row r="3336" spans="2:3" x14ac:dyDescent="0.2">
      <c r="B3336" s="46"/>
      <c r="C3336" s="41"/>
    </row>
    <row r="3337" spans="2:3" x14ac:dyDescent="0.2">
      <c r="B3337" s="46"/>
      <c r="C3337" s="41"/>
    </row>
    <row r="3338" spans="2:3" x14ac:dyDescent="0.2">
      <c r="B3338" s="46"/>
      <c r="C3338" s="41"/>
    </row>
    <row r="3339" spans="2:3" x14ac:dyDescent="0.2">
      <c r="B3339" s="46"/>
      <c r="C3339" s="41"/>
    </row>
    <row r="3340" spans="2:3" x14ac:dyDescent="0.2">
      <c r="B3340" s="46"/>
      <c r="C3340" s="41"/>
    </row>
    <row r="3341" spans="2:3" x14ac:dyDescent="0.2">
      <c r="B3341" s="46"/>
      <c r="C3341" s="41"/>
    </row>
    <row r="3342" spans="2:3" x14ac:dyDescent="0.2">
      <c r="B3342" s="46"/>
      <c r="C3342" s="41"/>
    </row>
    <row r="3343" spans="2:3" x14ac:dyDescent="0.2">
      <c r="B3343" s="46"/>
      <c r="C3343" s="41"/>
    </row>
    <row r="3344" spans="2:3" x14ac:dyDescent="0.2">
      <c r="B3344" s="46"/>
      <c r="C3344" s="41"/>
    </row>
    <row r="3345" spans="2:3" x14ac:dyDescent="0.2">
      <c r="B3345" s="46"/>
      <c r="C3345" s="41"/>
    </row>
    <row r="3346" spans="2:3" x14ac:dyDescent="0.2">
      <c r="B3346" s="46"/>
      <c r="C3346" s="41"/>
    </row>
    <row r="3347" spans="2:3" x14ac:dyDescent="0.2">
      <c r="B3347" s="46"/>
      <c r="C3347" s="41"/>
    </row>
    <row r="3348" spans="2:3" x14ac:dyDescent="0.2">
      <c r="B3348" s="46"/>
      <c r="C3348" s="41"/>
    </row>
    <row r="3349" spans="2:3" x14ac:dyDescent="0.2">
      <c r="B3349" s="46"/>
      <c r="C3349" s="41"/>
    </row>
    <row r="3350" spans="2:3" x14ac:dyDescent="0.2">
      <c r="B3350" s="46"/>
      <c r="C3350" s="41"/>
    </row>
    <row r="3351" spans="2:3" x14ac:dyDescent="0.2">
      <c r="B3351" s="46"/>
      <c r="C3351" s="41"/>
    </row>
    <row r="3352" spans="2:3" x14ac:dyDescent="0.2">
      <c r="B3352" s="46"/>
      <c r="C3352" s="41"/>
    </row>
    <row r="3353" spans="2:3" x14ac:dyDescent="0.2">
      <c r="B3353" s="46"/>
      <c r="C3353" s="41"/>
    </row>
    <row r="3354" spans="2:3" x14ac:dyDescent="0.2">
      <c r="B3354" s="46"/>
      <c r="C3354" s="41"/>
    </row>
    <row r="3355" spans="2:3" x14ac:dyDescent="0.2">
      <c r="B3355" s="46"/>
      <c r="C3355" s="41"/>
    </row>
    <row r="3356" spans="2:3" x14ac:dyDescent="0.2">
      <c r="B3356" s="46"/>
      <c r="C3356" s="41"/>
    </row>
    <row r="3357" spans="2:3" x14ac:dyDescent="0.2">
      <c r="B3357" s="46"/>
      <c r="C3357" s="41"/>
    </row>
    <row r="3358" spans="2:3" x14ac:dyDescent="0.2">
      <c r="B3358" s="46"/>
      <c r="C3358" s="41"/>
    </row>
    <row r="3359" spans="2:3" x14ac:dyDescent="0.2">
      <c r="B3359" s="46"/>
      <c r="C3359" s="41"/>
    </row>
    <row r="3360" spans="2:3" x14ac:dyDescent="0.2">
      <c r="B3360" s="46"/>
      <c r="C3360" s="41"/>
    </row>
    <row r="3361" spans="2:3" x14ac:dyDescent="0.2">
      <c r="B3361" s="46"/>
      <c r="C3361" s="41"/>
    </row>
    <row r="3362" spans="2:3" x14ac:dyDescent="0.2">
      <c r="B3362" s="46"/>
      <c r="C3362" s="41"/>
    </row>
    <row r="3363" spans="2:3" x14ac:dyDescent="0.2">
      <c r="B3363" s="46"/>
      <c r="C3363" s="41"/>
    </row>
    <row r="3364" spans="2:3" x14ac:dyDescent="0.2">
      <c r="B3364" s="46"/>
      <c r="C3364" s="41"/>
    </row>
    <row r="3365" spans="2:3" x14ac:dyDescent="0.2">
      <c r="B3365" s="46"/>
      <c r="C3365" s="41"/>
    </row>
    <row r="3366" spans="2:3" x14ac:dyDescent="0.2">
      <c r="B3366" s="46"/>
      <c r="C3366" s="41"/>
    </row>
    <row r="3367" spans="2:3" x14ac:dyDescent="0.2">
      <c r="B3367" s="46"/>
      <c r="C3367" s="41"/>
    </row>
    <row r="3368" spans="2:3" x14ac:dyDescent="0.2">
      <c r="B3368" s="46"/>
      <c r="C3368" s="41"/>
    </row>
    <row r="3369" spans="2:3" x14ac:dyDescent="0.2">
      <c r="B3369" s="46"/>
      <c r="C3369" s="41"/>
    </row>
    <row r="3370" spans="2:3" x14ac:dyDescent="0.2">
      <c r="B3370" s="46"/>
      <c r="C3370" s="41"/>
    </row>
    <row r="3371" spans="2:3" x14ac:dyDescent="0.2">
      <c r="B3371" s="46"/>
      <c r="C3371" s="41"/>
    </row>
    <row r="3372" spans="2:3" x14ac:dyDescent="0.2">
      <c r="B3372" s="46"/>
      <c r="C3372" s="41"/>
    </row>
    <row r="3373" spans="2:3" x14ac:dyDescent="0.2">
      <c r="B3373" s="46"/>
      <c r="C3373" s="41"/>
    </row>
    <row r="3374" spans="2:3" x14ac:dyDescent="0.2">
      <c r="B3374" s="46"/>
      <c r="C3374" s="41"/>
    </row>
    <row r="3375" spans="2:3" x14ac:dyDescent="0.2">
      <c r="B3375" s="46"/>
      <c r="C3375" s="41"/>
    </row>
    <row r="3376" spans="2:3" x14ac:dyDescent="0.2">
      <c r="B3376" s="46"/>
      <c r="C3376" s="41"/>
    </row>
    <row r="3377" spans="2:3" x14ac:dyDescent="0.2">
      <c r="B3377" s="46"/>
      <c r="C3377" s="41"/>
    </row>
    <row r="3378" spans="2:3" x14ac:dyDescent="0.2">
      <c r="B3378" s="46"/>
      <c r="C3378" s="41"/>
    </row>
    <row r="3379" spans="2:3" x14ac:dyDescent="0.2">
      <c r="B3379" s="46"/>
      <c r="C3379" s="41"/>
    </row>
    <row r="3380" spans="2:3" x14ac:dyDescent="0.2">
      <c r="B3380" s="46"/>
      <c r="C3380" s="41"/>
    </row>
    <row r="3381" spans="2:3" x14ac:dyDescent="0.2">
      <c r="B3381" s="46"/>
      <c r="C3381" s="41"/>
    </row>
    <row r="3382" spans="2:3" x14ac:dyDescent="0.2">
      <c r="B3382" s="46"/>
      <c r="C3382" s="41"/>
    </row>
    <row r="3383" spans="2:3" x14ac:dyDescent="0.2">
      <c r="B3383" s="46"/>
      <c r="C3383" s="41"/>
    </row>
    <row r="3384" spans="2:3" x14ac:dyDescent="0.2">
      <c r="B3384" s="46"/>
      <c r="C3384" s="41"/>
    </row>
    <row r="3385" spans="2:3" x14ac:dyDescent="0.2">
      <c r="B3385" s="46"/>
      <c r="C3385" s="41"/>
    </row>
    <row r="3386" spans="2:3" x14ac:dyDescent="0.2">
      <c r="B3386" s="46"/>
      <c r="C3386" s="41"/>
    </row>
    <row r="3387" spans="2:3" x14ac:dyDescent="0.2">
      <c r="B3387" s="46"/>
      <c r="C3387" s="41"/>
    </row>
    <row r="3388" spans="2:3" x14ac:dyDescent="0.2">
      <c r="B3388" s="46"/>
      <c r="C3388" s="41"/>
    </row>
    <row r="3389" spans="2:3" x14ac:dyDescent="0.2">
      <c r="B3389" s="46"/>
      <c r="C3389" s="41"/>
    </row>
    <row r="3390" spans="2:3" x14ac:dyDescent="0.2">
      <c r="B3390" s="46"/>
      <c r="C3390" s="41"/>
    </row>
    <row r="3391" spans="2:3" x14ac:dyDescent="0.2">
      <c r="B3391" s="46"/>
      <c r="C3391" s="41"/>
    </row>
    <row r="3392" spans="2:3" x14ac:dyDescent="0.2">
      <c r="B3392" s="46"/>
      <c r="C3392" s="41"/>
    </row>
    <row r="3393" spans="2:3" x14ac:dyDescent="0.2">
      <c r="B3393" s="46"/>
      <c r="C3393" s="41"/>
    </row>
    <row r="3394" spans="2:3" x14ac:dyDescent="0.2">
      <c r="B3394" s="46"/>
      <c r="C3394" s="41"/>
    </row>
    <row r="3395" spans="2:3" x14ac:dyDescent="0.2">
      <c r="B3395" s="46"/>
      <c r="C3395" s="41"/>
    </row>
    <row r="3396" spans="2:3" x14ac:dyDescent="0.2">
      <c r="B3396" s="46"/>
      <c r="C3396" s="41"/>
    </row>
    <row r="3397" spans="2:3" x14ac:dyDescent="0.2">
      <c r="B3397" s="46"/>
      <c r="C3397" s="41"/>
    </row>
    <row r="3398" spans="2:3" x14ac:dyDescent="0.2">
      <c r="B3398" s="46"/>
      <c r="C3398" s="41"/>
    </row>
    <row r="3399" spans="2:3" x14ac:dyDescent="0.2">
      <c r="B3399" s="46"/>
      <c r="C3399" s="41"/>
    </row>
    <row r="3400" spans="2:3" x14ac:dyDescent="0.2">
      <c r="B3400" s="46"/>
      <c r="C3400" s="41"/>
    </row>
    <row r="3401" spans="2:3" x14ac:dyDescent="0.2">
      <c r="B3401" s="46"/>
      <c r="C3401" s="41"/>
    </row>
    <row r="3402" spans="2:3" x14ac:dyDescent="0.2">
      <c r="B3402" s="46"/>
      <c r="C3402" s="41"/>
    </row>
    <row r="3403" spans="2:3" x14ac:dyDescent="0.2">
      <c r="B3403" s="46"/>
      <c r="C3403" s="41"/>
    </row>
    <row r="3404" spans="2:3" x14ac:dyDescent="0.2">
      <c r="B3404" s="46"/>
      <c r="C3404" s="41"/>
    </row>
    <row r="3405" spans="2:3" x14ac:dyDescent="0.2">
      <c r="B3405" s="46"/>
      <c r="C3405" s="41"/>
    </row>
    <row r="3406" spans="2:3" x14ac:dyDescent="0.2">
      <c r="B3406" s="46"/>
      <c r="C3406" s="41"/>
    </row>
    <row r="3407" spans="2:3" x14ac:dyDescent="0.2">
      <c r="B3407" s="46"/>
      <c r="C3407" s="41"/>
    </row>
    <row r="3408" spans="2:3" x14ac:dyDescent="0.2">
      <c r="B3408" s="46"/>
      <c r="C3408" s="41"/>
    </row>
    <row r="3409" spans="2:3" x14ac:dyDescent="0.2">
      <c r="B3409" s="46"/>
      <c r="C3409" s="41"/>
    </row>
    <row r="3410" spans="2:3" x14ac:dyDescent="0.2">
      <c r="B3410" s="46"/>
      <c r="C3410" s="41"/>
    </row>
    <row r="3411" spans="2:3" x14ac:dyDescent="0.2">
      <c r="B3411" s="46"/>
      <c r="C3411" s="41"/>
    </row>
    <row r="3412" spans="2:3" x14ac:dyDescent="0.2">
      <c r="B3412" s="46"/>
      <c r="C3412" s="41"/>
    </row>
    <row r="3413" spans="2:3" x14ac:dyDescent="0.2">
      <c r="B3413" s="46"/>
      <c r="C3413" s="41"/>
    </row>
    <row r="3414" spans="2:3" x14ac:dyDescent="0.2">
      <c r="B3414" s="46"/>
      <c r="C3414" s="41"/>
    </row>
    <row r="3415" spans="2:3" x14ac:dyDescent="0.2">
      <c r="B3415" s="46"/>
      <c r="C3415" s="41"/>
    </row>
    <row r="3416" spans="2:3" x14ac:dyDescent="0.2">
      <c r="B3416" s="46"/>
      <c r="C3416" s="41"/>
    </row>
    <row r="3417" spans="2:3" x14ac:dyDescent="0.2">
      <c r="B3417" s="46"/>
      <c r="C3417" s="41"/>
    </row>
    <row r="3418" spans="2:3" x14ac:dyDescent="0.2">
      <c r="B3418" s="46"/>
      <c r="C3418" s="41"/>
    </row>
    <row r="3419" spans="2:3" x14ac:dyDescent="0.2">
      <c r="B3419" s="46"/>
      <c r="C3419" s="41"/>
    </row>
    <row r="3420" spans="2:3" x14ac:dyDescent="0.2">
      <c r="B3420" s="46"/>
      <c r="C3420" s="41"/>
    </row>
    <row r="3421" spans="2:3" x14ac:dyDescent="0.2">
      <c r="B3421" s="46"/>
      <c r="C3421" s="41"/>
    </row>
    <row r="3422" spans="2:3" x14ac:dyDescent="0.2">
      <c r="B3422" s="46"/>
      <c r="C3422" s="41"/>
    </row>
    <row r="3423" spans="2:3" x14ac:dyDescent="0.2">
      <c r="B3423" s="46"/>
      <c r="C3423" s="41"/>
    </row>
    <row r="3424" spans="2:3" x14ac:dyDescent="0.2">
      <c r="B3424" s="46"/>
      <c r="C3424" s="41"/>
    </row>
    <row r="3425" spans="2:3" x14ac:dyDescent="0.2">
      <c r="B3425" s="46"/>
      <c r="C3425" s="41"/>
    </row>
    <row r="3426" spans="2:3" x14ac:dyDescent="0.2">
      <c r="B3426" s="46"/>
      <c r="C3426" s="41"/>
    </row>
    <row r="3427" spans="2:3" x14ac:dyDescent="0.2">
      <c r="B3427" s="46"/>
      <c r="C3427" s="41"/>
    </row>
    <row r="3428" spans="2:3" x14ac:dyDescent="0.2">
      <c r="B3428" s="46"/>
      <c r="C3428" s="41"/>
    </row>
    <row r="3429" spans="2:3" x14ac:dyDescent="0.2">
      <c r="B3429" s="46"/>
      <c r="C3429" s="41"/>
    </row>
    <row r="3430" spans="2:3" x14ac:dyDescent="0.2">
      <c r="B3430" s="46"/>
      <c r="C3430" s="41"/>
    </row>
    <row r="3431" spans="2:3" x14ac:dyDescent="0.2">
      <c r="B3431" s="46"/>
      <c r="C3431" s="41"/>
    </row>
    <row r="3432" spans="2:3" x14ac:dyDescent="0.2">
      <c r="B3432" s="46"/>
      <c r="C3432" s="41"/>
    </row>
    <row r="3433" spans="2:3" x14ac:dyDescent="0.2">
      <c r="B3433" s="46"/>
      <c r="C3433" s="41"/>
    </row>
    <row r="3434" spans="2:3" x14ac:dyDescent="0.2">
      <c r="B3434" s="46"/>
      <c r="C3434" s="41"/>
    </row>
    <row r="3435" spans="2:3" x14ac:dyDescent="0.2">
      <c r="B3435" s="46"/>
      <c r="C3435" s="41"/>
    </row>
    <row r="3436" spans="2:3" x14ac:dyDescent="0.2">
      <c r="B3436" s="46"/>
      <c r="C3436" s="41"/>
    </row>
    <row r="3437" spans="2:3" x14ac:dyDescent="0.2">
      <c r="B3437" s="46"/>
      <c r="C3437" s="41"/>
    </row>
    <row r="3438" spans="2:3" x14ac:dyDescent="0.2">
      <c r="B3438" s="46"/>
      <c r="C3438" s="41"/>
    </row>
    <row r="3439" spans="2:3" x14ac:dyDescent="0.2">
      <c r="B3439" s="46"/>
      <c r="C3439" s="41"/>
    </row>
    <row r="3440" spans="2:3" x14ac:dyDescent="0.2">
      <c r="B3440" s="46"/>
      <c r="C3440" s="41"/>
    </row>
    <row r="3441" spans="2:3" x14ac:dyDescent="0.2">
      <c r="B3441" s="46"/>
      <c r="C3441" s="41"/>
    </row>
    <row r="3442" spans="2:3" x14ac:dyDescent="0.2">
      <c r="B3442" s="46"/>
      <c r="C3442" s="41"/>
    </row>
    <row r="3443" spans="2:3" x14ac:dyDescent="0.2">
      <c r="B3443" s="46"/>
      <c r="C3443" s="41"/>
    </row>
    <row r="3444" spans="2:3" x14ac:dyDescent="0.2">
      <c r="B3444" s="46"/>
      <c r="C3444" s="41"/>
    </row>
    <row r="3445" spans="2:3" x14ac:dyDescent="0.2">
      <c r="B3445" s="46"/>
      <c r="C3445" s="41"/>
    </row>
    <row r="3446" spans="2:3" x14ac:dyDescent="0.2">
      <c r="B3446" s="46"/>
      <c r="C3446" s="41"/>
    </row>
    <row r="3447" spans="2:3" x14ac:dyDescent="0.2">
      <c r="B3447" s="46"/>
      <c r="C3447" s="41"/>
    </row>
    <row r="3448" spans="2:3" x14ac:dyDescent="0.2">
      <c r="B3448" s="46"/>
      <c r="C3448" s="41"/>
    </row>
    <row r="3449" spans="2:3" x14ac:dyDescent="0.2">
      <c r="B3449" s="46"/>
      <c r="C3449" s="41"/>
    </row>
    <row r="3450" spans="2:3" x14ac:dyDescent="0.2">
      <c r="B3450" s="46"/>
      <c r="C3450" s="41"/>
    </row>
    <row r="3451" spans="2:3" x14ac:dyDescent="0.2">
      <c r="B3451" s="46"/>
      <c r="C3451" s="41"/>
    </row>
    <row r="3452" spans="2:3" x14ac:dyDescent="0.2">
      <c r="B3452" s="46"/>
      <c r="C3452" s="41"/>
    </row>
    <row r="3453" spans="2:3" x14ac:dyDescent="0.2">
      <c r="B3453" s="46"/>
      <c r="C3453" s="41"/>
    </row>
    <row r="3454" spans="2:3" x14ac:dyDescent="0.2">
      <c r="B3454" s="46"/>
      <c r="C3454" s="41"/>
    </row>
    <row r="3455" spans="2:3" x14ac:dyDescent="0.2">
      <c r="B3455" s="46"/>
      <c r="C3455" s="41"/>
    </row>
    <row r="3456" spans="2:3" x14ac:dyDescent="0.2">
      <c r="B3456" s="46"/>
      <c r="C3456" s="41"/>
    </row>
    <row r="3457" spans="2:3" x14ac:dyDescent="0.2">
      <c r="B3457" s="46"/>
      <c r="C3457" s="41"/>
    </row>
    <row r="3458" spans="2:3" x14ac:dyDescent="0.2">
      <c r="B3458" s="46"/>
      <c r="C3458" s="41"/>
    </row>
    <row r="3459" spans="2:3" x14ac:dyDescent="0.2">
      <c r="B3459" s="46"/>
      <c r="C3459" s="41"/>
    </row>
    <row r="3460" spans="2:3" x14ac:dyDescent="0.2">
      <c r="B3460" s="46"/>
      <c r="C3460" s="41"/>
    </row>
    <row r="3461" spans="2:3" x14ac:dyDescent="0.2">
      <c r="B3461" s="46"/>
      <c r="C3461" s="41"/>
    </row>
    <row r="3462" spans="2:3" x14ac:dyDescent="0.2">
      <c r="B3462" s="46"/>
      <c r="C3462" s="41"/>
    </row>
    <row r="3463" spans="2:3" x14ac:dyDescent="0.2">
      <c r="B3463" s="46"/>
      <c r="C3463" s="41"/>
    </row>
    <row r="3464" spans="2:3" x14ac:dyDescent="0.2">
      <c r="B3464" s="46"/>
      <c r="C3464" s="41"/>
    </row>
    <row r="3465" spans="2:3" x14ac:dyDescent="0.2">
      <c r="B3465" s="46"/>
      <c r="C3465" s="41"/>
    </row>
    <row r="3466" spans="2:3" x14ac:dyDescent="0.2">
      <c r="B3466" s="46"/>
      <c r="C3466" s="41"/>
    </row>
    <row r="3467" spans="2:3" x14ac:dyDescent="0.2">
      <c r="B3467" s="46"/>
      <c r="C3467" s="41"/>
    </row>
    <row r="3468" spans="2:3" x14ac:dyDescent="0.2">
      <c r="B3468" s="46"/>
      <c r="C3468" s="41"/>
    </row>
    <row r="3469" spans="2:3" x14ac:dyDescent="0.2">
      <c r="B3469" s="46"/>
      <c r="C3469" s="41"/>
    </row>
    <row r="3470" spans="2:3" x14ac:dyDescent="0.2">
      <c r="B3470" s="46"/>
      <c r="C3470" s="41"/>
    </row>
    <row r="3471" spans="2:3" x14ac:dyDescent="0.2">
      <c r="B3471" s="46"/>
      <c r="C3471" s="41"/>
    </row>
    <row r="3472" spans="2:3" x14ac:dyDescent="0.2">
      <c r="B3472" s="46"/>
      <c r="C3472" s="41"/>
    </row>
    <row r="3473" spans="2:3" x14ac:dyDescent="0.2">
      <c r="B3473" s="46"/>
      <c r="C3473" s="41"/>
    </row>
    <row r="3474" spans="2:3" x14ac:dyDescent="0.2">
      <c r="B3474" s="46"/>
      <c r="C3474" s="41"/>
    </row>
    <row r="3475" spans="2:3" x14ac:dyDescent="0.2">
      <c r="B3475" s="46"/>
      <c r="C3475" s="41"/>
    </row>
    <row r="3476" spans="2:3" x14ac:dyDescent="0.2">
      <c r="B3476" s="46"/>
      <c r="C3476" s="41"/>
    </row>
    <row r="3477" spans="2:3" x14ac:dyDescent="0.2">
      <c r="B3477" s="46"/>
      <c r="C3477" s="41"/>
    </row>
    <row r="3478" spans="2:3" x14ac:dyDescent="0.2">
      <c r="B3478" s="46"/>
      <c r="C3478" s="41"/>
    </row>
    <row r="3479" spans="2:3" x14ac:dyDescent="0.2">
      <c r="B3479" s="46"/>
      <c r="C3479" s="41"/>
    </row>
    <row r="3480" spans="2:3" x14ac:dyDescent="0.2">
      <c r="B3480" s="46"/>
      <c r="C3480" s="41"/>
    </row>
    <row r="3481" spans="2:3" x14ac:dyDescent="0.2">
      <c r="B3481" s="46"/>
      <c r="C3481" s="41"/>
    </row>
    <row r="3482" spans="2:3" x14ac:dyDescent="0.2">
      <c r="B3482" s="46"/>
      <c r="C3482" s="41"/>
    </row>
    <row r="3483" spans="2:3" x14ac:dyDescent="0.2">
      <c r="B3483" s="46"/>
      <c r="C3483" s="41"/>
    </row>
    <row r="3484" spans="2:3" x14ac:dyDescent="0.2">
      <c r="B3484" s="46"/>
      <c r="C3484" s="41"/>
    </row>
    <row r="3485" spans="2:3" x14ac:dyDescent="0.2">
      <c r="B3485" s="46"/>
      <c r="C3485" s="41"/>
    </row>
    <row r="3486" spans="2:3" x14ac:dyDescent="0.2">
      <c r="B3486" s="46"/>
      <c r="C3486" s="41"/>
    </row>
    <row r="3487" spans="2:3" x14ac:dyDescent="0.2">
      <c r="B3487" s="46"/>
      <c r="C3487" s="41"/>
    </row>
    <row r="3488" spans="2:3" x14ac:dyDescent="0.2">
      <c r="B3488" s="46"/>
      <c r="C3488" s="41"/>
    </row>
    <row r="3489" spans="2:3" x14ac:dyDescent="0.2">
      <c r="B3489" s="46"/>
      <c r="C3489" s="41"/>
    </row>
    <row r="3490" spans="2:3" x14ac:dyDescent="0.2">
      <c r="B3490" s="46"/>
      <c r="C3490" s="41"/>
    </row>
    <row r="3491" spans="2:3" x14ac:dyDescent="0.2">
      <c r="B3491" s="46"/>
      <c r="C3491" s="41"/>
    </row>
    <row r="3492" spans="2:3" x14ac:dyDescent="0.2">
      <c r="B3492" s="46"/>
      <c r="C3492" s="41"/>
    </row>
    <row r="3493" spans="2:3" x14ac:dyDescent="0.2">
      <c r="B3493" s="46"/>
      <c r="C3493" s="41"/>
    </row>
    <row r="3494" spans="2:3" x14ac:dyDescent="0.2">
      <c r="B3494" s="46"/>
      <c r="C3494" s="41"/>
    </row>
    <row r="3495" spans="2:3" x14ac:dyDescent="0.2">
      <c r="B3495" s="46"/>
      <c r="C3495" s="41"/>
    </row>
    <row r="3496" spans="2:3" x14ac:dyDescent="0.2">
      <c r="B3496" s="46"/>
      <c r="C3496" s="41"/>
    </row>
    <row r="3497" spans="2:3" x14ac:dyDescent="0.2">
      <c r="B3497" s="46"/>
      <c r="C3497" s="41"/>
    </row>
    <row r="3498" spans="2:3" x14ac:dyDescent="0.2">
      <c r="B3498" s="46"/>
      <c r="C3498" s="41"/>
    </row>
    <row r="3499" spans="2:3" x14ac:dyDescent="0.2">
      <c r="B3499" s="46"/>
      <c r="C3499" s="41"/>
    </row>
    <row r="3500" spans="2:3" x14ac:dyDescent="0.2">
      <c r="B3500" s="46"/>
      <c r="C3500" s="41"/>
    </row>
    <row r="3501" spans="2:3" x14ac:dyDescent="0.2">
      <c r="B3501" s="46"/>
      <c r="C3501" s="41"/>
    </row>
    <row r="3502" spans="2:3" x14ac:dyDescent="0.2">
      <c r="B3502" s="46"/>
      <c r="C3502" s="41"/>
    </row>
    <row r="3503" spans="2:3" x14ac:dyDescent="0.2">
      <c r="B3503" s="46"/>
      <c r="C3503" s="41"/>
    </row>
    <row r="3504" spans="2:3" x14ac:dyDescent="0.2">
      <c r="B3504" s="46"/>
      <c r="C3504" s="41"/>
    </row>
    <row r="3505" spans="2:3" x14ac:dyDescent="0.2">
      <c r="B3505" s="46"/>
      <c r="C3505" s="41"/>
    </row>
    <row r="3506" spans="2:3" x14ac:dyDescent="0.2">
      <c r="B3506" s="46"/>
      <c r="C3506" s="41"/>
    </row>
    <row r="3507" spans="2:3" x14ac:dyDescent="0.2">
      <c r="B3507" s="46"/>
      <c r="C3507" s="41"/>
    </row>
    <row r="3508" spans="2:3" x14ac:dyDescent="0.2">
      <c r="B3508" s="46"/>
      <c r="C3508" s="41"/>
    </row>
    <row r="3509" spans="2:3" x14ac:dyDescent="0.2">
      <c r="B3509" s="46"/>
      <c r="C3509" s="41"/>
    </row>
    <row r="3510" spans="2:3" x14ac:dyDescent="0.2">
      <c r="B3510" s="46"/>
      <c r="C3510" s="41"/>
    </row>
    <row r="3511" spans="2:3" x14ac:dyDescent="0.2">
      <c r="B3511" s="46"/>
      <c r="C3511" s="41"/>
    </row>
    <row r="3512" spans="2:3" x14ac:dyDescent="0.2">
      <c r="B3512" s="46"/>
      <c r="C3512" s="41"/>
    </row>
    <row r="3513" spans="2:3" x14ac:dyDescent="0.2">
      <c r="B3513" s="46"/>
      <c r="C3513" s="41"/>
    </row>
    <row r="3514" spans="2:3" x14ac:dyDescent="0.2">
      <c r="B3514" s="46"/>
      <c r="C3514" s="41"/>
    </row>
    <row r="3515" spans="2:3" x14ac:dyDescent="0.2">
      <c r="B3515" s="46"/>
      <c r="C3515" s="41"/>
    </row>
    <row r="3516" spans="2:3" x14ac:dyDescent="0.2">
      <c r="B3516" s="46"/>
      <c r="C3516" s="41"/>
    </row>
    <row r="3517" spans="2:3" x14ac:dyDescent="0.2">
      <c r="B3517" s="46"/>
      <c r="C3517" s="41"/>
    </row>
    <row r="3518" spans="2:3" x14ac:dyDescent="0.2">
      <c r="B3518" s="46"/>
      <c r="C3518" s="41"/>
    </row>
    <row r="3519" spans="2:3" x14ac:dyDescent="0.2">
      <c r="B3519" s="46"/>
      <c r="C3519" s="41"/>
    </row>
    <row r="3520" spans="2:3" x14ac:dyDescent="0.2">
      <c r="B3520" s="46"/>
      <c r="C3520" s="41"/>
    </row>
    <row r="3521" spans="2:3" x14ac:dyDescent="0.2">
      <c r="B3521" s="46"/>
      <c r="C3521" s="41"/>
    </row>
    <row r="3522" spans="2:3" x14ac:dyDescent="0.2">
      <c r="B3522" s="46"/>
      <c r="C3522" s="41"/>
    </row>
    <row r="3523" spans="2:3" x14ac:dyDescent="0.2">
      <c r="B3523" s="46"/>
      <c r="C3523" s="41"/>
    </row>
    <row r="3524" spans="2:3" x14ac:dyDescent="0.2">
      <c r="B3524" s="46"/>
      <c r="C3524" s="41"/>
    </row>
    <row r="3525" spans="2:3" x14ac:dyDescent="0.2">
      <c r="B3525" s="46"/>
      <c r="C3525" s="41"/>
    </row>
    <row r="3526" spans="2:3" x14ac:dyDescent="0.2">
      <c r="B3526" s="46"/>
      <c r="C3526" s="41"/>
    </row>
    <row r="3527" spans="2:3" x14ac:dyDescent="0.2">
      <c r="B3527" s="46"/>
      <c r="C3527" s="41"/>
    </row>
    <row r="3528" spans="2:3" x14ac:dyDescent="0.2">
      <c r="B3528" s="46"/>
      <c r="C3528" s="41"/>
    </row>
    <row r="3529" spans="2:3" x14ac:dyDescent="0.2">
      <c r="B3529" s="46"/>
      <c r="C3529" s="41"/>
    </row>
    <row r="3530" spans="2:3" x14ac:dyDescent="0.2">
      <c r="B3530" s="46"/>
      <c r="C3530" s="41"/>
    </row>
    <row r="3531" spans="2:3" x14ac:dyDescent="0.2">
      <c r="B3531" s="46"/>
      <c r="C3531" s="41"/>
    </row>
    <row r="3532" spans="2:3" x14ac:dyDescent="0.2">
      <c r="B3532" s="46"/>
      <c r="C3532" s="41"/>
    </row>
    <row r="3533" spans="2:3" x14ac:dyDescent="0.2">
      <c r="B3533" s="46"/>
      <c r="C3533" s="41"/>
    </row>
    <row r="3534" spans="2:3" x14ac:dyDescent="0.2">
      <c r="B3534" s="46"/>
      <c r="C3534" s="41"/>
    </row>
    <row r="3535" spans="2:3" x14ac:dyDescent="0.2">
      <c r="B3535" s="46"/>
      <c r="C3535" s="41"/>
    </row>
    <row r="3536" spans="2:3" x14ac:dyDescent="0.2">
      <c r="B3536" s="46"/>
      <c r="C3536" s="41"/>
    </row>
    <row r="3537" spans="2:3" x14ac:dyDescent="0.2">
      <c r="B3537" s="46"/>
      <c r="C3537" s="41"/>
    </row>
    <row r="3538" spans="2:3" x14ac:dyDescent="0.2">
      <c r="B3538" s="46"/>
      <c r="C3538" s="41"/>
    </row>
    <row r="3539" spans="2:3" x14ac:dyDescent="0.2">
      <c r="B3539" s="46"/>
      <c r="C3539" s="41"/>
    </row>
    <row r="3540" spans="2:3" x14ac:dyDescent="0.2">
      <c r="B3540" s="46"/>
      <c r="C3540" s="41"/>
    </row>
    <row r="3541" spans="2:3" x14ac:dyDescent="0.2">
      <c r="B3541" s="46"/>
      <c r="C3541" s="41"/>
    </row>
    <row r="3542" spans="2:3" x14ac:dyDescent="0.2">
      <c r="B3542" s="46"/>
      <c r="C3542" s="41"/>
    </row>
    <row r="3543" spans="2:3" x14ac:dyDescent="0.2">
      <c r="B3543" s="46"/>
      <c r="C3543" s="41"/>
    </row>
    <row r="3544" spans="2:3" x14ac:dyDescent="0.2">
      <c r="B3544" s="46"/>
      <c r="C3544" s="41"/>
    </row>
    <row r="3545" spans="2:3" x14ac:dyDescent="0.2">
      <c r="B3545" s="46"/>
      <c r="C3545" s="41"/>
    </row>
    <row r="3546" spans="2:3" x14ac:dyDescent="0.2">
      <c r="B3546" s="46"/>
      <c r="C3546" s="41"/>
    </row>
    <row r="3547" spans="2:3" x14ac:dyDescent="0.2">
      <c r="B3547" s="46"/>
      <c r="C3547" s="41"/>
    </row>
    <row r="3548" spans="2:3" x14ac:dyDescent="0.2">
      <c r="B3548" s="46"/>
      <c r="C3548" s="41"/>
    </row>
    <row r="3549" spans="2:3" x14ac:dyDescent="0.2">
      <c r="B3549" s="46"/>
      <c r="C3549" s="41"/>
    </row>
    <row r="3550" spans="2:3" x14ac:dyDescent="0.2">
      <c r="B3550" s="46"/>
      <c r="C3550" s="41"/>
    </row>
    <row r="3551" spans="2:3" x14ac:dyDescent="0.2">
      <c r="B3551" s="46"/>
      <c r="C3551" s="41"/>
    </row>
    <row r="3552" spans="2:3" x14ac:dyDescent="0.2">
      <c r="B3552" s="46"/>
      <c r="C3552" s="41"/>
    </row>
    <row r="3553" spans="2:3" x14ac:dyDescent="0.2">
      <c r="B3553" s="46"/>
      <c r="C3553" s="41"/>
    </row>
    <row r="3554" spans="2:3" x14ac:dyDescent="0.2">
      <c r="B3554" s="46"/>
      <c r="C3554" s="41"/>
    </row>
    <row r="3555" spans="2:3" x14ac:dyDescent="0.2">
      <c r="B3555" s="46"/>
      <c r="C3555" s="41"/>
    </row>
    <row r="3556" spans="2:3" x14ac:dyDescent="0.2">
      <c r="B3556" s="46"/>
      <c r="C3556" s="41"/>
    </row>
    <row r="3557" spans="2:3" x14ac:dyDescent="0.2">
      <c r="B3557" s="46"/>
      <c r="C3557" s="41"/>
    </row>
    <row r="3558" spans="2:3" x14ac:dyDescent="0.2">
      <c r="B3558" s="46"/>
      <c r="C3558" s="41"/>
    </row>
    <row r="3559" spans="2:3" x14ac:dyDescent="0.2">
      <c r="B3559" s="46"/>
      <c r="C3559" s="41"/>
    </row>
    <row r="3560" spans="2:3" x14ac:dyDescent="0.2">
      <c r="B3560" s="46"/>
      <c r="C3560" s="41"/>
    </row>
    <row r="3561" spans="2:3" x14ac:dyDescent="0.2">
      <c r="B3561" s="46"/>
      <c r="C3561" s="41"/>
    </row>
    <row r="3562" spans="2:3" x14ac:dyDescent="0.2">
      <c r="B3562" s="46"/>
      <c r="C3562" s="41"/>
    </row>
    <row r="3563" spans="2:3" x14ac:dyDescent="0.2">
      <c r="B3563" s="46"/>
      <c r="C3563" s="41"/>
    </row>
    <row r="3564" spans="2:3" x14ac:dyDescent="0.2">
      <c r="B3564" s="46"/>
      <c r="C3564" s="41"/>
    </row>
    <row r="3565" spans="2:3" x14ac:dyDescent="0.2">
      <c r="B3565" s="46"/>
      <c r="C3565" s="41"/>
    </row>
    <row r="3566" spans="2:3" x14ac:dyDescent="0.2">
      <c r="B3566" s="46"/>
      <c r="C3566" s="41"/>
    </row>
    <row r="3567" spans="2:3" x14ac:dyDescent="0.2">
      <c r="B3567" s="46"/>
      <c r="C3567" s="41"/>
    </row>
    <row r="3568" spans="2:3" x14ac:dyDescent="0.2">
      <c r="B3568" s="46"/>
      <c r="C3568" s="41"/>
    </row>
    <row r="3569" spans="2:3" x14ac:dyDescent="0.2">
      <c r="B3569" s="46"/>
      <c r="C3569" s="41"/>
    </row>
    <row r="3570" spans="2:3" x14ac:dyDescent="0.2">
      <c r="B3570" s="46"/>
      <c r="C3570" s="41"/>
    </row>
    <row r="3571" spans="2:3" x14ac:dyDescent="0.2">
      <c r="B3571" s="46"/>
      <c r="C3571" s="41"/>
    </row>
    <row r="3572" spans="2:3" x14ac:dyDescent="0.2">
      <c r="B3572" s="46"/>
      <c r="C3572" s="41"/>
    </row>
    <row r="3573" spans="2:3" x14ac:dyDescent="0.2">
      <c r="B3573" s="46"/>
      <c r="C3573" s="41"/>
    </row>
    <row r="3574" spans="2:3" x14ac:dyDescent="0.2">
      <c r="B3574" s="46"/>
      <c r="C3574" s="41"/>
    </row>
    <row r="3575" spans="2:3" x14ac:dyDescent="0.2">
      <c r="B3575" s="46"/>
      <c r="C3575" s="41"/>
    </row>
    <row r="3576" spans="2:3" x14ac:dyDescent="0.2">
      <c r="B3576" s="46"/>
      <c r="C3576" s="41"/>
    </row>
    <row r="3577" spans="2:3" x14ac:dyDescent="0.2">
      <c r="B3577" s="46"/>
      <c r="C3577" s="41"/>
    </row>
    <row r="3578" spans="2:3" x14ac:dyDescent="0.2">
      <c r="B3578" s="46"/>
      <c r="C3578" s="41"/>
    </row>
    <row r="3579" spans="2:3" x14ac:dyDescent="0.2">
      <c r="B3579" s="46"/>
      <c r="C3579" s="41"/>
    </row>
    <row r="3580" spans="2:3" x14ac:dyDescent="0.2">
      <c r="B3580" s="46"/>
      <c r="C3580" s="41"/>
    </row>
    <row r="3581" spans="2:3" x14ac:dyDescent="0.2">
      <c r="B3581" s="46"/>
      <c r="C3581" s="41"/>
    </row>
    <row r="3582" spans="2:3" x14ac:dyDescent="0.2">
      <c r="B3582" s="46"/>
      <c r="C3582" s="41"/>
    </row>
    <row r="3583" spans="2:3" x14ac:dyDescent="0.2">
      <c r="B3583" s="46"/>
      <c r="C3583" s="41"/>
    </row>
    <row r="3584" spans="2:3" x14ac:dyDescent="0.2">
      <c r="B3584" s="46"/>
      <c r="C3584" s="41"/>
    </row>
    <row r="3585" spans="2:3" x14ac:dyDescent="0.2">
      <c r="B3585" s="46"/>
      <c r="C3585" s="41"/>
    </row>
    <row r="3586" spans="2:3" x14ac:dyDescent="0.2">
      <c r="B3586" s="46"/>
      <c r="C3586" s="41"/>
    </row>
    <row r="3587" spans="2:3" x14ac:dyDescent="0.2">
      <c r="B3587" s="46"/>
      <c r="C3587" s="41"/>
    </row>
    <row r="3588" spans="2:3" x14ac:dyDescent="0.2">
      <c r="B3588" s="46"/>
      <c r="C3588" s="41"/>
    </row>
    <row r="3589" spans="2:3" x14ac:dyDescent="0.2">
      <c r="B3589" s="46"/>
      <c r="C3589" s="41"/>
    </row>
    <row r="3590" spans="2:3" x14ac:dyDescent="0.2">
      <c r="B3590" s="46"/>
      <c r="C3590" s="41"/>
    </row>
    <row r="3591" spans="2:3" x14ac:dyDescent="0.2">
      <c r="B3591" s="46"/>
      <c r="C3591" s="41"/>
    </row>
    <row r="3592" spans="2:3" x14ac:dyDescent="0.2">
      <c r="B3592" s="46"/>
      <c r="C3592" s="41"/>
    </row>
    <row r="3593" spans="2:3" x14ac:dyDescent="0.2">
      <c r="B3593" s="46"/>
      <c r="C3593" s="41"/>
    </row>
    <row r="3594" spans="2:3" x14ac:dyDescent="0.2">
      <c r="B3594" s="46"/>
      <c r="C3594" s="41"/>
    </row>
    <row r="3595" spans="2:3" x14ac:dyDescent="0.2">
      <c r="B3595" s="46"/>
      <c r="C3595" s="41"/>
    </row>
    <row r="3596" spans="2:3" x14ac:dyDescent="0.2">
      <c r="B3596" s="46"/>
      <c r="C3596" s="41"/>
    </row>
    <row r="3597" spans="2:3" x14ac:dyDescent="0.2">
      <c r="B3597" s="46"/>
      <c r="C3597" s="41"/>
    </row>
    <row r="3598" spans="2:3" x14ac:dyDescent="0.2">
      <c r="B3598" s="46"/>
      <c r="C3598" s="41"/>
    </row>
    <row r="3599" spans="2:3" x14ac:dyDescent="0.2">
      <c r="B3599" s="46"/>
      <c r="C3599" s="41"/>
    </row>
    <row r="3600" spans="2:3" x14ac:dyDescent="0.2">
      <c r="B3600" s="46"/>
      <c r="C3600" s="41"/>
    </row>
    <row r="3601" spans="2:3" x14ac:dyDescent="0.2">
      <c r="B3601" s="46"/>
      <c r="C3601" s="41"/>
    </row>
    <row r="3602" spans="2:3" x14ac:dyDescent="0.2">
      <c r="B3602" s="46"/>
      <c r="C3602" s="41"/>
    </row>
    <row r="3603" spans="2:3" x14ac:dyDescent="0.2">
      <c r="B3603" s="46"/>
      <c r="C3603" s="41"/>
    </row>
    <row r="3604" spans="2:3" x14ac:dyDescent="0.2">
      <c r="B3604" s="46"/>
      <c r="C3604" s="41"/>
    </row>
    <row r="3605" spans="2:3" x14ac:dyDescent="0.2">
      <c r="B3605" s="46"/>
      <c r="C3605" s="41"/>
    </row>
    <row r="3606" spans="2:3" x14ac:dyDescent="0.2">
      <c r="B3606" s="46"/>
      <c r="C3606" s="41"/>
    </row>
    <row r="3607" spans="2:3" x14ac:dyDescent="0.2">
      <c r="B3607" s="46"/>
      <c r="C3607" s="41"/>
    </row>
    <row r="3608" spans="2:3" x14ac:dyDescent="0.2">
      <c r="B3608" s="46"/>
      <c r="C3608" s="41"/>
    </row>
    <row r="3609" spans="2:3" x14ac:dyDescent="0.2">
      <c r="B3609" s="46"/>
      <c r="C3609" s="41"/>
    </row>
    <row r="3610" spans="2:3" x14ac:dyDescent="0.2">
      <c r="B3610" s="46"/>
      <c r="C3610" s="41"/>
    </row>
    <row r="3611" spans="2:3" x14ac:dyDescent="0.2">
      <c r="B3611" s="46"/>
      <c r="C3611" s="41"/>
    </row>
    <row r="3612" spans="2:3" x14ac:dyDescent="0.2">
      <c r="B3612" s="46"/>
      <c r="C3612" s="41"/>
    </row>
    <row r="3613" spans="2:3" x14ac:dyDescent="0.2">
      <c r="B3613" s="46"/>
      <c r="C3613" s="41"/>
    </row>
    <row r="3614" spans="2:3" x14ac:dyDescent="0.2">
      <c r="B3614" s="46"/>
      <c r="C3614" s="41"/>
    </row>
    <row r="3615" spans="2:3" x14ac:dyDescent="0.2">
      <c r="B3615" s="46"/>
      <c r="C3615" s="41"/>
    </row>
    <row r="3616" spans="2:3" x14ac:dyDescent="0.2">
      <c r="B3616" s="46"/>
      <c r="C3616" s="41"/>
    </row>
    <row r="3617" spans="2:3" x14ac:dyDescent="0.2">
      <c r="B3617" s="46"/>
      <c r="C3617" s="41"/>
    </row>
    <row r="3618" spans="2:3" x14ac:dyDescent="0.2">
      <c r="B3618" s="46"/>
      <c r="C3618" s="41"/>
    </row>
    <row r="3619" spans="2:3" x14ac:dyDescent="0.2">
      <c r="B3619" s="46"/>
      <c r="C3619" s="41"/>
    </row>
    <row r="3620" spans="2:3" x14ac:dyDescent="0.2">
      <c r="B3620" s="46"/>
      <c r="C3620" s="41"/>
    </row>
    <row r="3621" spans="2:3" x14ac:dyDescent="0.2">
      <c r="B3621" s="46"/>
      <c r="C3621" s="41"/>
    </row>
    <row r="3622" spans="2:3" x14ac:dyDescent="0.2">
      <c r="B3622" s="46"/>
      <c r="C3622" s="41"/>
    </row>
    <row r="3623" spans="2:3" x14ac:dyDescent="0.2">
      <c r="B3623" s="46"/>
      <c r="C3623" s="41"/>
    </row>
    <row r="3624" spans="2:3" x14ac:dyDescent="0.2">
      <c r="B3624" s="46"/>
      <c r="C3624" s="41"/>
    </row>
    <row r="3625" spans="2:3" x14ac:dyDescent="0.2">
      <c r="B3625" s="46"/>
      <c r="C3625" s="41"/>
    </row>
    <row r="3626" spans="2:3" x14ac:dyDescent="0.2">
      <c r="B3626" s="46"/>
      <c r="C3626" s="41"/>
    </row>
    <row r="3627" spans="2:3" x14ac:dyDescent="0.2">
      <c r="B3627" s="46"/>
      <c r="C3627" s="41"/>
    </row>
    <row r="3628" spans="2:3" x14ac:dyDescent="0.2">
      <c r="B3628" s="46"/>
      <c r="C3628" s="41"/>
    </row>
    <row r="3629" spans="2:3" x14ac:dyDescent="0.2">
      <c r="B3629" s="46"/>
      <c r="C3629" s="41"/>
    </row>
    <row r="3630" spans="2:3" x14ac:dyDescent="0.2">
      <c r="B3630" s="46"/>
      <c r="C3630" s="41"/>
    </row>
    <row r="3631" spans="2:3" x14ac:dyDescent="0.2">
      <c r="B3631" s="46"/>
      <c r="C3631" s="41"/>
    </row>
    <row r="3632" spans="2:3" x14ac:dyDescent="0.2">
      <c r="B3632" s="46"/>
      <c r="C3632" s="41"/>
    </row>
    <row r="3633" spans="2:3" x14ac:dyDescent="0.2">
      <c r="B3633" s="46"/>
      <c r="C3633" s="41"/>
    </row>
    <row r="3634" spans="2:3" x14ac:dyDescent="0.2">
      <c r="B3634" s="46"/>
      <c r="C3634" s="41"/>
    </row>
    <row r="3635" spans="2:3" x14ac:dyDescent="0.2">
      <c r="B3635" s="46"/>
      <c r="C3635" s="41"/>
    </row>
    <row r="3636" spans="2:3" x14ac:dyDescent="0.2">
      <c r="B3636" s="46"/>
      <c r="C3636" s="41"/>
    </row>
    <row r="3637" spans="2:3" x14ac:dyDescent="0.2">
      <c r="B3637" s="46"/>
      <c r="C3637" s="41"/>
    </row>
    <row r="3638" spans="2:3" x14ac:dyDescent="0.2">
      <c r="B3638" s="46"/>
      <c r="C3638" s="41"/>
    </row>
    <row r="3639" spans="2:3" x14ac:dyDescent="0.2">
      <c r="B3639" s="46"/>
      <c r="C3639" s="41"/>
    </row>
    <row r="3640" spans="2:3" x14ac:dyDescent="0.2">
      <c r="B3640" s="46"/>
      <c r="C3640" s="41"/>
    </row>
    <row r="3641" spans="2:3" x14ac:dyDescent="0.2">
      <c r="B3641" s="46"/>
      <c r="C3641" s="41"/>
    </row>
    <row r="3642" spans="2:3" x14ac:dyDescent="0.2">
      <c r="B3642" s="46"/>
      <c r="C3642" s="41"/>
    </row>
    <row r="3643" spans="2:3" x14ac:dyDescent="0.2">
      <c r="B3643" s="46"/>
      <c r="C3643" s="41"/>
    </row>
    <row r="3644" spans="2:3" x14ac:dyDescent="0.2">
      <c r="B3644" s="46"/>
      <c r="C3644" s="41"/>
    </row>
    <row r="3645" spans="2:3" x14ac:dyDescent="0.2">
      <c r="B3645" s="46"/>
      <c r="C3645" s="41"/>
    </row>
    <row r="3646" spans="2:3" x14ac:dyDescent="0.2">
      <c r="B3646" s="46"/>
      <c r="C3646" s="41"/>
    </row>
    <row r="3647" spans="2:3" x14ac:dyDescent="0.2">
      <c r="B3647" s="46"/>
      <c r="C3647" s="41"/>
    </row>
    <row r="3648" spans="2:3" x14ac:dyDescent="0.2">
      <c r="B3648" s="46"/>
      <c r="C3648" s="41"/>
    </row>
    <row r="3649" spans="2:3" x14ac:dyDescent="0.2">
      <c r="B3649" s="46"/>
      <c r="C3649" s="41"/>
    </row>
    <row r="3650" spans="2:3" x14ac:dyDescent="0.2">
      <c r="B3650" s="46"/>
      <c r="C3650" s="41"/>
    </row>
    <row r="3651" spans="2:3" x14ac:dyDescent="0.2">
      <c r="B3651" s="46"/>
      <c r="C3651" s="41"/>
    </row>
    <row r="3652" spans="2:3" x14ac:dyDescent="0.2">
      <c r="B3652" s="46"/>
      <c r="C3652" s="41"/>
    </row>
    <row r="3653" spans="2:3" x14ac:dyDescent="0.2">
      <c r="B3653" s="46"/>
      <c r="C3653" s="41"/>
    </row>
    <row r="3654" spans="2:3" x14ac:dyDescent="0.2">
      <c r="B3654" s="46"/>
      <c r="C3654" s="41"/>
    </row>
    <row r="3655" spans="2:3" x14ac:dyDescent="0.2">
      <c r="B3655" s="46"/>
      <c r="C3655" s="41"/>
    </row>
    <row r="3656" spans="2:3" x14ac:dyDescent="0.2">
      <c r="B3656" s="46"/>
      <c r="C3656" s="41"/>
    </row>
    <row r="3657" spans="2:3" x14ac:dyDescent="0.2">
      <c r="B3657" s="46"/>
      <c r="C3657" s="41"/>
    </row>
    <row r="3658" spans="2:3" x14ac:dyDescent="0.2">
      <c r="B3658" s="46"/>
      <c r="C3658" s="41"/>
    </row>
    <row r="3659" spans="2:3" x14ac:dyDescent="0.2">
      <c r="B3659" s="46"/>
      <c r="C3659" s="41"/>
    </row>
    <row r="3660" spans="2:3" x14ac:dyDescent="0.2">
      <c r="B3660" s="46"/>
      <c r="C3660" s="41"/>
    </row>
    <row r="3661" spans="2:3" x14ac:dyDescent="0.2">
      <c r="B3661" s="46"/>
      <c r="C3661" s="41"/>
    </row>
    <row r="3662" spans="2:3" x14ac:dyDescent="0.2">
      <c r="B3662" s="46"/>
      <c r="C3662" s="41"/>
    </row>
    <row r="3663" spans="2:3" x14ac:dyDescent="0.2">
      <c r="B3663" s="46"/>
      <c r="C3663" s="41"/>
    </row>
    <row r="3664" spans="2:3" x14ac:dyDescent="0.2">
      <c r="B3664" s="46"/>
      <c r="C3664" s="41"/>
    </row>
    <row r="3665" spans="2:3" x14ac:dyDescent="0.2">
      <c r="B3665" s="46"/>
      <c r="C3665" s="41"/>
    </row>
    <row r="3666" spans="2:3" x14ac:dyDescent="0.2">
      <c r="B3666" s="46"/>
      <c r="C3666" s="41"/>
    </row>
    <row r="3667" spans="2:3" x14ac:dyDescent="0.2">
      <c r="B3667" s="46"/>
      <c r="C3667" s="41"/>
    </row>
    <row r="3668" spans="2:3" x14ac:dyDescent="0.2">
      <c r="B3668" s="46"/>
      <c r="C3668" s="41"/>
    </row>
    <row r="3669" spans="2:3" x14ac:dyDescent="0.2">
      <c r="B3669" s="46"/>
      <c r="C3669" s="41"/>
    </row>
    <row r="3670" spans="2:3" x14ac:dyDescent="0.2">
      <c r="B3670" s="46"/>
      <c r="C3670" s="41"/>
    </row>
    <row r="3671" spans="2:3" x14ac:dyDescent="0.2">
      <c r="B3671" s="46"/>
      <c r="C3671" s="41"/>
    </row>
    <row r="3672" spans="2:3" x14ac:dyDescent="0.2">
      <c r="B3672" s="46"/>
      <c r="C3672" s="41"/>
    </row>
    <row r="3673" spans="2:3" x14ac:dyDescent="0.2">
      <c r="B3673" s="46"/>
      <c r="C3673" s="41"/>
    </row>
    <row r="3674" spans="2:3" x14ac:dyDescent="0.2">
      <c r="B3674" s="46"/>
      <c r="C3674" s="41"/>
    </row>
  </sheetData>
  <conditionalFormatting pivot="1" sqref="C19:C106">
    <cfRule type="cellIs" dxfId="23" priority="3" operator="between">
      <formula>99.5</formula>
      <formula>114.9</formula>
    </cfRule>
  </conditionalFormatting>
  <conditionalFormatting pivot="1" sqref="C19:C106">
    <cfRule type="cellIs" dxfId="22" priority="2" operator="greaterThan">
      <formula>114.5</formula>
    </cfRule>
  </conditionalFormatting>
  <conditionalFormatting pivot="1" sqref="C19:C106">
    <cfRule type="cellIs" dxfId="21" priority="1" operator="between">
      <formula>89.5</formula>
      <formula>99.49</formula>
    </cfRule>
  </conditionalFormatting>
  <pageMargins left="0" right="0" top="0" bottom="0" header="0" footer="0"/>
  <pageSetup orientation="portrait" r:id="rId2"/>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ED4271-92CF-4CB5-A56A-0313F5C4C598}">
  <sheetPr codeName="Sheet3">
    <tabColor theme="0" tint="-0.49995422223578601"/>
  </sheetPr>
  <dimension ref="A1:BT3675"/>
  <sheetViews>
    <sheetView showGridLines="0" showRowColHeaders="0" tabSelected="1" showRuler="0" view="pageLayout" zoomScaleNormal="100" workbookViewId="0">
      <selection activeCell="B13" sqref="B13"/>
    </sheetView>
  </sheetViews>
  <sheetFormatPr defaultColWidth="13.85546875" defaultRowHeight="14.25" x14ac:dyDescent="0.2"/>
  <cols>
    <col min="1" max="1" width="2.140625" style="11" customWidth="1"/>
    <col min="2" max="2" width="12.42578125" style="11" customWidth="1"/>
    <col min="3" max="5" width="10.85546875" style="11" customWidth="1"/>
    <col min="6" max="9" width="10.85546875" style="12" customWidth="1"/>
    <col min="10" max="17" width="13.85546875" style="12"/>
    <col min="18" max="16384" width="13.85546875" style="11"/>
  </cols>
  <sheetData>
    <row r="1" spans="2:18" ht="24.6" customHeight="1" x14ac:dyDescent="0.2">
      <c r="B1" s="8" t="s">
        <v>21</v>
      </c>
      <c r="C1" s="9"/>
      <c r="D1" s="10"/>
    </row>
    <row r="2" spans="2:18" ht="15" customHeight="1" x14ac:dyDescent="0.2">
      <c r="B2" s="13" t="s">
        <v>22</v>
      </c>
      <c r="C2" s="9"/>
      <c r="D2" s="10"/>
    </row>
    <row r="3" spans="2:18" ht="12.2" customHeight="1" x14ac:dyDescent="0.2">
      <c r="B3" s="10"/>
      <c r="C3" s="10"/>
      <c r="D3" s="10"/>
      <c r="G3" s="11"/>
      <c r="J3" s="11"/>
      <c r="K3" s="14"/>
      <c r="L3" s="14"/>
      <c r="M3" s="14"/>
      <c r="N3" s="15"/>
      <c r="O3" s="15"/>
      <c r="P3" s="15"/>
      <c r="Q3" s="15"/>
      <c r="R3" s="16"/>
    </row>
    <row r="4" spans="2:18" ht="13.7" customHeight="1" x14ac:dyDescent="0.2">
      <c r="B4" s="17" t="s">
        <v>23</v>
      </c>
      <c r="C4" s="18" t="str">
        <f>COVER!C17</f>
        <v>ENTER CLIENT NAME HERE</v>
      </c>
      <c r="D4" s="19"/>
      <c r="E4" s="48"/>
      <c r="F4" s="49"/>
      <c r="G4" s="22"/>
    </row>
    <row r="5" spans="2:18" ht="13.7" customHeight="1" x14ac:dyDescent="0.2">
      <c r="B5" s="17" t="s">
        <v>24</v>
      </c>
      <c r="C5" s="17" t="str">
        <f>COVER!C19</f>
        <v>Atlanta, Chicago, Dallas/Ft. Worth, Los Angeles, New York, Seattle/Tacoma</v>
      </c>
      <c r="D5" s="19"/>
      <c r="E5" s="15"/>
      <c r="F5" s="49"/>
      <c r="G5" s="15"/>
      <c r="H5" s="15"/>
      <c r="I5" s="15"/>
      <c r="J5" s="15"/>
    </row>
    <row r="6" spans="2:18" ht="13.7" customHeight="1" x14ac:dyDescent="0.2">
      <c r="B6" s="17" t="s">
        <v>25</v>
      </c>
      <c r="C6" s="17" t="str">
        <f>COVER!C18</f>
        <v>Experian &gt; Experian Household Segments &gt; Lifestyles - Standard &gt; Domestic Travel</v>
      </c>
      <c r="D6" s="19"/>
      <c r="E6" s="12"/>
      <c r="F6" s="49"/>
      <c r="G6" s="15"/>
      <c r="H6" s="15"/>
      <c r="I6" s="15"/>
      <c r="J6" s="15"/>
    </row>
    <row r="7" spans="2:18" s="12" customFormat="1" x14ac:dyDescent="0.2">
      <c r="B7" s="17" t="s">
        <v>26</v>
      </c>
      <c r="C7" s="17" t="str">
        <f>COVER!C20</f>
        <v>February 2026</v>
      </c>
      <c r="D7" s="9"/>
      <c r="E7" s="50"/>
      <c r="H7" s="15"/>
      <c r="I7" s="15"/>
      <c r="J7" s="15"/>
    </row>
    <row r="8" spans="2:18" s="12" customFormat="1" ht="15" x14ac:dyDescent="0.25">
      <c r="B8" s="27" t="s">
        <v>27</v>
      </c>
      <c r="C8" s="25"/>
      <c r="E8" s="28"/>
      <c r="I8" s="51"/>
      <c r="J8" s="51"/>
    </row>
    <row r="9" spans="2:18" s="12" customFormat="1" ht="15" x14ac:dyDescent="0.25">
      <c r="B9" s="27"/>
      <c r="E9" s="28"/>
      <c r="I9" s="51"/>
      <c r="J9" s="51"/>
    </row>
    <row r="10" spans="2:18" s="12" customFormat="1" ht="15" x14ac:dyDescent="0.25">
      <c r="B10" s="36" t="s">
        <v>32</v>
      </c>
      <c r="E10" s="28"/>
      <c r="I10" s="51"/>
      <c r="J10" s="51"/>
    </row>
    <row r="11" spans="2:18" s="12" customFormat="1" ht="15" x14ac:dyDescent="0.25">
      <c r="B11" s="52" t="s">
        <v>33</v>
      </c>
      <c r="E11" s="28"/>
      <c r="I11" s="51"/>
      <c r="J11" s="51"/>
    </row>
    <row r="12" spans="2:18" s="12" customFormat="1" ht="15" x14ac:dyDescent="0.25">
      <c r="B12" s="37" t="s">
        <v>34</v>
      </c>
      <c r="E12" s="28"/>
      <c r="I12" s="51"/>
      <c r="J12" s="51"/>
    </row>
    <row r="13" spans="2:18" s="12" customFormat="1" ht="15" x14ac:dyDescent="0.25">
      <c r="B13" s="53" t="s">
        <v>35</v>
      </c>
      <c r="E13" s="28"/>
      <c r="I13" s="51"/>
      <c r="J13" s="51"/>
    </row>
    <row r="14" spans="2:18" s="12" customFormat="1" ht="15" x14ac:dyDescent="0.25">
      <c r="B14" s="36" t="s">
        <v>36</v>
      </c>
      <c r="E14" s="28"/>
      <c r="I14" s="51"/>
      <c r="J14" s="51"/>
    </row>
    <row r="15" spans="2:18" s="12" customFormat="1" ht="15" x14ac:dyDescent="0.25">
      <c r="B15" s="27"/>
      <c r="E15" s="28"/>
      <c r="I15" s="51"/>
      <c r="J15" s="51"/>
    </row>
    <row r="16" spans="2:18" s="12" customFormat="1" ht="15" x14ac:dyDescent="0.25">
      <c r="B16" s="30"/>
      <c r="E16" s="28"/>
      <c r="I16" s="51"/>
      <c r="J16" s="51"/>
    </row>
    <row r="17" spans="1:72" s="12" customFormat="1" ht="15" x14ac:dyDescent="0.25">
      <c r="B17" s="30"/>
      <c r="E17" s="28"/>
      <c r="I17" s="51"/>
      <c r="J17" s="51"/>
    </row>
    <row r="18" spans="1:72" s="12" customFormat="1" ht="15" x14ac:dyDescent="0.25">
      <c r="B18" s="34"/>
      <c r="E18" s="28"/>
      <c r="I18" s="35"/>
      <c r="J18" s="51"/>
    </row>
    <row r="19" spans="1:72" s="12" customFormat="1" x14ac:dyDescent="0.2">
      <c r="B19" s="67" t="s">
        <v>42</v>
      </c>
      <c r="C19" s="68" t="s">
        <v>3</v>
      </c>
      <c r="D19" s="41"/>
      <c r="E19" s="41"/>
      <c r="F19" s="41"/>
      <c r="G19" s="41"/>
      <c r="H19" s="41"/>
      <c r="I19" s="41"/>
      <c r="J19" s="41"/>
      <c r="K19"/>
      <c r="L19"/>
      <c r="M19"/>
      <c r="N19"/>
      <c r="O19"/>
      <c r="P19"/>
    </row>
    <row r="20" spans="1:72" s="12" customFormat="1" ht="25.5" x14ac:dyDescent="0.2">
      <c r="A20" s="11"/>
      <c r="B20" s="69" t="s">
        <v>2</v>
      </c>
      <c r="C20" s="33" t="s">
        <v>43</v>
      </c>
      <c r="D20" s="33" t="s">
        <v>238</v>
      </c>
      <c r="E20" s="33" t="s">
        <v>44</v>
      </c>
      <c r="F20" s="33" t="s">
        <v>45</v>
      </c>
      <c r="G20" s="33" t="s">
        <v>239</v>
      </c>
      <c r="H20" s="33" t="s">
        <v>46</v>
      </c>
      <c r="I20" s="33" t="s">
        <v>47</v>
      </c>
      <c r="J20" s="33" t="s">
        <v>37</v>
      </c>
      <c r="K20"/>
      <c r="L20"/>
      <c r="M20"/>
      <c r="N20"/>
      <c r="O20"/>
      <c r="P20"/>
    </row>
    <row r="21" spans="1:72" s="12" customFormat="1" x14ac:dyDescent="0.2">
      <c r="A21" s="11"/>
      <c r="B21" t="s">
        <v>174</v>
      </c>
      <c r="C21" s="43">
        <v>124</v>
      </c>
      <c r="D21" s="43">
        <v>130</v>
      </c>
      <c r="E21" s="43">
        <v>123</v>
      </c>
      <c r="F21" s="43">
        <v>125</v>
      </c>
      <c r="G21" s="43">
        <v>120</v>
      </c>
      <c r="H21" s="43">
        <v>124</v>
      </c>
      <c r="I21" s="43">
        <v>130</v>
      </c>
      <c r="J21" s="43">
        <v>115</v>
      </c>
      <c r="K21"/>
      <c r="L21"/>
      <c r="M21"/>
      <c r="N21"/>
      <c r="O21"/>
      <c r="P21"/>
    </row>
    <row r="22" spans="1:72" x14ac:dyDescent="0.2">
      <c r="B22" t="s">
        <v>93</v>
      </c>
      <c r="C22" s="43">
        <v>119.5</v>
      </c>
      <c r="D22" s="43">
        <v>124</v>
      </c>
      <c r="E22" s="43">
        <v>116.5</v>
      </c>
      <c r="F22" s="43">
        <v>116.5</v>
      </c>
      <c r="G22" s="43">
        <v>116</v>
      </c>
      <c r="H22" s="43">
        <v>120</v>
      </c>
      <c r="I22" s="43">
        <v>121.5</v>
      </c>
      <c r="J22" s="43">
        <v>123.5</v>
      </c>
      <c r="K22"/>
      <c r="L22"/>
      <c r="M22"/>
      <c r="N22"/>
      <c r="O22"/>
      <c r="P22"/>
    </row>
    <row r="23" spans="1:72" x14ac:dyDescent="0.2">
      <c r="B23" t="s">
        <v>157</v>
      </c>
      <c r="C23" s="43">
        <v>117</v>
      </c>
      <c r="D23" s="43">
        <v>117</v>
      </c>
      <c r="E23" s="43">
        <v>118</v>
      </c>
      <c r="F23" s="43">
        <v>119</v>
      </c>
      <c r="G23" s="43">
        <v>112</v>
      </c>
      <c r="H23" s="43">
        <v>120</v>
      </c>
      <c r="I23" s="43">
        <v>125</v>
      </c>
      <c r="J23" s="43">
        <v>120</v>
      </c>
      <c r="K23"/>
      <c r="L23"/>
      <c r="M23"/>
      <c r="N23"/>
      <c r="O23"/>
      <c r="P23"/>
    </row>
    <row r="24" spans="1:72" x14ac:dyDescent="0.2">
      <c r="B24" t="s">
        <v>115</v>
      </c>
      <c r="C24" s="43">
        <v>123.5</v>
      </c>
      <c r="D24" s="43">
        <v>118</v>
      </c>
      <c r="E24" s="43">
        <v>122.5</v>
      </c>
      <c r="F24" s="43">
        <v>116</v>
      </c>
      <c r="G24" s="43">
        <v>111.5</v>
      </c>
      <c r="H24" s="43">
        <v>118.5</v>
      </c>
      <c r="I24" s="43">
        <v>118.5</v>
      </c>
      <c r="J24" s="43">
        <v>118</v>
      </c>
      <c r="K24"/>
      <c r="L24"/>
      <c r="M24"/>
      <c r="N24"/>
      <c r="O24"/>
      <c r="P24"/>
    </row>
    <row r="25" spans="1:72" x14ac:dyDescent="0.2">
      <c r="B25" t="s">
        <v>151</v>
      </c>
      <c r="C25" s="43">
        <v>119.6</v>
      </c>
      <c r="D25" s="43">
        <v>112.6</v>
      </c>
      <c r="E25" s="43">
        <v>120.2</v>
      </c>
      <c r="F25" s="43">
        <v>114.6</v>
      </c>
      <c r="G25" s="43">
        <v>115.8</v>
      </c>
      <c r="H25" s="43">
        <v>117.2</v>
      </c>
      <c r="I25" s="43">
        <v>117.4</v>
      </c>
      <c r="J25" s="43">
        <v>114</v>
      </c>
      <c r="K25"/>
      <c r="L25"/>
      <c r="M25"/>
      <c r="N25"/>
      <c r="O25"/>
      <c r="P25"/>
      <c r="Q25" s="24"/>
    </row>
    <row r="26" spans="1:72" x14ac:dyDescent="0.2">
      <c r="B26" t="s">
        <v>141</v>
      </c>
      <c r="C26" s="43">
        <v>122</v>
      </c>
      <c r="D26" s="43">
        <v>112</v>
      </c>
      <c r="E26" s="43">
        <v>118.75</v>
      </c>
      <c r="F26" s="43">
        <v>110.25</v>
      </c>
      <c r="G26" s="43">
        <v>107</v>
      </c>
      <c r="H26" s="43">
        <v>115</v>
      </c>
      <c r="I26" s="43">
        <v>115.25</v>
      </c>
      <c r="J26" s="43">
        <v>116</v>
      </c>
      <c r="K26"/>
      <c r="L26"/>
      <c r="M26"/>
      <c r="N26"/>
      <c r="O26"/>
      <c r="P26"/>
      <c r="Q26" s="24"/>
    </row>
    <row r="27" spans="1:72" x14ac:dyDescent="0.2">
      <c r="B27" t="s">
        <v>127</v>
      </c>
      <c r="C27" s="43">
        <v>124</v>
      </c>
      <c r="D27" s="43">
        <v>112</v>
      </c>
      <c r="E27" s="43">
        <v>119.66666666666667</v>
      </c>
      <c r="F27" s="43">
        <v>110</v>
      </c>
      <c r="G27" s="43">
        <v>110.33333333333333</v>
      </c>
      <c r="H27" s="43">
        <v>117.66666666666667</v>
      </c>
      <c r="I27" s="43">
        <v>111</v>
      </c>
      <c r="J27" s="43">
        <v>110.66666666666667</v>
      </c>
      <c r="K27"/>
      <c r="L27"/>
      <c r="M27"/>
      <c r="N27"/>
      <c r="O27"/>
      <c r="P27"/>
    </row>
    <row r="28" spans="1:72" ht="15" x14ac:dyDescent="0.25">
      <c r="B28" t="s">
        <v>160</v>
      </c>
      <c r="C28" s="43">
        <v>110</v>
      </c>
      <c r="D28" s="43">
        <v>122</v>
      </c>
      <c r="E28" s="43">
        <v>116</v>
      </c>
      <c r="F28" s="43">
        <v>117</v>
      </c>
      <c r="G28" s="43">
        <v>103</v>
      </c>
      <c r="H28" s="43">
        <v>114</v>
      </c>
      <c r="I28" s="43">
        <v>117</v>
      </c>
      <c r="J28" s="43">
        <v>114</v>
      </c>
      <c r="K28"/>
      <c r="L28"/>
      <c r="M28"/>
      <c r="N28"/>
      <c r="O28"/>
      <c r="P28"/>
      <c r="Q28" s="29"/>
      <c r="R28" s="29"/>
      <c r="S28" s="29"/>
      <c r="T28" s="29"/>
      <c r="U28" s="29"/>
      <c r="V28" s="29"/>
      <c r="W28" s="29"/>
      <c r="X28" s="29"/>
      <c r="Y28" s="29"/>
      <c r="Z28" s="29"/>
      <c r="AA28" s="29"/>
      <c r="AB28" s="29"/>
      <c r="AC28" s="29"/>
      <c r="AD28" s="29"/>
      <c r="AE28" s="29"/>
      <c r="AF28" s="29"/>
      <c r="AG28" s="29"/>
      <c r="AH28" s="29"/>
      <c r="AI28" s="29"/>
      <c r="AJ28" s="29"/>
      <c r="AK28" s="29"/>
      <c r="AL28" s="29"/>
      <c r="AM28" s="29"/>
      <c r="AN28" s="29"/>
      <c r="AO28" s="29"/>
      <c r="AP28" s="29"/>
      <c r="AQ28" s="29"/>
      <c r="AR28" s="29"/>
      <c r="AS28" s="29"/>
      <c r="AT28" s="29"/>
      <c r="AU28" s="29"/>
      <c r="AV28" s="29"/>
      <c r="AW28" s="29"/>
      <c r="AX28" s="29"/>
      <c r="AY28" s="29"/>
      <c r="AZ28" s="29"/>
      <c r="BA28" s="29"/>
      <c r="BB28" s="29"/>
      <c r="BC28" s="29"/>
      <c r="BD28" s="29"/>
      <c r="BE28" s="29"/>
      <c r="BF28" s="29"/>
      <c r="BG28" s="29"/>
      <c r="BH28" s="29"/>
      <c r="BI28" s="29"/>
      <c r="BJ28" s="29"/>
      <c r="BK28" s="29"/>
      <c r="BL28" s="29"/>
      <c r="BM28" s="29"/>
      <c r="BN28" s="29"/>
      <c r="BO28" s="29"/>
      <c r="BP28" s="29"/>
      <c r="BQ28" s="29"/>
      <c r="BR28" s="29"/>
      <c r="BS28" s="29"/>
      <c r="BT28" s="29"/>
    </row>
    <row r="29" spans="1:72" ht="15" x14ac:dyDescent="0.25">
      <c r="B29" t="s">
        <v>184</v>
      </c>
      <c r="C29" s="43">
        <v>113.66666666666667</v>
      </c>
      <c r="D29" s="43">
        <v>112</v>
      </c>
      <c r="E29" s="43">
        <v>115</v>
      </c>
      <c r="F29" s="43">
        <v>111.16666666666667</v>
      </c>
      <c r="G29" s="43">
        <v>109.16666666666667</v>
      </c>
      <c r="H29" s="43">
        <v>112.66666666666667</v>
      </c>
      <c r="I29" s="43">
        <v>112.66666666666667</v>
      </c>
      <c r="J29" s="43">
        <v>111.33333333333333</v>
      </c>
      <c r="K29"/>
      <c r="L29"/>
      <c r="M29"/>
      <c r="N29"/>
      <c r="O29"/>
      <c r="P29"/>
      <c r="Q29" s="29"/>
      <c r="R29" s="29"/>
      <c r="S29" s="29"/>
      <c r="T29" s="29"/>
      <c r="U29" s="29"/>
      <c r="V29" s="29"/>
      <c r="W29" s="29"/>
      <c r="X29" s="29"/>
      <c r="Y29" s="29"/>
      <c r="Z29" s="29"/>
      <c r="AA29" s="29"/>
      <c r="AB29" s="29"/>
      <c r="AC29" s="29"/>
      <c r="AD29" s="29"/>
      <c r="AE29" s="29"/>
      <c r="AF29" s="29"/>
      <c r="AG29" s="29"/>
      <c r="AH29" s="29"/>
      <c r="AI29" s="29"/>
      <c r="AJ29" s="29"/>
      <c r="AK29" s="29"/>
      <c r="AL29" s="29"/>
      <c r="AM29" s="29"/>
      <c r="AN29" s="29"/>
      <c r="AO29" s="29"/>
      <c r="AP29" s="29"/>
      <c r="AQ29" s="29"/>
      <c r="AR29" s="29"/>
      <c r="AS29" s="29"/>
      <c r="AT29" s="29"/>
      <c r="AU29" s="29"/>
      <c r="AV29" s="29"/>
      <c r="AW29" s="29"/>
      <c r="AX29" s="29"/>
      <c r="AY29" s="29"/>
      <c r="AZ29" s="29"/>
      <c r="BA29" s="29"/>
      <c r="BB29" s="29"/>
      <c r="BC29" s="29"/>
      <c r="BD29" s="29"/>
      <c r="BE29" s="29"/>
      <c r="BF29" s="29"/>
      <c r="BG29" s="29"/>
      <c r="BH29" s="29"/>
      <c r="BI29" s="29"/>
      <c r="BJ29" s="29"/>
      <c r="BK29" s="29"/>
      <c r="BL29" s="29"/>
      <c r="BM29" s="29"/>
      <c r="BN29" s="29"/>
      <c r="BO29" s="29"/>
      <c r="BP29" s="29"/>
      <c r="BQ29" s="29"/>
      <c r="BR29" s="29"/>
      <c r="BS29" s="29"/>
      <c r="BT29" s="29"/>
    </row>
    <row r="30" spans="1:72" ht="15" x14ac:dyDescent="0.25">
      <c r="B30" t="s">
        <v>129</v>
      </c>
      <c r="C30" s="43">
        <v>115.83333333333333</v>
      </c>
      <c r="D30" s="43">
        <v>108.5</v>
      </c>
      <c r="E30" s="43">
        <v>114.16666666666667</v>
      </c>
      <c r="F30" s="43">
        <v>110.16666666666667</v>
      </c>
      <c r="G30" s="43">
        <v>108.66666666666667</v>
      </c>
      <c r="H30" s="43">
        <v>112.66666666666667</v>
      </c>
      <c r="I30" s="43">
        <v>112.66666666666667</v>
      </c>
      <c r="J30" s="43">
        <v>111.16666666666667</v>
      </c>
      <c r="K30"/>
      <c r="L30"/>
      <c r="M30"/>
      <c r="N30"/>
      <c r="O30"/>
      <c r="P30"/>
      <c r="Q30" s="29"/>
      <c r="R30" s="29"/>
      <c r="S30" s="29"/>
      <c r="T30" s="29"/>
      <c r="U30" s="29"/>
      <c r="V30" s="29"/>
      <c r="W30" s="29"/>
      <c r="X30" s="29"/>
      <c r="Y30" s="29"/>
      <c r="Z30" s="29"/>
      <c r="AA30" s="29"/>
      <c r="AB30" s="29"/>
      <c r="AC30" s="29"/>
      <c r="AD30" s="29"/>
      <c r="AE30" s="29"/>
      <c r="AF30" s="29"/>
      <c r="AG30" s="29"/>
      <c r="AH30" s="29"/>
      <c r="AI30" s="29"/>
      <c r="AJ30" s="29"/>
      <c r="AK30" s="29"/>
      <c r="AL30" s="29"/>
      <c r="AM30" s="29"/>
      <c r="AN30" s="29"/>
      <c r="AO30" s="29"/>
      <c r="AP30" s="29"/>
      <c r="AQ30" s="29"/>
      <c r="AR30" s="29"/>
      <c r="AS30" s="29"/>
      <c r="AT30" s="29"/>
      <c r="AU30" s="29"/>
      <c r="AV30" s="29"/>
      <c r="AW30" s="29"/>
      <c r="AX30" s="29"/>
      <c r="AY30" s="29"/>
      <c r="AZ30" s="29"/>
      <c r="BA30" s="29"/>
      <c r="BB30" s="29"/>
      <c r="BC30" s="29"/>
      <c r="BD30" s="29"/>
      <c r="BE30" s="29"/>
      <c r="BF30" s="29"/>
      <c r="BG30" s="29"/>
      <c r="BH30" s="29"/>
      <c r="BI30" s="29"/>
      <c r="BJ30" s="29"/>
      <c r="BK30" s="29"/>
      <c r="BL30" s="29"/>
      <c r="BM30" s="29"/>
      <c r="BN30" s="29"/>
      <c r="BO30" s="29"/>
      <c r="BP30" s="29"/>
      <c r="BQ30" s="29"/>
      <c r="BR30" s="29"/>
      <c r="BS30" s="29"/>
      <c r="BT30" s="29"/>
    </row>
    <row r="31" spans="1:72" ht="15" x14ac:dyDescent="0.25">
      <c r="B31" t="s">
        <v>137</v>
      </c>
      <c r="C31" s="43">
        <v>114.25</v>
      </c>
      <c r="D31" s="43">
        <v>109</v>
      </c>
      <c r="E31" s="43">
        <v>121</v>
      </c>
      <c r="F31" s="43">
        <v>105.25</v>
      </c>
      <c r="G31" s="43">
        <v>107</v>
      </c>
      <c r="H31" s="43">
        <v>113</v>
      </c>
      <c r="I31" s="43">
        <v>112</v>
      </c>
      <c r="J31" s="43">
        <v>110.25</v>
      </c>
      <c r="K31"/>
      <c r="L31"/>
      <c r="M31"/>
      <c r="N31"/>
      <c r="O31"/>
      <c r="P31"/>
      <c r="Q31" s="29"/>
      <c r="R31" s="29"/>
      <c r="S31" s="29"/>
      <c r="T31" s="29"/>
      <c r="U31" s="29"/>
      <c r="V31" s="29"/>
      <c r="W31" s="29"/>
      <c r="X31" s="29"/>
      <c r="Y31" s="29"/>
      <c r="Z31" s="29"/>
      <c r="AA31" s="29"/>
      <c r="AB31" s="29"/>
      <c r="AC31" s="29"/>
      <c r="AD31" s="29"/>
      <c r="AE31" s="29"/>
      <c r="AF31" s="29"/>
      <c r="AG31" s="29"/>
    </row>
    <row r="32" spans="1:72" ht="15" x14ac:dyDescent="0.25">
      <c r="B32" t="s">
        <v>13</v>
      </c>
      <c r="C32" s="43">
        <v>115.5</v>
      </c>
      <c r="D32" s="43">
        <v>106.16666666666667</v>
      </c>
      <c r="E32" s="43">
        <v>110.66666666666667</v>
      </c>
      <c r="F32" s="43">
        <v>105.66666666666667</v>
      </c>
      <c r="G32" s="43">
        <v>103.83333333333333</v>
      </c>
      <c r="H32" s="43">
        <v>113.5</v>
      </c>
      <c r="I32" s="43">
        <v>118.33333333333333</v>
      </c>
      <c r="J32" s="43">
        <v>113.83333333333333</v>
      </c>
      <c r="K32"/>
      <c r="L32"/>
      <c r="M32"/>
      <c r="N32"/>
      <c r="O32"/>
      <c r="P32"/>
      <c r="Q32" s="29"/>
      <c r="R32" s="29"/>
      <c r="S32" s="29"/>
      <c r="T32" s="29"/>
      <c r="U32" s="29"/>
      <c r="V32" s="29"/>
      <c r="W32" s="29"/>
      <c r="X32" s="29"/>
      <c r="Y32" s="29"/>
      <c r="Z32" s="29"/>
      <c r="AA32" s="29"/>
      <c r="AB32" s="29"/>
      <c r="AC32" s="29"/>
      <c r="AD32" s="29"/>
      <c r="AE32" s="29"/>
      <c r="AF32" s="29"/>
      <c r="AG32" s="29"/>
    </row>
    <row r="33" spans="2:33" ht="15" x14ac:dyDescent="0.25">
      <c r="B33" t="s">
        <v>195</v>
      </c>
      <c r="C33" s="43">
        <v>118</v>
      </c>
      <c r="D33" s="43">
        <v>101.83333333333333</v>
      </c>
      <c r="E33" s="43">
        <v>116</v>
      </c>
      <c r="F33" s="43">
        <v>106.83333333333333</v>
      </c>
      <c r="G33" s="43">
        <v>102</v>
      </c>
      <c r="H33" s="43">
        <v>113</v>
      </c>
      <c r="I33" s="43">
        <v>111.5</v>
      </c>
      <c r="J33" s="43">
        <v>115.33333333333333</v>
      </c>
      <c r="K33"/>
      <c r="L33"/>
      <c r="M33"/>
      <c r="N33"/>
      <c r="O33"/>
      <c r="P33"/>
      <c r="Q33" s="29"/>
      <c r="R33" s="29"/>
      <c r="S33" s="29"/>
      <c r="T33" s="29"/>
      <c r="U33" s="29"/>
      <c r="V33" s="29"/>
      <c r="W33" s="29"/>
      <c r="X33" s="29"/>
      <c r="Y33" s="29"/>
      <c r="Z33" s="29"/>
      <c r="AA33" s="29"/>
      <c r="AB33" s="29"/>
      <c r="AC33" s="29"/>
      <c r="AD33" s="29"/>
      <c r="AE33" s="29"/>
      <c r="AF33" s="29"/>
      <c r="AG33" s="29"/>
    </row>
    <row r="34" spans="2:33" ht="15" x14ac:dyDescent="0.25">
      <c r="B34" t="s">
        <v>116</v>
      </c>
      <c r="C34" s="43">
        <v>101</v>
      </c>
      <c r="D34" s="43">
        <v>89</v>
      </c>
      <c r="E34" s="43">
        <v>89</v>
      </c>
      <c r="F34" s="43">
        <v>117</v>
      </c>
      <c r="G34" s="43">
        <v>120</v>
      </c>
      <c r="H34" s="43">
        <v>116</v>
      </c>
      <c r="I34" s="43">
        <v>123</v>
      </c>
      <c r="J34" s="43">
        <v>117</v>
      </c>
      <c r="K34"/>
      <c r="L34"/>
      <c r="M34"/>
      <c r="N34"/>
      <c r="O34"/>
      <c r="P34"/>
      <c r="Q34" s="29"/>
      <c r="R34" s="29"/>
      <c r="S34" s="29"/>
      <c r="T34" s="29"/>
      <c r="U34" s="29"/>
      <c r="V34" s="29"/>
      <c r="W34" s="29"/>
      <c r="X34" s="29"/>
      <c r="Y34" s="29"/>
      <c r="Z34" s="29"/>
      <c r="AA34" s="29"/>
      <c r="AB34" s="29"/>
      <c r="AC34" s="29"/>
      <c r="AD34" s="29"/>
      <c r="AE34" s="29"/>
      <c r="AF34" s="29"/>
      <c r="AG34" s="29"/>
    </row>
    <row r="35" spans="2:33" ht="15" x14ac:dyDescent="0.25">
      <c r="B35" t="s">
        <v>94</v>
      </c>
      <c r="C35" s="43">
        <v>104.83333333333333</v>
      </c>
      <c r="D35" s="43">
        <v>103.16666666666667</v>
      </c>
      <c r="E35" s="43">
        <v>109.66666666666667</v>
      </c>
      <c r="F35" s="43">
        <v>111</v>
      </c>
      <c r="G35" s="43">
        <v>107.16666666666667</v>
      </c>
      <c r="H35" s="43">
        <v>110.16666666666667</v>
      </c>
      <c r="I35" s="43">
        <v>113</v>
      </c>
      <c r="J35" s="43">
        <v>111.83333333333333</v>
      </c>
      <c r="K35"/>
      <c r="L35"/>
      <c r="M35"/>
      <c r="N35"/>
      <c r="O35"/>
      <c r="P35"/>
      <c r="Q35" s="29"/>
      <c r="R35" s="29"/>
      <c r="S35" s="29"/>
      <c r="T35" s="29"/>
      <c r="U35" s="29"/>
      <c r="V35" s="29"/>
      <c r="W35" s="29"/>
      <c r="X35" s="29"/>
      <c r="Y35" s="29"/>
      <c r="Z35" s="29"/>
      <c r="AA35" s="29"/>
      <c r="AB35" s="29"/>
      <c r="AC35" s="29"/>
      <c r="AD35" s="29"/>
      <c r="AE35" s="29"/>
      <c r="AF35" s="29"/>
      <c r="AG35" s="29"/>
    </row>
    <row r="36" spans="2:33" ht="15" x14ac:dyDescent="0.25">
      <c r="B36" t="s">
        <v>110</v>
      </c>
      <c r="C36" s="43">
        <v>111</v>
      </c>
      <c r="D36" s="43">
        <v>114.33333333333333</v>
      </c>
      <c r="E36" s="43">
        <v>108.33333333333333</v>
      </c>
      <c r="F36" s="43">
        <v>107</v>
      </c>
      <c r="G36" s="43">
        <v>102</v>
      </c>
      <c r="H36" s="43">
        <v>108</v>
      </c>
      <c r="I36" s="43">
        <v>108</v>
      </c>
      <c r="J36" s="43">
        <v>110.33333333333333</v>
      </c>
      <c r="K36"/>
      <c r="L36"/>
      <c r="M36"/>
      <c r="N36"/>
      <c r="O36"/>
      <c r="P36"/>
      <c r="Q36" s="29"/>
      <c r="R36" s="29"/>
      <c r="S36" s="29"/>
      <c r="T36" s="29"/>
      <c r="U36" s="29"/>
      <c r="V36" s="29"/>
      <c r="W36" s="29"/>
      <c r="X36" s="29"/>
      <c r="Y36" s="29"/>
      <c r="Z36" s="29"/>
      <c r="AA36" s="29"/>
      <c r="AB36" s="29"/>
      <c r="AC36" s="29"/>
      <c r="AD36" s="29"/>
      <c r="AE36" s="29"/>
      <c r="AF36" s="29"/>
      <c r="AG36" s="29"/>
    </row>
    <row r="37" spans="2:33" ht="15" x14ac:dyDescent="0.25">
      <c r="B37" t="s">
        <v>168</v>
      </c>
      <c r="C37" s="43">
        <v>124</v>
      </c>
      <c r="D37" s="43">
        <v>105</v>
      </c>
      <c r="E37" s="43">
        <v>99</v>
      </c>
      <c r="F37" s="43">
        <v>94</v>
      </c>
      <c r="G37" s="43">
        <v>80</v>
      </c>
      <c r="H37" s="43">
        <v>118</v>
      </c>
      <c r="I37" s="43">
        <v>126</v>
      </c>
      <c r="J37" s="43">
        <v>122</v>
      </c>
      <c r="K37"/>
      <c r="L37"/>
      <c r="M37"/>
      <c r="N37"/>
      <c r="O37"/>
      <c r="P37"/>
      <c r="Q37" s="29"/>
      <c r="R37" s="29"/>
      <c r="S37" s="29"/>
      <c r="T37" s="29"/>
      <c r="U37" s="29"/>
      <c r="V37" s="29"/>
      <c r="W37" s="29"/>
      <c r="X37" s="29"/>
      <c r="Y37" s="29"/>
      <c r="Z37" s="29"/>
      <c r="AA37" s="29"/>
      <c r="AB37" s="29"/>
      <c r="AC37" s="29"/>
      <c r="AD37" s="29"/>
      <c r="AE37" s="29"/>
      <c r="AF37" s="29"/>
      <c r="AG37" s="29"/>
    </row>
    <row r="38" spans="2:33" ht="15" x14ac:dyDescent="0.25">
      <c r="B38" t="s">
        <v>202</v>
      </c>
      <c r="C38" s="43">
        <v>93</v>
      </c>
      <c r="D38" s="43">
        <v>125</v>
      </c>
      <c r="E38" s="43">
        <v>111</v>
      </c>
      <c r="F38" s="43">
        <v>83</v>
      </c>
      <c r="G38" s="43">
        <v>76</v>
      </c>
      <c r="H38" s="43">
        <v>125</v>
      </c>
      <c r="I38" s="43">
        <v>137</v>
      </c>
      <c r="J38" s="43">
        <v>118</v>
      </c>
      <c r="K38"/>
      <c r="L38"/>
      <c r="M38"/>
      <c r="N38"/>
      <c r="O38"/>
      <c r="P38"/>
      <c r="Q38" s="29"/>
      <c r="R38" s="29"/>
      <c r="S38" s="29"/>
      <c r="T38" s="29"/>
      <c r="U38" s="29"/>
      <c r="V38" s="29"/>
      <c r="W38" s="29"/>
      <c r="X38" s="29"/>
      <c r="Y38" s="29"/>
      <c r="Z38" s="29"/>
      <c r="AA38" s="29"/>
      <c r="AB38" s="29"/>
      <c r="AC38" s="29"/>
      <c r="AD38" s="29"/>
      <c r="AE38" s="29"/>
      <c r="AF38" s="29"/>
      <c r="AG38" s="29"/>
    </row>
    <row r="39" spans="2:33" ht="15" x14ac:dyDescent="0.25">
      <c r="B39" t="s">
        <v>166</v>
      </c>
      <c r="C39" s="43">
        <v>111.16666666666667</v>
      </c>
      <c r="D39" s="43">
        <v>106.5</v>
      </c>
      <c r="E39" s="43">
        <v>114.5</v>
      </c>
      <c r="F39" s="43">
        <v>103.83333333333333</v>
      </c>
      <c r="G39" s="43">
        <v>103.5</v>
      </c>
      <c r="H39" s="43">
        <v>109</v>
      </c>
      <c r="I39" s="43">
        <v>110.33333333333333</v>
      </c>
      <c r="J39" s="43">
        <v>106.16666666666667</v>
      </c>
      <c r="K39"/>
      <c r="L39"/>
      <c r="M39"/>
      <c r="N39"/>
      <c r="O39"/>
      <c r="P39"/>
      <c r="Q39" s="29"/>
      <c r="R39" s="29"/>
      <c r="S39" s="29"/>
      <c r="T39" s="29"/>
      <c r="U39" s="29"/>
      <c r="V39" s="29"/>
      <c r="W39" s="29"/>
      <c r="X39" s="29"/>
      <c r="Y39" s="29"/>
      <c r="Z39" s="29"/>
      <c r="AA39" s="29"/>
      <c r="AB39" s="29"/>
      <c r="AC39" s="29"/>
      <c r="AD39" s="29"/>
      <c r="AE39" s="29"/>
      <c r="AF39" s="29"/>
      <c r="AG39" s="29"/>
    </row>
    <row r="40" spans="2:33" ht="15" x14ac:dyDescent="0.25">
      <c r="B40" t="s">
        <v>145</v>
      </c>
      <c r="C40" s="43">
        <v>113</v>
      </c>
      <c r="D40" s="43">
        <v>103</v>
      </c>
      <c r="E40" s="43">
        <v>101</v>
      </c>
      <c r="F40" s="43">
        <v>111</v>
      </c>
      <c r="G40" s="43">
        <v>108</v>
      </c>
      <c r="H40" s="43">
        <v>110</v>
      </c>
      <c r="I40" s="43">
        <v>114</v>
      </c>
      <c r="J40" s="43">
        <v>105</v>
      </c>
      <c r="K40"/>
      <c r="L40"/>
      <c r="M40"/>
      <c r="N40"/>
      <c r="O40"/>
      <c r="P40"/>
      <c r="Q40" s="29"/>
      <c r="R40" s="29"/>
      <c r="S40" s="29"/>
      <c r="T40" s="29"/>
      <c r="U40" s="29"/>
      <c r="V40" s="29"/>
      <c r="W40" s="29"/>
      <c r="X40" s="29"/>
      <c r="Y40" s="29"/>
      <c r="Z40" s="29"/>
      <c r="AA40" s="29"/>
      <c r="AB40" s="29"/>
      <c r="AC40" s="29"/>
      <c r="AD40" s="29"/>
      <c r="AE40" s="29"/>
      <c r="AF40" s="29"/>
      <c r="AG40" s="29"/>
    </row>
    <row r="41" spans="2:33" ht="15" x14ac:dyDescent="0.25">
      <c r="B41" t="s">
        <v>217</v>
      </c>
      <c r="C41" s="43">
        <v>112</v>
      </c>
      <c r="D41" s="43">
        <v>114</v>
      </c>
      <c r="E41" s="43">
        <v>114</v>
      </c>
      <c r="F41" s="43">
        <v>100</v>
      </c>
      <c r="G41" s="43">
        <v>97</v>
      </c>
      <c r="H41" s="43">
        <v>110</v>
      </c>
      <c r="I41" s="43">
        <v>106</v>
      </c>
      <c r="J41" s="43">
        <v>111</v>
      </c>
      <c r="K41"/>
      <c r="L41"/>
      <c r="M41"/>
      <c r="N41"/>
      <c r="O41"/>
      <c r="P41"/>
      <c r="Q41" s="29"/>
      <c r="R41" s="29"/>
      <c r="S41" s="29"/>
      <c r="T41" s="29"/>
      <c r="U41" s="29"/>
      <c r="V41" s="29"/>
      <c r="W41" s="29"/>
      <c r="X41" s="29"/>
      <c r="Y41" s="29"/>
      <c r="Z41" s="29"/>
      <c r="AA41" s="29"/>
      <c r="AB41" s="29"/>
      <c r="AC41" s="29"/>
      <c r="AD41" s="29"/>
      <c r="AE41" s="29"/>
      <c r="AF41" s="29"/>
      <c r="AG41" s="29"/>
    </row>
    <row r="42" spans="2:33" ht="15" x14ac:dyDescent="0.25">
      <c r="B42" t="s">
        <v>20</v>
      </c>
      <c r="C42" s="43">
        <v>110.33333333333333</v>
      </c>
      <c r="D42" s="43">
        <v>109</v>
      </c>
      <c r="E42" s="43">
        <v>114</v>
      </c>
      <c r="F42" s="43">
        <v>102.5</v>
      </c>
      <c r="G42" s="43">
        <v>102.83333333333333</v>
      </c>
      <c r="H42" s="43">
        <v>109</v>
      </c>
      <c r="I42" s="43">
        <v>105.83333333333333</v>
      </c>
      <c r="J42" s="43">
        <v>109.66666666666667</v>
      </c>
      <c r="K42"/>
      <c r="L42"/>
      <c r="M42"/>
      <c r="N42"/>
      <c r="O42"/>
      <c r="P42"/>
      <c r="Q42" s="29"/>
      <c r="R42" s="29"/>
      <c r="S42" s="29"/>
      <c r="T42" s="29"/>
      <c r="U42" s="29"/>
      <c r="V42" s="29"/>
      <c r="W42" s="29"/>
      <c r="X42" s="29"/>
      <c r="Y42" s="29"/>
      <c r="Z42" s="29"/>
      <c r="AA42" s="29"/>
      <c r="AB42" s="29"/>
      <c r="AC42" s="29"/>
      <c r="AD42" s="29"/>
      <c r="AE42" s="29"/>
      <c r="AF42" s="29"/>
      <c r="AG42" s="29"/>
    </row>
    <row r="43" spans="2:33" ht="15" x14ac:dyDescent="0.25">
      <c r="B43" t="s">
        <v>130</v>
      </c>
      <c r="C43" s="43">
        <v>106</v>
      </c>
      <c r="D43" s="43">
        <v>113</v>
      </c>
      <c r="E43" s="43">
        <v>116</v>
      </c>
      <c r="F43" s="43">
        <v>105</v>
      </c>
      <c r="G43" s="43">
        <v>101</v>
      </c>
      <c r="H43" s="43">
        <v>108</v>
      </c>
      <c r="I43" s="43">
        <v>109</v>
      </c>
      <c r="J43" s="43">
        <v>105</v>
      </c>
      <c r="K43"/>
      <c r="L43"/>
      <c r="M43"/>
      <c r="N43"/>
      <c r="O43"/>
      <c r="P43"/>
      <c r="Q43" s="29"/>
      <c r="R43" s="29"/>
      <c r="S43" s="29"/>
      <c r="T43" s="29"/>
      <c r="U43" s="29"/>
      <c r="V43" s="29"/>
      <c r="W43" s="29"/>
      <c r="X43" s="29"/>
      <c r="Y43" s="29"/>
      <c r="Z43" s="29"/>
      <c r="AA43" s="29"/>
      <c r="AB43" s="29"/>
      <c r="AC43" s="29"/>
      <c r="AD43" s="29"/>
      <c r="AE43" s="29"/>
      <c r="AF43" s="29"/>
      <c r="AG43" s="29"/>
    </row>
    <row r="44" spans="2:33" ht="15" x14ac:dyDescent="0.25">
      <c r="B44" t="s">
        <v>221</v>
      </c>
      <c r="C44" s="43">
        <v>115</v>
      </c>
      <c r="D44" s="43">
        <v>106</v>
      </c>
      <c r="E44" s="43">
        <v>109</v>
      </c>
      <c r="F44" s="43">
        <v>101</v>
      </c>
      <c r="G44" s="43">
        <v>103</v>
      </c>
      <c r="H44" s="43">
        <v>109</v>
      </c>
      <c r="I44" s="43">
        <v>105</v>
      </c>
      <c r="J44" s="43">
        <v>113</v>
      </c>
      <c r="K44"/>
      <c r="L44"/>
      <c r="M44"/>
      <c r="N44"/>
      <c r="O44"/>
      <c r="P44"/>
      <c r="Q44" s="29"/>
      <c r="R44" s="29"/>
      <c r="S44" s="29"/>
      <c r="T44" s="29"/>
      <c r="U44" s="29"/>
      <c r="V44" s="29"/>
      <c r="W44" s="29"/>
      <c r="X44" s="29"/>
      <c r="Y44" s="29"/>
      <c r="Z44" s="29"/>
      <c r="AA44" s="29"/>
      <c r="AB44" s="29"/>
      <c r="AC44" s="29"/>
      <c r="AD44" s="29"/>
      <c r="AE44" s="29"/>
      <c r="AF44" s="29"/>
      <c r="AG44" s="29"/>
    </row>
    <row r="45" spans="2:33" ht="15" x14ac:dyDescent="0.25">
      <c r="B45" t="s">
        <v>18</v>
      </c>
      <c r="C45" s="43">
        <v>108.16666666666667</v>
      </c>
      <c r="D45" s="43">
        <v>105.66666666666667</v>
      </c>
      <c r="E45" s="43">
        <v>109.33333333333333</v>
      </c>
      <c r="F45" s="43">
        <v>104.66666666666667</v>
      </c>
      <c r="G45" s="43">
        <v>103.83333333333333</v>
      </c>
      <c r="H45" s="43">
        <v>108.5</v>
      </c>
      <c r="I45" s="43">
        <v>109.83333333333333</v>
      </c>
      <c r="J45" s="43">
        <v>108.66666666666667</v>
      </c>
      <c r="K45"/>
      <c r="L45"/>
      <c r="M45"/>
      <c r="N45"/>
      <c r="O45"/>
      <c r="P45"/>
      <c r="Q45" s="29"/>
      <c r="R45" s="29"/>
      <c r="S45" s="29"/>
      <c r="T45" s="29"/>
      <c r="U45" s="29"/>
      <c r="V45" s="29"/>
      <c r="W45" s="29"/>
      <c r="X45" s="29"/>
      <c r="Y45" s="29"/>
      <c r="Z45" s="29"/>
      <c r="AA45" s="29"/>
      <c r="AB45" s="29"/>
      <c r="AC45" s="29"/>
      <c r="AD45" s="29"/>
      <c r="AE45" s="29"/>
      <c r="AF45" s="29"/>
      <c r="AG45" s="29"/>
    </row>
    <row r="46" spans="2:33" ht="15" x14ac:dyDescent="0.25">
      <c r="B46" t="s">
        <v>100</v>
      </c>
      <c r="C46" s="43">
        <v>103.5</v>
      </c>
      <c r="D46" s="43">
        <v>94</v>
      </c>
      <c r="E46" s="43">
        <v>111.25</v>
      </c>
      <c r="F46" s="43">
        <v>104.25</v>
      </c>
      <c r="G46" s="43">
        <v>109.25</v>
      </c>
      <c r="H46" s="43">
        <v>109.25</v>
      </c>
      <c r="I46" s="43">
        <v>111.25</v>
      </c>
      <c r="J46" s="43">
        <v>108</v>
      </c>
      <c r="K46"/>
      <c r="L46"/>
      <c r="M46"/>
      <c r="N46"/>
      <c r="O46"/>
      <c r="P46"/>
      <c r="Q46" s="29"/>
      <c r="R46" s="29"/>
      <c r="S46" s="29"/>
      <c r="T46" s="29"/>
      <c r="U46" s="29"/>
      <c r="V46" s="29"/>
      <c r="W46" s="29"/>
      <c r="X46" s="29"/>
      <c r="Y46" s="29"/>
      <c r="Z46" s="29"/>
      <c r="AA46" s="29"/>
      <c r="AB46" s="29"/>
      <c r="AC46" s="29"/>
      <c r="AD46" s="29"/>
      <c r="AE46" s="29"/>
      <c r="AF46" s="29"/>
      <c r="AG46" s="29"/>
    </row>
    <row r="47" spans="2:33" ht="15" x14ac:dyDescent="0.25">
      <c r="B47" t="s">
        <v>92</v>
      </c>
      <c r="C47" s="43">
        <v>103.66666666666667</v>
      </c>
      <c r="D47" s="43">
        <v>96.5</v>
      </c>
      <c r="E47" s="43">
        <v>102.66666666666667</v>
      </c>
      <c r="F47" s="43">
        <v>104</v>
      </c>
      <c r="G47" s="43">
        <v>95</v>
      </c>
      <c r="H47" s="43">
        <v>114.33333333333333</v>
      </c>
      <c r="I47" s="43">
        <v>119</v>
      </c>
      <c r="J47" s="43">
        <v>112</v>
      </c>
      <c r="K47"/>
      <c r="L47"/>
      <c r="M47"/>
      <c r="N47"/>
      <c r="O47"/>
      <c r="P47"/>
      <c r="Q47" s="29"/>
      <c r="R47" s="29"/>
      <c r="S47" s="29"/>
      <c r="T47" s="29"/>
      <c r="U47" s="29"/>
      <c r="V47" s="29"/>
      <c r="W47" s="29"/>
      <c r="X47" s="29"/>
      <c r="Y47" s="29"/>
      <c r="Z47" s="29"/>
      <c r="AA47" s="29"/>
      <c r="AB47" s="29"/>
      <c r="AC47" s="29"/>
      <c r="AD47" s="29"/>
      <c r="AE47" s="29"/>
      <c r="AF47" s="29"/>
      <c r="AG47" s="29"/>
    </row>
    <row r="48" spans="2:33" ht="15" x14ac:dyDescent="0.25">
      <c r="B48" t="s">
        <v>125</v>
      </c>
      <c r="C48" s="43">
        <v>114.66666666666667</v>
      </c>
      <c r="D48" s="43">
        <v>132.5</v>
      </c>
      <c r="E48" s="43">
        <v>104</v>
      </c>
      <c r="F48" s="43">
        <v>101.66666666666667</v>
      </c>
      <c r="G48" s="43">
        <v>93.666666666666671</v>
      </c>
      <c r="H48" s="43">
        <v>104</v>
      </c>
      <c r="I48" s="43">
        <v>109</v>
      </c>
      <c r="J48" s="43">
        <v>101.33333333333333</v>
      </c>
      <c r="K48"/>
      <c r="L48"/>
      <c r="M48"/>
      <c r="N48"/>
      <c r="O48"/>
      <c r="P48"/>
      <c r="Q48" s="29"/>
      <c r="R48" s="29"/>
      <c r="S48" s="29"/>
      <c r="T48" s="29"/>
      <c r="U48" s="29"/>
      <c r="V48" s="29"/>
      <c r="W48" s="29"/>
      <c r="X48" s="29"/>
      <c r="Y48" s="29"/>
      <c r="Z48" s="29"/>
      <c r="AA48" s="29"/>
      <c r="AB48" s="29"/>
      <c r="AC48" s="29"/>
      <c r="AD48" s="29"/>
      <c r="AE48" s="29"/>
      <c r="AF48" s="29"/>
      <c r="AG48" s="29"/>
    </row>
    <row r="49" spans="2:33" ht="15" x14ac:dyDescent="0.25">
      <c r="B49" t="s">
        <v>139</v>
      </c>
      <c r="C49" s="43">
        <v>113.33333333333333</v>
      </c>
      <c r="D49" s="43">
        <v>107.83333333333333</v>
      </c>
      <c r="E49" s="43">
        <v>112.5</v>
      </c>
      <c r="F49" s="43">
        <v>99.666666666666671</v>
      </c>
      <c r="G49" s="43">
        <v>99.166666666666671</v>
      </c>
      <c r="H49" s="43">
        <v>107.83333333333333</v>
      </c>
      <c r="I49" s="43">
        <v>102.5</v>
      </c>
      <c r="J49" s="43">
        <v>109.16666666666667</v>
      </c>
      <c r="K49"/>
      <c r="L49"/>
      <c r="M49"/>
      <c r="N49"/>
      <c r="O49"/>
      <c r="P49"/>
      <c r="Q49" s="29"/>
      <c r="R49" s="29"/>
      <c r="S49" s="29"/>
      <c r="T49" s="29"/>
      <c r="U49" s="29"/>
      <c r="V49" s="29"/>
      <c r="W49" s="29"/>
      <c r="X49" s="29"/>
      <c r="Y49" s="29"/>
      <c r="Z49" s="29"/>
      <c r="AA49" s="29"/>
      <c r="AB49" s="29"/>
      <c r="AC49" s="29"/>
      <c r="AD49" s="29"/>
      <c r="AE49" s="29"/>
      <c r="AF49" s="29"/>
      <c r="AG49" s="29"/>
    </row>
    <row r="50" spans="2:33" ht="15" x14ac:dyDescent="0.25">
      <c r="B50" t="s">
        <v>14</v>
      </c>
      <c r="C50" s="43">
        <v>107.16666666666667</v>
      </c>
      <c r="D50" s="43">
        <v>103.66666666666667</v>
      </c>
      <c r="E50" s="43">
        <v>107.66666666666667</v>
      </c>
      <c r="F50" s="43">
        <v>103</v>
      </c>
      <c r="G50" s="43">
        <v>101.83333333333333</v>
      </c>
      <c r="H50" s="43">
        <v>105.16666666666667</v>
      </c>
      <c r="I50" s="43">
        <v>105.33333333333333</v>
      </c>
      <c r="J50" s="43">
        <v>103.16666666666667</v>
      </c>
      <c r="K50"/>
      <c r="L50"/>
      <c r="M50"/>
      <c r="N50"/>
      <c r="O50"/>
      <c r="P50"/>
      <c r="Q50" s="29"/>
      <c r="R50" s="29"/>
      <c r="S50" s="29"/>
      <c r="T50" s="29"/>
      <c r="U50" s="29"/>
      <c r="V50" s="29"/>
      <c r="W50" s="29"/>
      <c r="X50" s="29"/>
      <c r="Y50" s="29"/>
      <c r="Z50" s="29"/>
      <c r="AA50" s="29"/>
      <c r="AB50" s="29"/>
      <c r="AC50" s="29"/>
      <c r="AD50" s="29"/>
      <c r="AE50" s="29"/>
      <c r="AF50" s="29"/>
      <c r="AG50" s="29"/>
    </row>
    <row r="51" spans="2:33" ht="15" x14ac:dyDescent="0.25">
      <c r="B51" t="s">
        <v>117</v>
      </c>
      <c r="C51" s="43">
        <v>105.33333333333333</v>
      </c>
      <c r="D51" s="43">
        <v>101.66666666666667</v>
      </c>
      <c r="E51" s="43">
        <v>108.83333333333333</v>
      </c>
      <c r="F51" s="43">
        <v>100.83333333333333</v>
      </c>
      <c r="G51" s="43">
        <v>100.33333333333333</v>
      </c>
      <c r="H51" s="43">
        <v>106</v>
      </c>
      <c r="I51" s="43">
        <v>107.16666666666667</v>
      </c>
      <c r="J51" s="43">
        <v>106.16666666666667</v>
      </c>
      <c r="K51"/>
      <c r="L51"/>
      <c r="M51"/>
      <c r="N51"/>
      <c r="O51"/>
      <c r="P51"/>
      <c r="Q51" s="29"/>
      <c r="R51" s="29"/>
      <c r="S51" s="29"/>
      <c r="T51" s="29"/>
      <c r="U51" s="29"/>
      <c r="V51" s="29"/>
      <c r="W51" s="29"/>
      <c r="X51" s="29"/>
      <c r="Y51" s="29"/>
      <c r="Z51" s="29"/>
      <c r="AA51" s="29"/>
      <c r="AB51" s="29"/>
      <c r="AC51" s="29"/>
      <c r="AD51" s="29"/>
      <c r="AE51" s="29"/>
      <c r="AF51" s="29"/>
      <c r="AG51" s="29"/>
    </row>
    <row r="52" spans="2:33" ht="15" x14ac:dyDescent="0.25">
      <c r="B52" t="s">
        <v>186</v>
      </c>
      <c r="C52" s="43">
        <v>107.5</v>
      </c>
      <c r="D52" s="43">
        <v>100</v>
      </c>
      <c r="E52" s="43">
        <v>107.66666666666667</v>
      </c>
      <c r="F52" s="43">
        <v>102.66666666666667</v>
      </c>
      <c r="G52" s="43">
        <v>100.33333333333333</v>
      </c>
      <c r="H52" s="43">
        <v>105.66666666666667</v>
      </c>
      <c r="I52" s="43">
        <v>106.66666666666667</v>
      </c>
      <c r="J52" s="43">
        <v>104.83333333333333</v>
      </c>
      <c r="K52"/>
      <c r="L52"/>
      <c r="M52"/>
      <c r="N52"/>
      <c r="O52"/>
      <c r="P52"/>
      <c r="Q52" s="29"/>
      <c r="R52" s="29"/>
      <c r="S52" s="29"/>
      <c r="T52" s="29"/>
      <c r="U52" s="29"/>
      <c r="V52" s="29"/>
      <c r="W52" s="29"/>
      <c r="X52" s="29"/>
      <c r="Y52" s="29"/>
      <c r="Z52" s="29"/>
      <c r="AA52" s="29"/>
      <c r="AB52" s="29"/>
      <c r="AC52" s="29"/>
      <c r="AD52" s="29"/>
      <c r="AE52" s="29"/>
      <c r="AF52" s="29"/>
      <c r="AG52" s="29"/>
    </row>
    <row r="53" spans="2:33" ht="15" x14ac:dyDescent="0.25">
      <c r="B53" t="s">
        <v>194</v>
      </c>
      <c r="C53" s="43">
        <v>103</v>
      </c>
      <c r="D53" s="43">
        <v>98.5</v>
      </c>
      <c r="E53" s="43">
        <v>108.5</v>
      </c>
      <c r="F53" s="43">
        <v>103</v>
      </c>
      <c r="G53" s="43">
        <v>104</v>
      </c>
      <c r="H53" s="43">
        <v>105</v>
      </c>
      <c r="I53" s="43">
        <v>104.5</v>
      </c>
      <c r="J53" s="43">
        <v>103.5</v>
      </c>
      <c r="K53"/>
      <c r="L53"/>
      <c r="M53"/>
      <c r="N53"/>
      <c r="O53"/>
      <c r="P53"/>
      <c r="Q53" s="29"/>
      <c r="R53" s="29"/>
      <c r="S53" s="29"/>
      <c r="T53" s="29"/>
      <c r="U53" s="29"/>
      <c r="V53" s="29"/>
      <c r="W53" s="29"/>
      <c r="X53" s="29"/>
      <c r="Y53" s="29"/>
      <c r="Z53" s="29"/>
      <c r="AA53" s="29"/>
      <c r="AB53" s="29"/>
      <c r="AC53" s="29"/>
      <c r="AD53" s="29"/>
      <c r="AE53" s="29"/>
      <c r="AF53" s="29"/>
      <c r="AG53" s="29"/>
    </row>
    <row r="54" spans="2:33" ht="15" x14ac:dyDescent="0.25">
      <c r="B54" t="s">
        <v>111</v>
      </c>
      <c r="C54" s="43">
        <v>104</v>
      </c>
      <c r="D54" s="43">
        <v>85.8</v>
      </c>
      <c r="E54" s="43">
        <v>105.6</v>
      </c>
      <c r="F54" s="43">
        <v>106</v>
      </c>
      <c r="G54" s="43">
        <v>106.2</v>
      </c>
      <c r="H54" s="43">
        <v>105.4</v>
      </c>
      <c r="I54" s="43">
        <v>106.4</v>
      </c>
      <c r="J54" s="43">
        <v>106</v>
      </c>
      <c r="K54"/>
      <c r="L54"/>
      <c r="M54"/>
      <c r="N54"/>
      <c r="O54"/>
      <c r="P54"/>
      <c r="Q54" s="29"/>
      <c r="R54" s="29"/>
      <c r="S54" s="29"/>
      <c r="T54" s="29"/>
      <c r="U54" s="29"/>
      <c r="V54" s="29"/>
      <c r="W54" s="29"/>
      <c r="X54" s="29"/>
      <c r="Y54" s="29"/>
      <c r="Z54" s="29"/>
      <c r="AA54" s="29"/>
      <c r="AB54" s="29"/>
      <c r="AC54" s="29"/>
      <c r="AD54" s="29"/>
      <c r="AE54" s="29"/>
      <c r="AF54" s="29"/>
      <c r="AG54" s="29"/>
    </row>
    <row r="55" spans="2:33" ht="15" x14ac:dyDescent="0.25">
      <c r="B55" t="s">
        <v>12</v>
      </c>
      <c r="C55" s="43">
        <v>99.666666666666671</v>
      </c>
      <c r="D55" s="43">
        <v>95.5</v>
      </c>
      <c r="E55" s="43">
        <v>100.66666666666667</v>
      </c>
      <c r="F55" s="43">
        <v>102.33333333333333</v>
      </c>
      <c r="G55" s="43">
        <v>101.83333333333333</v>
      </c>
      <c r="H55" s="43">
        <v>105.16666666666667</v>
      </c>
      <c r="I55" s="43">
        <v>108.5</v>
      </c>
      <c r="J55" s="43">
        <v>108</v>
      </c>
      <c r="K55"/>
      <c r="L55"/>
      <c r="M55"/>
      <c r="N55"/>
      <c r="O55"/>
      <c r="P55"/>
      <c r="Q55" s="29"/>
      <c r="R55" s="29"/>
      <c r="S55" s="29"/>
      <c r="T55" s="29"/>
      <c r="U55" s="29"/>
      <c r="V55" s="29"/>
      <c r="W55" s="29"/>
      <c r="X55" s="29"/>
      <c r="Y55" s="29"/>
      <c r="Z55" s="29"/>
      <c r="AA55" s="29"/>
      <c r="AB55" s="29"/>
      <c r="AC55" s="29"/>
      <c r="AD55" s="29"/>
      <c r="AE55" s="29"/>
      <c r="AF55" s="29"/>
      <c r="AG55" s="29"/>
    </row>
    <row r="56" spans="2:33" ht="15" x14ac:dyDescent="0.25">
      <c r="B56" t="s">
        <v>149</v>
      </c>
      <c r="C56" s="43">
        <v>115.5</v>
      </c>
      <c r="D56" s="43">
        <v>103</v>
      </c>
      <c r="E56" s="43">
        <v>114.66666666666667</v>
      </c>
      <c r="F56" s="43">
        <v>98.666666666666671</v>
      </c>
      <c r="G56" s="43">
        <v>97.833333333333329</v>
      </c>
      <c r="H56" s="43">
        <v>102.16666666666667</v>
      </c>
      <c r="I56" s="43">
        <v>100.83333333333333</v>
      </c>
      <c r="J56" s="43">
        <v>81.333333333333329</v>
      </c>
      <c r="K56"/>
      <c r="L56"/>
      <c r="M56"/>
      <c r="N56"/>
      <c r="O56"/>
      <c r="P56"/>
      <c r="Q56" s="29"/>
      <c r="R56" s="29"/>
      <c r="S56" s="29"/>
      <c r="T56" s="29"/>
      <c r="U56" s="29"/>
      <c r="V56" s="29"/>
      <c r="W56" s="29"/>
      <c r="X56" s="29"/>
      <c r="Y56" s="29"/>
      <c r="Z56" s="29"/>
      <c r="AA56" s="29"/>
      <c r="AB56" s="29"/>
      <c r="AC56" s="29"/>
      <c r="AD56" s="29"/>
      <c r="AE56" s="29"/>
      <c r="AF56" s="29"/>
      <c r="AG56" s="29"/>
    </row>
    <row r="57" spans="2:33" ht="15" x14ac:dyDescent="0.25">
      <c r="B57" t="s">
        <v>10</v>
      </c>
      <c r="C57" s="43">
        <v>100</v>
      </c>
      <c r="D57" s="43">
        <v>99.333333333333329</v>
      </c>
      <c r="E57" s="43">
        <v>104.5</v>
      </c>
      <c r="F57" s="43">
        <v>99.333333333333329</v>
      </c>
      <c r="G57" s="43">
        <v>98.333333333333329</v>
      </c>
      <c r="H57" s="43">
        <v>102.16666666666667</v>
      </c>
      <c r="I57" s="43">
        <v>100.33333333333333</v>
      </c>
      <c r="J57" s="43">
        <v>105.66666666666667</v>
      </c>
      <c r="K57"/>
      <c r="L57"/>
      <c r="M57"/>
      <c r="N57"/>
      <c r="O57"/>
      <c r="P57"/>
      <c r="Q57" s="29"/>
      <c r="R57" s="29"/>
      <c r="S57" s="29"/>
      <c r="T57" s="29"/>
      <c r="U57" s="29"/>
      <c r="V57" s="29"/>
      <c r="W57" s="29"/>
      <c r="X57" s="29"/>
      <c r="Y57" s="29"/>
      <c r="Z57" s="29"/>
      <c r="AA57" s="29"/>
      <c r="AB57" s="29"/>
      <c r="AC57" s="29"/>
      <c r="AD57" s="29"/>
      <c r="AE57" s="29"/>
      <c r="AF57" s="29"/>
      <c r="AG57" s="29"/>
    </row>
    <row r="58" spans="2:33" ht="15" x14ac:dyDescent="0.25">
      <c r="B58" t="s">
        <v>144</v>
      </c>
      <c r="C58" s="43">
        <v>103.33333333333333</v>
      </c>
      <c r="D58" s="43">
        <v>98.666666666666671</v>
      </c>
      <c r="E58" s="43">
        <v>100.66666666666667</v>
      </c>
      <c r="F58" s="43">
        <v>102.16666666666667</v>
      </c>
      <c r="G58" s="43">
        <v>98.833333333333329</v>
      </c>
      <c r="H58" s="43">
        <v>101.33333333333333</v>
      </c>
      <c r="I58" s="43">
        <v>103</v>
      </c>
      <c r="J58" s="43">
        <v>101.33333333333333</v>
      </c>
      <c r="K58"/>
      <c r="L58"/>
      <c r="M58"/>
      <c r="N58"/>
      <c r="O58"/>
      <c r="P58"/>
      <c r="Q58" s="29"/>
      <c r="R58" s="29"/>
      <c r="S58" s="29"/>
      <c r="T58" s="29"/>
      <c r="U58" s="29"/>
      <c r="V58" s="29"/>
      <c r="W58" s="29"/>
      <c r="X58" s="29"/>
      <c r="Y58" s="29"/>
      <c r="Z58" s="29"/>
      <c r="AA58" s="29"/>
      <c r="AB58" s="29"/>
      <c r="AC58" s="29"/>
      <c r="AD58" s="29"/>
      <c r="AE58" s="29"/>
      <c r="AF58" s="29"/>
      <c r="AG58" s="29"/>
    </row>
    <row r="59" spans="2:33" ht="15" x14ac:dyDescent="0.25">
      <c r="B59" t="s">
        <v>97</v>
      </c>
      <c r="C59" s="43">
        <v>103.5</v>
      </c>
      <c r="D59" s="43">
        <v>105.5</v>
      </c>
      <c r="E59" s="43">
        <v>103</v>
      </c>
      <c r="F59" s="43">
        <v>103.5</v>
      </c>
      <c r="G59" s="43">
        <v>106</v>
      </c>
      <c r="H59" s="43">
        <v>98.5</v>
      </c>
      <c r="I59" s="43">
        <v>99.5</v>
      </c>
      <c r="J59" s="43">
        <v>88</v>
      </c>
      <c r="K59"/>
      <c r="L59"/>
      <c r="M59"/>
      <c r="N59"/>
      <c r="O59"/>
      <c r="P59"/>
      <c r="Q59" s="29"/>
      <c r="R59" s="29"/>
      <c r="S59" s="29"/>
      <c r="T59" s="29"/>
      <c r="U59" s="29"/>
      <c r="V59" s="29"/>
      <c r="W59" s="29"/>
      <c r="X59" s="29"/>
      <c r="Y59" s="29"/>
      <c r="Z59" s="29"/>
      <c r="AA59" s="29"/>
      <c r="AB59" s="29"/>
      <c r="AC59" s="29"/>
      <c r="AD59" s="29"/>
      <c r="AE59" s="29"/>
      <c r="AF59" s="29"/>
      <c r="AG59" s="29"/>
    </row>
    <row r="60" spans="2:33" ht="15" x14ac:dyDescent="0.25">
      <c r="B60" t="s">
        <v>152</v>
      </c>
      <c r="C60" s="43">
        <v>104.5</v>
      </c>
      <c r="D60" s="43">
        <v>97.666666666666671</v>
      </c>
      <c r="E60" s="43">
        <v>103.66666666666667</v>
      </c>
      <c r="F60" s="43">
        <v>100</v>
      </c>
      <c r="G60" s="43">
        <v>97.833333333333329</v>
      </c>
      <c r="H60" s="43">
        <v>101.66666666666667</v>
      </c>
      <c r="I60" s="43">
        <v>101.16666666666667</v>
      </c>
      <c r="J60" s="43">
        <v>100</v>
      </c>
      <c r="K60"/>
      <c r="L60"/>
      <c r="M60"/>
      <c r="N60"/>
      <c r="O60"/>
      <c r="P60"/>
      <c r="Q60" s="29"/>
      <c r="R60" s="29"/>
      <c r="S60" s="29"/>
      <c r="T60" s="29"/>
      <c r="U60" s="29"/>
      <c r="V60" s="29"/>
      <c r="W60" s="29"/>
      <c r="X60" s="29"/>
      <c r="Y60" s="29"/>
      <c r="Z60" s="29"/>
      <c r="AA60" s="29"/>
      <c r="AB60" s="29"/>
      <c r="AC60" s="29"/>
      <c r="AD60" s="29"/>
      <c r="AE60" s="29"/>
      <c r="AF60" s="29"/>
      <c r="AG60" s="29"/>
    </row>
    <row r="61" spans="2:33" ht="15" x14ac:dyDescent="0.25">
      <c r="B61" t="s">
        <v>119</v>
      </c>
      <c r="C61" s="43">
        <v>100</v>
      </c>
      <c r="D61" s="43">
        <v>90</v>
      </c>
      <c r="E61" s="43">
        <v>101</v>
      </c>
      <c r="F61" s="43">
        <v>105</v>
      </c>
      <c r="G61" s="43">
        <v>99</v>
      </c>
      <c r="H61" s="43">
        <v>103</v>
      </c>
      <c r="I61" s="43">
        <v>110</v>
      </c>
      <c r="J61" s="43">
        <v>97</v>
      </c>
      <c r="K61"/>
      <c r="L61"/>
      <c r="M61"/>
      <c r="N61"/>
      <c r="O61"/>
      <c r="P61"/>
      <c r="Q61" s="29"/>
      <c r="R61" s="29"/>
      <c r="S61" s="29"/>
      <c r="T61" s="29"/>
      <c r="U61" s="29"/>
      <c r="V61" s="29"/>
      <c r="W61" s="29"/>
      <c r="X61" s="29"/>
      <c r="Y61" s="29"/>
      <c r="Z61" s="29"/>
      <c r="AA61" s="29"/>
      <c r="AB61" s="29"/>
      <c r="AC61" s="29"/>
      <c r="AD61" s="29"/>
      <c r="AE61" s="29"/>
      <c r="AF61" s="29"/>
      <c r="AG61" s="29"/>
    </row>
    <row r="62" spans="2:33" ht="15" x14ac:dyDescent="0.25">
      <c r="B62" t="s">
        <v>5</v>
      </c>
      <c r="C62" s="43">
        <v>101</v>
      </c>
      <c r="D62" s="43">
        <v>95.166666666666671</v>
      </c>
      <c r="E62" s="43">
        <v>97.166666666666671</v>
      </c>
      <c r="F62" s="43">
        <v>100</v>
      </c>
      <c r="G62" s="43">
        <v>97.333333333333329</v>
      </c>
      <c r="H62" s="43">
        <v>99.5</v>
      </c>
      <c r="I62" s="43">
        <v>102.16666666666667</v>
      </c>
      <c r="J62" s="43">
        <v>106</v>
      </c>
      <c r="K62"/>
      <c r="L62"/>
      <c r="M62"/>
      <c r="N62"/>
      <c r="O62"/>
      <c r="P62"/>
      <c r="Q62" s="29"/>
      <c r="R62" s="29"/>
      <c r="S62" s="29"/>
      <c r="T62" s="29"/>
      <c r="U62" s="29"/>
      <c r="V62" s="29"/>
      <c r="W62" s="29"/>
      <c r="X62" s="29"/>
      <c r="Y62" s="29"/>
      <c r="Z62" s="29"/>
      <c r="AA62" s="29"/>
      <c r="AB62" s="29"/>
      <c r="AC62" s="29"/>
      <c r="AD62" s="29"/>
      <c r="AE62" s="29"/>
      <c r="AF62" s="29"/>
      <c r="AG62" s="29"/>
    </row>
    <row r="63" spans="2:33" ht="15" x14ac:dyDescent="0.25">
      <c r="B63" t="s">
        <v>136</v>
      </c>
      <c r="C63" s="43">
        <v>97</v>
      </c>
      <c r="D63" s="43">
        <v>107</v>
      </c>
      <c r="E63" s="43">
        <v>100</v>
      </c>
      <c r="F63" s="43">
        <v>100</v>
      </c>
      <c r="G63" s="43">
        <v>100</v>
      </c>
      <c r="H63" s="43">
        <v>98</v>
      </c>
      <c r="I63" s="43">
        <v>96</v>
      </c>
      <c r="J63" s="43">
        <v>97</v>
      </c>
      <c r="K63"/>
      <c r="L63"/>
      <c r="M63"/>
      <c r="N63"/>
      <c r="O63"/>
      <c r="P63"/>
      <c r="Q63" s="29"/>
      <c r="R63" s="29"/>
      <c r="S63" s="29"/>
      <c r="T63" s="29"/>
      <c r="U63" s="29"/>
      <c r="V63" s="29"/>
      <c r="W63" s="29"/>
      <c r="X63" s="29"/>
      <c r="Y63" s="29"/>
      <c r="Z63" s="29"/>
      <c r="AA63" s="29"/>
      <c r="AB63" s="29"/>
      <c r="AC63" s="29"/>
      <c r="AD63" s="29"/>
      <c r="AE63" s="29"/>
      <c r="AF63" s="29"/>
      <c r="AG63" s="29"/>
    </row>
    <row r="64" spans="2:33" ht="15" x14ac:dyDescent="0.25">
      <c r="B64" t="s">
        <v>72</v>
      </c>
      <c r="C64" s="43">
        <v>97</v>
      </c>
      <c r="D64" s="43">
        <v>107.5</v>
      </c>
      <c r="E64" s="43">
        <v>103.16666666666667</v>
      </c>
      <c r="F64" s="43">
        <v>94.5</v>
      </c>
      <c r="G64" s="43">
        <v>93.5</v>
      </c>
      <c r="H64" s="43">
        <v>99</v>
      </c>
      <c r="I64" s="43">
        <v>96.833333333333329</v>
      </c>
      <c r="J64" s="43">
        <v>103.16666666666667</v>
      </c>
      <c r="K64"/>
      <c r="L64"/>
      <c r="M64"/>
      <c r="N64"/>
      <c r="O64"/>
      <c r="P64"/>
      <c r="Q64" s="29"/>
      <c r="R64" s="29"/>
      <c r="S64" s="29"/>
      <c r="T64" s="29"/>
      <c r="U64" s="29"/>
      <c r="V64" s="29"/>
      <c r="W64" s="29"/>
      <c r="X64" s="29"/>
      <c r="Y64" s="29"/>
      <c r="Z64" s="29"/>
      <c r="AA64" s="29"/>
      <c r="AB64" s="29"/>
      <c r="AC64" s="29"/>
      <c r="AD64" s="29"/>
      <c r="AE64" s="29"/>
      <c r="AF64" s="29"/>
      <c r="AG64" s="29"/>
    </row>
    <row r="65" spans="2:33" ht="15" x14ac:dyDescent="0.25">
      <c r="B65" t="s">
        <v>218</v>
      </c>
      <c r="C65" s="43">
        <v>101</v>
      </c>
      <c r="D65" s="43">
        <v>104</v>
      </c>
      <c r="E65" s="43">
        <v>102</v>
      </c>
      <c r="F65" s="43">
        <v>97</v>
      </c>
      <c r="G65" s="43">
        <v>96</v>
      </c>
      <c r="H65" s="43">
        <v>99</v>
      </c>
      <c r="I65" s="43">
        <v>96</v>
      </c>
      <c r="J65" s="43">
        <v>99</v>
      </c>
      <c r="K65"/>
      <c r="L65"/>
      <c r="M65"/>
      <c r="N65"/>
      <c r="O65"/>
      <c r="P65"/>
      <c r="Q65" s="29"/>
      <c r="R65" s="29"/>
      <c r="S65" s="29"/>
      <c r="T65" s="29"/>
      <c r="U65" s="29"/>
      <c r="V65" s="29"/>
      <c r="W65" s="29"/>
      <c r="X65" s="29"/>
      <c r="Y65" s="29"/>
      <c r="Z65" s="29"/>
      <c r="AA65" s="29"/>
      <c r="AB65" s="29"/>
      <c r="AC65" s="29"/>
      <c r="AD65" s="29"/>
      <c r="AE65" s="29"/>
      <c r="AF65" s="29"/>
      <c r="AG65" s="29"/>
    </row>
    <row r="66" spans="2:33" ht="15" x14ac:dyDescent="0.25">
      <c r="B66" t="s">
        <v>159</v>
      </c>
      <c r="C66" s="43">
        <v>103.83333333333333</v>
      </c>
      <c r="D66" s="43">
        <v>94.166666666666671</v>
      </c>
      <c r="E66" s="43">
        <v>105</v>
      </c>
      <c r="F66" s="43">
        <v>95.666666666666671</v>
      </c>
      <c r="G66" s="43">
        <v>93</v>
      </c>
      <c r="H66" s="43">
        <v>100</v>
      </c>
      <c r="I66" s="43">
        <v>101.16666666666667</v>
      </c>
      <c r="J66" s="43">
        <v>98.5</v>
      </c>
      <c r="K66"/>
      <c r="L66"/>
      <c r="M66"/>
      <c r="N66"/>
      <c r="O66"/>
      <c r="P66"/>
      <c r="Q66" s="29"/>
      <c r="R66" s="29"/>
      <c r="S66" s="29"/>
      <c r="T66" s="29"/>
      <c r="U66" s="29"/>
      <c r="V66" s="29"/>
      <c r="W66" s="29"/>
      <c r="X66" s="29"/>
      <c r="Y66" s="29"/>
      <c r="Z66" s="29"/>
      <c r="AA66" s="29"/>
      <c r="AB66" s="29"/>
      <c r="AC66" s="29"/>
      <c r="AD66" s="29"/>
      <c r="AE66" s="29"/>
      <c r="AF66" s="29"/>
      <c r="AG66" s="29"/>
    </row>
    <row r="67" spans="2:33" ht="15" x14ac:dyDescent="0.25">
      <c r="B67" t="s">
        <v>16</v>
      </c>
      <c r="C67" s="43">
        <v>98.833333333333329</v>
      </c>
      <c r="D67" s="43">
        <v>101.5</v>
      </c>
      <c r="E67" s="43">
        <v>99.833333333333329</v>
      </c>
      <c r="F67" s="43">
        <v>94</v>
      </c>
      <c r="G67" s="43">
        <v>95.333333333333329</v>
      </c>
      <c r="H67" s="43">
        <v>97.5</v>
      </c>
      <c r="I67" s="43">
        <v>96.333333333333329</v>
      </c>
      <c r="J67" s="43">
        <v>100.33333333333333</v>
      </c>
      <c r="K67"/>
      <c r="L67"/>
      <c r="M67"/>
      <c r="N67"/>
      <c r="O67"/>
      <c r="P67"/>
      <c r="Q67" s="29"/>
      <c r="R67" s="29"/>
      <c r="S67" s="29"/>
      <c r="T67" s="29"/>
      <c r="U67" s="29"/>
      <c r="V67" s="29"/>
      <c r="W67" s="29"/>
      <c r="X67" s="29"/>
      <c r="Y67" s="29"/>
      <c r="Z67" s="29"/>
      <c r="AA67" s="29"/>
      <c r="AB67" s="29"/>
      <c r="AC67" s="29"/>
      <c r="AD67" s="29"/>
      <c r="AE67" s="29"/>
      <c r="AF67" s="29"/>
      <c r="AG67" s="29"/>
    </row>
    <row r="68" spans="2:33" ht="15" x14ac:dyDescent="0.25">
      <c r="B68" t="s">
        <v>17</v>
      </c>
      <c r="C68" s="43">
        <v>94</v>
      </c>
      <c r="D68" s="43">
        <v>76</v>
      </c>
      <c r="E68" s="43">
        <v>98</v>
      </c>
      <c r="F68" s="43">
        <v>99</v>
      </c>
      <c r="G68" s="43">
        <v>98.666666666666671</v>
      </c>
      <c r="H68" s="43">
        <v>104</v>
      </c>
      <c r="I68" s="43">
        <v>107</v>
      </c>
      <c r="J68" s="43">
        <v>106.33333333333333</v>
      </c>
      <c r="K68"/>
      <c r="L68"/>
      <c r="M68"/>
      <c r="N68"/>
      <c r="O68"/>
      <c r="P68"/>
      <c r="Q68" s="29"/>
      <c r="R68" s="29"/>
      <c r="S68" s="29"/>
      <c r="T68" s="29"/>
      <c r="U68" s="29"/>
      <c r="V68" s="29"/>
      <c r="W68" s="29"/>
      <c r="X68" s="29"/>
      <c r="Y68" s="29"/>
      <c r="Z68" s="29"/>
      <c r="AA68" s="29"/>
      <c r="AB68" s="29"/>
      <c r="AC68" s="29"/>
      <c r="AD68" s="29"/>
      <c r="AE68" s="29"/>
      <c r="AF68" s="29"/>
      <c r="AG68" s="29"/>
    </row>
    <row r="69" spans="2:33" ht="15" x14ac:dyDescent="0.25">
      <c r="B69" t="s">
        <v>179</v>
      </c>
      <c r="C69" s="43">
        <v>103.5</v>
      </c>
      <c r="D69" s="43">
        <v>99.333333333333329</v>
      </c>
      <c r="E69" s="43">
        <v>100.16666666666667</v>
      </c>
      <c r="F69" s="43">
        <v>94.5</v>
      </c>
      <c r="G69" s="43">
        <v>92.833333333333329</v>
      </c>
      <c r="H69" s="43">
        <v>98.333333333333329</v>
      </c>
      <c r="I69" s="43">
        <v>98.166666666666671</v>
      </c>
      <c r="J69" s="43">
        <v>94.333333333333329</v>
      </c>
      <c r="K69"/>
      <c r="L69"/>
      <c r="M69"/>
      <c r="N69"/>
      <c r="O69"/>
      <c r="P69"/>
      <c r="Q69" s="29"/>
      <c r="R69" s="29"/>
      <c r="S69" s="29"/>
      <c r="T69" s="29"/>
      <c r="U69" s="29"/>
      <c r="V69" s="29"/>
      <c r="W69" s="29"/>
      <c r="X69" s="29"/>
      <c r="Y69" s="29"/>
      <c r="Z69" s="29"/>
      <c r="AA69" s="29"/>
      <c r="AB69" s="29"/>
      <c r="AC69" s="29"/>
      <c r="AD69" s="29"/>
      <c r="AE69" s="29"/>
      <c r="AF69" s="29"/>
      <c r="AG69" s="29"/>
    </row>
    <row r="70" spans="2:33" ht="15" x14ac:dyDescent="0.25">
      <c r="B70" t="s">
        <v>102</v>
      </c>
      <c r="C70" s="43">
        <v>99.5</v>
      </c>
      <c r="D70" s="43">
        <v>95.5</v>
      </c>
      <c r="E70" s="43">
        <v>96</v>
      </c>
      <c r="F70" s="43">
        <v>100</v>
      </c>
      <c r="G70" s="43">
        <v>96.5</v>
      </c>
      <c r="H70" s="43">
        <v>95.5</v>
      </c>
      <c r="I70" s="43">
        <v>91.5</v>
      </c>
      <c r="J70" s="43">
        <v>97.5</v>
      </c>
      <c r="K70"/>
      <c r="L70"/>
      <c r="M70"/>
      <c r="N70"/>
      <c r="O70"/>
      <c r="P70"/>
      <c r="Q70" s="29"/>
      <c r="R70" s="29"/>
      <c r="S70" s="29"/>
      <c r="T70" s="29"/>
      <c r="U70" s="29"/>
      <c r="V70" s="29"/>
      <c r="W70" s="29"/>
      <c r="X70" s="29"/>
      <c r="Y70" s="29"/>
      <c r="Z70" s="29"/>
      <c r="AA70" s="29"/>
      <c r="AB70" s="29"/>
      <c r="AC70" s="29"/>
      <c r="AD70" s="29"/>
      <c r="AE70" s="29"/>
      <c r="AF70" s="29"/>
      <c r="AG70" s="29"/>
    </row>
    <row r="71" spans="2:33" ht="15" x14ac:dyDescent="0.25">
      <c r="B71" t="s">
        <v>210</v>
      </c>
      <c r="C71" s="43">
        <v>103</v>
      </c>
      <c r="D71" s="43">
        <v>80</v>
      </c>
      <c r="E71" s="43">
        <v>102</v>
      </c>
      <c r="F71" s="43">
        <v>94</v>
      </c>
      <c r="G71" s="43">
        <v>92</v>
      </c>
      <c r="H71" s="43">
        <v>98</v>
      </c>
      <c r="I71" s="43">
        <v>97</v>
      </c>
      <c r="J71" s="43">
        <v>98</v>
      </c>
      <c r="K71"/>
      <c r="L71"/>
      <c r="M71"/>
      <c r="N71"/>
      <c r="O71"/>
      <c r="P71"/>
      <c r="Q71" s="29"/>
      <c r="R71" s="29"/>
      <c r="S71" s="29"/>
      <c r="T71" s="29"/>
      <c r="U71" s="29"/>
      <c r="V71" s="29"/>
      <c r="W71" s="29"/>
      <c r="X71" s="29"/>
      <c r="Y71" s="29"/>
      <c r="Z71" s="29"/>
      <c r="AA71" s="29"/>
      <c r="AB71" s="29"/>
      <c r="AC71" s="29"/>
      <c r="AD71" s="29"/>
      <c r="AE71" s="29"/>
      <c r="AF71" s="29"/>
      <c r="AG71" s="29"/>
    </row>
    <row r="72" spans="2:33" ht="15" x14ac:dyDescent="0.25">
      <c r="B72" t="s">
        <v>153</v>
      </c>
      <c r="C72" s="43">
        <v>102.2</v>
      </c>
      <c r="D72" s="43">
        <v>83.2</v>
      </c>
      <c r="E72" s="43">
        <v>103.6</v>
      </c>
      <c r="F72" s="43">
        <v>91.6</v>
      </c>
      <c r="G72" s="43">
        <v>88</v>
      </c>
      <c r="H72" s="43">
        <v>98.2</v>
      </c>
      <c r="I72" s="43">
        <v>95</v>
      </c>
      <c r="J72" s="43">
        <v>96.8</v>
      </c>
      <c r="K72"/>
      <c r="L72"/>
      <c r="M72"/>
      <c r="N72"/>
      <c r="O72"/>
      <c r="P72"/>
      <c r="Q72" s="29"/>
      <c r="R72" s="29"/>
      <c r="S72" s="29"/>
      <c r="T72" s="29"/>
      <c r="U72" s="29"/>
      <c r="V72" s="29"/>
      <c r="W72" s="29"/>
      <c r="X72" s="29"/>
      <c r="Y72" s="29"/>
      <c r="Z72" s="29"/>
      <c r="AA72" s="29"/>
      <c r="AB72" s="29"/>
      <c r="AC72" s="29"/>
      <c r="AD72" s="29"/>
      <c r="AE72" s="29"/>
      <c r="AF72" s="29"/>
      <c r="AG72" s="29"/>
    </row>
    <row r="73" spans="2:33" ht="15" x14ac:dyDescent="0.25">
      <c r="B73" t="s">
        <v>182</v>
      </c>
      <c r="C73" s="43">
        <v>93.5</v>
      </c>
      <c r="D73" s="43">
        <v>101.83333333333333</v>
      </c>
      <c r="E73" s="43">
        <v>96.5</v>
      </c>
      <c r="F73" s="43">
        <v>92.5</v>
      </c>
      <c r="G73" s="43">
        <v>93.333333333333329</v>
      </c>
      <c r="H73" s="43">
        <v>93.5</v>
      </c>
      <c r="I73" s="43">
        <v>93.666666666666671</v>
      </c>
      <c r="J73" s="43">
        <v>90.833333333333329</v>
      </c>
      <c r="K73"/>
      <c r="L73"/>
      <c r="M73"/>
      <c r="N73"/>
      <c r="O73"/>
      <c r="P73"/>
      <c r="Q73" s="29"/>
      <c r="R73" s="29"/>
      <c r="S73" s="29"/>
      <c r="T73" s="29"/>
      <c r="U73" s="29"/>
      <c r="V73" s="29"/>
      <c r="W73" s="29"/>
      <c r="X73" s="29"/>
      <c r="Y73" s="29"/>
      <c r="Z73" s="29"/>
      <c r="AA73" s="29"/>
      <c r="AB73" s="29"/>
      <c r="AC73" s="29"/>
      <c r="AD73" s="29"/>
      <c r="AE73" s="29"/>
      <c r="AF73" s="29"/>
      <c r="AG73" s="29"/>
    </row>
    <row r="74" spans="2:33" ht="15" x14ac:dyDescent="0.25">
      <c r="B74" t="s">
        <v>170</v>
      </c>
      <c r="C74" s="43">
        <v>95</v>
      </c>
      <c r="D74" s="43">
        <v>95.166666666666671</v>
      </c>
      <c r="E74" s="43">
        <v>97.666666666666671</v>
      </c>
      <c r="F74" s="43">
        <v>93.166666666666671</v>
      </c>
      <c r="G74" s="43">
        <v>93</v>
      </c>
      <c r="H74" s="43">
        <v>94.5</v>
      </c>
      <c r="I74" s="43">
        <v>94.833333333333329</v>
      </c>
      <c r="J74" s="43">
        <v>92</v>
      </c>
      <c r="K74"/>
      <c r="L74"/>
      <c r="M74"/>
      <c r="N74"/>
      <c r="O74"/>
      <c r="P74"/>
      <c r="Q74" s="29"/>
      <c r="R74" s="29"/>
      <c r="S74" s="29"/>
      <c r="T74" s="29"/>
      <c r="U74" s="29"/>
      <c r="V74" s="29"/>
      <c r="W74" s="29"/>
      <c r="X74" s="29"/>
      <c r="Y74" s="29"/>
      <c r="Z74" s="29"/>
      <c r="AA74" s="29"/>
      <c r="AB74" s="29"/>
      <c r="AC74" s="29"/>
      <c r="AD74" s="29"/>
      <c r="AE74" s="29"/>
      <c r="AF74" s="29"/>
      <c r="AG74" s="29"/>
    </row>
    <row r="75" spans="2:33" ht="15" x14ac:dyDescent="0.25">
      <c r="B75" t="s">
        <v>4</v>
      </c>
      <c r="C75" s="43">
        <v>95.833333333333329</v>
      </c>
      <c r="D75" s="43">
        <v>94.5</v>
      </c>
      <c r="E75" s="43">
        <v>99.166666666666671</v>
      </c>
      <c r="F75" s="43">
        <v>91.5</v>
      </c>
      <c r="G75" s="43">
        <v>92.333333333333329</v>
      </c>
      <c r="H75" s="43">
        <v>94.666666666666671</v>
      </c>
      <c r="I75" s="43">
        <v>93.666666666666671</v>
      </c>
      <c r="J75" s="43">
        <v>93.5</v>
      </c>
      <c r="K75"/>
      <c r="L75"/>
      <c r="M75"/>
      <c r="N75"/>
      <c r="O75"/>
      <c r="P75"/>
      <c r="Q75" s="29"/>
      <c r="R75" s="29"/>
      <c r="S75" s="29"/>
      <c r="T75" s="29"/>
      <c r="U75" s="29"/>
      <c r="V75" s="29"/>
      <c r="W75" s="29"/>
      <c r="X75" s="29"/>
      <c r="Y75" s="29"/>
      <c r="Z75" s="29"/>
      <c r="AA75" s="29"/>
      <c r="AB75" s="29"/>
      <c r="AC75" s="29"/>
      <c r="AD75" s="29"/>
      <c r="AE75" s="29"/>
      <c r="AF75" s="29"/>
      <c r="AG75" s="29"/>
    </row>
    <row r="76" spans="2:33" ht="15" x14ac:dyDescent="0.25">
      <c r="B76" t="s">
        <v>8</v>
      </c>
      <c r="C76" s="43">
        <v>93.833333333333329</v>
      </c>
      <c r="D76" s="43">
        <v>92</v>
      </c>
      <c r="E76" s="43">
        <v>96.833333333333329</v>
      </c>
      <c r="F76" s="43">
        <v>93.833333333333329</v>
      </c>
      <c r="G76" s="43">
        <v>93.833333333333329</v>
      </c>
      <c r="H76" s="43">
        <v>93</v>
      </c>
      <c r="I76" s="43">
        <v>90.833333333333329</v>
      </c>
      <c r="J76" s="43">
        <v>92.833333333333329</v>
      </c>
      <c r="K76"/>
      <c r="L76"/>
      <c r="M76"/>
      <c r="N76"/>
      <c r="O76"/>
      <c r="P76"/>
      <c r="Q76" s="29"/>
      <c r="R76" s="29"/>
      <c r="S76" s="29"/>
      <c r="T76" s="29"/>
      <c r="U76" s="29"/>
      <c r="V76" s="29"/>
      <c r="W76" s="29"/>
      <c r="X76" s="29"/>
      <c r="Y76" s="29"/>
      <c r="Z76" s="29"/>
      <c r="AA76" s="29"/>
      <c r="AB76" s="29"/>
      <c r="AC76" s="29"/>
      <c r="AD76" s="29"/>
      <c r="AE76" s="29"/>
      <c r="AF76" s="29"/>
      <c r="AG76" s="29"/>
    </row>
    <row r="77" spans="2:33" ht="15" x14ac:dyDescent="0.25">
      <c r="B77" t="s">
        <v>146</v>
      </c>
      <c r="C77" s="43">
        <v>96</v>
      </c>
      <c r="D77" s="43">
        <v>89.2</v>
      </c>
      <c r="E77" s="43">
        <v>96</v>
      </c>
      <c r="F77" s="43">
        <v>90.8</v>
      </c>
      <c r="G77" s="43">
        <v>89.6</v>
      </c>
      <c r="H77" s="43">
        <v>92.6</v>
      </c>
      <c r="I77" s="43">
        <v>92.2</v>
      </c>
      <c r="J77" s="43">
        <v>92.6</v>
      </c>
      <c r="K77"/>
      <c r="L77"/>
      <c r="M77"/>
      <c r="N77"/>
      <c r="O77"/>
      <c r="P77"/>
      <c r="Q77" s="29"/>
      <c r="R77" s="29"/>
      <c r="S77" s="29"/>
      <c r="T77" s="29"/>
      <c r="U77" s="29"/>
      <c r="V77" s="29"/>
      <c r="W77" s="29"/>
      <c r="X77" s="29"/>
      <c r="Y77" s="29"/>
      <c r="Z77" s="29"/>
      <c r="AA77" s="29"/>
      <c r="AB77" s="29"/>
      <c r="AC77" s="29"/>
      <c r="AD77" s="29"/>
      <c r="AE77" s="29"/>
      <c r="AF77" s="29"/>
      <c r="AG77" s="29"/>
    </row>
    <row r="78" spans="2:33" ht="15" x14ac:dyDescent="0.25">
      <c r="B78" t="s">
        <v>178</v>
      </c>
      <c r="C78" s="43">
        <v>94.166666666666671</v>
      </c>
      <c r="D78" s="43">
        <v>96</v>
      </c>
      <c r="E78" s="43">
        <v>96.166666666666671</v>
      </c>
      <c r="F78" s="43">
        <v>88.333333333333329</v>
      </c>
      <c r="G78" s="43">
        <v>91.833333333333329</v>
      </c>
      <c r="H78" s="43">
        <v>91.5</v>
      </c>
      <c r="I78" s="43">
        <v>87.666666666666671</v>
      </c>
      <c r="J78" s="43">
        <v>91.833333333333329</v>
      </c>
      <c r="K78"/>
      <c r="L78"/>
      <c r="M78"/>
      <c r="N78"/>
      <c r="O78"/>
      <c r="P78"/>
      <c r="Q78" s="29"/>
      <c r="R78" s="29"/>
      <c r="S78" s="29"/>
      <c r="T78" s="29"/>
      <c r="U78" s="29"/>
      <c r="V78" s="29"/>
      <c r="W78" s="29"/>
      <c r="X78" s="29"/>
      <c r="Y78" s="29"/>
      <c r="Z78" s="29"/>
      <c r="AA78" s="29"/>
      <c r="AB78" s="29"/>
      <c r="AC78" s="29"/>
      <c r="AD78" s="29"/>
      <c r="AE78" s="29"/>
      <c r="AF78" s="29"/>
      <c r="AG78" s="29"/>
    </row>
    <row r="79" spans="2:33" ht="15" x14ac:dyDescent="0.25">
      <c r="B79" t="s">
        <v>6</v>
      </c>
      <c r="C79" s="43">
        <v>94.833333333333329</v>
      </c>
      <c r="D79" s="43">
        <v>89.833333333333329</v>
      </c>
      <c r="E79" s="43">
        <v>95.333333333333329</v>
      </c>
      <c r="F79" s="43">
        <v>90.166666666666671</v>
      </c>
      <c r="G79" s="43">
        <v>89</v>
      </c>
      <c r="H79" s="43">
        <v>92.833333333333329</v>
      </c>
      <c r="I79" s="43">
        <v>92</v>
      </c>
      <c r="J79" s="43">
        <v>93</v>
      </c>
      <c r="K79"/>
      <c r="L79"/>
      <c r="M79"/>
      <c r="N79"/>
      <c r="O79"/>
      <c r="P79"/>
      <c r="Q79" s="29"/>
      <c r="R79" s="29"/>
      <c r="S79" s="29"/>
      <c r="T79" s="29"/>
      <c r="U79" s="29"/>
      <c r="V79" s="29"/>
      <c r="W79" s="29"/>
      <c r="X79" s="29"/>
      <c r="Y79" s="29"/>
      <c r="Z79" s="29"/>
      <c r="AA79" s="29"/>
      <c r="AB79" s="29"/>
      <c r="AC79" s="29"/>
      <c r="AD79" s="29"/>
      <c r="AE79" s="29"/>
      <c r="AF79" s="29"/>
      <c r="AG79" s="29"/>
    </row>
    <row r="80" spans="2:33" ht="15" x14ac:dyDescent="0.25">
      <c r="B80" t="s">
        <v>133</v>
      </c>
      <c r="C80" s="43">
        <v>103</v>
      </c>
      <c r="D80" s="43">
        <v>94</v>
      </c>
      <c r="E80" s="43">
        <v>69</v>
      </c>
      <c r="F80" s="43">
        <v>86</v>
      </c>
      <c r="G80" s="43">
        <v>106</v>
      </c>
      <c r="H80" s="43">
        <v>90</v>
      </c>
      <c r="I80" s="43">
        <v>95</v>
      </c>
      <c r="J80" s="43">
        <v>88</v>
      </c>
      <c r="K80"/>
      <c r="L80"/>
      <c r="M80"/>
      <c r="N80"/>
      <c r="O80"/>
      <c r="P80"/>
      <c r="Q80" s="29"/>
      <c r="R80" s="29"/>
      <c r="S80" s="29"/>
      <c r="T80" s="29"/>
      <c r="U80" s="29"/>
      <c r="V80" s="29"/>
      <c r="W80" s="29"/>
      <c r="X80" s="29"/>
      <c r="Y80" s="29"/>
      <c r="Z80" s="29"/>
      <c r="AA80" s="29"/>
      <c r="AB80" s="29"/>
      <c r="AC80" s="29"/>
      <c r="AD80" s="29"/>
      <c r="AE80" s="29"/>
      <c r="AF80" s="29"/>
      <c r="AG80" s="29"/>
    </row>
    <row r="81" spans="2:33" ht="15" x14ac:dyDescent="0.25">
      <c r="B81" t="s">
        <v>187</v>
      </c>
      <c r="C81" s="43">
        <v>94.333333333333329</v>
      </c>
      <c r="D81" s="43">
        <v>95.833333333333329</v>
      </c>
      <c r="E81" s="43">
        <v>93.833333333333329</v>
      </c>
      <c r="F81" s="43">
        <v>86.833333333333329</v>
      </c>
      <c r="G81" s="43">
        <v>90.166666666666671</v>
      </c>
      <c r="H81" s="43">
        <v>89.833333333333329</v>
      </c>
      <c r="I81" s="43">
        <v>86.5</v>
      </c>
      <c r="J81" s="43">
        <v>90.833333333333329</v>
      </c>
      <c r="K81"/>
      <c r="L81"/>
      <c r="M81"/>
      <c r="N81"/>
      <c r="O81"/>
      <c r="P81"/>
      <c r="Q81" s="29"/>
      <c r="R81" s="29"/>
      <c r="S81" s="29"/>
      <c r="T81" s="29"/>
      <c r="U81" s="29"/>
      <c r="V81" s="29"/>
      <c r="W81" s="29"/>
      <c r="X81" s="29"/>
      <c r="Y81" s="29"/>
      <c r="Z81" s="29"/>
      <c r="AA81" s="29"/>
      <c r="AB81" s="29"/>
      <c r="AC81" s="29"/>
      <c r="AD81" s="29"/>
      <c r="AE81" s="29"/>
      <c r="AF81" s="29"/>
      <c r="AG81" s="29"/>
    </row>
    <row r="82" spans="2:33" ht="15" x14ac:dyDescent="0.25">
      <c r="B82" t="s">
        <v>19</v>
      </c>
      <c r="C82" s="43">
        <v>89.666666666666671</v>
      </c>
      <c r="D82" s="43">
        <v>90.166666666666671</v>
      </c>
      <c r="E82" s="43">
        <v>94.833333333333329</v>
      </c>
      <c r="F82" s="43">
        <v>88.5</v>
      </c>
      <c r="G82" s="43">
        <v>88.666666666666671</v>
      </c>
      <c r="H82" s="43">
        <v>91.166666666666671</v>
      </c>
      <c r="I82" s="43">
        <v>89.166666666666671</v>
      </c>
      <c r="J82" s="43">
        <v>93</v>
      </c>
      <c r="K82"/>
      <c r="L82"/>
      <c r="M82"/>
      <c r="N82"/>
      <c r="O82"/>
      <c r="P82"/>
      <c r="Q82" s="29"/>
      <c r="R82" s="29"/>
      <c r="S82" s="29"/>
      <c r="T82" s="29"/>
      <c r="U82" s="29"/>
      <c r="V82" s="29"/>
      <c r="W82" s="29"/>
      <c r="X82" s="29"/>
      <c r="Y82" s="29"/>
      <c r="Z82" s="29"/>
    </row>
    <row r="83" spans="2:33" ht="15" x14ac:dyDescent="0.25">
      <c r="B83" t="s">
        <v>124</v>
      </c>
      <c r="C83" s="43">
        <v>81.5</v>
      </c>
      <c r="D83" s="43">
        <v>90</v>
      </c>
      <c r="E83" s="43">
        <v>95.5</v>
      </c>
      <c r="F83" s="43">
        <v>87</v>
      </c>
      <c r="G83" s="43">
        <v>86.5</v>
      </c>
      <c r="H83" s="43">
        <v>93</v>
      </c>
      <c r="I83" s="43">
        <v>97</v>
      </c>
      <c r="J83" s="43">
        <v>92</v>
      </c>
      <c r="K83"/>
      <c r="L83"/>
      <c r="M83"/>
      <c r="N83"/>
      <c r="O83"/>
      <c r="P83"/>
      <c r="Q83" s="29"/>
      <c r="R83" s="29"/>
      <c r="S83" s="29"/>
      <c r="T83" s="29"/>
      <c r="U83" s="29"/>
      <c r="V83" s="29"/>
      <c r="W83" s="29"/>
      <c r="X83" s="29"/>
      <c r="Y83" s="29"/>
      <c r="Z83" s="29"/>
    </row>
    <row r="84" spans="2:33" ht="15" x14ac:dyDescent="0.25">
      <c r="B84" t="s">
        <v>208</v>
      </c>
      <c r="C84" s="43">
        <v>92</v>
      </c>
      <c r="D84" s="43">
        <v>87</v>
      </c>
      <c r="E84" s="43">
        <v>93</v>
      </c>
      <c r="F84" s="43">
        <v>90</v>
      </c>
      <c r="G84" s="43">
        <v>87</v>
      </c>
      <c r="H84" s="43">
        <v>91</v>
      </c>
      <c r="I84" s="43">
        <v>92</v>
      </c>
      <c r="J84" s="43">
        <v>90</v>
      </c>
      <c r="K84"/>
      <c r="L84"/>
      <c r="M84"/>
      <c r="N84"/>
      <c r="O84"/>
      <c r="P84"/>
      <c r="Q84" s="29"/>
      <c r="R84" s="29"/>
      <c r="S84" s="29"/>
      <c r="T84" s="29"/>
      <c r="U84" s="29"/>
      <c r="V84" s="29"/>
      <c r="W84" s="29"/>
      <c r="X84" s="29"/>
      <c r="Y84" s="29"/>
      <c r="Z84" s="29"/>
    </row>
    <row r="85" spans="2:33" ht="15" x14ac:dyDescent="0.25">
      <c r="B85" t="s">
        <v>155</v>
      </c>
      <c r="C85" s="43">
        <v>95.666666666666671</v>
      </c>
      <c r="D85" s="43">
        <v>94.666666666666671</v>
      </c>
      <c r="E85" s="43">
        <v>96.666666666666671</v>
      </c>
      <c r="F85" s="43">
        <v>79.833333333333329</v>
      </c>
      <c r="G85" s="43">
        <v>85.166666666666671</v>
      </c>
      <c r="H85" s="43">
        <v>90</v>
      </c>
      <c r="I85" s="43">
        <v>78.666666666666671</v>
      </c>
      <c r="J85" s="43">
        <v>98.666666666666671</v>
      </c>
      <c r="K85"/>
      <c r="L85"/>
      <c r="M85"/>
      <c r="N85"/>
      <c r="O85"/>
      <c r="P85"/>
      <c r="Q85" s="29"/>
      <c r="R85" s="29"/>
      <c r="S85" s="29"/>
      <c r="T85" s="29"/>
      <c r="U85" s="29"/>
      <c r="V85" s="29"/>
      <c r="W85" s="29"/>
      <c r="X85" s="29"/>
      <c r="Y85" s="29"/>
      <c r="Z85" s="29"/>
    </row>
    <row r="86" spans="2:33" ht="15" x14ac:dyDescent="0.25">
      <c r="B86" t="s">
        <v>7</v>
      </c>
      <c r="C86" s="43">
        <v>92.5</v>
      </c>
      <c r="D86" s="43">
        <v>87.833333333333329</v>
      </c>
      <c r="E86" s="43">
        <v>94.5</v>
      </c>
      <c r="F86" s="43">
        <v>87.833333333333329</v>
      </c>
      <c r="G86" s="43">
        <v>88.166666666666671</v>
      </c>
      <c r="H86" s="43">
        <v>89.833333333333329</v>
      </c>
      <c r="I86" s="43">
        <v>88.5</v>
      </c>
      <c r="J86" s="43">
        <v>89</v>
      </c>
      <c r="K86"/>
      <c r="L86"/>
      <c r="M86"/>
      <c r="N86"/>
      <c r="O86"/>
      <c r="P86"/>
      <c r="Q86" s="29"/>
      <c r="R86" s="29"/>
      <c r="S86" s="29"/>
      <c r="T86" s="29"/>
      <c r="U86" s="29"/>
      <c r="V86" s="29"/>
      <c r="W86" s="29"/>
      <c r="X86" s="29"/>
      <c r="Y86" s="29"/>
      <c r="Z86" s="29"/>
    </row>
    <row r="87" spans="2:33" ht="15" x14ac:dyDescent="0.25">
      <c r="B87" t="s">
        <v>167</v>
      </c>
      <c r="C87" s="43">
        <v>95.833333333333329</v>
      </c>
      <c r="D87" s="43">
        <v>94</v>
      </c>
      <c r="E87" s="43">
        <v>96</v>
      </c>
      <c r="F87" s="43">
        <v>83.333333333333329</v>
      </c>
      <c r="G87" s="43">
        <v>84.833333333333329</v>
      </c>
      <c r="H87" s="43">
        <v>89</v>
      </c>
      <c r="I87" s="43">
        <v>86.166666666666671</v>
      </c>
      <c r="J87" s="43">
        <v>88.166666666666671</v>
      </c>
      <c r="K87"/>
      <c r="L87"/>
      <c r="M87"/>
      <c r="N87"/>
      <c r="O87"/>
      <c r="P87"/>
      <c r="Q87" s="29"/>
      <c r="R87" s="29"/>
      <c r="S87" s="29"/>
      <c r="T87" s="29"/>
      <c r="U87" s="29"/>
      <c r="V87" s="29"/>
      <c r="W87" s="29"/>
      <c r="X87" s="29"/>
      <c r="Y87" s="29"/>
      <c r="Z87" s="29"/>
    </row>
    <row r="88" spans="2:33" ht="15" x14ac:dyDescent="0.25">
      <c r="B88" t="s">
        <v>163</v>
      </c>
      <c r="C88" s="43">
        <v>91</v>
      </c>
      <c r="D88" s="43">
        <v>89.5</v>
      </c>
      <c r="E88" s="43">
        <v>94.666666666666671</v>
      </c>
      <c r="F88" s="43">
        <v>85.5</v>
      </c>
      <c r="G88" s="43">
        <v>87.5</v>
      </c>
      <c r="H88" s="43">
        <v>89.833333333333329</v>
      </c>
      <c r="I88" s="43">
        <v>88.666666666666671</v>
      </c>
      <c r="J88" s="43">
        <v>89.333333333333329</v>
      </c>
      <c r="K88"/>
      <c r="L88"/>
      <c r="M88"/>
      <c r="N88"/>
      <c r="O88"/>
      <c r="P88"/>
      <c r="Q88" s="29"/>
      <c r="R88" s="29"/>
      <c r="S88" s="29"/>
      <c r="T88" s="29"/>
      <c r="U88" s="29"/>
      <c r="V88" s="29"/>
      <c r="W88" s="29"/>
      <c r="X88" s="29"/>
      <c r="Y88" s="29"/>
      <c r="Z88" s="29"/>
    </row>
    <row r="89" spans="2:33" ht="15" x14ac:dyDescent="0.25">
      <c r="B89" t="s">
        <v>11</v>
      </c>
      <c r="C89" s="43">
        <v>90</v>
      </c>
      <c r="D89" s="43">
        <v>89.333333333333329</v>
      </c>
      <c r="E89" s="43">
        <v>91.5</v>
      </c>
      <c r="F89" s="43">
        <v>87</v>
      </c>
      <c r="G89" s="43">
        <v>87.666666666666671</v>
      </c>
      <c r="H89" s="43">
        <v>89</v>
      </c>
      <c r="I89" s="43">
        <v>89.166666666666671</v>
      </c>
      <c r="J89" s="43">
        <v>88</v>
      </c>
      <c r="K89"/>
      <c r="L89"/>
      <c r="M89"/>
      <c r="N89"/>
      <c r="O89"/>
      <c r="P89"/>
      <c r="Q89" s="29"/>
      <c r="R89" s="29"/>
      <c r="S89" s="29"/>
      <c r="T89" s="29"/>
      <c r="U89" s="29"/>
      <c r="V89" s="29"/>
      <c r="W89" s="29"/>
      <c r="X89" s="29"/>
      <c r="Y89" s="29"/>
      <c r="Z89" s="29"/>
    </row>
    <row r="90" spans="2:33" ht="15" x14ac:dyDescent="0.25">
      <c r="B90" t="s">
        <v>123</v>
      </c>
      <c r="C90" s="43">
        <v>83.666666666666671</v>
      </c>
      <c r="D90" s="43">
        <v>87.666666666666671</v>
      </c>
      <c r="E90" s="43">
        <v>84.833333333333329</v>
      </c>
      <c r="F90" s="43">
        <v>88</v>
      </c>
      <c r="G90" s="43">
        <v>83.833333333333329</v>
      </c>
      <c r="H90" s="43">
        <v>88.5</v>
      </c>
      <c r="I90" s="43">
        <v>91.833333333333329</v>
      </c>
      <c r="J90" s="43">
        <v>90.833333333333329</v>
      </c>
      <c r="K90"/>
      <c r="L90"/>
      <c r="M90"/>
      <c r="N90"/>
      <c r="O90"/>
      <c r="P90"/>
      <c r="Q90" s="29"/>
      <c r="R90" s="29"/>
      <c r="S90" s="29"/>
      <c r="T90" s="29"/>
      <c r="U90" s="29"/>
      <c r="V90" s="29"/>
      <c r="W90" s="29"/>
      <c r="X90" s="29"/>
      <c r="Y90" s="29"/>
      <c r="Z90" s="29"/>
    </row>
    <row r="91" spans="2:33" ht="15" x14ac:dyDescent="0.25">
      <c r="B91" t="s">
        <v>132</v>
      </c>
      <c r="C91" s="43">
        <v>89.666666666666671</v>
      </c>
      <c r="D91" s="43">
        <v>73.5</v>
      </c>
      <c r="E91" s="43">
        <v>93.166666666666671</v>
      </c>
      <c r="F91" s="43">
        <v>91.666666666666671</v>
      </c>
      <c r="G91" s="43">
        <v>91.666666666666671</v>
      </c>
      <c r="H91" s="43">
        <v>87.166666666666671</v>
      </c>
      <c r="I91" s="43">
        <v>85</v>
      </c>
      <c r="J91" s="43">
        <v>85.666666666666671</v>
      </c>
      <c r="K91"/>
      <c r="L91"/>
      <c r="M91"/>
      <c r="N91"/>
      <c r="O91"/>
      <c r="P91"/>
      <c r="Q91" s="29"/>
      <c r="R91" s="29"/>
      <c r="S91" s="29"/>
      <c r="T91" s="29"/>
      <c r="U91" s="29"/>
      <c r="V91" s="29"/>
      <c r="W91" s="29"/>
      <c r="X91" s="29"/>
      <c r="Y91" s="29"/>
      <c r="Z91" s="29"/>
    </row>
    <row r="92" spans="2:33" ht="15" x14ac:dyDescent="0.25">
      <c r="B92" t="s">
        <v>104</v>
      </c>
      <c r="C92" s="43">
        <v>85.833333333333329</v>
      </c>
      <c r="D92" s="43">
        <v>85.666666666666671</v>
      </c>
      <c r="E92" s="43">
        <v>87.333333333333329</v>
      </c>
      <c r="F92" s="43">
        <v>86.666666666666671</v>
      </c>
      <c r="G92" s="43">
        <v>86.833333333333329</v>
      </c>
      <c r="H92" s="43">
        <v>85.166666666666671</v>
      </c>
      <c r="I92" s="43">
        <v>84.666666666666671</v>
      </c>
      <c r="J92" s="43">
        <v>83.833333333333329</v>
      </c>
      <c r="K92"/>
      <c r="L92"/>
      <c r="M92"/>
      <c r="N92"/>
      <c r="O92"/>
      <c r="P92"/>
      <c r="Q92" s="29"/>
      <c r="R92" s="29"/>
      <c r="S92" s="29"/>
      <c r="T92" s="29"/>
      <c r="U92" s="29"/>
      <c r="V92" s="29"/>
      <c r="W92" s="29"/>
      <c r="X92" s="29"/>
      <c r="Y92" s="29"/>
      <c r="Z92" s="29"/>
    </row>
    <row r="93" spans="2:33" ht="15" x14ac:dyDescent="0.25">
      <c r="B93" t="s">
        <v>148</v>
      </c>
      <c r="C93" s="43">
        <v>83.75</v>
      </c>
      <c r="D93" s="43">
        <v>76.25</v>
      </c>
      <c r="E93" s="43">
        <v>81.25</v>
      </c>
      <c r="F93" s="43">
        <v>79.5</v>
      </c>
      <c r="G93" s="43">
        <v>80.5</v>
      </c>
      <c r="H93" s="43">
        <v>92.4</v>
      </c>
      <c r="I93" s="43">
        <v>89.4</v>
      </c>
      <c r="J93" s="43">
        <v>95.6</v>
      </c>
      <c r="K93"/>
      <c r="L93"/>
      <c r="M93"/>
      <c r="N93"/>
      <c r="O93"/>
      <c r="P93"/>
      <c r="Q93" s="29"/>
      <c r="R93" s="29"/>
      <c r="S93" s="29"/>
      <c r="T93" s="29"/>
      <c r="U93" s="29"/>
      <c r="V93" s="29"/>
      <c r="W93" s="29"/>
      <c r="X93" s="29"/>
      <c r="Y93" s="29"/>
      <c r="Z93" s="29"/>
    </row>
    <row r="94" spans="2:33" ht="15" x14ac:dyDescent="0.25">
      <c r="B94" t="s">
        <v>103</v>
      </c>
      <c r="C94" s="43">
        <v>80</v>
      </c>
      <c r="D94" s="43">
        <v>97</v>
      </c>
      <c r="E94" s="43">
        <v>81</v>
      </c>
      <c r="F94" s="43">
        <v>80</v>
      </c>
      <c r="G94" s="43">
        <v>95</v>
      </c>
      <c r="H94" s="43">
        <v>83</v>
      </c>
      <c r="I94" s="43">
        <v>78</v>
      </c>
      <c r="J94" s="43">
        <v>85</v>
      </c>
      <c r="K94"/>
      <c r="L94"/>
      <c r="M94"/>
      <c r="N94"/>
      <c r="O94"/>
      <c r="P94"/>
      <c r="Q94" s="29"/>
      <c r="R94" s="29"/>
      <c r="S94" s="29"/>
      <c r="T94" s="29"/>
      <c r="U94" s="29"/>
      <c r="V94" s="29"/>
      <c r="W94" s="29"/>
      <c r="X94" s="29"/>
      <c r="Y94" s="29"/>
      <c r="Z94" s="29"/>
    </row>
    <row r="95" spans="2:33" ht="15" x14ac:dyDescent="0.25">
      <c r="B95" t="s">
        <v>15</v>
      </c>
      <c r="C95" s="43">
        <v>69.333333333333329</v>
      </c>
      <c r="D95" s="43">
        <v>76.333333333333329</v>
      </c>
      <c r="E95" s="43">
        <v>75</v>
      </c>
      <c r="F95" s="43">
        <v>101.83333333333333</v>
      </c>
      <c r="G95" s="43">
        <v>97.5</v>
      </c>
      <c r="H95" s="43">
        <v>90.833333333333329</v>
      </c>
      <c r="I95" s="43">
        <v>97</v>
      </c>
      <c r="J95" s="43">
        <v>70.833333333333329</v>
      </c>
      <c r="K95"/>
      <c r="L95"/>
      <c r="M95"/>
      <c r="N95"/>
      <c r="O95"/>
      <c r="P95"/>
      <c r="Q95" s="29"/>
      <c r="R95" s="29"/>
      <c r="S95" s="29"/>
      <c r="T95" s="29"/>
      <c r="U95" s="29"/>
      <c r="V95" s="29"/>
      <c r="W95" s="29"/>
      <c r="X95" s="29"/>
      <c r="Y95" s="29"/>
      <c r="Z95" s="29"/>
    </row>
    <row r="96" spans="2:33" ht="15" x14ac:dyDescent="0.25">
      <c r="B96" t="s">
        <v>150</v>
      </c>
      <c r="C96" s="43">
        <v>76.5</v>
      </c>
      <c r="D96" s="43">
        <v>79</v>
      </c>
      <c r="E96" s="43">
        <v>79.5</v>
      </c>
      <c r="F96" s="43">
        <v>81</v>
      </c>
      <c r="G96" s="43">
        <v>86.5</v>
      </c>
      <c r="H96" s="43">
        <v>87</v>
      </c>
      <c r="I96" s="43">
        <v>82.5</v>
      </c>
      <c r="J96" s="43">
        <v>93</v>
      </c>
      <c r="K96"/>
      <c r="L96"/>
      <c r="M96"/>
      <c r="N96"/>
      <c r="O96"/>
      <c r="P96"/>
      <c r="Q96" s="29"/>
      <c r="R96" s="29"/>
      <c r="S96" s="29"/>
      <c r="T96" s="29"/>
      <c r="U96" s="29"/>
      <c r="V96" s="29"/>
      <c r="W96" s="29"/>
      <c r="X96" s="29"/>
      <c r="Y96" s="29"/>
      <c r="Z96" s="29"/>
    </row>
    <row r="97" spans="2:26" ht="15" x14ac:dyDescent="0.25">
      <c r="B97" t="s">
        <v>209</v>
      </c>
      <c r="C97" s="43">
        <v>84</v>
      </c>
      <c r="D97" s="43">
        <v>87</v>
      </c>
      <c r="E97" s="43">
        <v>85</v>
      </c>
      <c r="F97" s="43">
        <v>80</v>
      </c>
      <c r="G97" s="43">
        <v>81</v>
      </c>
      <c r="H97" s="43">
        <v>82</v>
      </c>
      <c r="I97" s="43">
        <v>82</v>
      </c>
      <c r="J97" s="43">
        <v>78</v>
      </c>
      <c r="K97"/>
      <c r="L97"/>
      <c r="M97"/>
      <c r="N97"/>
      <c r="O97"/>
      <c r="P97"/>
      <c r="Q97" s="29"/>
      <c r="R97" s="29"/>
      <c r="S97" s="29"/>
      <c r="T97" s="29"/>
      <c r="U97" s="29"/>
      <c r="V97" s="29"/>
      <c r="W97" s="29"/>
      <c r="X97" s="29"/>
      <c r="Y97" s="29"/>
      <c r="Z97" s="29"/>
    </row>
    <row r="98" spans="2:26" ht="15" x14ac:dyDescent="0.25">
      <c r="B98" t="s">
        <v>9</v>
      </c>
      <c r="C98" s="43">
        <v>84.833333333333329</v>
      </c>
      <c r="D98" s="43">
        <v>81.166666666666671</v>
      </c>
      <c r="E98" s="43">
        <v>78.333333333333329</v>
      </c>
      <c r="F98" s="43">
        <v>79.833333333333329</v>
      </c>
      <c r="G98" s="43">
        <v>78.333333333333329</v>
      </c>
      <c r="H98" s="43">
        <v>82</v>
      </c>
      <c r="I98" s="43">
        <v>84</v>
      </c>
      <c r="J98" s="43">
        <v>83.166666666666671</v>
      </c>
      <c r="K98"/>
      <c r="L98"/>
      <c r="M98"/>
      <c r="N98"/>
      <c r="O98"/>
      <c r="P98"/>
      <c r="Q98" s="29"/>
      <c r="R98" s="29"/>
      <c r="S98" s="29"/>
      <c r="T98" s="29"/>
      <c r="U98" s="29"/>
      <c r="V98" s="29"/>
      <c r="W98" s="29"/>
      <c r="X98" s="29"/>
      <c r="Y98" s="29"/>
      <c r="Z98" s="29"/>
    </row>
    <row r="99" spans="2:26" ht="15" x14ac:dyDescent="0.25">
      <c r="B99" t="s">
        <v>95</v>
      </c>
      <c r="C99" s="43">
        <v>54</v>
      </c>
      <c r="D99" s="43">
        <v>114</v>
      </c>
      <c r="E99" s="43">
        <v>53</v>
      </c>
      <c r="F99" s="43">
        <v>83</v>
      </c>
      <c r="G99" s="43">
        <v>105</v>
      </c>
      <c r="H99" s="43">
        <v>76</v>
      </c>
      <c r="I99" s="43">
        <v>82</v>
      </c>
      <c r="J99" s="43">
        <v>59</v>
      </c>
      <c r="K99"/>
      <c r="L99"/>
      <c r="M99"/>
      <c r="N99"/>
      <c r="O99"/>
      <c r="P99"/>
      <c r="Q99" s="29"/>
      <c r="R99" s="29"/>
      <c r="S99" s="29"/>
      <c r="T99" s="29"/>
      <c r="U99" s="29"/>
      <c r="V99" s="29"/>
      <c r="W99" s="29"/>
      <c r="X99" s="29"/>
      <c r="Y99" s="29"/>
      <c r="Z99" s="29"/>
    </row>
    <row r="100" spans="2:26" ht="15" x14ac:dyDescent="0.25">
      <c r="B100" t="s">
        <v>156</v>
      </c>
      <c r="C100" s="43">
        <v>90.25</v>
      </c>
      <c r="D100" s="43">
        <v>84.25</v>
      </c>
      <c r="E100" s="43">
        <v>101</v>
      </c>
      <c r="F100" s="43">
        <v>62</v>
      </c>
      <c r="G100" s="43">
        <v>63.75</v>
      </c>
      <c r="H100" s="43">
        <v>78.25</v>
      </c>
      <c r="I100" s="43">
        <v>79</v>
      </c>
      <c r="J100" s="43">
        <v>67.5</v>
      </c>
      <c r="K100"/>
      <c r="L100"/>
      <c r="M100"/>
      <c r="N100"/>
      <c r="O100"/>
      <c r="P100"/>
      <c r="Q100" s="29"/>
      <c r="R100" s="29"/>
      <c r="S100" s="29"/>
      <c r="T100" s="29"/>
      <c r="U100" s="29"/>
      <c r="V100" s="29"/>
      <c r="W100" s="29"/>
      <c r="X100" s="29"/>
      <c r="Y100" s="29"/>
      <c r="Z100" s="29"/>
    </row>
    <row r="101" spans="2:26" ht="15" x14ac:dyDescent="0.25">
      <c r="B101" t="s">
        <v>213</v>
      </c>
      <c r="C101" s="43">
        <v>81</v>
      </c>
      <c r="D101" s="43">
        <v>69</v>
      </c>
      <c r="E101" s="43">
        <v>77</v>
      </c>
      <c r="F101" s="43">
        <v>77</v>
      </c>
      <c r="G101" s="43">
        <v>73</v>
      </c>
      <c r="H101" s="43">
        <v>83</v>
      </c>
      <c r="I101" s="43">
        <v>87</v>
      </c>
      <c r="J101" s="43">
        <v>76</v>
      </c>
      <c r="K101"/>
      <c r="L101"/>
      <c r="M101"/>
      <c r="N101"/>
      <c r="O101"/>
      <c r="P101"/>
      <c r="Q101" s="29"/>
      <c r="R101" s="29"/>
      <c r="S101" s="29"/>
      <c r="T101" s="29"/>
      <c r="U101" s="29"/>
      <c r="V101" s="29"/>
      <c r="W101" s="29"/>
      <c r="X101" s="29"/>
      <c r="Y101" s="29"/>
      <c r="Z101" s="29"/>
    </row>
    <row r="102" spans="2:26" ht="15" x14ac:dyDescent="0.25">
      <c r="B102" t="s">
        <v>105</v>
      </c>
      <c r="C102" s="43">
        <v>73.5</v>
      </c>
      <c r="D102" s="43">
        <v>74.333333333333329</v>
      </c>
      <c r="E102" s="43">
        <v>76.333333333333329</v>
      </c>
      <c r="F102" s="43">
        <v>81.333333333333329</v>
      </c>
      <c r="G102" s="43">
        <v>79.333333333333329</v>
      </c>
      <c r="H102" s="43">
        <v>77.5</v>
      </c>
      <c r="I102" s="43">
        <v>77.333333333333329</v>
      </c>
      <c r="J102" s="43">
        <v>79.666666666666671</v>
      </c>
      <c r="K102"/>
      <c r="L102"/>
      <c r="M102"/>
      <c r="N102"/>
      <c r="O102"/>
      <c r="P102"/>
      <c r="Q102" s="29"/>
      <c r="R102" s="29"/>
      <c r="S102" s="29"/>
      <c r="T102" s="29"/>
      <c r="U102" s="29"/>
      <c r="V102" s="29"/>
      <c r="W102" s="29"/>
      <c r="X102" s="29"/>
      <c r="Y102" s="29"/>
      <c r="Z102" s="29"/>
    </row>
    <row r="103" spans="2:26" ht="15" x14ac:dyDescent="0.25">
      <c r="B103" t="s">
        <v>121</v>
      </c>
      <c r="C103" s="43">
        <v>70</v>
      </c>
      <c r="D103" s="43">
        <v>81.5</v>
      </c>
      <c r="E103" s="43">
        <v>76.5</v>
      </c>
      <c r="F103" s="43">
        <v>67</v>
      </c>
      <c r="G103" s="43">
        <v>70</v>
      </c>
      <c r="H103" s="43">
        <v>75.5</v>
      </c>
      <c r="I103" s="43">
        <v>75</v>
      </c>
      <c r="J103" s="43">
        <v>72.5</v>
      </c>
      <c r="K103"/>
      <c r="L103"/>
      <c r="M103"/>
      <c r="N103"/>
      <c r="O103"/>
      <c r="P103"/>
      <c r="Q103" s="29"/>
      <c r="R103" s="29"/>
      <c r="S103" s="29"/>
      <c r="T103" s="29"/>
      <c r="U103" s="29"/>
      <c r="V103" s="29"/>
      <c r="W103" s="29"/>
      <c r="X103" s="29"/>
      <c r="Y103" s="29"/>
      <c r="Z103" s="29"/>
    </row>
    <row r="104" spans="2:26" ht="15" x14ac:dyDescent="0.25">
      <c r="B104" t="s">
        <v>220</v>
      </c>
      <c r="C104" s="43">
        <v>71</v>
      </c>
      <c r="D104" s="43">
        <v>69</v>
      </c>
      <c r="E104" s="43">
        <v>72</v>
      </c>
      <c r="F104" s="43">
        <v>71</v>
      </c>
      <c r="G104" s="43">
        <v>69</v>
      </c>
      <c r="H104" s="43">
        <v>70</v>
      </c>
      <c r="I104" s="43">
        <v>69</v>
      </c>
      <c r="J104" s="43">
        <v>70</v>
      </c>
      <c r="K104"/>
      <c r="L104"/>
      <c r="M104"/>
      <c r="N104"/>
      <c r="O104"/>
      <c r="P104"/>
      <c r="Q104" s="29"/>
      <c r="R104" s="29"/>
      <c r="S104" s="29"/>
      <c r="T104" s="29"/>
      <c r="U104" s="29"/>
      <c r="V104" s="29"/>
      <c r="W104" s="29"/>
      <c r="X104" s="29"/>
      <c r="Y104" s="29"/>
      <c r="Z104" s="29"/>
    </row>
    <row r="105" spans="2:26" ht="15" x14ac:dyDescent="0.25">
      <c r="B105" t="s">
        <v>193</v>
      </c>
      <c r="C105" s="43">
        <v>65.166666666666671</v>
      </c>
      <c r="D105" s="43">
        <v>57.5</v>
      </c>
      <c r="E105" s="43">
        <v>63.166666666666664</v>
      </c>
      <c r="F105" s="43">
        <v>74.666666666666671</v>
      </c>
      <c r="G105" s="43">
        <v>67.333333333333329</v>
      </c>
      <c r="H105" s="43">
        <v>71.833333333333329</v>
      </c>
      <c r="I105" s="43">
        <v>77.5</v>
      </c>
      <c r="J105" s="43">
        <v>69.833333333333329</v>
      </c>
      <c r="K105"/>
      <c r="L105"/>
      <c r="M105"/>
      <c r="N105"/>
      <c r="O105"/>
      <c r="P105"/>
      <c r="Q105" s="29"/>
      <c r="R105" s="29"/>
      <c r="S105" s="29"/>
      <c r="T105" s="29"/>
      <c r="U105" s="29"/>
      <c r="V105" s="29"/>
      <c r="W105" s="29"/>
      <c r="X105" s="29"/>
      <c r="Y105" s="29"/>
      <c r="Z105" s="29"/>
    </row>
    <row r="106" spans="2:26" ht="15" x14ac:dyDescent="0.25">
      <c r="B106" t="s">
        <v>161</v>
      </c>
      <c r="C106" s="43">
        <v>70.666666666666671</v>
      </c>
      <c r="D106" s="43">
        <v>69</v>
      </c>
      <c r="E106" s="43">
        <v>68</v>
      </c>
      <c r="F106" s="43">
        <v>66.333333333333329</v>
      </c>
      <c r="G106" s="43">
        <v>61.333333333333336</v>
      </c>
      <c r="H106" s="43">
        <v>66.666666666666671</v>
      </c>
      <c r="I106" s="43">
        <v>68.333333333333329</v>
      </c>
      <c r="J106" s="43">
        <v>63.666666666666664</v>
      </c>
      <c r="K106"/>
      <c r="L106"/>
      <c r="M106"/>
      <c r="N106"/>
      <c r="O106"/>
      <c r="P106"/>
      <c r="Q106" s="29"/>
      <c r="R106" s="29"/>
      <c r="S106" s="29"/>
      <c r="T106" s="29"/>
      <c r="U106" s="29"/>
      <c r="V106" s="29"/>
      <c r="W106" s="29"/>
      <c r="X106" s="29"/>
      <c r="Y106" s="29"/>
      <c r="Z106" s="29"/>
    </row>
    <row r="107" spans="2:26" ht="15" x14ac:dyDescent="0.25">
      <c r="B107" t="s">
        <v>185</v>
      </c>
      <c r="C107" s="43">
        <v>51</v>
      </c>
      <c r="D107" s="43">
        <v>135.66666666666666</v>
      </c>
      <c r="E107" s="43">
        <v>45</v>
      </c>
      <c r="F107" s="43">
        <v>68.333333333333329</v>
      </c>
      <c r="G107" s="43">
        <v>81</v>
      </c>
      <c r="H107" s="43">
        <v>56.333333333333336</v>
      </c>
      <c r="I107" s="43">
        <v>51</v>
      </c>
      <c r="J107" s="43">
        <v>44</v>
      </c>
      <c r="K107"/>
      <c r="L107"/>
      <c r="M107"/>
      <c r="N107"/>
      <c r="O107"/>
      <c r="P107"/>
      <c r="Q107" s="29"/>
      <c r="R107" s="29"/>
      <c r="S107" s="29"/>
      <c r="T107" s="29"/>
      <c r="U107" s="29"/>
      <c r="V107" s="29"/>
      <c r="W107" s="29"/>
      <c r="X107" s="29"/>
      <c r="Y107" s="29"/>
      <c r="Z107" s="29"/>
    </row>
    <row r="108" spans="2:26" ht="15" x14ac:dyDescent="0.25">
      <c r="B108" t="s">
        <v>189</v>
      </c>
      <c r="C108" s="43">
        <v>68.666666666666671</v>
      </c>
      <c r="D108" s="43">
        <v>68.333333333333329</v>
      </c>
      <c r="E108" s="43">
        <v>62.666666666666664</v>
      </c>
      <c r="F108" s="43">
        <v>65.666666666666671</v>
      </c>
      <c r="G108" s="43">
        <v>64.666666666666671</v>
      </c>
      <c r="H108" s="43">
        <v>66.333333333333329</v>
      </c>
      <c r="I108" s="43">
        <v>67</v>
      </c>
      <c r="J108" s="43">
        <v>68.666666666666671</v>
      </c>
      <c r="K108"/>
      <c r="L108"/>
      <c r="M108"/>
      <c r="N108"/>
      <c r="O108"/>
      <c r="P108"/>
      <c r="Q108" s="29"/>
      <c r="R108" s="29"/>
      <c r="S108" s="29"/>
      <c r="T108" s="29"/>
      <c r="U108" s="29"/>
      <c r="V108" s="29"/>
      <c r="W108" s="29"/>
      <c r="X108" s="29"/>
      <c r="Y108" s="29"/>
      <c r="Z108" s="29"/>
    </row>
    <row r="109" spans="2:26" ht="15" x14ac:dyDescent="0.25">
      <c r="B109" t="s">
        <v>101</v>
      </c>
      <c r="C109" s="43">
        <v>64.5</v>
      </c>
      <c r="D109" s="43">
        <v>64</v>
      </c>
      <c r="E109" s="43">
        <v>59.166666666666664</v>
      </c>
      <c r="F109" s="43">
        <v>60.833333333333336</v>
      </c>
      <c r="G109" s="43">
        <v>59.5</v>
      </c>
      <c r="H109" s="43">
        <v>64.833333333333329</v>
      </c>
      <c r="I109" s="43">
        <v>67.666666666666671</v>
      </c>
      <c r="J109" s="43">
        <v>68.166666666666671</v>
      </c>
      <c r="K109"/>
      <c r="L109"/>
      <c r="M109"/>
      <c r="N109"/>
      <c r="O109"/>
      <c r="P109"/>
      <c r="Q109" s="29"/>
      <c r="R109" s="29"/>
      <c r="S109" s="29"/>
      <c r="T109" s="29"/>
      <c r="U109" s="29"/>
      <c r="V109" s="29"/>
      <c r="W109" s="29"/>
      <c r="X109" s="29"/>
      <c r="Y109" s="29"/>
      <c r="Z109" s="29"/>
    </row>
    <row r="110" spans="2:26" ht="15" x14ac:dyDescent="0.25">
      <c r="B110" t="s">
        <v>162</v>
      </c>
      <c r="C110" s="43">
        <v>62.333333333333336</v>
      </c>
      <c r="D110" s="43">
        <v>60.666666666666664</v>
      </c>
      <c r="E110" s="43">
        <v>61</v>
      </c>
      <c r="F110" s="43">
        <v>59.666666666666664</v>
      </c>
      <c r="G110" s="43">
        <v>66.333333333333329</v>
      </c>
      <c r="H110" s="43">
        <v>61</v>
      </c>
      <c r="I110" s="43">
        <v>60.666666666666664</v>
      </c>
      <c r="J110" s="43">
        <v>60.666666666666664</v>
      </c>
      <c r="K110"/>
      <c r="L110"/>
      <c r="M110"/>
      <c r="N110"/>
      <c r="O110"/>
      <c r="P110"/>
      <c r="Q110" s="29"/>
      <c r="R110" s="29"/>
      <c r="S110" s="29"/>
      <c r="T110" s="29"/>
      <c r="U110" s="29"/>
      <c r="V110" s="29"/>
      <c r="W110" s="29"/>
      <c r="X110" s="29"/>
      <c r="Y110" s="29"/>
      <c r="Z110" s="29"/>
    </row>
    <row r="111" spans="2:26" ht="15" x14ac:dyDescent="0.25">
      <c r="B111" t="s">
        <v>128</v>
      </c>
      <c r="C111" s="43">
        <v>39.666666666666664</v>
      </c>
      <c r="D111" s="43">
        <v>47</v>
      </c>
      <c r="E111" s="43">
        <v>43</v>
      </c>
      <c r="F111" s="43">
        <v>33</v>
      </c>
      <c r="G111" s="43">
        <v>39</v>
      </c>
      <c r="H111" s="43">
        <v>38.666666666666664</v>
      </c>
      <c r="I111" s="43">
        <v>36</v>
      </c>
      <c r="J111" s="43">
        <v>38</v>
      </c>
      <c r="K111"/>
      <c r="L111"/>
      <c r="M111"/>
      <c r="N111"/>
      <c r="O111"/>
      <c r="P111"/>
      <c r="Q111" s="29"/>
      <c r="R111" s="29"/>
      <c r="S111" s="29"/>
      <c r="T111" s="29"/>
      <c r="U111" s="29"/>
      <c r="V111" s="29"/>
      <c r="W111" s="29"/>
      <c r="X111" s="29"/>
      <c r="Y111" s="29"/>
      <c r="Z111" s="29"/>
    </row>
    <row r="112" spans="2:26" ht="15" x14ac:dyDescent="0.25">
      <c r="B112" t="s">
        <v>108</v>
      </c>
      <c r="C112" s="43">
        <v>34.5</v>
      </c>
      <c r="D112" s="43">
        <v>33</v>
      </c>
      <c r="E112" s="43">
        <v>40.5</v>
      </c>
      <c r="F112" s="43">
        <v>36</v>
      </c>
      <c r="G112" s="43">
        <v>38</v>
      </c>
      <c r="H112" s="43">
        <v>30</v>
      </c>
      <c r="I112" s="43">
        <v>37.5</v>
      </c>
      <c r="J112" s="43">
        <v>35.5</v>
      </c>
      <c r="K112"/>
      <c r="L112"/>
      <c r="M112"/>
      <c r="N112"/>
      <c r="O112"/>
      <c r="P112"/>
      <c r="Q112" s="29"/>
      <c r="R112" s="29"/>
      <c r="S112" s="29"/>
      <c r="T112" s="29"/>
      <c r="U112" s="29"/>
      <c r="V112" s="29"/>
      <c r="W112" s="29"/>
      <c r="X112" s="29"/>
      <c r="Y112" s="29"/>
      <c r="Z112" s="29"/>
    </row>
    <row r="113" spans="2:26" ht="15" x14ac:dyDescent="0.25">
      <c r="B113" t="s">
        <v>188</v>
      </c>
      <c r="C113" s="43">
        <v>36</v>
      </c>
      <c r="D113" s="43">
        <v>39</v>
      </c>
      <c r="E113" s="43">
        <v>40</v>
      </c>
      <c r="F113" s="43">
        <v>30</v>
      </c>
      <c r="G113" s="43">
        <v>31</v>
      </c>
      <c r="H113" s="43">
        <v>32</v>
      </c>
      <c r="I113" s="43">
        <v>30</v>
      </c>
      <c r="J113" s="43">
        <v>32</v>
      </c>
      <c r="K113"/>
      <c r="L113"/>
      <c r="M113"/>
      <c r="N113"/>
      <c r="O113"/>
      <c r="P113"/>
      <c r="Q113" s="29"/>
      <c r="R113" s="29"/>
      <c r="S113" s="29"/>
      <c r="T113" s="29"/>
      <c r="U113" s="29"/>
      <c r="V113" s="29"/>
      <c r="W113" s="29"/>
      <c r="X113" s="29"/>
      <c r="Y113" s="29"/>
      <c r="Z113" s="29"/>
    </row>
    <row r="114" spans="2:26" ht="15" x14ac:dyDescent="0.25">
      <c r="B114" t="s">
        <v>138</v>
      </c>
      <c r="C114" s="43">
        <v>29.8</v>
      </c>
      <c r="D114" s="43">
        <v>45.5</v>
      </c>
      <c r="E114" s="43">
        <v>30.8</v>
      </c>
      <c r="F114" s="43">
        <v>34.25</v>
      </c>
      <c r="G114" s="43">
        <v>42.25</v>
      </c>
      <c r="H114" s="43">
        <v>30.8</v>
      </c>
      <c r="I114" s="43">
        <v>29.2</v>
      </c>
      <c r="J114" s="43">
        <v>31</v>
      </c>
      <c r="K114"/>
      <c r="L114"/>
      <c r="M114"/>
      <c r="N114"/>
      <c r="O114"/>
      <c r="P114"/>
      <c r="Q114" s="29"/>
      <c r="R114" s="29"/>
      <c r="S114" s="29"/>
      <c r="T114" s="29"/>
      <c r="U114" s="29"/>
      <c r="V114" s="29"/>
      <c r="W114" s="29"/>
      <c r="X114" s="29"/>
      <c r="Y114" s="29"/>
      <c r="Z114" s="29"/>
    </row>
    <row r="115" spans="2:26" ht="15" x14ac:dyDescent="0.25">
      <c r="B115" t="s">
        <v>216</v>
      </c>
      <c r="C115" s="43">
        <v>35</v>
      </c>
      <c r="D115" s="43">
        <v>28</v>
      </c>
      <c r="E115" s="43">
        <v>34</v>
      </c>
      <c r="F115" s="43">
        <v>31</v>
      </c>
      <c r="G115" s="43">
        <v>34</v>
      </c>
      <c r="H115" s="43">
        <v>33</v>
      </c>
      <c r="I115" s="43">
        <v>34</v>
      </c>
      <c r="J115" s="43">
        <v>33</v>
      </c>
      <c r="K115"/>
      <c r="L115"/>
      <c r="M115"/>
      <c r="N115"/>
      <c r="O115"/>
      <c r="P115"/>
      <c r="Q115" s="29"/>
      <c r="R115" s="29"/>
      <c r="S115" s="29"/>
      <c r="T115" s="29"/>
      <c r="U115" s="29"/>
      <c r="V115" s="29"/>
      <c r="W115" s="29"/>
      <c r="X115" s="29"/>
      <c r="Y115" s="29"/>
      <c r="Z115" s="29"/>
    </row>
    <row r="116" spans="2:26" ht="15" x14ac:dyDescent="0.25">
      <c r="B116" t="s">
        <v>201</v>
      </c>
      <c r="C116" s="43">
        <v>27.5</v>
      </c>
      <c r="D116" s="43">
        <v>31</v>
      </c>
      <c r="E116" s="43">
        <v>27</v>
      </c>
      <c r="F116" s="43">
        <v>27</v>
      </c>
      <c r="G116" s="43">
        <v>35</v>
      </c>
      <c r="H116" s="43">
        <v>26.333333333333332</v>
      </c>
      <c r="I116" s="43">
        <v>27.5</v>
      </c>
      <c r="J116" s="43">
        <v>31.5</v>
      </c>
      <c r="K116"/>
      <c r="L116"/>
      <c r="M116"/>
      <c r="N116"/>
      <c r="O116"/>
      <c r="P116"/>
      <c r="Q116" s="29"/>
      <c r="R116" s="29"/>
      <c r="S116" s="29"/>
      <c r="T116" s="29"/>
      <c r="U116" s="29"/>
      <c r="V116" s="29"/>
      <c r="W116" s="29"/>
      <c r="X116" s="29"/>
      <c r="Y116" s="29"/>
      <c r="Z116" s="29"/>
    </row>
    <row r="117" spans="2:26" ht="15" x14ac:dyDescent="0.25">
      <c r="B117" t="s">
        <v>122</v>
      </c>
      <c r="C117" s="43">
        <v>29.6</v>
      </c>
      <c r="D117" s="43">
        <v>35.666666666666664</v>
      </c>
      <c r="E117" s="43">
        <v>27.8</v>
      </c>
      <c r="F117" s="43">
        <v>23.5</v>
      </c>
      <c r="G117" s="43">
        <v>24.5</v>
      </c>
      <c r="H117" s="43">
        <v>28</v>
      </c>
      <c r="I117" s="43">
        <v>27.2</v>
      </c>
      <c r="J117" s="43">
        <v>29.2</v>
      </c>
      <c r="K117"/>
      <c r="L117"/>
      <c r="M117"/>
      <c r="N117"/>
      <c r="O117"/>
      <c r="P117"/>
      <c r="Q117" s="29"/>
      <c r="R117" s="29"/>
      <c r="S117" s="29"/>
      <c r="T117" s="29"/>
      <c r="U117" s="29"/>
      <c r="V117" s="29"/>
      <c r="W117" s="29"/>
      <c r="X117" s="29"/>
      <c r="Y117" s="29"/>
      <c r="Z117" s="29"/>
    </row>
    <row r="118" spans="2:26" ht="15" x14ac:dyDescent="0.25">
      <c r="B118" t="s">
        <v>118</v>
      </c>
      <c r="C118" s="43">
        <v>25.5</v>
      </c>
      <c r="D118" s="43">
        <v>21</v>
      </c>
      <c r="E118" s="43">
        <v>23.5</v>
      </c>
      <c r="F118" s="43">
        <v>26.5</v>
      </c>
      <c r="G118" s="43">
        <v>28</v>
      </c>
      <c r="H118" s="43">
        <v>22.666666666666668</v>
      </c>
      <c r="I118" s="43">
        <v>26.5</v>
      </c>
      <c r="J118" s="43">
        <v>23</v>
      </c>
      <c r="K118"/>
      <c r="L118"/>
      <c r="M118"/>
      <c r="N118"/>
      <c r="O118"/>
      <c r="P118"/>
      <c r="Q118" s="29"/>
      <c r="R118" s="29"/>
      <c r="S118" s="29"/>
      <c r="T118" s="29"/>
      <c r="U118" s="29"/>
      <c r="V118" s="29"/>
      <c r="W118" s="29"/>
      <c r="X118" s="29"/>
      <c r="Y118" s="29"/>
      <c r="Z118" s="29"/>
    </row>
    <row r="119" spans="2:26" ht="15" x14ac:dyDescent="0.25">
      <c r="B119"/>
      <c r="C119"/>
      <c r="D119"/>
      <c r="E119"/>
      <c r="F119"/>
      <c r="G119"/>
      <c r="H119"/>
      <c r="I119"/>
      <c r="J119"/>
      <c r="K119"/>
      <c r="L119"/>
      <c r="M119"/>
      <c r="N119"/>
      <c r="O119"/>
      <c r="P119"/>
      <c r="Q119" s="29"/>
      <c r="R119" s="29"/>
      <c r="S119" s="29"/>
      <c r="T119" s="29"/>
      <c r="U119" s="29"/>
      <c r="V119" s="29"/>
      <c r="W119" s="29"/>
      <c r="X119" s="29"/>
      <c r="Y119" s="29"/>
      <c r="Z119" s="29"/>
    </row>
    <row r="120" spans="2:26" ht="15" x14ac:dyDescent="0.25">
      <c r="B120"/>
      <c r="C120"/>
      <c r="D120"/>
      <c r="E120"/>
      <c r="F120"/>
      <c r="G120"/>
      <c r="H120"/>
      <c r="I120"/>
      <c r="J120"/>
      <c r="K120"/>
      <c r="L120"/>
      <c r="M120"/>
      <c r="N120"/>
      <c r="O120"/>
      <c r="P120"/>
      <c r="Q120" s="29"/>
      <c r="R120" s="29"/>
      <c r="S120" s="29"/>
      <c r="T120" s="29"/>
      <c r="U120" s="29"/>
      <c r="V120" s="29"/>
      <c r="W120" s="29"/>
      <c r="X120" s="29"/>
      <c r="Y120" s="29"/>
      <c r="Z120" s="29"/>
    </row>
    <row r="121" spans="2:26" ht="15" x14ac:dyDescent="0.25">
      <c r="B121"/>
      <c r="C121"/>
      <c r="D121"/>
      <c r="E121"/>
      <c r="F121"/>
      <c r="G121"/>
      <c r="H121"/>
      <c r="I121"/>
      <c r="J121"/>
      <c r="K121"/>
      <c r="L121"/>
      <c r="M121"/>
      <c r="N121"/>
      <c r="O121"/>
      <c r="P121"/>
      <c r="Q121" s="29"/>
      <c r="R121" s="29"/>
      <c r="S121" s="29"/>
      <c r="T121" s="29"/>
      <c r="U121" s="29"/>
      <c r="V121" s="29"/>
      <c r="W121" s="29"/>
      <c r="X121" s="29"/>
      <c r="Y121" s="29"/>
      <c r="Z121" s="29"/>
    </row>
    <row r="122" spans="2:26" ht="15" x14ac:dyDescent="0.25">
      <c r="B122"/>
      <c r="C122"/>
      <c r="D122"/>
      <c r="E122"/>
      <c r="F122"/>
      <c r="G122"/>
      <c r="H122"/>
      <c r="I122"/>
      <c r="J122"/>
      <c r="K122"/>
      <c r="L122"/>
      <c r="M122"/>
      <c r="N122"/>
      <c r="O122"/>
      <c r="P122"/>
      <c r="Q122" s="29"/>
      <c r="R122" s="29"/>
      <c r="S122" s="29"/>
      <c r="T122" s="29"/>
      <c r="U122" s="29"/>
      <c r="V122" s="29"/>
      <c r="W122" s="29"/>
      <c r="X122" s="29"/>
      <c r="Y122" s="29"/>
      <c r="Z122" s="29"/>
    </row>
    <row r="123" spans="2:26" ht="15" x14ac:dyDescent="0.25">
      <c r="B123"/>
      <c r="C123"/>
      <c r="D123"/>
      <c r="E123"/>
      <c r="F123"/>
      <c r="G123"/>
      <c r="H123"/>
      <c r="I123"/>
      <c r="J123"/>
      <c r="K123"/>
      <c r="L123"/>
      <c r="M123"/>
      <c r="N123"/>
      <c r="O123"/>
      <c r="P123"/>
      <c r="Q123" s="29"/>
      <c r="R123" s="29"/>
      <c r="S123" s="29"/>
      <c r="T123" s="29"/>
      <c r="U123" s="29"/>
      <c r="V123" s="29"/>
      <c r="W123" s="29"/>
      <c r="X123" s="29"/>
      <c r="Y123" s="29"/>
      <c r="Z123" s="29"/>
    </row>
    <row r="124" spans="2:26" ht="15" x14ac:dyDescent="0.25">
      <c r="B124"/>
      <c r="C124"/>
      <c r="D124"/>
      <c r="E124"/>
      <c r="F124"/>
      <c r="G124"/>
      <c r="H124"/>
      <c r="I124"/>
      <c r="J124"/>
      <c r="K124"/>
      <c r="L124"/>
      <c r="M124"/>
      <c r="N124"/>
      <c r="O124"/>
      <c r="P124"/>
      <c r="Q124" s="29"/>
      <c r="R124" s="29"/>
      <c r="S124" s="29"/>
      <c r="T124" s="29"/>
      <c r="U124" s="29"/>
      <c r="V124" s="29"/>
      <c r="W124" s="29"/>
      <c r="X124" s="29"/>
      <c r="Y124" s="29"/>
      <c r="Z124" s="29"/>
    </row>
    <row r="125" spans="2:26" ht="15" x14ac:dyDescent="0.25">
      <c r="B125"/>
      <c r="C125"/>
      <c r="D125"/>
      <c r="E125"/>
      <c r="F125"/>
      <c r="G125"/>
      <c r="H125"/>
      <c r="I125"/>
      <c r="J125"/>
      <c r="K125"/>
      <c r="L125"/>
      <c r="M125"/>
      <c r="N125"/>
      <c r="O125"/>
      <c r="P125"/>
      <c r="Q125" s="29"/>
      <c r="R125" s="29"/>
      <c r="S125" s="29"/>
      <c r="T125" s="29"/>
      <c r="U125" s="29"/>
      <c r="V125" s="29"/>
      <c r="W125" s="29"/>
      <c r="X125" s="29"/>
      <c r="Y125" s="29"/>
      <c r="Z125" s="29"/>
    </row>
    <row r="126" spans="2:26" ht="15" x14ac:dyDescent="0.25">
      <c r="B126"/>
      <c r="C126"/>
      <c r="D126"/>
      <c r="E126"/>
      <c r="F126"/>
      <c r="G126"/>
      <c r="H126"/>
      <c r="I126"/>
      <c r="J126"/>
      <c r="K126"/>
      <c r="L126"/>
      <c r="M126"/>
      <c r="N126"/>
      <c r="O126"/>
      <c r="P126"/>
      <c r="Q126" s="29"/>
      <c r="R126" s="29"/>
      <c r="S126" s="29"/>
      <c r="T126" s="29"/>
      <c r="U126" s="29"/>
      <c r="V126" s="29"/>
      <c r="W126" s="29"/>
      <c r="X126" s="29"/>
      <c r="Y126" s="29"/>
      <c r="Z126" s="29"/>
    </row>
    <row r="127" spans="2:26" ht="15" x14ac:dyDescent="0.25">
      <c r="B127"/>
      <c r="C127"/>
      <c r="D127"/>
      <c r="E127"/>
      <c r="F127"/>
      <c r="G127"/>
      <c r="H127"/>
      <c r="I127"/>
      <c r="J127"/>
      <c r="K127"/>
      <c r="L127"/>
      <c r="M127"/>
      <c r="N127"/>
      <c r="O127"/>
      <c r="P127"/>
      <c r="Q127" s="29"/>
      <c r="R127" s="29"/>
      <c r="S127" s="29"/>
      <c r="T127" s="29"/>
      <c r="U127" s="29"/>
      <c r="V127" s="29"/>
      <c r="W127" s="29"/>
      <c r="X127" s="29"/>
      <c r="Y127" s="29"/>
      <c r="Z127" s="29"/>
    </row>
    <row r="128" spans="2:26" ht="15" x14ac:dyDescent="0.25">
      <c r="B128"/>
      <c r="C128"/>
      <c r="D128"/>
      <c r="E128"/>
      <c r="F128"/>
      <c r="G128"/>
      <c r="H128"/>
      <c r="I128"/>
      <c r="J128"/>
      <c r="K128"/>
      <c r="L128"/>
      <c r="M128"/>
      <c r="N128"/>
      <c r="O128"/>
      <c r="P128"/>
      <c r="Q128" s="29"/>
      <c r="R128" s="29"/>
      <c r="S128" s="29"/>
      <c r="T128" s="29"/>
      <c r="U128" s="29"/>
      <c r="V128" s="29"/>
      <c r="W128" s="29"/>
      <c r="X128" s="29"/>
      <c r="Y128" s="29"/>
      <c r="Z128" s="29"/>
    </row>
    <row r="129" spans="2:26" ht="15" x14ac:dyDescent="0.25">
      <c r="B129"/>
      <c r="C129"/>
      <c r="D129"/>
      <c r="E129"/>
      <c r="F129"/>
      <c r="G129"/>
      <c r="H129"/>
      <c r="I129"/>
      <c r="J129"/>
      <c r="K129"/>
      <c r="L129"/>
      <c r="M129"/>
      <c r="N129"/>
      <c r="O129"/>
      <c r="P129"/>
      <c r="Q129" s="29"/>
      <c r="R129" s="29"/>
      <c r="S129" s="29"/>
      <c r="T129" s="29"/>
      <c r="U129" s="29"/>
      <c r="V129" s="29"/>
      <c r="W129" s="29"/>
      <c r="X129" s="29"/>
      <c r="Y129" s="29"/>
      <c r="Z129" s="29"/>
    </row>
    <row r="130" spans="2:26" ht="15" x14ac:dyDescent="0.25">
      <c r="B130"/>
      <c r="C130"/>
      <c r="D130"/>
      <c r="E130"/>
      <c r="F130"/>
      <c r="G130"/>
      <c r="H130"/>
      <c r="I130"/>
      <c r="J130"/>
      <c r="K130"/>
      <c r="L130"/>
      <c r="M130"/>
      <c r="N130"/>
      <c r="O130"/>
      <c r="P130"/>
      <c r="Q130" s="29"/>
      <c r="R130" s="29"/>
      <c r="S130" s="29"/>
      <c r="T130" s="29"/>
      <c r="U130" s="29"/>
      <c r="V130" s="29"/>
      <c r="W130" s="29"/>
      <c r="X130" s="29"/>
      <c r="Y130" s="29"/>
      <c r="Z130" s="29"/>
    </row>
    <row r="131" spans="2:26" ht="15" x14ac:dyDescent="0.25">
      <c r="B131"/>
      <c r="C131"/>
      <c r="D131"/>
      <c r="E131"/>
      <c r="F131"/>
      <c r="G131"/>
      <c r="H131"/>
      <c r="I131"/>
      <c r="J131"/>
      <c r="K131"/>
      <c r="L131"/>
      <c r="M131"/>
      <c r="N131"/>
      <c r="O131"/>
      <c r="P131"/>
      <c r="Q131" s="29"/>
      <c r="R131" s="29"/>
      <c r="S131" s="29"/>
      <c r="T131" s="29"/>
      <c r="U131" s="29"/>
      <c r="V131" s="29"/>
      <c r="W131" s="29"/>
      <c r="X131" s="29"/>
      <c r="Y131" s="29"/>
      <c r="Z131" s="29"/>
    </row>
    <row r="132" spans="2:26" ht="15" x14ac:dyDescent="0.25">
      <c r="B132"/>
      <c r="C132"/>
      <c r="D132"/>
      <c r="E132"/>
      <c r="F132"/>
      <c r="G132"/>
      <c r="H132"/>
      <c r="I132"/>
      <c r="J132"/>
      <c r="K132"/>
      <c r="L132"/>
      <c r="M132"/>
      <c r="N132"/>
      <c r="O132"/>
      <c r="P132"/>
      <c r="Q132" s="29"/>
      <c r="R132" s="29"/>
      <c r="S132" s="29"/>
      <c r="T132" s="29"/>
      <c r="U132" s="29"/>
      <c r="V132" s="29"/>
      <c r="W132" s="29"/>
      <c r="X132" s="29"/>
      <c r="Y132" s="29"/>
      <c r="Z132" s="29"/>
    </row>
    <row r="133" spans="2:26" ht="15" x14ac:dyDescent="0.25">
      <c r="B133"/>
      <c r="C133"/>
      <c r="D133"/>
      <c r="E133"/>
      <c r="F133"/>
      <c r="G133"/>
      <c r="H133"/>
      <c r="I133"/>
      <c r="J133"/>
      <c r="K133"/>
      <c r="L133"/>
      <c r="M133"/>
      <c r="N133"/>
      <c r="O133"/>
      <c r="P133"/>
      <c r="Q133" s="29"/>
      <c r="R133" s="29"/>
      <c r="S133" s="29"/>
      <c r="T133" s="29"/>
      <c r="U133" s="29"/>
      <c r="V133" s="29"/>
      <c r="W133" s="29"/>
      <c r="X133" s="29"/>
      <c r="Y133" s="29"/>
      <c r="Z133" s="29"/>
    </row>
    <row r="134" spans="2:26" ht="15" x14ac:dyDescent="0.25">
      <c r="B134"/>
      <c r="C134"/>
      <c r="D134"/>
      <c r="E134"/>
      <c r="F134"/>
      <c r="G134"/>
      <c r="H134"/>
      <c r="I134"/>
      <c r="J134"/>
      <c r="K134"/>
      <c r="L134"/>
      <c r="M134"/>
      <c r="N134"/>
      <c r="O134"/>
      <c r="P134"/>
      <c r="Q134" s="29"/>
      <c r="R134" s="29"/>
      <c r="S134" s="29"/>
      <c r="T134" s="29"/>
      <c r="U134" s="29"/>
      <c r="V134" s="29"/>
      <c r="W134" s="29"/>
      <c r="X134" s="29"/>
      <c r="Y134" s="29"/>
      <c r="Z134" s="29"/>
    </row>
    <row r="135" spans="2:26" ht="15" x14ac:dyDescent="0.25">
      <c r="B135"/>
      <c r="C135"/>
      <c r="D135"/>
      <c r="E135"/>
      <c r="F135"/>
      <c r="G135"/>
      <c r="H135"/>
      <c r="I135"/>
      <c r="J135"/>
      <c r="K135"/>
      <c r="L135"/>
      <c r="M135"/>
      <c r="N135"/>
      <c r="O135"/>
      <c r="P135"/>
      <c r="Q135" s="29"/>
      <c r="R135" s="29"/>
      <c r="S135" s="29"/>
      <c r="T135" s="29"/>
      <c r="U135" s="29"/>
      <c r="V135" s="29"/>
      <c r="W135" s="29"/>
      <c r="X135" s="29"/>
      <c r="Y135" s="29"/>
      <c r="Z135" s="29"/>
    </row>
    <row r="136" spans="2:26" ht="15" x14ac:dyDescent="0.25">
      <c r="B136"/>
      <c r="C136"/>
      <c r="D136"/>
      <c r="E136"/>
      <c r="F136"/>
      <c r="G136"/>
      <c r="H136"/>
      <c r="I136"/>
      <c r="J136"/>
      <c r="K136"/>
      <c r="L136"/>
      <c r="M136"/>
      <c r="N136"/>
      <c r="O136"/>
      <c r="P136"/>
      <c r="Q136" s="29"/>
      <c r="R136" s="29"/>
      <c r="S136" s="29"/>
      <c r="T136" s="29"/>
      <c r="U136" s="29"/>
      <c r="V136" s="29"/>
      <c r="W136" s="29"/>
      <c r="X136" s="29"/>
      <c r="Y136" s="29"/>
      <c r="Z136" s="29"/>
    </row>
    <row r="137" spans="2:26" ht="15" x14ac:dyDescent="0.25">
      <c r="B137"/>
      <c r="C137"/>
      <c r="D137"/>
      <c r="E137"/>
      <c r="F137"/>
      <c r="G137"/>
      <c r="H137"/>
      <c r="I137"/>
      <c r="J137"/>
      <c r="K137"/>
      <c r="L137"/>
      <c r="M137"/>
      <c r="N137"/>
      <c r="O137"/>
      <c r="P137"/>
      <c r="Q137" s="29"/>
      <c r="R137" s="29"/>
      <c r="S137" s="29"/>
      <c r="T137" s="29"/>
      <c r="U137" s="29"/>
      <c r="V137" s="29"/>
      <c r="W137" s="29"/>
      <c r="X137" s="29"/>
      <c r="Y137" s="29"/>
      <c r="Z137" s="29"/>
    </row>
    <row r="138" spans="2:26" ht="15" x14ac:dyDescent="0.25">
      <c r="B138"/>
      <c r="C138"/>
      <c r="D138"/>
      <c r="E138"/>
      <c r="F138"/>
      <c r="G138"/>
      <c r="H138"/>
      <c r="I138"/>
      <c r="J138"/>
      <c r="K138"/>
      <c r="L138"/>
      <c r="M138"/>
      <c r="N138"/>
      <c r="O138"/>
      <c r="P138"/>
      <c r="Q138" s="29"/>
      <c r="R138" s="29"/>
      <c r="S138" s="29"/>
      <c r="T138" s="29"/>
      <c r="U138" s="29"/>
      <c r="V138" s="29"/>
      <c r="W138" s="29"/>
      <c r="X138" s="29"/>
      <c r="Y138" s="29"/>
      <c r="Z138" s="29"/>
    </row>
    <row r="139" spans="2:26" ht="15" x14ac:dyDescent="0.25">
      <c r="B139"/>
      <c r="C139"/>
      <c r="D139"/>
      <c r="E139"/>
      <c r="F139"/>
      <c r="G139"/>
      <c r="H139"/>
      <c r="I139"/>
      <c r="J139"/>
      <c r="K139"/>
      <c r="L139"/>
      <c r="M139"/>
      <c r="N139"/>
      <c r="O139"/>
      <c r="P139"/>
      <c r="Q139" s="29"/>
      <c r="R139" s="29"/>
      <c r="S139" s="29"/>
      <c r="T139" s="29"/>
      <c r="U139" s="29"/>
      <c r="V139" s="29"/>
      <c r="W139" s="29"/>
      <c r="X139" s="29"/>
      <c r="Y139" s="29"/>
      <c r="Z139" s="29"/>
    </row>
    <row r="140" spans="2:26" ht="15" x14ac:dyDescent="0.25">
      <c r="B140"/>
      <c r="C140"/>
      <c r="D140"/>
      <c r="E140"/>
      <c r="F140"/>
      <c r="G140"/>
      <c r="H140"/>
      <c r="I140"/>
      <c r="J140"/>
      <c r="K140"/>
      <c r="L140"/>
      <c r="M140"/>
      <c r="N140"/>
      <c r="O140"/>
      <c r="P140"/>
      <c r="Q140" s="29"/>
      <c r="R140" s="29"/>
      <c r="S140" s="29"/>
      <c r="T140" s="29"/>
      <c r="U140" s="29"/>
      <c r="V140" s="29"/>
      <c r="W140" s="29"/>
      <c r="X140" s="29"/>
      <c r="Y140" s="29"/>
      <c r="Z140" s="29"/>
    </row>
    <row r="141" spans="2:26" ht="15" x14ac:dyDescent="0.25">
      <c r="B141"/>
      <c r="C141"/>
      <c r="D141"/>
      <c r="E141"/>
      <c r="F141"/>
      <c r="G141"/>
      <c r="H141"/>
      <c r="I141"/>
      <c r="J141"/>
      <c r="K141"/>
      <c r="L141"/>
      <c r="M141"/>
      <c r="N141"/>
      <c r="O141"/>
      <c r="P141"/>
      <c r="Q141" s="29"/>
      <c r="R141" s="29"/>
      <c r="S141" s="29"/>
      <c r="T141" s="29"/>
      <c r="U141" s="29"/>
      <c r="V141" s="29"/>
      <c r="W141" s="29"/>
      <c r="X141" s="29"/>
      <c r="Y141" s="29"/>
      <c r="Z141" s="29"/>
    </row>
    <row r="142" spans="2:26" ht="15" x14ac:dyDescent="0.25">
      <c r="B142"/>
      <c r="C142"/>
      <c r="D142"/>
      <c r="E142"/>
      <c r="F142"/>
      <c r="G142"/>
      <c r="H142"/>
      <c r="I142"/>
      <c r="J142"/>
      <c r="K142"/>
      <c r="L142"/>
      <c r="M142"/>
      <c r="N142"/>
      <c r="O142"/>
      <c r="P142"/>
      <c r="Q142" s="29"/>
      <c r="R142" s="29"/>
      <c r="S142" s="29"/>
      <c r="T142" s="29"/>
      <c r="U142" s="29"/>
      <c r="V142" s="29"/>
      <c r="W142" s="29"/>
      <c r="X142" s="29"/>
      <c r="Y142" s="29"/>
      <c r="Z142" s="29"/>
    </row>
    <row r="143" spans="2:26" ht="15" x14ac:dyDescent="0.25">
      <c r="B143"/>
      <c r="C143"/>
      <c r="D143"/>
      <c r="E143"/>
      <c r="F143"/>
      <c r="G143"/>
      <c r="H143"/>
      <c r="I143"/>
      <c r="J143"/>
      <c r="K143"/>
      <c r="L143"/>
      <c r="M143"/>
      <c r="N143"/>
      <c r="O143"/>
      <c r="P143"/>
      <c r="Q143" s="29"/>
      <c r="R143" s="29"/>
      <c r="S143" s="29"/>
      <c r="T143" s="29"/>
      <c r="U143" s="29"/>
      <c r="V143" s="29"/>
      <c r="W143" s="29"/>
      <c r="X143" s="29"/>
      <c r="Y143" s="29"/>
      <c r="Z143" s="29"/>
    </row>
    <row r="144" spans="2:26" ht="15" x14ac:dyDescent="0.25">
      <c r="B144"/>
      <c r="C144"/>
      <c r="D144"/>
      <c r="E144"/>
      <c r="F144"/>
      <c r="G144"/>
      <c r="H144"/>
      <c r="I144"/>
      <c r="J144"/>
      <c r="K144"/>
      <c r="L144"/>
      <c r="M144"/>
      <c r="N144"/>
      <c r="O144"/>
      <c r="P144"/>
      <c r="Q144" s="29"/>
      <c r="R144" s="29"/>
      <c r="S144" s="29"/>
      <c r="T144" s="29"/>
      <c r="U144" s="29"/>
      <c r="V144" s="29"/>
      <c r="W144" s="29"/>
      <c r="X144" s="29"/>
      <c r="Y144" s="29"/>
      <c r="Z144" s="29"/>
    </row>
    <row r="145" spans="2:26" ht="15" x14ac:dyDescent="0.25">
      <c r="B145"/>
      <c r="C145"/>
      <c r="D145"/>
      <c r="E145"/>
      <c r="F145"/>
      <c r="G145"/>
      <c r="H145"/>
      <c r="I145"/>
      <c r="J145"/>
      <c r="K145"/>
      <c r="L145"/>
      <c r="M145"/>
      <c r="N145"/>
      <c r="O145"/>
      <c r="P145"/>
      <c r="Q145" s="29"/>
      <c r="R145" s="29"/>
      <c r="S145" s="29"/>
      <c r="T145" s="29"/>
      <c r="U145" s="29"/>
      <c r="V145" s="29"/>
      <c r="W145" s="29"/>
      <c r="X145" s="29"/>
      <c r="Y145" s="29"/>
      <c r="Z145" s="29"/>
    </row>
    <row r="146" spans="2:26" ht="15" x14ac:dyDescent="0.25">
      <c r="B146"/>
      <c r="C146"/>
      <c r="D146"/>
      <c r="E146"/>
      <c r="F146"/>
      <c r="G146"/>
      <c r="H146"/>
      <c r="I146"/>
      <c r="J146"/>
      <c r="K146"/>
      <c r="L146"/>
      <c r="M146"/>
      <c r="N146"/>
      <c r="O146"/>
      <c r="P146"/>
      <c r="Q146" s="29"/>
      <c r="R146" s="29"/>
      <c r="S146" s="29"/>
      <c r="T146" s="29"/>
      <c r="U146" s="29"/>
      <c r="V146" s="29"/>
      <c r="W146" s="29"/>
      <c r="X146" s="29"/>
      <c r="Y146" s="29"/>
      <c r="Z146" s="29"/>
    </row>
    <row r="147" spans="2:26" ht="15" x14ac:dyDescent="0.25">
      <c r="B147"/>
      <c r="C147"/>
      <c r="D147"/>
      <c r="E147"/>
      <c r="F147"/>
      <c r="G147"/>
      <c r="H147"/>
      <c r="I147"/>
      <c r="J147"/>
      <c r="K147"/>
      <c r="L147"/>
      <c r="M147"/>
      <c r="N147"/>
      <c r="O147"/>
      <c r="P147"/>
      <c r="Q147" s="29"/>
      <c r="R147" s="29"/>
      <c r="S147" s="29"/>
      <c r="T147" s="29"/>
      <c r="U147" s="29"/>
      <c r="V147" s="29"/>
      <c r="W147" s="29"/>
      <c r="X147" s="29"/>
      <c r="Y147" s="29"/>
      <c r="Z147" s="29"/>
    </row>
    <row r="148" spans="2:26" ht="15" x14ac:dyDescent="0.25">
      <c r="B148"/>
      <c r="C148"/>
      <c r="D148"/>
      <c r="E148"/>
      <c r="F148"/>
      <c r="G148"/>
      <c r="H148"/>
      <c r="I148"/>
      <c r="J148"/>
      <c r="K148"/>
      <c r="L148"/>
      <c r="M148"/>
      <c r="N148"/>
      <c r="O148"/>
      <c r="P148"/>
      <c r="Q148" s="29"/>
      <c r="R148" s="29"/>
      <c r="S148" s="29"/>
      <c r="T148" s="29"/>
      <c r="U148" s="29"/>
      <c r="V148" s="29"/>
      <c r="W148" s="29"/>
      <c r="X148" s="29"/>
      <c r="Y148" s="29"/>
      <c r="Z148" s="29"/>
    </row>
    <row r="149" spans="2:26" ht="15" x14ac:dyDescent="0.25">
      <c r="B149"/>
      <c r="C149"/>
      <c r="D149"/>
      <c r="E149"/>
      <c r="F149"/>
      <c r="G149"/>
      <c r="H149"/>
      <c r="I149"/>
      <c r="J149"/>
      <c r="K149"/>
      <c r="L149"/>
      <c r="M149"/>
      <c r="N149"/>
      <c r="O149"/>
      <c r="P149"/>
      <c r="Q149" s="29"/>
      <c r="R149" s="29"/>
      <c r="S149" s="29"/>
      <c r="T149" s="29"/>
      <c r="U149" s="29"/>
      <c r="V149" s="29"/>
      <c r="W149" s="29"/>
      <c r="X149" s="29"/>
      <c r="Y149" s="29"/>
      <c r="Z149" s="29"/>
    </row>
    <row r="150" spans="2:26" ht="15" x14ac:dyDescent="0.25">
      <c r="B150"/>
      <c r="C150"/>
      <c r="D150"/>
      <c r="E150"/>
      <c r="F150"/>
      <c r="G150"/>
      <c r="H150"/>
      <c r="I150"/>
      <c r="J150"/>
      <c r="K150"/>
      <c r="L150"/>
      <c r="M150"/>
      <c r="N150"/>
      <c r="O150"/>
      <c r="P150"/>
      <c r="Q150" s="29"/>
      <c r="R150" s="29"/>
      <c r="S150" s="29"/>
      <c r="T150" s="29"/>
      <c r="U150" s="29"/>
      <c r="V150" s="29"/>
      <c r="W150" s="29"/>
      <c r="X150" s="29"/>
      <c r="Y150" s="29"/>
      <c r="Z150" s="29"/>
    </row>
    <row r="151" spans="2:26" ht="15" x14ac:dyDescent="0.25">
      <c r="B151"/>
      <c r="C151"/>
      <c r="D151"/>
      <c r="E151"/>
      <c r="F151"/>
      <c r="G151"/>
      <c r="H151"/>
      <c r="I151"/>
      <c r="J151"/>
      <c r="K151"/>
      <c r="L151"/>
      <c r="M151"/>
      <c r="N151"/>
      <c r="O151"/>
      <c r="P151"/>
      <c r="Q151" s="29"/>
      <c r="R151" s="29"/>
      <c r="S151" s="29"/>
      <c r="T151" s="29"/>
      <c r="U151" s="29"/>
      <c r="V151" s="29"/>
      <c r="W151" s="29"/>
      <c r="X151" s="29"/>
      <c r="Y151" s="29"/>
      <c r="Z151" s="29"/>
    </row>
    <row r="152" spans="2:26" ht="15" x14ac:dyDescent="0.25">
      <c r="B152"/>
      <c r="C152"/>
      <c r="D152"/>
      <c r="E152"/>
      <c r="F152"/>
      <c r="G152"/>
      <c r="H152"/>
      <c r="I152"/>
      <c r="J152"/>
      <c r="K152"/>
      <c r="L152"/>
      <c r="M152"/>
      <c r="N152"/>
      <c r="O152"/>
      <c r="P152"/>
      <c r="Q152" s="29"/>
      <c r="R152" s="29"/>
      <c r="S152" s="29"/>
      <c r="T152" s="29"/>
      <c r="U152" s="29"/>
      <c r="V152" s="29"/>
      <c r="W152" s="29"/>
      <c r="X152" s="29"/>
      <c r="Y152" s="29"/>
      <c r="Z152" s="29"/>
    </row>
    <row r="153" spans="2:26" ht="15" x14ac:dyDescent="0.25">
      <c r="B153"/>
      <c r="C153"/>
      <c r="D153"/>
      <c r="E153"/>
      <c r="F153"/>
      <c r="G153"/>
      <c r="H153"/>
      <c r="I153"/>
      <c r="J153"/>
      <c r="K153"/>
      <c r="L153"/>
      <c r="M153"/>
      <c r="N153"/>
      <c r="O153"/>
      <c r="P153"/>
      <c r="Q153" s="29"/>
      <c r="R153" s="29"/>
      <c r="S153" s="29"/>
      <c r="T153" s="29"/>
      <c r="U153" s="29"/>
      <c r="V153" s="29"/>
      <c r="W153" s="29"/>
      <c r="X153" s="29"/>
      <c r="Y153" s="29"/>
      <c r="Z153" s="29"/>
    </row>
    <row r="154" spans="2:26" ht="15" x14ac:dyDescent="0.25">
      <c r="B154"/>
      <c r="C154"/>
      <c r="D154"/>
      <c r="E154"/>
      <c r="F154"/>
      <c r="G154"/>
      <c r="H154"/>
      <c r="I154"/>
      <c r="J154"/>
      <c r="K154"/>
      <c r="L154"/>
      <c r="M154"/>
      <c r="N154"/>
      <c r="O154"/>
      <c r="P154"/>
      <c r="Q154" s="29"/>
      <c r="R154" s="29"/>
      <c r="S154" s="29"/>
      <c r="T154" s="29"/>
      <c r="U154" s="29"/>
      <c r="V154" s="29"/>
      <c r="W154" s="29"/>
      <c r="X154" s="29"/>
      <c r="Y154" s="29"/>
      <c r="Z154" s="29"/>
    </row>
    <row r="155" spans="2:26" ht="15" x14ac:dyDescent="0.25">
      <c r="B155"/>
      <c r="C155"/>
      <c r="D155"/>
      <c r="E155"/>
      <c r="F155"/>
      <c r="G155"/>
      <c r="H155"/>
      <c r="I155"/>
      <c r="J155"/>
      <c r="K155"/>
      <c r="L155"/>
      <c r="M155"/>
      <c r="N155"/>
      <c r="O155"/>
      <c r="P155"/>
      <c r="Q155" s="29"/>
      <c r="R155" s="29"/>
      <c r="S155" s="29"/>
      <c r="T155" s="29"/>
      <c r="U155" s="29"/>
      <c r="V155" s="29"/>
      <c r="W155" s="29"/>
      <c r="X155" s="29"/>
      <c r="Y155" s="29"/>
      <c r="Z155" s="29"/>
    </row>
    <row r="156" spans="2:26" ht="15" x14ac:dyDescent="0.25">
      <c r="B156"/>
      <c r="C156"/>
      <c r="D156"/>
      <c r="E156"/>
      <c r="F156"/>
      <c r="G156"/>
      <c r="H156"/>
      <c r="I156"/>
      <c r="J156"/>
      <c r="K156"/>
      <c r="L156"/>
      <c r="M156"/>
      <c r="N156"/>
      <c r="O156"/>
      <c r="P156"/>
      <c r="Q156" s="29"/>
      <c r="R156" s="29"/>
      <c r="S156" s="29"/>
      <c r="T156" s="29"/>
      <c r="U156" s="29"/>
      <c r="V156" s="29"/>
      <c r="W156" s="29"/>
      <c r="X156" s="29"/>
      <c r="Y156" s="29"/>
      <c r="Z156" s="29"/>
    </row>
    <row r="157" spans="2:26" ht="15" x14ac:dyDescent="0.25">
      <c r="B157"/>
      <c r="C157"/>
      <c r="D157"/>
      <c r="E157"/>
      <c r="F157"/>
      <c r="G157"/>
      <c r="H157"/>
      <c r="I157"/>
      <c r="J157"/>
      <c r="K157"/>
      <c r="L157"/>
      <c r="M157"/>
      <c r="N157"/>
      <c r="O157"/>
      <c r="P157"/>
      <c r="Q157" s="29"/>
      <c r="R157" s="29"/>
      <c r="S157" s="29"/>
      <c r="T157" s="29"/>
      <c r="U157" s="29"/>
      <c r="V157" s="29"/>
      <c r="W157" s="29"/>
      <c r="X157" s="29"/>
      <c r="Y157" s="29"/>
      <c r="Z157" s="29"/>
    </row>
    <row r="158" spans="2:26" ht="15" x14ac:dyDescent="0.25">
      <c r="B158"/>
      <c r="C158"/>
      <c r="D158"/>
      <c r="E158"/>
      <c r="F158"/>
      <c r="G158"/>
      <c r="H158"/>
      <c r="I158"/>
      <c r="J158"/>
      <c r="K158"/>
      <c r="L158"/>
      <c r="M158"/>
      <c r="N158"/>
      <c r="O158"/>
      <c r="P158"/>
      <c r="Q158" s="29"/>
      <c r="R158" s="29"/>
      <c r="S158" s="29"/>
      <c r="T158" s="29"/>
      <c r="U158" s="29"/>
      <c r="V158" s="29"/>
      <c r="W158" s="29"/>
      <c r="X158" s="29"/>
      <c r="Y158" s="29"/>
      <c r="Z158" s="29"/>
    </row>
    <row r="159" spans="2:26" ht="15" x14ac:dyDescent="0.25">
      <c r="B159"/>
      <c r="C159"/>
      <c r="D159"/>
      <c r="E159"/>
      <c r="F159"/>
      <c r="G159"/>
      <c r="H159"/>
      <c r="I159"/>
      <c r="J159"/>
      <c r="K159"/>
      <c r="L159"/>
      <c r="M159"/>
      <c r="N159"/>
      <c r="O159"/>
      <c r="P159"/>
      <c r="Q159" s="29"/>
      <c r="R159" s="29"/>
      <c r="S159" s="29"/>
      <c r="T159" s="29"/>
      <c r="U159" s="29"/>
      <c r="V159" s="29"/>
      <c r="W159" s="29"/>
      <c r="X159" s="29"/>
      <c r="Y159" s="29"/>
      <c r="Z159" s="29"/>
    </row>
    <row r="160" spans="2:26" ht="15" x14ac:dyDescent="0.25">
      <c r="B160"/>
      <c r="C160"/>
      <c r="D160"/>
      <c r="E160"/>
      <c r="F160"/>
      <c r="G160"/>
      <c r="H160"/>
      <c r="I160"/>
      <c r="J160"/>
      <c r="K160"/>
      <c r="L160"/>
      <c r="M160"/>
      <c r="N160"/>
      <c r="O160"/>
      <c r="P160"/>
      <c r="Q160" s="29"/>
      <c r="R160" s="29"/>
      <c r="S160" s="29"/>
      <c r="T160" s="29"/>
      <c r="U160" s="29"/>
      <c r="V160" s="29"/>
      <c r="W160" s="29"/>
      <c r="X160" s="29"/>
      <c r="Y160" s="29"/>
      <c r="Z160" s="29"/>
    </row>
    <row r="161" spans="2:26" ht="15" x14ac:dyDescent="0.25">
      <c r="B161"/>
      <c r="C161"/>
      <c r="D161"/>
      <c r="E161"/>
      <c r="F161"/>
      <c r="G161"/>
      <c r="H161"/>
      <c r="I161"/>
      <c r="J161"/>
      <c r="K161"/>
      <c r="L161"/>
      <c r="M161"/>
      <c r="N161"/>
      <c r="O161"/>
      <c r="P161"/>
      <c r="Q161" s="29"/>
      <c r="R161" s="29"/>
      <c r="S161" s="29"/>
      <c r="T161" s="29"/>
      <c r="U161" s="29"/>
      <c r="V161" s="29"/>
      <c r="W161" s="29"/>
      <c r="X161" s="29"/>
      <c r="Y161" s="29"/>
      <c r="Z161" s="29"/>
    </row>
    <row r="162" spans="2:26" ht="15" x14ac:dyDescent="0.25">
      <c r="B162"/>
      <c r="C162"/>
      <c r="D162"/>
      <c r="E162"/>
      <c r="F162"/>
      <c r="G162"/>
      <c r="H162"/>
      <c r="I162"/>
      <c r="J162"/>
      <c r="K162"/>
      <c r="L162"/>
      <c r="M162"/>
      <c r="N162"/>
      <c r="O162"/>
      <c r="P162"/>
      <c r="Q162" s="29"/>
      <c r="R162" s="29"/>
      <c r="S162" s="29"/>
      <c r="T162" s="29"/>
      <c r="U162" s="29"/>
      <c r="V162" s="29"/>
      <c r="W162" s="29"/>
      <c r="X162" s="29"/>
      <c r="Y162" s="29"/>
      <c r="Z162" s="29"/>
    </row>
    <row r="163" spans="2:26" ht="15" x14ac:dyDescent="0.25">
      <c r="B163"/>
      <c r="C163"/>
      <c r="D163"/>
      <c r="E163"/>
      <c r="F163"/>
      <c r="G163"/>
      <c r="H163"/>
      <c r="I163"/>
      <c r="J163"/>
      <c r="K163"/>
      <c r="L163"/>
      <c r="M163"/>
      <c r="N163"/>
      <c r="O163"/>
      <c r="P163"/>
      <c r="Q163" s="29"/>
      <c r="R163" s="29"/>
      <c r="S163" s="29"/>
      <c r="T163" s="29"/>
      <c r="U163" s="29"/>
      <c r="V163" s="29"/>
      <c r="W163" s="29"/>
      <c r="X163" s="29"/>
      <c r="Y163" s="29"/>
      <c r="Z163" s="29"/>
    </row>
    <row r="164" spans="2:26" ht="15" x14ac:dyDescent="0.25">
      <c r="B164"/>
      <c r="C164"/>
      <c r="D164"/>
      <c r="E164"/>
      <c r="F164"/>
      <c r="G164"/>
      <c r="H164"/>
      <c r="I164"/>
      <c r="J164"/>
      <c r="K164"/>
      <c r="L164"/>
      <c r="M164"/>
      <c r="N164"/>
      <c r="O164"/>
      <c r="P164"/>
      <c r="Q164" s="29"/>
      <c r="R164" s="29"/>
      <c r="S164" s="29"/>
      <c r="T164" s="29"/>
      <c r="U164" s="29"/>
      <c r="V164" s="29"/>
      <c r="W164" s="29"/>
      <c r="X164" s="29"/>
      <c r="Y164" s="29"/>
      <c r="Z164" s="29"/>
    </row>
    <row r="165" spans="2:26" ht="15" x14ac:dyDescent="0.25">
      <c r="B165"/>
      <c r="C165"/>
      <c r="D165"/>
      <c r="E165"/>
      <c r="F165"/>
      <c r="G165"/>
      <c r="H165"/>
      <c r="I165"/>
      <c r="J165"/>
      <c r="K165"/>
      <c r="L165"/>
      <c r="M165"/>
      <c r="N165"/>
      <c r="O165"/>
      <c r="P165"/>
      <c r="Q165" s="29"/>
      <c r="R165" s="29"/>
      <c r="S165" s="29"/>
      <c r="T165" s="29"/>
      <c r="U165" s="29"/>
      <c r="V165" s="29"/>
      <c r="W165" s="29"/>
      <c r="X165" s="29"/>
      <c r="Y165" s="29"/>
      <c r="Z165" s="29"/>
    </row>
    <row r="166" spans="2:26" ht="15" x14ac:dyDescent="0.25">
      <c r="B166"/>
      <c r="C166"/>
      <c r="D166"/>
      <c r="E166"/>
      <c r="F166"/>
      <c r="G166"/>
      <c r="H166"/>
      <c r="I166"/>
      <c r="J166"/>
      <c r="K166"/>
      <c r="L166"/>
      <c r="M166"/>
      <c r="N166"/>
      <c r="O166"/>
      <c r="P166"/>
      <c r="Q166" s="29"/>
      <c r="R166" s="29"/>
      <c r="S166" s="29"/>
      <c r="T166" s="29"/>
      <c r="U166" s="29"/>
      <c r="V166" s="29"/>
      <c r="W166" s="29"/>
      <c r="X166" s="29"/>
      <c r="Y166" s="29"/>
      <c r="Z166" s="29"/>
    </row>
    <row r="167" spans="2:26" x14ac:dyDescent="0.2">
      <c r="B167" s="32"/>
      <c r="C167" s="32"/>
    </row>
    <row r="168" spans="2:26" x14ac:dyDescent="0.2">
      <c r="B168" s="32"/>
      <c r="C168" s="32"/>
    </row>
    <row r="169" spans="2:26" x14ac:dyDescent="0.2">
      <c r="B169" s="32"/>
      <c r="C169" s="32"/>
    </row>
    <row r="170" spans="2:26" x14ac:dyDescent="0.2">
      <c r="B170" s="32"/>
      <c r="C170" s="32"/>
    </row>
    <row r="171" spans="2:26" x14ac:dyDescent="0.2">
      <c r="B171" s="32"/>
      <c r="C171" s="32"/>
    </row>
    <row r="172" spans="2:26" x14ac:dyDescent="0.2">
      <c r="B172" s="32"/>
      <c r="C172" s="32"/>
    </row>
    <row r="173" spans="2:26" x14ac:dyDescent="0.2">
      <c r="B173" s="32"/>
      <c r="C173" s="32"/>
    </row>
    <row r="174" spans="2:26" x14ac:dyDescent="0.2">
      <c r="B174" s="32"/>
      <c r="C174" s="32"/>
    </row>
    <row r="175" spans="2:26" x14ac:dyDescent="0.2">
      <c r="B175" s="32"/>
      <c r="C175" s="32"/>
    </row>
    <row r="176" spans="2:26" x14ac:dyDescent="0.2">
      <c r="B176" s="32"/>
      <c r="C176" s="32"/>
    </row>
    <row r="177" spans="2:3" x14ac:dyDescent="0.2">
      <c r="B177" s="32"/>
      <c r="C177" s="32"/>
    </row>
    <row r="178" spans="2:3" x14ac:dyDescent="0.2">
      <c r="B178" s="32"/>
      <c r="C178" s="32"/>
    </row>
    <row r="179" spans="2:3" x14ac:dyDescent="0.2">
      <c r="B179" s="32"/>
      <c r="C179" s="32"/>
    </row>
    <row r="180" spans="2:3" x14ac:dyDescent="0.2">
      <c r="B180" s="32"/>
      <c r="C180" s="32"/>
    </row>
    <row r="181" spans="2:3" x14ac:dyDescent="0.2">
      <c r="B181" s="32"/>
      <c r="C181" s="32"/>
    </row>
    <row r="182" spans="2:3" x14ac:dyDescent="0.2">
      <c r="B182" s="32"/>
      <c r="C182" s="32"/>
    </row>
    <row r="183" spans="2:3" x14ac:dyDescent="0.2">
      <c r="B183" s="32"/>
      <c r="C183" s="32"/>
    </row>
    <row r="184" spans="2:3" x14ac:dyDescent="0.2">
      <c r="B184" s="32"/>
      <c r="C184" s="32"/>
    </row>
    <row r="185" spans="2:3" x14ac:dyDescent="0.2">
      <c r="B185" s="32"/>
      <c r="C185" s="32"/>
    </row>
    <row r="186" spans="2:3" x14ac:dyDescent="0.2">
      <c r="B186" s="32"/>
      <c r="C186" s="32"/>
    </row>
    <row r="187" spans="2:3" x14ac:dyDescent="0.2">
      <c r="B187" s="32"/>
      <c r="C187" s="32"/>
    </row>
    <row r="188" spans="2:3" x14ac:dyDescent="0.2">
      <c r="B188" s="32"/>
      <c r="C188" s="32"/>
    </row>
    <row r="189" spans="2:3" x14ac:dyDescent="0.2">
      <c r="B189" s="32"/>
      <c r="C189" s="32"/>
    </row>
    <row r="190" spans="2:3" x14ac:dyDescent="0.2">
      <c r="B190" s="32"/>
      <c r="C190" s="32"/>
    </row>
    <row r="191" spans="2:3" x14ac:dyDescent="0.2">
      <c r="B191" s="32"/>
      <c r="C191" s="32"/>
    </row>
    <row r="192" spans="2:3" x14ac:dyDescent="0.2">
      <c r="B192" s="32"/>
      <c r="C192" s="32"/>
    </row>
    <row r="193" spans="2:3" x14ac:dyDescent="0.2">
      <c r="B193" s="32"/>
      <c r="C193" s="32"/>
    </row>
    <row r="194" spans="2:3" x14ac:dyDescent="0.2">
      <c r="B194" s="32"/>
      <c r="C194" s="32"/>
    </row>
    <row r="195" spans="2:3" x14ac:dyDescent="0.2">
      <c r="B195" s="32"/>
      <c r="C195" s="32"/>
    </row>
    <row r="196" spans="2:3" x14ac:dyDescent="0.2">
      <c r="B196" s="32"/>
      <c r="C196" s="32"/>
    </row>
    <row r="197" spans="2:3" x14ac:dyDescent="0.2">
      <c r="B197" s="32"/>
      <c r="C197" s="32"/>
    </row>
    <row r="198" spans="2:3" x14ac:dyDescent="0.2">
      <c r="B198" s="32"/>
      <c r="C198" s="32"/>
    </row>
    <row r="199" spans="2:3" x14ac:dyDescent="0.2">
      <c r="B199" s="32"/>
      <c r="C199" s="32"/>
    </row>
    <row r="200" spans="2:3" x14ac:dyDescent="0.2">
      <c r="B200" s="32"/>
      <c r="C200" s="32"/>
    </row>
    <row r="201" spans="2:3" x14ac:dyDescent="0.2">
      <c r="B201" s="32"/>
      <c r="C201" s="32"/>
    </row>
    <row r="202" spans="2:3" x14ac:dyDescent="0.2">
      <c r="B202" s="32"/>
      <c r="C202" s="32"/>
    </row>
    <row r="203" spans="2:3" x14ac:dyDescent="0.2">
      <c r="B203" s="32"/>
      <c r="C203" s="32"/>
    </row>
    <row r="204" spans="2:3" x14ac:dyDescent="0.2">
      <c r="B204" s="32"/>
      <c r="C204" s="32"/>
    </row>
    <row r="205" spans="2:3" x14ac:dyDescent="0.2">
      <c r="B205" s="32"/>
      <c r="C205" s="32"/>
    </row>
    <row r="206" spans="2:3" x14ac:dyDescent="0.2">
      <c r="B206" s="32"/>
      <c r="C206" s="32"/>
    </row>
    <row r="207" spans="2:3" x14ac:dyDescent="0.2">
      <c r="B207" s="32"/>
      <c r="C207" s="32"/>
    </row>
    <row r="208" spans="2:3" x14ac:dyDescent="0.2">
      <c r="B208" s="32"/>
      <c r="C208" s="32"/>
    </row>
    <row r="209" spans="2:3" x14ac:dyDescent="0.2">
      <c r="B209" s="32"/>
      <c r="C209" s="32"/>
    </row>
    <row r="210" spans="2:3" x14ac:dyDescent="0.2">
      <c r="B210" s="32"/>
      <c r="C210" s="32"/>
    </row>
    <row r="211" spans="2:3" x14ac:dyDescent="0.2">
      <c r="B211" s="32"/>
      <c r="C211" s="32"/>
    </row>
    <row r="212" spans="2:3" x14ac:dyDescent="0.2">
      <c r="B212" s="32"/>
      <c r="C212" s="32"/>
    </row>
    <row r="213" spans="2:3" x14ac:dyDescent="0.2">
      <c r="B213" s="32"/>
      <c r="C213" s="32"/>
    </row>
    <row r="214" spans="2:3" x14ac:dyDescent="0.2">
      <c r="B214" s="32"/>
      <c r="C214" s="32"/>
    </row>
    <row r="215" spans="2:3" x14ac:dyDescent="0.2">
      <c r="B215" s="32"/>
      <c r="C215" s="32"/>
    </row>
    <row r="216" spans="2:3" x14ac:dyDescent="0.2">
      <c r="B216" s="32"/>
      <c r="C216" s="32"/>
    </row>
    <row r="217" spans="2:3" x14ac:dyDescent="0.2">
      <c r="B217" s="32"/>
      <c r="C217" s="32"/>
    </row>
    <row r="218" spans="2:3" x14ac:dyDescent="0.2">
      <c r="B218" s="32"/>
      <c r="C218" s="32"/>
    </row>
    <row r="219" spans="2:3" x14ac:dyDescent="0.2">
      <c r="B219" s="32"/>
      <c r="C219" s="32"/>
    </row>
    <row r="220" spans="2:3" x14ac:dyDescent="0.2">
      <c r="B220" s="32"/>
      <c r="C220" s="32"/>
    </row>
    <row r="221" spans="2:3" x14ac:dyDescent="0.2">
      <c r="B221" s="32"/>
      <c r="C221" s="32"/>
    </row>
    <row r="222" spans="2:3" x14ac:dyDescent="0.2">
      <c r="B222" s="32"/>
      <c r="C222" s="32"/>
    </row>
    <row r="223" spans="2:3" x14ac:dyDescent="0.2">
      <c r="B223" s="32"/>
      <c r="C223" s="32"/>
    </row>
    <row r="224" spans="2:3" x14ac:dyDescent="0.2">
      <c r="B224" s="32"/>
      <c r="C224" s="32"/>
    </row>
    <row r="225" spans="2:3" x14ac:dyDescent="0.2">
      <c r="B225" s="32"/>
      <c r="C225" s="32"/>
    </row>
    <row r="226" spans="2:3" x14ac:dyDescent="0.2">
      <c r="B226" s="32"/>
      <c r="C226" s="32"/>
    </row>
    <row r="227" spans="2:3" x14ac:dyDescent="0.2">
      <c r="B227" s="32"/>
      <c r="C227" s="32"/>
    </row>
    <row r="228" spans="2:3" x14ac:dyDescent="0.2">
      <c r="B228" s="32"/>
      <c r="C228" s="32"/>
    </row>
    <row r="229" spans="2:3" x14ac:dyDescent="0.2">
      <c r="B229" s="32"/>
      <c r="C229" s="32"/>
    </row>
    <row r="230" spans="2:3" x14ac:dyDescent="0.2">
      <c r="B230" s="32"/>
      <c r="C230" s="32"/>
    </row>
    <row r="231" spans="2:3" x14ac:dyDescent="0.2">
      <c r="B231" s="32"/>
      <c r="C231" s="32"/>
    </row>
    <row r="232" spans="2:3" x14ac:dyDescent="0.2">
      <c r="B232" s="32"/>
      <c r="C232" s="32"/>
    </row>
    <row r="233" spans="2:3" x14ac:dyDescent="0.2">
      <c r="B233" s="32"/>
      <c r="C233" s="32"/>
    </row>
    <row r="234" spans="2:3" x14ac:dyDescent="0.2">
      <c r="B234" s="32"/>
      <c r="C234" s="32"/>
    </row>
    <row r="235" spans="2:3" x14ac:dyDescent="0.2">
      <c r="B235" s="32"/>
      <c r="C235" s="32"/>
    </row>
    <row r="236" spans="2:3" x14ac:dyDescent="0.2">
      <c r="B236" s="32"/>
      <c r="C236" s="32"/>
    </row>
    <row r="237" spans="2:3" x14ac:dyDescent="0.2">
      <c r="B237" s="32"/>
      <c r="C237" s="32"/>
    </row>
    <row r="238" spans="2:3" x14ac:dyDescent="0.2">
      <c r="B238" s="32"/>
      <c r="C238" s="32"/>
    </row>
    <row r="239" spans="2:3" x14ac:dyDescent="0.2">
      <c r="B239" s="32"/>
      <c r="C239" s="32"/>
    </row>
    <row r="240" spans="2:3" x14ac:dyDescent="0.2">
      <c r="B240" s="32"/>
      <c r="C240" s="32"/>
    </row>
    <row r="241" spans="2:3" x14ac:dyDescent="0.2">
      <c r="B241" s="32"/>
      <c r="C241" s="32"/>
    </row>
    <row r="242" spans="2:3" x14ac:dyDescent="0.2">
      <c r="B242" s="32"/>
      <c r="C242" s="32"/>
    </row>
    <row r="243" spans="2:3" x14ac:dyDescent="0.2">
      <c r="B243" s="32"/>
      <c r="C243" s="32"/>
    </row>
    <row r="244" spans="2:3" x14ac:dyDescent="0.2">
      <c r="B244" s="32"/>
      <c r="C244" s="32"/>
    </row>
    <row r="245" spans="2:3" x14ac:dyDescent="0.2">
      <c r="B245" s="32"/>
      <c r="C245" s="32"/>
    </row>
    <row r="246" spans="2:3" x14ac:dyDescent="0.2">
      <c r="B246" s="32"/>
      <c r="C246" s="32"/>
    </row>
    <row r="247" spans="2:3" x14ac:dyDescent="0.2">
      <c r="B247" s="32"/>
      <c r="C247" s="32"/>
    </row>
    <row r="248" spans="2:3" x14ac:dyDescent="0.2">
      <c r="B248" s="32"/>
      <c r="C248" s="32"/>
    </row>
    <row r="249" spans="2:3" x14ac:dyDescent="0.2">
      <c r="B249" s="32"/>
      <c r="C249" s="32"/>
    </row>
    <row r="250" spans="2:3" x14ac:dyDescent="0.2">
      <c r="B250" s="32"/>
      <c r="C250" s="32"/>
    </row>
    <row r="251" spans="2:3" x14ac:dyDescent="0.2">
      <c r="B251" s="32"/>
      <c r="C251" s="32"/>
    </row>
    <row r="252" spans="2:3" x14ac:dyDescent="0.2">
      <c r="B252" s="32"/>
      <c r="C252" s="32"/>
    </row>
    <row r="253" spans="2:3" x14ac:dyDescent="0.2">
      <c r="B253" s="32"/>
      <c r="C253" s="32"/>
    </row>
    <row r="254" spans="2:3" x14ac:dyDescent="0.2">
      <c r="B254" s="32"/>
      <c r="C254" s="32"/>
    </row>
    <row r="255" spans="2:3" x14ac:dyDescent="0.2">
      <c r="B255" s="32"/>
      <c r="C255" s="32"/>
    </row>
    <row r="256" spans="2:3" x14ac:dyDescent="0.2">
      <c r="B256" s="32"/>
      <c r="C256" s="32"/>
    </row>
    <row r="257" spans="2:3" x14ac:dyDescent="0.2">
      <c r="B257" s="32"/>
      <c r="C257" s="32"/>
    </row>
    <row r="258" spans="2:3" x14ac:dyDescent="0.2">
      <c r="B258" s="32"/>
      <c r="C258" s="32"/>
    </row>
    <row r="259" spans="2:3" x14ac:dyDescent="0.2">
      <c r="B259" s="32"/>
      <c r="C259" s="32"/>
    </row>
    <row r="260" spans="2:3" x14ac:dyDescent="0.2">
      <c r="B260" s="32"/>
      <c r="C260" s="32"/>
    </row>
    <row r="261" spans="2:3" x14ac:dyDescent="0.2">
      <c r="B261" s="32"/>
      <c r="C261" s="32"/>
    </row>
    <row r="262" spans="2:3" x14ac:dyDescent="0.2">
      <c r="B262" s="32"/>
      <c r="C262" s="32"/>
    </row>
    <row r="263" spans="2:3" x14ac:dyDescent="0.2">
      <c r="B263" s="32"/>
      <c r="C263" s="32"/>
    </row>
    <row r="264" spans="2:3" x14ac:dyDescent="0.2">
      <c r="B264" s="32"/>
      <c r="C264" s="32"/>
    </row>
    <row r="265" spans="2:3" x14ac:dyDescent="0.2">
      <c r="B265" s="32"/>
      <c r="C265" s="32"/>
    </row>
    <row r="266" spans="2:3" x14ac:dyDescent="0.2">
      <c r="B266" s="32"/>
      <c r="C266" s="32"/>
    </row>
    <row r="267" spans="2:3" x14ac:dyDescent="0.2">
      <c r="B267" s="32"/>
      <c r="C267" s="32"/>
    </row>
    <row r="268" spans="2:3" x14ac:dyDescent="0.2">
      <c r="B268" s="32"/>
      <c r="C268" s="32"/>
    </row>
    <row r="269" spans="2:3" x14ac:dyDescent="0.2">
      <c r="B269" s="32"/>
      <c r="C269" s="32"/>
    </row>
    <row r="270" spans="2:3" x14ac:dyDescent="0.2">
      <c r="B270" s="32"/>
      <c r="C270" s="32"/>
    </row>
    <row r="271" spans="2:3" x14ac:dyDescent="0.2">
      <c r="B271" s="32"/>
      <c r="C271" s="32"/>
    </row>
    <row r="272" spans="2:3" x14ac:dyDescent="0.2">
      <c r="B272" s="32"/>
      <c r="C272" s="32"/>
    </row>
    <row r="273" spans="2:3" x14ac:dyDescent="0.2">
      <c r="B273" s="32"/>
      <c r="C273" s="32"/>
    </row>
    <row r="274" spans="2:3" x14ac:dyDescent="0.2">
      <c r="B274" s="32"/>
      <c r="C274" s="32"/>
    </row>
    <row r="275" spans="2:3" x14ac:dyDescent="0.2">
      <c r="B275" s="32"/>
      <c r="C275" s="32"/>
    </row>
    <row r="276" spans="2:3" x14ac:dyDescent="0.2">
      <c r="B276" s="32"/>
      <c r="C276" s="32"/>
    </row>
    <row r="277" spans="2:3" x14ac:dyDescent="0.2">
      <c r="B277" s="32"/>
      <c r="C277" s="32"/>
    </row>
    <row r="278" spans="2:3" x14ac:dyDescent="0.2">
      <c r="B278" s="32"/>
      <c r="C278" s="32"/>
    </row>
    <row r="279" spans="2:3" x14ac:dyDescent="0.2">
      <c r="B279" s="32"/>
      <c r="C279" s="32"/>
    </row>
    <row r="280" spans="2:3" x14ac:dyDescent="0.2">
      <c r="B280" s="32"/>
      <c r="C280" s="32"/>
    </row>
    <row r="281" spans="2:3" x14ac:dyDescent="0.2">
      <c r="B281" s="32"/>
      <c r="C281" s="32"/>
    </row>
    <row r="282" spans="2:3" x14ac:dyDescent="0.2">
      <c r="B282" s="32"/>
      <c r="C282" s="32"/>
    </row>
    <row r="283" spans="2:3" x14ac:dyDescent="0.2">
      <c r="B283" s="32"/>
      <c r="C283" s="32"/>
    </row>
    <row r="284" spans="2:3" x14ac:dyDescent="0.2">
      <c r="B284" s="32"/>
      <c r="C284" s="32"/>
    </row>
    <row r="285" spans="2:3" x14ac:dyDescent="0.2">
      <c r="B285" s="32"/>
      <c r="C285" s="32"/>
    </row>
    <row r="286" spans="2:3" x14ac:dyDescent="0.2">
      <c r="B286" s="32"/>
      <c r="C286" s="32"/>
    </row>
    <row r="287" spans="2:3" x14ac:dyDescent="0.2">
      <c r="B287" s="32"/>
      <c r="C287" s="32"/>
    </row>
    <row r="288" spans="2:3" x14ac:dyDescent="0.2">
      <c r="B288" s="32"/>
      <c r="C288" s="32"/>
    </row>
    <row r="289" spans="2:3" x14ac:dyDescent="0.2">
      <c r="B289" s="32"/>
      <c r="C289" s="32"/>
    </row>
    <row r="290" spans="2:3" x14ac:dyDescent="0.2">
      <c r="B290" s="32"/>
      <c r="C290" s="32"/>
    </row>
    <row r="291" spans="2:3" x14ac:dyDescent="0.2">
      <c r="B291" s="32"/>
      <c r="C291" s="32"/>
    </row>
    <row r="292" spans="2:3" x14ac:dyDescent="0.2">
      <c r="B292" s="32"/>
      <c r="C292" s="32"/>
    </row>
    <row r="293" spans="2:3" x14ac:dyDescent="0.2">
      <c r="B293" s="32"/>
      <c r="C293" s="32"/>
    </row>
    <row r="294" spans="2:3" x14ac:dyDescent="0.2">
      <c r="B294" s="32"/>
      <c r="C294" s="32"/>
    </row>
    <row r="295" spans="2:3" x14ac:dyDescent="0.2">
      <c r="B295" s="32"/>
      <c r="C295" s="32"/>
    </row>
    <row r="296" spans="2:3" x14ac:dyDescent="0.2">
      <c r="B296" s="32"/>
      <c r="C296" s="32"/>
    </row>
    <row r="297" spans="2:3" x14ac:dyDescent="0.2">
      <c r="B297" s="32"/>
      <c r="C297" s="32"/>
    </row>
    <row r="298" spans="2:3" x14ac:dyDescent="0.2">
      <c r="B298" s="32"/>
      <c r="C298" s="32"/>
    </row>
    <row r="299" spans="2:3" x14ac:dyDescent="0.2">
      <c r="B299" s="32"/>
      <c r="C299" s="32"/>
    </row>
    <row r="300" spans="2:3" x14ac:dyDescent="0.2">
      <c r="B300" s="32"/>
      <c r="C300" s="32"/>
    </row>
    <row r="301" spans="2:3" x14ac:dyDescent="0.2">
      <c r="B301" s="32"/>
      <c r="C301" s="32"/>
    </row>
    <row r="302" spans="2:3" x14ac:dyDescent="0.2">
      <c r="B302" s="32"/>
      <c r="C302" s="32"/>
    </row>
    <row r="303" spans="2:3" x14ac:dyDescent="0.2">
      <c r="B303" s="32"/>
      <c r="C303" s="32"/>
    </row>
    <row r="304" spans="2:3" x14ac:dyDescent="0.2">
      <c r="B304" s="32"/>
      <c r="C304" s="32"/>
    </row>
    <row r="305" spans="2:3" x14ac:dyDescent="0.2">
      <c r="B305" s="32"/>
      <c r="C305" s="32"/>
    </row>
    <row r="306" spans="2:3" x14ac:dyDescent="0.2">
      <c r="B306" s="32"/>
      <c r="C306" s="32"/>
    </row>
    <row r="307" spans="2:3" x14ac:dyDescent="0.2">
      <c r="B307" s="32"/>
      <c r="C307" s="32"/>
    </row>
    <row r="308" spans="2:3" x14ac:dyDescent="0.2">
      <c r="B308" s="32"/>
      <c r="C308" s="32"/>
    </row>
    <row r="309" spans="2:3" x14ac:dyDescent="0.2">
      <c r="B309" s="32"/>
      <c r="C309" s="32"/>
    </row>
    <row r="310" spans="2:3" x14ac:dyDescent="0.2">
      <c r="B310" s="32"/>
      <c r="C310" s="32"/>
    </row>
    <row r="311" spans="2:3" x14ac:dyDescent="0.2">
      <c r="B311" s="32"/>
      <c r="C311" s="32"/>
    </row>
    <row r="312" spans="2:3" x14ac:dyDescent="0.2">
      <c r="B312" s="32"/>
      <c r="C312" s="32"/>
    </row>
    <row r="313" spans="2:3" x14ac:dyDescent="0.2">
      <c r="B313" s="32"/>
      <c r="C313" s="32"/>
    </row>
    <row r="314" spans="2:3" x14ac:dyDescent="0.2">
      <c r="B314" s="32"/>
      <c r="C314" s="32"/>
    </row>
    <row r="315" spans="2:3" x14ac:dyDescent="0.2">
      <c r="B315" s="32"/>
      <c r="C315" s="32"/>
    </row>
    <row r="316" spans="2:3" x14ac:dyDescent="0.2">
      <c r="B316" s="32"/>
      <c r="C316" s="32"/>
    </row>
    <row r="317" spans="2:3" x14ac:dyDescent="0.2">
      <c r="B317" s="32"/>
      <c r="C317" s="32"/>
    </row>
    <row r="318" spans="2:3" x14ac:dyDescent="0.2">
      <c r="B318" s="32"/>
      <c r="C318" s="32"/>
    </row>
    <row r="319" spans="2:3" x14ac:dyDescent="0.2">
      <c r="B319" s="32"/>
      <c r="C319" s="32"/>
    </row>
    <row r="320" spans="2:3" x14ac:dyDescent="0.2">
      <c r="B320" s="32"/>
      <c r="C320" s="32"/>
    </row>
    <row r="321" spans="2:3" x14ac:dyDescent="0.2">
      <c r="B321" s="32"/>
      <c r="C321" s="32"/>
    </row>
    <row r="322" spans="2:3" x14ac:dyDescent="0.2">
      <c r="B322" s="32"/>
      <c r="C322" s="32"/>
    </row>
    <row r="323" spans="2:3" x14ac:dyDescent="0.2">
      <c r="B323" s="32"/>
      <c r="C323" s="32"/>
    </row>
    <row r="324" spans="2:3" x14ac:dyDescent="0.2">
      <c r="B324" s="32"/>
      <c r="C324" s="32"/>
    </row>
    <row r="325" spans="2:3" x14ac:dyDescent="0.2">
      <c r="B325" s="32"/>
      <c r="C325" s="32"/>
    </row>
    <row r="326" spans="2:3" x14ac:dyDescent="0.2">
      <c r="B326" s="32"/>
      <c r="C326" s="32"/>
    </row>
    <row r="327" spans="2:3" x14ac:dyDescent="0.2">
      <c r="B327" s="32"/>
      <c r="C327" s="32"/>
    </row>
    <row r="328" spans="2:3" x14ac:dyDescent="0.2">
      <c r="B328" s="32"/>
      <c r="C328" s="32"/>
    </row>
    <row r="329" spans="2:3" x14ac:dyDescent="0.2">
      <c r="B329" s="32"/>
      <c r="C329" s="32"/>
    </row>
    <row r="330" spans="2:3" x14ac:dyDescent="0.2">
      <c r="B330" s="32"/>
      <c r="C330" s="32"/>
    </row>
    <row r="331" spans="2:3" x14ac:dyDescent="0.2">
      <c r="B331" s="32"/>
      <c r="C331" s="32"/>
    </row>
    <row r="332" spans="2:3" x14ac:dyDescent="0.2">
      <c r="B332" s="32"/>
      <c r="C332" s="32"/>
    </row>
    <row r="333" spans="2:3" x14ac:dyDescent="0.2">
      <c r="B333" s="32"/>
      <c r="C333" s="32"/>
    </row>
    <row r="334" spans="2:3" x14ac:dyDescent="0.2">
      <c r="B334" s="32"/>
      <c r="C334" s="32"/>
    </row>
    <row r="335" spans="2:3" x14ac:dyDescent="0.2">
      <c r="B335" s="32"/>
      <c r="C335" s="32"/>
    </row>
    <row r="336" spans="2:3" x14ac:dyDescent="0.2">
      <c r="B336" s="32"/>
      <c r="C336" s="32"/>
    </row>
    <row r="337" spans="2:3" x14ac:dyDescent="0.2">
      <c r="B337" s="32"/>
      <c r="C337" s="32"/>
    </row>
    <row r="338" spans="2:3" x14ac:dyDescent="0.2">
      <c r="B338" s="32"/>
      <c r="C338" s="32"/>
    </row>
    <row r="339" spans="2:3" x14ac:dyDescent="0.2">
      <c r="B339" s="32"/>
      <c r="C339" s="32"/>
    </row>
    <row r="340" spans="2:3" x14ac:dyDescent="0.2">
      <c r="B340" s="32"/>
      <c r="C340" s="32"/>
    </row>
    <row r="341" spans="2:3" x14ac:dyDescent="0.2">
      <c r="B341" s="32"/>
      <c r="C341" s="32"/>
    </row>
    <row r="342" spans="2:3" x14ac:dyDescent="0.2">
      <c r="B342" s="32"/>
      <c r="C342" s="32"/>
    </row>
    <row r="343" spans="2:3" x14ac:dyDescent="0.2">
      <c r="B343" s="32"/>
      <c r="C343" s="32"/>
    </row>
    <row r="344" spans="2:3" x14ac:dyDescent="0.2">
      <c r="B344" s="32"/>
      <c r="C344" s="32"/>
    </row>
    <row r="345" spans="2:3" x14ac:dyDescent="0.2">
      <c r="B345" s="32"/>
      <c r="C345" s="32"/>
    </row>
    <row r="346" spans="2:3" x14ac:dyDescent="0.2">
      <c r="B346" s="32"/>
      <c r="C346" s="32"/>
    </row>
    <row r="347" spans="2:3" x14ac:dyDescent="0.2">
      <c r="B347" s="32"/>
      <c r="C347" s="32"/>
    </row>
    <row r="348" spans="2:3" x14ac:dyDescent="0.2">
      <c r="B348" s="32"/>
      <c r="C348" s="32"/>
    </row>
    <row r="349" spans="2:3" x14ac:dyDescent="0.2">
      <c r="B349" s="32"/>
      <c r="C349" s="32"/>
    </row>
    <row r="350" spans="2:3" x14ac:dyDescent="0.2">
      <c r="B350" s="32"/>
      <c r="C350" s="32"/>
    </row>
    <row r="351" spans="2:3" x14ac:dyDescent="0.2">
      <c r="B351" s="32"/>
      <c r="C351" s="32"/>
    </row>
    <row r="352" spans="2:3" x14ac:dyDescent="0.2">
      <c r="B352" s="32"/>
      <c r="C352" s="32"/>
    </row>
    <row r="353" spans="2:3" x14ac:dyDescent="0.2">
      <c r="B353" s="32"/>
      <c r="C353" s="32"/>
    </row>
    <row r="354" spans="2:3" x14ac:dyDescent="0.2">
      <c r="B354" s="32"/>
      <c r="C354" s="32"/>
    </row>
    <row r="355" spans="2:3" x14ac:dyDescent="0.2">
      <c r="B355" s="32"/>
      <c r="C355" s="32"/>
    </row>
    <row r="356" spans="2:3" x14ac:dyDescent="0.2">
      <c r="B356" s="32"/>
      <c r="C356" s="32"/>
    </row>
    <row r="357" spans="2:3" x14ac:dyDescent="0.2">
      <c r="B357" s="32"/>
      <c r="C357" s="32"/>
    </row>
    <row r="358" spans="2:3" x14ac:dyDescent="0.2">
      <c r="B358" s="32"/>
      <c r="C358" s="32"/>
    </row>
    <row r="359" spans="2:3" x14ac:dyDescent="0.2">
      <c r="B359" s="32"/>
      <c r="C359" s="32"/>
    </row>
    <row r="360" spans="2:3" x14ac:dyDescent="0.2">
      <c r="B360" s="32"/>
      <c r="C360" s="32"/>
    </row>
    <row r="361" spans="2:3" x14ac:dyDescent="0.2">
      <c r="B361" s="32"/>
      <c r="C361" s="32"/>
    </row>
    <row r="362" spans="2:3" x14ac:dyDescent="0.2">
      <c r="B362" s="32"/>
      <c r="C362" s="32"/>
    </row>
    <row r="363" spans="2:3" x14ac:dyDescent="0.2">
      <c r="B363" s="32"/>
      <c r="C363" s="32"/>
    </row>
    <row r="364" spans="2:3" x14ac:dyDescent="0.2">
      <c r="B364" s="32"/>
      <c r="C364" s="32"/>
    </row>
    <row r="365" spans="2:3" x14ac:dyDescent="0.2">
      <c r="B365" s="32"/>
      <c r="C365" s="32"/>
    </row>
    <row r="366" spans="2:3" x14ac:dyDescent="0.2">
      <c r="B366" s="32"/>
      <c r="C366" s="32"/>
    </row>
    <row r="367" spans="2:3" x14ac:dyDescent="0.2">
      <c r="B367" s="32"/>
      <c r="C367" s="32"/>
    </row>
    <row r="368" spans="2:3" x14ac:dyDescent="0.2">
      <c r="B368" s="32"/>
      <c r="C368" s="32"/>
    </row>
    <row r="369" spans="2:3" x14ac:dyDescent="0.2">
      <c r="B369" s="32"/>
      <c r="C369" s="32"/>
    </row>
    <row r="370" spans="2:3" x14ac:dyDescent="0.2">
      <c r="B370" s="32"/>
      <c r="C370" s="32"/>
    </row>
    <row r="371" spans="2:3" x14ac:dyDescent="0.2">
      <c r="B371" s="32"/>
      <c r="C371" s="32"/>
    </row>
    <row r="372" spans="2:3" x14ac:dyDescent="0.2">
      <c r="B372" s="32"/>
      <c r="C372" s="32"/>
    </row>
    <row r="373" spans="2:3" x14ac:dyDescent="0.2">
      <c r="B373" s="32"/>
      <c r="C373" s="32"/>
    </row>
    <row r="374" spans="2:3" x14ac:dyDescent="0.2">
      <c r="B374" s="32"/>
      <c r="C374" s="32"/>
    </row>
    <row r="375" spans="2:3" x14ac:dyDescent="0.2">
      <c r="B375" s="32"/>
      <c r="C375" s="32"/>
    </row>
    <row r="376" spans="2:3" x14ac:dyDescent="0.2">
      <c r="B376" s="32"/>
      <c r="C376" s="32"/>
    </row>
    <row r="377" spans="2:3" x14ac:dyDescent="0.2">
      <c r="B377" s="32"/>
      <c r="C377" s="32"/>
    </row>
    <row r="378" spans="2:3" x14ac:dyDescent="0.2">
      <c r="B378" s="32"/>
      <c r="C378" s="32"/>
    </row>
    <row r="379" spans="2:3" x14ac:dyDescent="0.2">
      <c r="B379" s="32"/>
      <c r="C379" s="32"/>
    </row>
    <row r="380" spans="2:3" x14ac:dyDescent="0.2">
      <c r="B380" s="32"/>
      <c r="C380" s="32"/>
    </row>
    <row r="381" spans="2:3" x14ac:dyDescent="0.2">
      <c r="B381" s="32"/>
      <c r="C381" s="32"/>
    </row>
    <row r="382" spans="2:3" x14ac:dyDescent="0.2">
      <c r="B382" s="32"/>
      <c r="C382" s="32"/>
    </row>
    <row r="383" spans="2:3" x14ac:dyDescent="0.2">
      <c r="B383" s="32"/>
      <c r="C383" s="32"/>
    </row>
    <row r="384" spans="2:3" x14ac:dyDescent="0.2">
      <c r="B384" s="32"/>
      <c r="C384" s="32"/>
    </row>
    <row r="385" spans="2:3" x14ac:dyDescent="0.2">
      <c r="B385" s="32"/>
      <c r="C385" s="32"/>
    </row>
    <row r="386" spans="2:3" x14ac:dyDescent="0.2">
      <c r="B386" s="32"/>
      <c r="C386" s="32"/>
    </row>
    <row r="387" spans="2:3" x14ac:dyDescent="0.2">
      <c r="B387" s="32"/>
      <c r="C387" s="32"/>
    </row>
    <row r="388" spans="2:3" x14ac:dyDescent="0.2">
      <c r="B388" s="32"/>
      <c r="C388" s="32"/>
    </row>
    <row r="389" spans="2:3" x14ac:dyDescent="0.2">
      <c r="B389" s="32"/>
      <c r="C389" s="32"/>
    </row>
    <row r="390" spans="2:3" x14ac:dyDescent="0.2">
      <c r="B390" s="32"/>
      <c r="C390" s="32"/>
    </row>
    <row r="391" spans="2:3" x14ac:dyDescent="0.2">
      <c r="B391" s="32"/>
      <c r="C391" s="32"/>
    </row>
    <row r="392" spans="2:3" x14ac:dyDescent="0.2">
      <c r="B392" s="32"/>
      <c r="C392" s="32"/>
    </row>
    <row r="393" spans="2:3" x14ac:dyDescent="0.2">
      <c r="B393" s="32"/>
      <c r="C393" s="32"/>
    </row>
    <row r="394" spans="2:3" x14ac:dyDescent="0.2">
      <c r="B394" s="32"/>
      <c r="C394" s="32"/>
    </row>
    <row r="395" spans="2:3" x14ac:dyDescent="0.2">
      <c r="B395" s="32"/>
      <c r="C395" s="32"/>
    </row>
    <row r="396" spans="2:3" x14ac:dyDescent="0.2">
      <c r="B396" s="32"/>
      <c r="C396" s="32"/>
    </row>
    <row r="397" spans="2:3" x14ac:dyDescent="0.2">
      <c r="B397" s="32"/>
      <c r="C397" s="32"/>
    </row>
    <row r="398" spans="2:3" x14ac:dyDescent="0.2">
      <c r="B398" s="32"/>
      <c r="C398" s="32"/>
    </row>
    <row r="399" spans="2:3" x14ac:dyDescent="0.2">
      <c r="B399" s="32"/>
      <c r="C399" s="32"/>
    </row>
    <row r="400" spans="2:3" x14ac:dyDescent="0.2">
      <c r="B400" s="32"/>
      <c r="C400" s="32"/>
    </row>
    <row r="401" spans="2:3" x14ac:dyDescent="0.2">
      <c r="B401" s="32"/>
      <c r="C401" s="32"/>
    </row>
    <row r="402" spans="2:3" x14ac:dyDescent="0.2">
      <c r="B402" s="32"/>
      <c r="C402" s="32"/>
    </row>
    <row r="403" spans="2:3" x14ac:dyDescent="0.2">
      <c r="B403" s="32"/>
      <c r="C403" s="32"/>
    </row>
    <row r="404" spans="2:3" x14ac:dyDescent="0.2">
      <c r="B404" s="32"/>
      <c r="C404" s="32"/>
    </row>
    <row r="405" spans="2:3" x14ac:dyDescent="0.2">
      <c r="B405" s="32"/>
      <c r="C405" s="32"/>
    </row>
    <row r="406" spans="2:3" x14ac:dyDescent="0.2">
      <c r="B406" s="32"/>
      <c r="C406" s="32"/>
    </row>
    <row r="407" spans="2:3" x14ac:dyDescent="0.2">
      <c r="B407" s="32"/>
      <c r="C407" s="32"/>
    </row>
    <row r="408" spans="2:3" x14ac:dyDescent="0.2">
      <c r="B408" s="32"/>
      <c r="C408" s="32"/>
    </row>
    <row r="409" spans="2:3" x14ac:dyDescent="0.2">
      <c r="B409" s="32"/>
      <c r="C409" s="32"/>
    </row>
    <row r="410" spans="2:3" x14ac:dyDescent="0.2">
      <c r="B410" s="32"/>
      <c r="C410" s="32"/>
    </row>
    <row r="411" spans="2:3" x14ac:dyDescent="0.2">
      <c r="B411" s="32"/>
      <c r="C411" s="32"/>
    </row>
    <row r="412" spans="2:3" x14ac:dyDescent="0.2">
      <c r="B412" s="32"/>
      <c r="C412" s="32"/>
    </row>
    <row r="413" spans="2:3" x14ac:dyDescent="0.2">
      <c r="B413" s="32"/>
      <c r="C413" s="32"/>
    </row>
    <row r="414" spans="2:3" x14ac:dyDescent="0.2">
      <c r="B414" s="32"/>
      <c r="C414" s="32"/>
    </row>
    <row r="415" spans="2:3" x14ac:dyDescent="0.2">
      <c r="B415" s="32"/>
      <c r="C415" s="32"/>
    </row>
    <row r="416" spans="2:3" x14ac:dyDescent="0.2">
      <c r="B416" s="32"/>
      <c r="C416" s="32"/>
    </row>
    <row r="417" spans="2:3" x14ac:dyDescent="0.2">
      <c r="B417" s="32"/>
      <c r="C417" s="32"/>
    </row>
    <row r="418" spans="2:3" x14ac:dyDescent="0.2">
      <c r="B418" s="32"/>
      <c r="C418" s="32"/>
    </row>
    <row r="419" spans="2:3" x14ac:dyDescent="0.2">
      <c r="B419" s="32"/>
      <c r="C419" s="32"/>
    </row>
    <row r="420" spans="2:3" x14ac:dyDescent="0.2">
      <c r="B420" s="32"/>
      <c r="C420" s="32"/>
    </row>
    <row r="421" spans="2:3" x14ac:dyDescent="0.2">
      <c r="B421" s="32"/>
      <c r="C421" s="32"/>
    </row>
    <row r="422" spans="2:3" x14ac:dyDescent="0.2">
      <c r="B422" s="32"/>
      <c r="C422" s="32"/>
    </row>
    <row r="423" spans="2:3" x14ac:dyDescent="0.2">
      <c r="B423" s="32"/>
      <c r="C423" s="32"/>
    </row>
    <row r="424" spans="2:3" x14ac:dyDescent="0.2">
      <c r="B424" s="32"/>
      <c r="C424" s="32"/>
    </row>
    <row r="425" spans="2:3" x14ac:dyDescent="0.2">
      <c r="B425" s="32"/>
      <c r="C425" s="32"/>
    </row>
    <row r="426" spans="2:3" x14ac:dyDescent="0.2">
      <c r="B426" s="32"/>
      <c r="C426" s="32"/>
    </row>
    <row r="427" spans="2:3" x14ac:dyDescent="0.2">
      <c r="B427" s="32"/>
      <c r="C427" s="32"/>
    </row>
    <row r="428" spans="2:3" x14ac:dyDescent="0.2">
      <c r="B428" s="32"/>
      <c r="C428" s="32"/>
    </row>
    <row r="429" spans="2:3" x14ac:dyDescent="0.2">
      <c r="B429" s="32"/>
      <c r="C429" s="32"/>
    </row>
    <row r="430" spans="2:3" x14ac:dyDescent="0.2">
      <c r="B430" s="32"/>
      <c r="C430" s="32"/>
    </row>
    <row r="431" spans="2:3" x14ac:dyDescent="0.2">
      <c r="B431" s="32"/>
      <c r="C431" s="32"/>
    </row>
    <row r="432" spans="2:3" x14ac:dyDescent="0.2">
      <c r="B432" s="32"/>
      <c r="C432" s="32"/>
    </row>
    <row r="433" spans="2:3" x14ac:dyDescent="0.2">
      <c r="B433" s="32"/>
      <c r="C433" s="32"/>
    </row>
    <row r="434" spans="2:3" x14ac:dyDescent="0.2">
      <c r="B434" s="32"/>
      <c r="C434" s="32"/>
    </row>
    <row r="435" spans="2:3" x14ac:dyDescent="0.2">
      <c r="B435" s="32"/>
      <c r="C435" s="32"/>
    </row>
    <row r="436" spans="2:3" x14ac:dyDescent="0.2">
      <c r="B436" s="32"/>
      <c r="C436" s="32"/>
    </row>
    <row r="437" spans="2:3" x14ac:dyDescent="0.2">
      <c r="B437" s="32"/>
      <c r="C437" s="32"/>
    </row>
    <row r="438" spans="2:3" x14ac:dyDescent="0.2">
      <c r="B438" s="32"/>
      <c r="C438" s="32"/>
    </row>
    <row r="439" spans="2:3" x14ac:dyDescent="0.2">
      <c r="B439" s="32"/>
      <c r="C439" s="32"/>
    </row>
    <row r="440" spans="2:3" x14ac:dyDescent="0.2">
      <c r="B440" s="32"/>
      <c r="C440" s="32"/>
    </row>
    <row r="441" spans="2:3" x14ac:dyDescent="0.2">
      <c r="B441" s="32"/>
      <c r="C441" s="32"/>
    </row>
    <row r="442" spans="2:3" x14ac:dyDescent="0.2">
      <c r="B442" s="32"/>
      <c r="C442" s="32"/>
    </row>
    <row r="443" spans="2:3" x14ac:dyDescent="0.2">
      <c r="B443" s="32"/>
      <c r="C443" s="32"/>
    </row>
    <row r="444" spans="2:3" x14ac:dyDescent="0.2">
      <c r="B444" s="32"/>
      <c r="C444" s="32"/>
    </row>
    <row r="445" spans="2:3" x14ac:dyDescent="0.2">
      <c r="B445" s="32"/>
      <c r="C445" s="32"/>
    </row>
    <row r="446" spans="2:3" x14ac:dyDescent="0.2">
      <c r="B446" s="32"/>
      <c r="C446" s="32"/>
    </row>
    <row r="447" spans="2:3" x14ac:dyDescent="0.2">
      <c r="B447" s="32"/>
      <c r="C447" s="32"/>
    </row>
    <row r="448" spans="2:3" x14ac:dyDescent="0.2">
      <c r="B448" s="32"/>
      <c r="C448" s="32"/>
    </row>
    <row r="449" spans="2:3" x14ac:dyDescent="0.2">
      <c r="B449" s="32"/>
      <c r="C449" s="32"/>
    </row>
    <row r="450" spans="2:3" x14ac:dyDescent="0.2">
      <c r="B450" s="32"/>
      <c r="C450" s="32"/>
    </row>
    <row r="451" spans="2:3" x14ac:dyDescent="0.2">
      <c r="B451" s="32"/>
      <c r="C451" s="32"/>
    </row>
    <row r="452" spans="2:3" x14ac:dyDescent="0.2">
      <c r="B452" s="32"/>
      <c r="C452" s="32"/>
    </row>
    <row r="453" spans="2:3" x14ac:dyDescent="0.2">
      <c r="B453" s="32"/>
      <c r="C453" s="32"/>
    </row>
    <row r="454" spans="2:3" x14ac:dyDescent="0.2">
      <c r="B454" s="32"/>
      <c r="C454" s="32"/>
    </row>
    <row r="455" spans="2:3" x14ac:dyDescent="0.2">
      <c r="B455" s="32"/>
      <c r="C455" s="32"/>
    </row>
    <row r="456" spans="2:3" x14ac:dyDescent="0.2">
      <c r="B456" s="32"/>
      <c r="C456" s="32"/>
    </row>
    <row r="457" spans="2:3" x14ac:dyDescent="0.2">
      <c r="B457" s="32"/>
      <c r="C457" s="32"/>
    </row>
    <row r="458" spans="2:3" x14ac:dyDescent="0.2">
      <c r="B458" s="32"/>
      <c r="C458" s="32"/>
    </row>
    <row r="459" spans="2:3" x14ac:dyDescent="0.2">
      <c r="B459" s="32"/>
      <c r="C459" s="32"/>
    </row>
    <row r="460" spans="2:3" x14ac:dyDescent="0.2">
      <c r="B460" s="32"/>
      <c r="C460" s="32"/>
    </row>
    <row r="461" spans="2:3" x14ac:dyDescent="0.2">
      <c r="B461" s="32"/>
      <c r="C461" s="32"/>
    </row>
    <row r="462" spans="2:3" x14ac:dyDescent="0.2">
      <c r="B462" s="32"/>
      <c r="C462" s="32"/>
    </row>
    <row r="463" spans="2:3" x14ac:dyDescent="0.2">
      <c r="B463" s="32"/>
      <c r="C463" s="32"/>
    </row>
    <row r="464" spans="2:3" x14ac:dyDescent="0.2">
      <c r="B464" s="32"/>
      <c r="C464" s="32"/>
    </row>
    <row r="465" spans="2:3" x14ac:dyDescent="0.2">
      <c r="B465" s="32"/>
      <c r="C465" s="32"/>
    </row>
    <row r="466" spans="2:3" x14ac:dyDescent="0.2">
      <c r="B466" s="32"/>
      <c r="C466" s="32"/>
    </row>
    <row r="467" spans="2:3" x14ac:dyDescent="0.2">
      <c r="B467" s="32"/>
      <c r="C467" s="32"/>
    </row>
    <row r="468" spans="2:3" x14ac:dyDescent="0.2">
      <c r="B468" s="32"/>
      <c r="C468" s="32"/>
    </row>
    <row r="469" spans="2:3" x14ac:dyDescent="0.2">
      <c r="B469" s="32"/>
      <c r="C469" s="32"/>
    </row>
    <row r="470" spans="2:3" x14ac:dyDescent="0.2">
      <c r="B470" s="32"/>
      <c r="C470" s="32"/>
    </row>
    <row r="471" spans="2:3" x14ac:dyDescent="0.2">
      <c r="B471" s="32"/>
      <c r="C471" s="32"/>
    </row>
    <row r="472" spans="2:3" x14ac:dyDescent="0.2">
      <c r="B472" s="32"/>
      <c r="C472" s="32"/>
    </row>
    <row r="473" spans="2:3" x14ac:dyDescent="0.2">
      <c r="B473" s="32"/>
      <c r="C473" s="32"/>
    </row>
    <row r="474" spans="2:3" x14ac:dyDescent="0.2">
      <c r="B474" s="32"/>
      <c r="C474" s="32"/>
    </row>
    <row r="475" spans="2:3" x14ac:dyDescent="0.2">
      <c r="B475" s="32"/>
      <c r="C475" s="32"/>
    </row>
    <row r="476" spans="2:3" x14ac:dyDescent="0.2">
      <c r="B476" s="32"/>
      <c r="C476" s="32"/>
    </row>
    <row r="477" spans="2:3" x14ac:dyDescent="0.2">
      <c r="B477" s="32"/>
      <c r="C477" s="32"/>
    </row>
    <row r="478" spans="2:3" x14ac:dyDescent="0.2">
      <c r="B478" s="32"/>
      <c r="C478" s="32"/>
    </row>
    <row r="479" spans="2:3" x14ac:dyDescent="0.2">
      <c r="B479" s="32"/>
      <c r="C479" s="32"/>
    </row>
    <row r="480" spans="2:3" x14ac:dyDescent="0.2">
      <c r="B480" s="32"/>
      <c r="C480" s="32"/>
    </row>
    <row r="481" spans="2:3" x14ac:dyDescent="0.2">
      <c r="B481" s="32"/>
      <c r="C481" s="32"/>
    </row>
    <row r="482" spans="2:3" x14ac:dyDescent="0.2">
      <c r="B482" s="32"/>
      <c r="C482" s="32"/>
    </row>
    <row r="483" spans="2:3" x14ac:dyDescent="0.2">
      <c r="B483" s="32"/>
      <c r="C483" s="32"/>
    </row>
    <row r="484" spans="2:3" x14ac:dyDescent="0.2">
      <c r="B484" s="32"/>
      <c r="C484" s="32"/>
    </row>
    <row r="485" spans="2:3" x14ac:dyDescent="0.2">
      <c r="B485" s="32"/>
      <c r="C485" s="32"/>
    </row>
    <row r="486" spans="2:3" x14ac:dyDescent="0.2">
      <c r="B486" s="32"/>
      <c r="C486" s="32"/>
    </row>
    <row r="487" spans="2:3" x14ac:dyDescent="0.2">
      <c r="B487" s="32"/>
      <c r="C487" s="32"/>
    </row>
    <row r="488" spans="2:3" x14ac:dyDescent="0.2">
      <c r="B488" s="32"/>
      <c r="C488" s="32"/>
    </row>
    <row r="489" spans="2:3" x14ac:dyDescent="0.2">
      <c r="B489" s="32"/>
      <c r="C489" s="32"/>
    </row>
    <row r="490" spans="2:3" x14ac:dyDescent="0.2">
      <c r="B490" s="32"/>
      <c r="C490" s="32"/>
    </row>
    <row r="491" spans="2:3" x14ac:dyDescent="0.2">
      <c r="B491" s="32"/>
      <c r="C491" s="32"/>
    </row>
    <row r="492" spans="2:3" x14ac:dyDescent="0.2">
      <c r="B492" s="32"/>
      <c r="C492" s="32"/>
    </row>
    <row r="493" spans="2:3" x14ac:dyDescent="0.2">
      <c r="B493" s="32"/>
      <c r="C493" s="32"/>
    </row>
    <row r="494" spans="2:3" x14ac:dyDescent="0.2">
      <c r="B494" s="32"/>
      <c r="C494" s="32"/>
    </row>
    <row r="495" spans="2:3" x14ac:dyDescent="0.2">
      <c r="B495" s="32"/>
      <c r="C495" s="32"/>
    </row>
    <row r="496" spans="2:3" x14ac:dyDescent="0.2">
      <c r="B496" s="32"/>
      <c r="C496" s="32"/>
    </row>
    <row r="497" spans="2:3" x14ac:dyDescent="0.2">
      <c r="B497" s="32"/>
      <c r="C497" s="32"/>
    </row>
    <row r="498" spans="2:3" x14ac:dyDescent="0.2">
      <c r="B498" s="32"/>
      <c r="C498" s="32"/>
    </row>
    <row r="499" spans="2:3" x14ac:dyDescent="0.2">
      <c r="B499" s="32"/>
      <c r="C499" s="32"/>
    </row>
    <row r="500" spans="2:3" x14ac:dyDescent="0.2">
      <c r="B500" s="32"/>
      <c r="C500" s="32"/>
    </row>
    <row r="501" spans="2:3" x14ac:dyDescent="0.2">
      <c r="B501" s="32"/>
      <c r="C501" s="32"/>
    </row>
    <row r="502" spans="2:3" x14ac:dyDescent="0.2">
      <c r="B502" s="32"/>
      <c r="C502" s="32"/>
    </row>
    <row r="503" spans="2:3" x14ac:dyDescent="0.2">
      <c r="B503" s="32"/>
      <c r="C503" s="32"/>
    </row>
    <row r="504" spans="2:3" x14ac:dyDescent="0.2">
      <c r="B504" s="32"/>
      <c r="C504" s="32"/>
    </row>
    <row r="505" spans="2:3" x14ac:dyDescent="0.2">
      <c r="B505" s="32"/>
      <c r="C505" s="32"/>
    </row>
    <row r="506" spans="2:3" x14ac:dyDescent="0.2">
      <c r="B506" s="32"/>
      <c r="C506" s="32"/>
    </row>
    <row r="507" spans="2:3" x14ac:dyDescent="0.2">
      <c r="B507" s="32"/>
      <c r="C507" s="32"/>
    </row>
    <row r="508" spans="2:3" x14ac:dyDescent="0.2">
      <c r="B508" s="32"/>
      <c r="C508" s="32"/>
    </row>
    <row r="509" spans="2:3" x14ac:dyDescent="0.2">
      <c r="B509" s="32"/>
      <c r="C509" s="32"/>
    </row>
    <row r="510" spans="2:3" x14ac:dyDescent="0.2">
      <c r="B510" s="32"/>
      <c r="C510" s="32"/>
    </row>
    <row r="511" spans="2:3" x14ac:dyDescent="0.2">
      <c r="B511" s="32"/>
      <c r="C511" s="32"/>
    </row>
    <row r="512" spans="2:3" x14ac:dyDescent="0.2">
      <c r="B512" s="32"/>
      <c r="C512" s="32"/>
    </row>
    <row r="513" spans="2:3" x14ac:dyDescent="0.2">
      <c r="B513" s="32"/>
      <c r="C513" s="32"/>
    </row>
    <row r="514" spans="2:3" x14ac:dyDescent="0.2">
      <c r="B514" s="32"/>
      <c r="C514" s="32"/>
    </row>
    <row r="515" spans="2:3" x14ac:dyDescent="0.2">
      <c r="B515" s="32"/>
      <c r="C515" s="32"/>
    </row>
    <row r="516" spans="2:3" x14ac:dyDescent="0.2">
      <c r="B516" s="32"/>
      <c r="C516" s="32"/>
    </row>
    <row r="517" spans="2:3" x14ac:dyDescent="0.2">
      <c r="B517" s="32"/>
      <c r="C517" s="32"/>
    </row>
    <row r="518" spans="2:3" x14ac:dyDescent="0.2">
      <c r="B518" s="32"/>
      <c r="C518" s="32"/>
    </row>
    <row r="519" spans="2:3" x14ac:dyDescent="0.2">
      <c r="B519" s="32"/>
      <c r="C519" s="32"/>
    </row>
    <row r="520" spans="2:3" x14ac:dyDescent="0.2">
      <c r="B520" s="32"/>
      <c r="C520" s="32"/>
    </row>
    <row r="521" spans="2:3" x14ac:dyDescent="0.2">
      <c r="B521" s="32"/>
      <c r="C521" s="32"/>
    </row>
    <row r="522" spans="2:3" x14ac:dyDescent="0.2">
      <c r="B522" s="32"/>
      <c r="C522" s="32"/>
    </row>
    <row r="523" spans="2:3" x14ac:dyDescent="0.2">
      <c r="B523" s="32"/>
      <c r="C523" s="32"/>
    </row>
    <row r="524" spans="2:3" x14ac:dyDescent="0.2">
      <c r="B524" s="32"/>
      <c r="C524" s="32"/>
    </row>
    <row r="525" spans="2:3" x14ac:dyDescent="0.2">
      <c r="B525" s="32"/>
      <c r="C525" s="32"/>
    </row>
    <row r="526" spans="2:3" x14ac:dyDescent="0.2">
      <c r="B526" s="32"/>
      <c r="C526" s="32"/>
    </row>
    <row r="527" spans="2:3" x14ac:dyDescent="0.2">
      <c r="B527" s="32"/>
      <c r="C527" s="32"/>
    </row>
    <row r="528" spans="2:3" x14ac:dyDescent="0.2">
      <c r="B528" s="32"/>
      <c r="C528" s="32"/>
    </row>
    <row r="529" spans="2:3" x14ac:dyDescent="0.2">
      <c r="B529" s="32"/>
      <c r="C529" s="32"/>
    </row>
    <row r="530" spans="2:3" x14ac:dyDescent="0.2">
      <c r="B530" s="32"/>
      <c r="C530" s="32"/>
    </row>
    <row r="531" spans="2:3" x14ac:dyDescent="0.2">
      <c r="B531" s="32"/>
      <c r="C531" s="32"/>
    </row>
    <row r="532" spans="2:3" x14ac:dyDescent="0.2">
      <c r="B532" s="32"/>
      <c r="C532" s="32"/>
    </row>
    <row r="533" spans="2:3" x14ac:dyDescent="0.2">
      <c r="B533" s="32"/>
      <c r="C533" s="32"/>
    </row>
    <row r="534" spans="2:3" x14ac:dyDescent="0.2">
      <c r="B534" s="32"/>
      <c r="C534" s="32"/>
    </row>
    <row r="535" spans="2:3" x14ac:dyDescent="0.2">
      <c r="B535" s="32"/>
      <c r="C535" s="32"/>
    </row>
    <row r="536" spans="2:3" x14ac:dyDescent="0.2">
      <c r="B536" s="32"/>
      <c r="C536" s="32"/>
    </row>
    <row r="537" spans="2:3" x14ac:dyDescent="0.2">
      <c r="B537" s="32"/>
      <c r="C537" s="32"/>
    </row>
    <row r="538" spans="2:3" x14ac:dyDescent="0.2">
      <c r="B538" s="32"/>
      <c r="C538" s="32"/>
    </row>
    <row r="539" spans="2:3" x14ac:dyDescent="0.2">
      <c r="B539" s="32"/>
      <c r="C539" s="32"/>
    </row>
    <row r="540" spans="2:3" x14ac:dyDescent="0.2">
      <c r="B540" s="32"/>
      <c r="C540" s="32"/>
    </row>
    <row r="541" spans="2:3" x14ac:dyDescent="0.2">
      <c r="B541" s="32"/>
      <c r="C541" s="32"/>
    </row>
    <row r="542" spans="2:3" x14ac:dyDescent="0.2">
      <c r="B542" s="32"/>
      <c r="C542" s="32"/>
    </row>
    <row r="543" spans="2:3" x14ac:dyDescent="0.2">
      <c r="B543" s="32"/>
      <c r="C543" s="32"/>
    </row>
    <row r="544" spans="2:3" x14ac:dyDescent="0.2">
      <c r="B544" s="32"/>
      <c r="C544" s="32"/>
    </row>
    <row r="545" spans="2:3" x14ac:dyDescent="0.2">
      <c r="B545" s="32"/>
      <c r="C545" s="32"/>
    </row>
    <row r="546" spans="2:3" x14ac:dyDescent="0.2">
      <c r="B546" s="32"/>
      <c r="C546" s="32"/>
    </row>
    <row r="547" spans="2:3" x14ac:dyDescent="0.2">
      <c r="B547" s="32"/>
      <c r="C547" s="32"/>
    </row>
    <row r="548" spans="2:3" x14ac:dyDescent="0.2">
      <c r="B548" s="32"/>
      <c r="C548" s="32"/>
    </row>
    <row r="549" spans="2:3" x14ac:dyDescent="0.2">
      <c r="B549" s="32"/>
      <c r="C549" s="32"/>
    </row>
    <row r="550" spans="2:3" x14ac:dyDescent="0.2">
      <c r="B550" s="32"/>
      <c r="C550" s="32"/>
    </row>
    <row r="551" spans="2:3" x14ac:dyDescent="0.2">
      <c r="B551" s="32"/>
      <c r="C551" s="32"/>
    </row>
    <row r="552" spans="2:3" x14ac:dyDescent="0.2">
      <c r="B552" s="32"/>
      <c r="C552" s="32"/>
    </row>
    <row r="553" spans="2:3" x14ac:dyDescent="0.2">
      <c r="B553" s="32"/>
      <c r="C553" s="32"/>
    </row>
    <row r="554" spans="2:3" x14ac:dyDescent="0.2">
      <c r="B554" s="32"/>
      <c r="C554" s="32"/>
    </row>
    <row r="555" spans="2:3" x14ac:dyDescent="0.2">
      <c r="B555" s="32"/>
      <c r="C555" s="32"/>
    </row>
    <row r="556" spans="2:3" x14ac:dyDescent="0.2">
      <c r="B556" s="32"/>
      <c r="C556" s="32"/>
    </row>
    <row r="557" spans="2:3" x14ac:dyDescent="0.2">
      <c r="B557" s="32"/>
      <c r="C557" s="32"/>
    </row>
    <row r="558" spans="2:3" x14ac:dyDescent="0.2">
      <c r="B558" s="32"/>
      <c r="C558" s="32"/>
    </row>
    <row r="559" spans="2:3" x14ac:dyDescent="0.2">
      <c r="B559" s="32"/>
      <c r="C559" s="32"/>
    </row>
    <row r="560" spans="2:3" x14ac:dyDescent="0.2">
      <c r="B560" s="32"/>
      <c r="C560" s="32"/>
    </row>
    <row r="561" spans="2:3" x14ac:dyDescent="0.2">
      <c r="B561" s="32"/>
      <c r="C561" s="32"/>
    </row>
    <row r="562" spans="2:3" x14ac:dyDescent="0.2">
      <c r="B562" s="32"/>
      <c r="C562" s="32"/>
    </row>
    <row r="563" spans="2:3" x14ac:dyDescent="0.2">
      <c r="B563" s="32"/>
      <c r="C563" s="32"/>
    </row>
    <row r="564" spans="2:3" x14ac:dyDescent="0.2">
      <c r="B564" s="32"/>
      <c r="C564" s="32"/>
    </row>
    <row r="565" spans="2:3" x14ac:dyDescent="0.2">
      <c r="B565" s="32"/>
      <c r="C565" s="32"/>
    </row>
    <row r="566" spans="2:3" x14ac:dyDescent="0.2">
      <c r="B566" s="32"/>
      <c r="C566" s="32"/>
    </row>
    <row r="567" spans="2:3" x14ac:dyDescent="0.2">
      <c r="B567" s="32"/>
      <c r="C567" s="32"/>
    </row>
    <row r="568" spans="2:3" x14ac:dyDescent="0.2">
      <c r="B568" s="32"/>
      <c r="C568" s="32"/>
    </row>
    <row r="569" spans="2:3" x14ac:dyDescent="0.2">
      <c r="B569" s="32"/>
      <c r="C569" s="32"/>
    </row>
    <row r="570" spans="2:3" x14ac:dyDescent="0.2">
      <c r="B570" s="32"/>
      <c r="C570" s="32"/>
    </row>
    <row r="571" spans="2:3" x14ac:dyDescent="0.2">
      <c r="B571" s="32"/>
      <c r="C571" s="32"/>
    </row>
    <row r="572" spans="2:3" x14ac:dyDescent="0.2">
      <c r="B572" s="32"/>
      <c r="C572" s="32"/>
    </row>
    <row r="573" spans="2:3" x14ac:dyDescent="0.2">
      <c r="B573" s="32"/>
      <c r="C573" s="32"/>
    </row>
    <row r="574" spans="2:3" x14ac:dyDescent="0.2">
      <c r="B574" s="32"/>
      <c r="C574" s="32"/>
    </row>
    <row r="575" spans="2:3" x14ac:dyDescent="0.2">
      <c r="B575" s="32"/>
      <c r="C575" s="32"/>
    </row>
    <row r="576" spans="2:3" x14ac:dyDescent="0.2">
      <c r="B576" s="32"/>
      <c r="C576" s="32"/>
    </row>
    <row r="577" spans="2:3" x14ac:dyDescent="0.2">
      <c r="B577" s="32"/>
      <c r="C577" s="32"/>
    </row>
    <row r="578" spans="2:3" x14ac:dyDescent="0.2">
      <c r="B578" s="32"/>
      <c r="C578" s="32"/>
    </row>
    <row r="579" spans="2:3" x14ac:dyDescent="0.2">
      <c r="B579" s="32"/>
      <c r="C579" s="32"/>
    </row>
    <row r="580" spans="2:3" x14ac:dyDescent="0.2">
      <c r="B580" s="32"/>
      <c r="C580" s="32"/>
    </row>
    <row r="581" spans="2:3" x14ac:dyDescent="0.2">
      <c r="B581" s="32"/>
      <c r="C581" s="32"/>
    </row>
    <row r="582" spans="2:3" x14ac:dyDescent="0.2">
      <c r="B582" s="32"/>
      <c r="C582" s="32"/>
    </row>
    <row r="583" spans="2:3" x14ac:dyDescent="0.2">
      <c r="B583" s="32"/>
      <c r="C583" s="32"/>
    </row>
    <row r="584" spans="2:3" x14ac:dyDescent="0.2">
      <c r="B584" s="32"/>
      <c r="C584" s="32"/>
    </row>
    <row r="585" spans="2:3" x14ac:dyDescent="0.2">
      <c r="B585" s="32"/>
      <c r="C585" s="32"/>
    </row>
    <row r="586" spans="2:3" x14ac:dyDescent="0.2">
      <c r="B586" s="32"/>
      <c r="C586" s="32"/>
    </row>
    <row r="587" spans="2:3" x14ac:dyDescent="0.2">
      <c r="B587" s="32"/>
      <c r="C587" s="32"/>
    </row>
    <row r="588" spans="2:3" x14ac:dyDescent="0.2">
      <c r="B588" s="32"/>
      <c r="C588" s="32"/>
    </row>
    <row r="589" spans="2:3" x14ac:dyDescent="0.2">
      <c r="B589" s="32"/>
      <c r="C589" s="32"/>
    </row>
    <row r="590" spans="2:3" x14ac:dyDescent="0.2">
      <c r="B590" s="32"/>
      <c r="C590" s="32"/>
    </row>
    <row r="591" spans="2:3" x14ac:dyDescent="0.2">
      <c r="B591" s="32"/>
      <c r="C591" s="32"/>
    </row>
    <row r="592" spans="2:3" x14ac:dyDescent="0.2">
      <c r="B592" s="32"/>
      <c r="C592" s="32"/>
    </row>
    <row r="593" spans="2:3" x14ac:dyDescent="0.2">
      <c r="B593" s="32"/>
      <c r="C593" s="32"/>
    </row>
    <row r="594" spans="2:3" x14ac:dyDescent="0.2">
      <c r="B594" s="32"/>
      <c r="C594" s="32"/>
    </row>
    <row r="595" spans="2:3" x14ac:dyDescent="0.2">
      <c r="B595" s="32"/>
      <c r="C595" s="32"/>
    </row>
    <row r="596" spans="2:3" x14ac:dyDescent="0.2">
      <c r="B596" s="32"/>
      <c r="C596" s="32"/>
    </row>
    <row r="597" spans="2:3" x14ac:dyDescent="0.2">
      <c r="B597" s="32"/>
      <c r="C597" s="32"/>
    </row>
    <row r="598" spans="2:3" x14ac:dyDescent="0.2">
      <c r="B598" s="32"/>
      <c r="C598" s="32"/>
    </row>
    <row r="599" spans="2:3" x14ac:dyDescent="0.2">
      <c r="B599" s="32"/>
      <c r="C599" s="32"/>
    </row>
    <row r="600" spans="2:3" x14ac:dyDescent="0.2">
      <c r="B600" s="32"/>
      <c r="C600" s="32"/>
    </row>
    <row r="601" spans="2:3" x14ac:dyDescent="0.2">
      <c r="B601" s="32"/>
      <c r="C601" s="32"/>
    </row>
    <row r="602" spans="2:3" x14ac:dyDescent="0.2">
      <c r="B602" s="32"/>
      <c r="C602" s="32"/>
    </row>
    <row r="603" spans="2:3" x14ac:dyDescent="0.2">
      <c r="B603" s="32"/>
      <c r="C603" s="32"/>
    </row>
    <row r="604" spans="2:3" x14ac:dyDescent="0.2">
      <c r="B604" s="32"/>
      <c r="C604" s="32"/>
    </row>
    <row r="605" spans="2:3" x14ac:dyDescent="0.2">
      <c r="B605" s="32"/>
      <c r="C605" s="32"/>
    </row>
    <row r="606" spans="2:3" x14ac:dyDescent="0.2">
      <c r="B606" s="32"/>
      <c r="C606" s="32"/>
    </row>
    <row r="607" spans="2:3" x14ac:dyDescent="0.2">
      <c r="B607" s="32"/>
      <c r="C607" s="32"/>
    </row>
    <row r="608" spans="2:3" x14ac:dyDescent="0.2">
      <c r="B608" s="32"/>
      <c r="C608" s="32"/>
    </row>
    <row r="609" spans="2:3" x14ac:dyDescent="0.2">
      <c r="B609" s="32"/>
      <c r="C609" s="32"/>
    </row>
    <row r="610" spans="2:3" x14ac:dyDescent="0.2">
      <c r="B610" s="32"/>
      <c r="C610" s="32"/>
    </row>
    <row r="611" spans="2:3" x14ac:dyDescent="0.2">
      <c r="B611" s="32"/>
      <c r="C611" s="32"/>
    </row>
    <row r="612" spans="2:3" x14ac:dyDescent="0.2">
      <c r="B612" s="32"/>
      <c r="C612" s="32"/>
    </row>
    <row r="613" spans="2:3" x14ac:dyDescent="0.2">
      <c r="B613" s="32"/>
      <c r="C613" s="32"/>
    </row>
    <row r="614" spans="2:3" x14ac:dyDescent="0.2">
      <c r="B614" s="32"/>
      <c r="C614" s="32"/>
    </row>
    <row r="615" spans="2:3" x14ac:dyDescent="0.2">
      <c r="B615" s="32"/>
      <c r="C615" s="32"/>
    </row>
    <row r="616" spans="2:3" x14ac:dyDescent="0.2">
      <c r="B616" s="32"/>
      <c r="C616" s="32"/>
    </row>
    <row r="617" spans="2:3" x14ac:dyDescent="0.2">
      <c r="B617" s="32"/>
      <c r="C617" s="32"/>
    </row>
    <row r="618" spans="2:3" x14ac:dyDescent="0.2">
      <c r="B618" s="32"/>
      <c r="C618" s="32"/>
    </row>
    <row r="619" spans="2:3" x14ac:dyDescent="0.2">
      <c r="B619" s="32"/>
      <c r="C619" s="32"/>
    </row>
    <row r="620" spans="2:3" x14ac:dyDescent="0.2">
      <c r="B620" s="32"/>
      <c r="C620" s="32"/>
    </row>
    <row r="621" spans="2:3" x14ac:dyDescent="0.2">
      <c r="B621" s="32"/>
      <c r="C621" s="32"/>
    </row>
    <row r="622" spans="2:3" x14ac:dyDescent="0.2">
      <c r="B622" s="32"/>
      <c r="C622" s="32"/>
    </row>
    <row r="623" spans="2:3" x14ac:dyDescent="0.2">
      <c r="B623" s="32"/>
      <c r="C623" s="32"/>
    </row>
    <row r="624" spans="2:3" x14ac:dyDescent="0.2">
      <c r="B624" s="32"/>
      <c r="C624" s="32"/>
    </row>
    <row r="625" spans="2:3" x14ac:dyDescent="0.2">
      <c r="B625" s="32"/>
      <c r="C625" s="32"/>
    </row>
    <row r="626" spans="2:3" x14ac:dyDescent="0.2">
      <c r="B626" s="32"/>
      <c r="C626" s="32"/>
    </row>
    <row r="627" spans="2:3" x14ac:dyDescent="0.2">
      <c r="B627" s="32"/>
      <c r="C627" s="32"/>
    </row>
    <row r="628" spans="2:3" x14ac:dyDescent="0.2">
      <c r="B628" s="32"/>
      <c r="C628" s="32"/>
    </row>
    <row r="629" spans="2:3" x14ac:dyDescent="0.2">
      <c r="B629" s="32"/>
      <c r="C629" s="32"/>
    </row>
    <row r="630" spans="2:3" x14ac:dyDescent="0.2">
      <c r="B630" s="32"/>
      <c r="C630" s="32"/>
    </row>
    <row r="631" spans="2:3" x14ac:dyDescent="0.2">
      <c r="B631" s="32"/>
      <c r="C631" s="32"/>
    </row>
    <row r="632" spans="2:3" x14ac:dyDescent="0.2">
      <c r="B632" s="32"/>
      <c r="C632" s="32"/>
    </row>
    <row r="633" spans="2:3" x14ac:dyDescent="0.2">
      <c r="B633" s="32"/>
      <c r="C633" s="32"/>
    </row>
    <row r="634" spans="2:3" x14ac:dyDescent="0.2">
      <c r="B634" s="32"/>
      <c r="C634" s="32"/>
    </row>
    <row r="635" spans="2:3" x14ac:dyDescent="0.2">
      <c r="B635" s="32"/>
      <c r="C635" s="32"/>
    </row>
    <row r="636" spans="2:3" x14ac:dyDescent="0.2">
      <c r="B636" s="32"/>
      <c r="C636" s="32"/>
    </row>
    <row r="637" spans="2:3" x14ac:dyDescent="0.2">
      <c r="B637" s="32"/>
      <c r="C637" s="32"/>
    </row>
    <row r="638" spans="2:3" x14ac:dyDescent="0.2">
      <c r="B638" s="32"/>
      <c r="C638" s="32"/>
    </row>
    <row r="639" spans="2:3" x14ac:dyDescent="0.2">
      <c r="B639" s="32"/>
      <c r="C639" s="32"/>
    </row>
    <row r="640" spans="2:3" x14ac:dyDescent="0.2">
      <c r="B640" s="32"/>
      <c r="C640" s="32"/>
    </row>
    <row r="641" spans="2:3" x14ac:dyDescent="0.2">
      <c r="B641" s="32"/>
      <c r="C641" s="32"/>
    </row>
    <row r="642" spans="2:3" x14ac:dyDescent="0.2">
      <c r="B642" s="32"/>
      <c r="C642" s="32"/>
    </row>
    <row r="643" spans="2:3" x14ac:dyDescent="0.2">
      <c r="B643" s="32"/>
      <c r="C643" s="32"/>
    </row>
    <row r="644" spans="2:3" x14ac:dyDescent="0.2">
      <c r="B644" s="32"/>
      <c r="C644" s="32"/>
    </row>
    <row r="645" spans="2:3" x14ac:dyDescent="0.2">
      <c r="B645" s="32"/>
      <c r="C645" s="32"/>
    </row>
    <row r="646" spans="2:3" x14ac:dyDescent="0.2">
      <c r="B646" s="32"/>
      <c r="C646" s="32"/>
    </row>
    <row r="647" spans="2:3" x14ac:dyDescent="0.2">
      <c r="B647" s="32"/>
      <c r="C647" s="32"/>
    </row>
    <row r="648" spans="2:3" x14ac:dyDescent="0.2">
      <c r="B648" s="32"/>
      <c r="C648" s="32"/>
    </row>
    <row r="649" spans="2:3" x14ac:dyDescent="0.2">
      <c r="B649" s="32"/>
      <c r="C649" s="32"/>
    </row>
    <row r="650" spans="2:3" x14ac:dyDescent="0.2">
      <c r="B650" s="32"/>
      <c r="C650" s="32"/>
    </row>
    <row r="651" spans="2:3" x14ac:dyDescent="0.2">
      <c r="B651" s="32"/>
      <c r="C651" s="32"/>
    </row>
    <row r="652" spans="2:3" x14ac:dyDescent="0.2">
      <c r="B652" s="32"/>
      <c r="C652" s="32"/>
    </row>
    <row r="653" spans="2:3" x14ac:dyDescent="0.2">
      <c r="B653" s="32"/>
      <c r="C653" s="32"/>
    </row>
    <row r="654" spans="2:3" x14ac:dyDescent="0.2">
      <c r="B654" s="32"/>
      <c r="C654" s="32"/>
    </row>
    <row r="655" spans="2:3" x14ac:dyDescent="0.2">
      <c r="B655" s="32"/>
      <c r="C655" s="32"/>
    </row>
    <row r="656" spans="2:3" x14ac:dyDescent="0.2">
      <c r="B656" s="32"/>
      <c r="C656" s="32"/>
    </row>
    <row r="657" spans="2:3" x14ac:dyDescent="0.2">
      <c r="B657" s="32"/>
      <c r="C657" s="32"/>
    </row>
    <row r="658" spans="2:3" x14ac:dyDescent="0.2">
      <c r="B658" s="32"/>
      <c r="C658" s="32"/>
    </row>
    <row r="659" spans="2:3" x14ac:dyDescent="0.2">
      <c r="B659" s="32"/>
      <c r="C659" s="32"/>
    </row>
    <row r="660" spans="2:3" x14ac:dyDescent="0.2">
      <c r="B660" s="32"/>
      <c r="C660" s="32"/>
    </row>
    <row r="661" spans="2:3" x14ac:dyDescent="0.2">
      <c r="B661" s="32"/>
      <c r="C661" s="32"/>
    </row>
    <row r="662" spans="2:3" x14ac:dyDescent="0.2">
      <c r="B662" s="32"/>
      <c r="C662" s="32"/>
    </row>
    <row r="663" spans="2:3" x14ac:dyDescent="0.2">
      <c r="B663" s="32"/>
      <c r="C663" s="32"/>
    </row>
    <row r="664" spans="2:3" x14ac:dyDescent="0.2">
      <c r="B664" s="32"/>
      <c r="C664" s="32"/>
    </row>
    <row r="665" spans="2:3" x14ac:dyDescent="0.2">
      <c r="B665" s="32"/>
      <c r="C665" s="32"/>
    </row>
    <row r="666" spans="2:3" x14ac:dyDescent="0.2">
      <c r="B666" s="32"/>
      <c r="C666" s="32"/>
    </row>
    <row r="667" spans="2:3" x14ac:dyDescent="0.2">
      <c r="B667" s="32"/>
      <c r="C667" s="32"/>
    </row>
    <row r="668" spans="2:3" x14ac:dyDescent="0.2">
      <c r="B668" s="32"/>
      <c r="C668" s="32"/>
    </row>
    <row r="669" spans="2:3" x14ac:dyDescent="0.2">
      <c r="B669" s="32"/>
      <c r="C669" s="32"/>
    </row>
    <row r="670" spans="2:3" x14ac:dyDescent="0.2">
      <c r="B670" s="32"/>
      <c r="C670" s="32"/>
    </row>
    <row r="671" spans="2:3" x14ac:dyDescent="0.2">
      <c r="B671" s="32"/>
      <c r="C671" s="32"/>
    </row>
    <row r="672" spans="2:3" x14ac:dyDescent="0.2">
      <c r="B672" s="32"/>
      <c r="C672" s="32"/>
    </row>
    <row r="673" spans="2:3" x14ac:dyDescent="0.2">
      <c r="B673" s="32"/>
      <c r="C673" s="32"/>
    </row>
    <row r="674" spans="2:3" x14ac:dyDescent="0.2">
      <c r="B674" s="32"/>
      <c r="C674" s="32"/>
    </row>
    <row r="675" spans="2:3" x14ac:dyDescent="0.2">
      <c r="B675" s="32"/>
      <c r="C675" s="32"/>
    </row>
    <row r="676" spans="2:3" x14ac:dyDescent="0.2">
      <c r="B676" s="32"/>
      <c r="C676" s="32"/>
    </row>
    <row r="677" spans="2:3" x14ac:dyDescent="0.2">
      <c r="B677" s="32"/>
      <c r="C677" s="32"/>
    </row>
    <row r="678" spans="2:3" x14ac:dyDescent="0.2">
      <c r="B678" s="32"/>
      <c r="C678" s="32"/>
    </row>
    <row r="679" spans="2:3" x14ac:dyDescent="0.2">
      <c r="B679" s="32"/>
      <c r="C679" s="32"/>
    </row>
    <row r="680" spans="2:3" x14ac:dyDescent="0.2">
      <c r="B680" s="32"/>
      <c r="C680" s="32"/>
    </row>
    <row r="681" spans="2:3" x14ac:dyDescent="0.2">
      <c r="B681" s="32"/>
      <c r="C681" s="32"/>
    </row>
    <row r="682" spans="2:3" x14ac:dyDescent="0.2">
      <c r="B682" s="32"/>
      <c r="C682" s="32"/>
    </row>
    <row r="683" spans="2:3" x14ac:dyDescent="0.2">
      <c r="B683" s="32"/>
      <c r="C683" s="32"/>
    </row>
    <row r="684" spans="2:3" x14ac:dyDescent="0.2">
      <c r="B684" s="32"/>
      <c r="C684" s="32"/>
    </row>
    <row r="685" spans="2:3" x14ac:dyDescent="0.2">
      <c r="B685" s="32"/>
      <c r="C685" s="32"/>
    </row>
    <row r="686" spans="2:3" x14ac:dyDescent="0.2">
      <c r="B686" s="32"/>
      <c r="C686" s="32"/>
    </row>
    <row r="687" spans="2:3" x14ac:dyDescent="0.2">
      <c r="B687" s="32"/>
      <c r="C687" s="32"/>
    </row>
    <row r="688" spans="2:3" x14ac:dyDescent="0.2">
      <c r="B688" s="32"/>
      <c r="C688" s="32"/>
    </row>
    <row r="689" spans="2:3" x14ac:dyDescent="0.2">
      <c r="B689" s="32"/>
      <c r="C689" s="32"/>
    </row>
    <row r="690" spans="2:3" x14ac:dyDescent="0.2">
      <c r="B690" s="32"/>
      <c r="C690" s="32"/>
    </row>
    <row r="691" spans="2:3" x14ac:dyDescent="0.2">
      <c r="B691" s="32"/>
      <c r="C691" s="32"/>
    </row>
    <row r="692" spans="2:3" x14ac:dyDescent="0.2">
      <c r="B692" s="32"/>
      <c r="C692" s="32"/>
    </row>
    <row r="693" spans="2:3" x14ac:dyDescent="0.2">
      <c r="B693" s="32"/>
      <c r="C693" s="32"/>
    </row>
    <row r="694" spans="2:3" x14ac:dyDescent="0.2">
      <c r="B694" s="32"/>
      <c r="C694" s="32"/>
    </row>
    <row r="695" spans="2:3" x14ac:dyDescent="0.2">
      <c r="B695" s="32"/>
      <c r="C695" s="32"/>
    </row>
    <row r="696" spans="2:3" x14ac:dyDescent="0.2">
      <c r="B696" s="32"/>
      <c r="C696" s="32"/>
    </row>
    <row r="697" spans="2:3" x14ac:dyDescent="0.2">
      <c r="B697" s="32"/>
      <c r="C697" s="32"/>
    </row>
    <row r="698" spans="2:3" x14ac:dyDescent="0.2">
      <c r="B698" s="32"/>
      <c r="C698" s="32"/>
    </row>
    <row r="699" spans="2:3" x14ac:dyDescent="0.2">
      <c r="B699" s="32"/>
      <c r="C699" s="32"/>
    </row>
    <row r="700" spans="2:3" x14ac:dyDescent="0.2">
      <c r="B700" s="32"/>
      <c r="C700" s="32"/>
    </row>
    <row r="701" spans="2:3" x14ac:dyDescent="0.2">
      <c r="B701" s="32"/>
      <c r="C701" s="32"/>
    </row>
    <row r="702" spans="2:3" x14ac:dyDescent="0.2">
      <c r="B702" s="32"/>
      <c r="C702" s="32"/>
    </row>
    <row r="703" spans="2:3" x14ac:dyDescent="0.2">
      <c r="B703" s="32"/>
      <c r="C703" s="32"/>
    </row>
    <row r="704" spans="2:3" x14ac:dyDescent="0.2">
      <c r="B704" s="32"/>
      <c r="C704" s="32"/>
    </row>
    <row r="705" spans="2:3" x14ac:dyDescent="0.2">
      <c r="B705" s="32"/>
      <c r="C705" s="32"/>
    </row>
    <row r="706" spans="2:3" x14ac:dyDescent="0.2">
      <c r="B706" s="32"/>
      <c r="C706" s="32"/>
    </row>
    <row r="707" spans="2:3" x14ac:dyDescent="0.2">
      <c r="B707" s="32"/>
      <c r="C707" s="32"/>
    </row>
    <row r="708" spans="2:3" x14ac:dyDescent="0.2">
      <c r="B708" s="32"/>
      <c r="C708" s="32"/>
    </row>
    <row r="709" spans="2:3" x14ac:dyDescent="0.2">
      <c r="B709" s="32"/>
      <c r="C709" s="32"/>
    </row>
    <row r="710" spans="2:3" x14ac:dyDescent="0.2">
      <c r="B710" s="32"/>
      <c r="C710" s="32"/>
    </row>
    <row r="711" spans="2:3" x14ac:dyDescent="0.2">
      <c r="B711" s="32"/>
      <c r="C711" s="32"/>
    </row>
    <row r="712" spans="2:3" x14ac:dyDescent="0.2">
      <c r="B712" s="32"/>
      <c r="C712" s="32"/>
    </row>
    <row r="713" spans="2:3" x14ac:dyDescent="0.2">
      <c r="B713" s="32"/>
      <c r="C713" s="32"/>
    </row>
    <row r="714" spans="2:3" x14ac:dyDescent="0.2">
      <c r="B714" s="32"/>
      <c r="C714" s="32"/>
    </row>
    <row r="715" spans="2:3" x14ac:dyDescent="0.2">
      <c r="B715" s="32"/>
      <c r="C715" s="32"/>
    </row>
    <row r="716" spans="2:3" x14ac:dyDescent="0.2">
      <c r="B716" s="32"/>
      <c r="C716" s="32"/>
    </row>
    <row r="717" spans="2:3" x14ac:dyDescent="0.2">
      <c r="B717" s="32"/>
      <c r="C717" s="32"/>
    </row>
    <row r="718" spans="2:3" x14ac:dyDescent="0.2">
      <c r="B718" s="32"/>
      <c r="C718" s="32"/>
    </row>
    <row r="719" spans="2:3" x14ac:dyDescent="0.2">
      <c r="B719" s="32"/>
      <c r="C719" s="32"/>
    </row>
    <row r="720" spans="2:3" x14ac:dyDescent="0.2">
      <c r="B720" s="32"/>
      <c r="C720" s="32"/>
    </row>
    <row r="721" spans="2:3" x14ac:dyDescent="0.2">
      <c r="B721" s="32"/>
      <c r="C721" s="32"/>
    </row>
    <row r="722" spans="2:3" x14ac:dyDescent="0.2">
      <c r="B722" s="32"/>
      <c r="C722" s="32"/>
    </row>
    <row r="723" spans="2:3" x14ac:dyDescent="0.2">
      <c r="B723" s="32"/>
      <c r="C723" s="32"/>
    </row>
    <row r="724" spans="2:3" x14ac:dyDescent="0.2">
      <c r="B724" s="32"/>
      <c r="C724" s="32"/>
    </row>
    <row r="725" spans="2:3" x14ac:dyDescent="0.2">
      <c r="B725" s="32"/>
      <c r="C725" s="32"/>
    </row>
    <row r="726" spans="2:3" x14ac:dyDescent="0.2">
      <c r="B726" s="32"/>
      <c r="C726" s="32"/>
    </row>
    <row r="727" spans="2:3" x14ac:dyDescent="0.2">
      <c r="B727" s="32"/>
      <c r="C727" s="32"/>
    </row>
    <row r="728" spans="2:3" x14ac:dyDescent="0.2">
      <c r="B728" s="32"/>
      <c r="C728" s="32"/>
    </row>
    <row r="729" spans="2:3" x14ac:dyDescent="0.2">
      <c r="B729" s="32"/>
      <c r="C729" s="32"/>
    </row>
    <row r="730" spans="2:3" x14ac:dyDescent="0.2">
      <c r="B730" s="32"/>
      <c r="C730" s="32"/>
    </row>
    <row r="731" spans="2:3" x14ac:dyDescent="0.2">
      <c r="B731" s="32"/>
      <c r="C731" s="32"/>
    </row>
    <row r="732" spans="2:3" x14ac:dyDescent="0.2">
      <c r="B732" s="32"/>
      <c r="C732" s="32"/>
    </row>
    <row r="733" spans="2:3" x14ac:dyDescent="0.2">
      <c r="B733" s="32"/>
      <c r="C733" s="32"/>
    </row>
    <row r="734" spans="2:3" x14ac:dyDescent="0.2">
      <c r="B734" s="32"/>
      <c r="C734" s="32"/>
    </row>
    <row r="735" spans="2:3" x14ac:dyDescent="0.2">
      <c r="B735" s="32"/>
      <c r="C735" s="32"/>
    </row>
    <row r="736" spans="2:3" x14ac:dyDescent="0.2">
      <c r="B736" s="32"/>
      <c r="C736" s="32"/>
    </row>
    <row r="737" spans="2:3" x14ac:dyDescent="0.2">
      <c r="B737" s="32"/>
      <c r="C737" s="32"/>
    </row>
    <row r="738" spans="2:3" x14ac:dyDescent="0.2">
      <c r="B738" s="32"/>
      <c r="C738" s="32"/>
    </row>
    <row r="739" spans="2:3" x14ac:dyDescent="0.2">
      <c r="B739" s="32"/>
      <c r="C739" s="32"/>
    </row>
    <row r="740" spans="2:3" x14ac:dyDescent="0.2">
      <c r="B740" s="32"/>
      <c r="C740" s="32"/>
    </row>
    <row r="741" spans="2:3" x14ac:dyDescent="0.2">
      <c r="B741" s="32"/>
      <c r="C741" s="32"/>
    </row>
    <row r="742" spans="2:3" x14ac:dyDescent="0.2">
      <c r="B742" s="32"/>
      <c r="C742" s="32"/>
    </row>
    <row r="743" spans="2:3" x14ac:dyDescent="0.2">
      <c r="B743" s="32"/>
      <c r="C743" s="32"/>
    </row>
    <row r="744" spans="2:3" x14ac:dyDescent="0.2">
      <c r="B744" s="32"/>
      <c r="C744" s="32"/>
    </row>
    <row r="745" spans="2:3" x14ac:dyDescent="0.2">
      <c r="B745" s="32"/>
      <c r="C745" s="32"/>
    </row>
    <row r="746" spans="2:3" x14ac:dyDescent="0.2">
      <c r="B746" s="32"/>
      <c r="C746" s="32"/>
    </row>
    <row r="747" spans="2:3" x14ac:dyDescent="0.2">
      <c r="B747" s="32"/>
      <c r="C747" s="32"/>
    </row>
    <row r="748" spans="2:3" x14ac:dyDescent="0.2">
      <c r="B748" s="32"/>
      <c r="C748" s="32"/>
    </row>
    <row r="749" spans="2:3" x14ac:dyDescent="0.2">
      <c r="B749" s="32"/>
      <c r="C749" s="32"/>
    </row>
    <row r="750" spans="2:3" x14ac:dyDescent="0.2">
      <c r="B750" s="32"/>
      <c r="C750" s="32"/>
    </row>
    <row r="751" spans="2:3" x14ac:dyDescent="0.2">
      <c r="B751" s="32"/>
      <c r="C751" s="32"/>
    </row>
    <row r="752" spans="2:3" x14ac:dyDescent="0.2">
      <c r="B752" s="32"/>
      <c r="C752" s="32"/>
    </row>
    <row r="753" spans="2:3" x14ac:dyDescent="0.2">
      <c r="B753" s="32"/>
      <c r="C753" s="32"/>
    </row>
    <row r="754" spans="2:3" x14ac:dyDescent="0.2">
      <c r="B754" s="32"/>
      <c r="C754" s="32"/>
    </row>
    <row r="755" spans="2:3" x14ac:dyDescent="0.2">
      <c r="B755" s="32"/>
      <c r="C755" s="32"/>
    </row>
    <row r="756" spans="2:3" x14ac:dyDescent="0.2">
      <c r="B756" s="32"/>
      <c r="C756" s="32"/>
    </row>
    <row r="757" spans="2:3" x14ac:dyDescent="0.2">
      <c r="B757" s="32"/>
      <c r="C757" s="32"/>
    </row>
    <row r="758" spans="2:3" x14ac:dyDescent="0.2">
      <c r="B758" s="32"/>
      <c r="C758" s="32"/>
    </row>
    <row r="759" spans="2:3" x14ac:dyDescent="0.2">
      <c r="B759" s="32"/>
      <c r="C759" s="32"/>
    </row>
    <row r="760" spans="2:3" x14ac:dyDescent="0.2">
      <c r="B760" s="32"/>
      <c r="C760" s="32"/>
    </row>
    <row r="761" spans="2:3" x14ac:dyDescent="0.2">
      <c r="B761" s="32"/>
      <c r="C761" s="32"/>
    </row>
    <row r="762" spans="2:3" x14ac:dyDescent="0.2">
      <c r="B762" s="32"/>
      <c r="C762" s="32"/>
    </row>
    <row r="763" spans="2:3" x14ac:dyDescent="0.2">
      <c r="B763" s="32"/>
      <c r="C763" s="32"/>
    </row>
    <row r="764" spans="2:3" x14ac:dyDescent="0.2">
      <c r="B764" s="32"/>
      <c r="C764" s="32"/>
    </row>
    <row r="765" spans="2:3" x14ac:dyDescent="0.2">
      <c r="B765" s="32"/>
      <c r="C765" s="32"/>
    </row>
    <row r="766" spans="2:3" x14ac:dyDescent="0.2">
      <c r="B766" s="32"/>
      <c r="C766" s="32"/>
    </row>
    <row r="767" spans="2:3" x14ac:dyDescent="0.2">
      <c r="B767" s="32"/>
      <c r="C767" s="32"/>
    </row>
    <row r="768" spans="2:3" x14ac:dyDescent="0.2">
      <c r="B768" s="32"/>
      <c r="C768" s="32"/>
    </row>
    <row r="769" spans="2:3" x14ac:dyDescent="0.2">
      <c r="B769" s="32"/>
      <c r="C769" s="32"/>
    </row>
    <row r="770" spans="2:3" x14ac:dyDescent="0.2">
      <c r="B770" s="32"/>
      <c r="C770" s="32"/>
    </row>
    <row r="771" spans="2:3" x14ac:dyDescent="0.2">
      <c r="B771" s="32"/>
      <c r="C771" s="32"/>
    </row>
    <row r="772" spans="2:3" x14ac:dyDescent="0.2">
      <c r="B772" s="32"/>
      <c r="C772" s="32"/>
    </row>
    <row r="773" spans="2:3" x14ac:dyDescent="0.2">
      <c r="B773" s="32"/>
      <c r="C773" s="32"/>
    </row>
    <row r="774" spans="2:3" x14ac:dyDescent="0.2">
      <c r="B774" s="32"/>
      <c r="C774" s="32"/>
    </row>
    <row r="775" spans="2:3" x14ac:dyDescent="0.2">
      <c r="B775" s="32"/>
      <c r="C775" s="32"/>
    </row>
    <row r="776" spans="2:3" x14ac:dyDescent="0.2">
      <c r="B776" s="32"/>
      <c r="C776" s="32"/>
    </row>
    <row r="777" spans="2:3" x14ac:dyDescent="0.2">
      <c r="B777" s="32"/>
      <c r="C777" s="32"/>
    </row>
    <row r="778" spans="2:3" x14ac:dyDescent="0.2">
      <c r="B778" s="32"/>
      <c r="C778" s="32"/>
    </row>
    <row r="779" spans="2:3" x14ac:dyDescent="0.2">
      <c r="B779" s="32"/>
      <c r="C779" s="32"/>
    </row>
    <row r="780" spans="2:3" x14ac:dyDescent="0.2">
      <c r="B780" s="32"/>
      <c r="C780" s="32"/>
    </row>
    <row r="781" spans="2:3" x14ac:dyDescent="0.2">
      <c r="B781" s="32"/>
      <c r="C781" s="32"/>
    </row>
    <row r="782" spans="2:3" x14ac:dyDescent="0.2">
      <c r="B782" s="32"/>
      <c r="C782" s="32"/>
    </row>
    <row r="783" spans="2:3" x14ac:dyDescent="0.2">
      <c r="B783" s="32"/>
      <c r="C783" s="32"/>
    </row>
    <row r="784" spans="2:3" x14ac:dyDescent="0.2">
      <c r="B784" s="32"/>
      <c r="C784" s="32"/>
    </row>
    <row r="785" spans="2:3" x14ac:dyDescent="0.2">
      <c r="B785" s="32"/>
      <c r="C785" s="32"/>
    </row>
    <row r="786" spans="2:3" x14ac:dyDescent="0.2">
      <c r="B786" s="32"/>
      <c r="C786" s="32"/>
    </row>
    <row r="787" spans="2:3" x14ac:dyDescent="0.2">
      <c r="B787" s="32"/>
      <c r="C787" s="32"/>
    </row>
    <row r="788" spans="2:3" x14ac:dyDescent="0.2">
      <c r="B788" s="32"/>
      <c r="C788" s="32"/>
    </row>
    <row r="789" spans="2:3" x14ac:dyDescent="0.2">
      <c r="B789" s="32"/>
      <c r="C789" s="32"/>
    </row>
    <row r="790" spans="2:3" x14ac:dyDescent="0.2">
      <c r="B790" s="32"/>
      <c r="C790" s="32"/>
    </row>
    <row r="791" spans="2:3" x14ac:dyDescent="0.2">
      <c r="B791" s="32"/>
      <c r="C791" s="32"/>
    </row>
    <row r="792" spans="2:3" x14ac:dyDescent="0.2">
      <c r="B792" s="32"/>
      <c r="C792" s="32"/>
    </row>
    <row r="793" spans="2:3" x14ac:dyDescent="0.2">
      <c r="B793" s="32"/>
      <c r="C793" s="32"/>
    </row>
    <row r="794" spans="2:3" x14ac:dyDescent="0.2">
      <c r="B794" s="32"/>
      <c r="C794" s="32"/>
    </row>
    <row r="795" spans="2:3" x14ac:dyDescent="0.2">
      <c r="B795" s="32"/>
      <c r="C795" s="32"/>
    </row>
    <row r="796" spans="2:3" x14ac:dyDescent="0.2">
      <c r="B796" s="32"/>
      <c r="C796" s="32"/>
    </row>
    <row r="797" spans="2:3" x14ac:dyDescent="0.2">
      <c r="B797" s="32"/>
      <c r="C797" s="32"/>
    </row>
    <row r="798" spans="2:3" x14ac:dyDescent="0.2">
      <c r="B798" s="32"/>
      <c r="C798" s="32"/>
    </row>
    <row r="799" spans="2:3" x14ac:dyDescent="0.2">
      <c r="B799" s="32"/>
      <c r="C799" s="32"/>
    </row>
    <row r="800" spans="2:3" x14ac:dyDescent="0.2">
      <c r="B800" s="32"/>
      <c r="C800" s="32"/>
    </row>
    <row r="801" spans="2:3" x14ac:dyDescent="0.2">
      <c r="B801" s="32"/>
      <c r="C801" s="32"/>
    </row>
    <row r="802" spans="2:3" x14ac:dyDescent="0.2">
      <c r="B802" s="32"/>
      <c r="C802" s="32"/>
    </row>
    <row r="803" spans="2:3" x14ac:dyDescent="0.2">
      <c r="B803" s="32"/>
      <c r="C803" s="32"/>
    </row>
    <row r="804" spans="2:3" x14ac:dyDescent="0.2">
      <c r="B804" s="32"/>
      <c r="C804" s="32"/>
    </row>
    <row r="805" spans="2:3" x14ac:dyDescent="0.2">
      <c r="B805" s="32"/>
      <c r="C805" s="32"/>
    </row>
    <row r="806" spans="2:3" x14ac:dyDescent="0.2">
      <c r="B806" s="32"/>
      <c r="C806" s="32"/>
    </row>
    <row r="807" spans="2:3" x14ac:dyDescent="0.2">
      <c r="B807" s="32"/>
      <c r="C807" s="32"/>
    </row>
    <row r="808" spans="2:3" x14ac:dyDescent="0.2">
      <c r="B808" s="32"/>
      <c r="C808" s="32"/>
    </row>
    <row r="809" spans="2:3" x14ac:dyDescent="0.2">
      <c r="B809" s="32"/>
      <c r="C809" s="32"/>
    </row>
    <row r="810" spans="2:3" x14ac:dyDescent="0.2">
      <c r="B810" s="32"/>
      <c r="C810" s="32"/>
    </row>
    <row r="811" spans="2:3" x14ac:dyDescent="0.2">
      <c r="B811" s="32"/>
      <c r="C811" s="32"/>
    </row>
    <row r="812" spans="2:3" x14ac:dyDescent="0.2">
      <c r="B812" s="32"/>
      <c r="C812" s="32"/>
    </row>
    <row r="813" spans="2:3" x14ac:dyDescent="0.2">
      <c r="B813" s="32"/>
      <c r="C813" s="32"/>
    </row>
    <row r="814" spans="2:3" x14ac:dyDescent="0.2">
      <c r="B814" s="32"/>
      <c r="C814" s="32"/>
    </row>
    <row r="815" spans="2:3" x14ac:dyDescent="0.2">
      <c r="B815" s="32"/>
      <c r="C815" s="32"/>
    </row>
    <row r="816" spans="2:3" x14ac:dyDescent="0.2">
      <c r="B816" s="32"/>
      <c r="C816" s="32"/>
    </row>
    <row r="817" spans="2:3" x14ac:dyDescent="0.2">
      <c r="B817" s="32"/>
      <c r="C817" s="32"/>
    </row>
    <row r="818" spans="2:3" x14ac:dyDescent="0.2">
      <c r="B818" s="32"/>
      <c r="C818" s="32"/>
    </row>
    <row r="819" spans="2:3" x14ac:dyDescent="0.2">
      <c r="B819" s="32"/>
      <c r="C819" s="32"/>
    </row>
    <row r="820" spans="2:3" x14ac:dyDescent="0.2">
      <c r="B820" s="32"/>
      <c r="C820" s="32"/>
    </row>
    <row r="821" spans="2:3" x14ac:dyDescent="0.2">
      <c r="B821" s="32"/>
      <c r="C821" s="32"/>
    </row>
    <row r="822" spans="2:3" x14ac:dyDescent="0.2">
      <c r="B822" s="32"/>
      <c r="C822" s="32"/>
    </row>
    <row r="823" spans="2:3" x14ac:dyDescent="0.2">
      <c r="B823" s="32"/>
      <c r="C823" s="32"/>
    </row>
    <row r="824" spans="2:3" x14ac:dyDescent="0.2">
      <c r="B824" s="32"/>
      <c r="C824" s="32"/>
    </row>
    <row r="825" spans="2:3" x14ac:dyDescent="0.2">
      <c r="B825" s="32"/>
      <c r="C825" s="32"/>
    </row>
    <row r="826" spans="2:3" x14ac:dyDescent="0.2">
      <c r="B826" s="32"/>
      <c r="C826" s="32"/>
    </row>
    <row r="827" spans="2:3" x14ac:dyDescent="0.2">
      <c r="B827" s="32"/>
      <c r="C827" s="32"/>
    </row>
    <row r="828" spans="2:3" x14ac:dyDescent="0.2">
      <c r="B828" s="32"/>
      <c r="C828" s="32"/>
    </row>
    <row r="829" spans="2:3" x14ac:dyDescent="0.2">
      <c r="B829" s="32"/>
      <c r="C829" s="32"/>
    </row>
    <row r="830" spans="2:3" x14ac:dyDescent="0.2">
      <c r="B830" s="32"/>
      <c r="C830" s="32"/>
    </row>
    <row r="831" spans="2:3" x14ac:dyDescent="0.2">
      <c r="B831" s="32"/>
      <c r="C831" s="32"/>
    </row>
    <row r="832" spans="2:3" x14ac:dyDescent="0.2">
      <c r="B832" s="32"/>
      <c r="C832" s="32"/>
    </row>
    <row r="833" spans="2:3" x14ac:dyDescent="0.2">
      <c r="B833" s="32"/>
      <c r="C833" s="32"/>
    </row>
    <row r="834" spans="2:3" x14ac:dyDescent="0.2">
      <c r="B834" s="32"/>
      <c r="C834" s="32"/>
    </row>
    <row r="835" spans="2:3" x14ac:dyDescent="0.2">
      <c r="B835" s="32"/>
      <c r="C835" s="32"/>
    </row>
    <row r="836" spans="2:3" x14ac:dyDescent="0.2">
      <c r="B836" s="32"/>
      <c r="C836" s="32"/>
    </row>
    <row r="837" spans="2:3" x14ac:dyDescent="0.2">
      <c r="B837" s="32"/>
      <c r="C837" s="32"/>
    </row>
    <row r="838" spans="2:3" x14ac:dyDescent="0.2">
      <c r="B838" s="32"/>
      <c r="C838" s="32"/>
    </row>
    <row r="839" spans="2:3" x14ac:dyDescent="0.2">
      <c r="B839" s="32"/>
      <c r="C839" s="32"/>
    </row>
    <row r="840" spans="2:3" x14ac:dyDescent="0.2">
      <c r="B840" s="32"/>
      <c r="C840" s="32"/>
    </row>
    <row r="841" spans="2:3" x14ac:dyDescent="0.2">
      <c r="B841" s="32"/>
      <c r="C841" s="32"/>
    </row>
    <row r="842" spans="2:3" x14ac:dyDescent="0.2">
      <c r="B842" s="32"/>
      <c r="C842" s="32"/>
    </row>
    <row r="843" spans="2:3" x14ac:dyDescent="0.2">
      <c r="B843" s="32"/>
      <c r="C843" s="32"/>
    </row>
    <row r="844" spans="2:3" x14ac:dyDescent="0.2">
      <c r="B844" s="32"/>
      <c r="C844" s="32"/>
    </row>
    <row r="845" spans="2:3" x14ac:dyDescent="0.2">
      <c r="B845" s="32"/>
      <c r="C845" s="32"/>
    </row>
    <row r="846" spans="2:3" x14ac:dyDescent="0.2">
      <c r="B846" s="32"/>
      <c r="C846" s="32"/>
    </row>
    <row r="847" spans="2:3" x14ac:dyDescent="0.2">
      <c r="B847" s="32"/>
      <c r="C847" s="32"/>
    </row>
    <row r="848" spans="2:3" x14ac:dyDescent="0.2">
      <c r="B848" s="32"/>
      <c r="C848" s="32"/>
    </row>
    <row r="849" spans="2:3" x14ac:dyDescent="0.2">
      <c r="B849" s="32"/>
      <c r="C849" s="32"/>
    </row>
    <row r="850" spans="2:3" x14ac:dyDescent="0.2">
      <c r="B850" s="32"/>
      <c r="C850" s="32"/>
    </row>
    <row r="851" spans="2:3" x14ac:dyDescent="0.2">
      <c r="B851" s="32"/>
      <c r="C851" s="32"/>
    </row>
    <row r="852" spans="2:3" x14ac:dyDescent="0.2">
      <c r="B852" s="32"/>
      <c r="C852" s="32"/>
    </row>
    <row r="853" spans="2:3" x14ac:dyDescent="0.2">
      <c r="B853" s="32"/>
      <c r="C853" s="32"/>
    </row>
    <row r="854" spans="2:3" x14ac:dyDescent="0.2">
      <c r="B854" s="32"/>
      <c r="C854" s="32"/>
    </row>
    <row r="855" spans="2:3" x14ac:dyDescent="0.2">
      <c r="B855" s="32"/>
      <c r="C855" s="32"/>
    </row>
    <row r="856" spans="2:3" x14ac:dyDescent="0.2">
      <c r="B856" s="32"/>
      <c r="C856" s="32"/>
    </row>
    <row r="857" spans="2:3" x14ac:dyDescent="0.2">
      <c r="B857" s="32"/>
      <c r="C857" s="32"/>
    </row>
    <row r="858" spans="2:3" x14ac:dyDescent="0.2">
      <c r="B858" s="32"/>
      <c r="C858" s="32"/>
    </row>
    <row r="859" spans="2:3" x14ac:dyDescent="0.2">
      <c r="B859" s="32"/>
      <c r="C859" s="32"/>
    </row>
    <row r="860" spans="2:3" x14ac:dyDescent="0.2">
      <c r="B860" s="32"/>
      <c r="C860" s="32"/>
    </row>
    <row r="861" spans="2:3" x14ac:dyDescent="0.2">
      <c r="B861" s="32"/>
      <c r="C861" s="32"/>
    </row>
    <row r="862" spans="2:3" x14ac:dyDescent="0.2">
      <c r="B862" s="32"/>
      <c r="C862" s="32"/>
    </row>
    <row r="863" spans="2:3" x14ac:dyDescent="0.2">
      <c r="B863" s="32"/>
      <c r="C863" s="32"/>
    </row>
    <row r="864" spans="2:3" x14ac:dyDescent="0.2">
      <c r="B864" s="32"/>
      <c r="C864" s="32"/>
    </row>
    <row r="865" spans="2:3" x14ac:dyDescent="0.2">
      <c r="B865" s="32"/>
      <c r="C865" s="32"/>
    </row>
    <row r="866" spans="2:3" x14ac:dyDescent="0.2">
      <c r="B866" s="32"/>
      <c r="C866" s="32"/>
    </row>
    <row r="867" spans="2:3" x14ac:dyDescent="0.2">
      <c r="B867" s="32"/>
      <c r="C867" s="32"/>
    </row>
    <row r="868" spans="2:3" x14ac:dyDescent="0.2">
      <c r="B868" s="32"/>
      <c r="C868" s="32"/>
    </row>
    <row r="869" spans="2:3" x14ac:dyDescent="0.2">
      <c r="B869" s="32"/>
      <c r="C869" s="32"/>
    </row>
    <row r="870" spans="2:3" x14ac:dyDescent="0.2">
      <c r="B870" s="32"/>
      <c r="C870" s="32"/>
    </row>
    <row r="871" spans="2:3" x14ac:dyDescent="0.2">
      <c r="B871" s="32"/>
      <c r="C871" s="32"/>
    </row>
    <row r="872" spans="2:3" x14ac:dyDescent="0.2">
      <c r="B872" s="32"/>
      <c r="C872" s="32"/>
    </row>
    <row r="873" spans="2:3" x14ac:dyDescent="0.2">
      <c r="B873" s="32"/>
      <c r="C873" s="32"/>
    </row>
    <row r="874" spans="2:3" x14ac:dyDescent="0.2">
      <c r="B874" s="32"/>
      <c r="C874" s="32"/>
    </row>
    <row r="875" spans="2:3" x14ac:dyDescent="0.2">
      <c r="B875" s="32"/>
      <c r="C875" s="32"/>
    </row>
    <row r="876" spans="2:3" x14ac:dyDescent="0.2">
      <c r="B876" s="32"/>
      <c r="C876" s="32"/>
    </row>
    <row r="877" spans="2:3" x14ac:dyDescent="0.2">
      <c r="B877" s="32"/>
      <c r="C877" s="32"/>
    </row>
    <row r="878" spans="2:3" x14ac:dyDescent="0.2">
      <c r="B878" s="32"/>
      <c r="C878" s="32"/>
    </row>
    <row r="879" spans="2:3" x14ac:dyDescent="0.2">
      <c r="B879" s="32"/>
      <c r="C879" s="32"/>
    </row>
    <row r="880" spans="2:3" x14ac:dyDescent="0.2">
      <c r="B880" s="32"/>
      <c r="C880" s="32"/>
    </row>
    <row r="881" spans="2:3" x14ac:dyDescent="0.2">
      <c r="B881" s="32"/>
      <c r="C881" s="32"/>
    </row>
    <row r="882" spans="2:3" x14ac:dyDescent="0.2">
      <c r="B882" s="32"/>
      <c r="C882" s="32"/>
    </row>
    <row r="883" spans="2:3" x14ac:dyDescent="0.2">
      <c r="B883" s="32"/>
      <c r="C883" s="32"/>
    </row>
    <row r="884" spans="2:3" x14ac:dyDescent="0.2">
      <c r="B884" s="32"/>
      <c r="C884" s="32"/>
    </row>
    <row r="885" spans="2:3" x14ac:dyDescent="0.2">
      <c r="B885" s="32"/>
      <c r="C885" s="32"/>
    </row>
    <row r="886" spans="2:3" x14ac:dyDescent="0.2">
      <c r="B886" s="32"/>
      <c r="C886" s="32"/>
    </row>
    <row r="887" spans="2:3" x14ac:dyDescent="0.2">
      <c r="B887" s="32"/>
      <c r="C887" s="32"/>
    </row>
    <row r="888" spans="2:3" x14ac:dyDescent="0.2">
      <c r="B888" s="32"/>
      <c r="C888" s="32"/>
    </row>
    <row r="889" spans="2:3" x14ac:dyDescent="0.2">
      <c r="B889" s="32"/>
      <c r="C889" s="32"/>
    </row>
    <row r="890" spans="2:3" x14ac:dyDescent="0.2">
      <c r="B890" s="32"/>
      <c r="C890" s="32"/>
    </row>
    <row r="891" spans="2:3" x14ac:dyDescent="0.2">
      <c r="B891" s="32"/>
      <c r="C891" s="32"/>
    </row>
    <row r="892" spans="2:3" x14ac:dyDescent="0.2">
      <c r="B892" s="32"/>
      <c r="C892" s="32"/>
    </row>
    <row r="893" spans="2:3" x14ac:dyDescent="0.2">
      <c r="B893" s="32"/>
      <c r="C893" s="32"/>
    </row>
    <row r="894" spans="2:3" x14ac:dyDescent="0.2">
      <c r="B894" s="32"/>
      <c r="C894" s="32"/>
    </row>
    <row r="895" spans="2:3" x14ac:dyDescent="0.2">
      <c r="B895" s="32"/>
      <c r="C895" s="32"/>
    </row>
    <row r="896" spans="2:3" x14ac:dyDescent="0.2">
      <c r="B896" s="32"/>
      <c r="C896" s="32"/>
    </row>
    <row r="897" spans="2:3" x14ac:dyDescent="0.2">
      <c r="B897" s="32"/>
      <c r="C897" s="32"/>
    </row>
    <row r="898" spans="2:3" x14ac:dyDescent="0.2">
      <c r="B898" s="32"/>
      <c r="C898" s="32"/>
    </row>
    <row r="899" spans="2:3" x14ac:dyDescent="0.2">
      <c r="B899" s="32"/>
      <c r="C899" s="32"/>
    </row>
    <row r="900" spans="2:3" x14ac:dyDescent="0.2">
      <c r="B900" s="32"/>
      <c r="C900" s="32"/>
    </row>
    <row r="901" spans="2:3" x14ac:dyDescent="0.2">
      <c r="B901" s="32"/>
      <c r="C901" s="32"/>
    </row>
    <row r="902" spans="2:3" x14ac:dyDescent="0.2">
      <c r="B902" s="32"/>
      <c r="C902" s="32"/>
    </row>
    <row r="903" spans="2:3" x14ac:dyDescent="0.2">
      <c r="B903" s="32"/>
      <c r="C903" s="32"/>
    </row>
    <row r="904" spans="2:3" x14ac:dyDescent="0.2">
      <c r="B904" s="32"/>
      <c r="C904" s="32"/>
    </row>
    <row r="905" spans="2:3" x14ac:dyDescent="0.2">
      <c r="B905" s="32"/>
      <c r="C905" s="32"/>
    </row>
    <row r="906" spans="2:3" x14ac:dyDescent="0.2">
      <c r="B906" s="32"/>
      <c r="C906" s="32"/>
    </row>
    <row r="907" spans="2:3" x14ac:dyDescent="0.2">
      <c r="B907" s="32"/>
      <c r="C907" s="32"/>
    </row>
    <row r="908" spans="2:3" x14ac:dyDescent="0.2">
      <c r="B908" s="32"/>
      <c r="C908" s="32"/>
    </row>
    <row r="909" spans="2:3" x14ac:dyDescent="0.2">
      <c r="B909" s="32"/>
      <c r="C909" s="32"/>
    </row>
    <row r="910" spans="2:3" x14ac:dyDescent="0.2">
      <c r="B910" s="32"/>
      <c r="C910" s="32"/>
    </row>
    <row r="911" spans="2:3" x14ac:dyDescent="0.2">
      <c r="B911" s="32"/>
      <c r="C911" s="32"/>
    </row>
    <row r="912" spans="2:3" x14ac:dyDescent="0.2">
      <c r="B912" s="32"/>
      <c r="C912" s="32"/>
    </row>
    <row r="913" spans="2:3" x14ac:dyDescent="0.2">
      <c r="B913" s="32"/>
      <c r="C913" s="32"/>
    </row>
    <row r="914" spans="2:3" x14ac:dyDescent="0.2">
      <c r="B914" s="32"/>
      <c r="C914" s="32"/>
    </row>
    <row r="915" spans="2:3" x14ac:dyDescent="0.2">
      <c r="B915" s="32"/>
      <c r="C915" s="32"/>
    </row>
    <row r="916" spans="2:3" x14ac:dyDescent="0.2">
      <c r="B916" s="32"/>
      <c r="C916" s="32"/>
    </row>
    <row r="917" spans="2:3" x14ac:dyDescent="0.2">
      <c r="B917" s="32"/>
      <c r="C917" s="32"/>
    </row>
    <row r="918" spans="2:3" x14ac:dyDescent="0.2">
      <c r="B918" s="32"/>
      <c r="C918" s="32"/>
    </row>
    <row r="919" spans="2:3" x14ac:dyDescent="0.2">
      <c r="B919" s="32"/>
      <c r="C919" s="32"/>
    </row>
    <row r="920" spans="2:3" x14ac:dyDescent="0.2">
      <c r="B920" s="32"/>
      <c r="C920" s="32"/>
    </row>
    <row r="921" spans="2:3" x14ac:dyDescent="0.2">
      <c r="B921" s="32"/>
      <c r="C921" s="32"/>
    </row>
    <row r="922" spans="2:3" x14ac:dyDescent="0.2">
      <c r="B922" s="32"/>
      <c r="C922" s="32"/>
    </row>
    <row r="923" spans="2:3" x14ac:dyDescent="0.2">
      <c r="B923" s="32"/>
      <c r="C923" s="32"/>
    </row>
    <row r="924" spans="2:3" x14ac:dyDescent="0.2">
      <c r="B924" s="32"/>
      <c r="C924" s="32"/>
    </row>
    <row r="925" spans="2:3" x14ac:dyDescent="0.2">
      <c r="B925" s="32"/>
      <c r="C925" s="32"/>
    </row>
    <row r="926" spans="2:3" x14ac:dyDescent="0.2">
      <c r="B926" s="32"/>
      <c r="C926" s="32"/>
    </row>
    <row r="927" spans="2:3" x14ac:dyDescent="0.2">
      <c r="B927" s="32"/>
      <c r="C927" s="32"/>
    </row>
    <row r="928" spans="2:3" x14ac:dyDescent="0.2">
      <c r="B928" s="32"/>
      <c r="C928" s="32"/>
    </row>
    <row r="929" spans="2:3" x14ac:dyDescent="0.2">
      <c r="B929" s="32"/>
      <c r="C929" s="32"/>
    </row>
    <row r="930" spans="2:3" x14ac:dyDescent="0.2">
      <c r="B930" s="32"/>
      <c r="C930" s="32"/>
    </row>
    <row r="931" spans="2:3" x14ac:dyDescent="0.2">
      <c r="B931" s="32"/>
      <c r="C931" s="32"/>
    </row>
    <row r="932" spans="2:3" x14ac:dyDescent="0.2">
      <c r="B932" s="32"/>
      <c r="C932" s="32"/>
    </row>
    <row r="933" spans="2:3" x14ac:dyDescent="0.2">
      <c r="B933" s="32"/>
      <c r="C933" s="32"/>
    </row>
    <row r="934" spans="2:3" x14ac:dyDescent="0.2">
      <c r="B934" s="32"/>
      <c r="C934" s="32"/>
    </row>
    <row r="935" spans="2:3" x14ac:dyDescent="0.2">
      <c r="B935" s="32"/>
      <c r="C935" s="32"/>
    </row>
    <row r="936" spans="2:3" x14ac:dyDescent="0.2">
      <c r="B936" s="32"/>
      <c r="C936" s="32"/>
    </row>
    <row r="937" spans="2:3" x14ac:dyDescent="0.2">
      <c r="B937" s="32"/>
      <c r="C937" s="32"/>
    </row>
    <row r="938" spans="2:3" x14ac:dyDescent="0.2">
      <c r="B938" s="32"/>
      <c r="C938" s="32"/>
    </row>
    <row r="939" spans="2:3" x14ac:dyDescent="0.2">
      <c r="B939" s="32"/>
      <c r="C939" s="32"/>
    </row>
    <row r="940" spans="2:3" x14ac:dyDescent="0.2">
      <c r="B940" s="32"/>
      <c r="C940" s="32"/>
    </row>
    <row r="941" spans="2:3" x14ac:dyDescent="0.2">
      <c r="B941" s="32"/>
      <c r="C941" s="32"/>
    </row>
    <row r="942" spans="2:3" x14ac:dyDescent="0.2">
      <c r="B942" s="32"/>
      <c r="C942" s="32"/>
    </row>
    <row r="943" spans="2:3" x14ac:dyDescent="0.2">
      <c r="B943" s="32"/>
      <c r="C943" s="32"/>
    </row>
    <row r="944" spans="2:3" x14ac:dyDescent="0.2">
      <c r="B944" s="32"/>
      <c r="C944" s="32"/>
    </row>
    <row r="945" spans="2:3" x14ac:dyDescent="0.2">
      <c r="B945" s="32"/>
      <c r="C945" s="32"/>
    </row>
    <row r="946" spans="2:3" x14ac:dyDescent="0.2">
      <c r="B946" s="32"/>
      <c r="C946" s="32"/>
    </row>
    <row r="947" spans="2:3" x14ac:dyDescent="0.2">
      <c r="B947" s="32"/>
      <c r="C947" s="32"/>
    </row>
    <row r="948" spans="2:3" x14ac:dyDescent="0.2">
      <c r="B948" s="32"/>
      <c r="C948" s="32"/>
    </row>
    <row r="949" spans="2:3" x14ac:dyDescent="0.2">
      <c r="B949" s="32"/>
      <c r="C949" s="32"/>
    </row>
    <row r="950" spans="2:3" x14ac:dyDescent="0.2">
      <c r="B950" s="32"/>
      <c r="C950" s="32"/>
    </row>
    <row r="951" spans="2:3" x14ac:dyDescent="0.2">
      <c r="B951" s="32"/>
      <c r="C951" s="32"/>
    </row>
    <row r="952" spans="2:3" x14ac:dyDescent="0.2">
      <c r="B952" s="32"/>
      <c r="C952" s="32"/>
    </row>
    <row r="953" spans="2:3" x14ac:dyDescent="0.2">
      <c r="B953" s="32"/>
      <c r="C953" s="32"/>
    </row>
    <row r="954" spans="2:3" x14ac:dyDescent="0.2">
      <c r="B954" s="32"/>
      <c r="C954" s="32"/>
    </row>
    <row r="955" spans="2:3" x14ac:dyDescent="0.2">
      <c r="B955" s="32"/>
      <c r="C955" s="32"/>
    </row>
    <row r="956" spans="2:3" x14ac:dyDescent="0.2">
      <c r="B956" s="32"/>
      <c r="C956" s="32"/>
    </row>
    <row r="957" spans="2:3" x14ac:dyDescent="0.2">
      <c r="B957" s="32"/>
      <c r="C957" s="32"/>
    </row>
    <row r="958" spans="2:3" x14ac:dyDescent="0.2">
      <c r="B958" s="32"/>
      <c r="C958" s="32"/>
    </row>
    <row r="959" spans="2:3" x14ac:dyDescent="0.2">
      <c r="B959" s="32"/>
      <c r="C959" s="32"/>
    </row>
    <row r="960" spans="2:3" x14ac:dyDescent="0.2">
      <c r="B960" s="32"/>
      <c r="C960" s="32"/>
    </row>
    <row r="961" spans="2:3" x14ac:dyDescent="0.2">
      <c r="B961" s="32"/>
      <c r="C961" s="32"/>
    </row>
    <row r="962" spans="2:3" x14ac:dyDescent="0.2">
      <c r="B962" s="32"/>
      <c r="C962" s="32"/>
    </row>
    <row r="963" spans="2:3" x14ac:dyDescent="0.2">
      <c r="B963" s="32"/>
      <c r="C963" s="32"/>
    </row>
    <row r="964" spans="2:3" x14ac:dyDescent="0.2">
      <c r="B964" s="32"/>
      <c r="C964" s="32"/>
    </row>
    <row r="965" spans="2:3" x14ac:dyDescent="0.2">
      <c r="B965" s="32"/>
      <c r="C965" s="32"/>
    </row>
    <row r="966" spans="2:3" x14ac:dyDescent="0.2">
      <c r="B966" s="32"/>
      <c r="C966" s="32"/>
    </row>
    <row r="967" spans="2:3" x14ac:dyDescent="0.2">
      <c r="B967" s="32"/>
      <c r="C967" s="32"/>
    </row>
    <row r="968" spans="2:3" x14ac:dyDescent="0.2">
      <c r="B968" s="32"/>
      <c r="C968" s="32"/>
    </row>
    <row r="969" spans="2:3" x14ac:dyDescent="0.2">
      <c r="B969" s="32"/>
      <c r="C969" s="32"/>
    </row>
    <row r="970" spans="2:3" x14ac:dyDescent="0.2">
      <c r="B970" s="32"/>
      <c r="C970" s="32"/>
    </row>
    <row r="971" spans="2:3" x14ac:dyDescent="0.2">
      <c r="B971" s="32"/>
      <c r="C971" s="32"/>
    </row>
    <row r="972" spans="2:3" x14ac:dyDescent="0.2">
      <c r="B972" s="32"/>
      <c r="C972" s="32"/>
    </row>
    <row r="973" spans="2:3" x14ac:dyDescent="0.2">
      <c r="B973" s="32"/>
      <c r="C973" s="32"/>
    </row>
    <row r="974" spans="2:3" x14ac:dyDescent="0.2">
      <c r="B974" s="32"/>
      <c r="C974" s="32"/>
    </row>
    <row r="975" spans="2:3" x14ac:dyDescent="0.2">
      <c r="B975" s="32"/>
      <c r="C975" s="32"/>
    </row>
    <row r="976" spans="2:3" x14ac:dyDescent="0.2">
      <c r="B976" s="32"/>
      <c r="C976" s="32"/>
    </row>
    <row r="977" spans="2:3" x14ac:dyDescent="0.2">
      <c r="B977" s="32"/>
      <c r="C977" s="32"/>
    </row>
    <row r="978" spans="2:3" x14ac:dyDescent="0.2">
      <c r="B978" s="32"/>
      <c r="C978" s="32"/>
    </row>
    <row r="979" spans="2:3" x14ac:dyDescent="0.2">
      <c r="B979" s="32"/>
      <c r="C979" s="32"/>
    </row>
    <row r="980" spans="2:3" x14ac:dyDescent="0.2">
      <c r="B980" s="32"/>
      <c r="C980" s="32"/>
    </row>
    <row r="981" spans="2:3" x14ac:dyDescent="0.2">
      <c r="B981" s="32"/>
      <c r="C981" s="32"/>
    </row>
    <row r="982" spans="2:3" x14ac:dyDescent="0.2">
      <c r="B982" s="32"/>
      <c r="C982" s="32"/>
    </row>
    <row r="983" spans="2:3" x14ac:dyDescent="0.2">
      <c r="B983" s="32"/>
      <c r="C983" s="32"/>
    </row>
    <row r="984" spans="2:3" x14ac:dyDescent="0.2">
      <c r="B984" s="32"/>
      <c r="C984" s="32"/>
    </row>
    <row r="985" spans="2:3" x14ac:dyDescent="0.2">
      <c r="B985" s="32"/>
      <c r="C985" s="32"/>
    </row>
    <row r="986" spans="2:3" x14ac:dyDescent="0.2">
      <c r="B986" s="32"/>
      <c r="C986" s="32"/>
    </row>
    <row r="987" spans="2:3" x14ac:dyDescent="0.2">
      <c r="B987" s="32"/>
      <c r="C987" s="32"/>
    </row>
    <row r="988" spans="2:3" x14ac:dyDescent="0.2">
      <c r="B988" s="32"/>
      <c r="C988" s="32"/>
    </row>
    <row r="989" spans="2:3" x14ac:dyDescent="0.2">
      <c r="B989" s="32"/>
      <c r="C989" s="32"/>
    </row>
    <row r="990" spans="2:3" x14ac:dyDescent="0.2">
      <c r="B990" s="32"/>
      <c r="C990" s="32"/>
    </row>
    <row r="991" spans="2:3" x14ac:dyDescent="0.2">
      <c r="B991" s="32"/>
      <c r="C991" s="32"/>
    </row>
    <row r="992" spans="2:3" x14ac:dyDescent="0.2">
      <c r="B992" s="32"/>
      <c r="C992" s="32"/>
    </row>
    <row r="993" spans="2:3" x14ac:dyDescent="0.2">
      <c r="B993" s="32"/>
      <c r="C993" s="32"/>
    </row>
    <row r="994" spans="2:3" x14ac:dyDescent="0.2">
      <c r="B994" s="32"/>
      <c r="C994" s="32"/>
    </row>
    <row r="995" spans="2:3" x14ac:dyDescent="0.2">
      <c r="B995" s="32"/>
      <c r="C995" s="32"/>
    </row>
    <row r="996" spans="2:3" x14ac:dyDescent="0.2">
      <c r="B996" s="32"/>
      <c r="C996" s="32"/>
    </row>
    <row r="997" spans="2:3" x14ac:dyDescent="0.2">
      <c r="B997" s="32"/>
      <c r="C997" s="32"/>
    </row>
    <row r="998" spans="2:3" x14ac:dyDescent="0.2">
      <c r="B998" s="32"/>
      <c r="C998" s="32"/>
    </row>
    <row r="999" spans="2:3" x14ac:dyDescent="0.2">
      <c r="B999" s="32"/>
      <c r="C999" s="32"/>
    </row>
    <row r="1000" spans="2:3" x14ac:dyDescent="0.2">
      <c r="B1000" s="32"/>
      <c r="C1000" s="32"/>
    </row>
    <row r="1001" spans="2:3" x14ac:dyDescent="0.2">
      <c r="B1001" s="32"/>
      <c r="C1001" s="32"/>
    </row>
    <row r="1002" spans="2:3" x14ac:dyDescent="0.2">
      <c r="B1002" s="32"/>
      <c r="C1002" s="32"/>
    </row>
    <row r="1003" spans="2:3" x14ac:dyDescent="0.2">
      <c r="B1003" s="32"/>
      <c r="C1003" s="32"/>
    </row>
    <row r="1004" spans="2:3" x14ac:dyDescent="0.2">
      <c r="B1004" s="32"/>
      <c r="C1004" s="32"/>
    </row>
    <row r="1005" spans="2:3" x14ac:dyDescent="0.2">
      <c r="B1005" s="32"/>
      <c r="C1005" s="32"/>
    </row>
    <row r="1006" spans="2:3" x14ac:dyDescent="0.2">
      <c r="B1006" s="32"/>
      <c r="C1006" s="32"/>
    </row>
    <row r="1007" spans="2:3" x14ac:dyDescent="0.2">
      <c r="B1007" s="32"/>
      <c r="C1007" s="32"/>
    </row>
    <row r="1008" spans="2:3" x14ac:dyDescent="0.2">
      <c r="B1008" s="32"/>
      <c r="C1008" s="32"/>
    </row>
    <row r="1009" spans="2:3" x14ac:dyDescent="0.2">
      <c r="B1009" s="32"/>
      <c r="C1009" s="32"/>
    </row>
    <row r="1010" spans="2:3" x14ac:dyDescent="0.2">
      <c r="B1010" s="32"/>
      <c r="C1010" s="32"/>
    </row>
    <row r="1011" spans="2:3" x14ac:dyDescent="0.2">
      <c r="B1011" s="32"/>
      <c r="C1011" s="32"/>
    </row>
    <row r="1012" spans="2:3" x14ac:dyDescent="0.2">
      <c r="B1012" s="32"/>
      <c r="C1012" s="32"/>
    </row>
    <row r="1013" spans="2:3" x14ac:dyDescent="0.2">
      <c r="B1013" s="32"/>
      <c r="C1013" s="32"/>
    </row>
    <row r="1014" spans="2:3" x14ac:dyDescent="0.2">
      <c r="B1014" s="32"/>
      <c r="C1014" s="32"/>
    </row>
    <row r="1015" spans="2:3" x14ac:dyDescent="0.2">
      <c r="B1015" s="32"/>
      <c r="C1015" s="32"/>
    </row>
    <row r="1016" spans="2:3" x14ac:dyDescent="0.2">
      <c r="B1016" s="32"/>
      <c r="C1016" s="32"/>
    </row>
    <row r="1017" spans="2:3" x14ac:dyDescent="0.2">
      <c r="B1017" s="32"/>
      <c r="C1017" s="32"/>
    </row>
    <row r="1018" spans="2:3" x14ac:dyDescent="0.2">
      <c r="B1018" s="32"/>
      <c r="C1018" s="32"/>
    </row>
    <row r="1019" spans="2:3" x14ac:dyDescent="0.2">
      <c r="B1019" s="32"/>
      <c r="C1019" s="32"/>
    </row>
    <row r="1020" spans="2:3" x14ac:dyDescent="0.2">
      <c r="B1020" s="32"/>
      <c r="C1020" s="32"/>
    </row>
    <row r="1021" spans="2:3" x14ac:dyDescent="0.2">
      <c r="B1021" s="32"/>
      <c r="C1021" s="32"/>
    </row>
    <row r="1022" spans="2:3" x14ac:dyDescent="0.2">
      <c r="B1022" s="32"/>
      <c r="C1022" s="32"/>
    </row>
    <row r="1023" spans="2:3" x14ac:dyDescent="0.2">
      <c r="B1023" s="32"/>
      <c r="C1023" s="32"/>
    </row>
    <row r="1024" spans="2:3" x14ac:dyDescent="0.2">
      <c r="B1024" s="32"/>
      <c r="C1024" s="32"/>
    </row>
    <row r="1025" spans="2:3" x14ac:dyDescent="0.2">
      <c r="B1025" s="32"/>
      <c r="C1025" s="32"/>
    </row>
    <row r="1026" spans="2:3" x14ac:dyDescent="0.2">
      <c r="B1026" s="32"/>
      <c r="C1026" s="32"/>
    </row>
    <row r="1027" spans="2:3" x14ac:dyDescent="0.2">
      <c r="B1027" s="32"/>
      <c r="C1027" s="32"/>
    </row>
    <row r="1028" spans="2:3" x14ac:dyDescent="0.2">
      <c r="B1028" s="32"/>
      <c r="C1028" s="32"/>
    </row>
    <row r="1029" spans="2:3" x14ac:dyDescent="0.2">
      <c r="B1029" s="32"/>
      <c r="C1029" s="32"/>
    </row>
    <row r="1030" spans="2:3" x14ac:dyDescent="0.2">
      <c r="B1030" s="32"/>
      <c r="C1030" s="32"/>
    </row>
    <row r="1031" spans="2:3" x14ac:dyDescent="0.2">
      <c r="B1031" s="32"/>
      <c r="C1031" s="32"/>
    </row>
    <row r="1032" spans="2:3" x14ac:dyDescent="0.2">
      <c r="B1032" s="32"/>
      <c r="C1032" s="32"/>
    </row>
    <row r="1033" spans="2:3" x14ac:dyDescent="0.2">
      <c r="B1033" s="32"/>
      <c r="C1033" s="32"/>
    </row>
    <row r="1034" spans="2:3" x14ac:dyDescent="0.2">
      <c r="B1034" s="32"/>
      <c r="C1034" s="32"/>
    </row>
    <row r="1035" spans="2:3" x14ac:dyDescent="0.2">
      <c r="B1035" s="32"/>
      <c r="C1035" s="32"/>
    </row>
    <row r="1036" spans="2:3" x14ac:dyDescent="0.2">
      <c r="B1036" s="32"/>
      <c r="C1036" s="32"/>
    </row>
    <row r="1037" spans="2:3" x14ac:dyDescent="0.2">
      <c r="B1037" s="32"/>
      <c r="C1037" s="32"/>
    </row>
    <row r="1038" spans="2:3" x14ac:dyDescent="0.2">
      <c r="B1038" s="32"/>
      <c r="C1038" s="32"/>
    </row>
    <row r="1039" spans="2:3" x14ac:dyDescent="0.2">
      <c r="B1039" s="32"/>
      <c r="C1039" s="32"/>
    </row>
    <row r="1040" spans="2:3" x14ac:dyDescent="0.2">
      <c r="B1040" s="32"/>
      <c r="C1040" s="32"/>
    </row>
    <row r="1041" spans="2:3" x14ac:dyDescent="0.2">
      <c r="B1041" s="32"/>
      <c r="C1041" s="32"/>
    </row>
    <row r="1042" spans="2:3" x14ac:dyDescent="0.2">
      <c r="B1042" s="32"/>
      <c r="C1042" s="32"/>
    </row>
    <row r="1043" spans="2:3" x14ac:dyDescent="0.2">
      <c r="B1043" s="32"/>
      <c r="C1043" s="32"/>
    </row>
    <row r="1044" spans="2:3" x14ac:dyDescent="0.2">
      <c r="B1044" s="32"/>
      <c r="C1044" s="32"/>
    </row>
    <row r="1045" spans="2:3" x14ac:dyDescent="0.2">
      <c r="B1045" s="32"/>
      <c r="C1045" s="32"/>
    </row>
    <row r="1046" spans="2:3" x14ac:dyDescent="0.2">
      <c r="B1046" s="32"/>
      <c r="C1046" s="32"/>
    </row>
    <row r="1047" spans="2:3" x14ac:dyDescent="0.2">
      <c r="B1047" s="32"/>
      <c r="C1047" s="32"/>
    </row>
    <row r="1048" spans="2:3" x14ac:dyDescent="0.2">
      <c r="B1048" s="32"/>
      <c r="C1048" s="32"/>
    </row>
    <row r="1049" spans="2:3" x14ac:dyDescent="0.2">
      <c r="B1049" s="32"/>
      <c r="C1049" s="32"/>
    </row>
    <row r="1050" spans="2:3" x14ac:dyDescent="0.2">
      <c r="B1050" s="32"/>
      <c r="C1050" s="32"/>
    </row>
    <row r="1051" spans="2:3" x14ac:dyDescent="0.2">
      <c r="B1051" s="32"/>
      <c r="C1051" s="32"/>
    </row>
    <row r="1052" spans="2:3" x14ac:dyDescent="0.2">
      <c r="B1052" s="32"/>
      <c r="C1052" s="32"/>
    </row>
    <row r="1053" spans="2:3" x14ac:dyDescent="0.2">
      <c r="B1053" s="32"/>
      <c r="C1053" s="32"/>
    </row>
    <row r="1054" spans="2:3" x14ac:dyDescent="0.2">
      <c r="B1054" s="32"/>
      <c r="C1054" s="32"/>
    </row>
    <row r="1055" spans="2:3" x14ac:dyDescent="0.2">
      <c r="B1055" s="32"/>
      <c r="C1055" s="32"/>
    </row>
    <row r="1056" spans="2:3" x14ac:dyDescent="0.2">
      <c r="B1056" s="32"/>
      <c r="C1056" s="32"/>
    </row>
    <row r="1057" spans="2:3" x14ac:dyDescent="0.2">
      <c r="B1057" s="32"/>
      <c r="C1057" s="32"/>
    </row>
    <row r="1058" spans="2:3" x14ac:dyDescent="0.2">
      <c r="B1058" s="32"/>
      <c r="C1058" s="32"/>
    </row>
    <row r="1059" spans="2:3" x14ac:dyDescent="0.2">
      <c r="B1059" s="32"/>
      <c r="C1059" s="32"/>
    </row>
    <row r="1060" spans="2:3" x14ac:dyDescent="0.2">
      <c r="B1060" s="32"/>
      <c r="C1060" s="32"/>
    </row>
    <row r="1061" spans="2:3" x14ac:dyDescent="0.2">
      <c r="B1061" s="32"/>
      <c r="C1061" s="32"/>
    </row>
    <row r="1062" spans="2:3" x14ac:dyDescent="0.2">
      <c r="B1062" s="32"/>
      <c r="C1062" s="32"/>
    </row>
    <row r="1063" spans="2:3" x14ac:dyDescent="0.2">
      <c r="B1063" s="32"/>
      <c r="C1063" s="32"/>
    </row>
    <row r="1064" spans="2:3" x14ac:dyDescent="0.2">
      <c r="B1064" s="32"/>
      <c r="C1064" s="32"/>
    </row>
    <row r="1065" spans="2:3" x14ac:dyDescent="0.2">
      <c r="B1065" s="32"/>
      <c r="C1065" s="32"/>
    </row>
    <row r="1066" spans="2:3" x14ac:dyDescent="0.2">
      <c r="B1066" s="32"/>
      <c r="C1066" s="32"/>
    </row>
    <row r="1067" spans="2:3" x14ac:dyDescent="0.2">
      <c r="B1067" s="32"/>
      <c r="C1067" s="32"/>
    </row>
    <row r="1068" spans="2:3" x14ac:dyDescent="0.2">
      <c r="B1068" s="32"/>
      <c r="C1068" s="32"/>
    </row>
    <row r="1069" spans="2:3" x14ac:dyDescent="0.2">
      <c r="B1069" s="32"/>
      <c r="C1069" s="32"/>
    </row>
    <row r="1070" spans="2:3" x14ac:dyDescent="0.2">
      <c r="B1070" s="32"/>
      <c r="C1070" s="32"/>
    </row>
    <row r="1071" spans="2:3" x14ac:dyDescent="0.2">
      <c r="B1071" s="32"/>
      <c r="C1071" s="32"/>
    </row>
    <row r="1072" spans="2:3" x14ac:dyDescent="0.2">
      <c r="B1072" s="32"/>
      <c r="C1072" s="32"/>
    </row>
    <row r="1073" spans="2:3" x14ac:dyDescent="0.2">
      <c r="B1073" s="32"/>
      <c r="C1073" s="32"/>
    </row>
    <row r="1074" spans="2:3" x14ac:dyDescent="0.2">
      <c r="B1074" s="32"/>
      <c r="C1074" s="32"/>
    </row>
    <row r="1075" spans="2:3" x14ac:dyDescent="0.2">
      <c r="B1075" s="32"/>
      <c r="C1075" s="32"/>
    </row>
    <row r="1076" spans="2:3" x14ac:dyDescent="0.2">
      <c r="B1076" s="32"/>
      <c r="C1076" s="32"/>
    </row>
    <row r="1077" spans="2:3" x14ac:dyDescent="0.2">
      <c r="B1077" s="32"/>
      <c r="C1077" s="32"/>
    </row>
    <row r="1078" spans="2:3" x14ac:dyDescent="0.2">
      <c r="B1078" s="32"/>
      <c r="C1078" s="32"/>
    </row>
    <row r="1079" spans="2:3" x14ac:dyDescent="0.2">
      <c r="B1079" s="32"/>
      <c r="C1079" s="32"/>
    </row>
    <row r="1080" spans="2:3" x14ac:dyDescent="0.2">
      <c r="B1080" s="32"/>
      <c r="C1080" s="32"/>
    </row>
    <row r="1081" spans="2:3" x14ac:dyDescent="0.2">
      <c r="B1081" s="32"/>
      <c r="C1081" s="32"/>
    </row>
    <row r="1082" spans="2:3" x14ac:dyDescent="0.2">
      <c r="B1082" s="32"/>
      <c r="C1082" s="32"/>
    </row>
    <row r="1083" spans="2:3" x14ac:dyDescent="0.2">
      <c r="B1083" s="32"/>
      <c r="C1083" s="32"/>
    </row>
    <row r="1084" spans="2:3" x14ac:dyDescent="0.2">
      <c r="B1084" s="32"/>
      <c r="C1084" s="32"/>
    </row>
    <row r="1085" spans="2:3" x14ac:dyDescent="0.2">
      <c r="B1085" s="32"/>
      <c r="C1085" s="32"/>
    </row>
    <row r="1086" spans="2:3" x14ac:dyDescent="0.2">
      <c r="B1086" s="32"/>
      <c r="C1086" s="32"/>
    </row>
    <row r="1087" spans="2:3" x14ac:dyDescent="0.2">
      <c r="B1087" s="32"/>
      <c r="C1087" s="32"/>
    </row>
    <row r="1088" spans="2:3" x14ac:dyDescent="0.2">
      <c r="B1088" s="32"/>
      <c r="C1088" s="32"/>
    </row>
    <row r="1089" spans="2:3" x14ac:dyDescent="0.2">
      <c r="B1089" s="32"/>
      <c r="C1089" s="32"/>
    </row>
    <row r="1090" spans="2:3" x14ac:dyDescent="0.2">
      <c r="B1090" s="32"/>
      <c r="C1090" s="32"/>
    </row>
    <row r="1091" spans="2:3" x14ac:dyDescent="0.2">
      <c r="B1091" s="32"/>
      <c r="C1091" s="32"/>
    </row>
    <row r="1092" spans="2:3" x14ac:dyDescent="0.2">
      <c r="B1092" s="32"/>
      <c r="C1092" s="32"/>
    </row>
    <row r="1093" spans="2:3" x14ac:dyDescent="0.2">
      <c r="B1093" s="32"/>
      <c r="C1093" s="32"/>
    </row>
    <row r="1094" spans="2:3" x14ac:dyDescent="0.2">
      <c r="B1094" s="32"/>
      <c r="C1094" s="32"/>
    </row>
    <row r="1095" spans="2:3" x14ac:dyDescent="0.2">
      <c r="B1095" s="32"/>
      <c r="C1095" s="32"/>
    </row>
    <row r="1096" spans="2:3" x14ac:dyDescent="0.2">
      <c r="B1096" s="32"/>
      <c r="C1096" s="32"/>
    </row>
    <row r="1097" spans="2:3" x14ac:dyDescent="0.2">
      <c r="B1097" s="32"/>
      <c r="C1097" s="32"/>
    </row>
    <row r="1098" spans="2:3" x14ac:dyDescent="0.2">
      <c r="B1098" s="32"/>
      <c r="C1098" s="32"/>
    </row>
    <row r="1099" spans="2:3" x14ac:dyDescent="0.2">
      <c r="B1099" s="32"/>
      <c r="C1099" s="32"/>
    </row>
    <row r="1100" spans="2:3" x14ac:dyDescent="0.2">
      <c r="B1100" s="32"/>
      <c r="C1100" s="32"/>
    </row>
    <row r="1101" spans="2:3" x14ac:dyDescent="0.2">
      <c r="B1101" s="32"/>
      <c r="C1101" s="32"/>
    </row>
    <row r="1102" spans="2:3" x14ac:dyDescent="0.2">
      <c r="B1102" s="32"/>
      <c r="C1102" s="32"/>
    </row>
    <row r="1103" spans="2:3" x14ac:dyDescent="0.2">
      <c r="B1103" s="32"/>
      <c r="C1103" s="32"/>
    </row>
    <row r="1104" spans="2:3" x14ac:dyDescent="0.2">
      <c r="B1104" s="32"/>
      <c r="C1104" s="32"/>
    </row>
    <row r="1105" spans="2:3" x14ac:dyDescent="0.2">
      <c r="B1105" s="32"/>
      <c r="C1105" s="32"/>
    </row>
    <row r="1106" spans="2:3" x14ac:dyDescent="0.2">
      <c r="B1106" s="32"/>
      <c r="C1106" s="32"/>
    </row>
    <row r="1107" spans="2:3" x14ac:dyDescent="0.2">
      <c r="B1107" s="32"/>
      <c r="C1107" s="32"/>
    </row>
    <row r="1108" spans="2:3" x14ac:dyDescent="0.2">
      <c r="B1108" s="32"/>
      <c r="C1108" s="32"/>
    </row>
    <row r="1109" spans="2:3" x14ac:dyDescent="0.2">
      <c r="B1109" s="32"/>
      <c r="C1109" s="32"/>
    </row>
    <row r="1110" spans="2:3" x14ac:dyDescent="0.2">
      <c r="B1110" s="32"/>
      <c r="C1110" s="32"/>
    </row>
    <row r="1111" spans="2:3" x14ac:dyDescent="0.2">
      <c r="B1111" s="32"/>
      <c r="C1111" s="32"/>
    </row>
    <row r="1112" spans="2:3" x14ac:dyDescent="0.2">
      <c r="B1112" s="32"/>
      <c r="C1112" s="32"/>
    </row>
    <row r="1113" spans="2:3" x14ac:dyDescent="0.2">
      <c r="B1113" s="32"/>
      <c r="C1113" s="32"/>
    </row>
    <row r="1114" spans="2:3" x14ac:dyDescent="0.2">
      <c r="B1114" s="32"/>
      <c r="C1114" s="32"/>
    </row>
    <row r="1115" spans="2:3" x14ac:dyDescent="0.2">
      <c r="B1115" s="32"/>
      <c r="C1115" s="32"/>
    </row>
    <row r="1116" spans="2:3" x14ac:dyDescent="0.2">
      <c r="B1116" s="32"/>
      <c r="C1116" s="32"/>
    </row>
    <row r="1117" spans="2:3" x14ac:dyDescent="0.2">
      <c r="B1117" s="32"/>
      <c r="C1117" s="32"/>
    </row>
    <row r="1118" spans="2:3" x14ac:dyDescent="0.2">
      <c r="B1118" s="32"/>
      <c r="C1118" s="32"/>
    </row>
    <row r="1119" spans="2:3" x14ac:dyDescent="0.2">
      <c r="B1119" s="32"/>
      <c r="C1119" s="32"/>
    </row>
    <row r="1120" spans="2:3" x14ac:dyDescent="0.2">
      <c r="B1120" s="32"/>
      <c r="C1120" s="32"/>
    </row>
    <row r="1121" spans="2:3" x14ac:dyDescent="0.2">
      <c r="B1121" s="32"/>
      <c r="C1121" s="32"/>
    </row>
    <row r="1122" spans="2:3" x14ac:dyDescent="0.2">
      <c r="B1122" s="32"/>
      <c r="C1122" s="32"/>
    </row>
    <row r="1123" spans="2:3" x14ac:dyDescent="0.2">
      <c r="B1123" s="32"/>
      <c r="C1123" s="32"/>
    </row>
    <row r="1124" spans="2:3" x14ac:dyDescent="0.2">
      <c r="B1124" s="32"/>
      <c r="C1124" s="32"/>
    </row>
    <row r="1125" spans="2:3" x14ac:dyDescent="0.2">
      <c r="B1125" s="32"/>
      <c r="C1125" s="32"/>
    </row>
    <row r="1126" spans="2:3" x14ac:dyDescent="0.2">
      <c r="B1126" s="32"/>
      <c r="C1126" s="32"/>
    </row>
    <row r="1127" spans="2:3" x14ac:dyDescent="0.2">
      <c r="B1127" s="32"/>
      <c r="C1127" s="32"/>
    </row>
    <row r="1128" spans="2:3" x14ac:dyDescent="0.2">
      <c r="B1128" s="32"/>
      <c r="C1128" s="32"/>
    </row>
    <row r="1129" spans="2:3" x14ac:dyDescent="0.2">
      <c r="B1129" s="32"/>
      <c r="C1129" s="32"/>
    </row>
    <row r="1130" spans="2:3" x14ac:dyDescent="0.2">
      <c r="B1130" s="32"/>
      <c r="C1130" s="32"/>
    </row>
    <row r="1131" spans="2:3" x14ac:dyDescent="0.2">
      <c r="B1131" s="32"/>
      <c r="C1131" s="32"/>
    </row>
    <row r="1132" spans="2:3" x14ac:dyDescent="0.2">
      <c r="B1132" s="32"/>
      <c r="C1132" s="32"/>
    </row>
    <row r="1133" spans="2:3" x14ac:dyDescent="0.2">
      <c r="B1133" s="32"/>
      <c r="C1133" s="32"/>
    </row>
    <row r="1134" spans="2:3" x14ac:dyDescent="0.2">
      <c r="B1134" s="32"/>
      <c r="C1134" s="32"/>
    </row>
    <row r="1135" spans="2:3" x14ac:dyDescent="0.2">
      <c r="B1135" s="32"/>
      <c r="C1135" s="32"/>
    </row>
    <row r="1136" spans="2:3" x14ac:dyDescent="0.2">
      <c r="B1136" s="32"/>
      <c r="C1136" s="32"/>
    </row>
    <row r="1137" spans="2:3" x14ac:dyDescent="0.2">
      <c r="B1137" s="32"/>
      <c r="C1137" s="32"/>
    </row>
    <row r="1138" spans="2:3" x14ac:dyDescent="0.2">
      <c r="B1138" s="32"/>
      <c r="C1138" s="32"/>
    </row>
    <row r="1139" spans="2:3" x14ac:dyDescent="0.2">
      <c r="B1139" s="32"/>
      <c r="C1139" s="32"/>
    </row>
    <row r="1140" spans="2:3" x14ac:dyDescent="0.2">
      <c r="B1140" s="32"/>
      <c r="C1140" s="32"/>
    </row>
    <row r="1141" spans="2:3" x14ac:dyDescent="0.2">
      <c r="B1141" s="32"/>
      <c r="C1141" s="32"/>
    </row>
    <row r="1142" spans="2:3" x14ac:dyDescent="0.2">
      <c r="B1142" s="32"/>
      <c r="C1142" s="32"/>
    </row>
    <row r="1143" spans="2:3" x14ac:dyDescent="0.2">
      <c r="B1143" s="32"/>
      <c r="C1143" s="32"/>
    </row>
    <row r="1144" spans="2:3" x14ac:dyDescent="0.2">
      <c r="B1144" s="32"/>
      <c r="C1144" s="32"/>
    </row>
    <row r="1145" spans="2:3" x14ac:dyDescent="0.2">
      <c r="B1145" s="32"/>
      <c r="C1145" s="32"/>
    </row>
    <row r="1146" spans="2:3" x14ac:dyDescent="0.2">
      <c r="B1146" s="32"/>
      <c r="C1146" s="32"/>
    </row>
    <row r="1147" spans="2:3" x14ac:dyDescent="0.2">
      <c r="B1147" s="32"/>
      <c r="C1147" s="32"/>
    </row>
    <row r="1148" spans="2:3" x14ac:dyDescent="0.2">
      <c r="B1148" s="32"/>
      <c r="C1148" s="32"/>
    </row>
    <row r="1149" spans="2:3" x14ac:dyDescent="0.2">
      <c r="B1149" s="32"/>
      <c r="C1149" s="32"/>
    </row>
    <row r="1150" spans="2:3" x14ac:dyDescent="0.2">
      <c r="B1150" s="32"/>
      <c r="C1150" s="32"/>
    </row>
    <row r="1151" spans="2:3" x14ac:dyDescent="0.2">
      <c r="B1151" s="32"/>
      <c r="C1151" s="32"/>
    </row>
    <row r="1152" spans="2:3" x14ac:dyDescent="0.2">
      <c r="B1152" s="32"/>
      <c r="C1152" s="32"/>
    </row>
    <row r="1153" spans="2:3" x14ac:dyDescent="0.2">
      <c r="B1153" s="32"/>
      <c r="C1153" s="32"/>
    </row>
    <row r="1154" spans="2:3" x14ac:dyDescent="0.2">
      <c r="B1154" s="32"/>
      <c r="C1154" s="32"/>
    </row>
    <row r="1155" spans="2:3" x14ac:dyDescent="0.2">
      <c r="B1155" s="32"/>
      <c r="C1155" s="32"/>
    </row>
    <row r="1156" spans="2:3" x14ac:dyDescent="0.2">
      <c r="B1156" s="32"/>
      <c r="C1156" s="32"/>
    </row>
    <row r="1157" spans="2:3" x14ac:dyDescent="0.2">
      <c r="B1157" s="32"/>
      <c r="C1157" s="32"/>
    </row>
    <row r="1158" spans="2:3" x14ac:dyDescent="0.2">
      <c r="B1158" s="32"/>
      <c r="C1158" s="32"/>
    </row>
    <row r="1159" spans="2:3" x14ac:dyDescent="0.2">
      <c r="B1159" s="32"/>
      <c r="C1159" s="32"/>
    </row>
    <row r="1160" spans="2:3" x14ac:dyDescent="0.2">
      <c r="B1160" s="32"/>
      <c r="C1160" s="32"/>
    </row>
    <row r="1161" spans="2:3" x14ac:dyDescent="0.2">
      <c r="B1161" s="32"/>
      <c r="C1161" s="32"/>
    </row>
    <row r="1162" spans="2:3" x14ac:dyDescent="0.2">
      <c r="B1162" s="32"/>
      <c r="C1162" s="32"/>
    </row>
    <row r="1163" spans="2:3" x14ac:dyDescent="0.2">
      <c r="B1163" s="32"/>
      <c r="C1163" s="32"/>
    </row>
    <row r="1164" spans="2:3" x14ac:dyDescent="0.2">
      <c r="B1164" s="32"/>
      <c r="C1164" s="32"/>
    </row>
    <row r="1165" spans="2:3" x14ac:dyDescent="0.2">
      <c r="B1165" s="32"/>
      <c r="C1165" s="32"/>
    </row>
    <row r="1166" spans="2:3" x14ac:dyDescent="0.2">
      <c r="B1166" s="32"/>
      <c r="C1166" s="32"/>
    </row>
    <row r="1167" spans="2:3" x14ac:dyDescent="0.2">
      <c r="B1167" s="32"/>
      <c r="C1167" s="32"/>
    </row>
    <row r="1168" spans="2:3" x14ac:dyDescent="0.2">
      <c r="B1168" s="32"/>
      <c r="C1168" s="32"/>
    </row>
    <row r="1169" spans="2:3" x14ac:dyDescent="0.2">
      <c r="B1169" s="32"/>
      <c r="C1169" s="32"/>
    </row>
    <row r="1170" spans="2:3" x14ac:dyDescent="0.2">
      <c r="B1170" s="32"/>
      <c r="C1170" s="32"/>
    </row>
    <row r="1171" spans="2:3" x14ac:dyDescent="0.2">
      <c r="B1171" s="32"/>
      <c r="C1171" s="32"/>
    </row>
    <row r="1172" spans="2:3" x14ac:dyDescent="0.2">
      <c r="B1172" s="32"/>
      <c r="C1172" s="32"/>
    </row>
    <row r="1173" spans="2:3" x14ac:dyDescent="0.2">
      <c r="B1173" s="32"/>
      <c r="C1173" s="32"/>
    </row>
    <row r="1174" spans="2:3" x14ac:dyDescent="0.2">
      <c r="B1174" s="32"/>
      <c r="C1174" s="32"/>
    </row>
    <row r="1175" spans="2:3" x14ac:dyDescent="0.2">
      <c r="B1175" s="32"/>
      <c r="C1175" s="32"/>
    </row>
    <row r="1176" spans="2:3" x14ac:dyDescent="0.2">
      <c r="B1176" s="32"/>
      <c r="C1176" s="32"/>
    </row>
    <row r="1177" spans="2:3" x14ac:dyDescent="0.2">
      <c r="B1177" s="32"/>
      <c r="C1177" s="32"/>
    </row>
    <row r="1178" spans="2:3" x14ac:dyDescent="0.2">
      <c r="B1178" s="32"/>
      <c r="C1178" s="32"/>
    </row>
    <row r="1179" spans="2:3" x14ac:dyDescent="0.2">
      <c r="B1179" s="32"/>
      <c r="C1179" s="32"/>
    </row>
    <row r="1180" spans="2:3" x14ac:dyDescent="0.2">
      <c r="B1180" s="32"/>
      <c r="C1180" s="32"/>
    </row>
    <row r="1181" spans="2:3" x14ac:dyDescent="0.2">
      <c r="B1181" s="32"/>
      <c r="C1181" s="32"/>
    </row>
    <row r="1182" spans="2:3" x14ac:dyDescent="0.2">
      <c r="B1182" s="32"/>
      <c r="C1182" s="32"/>
    </row>
    <row r="1183" spans="2:3" x14ac:dyDescent="0.2">
      <c r="B1183" s="32"/>
      <c r="C1183" s="32"/>
    </row>
    <row r="1184" spans="2:3" x14ac:dyDescent="0.2">
      <c r="B1184" s="32"/>
      <c r="C1184" s="32"/>
    </row>
    <row r="1185" spans="2:3" x14ac:dyDescent="0.2">
      <c r="B1185" s="32"/>
      <c r="C1185" s="32"/>
    </row>
    <row r="1186" spans="2:3" x14ac:dyDescent="0.2">
      <c r="B1186" s="32"/>
      <c r="C1186" s="32"/>
    </row>
    <row r="1187" spans="2:3" x14ac:dyDescent="0.2">
      <c r="B1187" s="32"/>
      <c r="C1187" s="32"/>
    </row>
    <row r="1188" spans="2:3" x14ac:dyDescent="0.2">
      <c r="B1188" s="32"/>
      <c r="C1188" s="32"/>
    </row>
    <row r="1189" spans="2:3" x14ac:dyDescent="0.2">
      <c r="B1189" s="32"/>
      <c r="C1189" s="32"/>
    </row>
    <row r="1190" spans="2:3" x14ac:dyDescent="0.2">
      <c r="B1190" s="32"/>
      <c r="C1190" s="32"/>
    </row>
    <row r="1191" spans="2:3" x14ac:dyDescent="0.2">
      <c r="B1191" s="32"/>
      <c r="C1191" s="32"/>
    </row>
    <row r="1192" spans="2:3" x14ac:dyDescent="0.2">
      <c r="B1192" s="32"/>
      <c r="C1192" s="32"/>
    </row>
    <row r="1193" spans="2:3" x14ac:dyDescent="0.2">
      <c r="B1193" s="32"/>
      <c r="C1193" s="32"/>
    </row>
    <row r="1194" spans="2:3" x14ac:dyDescent="0.2">
      <c r="B1194" s="32"/>
      <c r="C1194" s="32"/>
    </row>
    <row r="1195" spans="2:3" x14ac:dyDescent="0.2">
      <c r="B1195" s="32"/>
      <c r="C1195" s="32"/>
    </row>
    <row r="1196" spans="2:3" x14ac:dyDescent="0.2">
      <c r="B1196" s="32"/>
      <c r="C1196" s="32"/>
    </row>
    <row r="1197" spans="2:3" x14ac:dyDescent="0.2">
      <c r="B1197" s="32"/>
      <c r="C1197" s="32"/>
    </row>
    <row r="1198" spans="2:3" x14ac:dyDescent="0.2">
      <c r="B1198" s="32"/>
      <c r="C1198" s="32"/>
    </row>
    <row r="1199" spans="2:3" x14ac:dyDescent="0.2">
      <c r="B1199" s="32"/>
      <c r="C1199" s="32"/>
    </row>
    <row r="1200" spans="2:3" x14ac:dyDescent="0.2">
      <c r="B1200" s="32"/>
      <c r="C1200" s="32"/>
    </row>
    <row r="1201" spans="2:3" x14ac:dyDescent="0.2">
      <c r="B1201" s="32"/>
      <c r="C1201" s="32"/>
    </row>
    <row r="1202" spans="2:3" x14ac:dyDescent="0.2">
      <c r="B1202" s="32"/>
      <c r="C1202" s="32"/>
    </row>
    <row r="1203" spans="2:3" x14ac:dyDescent="0.2">
      <c r="B1203" s="32"/>
      <c r="C1203" s="32"/>
    </row>
    <row r="1204" spans="2:3" x14ac:dyDescent="0.2">
      <c r="B1204" s="32"/>
      <c r="C1204" s="32"/>
    </row>
    <row r="1205" spans="2:3" x14ac:dyDescent="0.2">
      <c r="B1205" s="32"/>
      <c r="C1205" s="32"/>
    </row>
    <row r="1206" spans="2:3" x14ac:dyDescent="0.2">
      <c r="B1206" s="32"/>
      <c r="C1206" s="32"/>
    </row>
    <row r="1207" spans="2:3" x14ac:dyDescent="0.2">
      <c r="B1207" s="32"/>
      <c r="C1207" s="32"/>
    </row>
    <row r="1208" spans="2:3" x14ac:dyDescent="0.2">
      <c r="B1208" s="32"/>
      <c r="C1208" s="32"/>
    </row>
    <row r="1209" spans="2:3" x14ac:dyDescent="0.2">
      <c r="B1209" s="32"/>
      <c r="C1209" s="32"/>
    </row>
    <row r="1210" spans="2:3" x14ac:dyDescent="0.2">
      <c r="B1210" s="32"/>
      <c r="C1210" s="32"/>
    </row>
    <row r="1211" spans="2:3" x14ac:dyDescent="0.2">
      <c r="B1211" s="32"/>
      <c r="C1211" s="32"/>
    </row>
    <row r="1212" spans="2:3" x14ac:dyDescent="0.2">
      <c r="B1212" s="32"/>
      <c r="C1212" s="32"/>
    </row>
    <row r="1213" spans="2:3" x14ac:dyDescent="0.2">
      <c r="B1213" s="32"/>
      <c r="C1213" s="32"/>
    </row>
    <row r="1214" spans="2:3" x14ac:dyDescent="0.2">
      <c r="B1214" s="32"/>
      <c r="C1214" s="32"/>
    </row>
    <row r="1215" spans="2:3" x14ac:dyDescent="0.2">
      <c r="B1215" s="32"/>
      <c r="C1215" s="32"/>
    </row>
    <row r="1216" spans="2:3" x14ac:dyDescent="0.2">
      <c r="B1216" s="32"/>
      <c r="C1216" s="32"/>
    </row>
    <row r="1217" spans="2:3" x14ac:dyDescent="0.2">
      <c r="B1217" s="32"/>
      <c r="C1217" s="32"/>
    </row>
    <row r="1218" spans="2:3" x14ac:dyDescent="0.2">
      <c r="B1218" s="32"/>
      <c r="C1218" s="32"/>
    </row>
    <row r="1219" spans="2:3" x14ac:dyDescent="0.2">
      <c r="B1219" s="32"/>
      <c r="C1219" s="32"/>
    </row>
    <row r="1220" spans="2:3" x14ac:dyDescent="0.2">
      <c r="B1220" s="32"/>
      <c r="C1220" s="32"/>
    </row>
    <row r="1221" spans="2:3" x14ac:dyDescent="0.2">
      <c r="B1221" s="32"/>
      <c r="C1221" s="32"/>
    </row>
    <row r="1222" spans="2:3" x14ac:dyDescent="0.2">
      <c r="B1222" s="32"/>
      <c r="C1222" s="32"/>
    </row>
    <row r="1223" spans="2:3" x14ac:dyDescent="0.2">
      <c r="B1223" s="32"/>
      <c r="C1223" s="32"/>
    </row>
    <row r="1224" spans="2:3" x14ac:dyDescent="0.2">
      <c r="B1224" s="32"/>
      <c r="C1224" s="32"/>
    </row>
    <row r="1225" spans="2:3" x14ac:dyDescent="0.2">
      <c r="B1225" s="32"/>
      <c r="C1225" s="32"/>
    </row>
    <row r="1226" spans="2:3" x14ac:dyDescent="0.2">
      <c r="B1226" s="32"/>
      <c r="C1226" s="32"/>
    </row>
    <row r="1227" spans="2:3" x14ac:dyDescent="0.2">
      <c r="B1227" s="32"/>
      <c r="C1227" s="32"/>
    </row>
    <row r="1228" spans="2:3" x14ac:dyDescent="0.2">
      <c r="B1228" s="32"/>
      <c r="C1228" s="32"/>
    </row>
    <row r="1229" spans="2:3" x14ac:dyDescent="0.2">
      <c r="B1229" s="32"/>
      <c r="C1229" s="32"/>
    </row>
    <row r="1230" spans="2:3" x14ac:dyDescent="0.2">
      <c r="B1230" s="32"/>
      <c r="C1230" s="32"/>
    </row>
    <row r="1231" spans="2:3" x14ac:dyDescent="0.2">
      <c r="B1231" s="32"/>
      <c r="C1231" s="32"/>
    </row>
    <row r="1232" spans="2:3" x14ac:dyDescent="0.2">
      <c r="B1232" s="32"/>
      <c r="C1232" s="32"/>
    </row>
    <row r="1233" spans="2:3" x14ac:dyDescent="0.2">
      <c r="B1233" s="32"/>
      <c r="C1233" s="32"/>
    </row>
    <row r="1234" spans="2:3" x14ac:dyDescent="0.2">
      <c r="B1234" s="32"/>
      <c r="C1234" s="32"/>
    </row>
    <row r="1235" spans="2:3" x14ac:dyDescent="0.2">
      <c r="B1235" s="32"/>
      <c r="C1235" s="32"/>
    </row>
    <row r="1236" spans="2:3" x14ac:dyDescent="0.2">
      <c r="B1236" s="32"/>
      <c r="C1236" s="32"/>
    </row>
    <row r="1237" spans="2:3" x14ac:dyDescent="0.2">
      <c r="B1237" s="32"/>
      <c r="C1237" s="32"/>
    </row>
    <row r="1238" spans="2:3" x14ac:dyDescent="0.2">
      <c r="B1238" s="32"/>
      <c r="C1238" s="32"/>
    </row>
    <row r="1239" spans="2:3" x14ac:dyDescent="0.2">
      <c r="B1239" s="32"/>
      <c r="C1239" s="32"/>
    </row>
    <row r="1240" spans="2:3" x14ac:dyDescent="0.2">
      <c r="B1240" s="32"/>
      <c r="C1240" s="32"/>
    </row>
    <row r="1241" spans="2:3" x14ac:dyDescent="0.2">
      <c r="B1241" s="32"/>
      <c r="C1241" s="32"/>
    </row>
    <row r="1242" spans="2:3" x14ac:dyDescent="0.2">
      <c r="B1242" s="32"/>
      <c r="C1242" s="32"/>
    </row>
    <row r="1243" spans="2:3" x14ac:dyDescent="0.2">
      <c r="B1243" s="32"/>
      <c r="C1243" s="32"/>
    </row>
    <row r="1244" spans="2:3" x14ac:dyDescent="0.2">
      <c r="B1244" s="32"/>
      <c r="C1244" s="32"/>
    </row>
    <row r="1245" spans="2:3" x14ac:dyDescent="0.2">
      <c r="B1245" s="32"/>
      <c r="C1245" s="32"/>
    </row>
    <row r="1246" spans="2:3" x14ac:dyDescent="0.2">
      <c r="B1246" s="32"/>
      <c r="C1246" s="32"/>
    </row>
    <row r="1247" spans="2:3" x14ac:dyDescent="0.2">
      <c r="B1247" s="32"/>
      <c r="C1247" s="32"/>
    </row>
    <row r="1248" spans="2:3" x14ac:dyDescent="0.2">
      <c r="B1248" s="32"/>
      <c r="C1248" s="32"/>
    </row>
    <row r="1249" spans="2:3" x14ac:dyDescent="0.2">
      <c r="B1249" s="32"/>
      <c r="C1249" s="32"/>
    </row>
    <row r="1250" spans="2:3" x14ac:dyDescent="0.2">
      <c r="B1250" s="32"/>
      <c r="C1250" s="32"/>
    </row>
    <row r="1251" spans="2:3" x14ac:dyDescent="0.2">
      <c r="B1251" s="32"/>
      <c r="C1251" s="32"/>
    </row>
    <row r="1252" spans="2:3" x14ac:dyDescent="0.2">
      <c r="B1252" s="32"/>
      <c r="C1252" s="32"/>
    </row>
    <row r="1253" spans="2:3" x14ac:dyDescent="0.2">
      <c r="B1253" s="32"/>
      <c r="C1253" s="32"/>
    </row>
    <row r="1254" spans="2:3" x14ac:dyDescent="0.2">
      <c r="B1254" s="32"/>
      <c r="C1254" s="32"/>
    </row>
    <row r="1255" spans="2:3" x14ac:dyDescent="0.2">
      <c r="B1255" s="32"/>
      <c r="C1255" s="32"/>
    </row>
    <row r="1256" spans="2:3" x14ac:dyDescent="0.2">
      <c r="B1256" s="32"/>
      <c r="C1256" s="32"/>
    </row>
    <row r="1257" spans="2:3" x14ac:dyDescent="0.2">
      <c r="B1257" s="32"/>
      <c r="C1257" s="32"/>
    </row>
    <row r="1258" spans="2:3" x14ac:dyDescent="0.2">
      <c r="B1258" s="32"/>
      <c r="C1258" s="32"/>
    </row>
    <row r="1259" spans="2:3" x14ac:dyDescent="0.2">
      <c r="B1259" s="32"/>
      <c r="C1259" s="32"/>
    </row>
    <row r="1260" spans="2:3" x14ac:dyDescent="0.2">
      <c r="B1260" s="32"/>
      <c r="C1260" s="32"/>
    </row>
    <row r="1261" spans="2:3" x14ac:dyDescent="0.2">
      <c r="B1261" s="32"/>
      <c r="C1261" s="32"/>
    </row>
    <row r="1262" spans="2:3" x14ac:dyDescent="0.2">
      <c r="B1262" s="32"/>
      <c r="C1262" s="32"/>
    </row>
    <row r="1263" spans="2:3" x14ac:dyDescent="0.2">
      <c r="B1263" s="32"/>
      <c r="C1263" s="32"/>
    </row>
    <row r="1264" spans="2:3" x14ac:dyDescent="0.2">
      <c r="B1264" s="32"/>
      <c r="C1264" s="32"/>
    </row>
    <row r="1265" spans="2:3" x14ac:dyDescent="0.2">
      <c r="B1265" s="32"/>
      <c r="C1265" s="32"/>
    </row>
    <row r="1266" spans="2:3" x14ac:dyDescent="0.2">
      <c r="B1266" s="32"/>
      <c r="C1266" s="32"/>
    </row>
    <row r="1267" spans="2:3" x14ac:dyDescent="0.2">
      <c r="B1267" s="32"/>
      <c r="C1267" s="32"/>
    </row>
    <row r="1268" spans="2:3" x14ac:dyDescent="0.2">
      <c r="B1268" s="32"/>
      <c r="C1268" s="32"/>
    </row>
    <row r="1269" spans="2:3" x14ac:dyDescent="0.2">
      <c r="B1269" s="32"/>
      <c r="C1269" s="32"/>
    </row>
    <row r="1270" spans="2:3" x14ac:dyDescent="0.2">
      <c r="B1270" s="32"/>
      <c r="C1270" s="32"/>
    </row>
    <row r="1271" spans="2:3" x14ac:dyDescent="0.2">
      <c r="B1271" s="32"/>
      <c r="C1271" s="32"/>
    </row>
    <row r="1272" spans="2:3" x14ac:dyDescent="0.2">
      <c r="B1272" s="32"/>
      <c r="C1272" s="32"/>
    </row>
    <row r="1273" spans="2:3" x14ac:dyDescent="0.2">
      <c r="B1273" s="32"/>
      <c r="C1273" s="32"/>
    </row>
    <row r="1274" spans="2:3" x14ac:dyDescent="0.2">
      <c r="B1274" s="32"/>
      <c r="C1274" s="32"/>
    </row>
    <row r="1275" spans="2:3" x14ac:dyDescent="0.2">
      <c r="B1275" s="32"/>
      <c r="C1275" s="32"/>
    </row>
    <row r="1276" spans="2:3" x14ac:dyDescent="0.2">
      <c r="B1276" s="32"/>
      <c r="C1276" s="32"/>
    </row>
    <row r="1277" spans="2:3" x14ac:dyDescent="0.2">
      <c r="B1277" s="32"/>
      <c r="C1277" s="32"/>
    </row>
    <row r="1278" spans="2:3" x14ac:dyDescent="0.2">
      <c r="B1278" s="32"/>
      <c r="C1278" s="32"/>
    </row>
    <row r="1279" spans="2:3" x14ac:dyDescent="0.2">
      <c r="B1279" s="32"/>
      <c r="C1279" s="32"/>
    </row>
    <row r="1280" spans="2:3" x14ac:dyDescent="0.2">
      <c r="B1280" s="32"/>
      <c r="C1280" s="32"/>
    </row>
    <row r="1281" spans="2:3" x14ac:dyDescent="0.2">
      <c r="B1281" s="32"/>
      <c r="C1281" s="32"/>
    </row>
    <row r="1282" spans="2:3" x14ac:dyDescent="0.2">
      <c r="B1282" s="32"/>
      <c r="C1282" s="32"/>
    </row>
    <row r="1283" spans="2:3" x14ac:dyDescent="0.2">
      <c r="B1283" s="32"/>
      <c r="C1283" s="32"/>
    </row>
    <row r="1284" spans="2:3" x14ac:dyDescent="0.2">
      <c r="B1284" s="32"/>
      <c r="C1284" s="32"/>
    </row>
    <row r="1285" spans="2:3" x14ac:dyDescent="0.2">
      <c r="B1285" s="32"/>
      <c r="C1285" s="32"/>
    </row>
    <row r="1286" spans="2:3" x14ac:dyDescent="0.2">
      <c r="B1286" s="32"/>
      <c r="C1286" s="32"/>
    </row>
    <row r="1287" spans="2:3" x14ac:dyDescent="0.2">
      <c r="B1287" s="32"/>
      <c r="C1287" s="32"/>
    </row>
    <row r="1288" spans="2:3" x14ac:dyDescent="0.2">
      <c r="B1288" s="32"/>
      <c r="C1288" s="32"/>
    </row>
    <row r="1289" spans="2:3" x14ac:dyDescent="0.2">
      <c r="B1289" s="32"/>
      <c r="C1289" s="32"/>
    </row>
    <row r="1290" spans="2:3" x14ac:dyDescent="0.2">
      <c r="B1290" s="32"/>
      <c r="C1290" s="32"/>
    </row>
    <row r="1291" spans="2:3" x14ac:dyDescent="0.2">
      <c r="B1291" s="32"/>
      <c r="C1291" s="32"/>
    </row>
    <row r="1292" spans="2:3" x14ac:dyDescent="0.2">
      <c r="B1292" s="32"/>
      <c r="C1292" s="32"/>
    </row>
    <row r="1293" spans="2:3" x14ac:dyDescent="0.2">
      <c r="B1293" s="32"/>
      <c r="C1293" s="32"/>
    </row>
    <row r="1294" spans="2:3" x14ac:dyDescent="0.2">
      <c r="B1294" s="32"/>
      <c r="C1294" s="32"/>
    </row>
    <row r="1295" spans="2:3" x14ac:dyDescent="0.2">
      <c r="B1295" s="32"/>
      <c r="C1295" s="32"/>
    </row>
    <row r="1296" spans="2:3" x14ac:dyDescent="0.2">
      <c r="B1296" s="32"/>
      <c r="C1296" s="32"/>
    </row>
    <row r="1297" spans="2:3" x14ac:dyDescent="0.2">
      <c r="B1297" s="32"/>
      <c r="C1297" s="32"/>
    </row>
    <row r="1298" spans="2:3" x14ac:dyDescent="0.2">
      <c r="B1298" s="32"/>
      <c r="C1298" s="32"/>
    </row>
    <row r="1299" spans="2:3" x14ac:dyDescent="0.2">
      <c r="B1299" s="32"/>
      <c r="C1299" s="32"/>
    </row>
    <row r="1300" spans="2:3" x14ac:dyDescent="0.2">
      <c r="B1300" s="32"/>
      <c r="C1300" s="32"/>
    </row>
    <row r="1301" spans="2:3" x14ac:dyDescent="0.2">
      <c r="B1301" s="32"/>
      <c r="C1301" s="32"/>
    </row>
    <row r="1302" spans="2:3" x14ac:dyDescent="0.2">
      <c r="B1302" s="32"/>
      <c r="C1302" s="32"/>
    </row>
    <row r="1303" spans="2:3" x14ac:dyDescent="0.2">
      <c r="B1303" s="32"/>
      <c r="C1303" s="32"/>
    </row>
    <row r="1304" spans="2:3" x14ac:dyDescent="0.2">
      <c r="B1304" s="32"/>
      <c r="C1304" s="32"/>
    </row>
    <row r="1305" spans="2:3" x14ac:dyDescent="0.2">
      <c r="B1305" s="32"/>
      <c r="C1305" s="32"/>
    </row>
    <row r="1306" spans="2:3" x14ac:dyDescent="0.2">
      <c r="B1306" s="32"/>
      <c r="C1306" s="32"/>
    </row>
    <row r="1307" spans="2:3" x14ac:dyDescent="0.2">
      <c r="B1307" s="32"/>
      <c r="C1307" s="32"/>
    </row>
    <row r="1308" spans="2:3" x14ac:dyDescent="0.2">
      <c r="B1308" s="32"/>
      <c r="C1308" s="32"/>
    </row>
    <row r="1309" spans="2:3" x14ac:dyDescent="0.2">
      <c r="B1309" s="32"/>
      <c r="C1309" s="32"/>
    </row>
    <row r="1310" spans="2:3" x14ac:dyDescent="0.2">
      <c r="B1310" s="32"/>
      <c r="C1310" s="32"/>
    </row>
    <row r="1311" spans="2:3" x14ac:dyDescent="0.2">
      <c r="B1311" s="32"/>
      <c r="C1311" s="32"/>
    </row>
    <row r="1312" spans="2:3" x14ac:dyDescent="0.2">
      <c r="B1312" s="32"/>
      <c r="C1312" s="32"/>
    </row>
    <row r="1313" spans="2:3" x14ac:dyDescent="0.2">
      <c r="B1313" s="32"/>
      <c r="C1313" s="32"/>
    </row>
    <row r="1314" spans="2:3" x14ac:dyDescent="0.2">
      <c r="B1314" s="32"/>
      <c r="C1314" s="32"/>
    </row>
    <row r="1315" spans="2:3" x14ac:dyDescent="0.2">
      <c r="B1315" s="32"/>
      <c r="C1315" s="32"/>
    </row>
    <row r="1316" spans="2:3" x14ac:dyDescent="0.2">
      <c r="B1316" s="32"/>
      <c r="C1316" s="32"/>
    </row>
    <row r="1317" spans="2:3" x14ac:dyDescent="0.2">
      <c r="B1317" s="32"/>
      <c r="C1317" s="32"/>
    </row>
    <row r="1318" spans="2:3" x14ac:dyDescent="0.2">
      <c r="B1318" s="32"/>
      <c r="C1318" s="32"/>
    </row>
    <row r="1319" spans="2:3" x14ac:dyDescent="0.2">
      <c r="B1319" s="32"/>
      <c r="C1319" s="32"/>
    </row>
    <row r="1320" spans="2:3" x14ac:dyDescent="0.2">
      <c r="B1320" s="32"/>
      <c r="C1320" s="32"/>
    </row>
    <row r="1321" spans="2:3" x14ac:dyDescent="0.2">
      <c r="B1321" s="32"/>
      <c r="C1321" s="32"/>
    </row>
    <row r="1322" spans="2:3" x14ac:dyDescent="0.2">
      <c r="B1322" s="32"/>
      <c r="C1322" s="32"/>
    </row>
    <row r="1323" spans="2:3" x14ac:dyDescent="0.2">
      <c r="B1323" s="32"/>
      <c r="C1323" s="32"/>
    </row>
    <row r="1324" spans="2:3" x14ac:dyDescent="0.2">
      <c r="B1324" s="32"/>
      <c r="C1324" s="32"/>
    </row>
    <row r="1325" spans="2:3" x14ac:dyDescent="0.2">
      <c r="B1325" s="32"/>
      <c r="C1325" s="32"/>
    </row>
    <row r="1326" spans="2:3" x14ac:dyDescent="0.2">
      <c r="B1326" s="32"/>
      <c r="C1326" s="32"/>
    </row>
    <row r="1327" spans="2:3" x14ac:dyDescent="0.2">
      <c r="B1327" s="32"/>
      <c r="C1327" s="32"/>
    </row>
    <row r="1328" spans="2:3" x14ac:dyDescent="0.2">
      <c r="B1328" s="32"/>
      <c r="C1328" s="32"/>
    </row>
    <row r="1329" spans="2:3" x14ac:dyDescent="0.2">
      <c r="B1329" s="32"/>
      <c r="C1329" s="32"/>
    </row>
    <row r="1330" spans="2:3" x14ac:dyDescent="0.2">
      <c r="B1330" s="32"/>
      <c r="C1330" s="32"/>
    </row>
    <row r="1331" spans="2:3" x14ac:dyDescent="0.2">
      <c r="B1331" s="32"/>
      <c r="C1331" s="32"/>
    </row>
    <row r="1332" spans="2:3" x14ac:dyDescent="0.2">
      <c r="B1332" s="32"/>
      <c r="C1332" s="32"/>
    </row>
    <row r="1333" spans="2:3" x14ac:dyDescent="0.2">
      <c r="B1333" s="32"/>
      <c r="C1333" s="32"/>
    </row>
    <row r="1334" spans="2:3" x14ac:dyDescent="0.2">
      <c r="B1334" s="32"/>
      <c r="C1334" s="32"/>
    </row>
    <row r="1335" spans="2:3" x14ac:dyDescent="0.2">
      <c r="B1335" s="32"/>
      <c r="C1335" s="32"/>
    </row>
    <row r="1336" spans="2:3" x14ac:dyDescent="0.2">
      <c r="B1336" s="32"/>
      <c r="C1336" s="32"/>
    </row>
    <row r="1337" spans="2:3" x14ac:dyDescent="0.2">
      <c r="B1337" s="32"/>
      <c r="C1337" s="32"/>
    </row>
    <row r="1338" spans="2:3" x14ac:dyDescent="0.2">
      <c r="B1338" s="32"/>
      <c r="C1338" s="32"/>
    </row>
    <row r="1339" spans="2:3" x14ac:dyDescent="0.2">
      <c r="B1339" s="32"/>
      <c r="C1339" s="32"/>
    </row>
    <row r="1340" spans="2:3" x14ac:dyDescent="0.2">
      <c r="B1340" s="32"/>
      <c r="C1340" s="32"/>
    </row>
    <row r="1341" spans="2:3" x14ac:dyDescent="0.2">
      <c r="B1341" s="32"/>
      <c r="C1341" s="32"/>
    </row>
    <row r="1342" spans="2:3" x14ac:dyDescent="0.2">
      <c r="B1342" s="32"/>
      <c r="C1342" s="32"/>
    </row>
    <row r="1343" spans="2:3" x14ac:dyDescent="0.2">
      <c r="B1343" s="32"/>
      <c r="C1343" s="32"/>
    </row>
    <row r="1344" spans="2:3" x14ac:dyDescent="0.2">
      <c r="B1344" s="32"/>
      <c r="C1344" s="32"/>
    </row>
    <row r="1345" spans="2:3" x14ac:dyDescent="0.2">
      <c r="B1345" s="32"/>
      <c r="C1345" s="32"/>
    </row>
    <row r="1346" spans="2:3" x14ac:dyDescent="0.2">
      <c r="B1346" s="32"/>
      <c r="C1346" s="32"/>
    </row>
    <row r="1347" spans="2:3" x14ac:dyDescent="0.2">
      <c r="B1347" s="32"/>
      <c r="C1347" s="32"/>
    </row>
    <row r="1348" spans="2:3" x14ac:dyDescent="0.2">
      <c r="B1348" s="32"/>
      <c r="C1348" s="32"/>
    </row>
    <row r="1349" spans="2:3" x14ac:dyDescent="0.2">
      <c r="B1349" s="32"/>
      <c r="C1349" s="32"/>
    </row>
    <row r="1350" spans="2:3" x14ac:dyDescent="0.2">
      <c r="B1350" s="32"/>
      <c r="C1350" s="32"/>
    </row>
    <row r="1351" spans="2:3" x14ac:dyDescent="0.2">
      <c r="B1351" s="32"/>
      <c r="C1351" s="32"/>
    </row>
    <row r="1352" spans="2:3" x14ac:dyDescent="0.2">
      <c r="B1352" s="32"/>
      <c r="C1352" s="32"/>
    </row>
    <row r="1353" spans="2:3" x14ac:dyDescent="0.2">
      <c r="B1353" s="32"/>
      <c r="C1353" s="32"/>
    </row>
    <row r="1354" spans="2:3" x14ac:dyDescent="0.2">
      <c r="B1354" s="32"/>
      <c r="C1354" s="32"/>
    </row>
    <row r="1355" spans="2:3" x14ac:dyDescent="0.2">
      <c r="B1355" s="32"/>
      <c r="C1355" s="32"/>
    </row>
    <row r="1356" spans="2:3" x14ac:dyDescent="0.2">
      <c r="B1356" s="32"/>
      <c r="C1356" s="32"/>
    </row>
    <row r="1357" spans="2:3" x14ac:dyDescent="0.2">
      <c r="B1357" s="32"/>
      <c r="C1357" s="32"/>
    </row>
    <row r="1358" spans="2:3" x14ac:dyDescent="0.2">
      <c r="B1358" s="32"/>
      <c r="C1358" s="32"/>
    </row>
    <row r="1359" spans="2:3" x14ac:dyDescent="0.2">
      <c r="B1359" s="32"/>
      <c r="C1359" s="32"/>
    </row>
    <row r="1360" spans="2:3" x14ac:dyDescent="0.2">
      <c r="B1360" s="32"/>
      <c r="C1360" s="32"/>
    </row>
    <row r="1361" spans="2:3" x14ac:dyDescent="0.2">
      <c r="B1361" s="32"/>
      <c r="C1361" s="32"/>
    </row>
    <row r="1362" spans="2:3" x14ac:dyDescent="0.2">
      <c r="B1362" s="32"/>
      <c r="C1362" s="32"/>
    </row>
    <row r="1363" spans="2:3" x14ac:dyDescent="0.2">
      <c r="B1363" s="32"/>
      <c r="C1363" s="32"/>
    </row>
    <row r="1364" spans="2:3" x14ac:dyDescent="0.2">
      <c r="B1364" s="32"/>
      <c r="C1364" s="32"/>
    </row>
    <row r="1365" spans="2:3" x14ac:dyDescent="0.2">
      <c r="B1365" s="32"/>
      <c r="C1365" s="32"/>
    </row>
    <row r="1366" spans="2:3" x14ac:dyDescent="0.2">
      <c r="B1366" s="32"/>
      <c r="C1366" s="32"/>
    </row>
    <row r="1367" spans="2:3" x14ac:dyDescent="0.2">
      <c r="B1367" s="32"/>
      <c r="C1367" s="32"/>
    </row>
    <row r="1368" spans="2:3" x14ac:dyDescent="0.2">
      <c r="B1368" s="32"/>
      <c r="C1368" s="32"/>
    </row>
    <row r="1369" spans="2:3" x14ac:dyDescent="0.2">
      <c r="B1369" s="32"/>
      <c r="C1369" s="32"/>
    </row>
    <row r="1370" spans="2:3" x14ac:dyDescent="0.2">
      <c r="B1370" s="32"/>
      <c r="C1370" s="32"/>
    </row>
    <row r="1371" spans="2:3" x14ac:dyDescent="0.2">
      <c r="B1371" s="32"/>
      <c r="C1371" s="32"/>
    </row>
    <row r="1372" spans="2:3" x14ac:dyDescent="0.2">
      <c r="B1372" s="32"/>
      <c r="C1372" s="32"/>
    </row>
    <row r="1373" spans="2:3" x14ac:dyDescent="0.2">
      <c r="B1373" s="32"/>
      <c r="C1373" s="32"/>
    </row>
    <row r="1374" spans="2:3" x14ac:dyDescent="0.2">
      <c r="B1374" s="32"/>
      <c r="C1374" s="32"/>
    </row>
    <row r="1375" spans="2:3" x14ac:dyDescent="0.2">
      <c r="B1375" s="32"/>
      <c r="C1375" s="32"/>
    </row>
    <row r="1376" spans="2:3" x14ac:dyDescent="0.2">
      <c r="B1376" s="32"/>
      <c r="C1376" s="32"/>
    </row>
    <row r="1377" spans="2:3" x14ac:dyDescent="0.2">
      <c r="B1377" s="32"/>
      <c r="C1377" s="32"/>
    </row>
    <row r="1378" spans="2:3" x14ac:dyDescent="0.2">
      <c r="B1378" s="32"/>
      <c r="C1378" s="32"/>
    </row>
    <row r="1379" spans="2:3" x14ac:dyDescent="0.2">
      <c r="B1379" s="32"/>
      <c r="C1379" s="32"/>
    </row>
    <row r="1380" spans="2:3" x14ac:dyDescent="0.2">
      <c r="B1380" s="32"/>
      <c r="C1380" s="32"/>
    </row>
    <row r="1381" spans="2:3" x14ac:dyDescent="0.2">
      <c r="B1381" s="32"/>
      <c r="C1381" s="32"/>
    </row>
    <row r="1382" spans="2:3" x14ac:dyDescent="0.2">
      <c r="B1382" s="32"/>
      <c r="C1382" s="32"/>
    </row>
    <row r="1383" spans="2:3" x14ac:dyDescent="0.2">
      <c r="B1383" s="32"/>
      <c r="C1383" s="32"/>
    </row>
    <row r="1384" spans="2:3" x14ac:dyDescent="0.2">
      <c r="B1384" s="32"/>
      <c r="C1384" s="32"/>
    </row>
    <row r="1385" spans="2:3" x14ac:dyDescent="0.2">
      <c r="B1385" s="32"/>
      <c r="C1385" s="32"/>
    </row>
    <row r="1386" spans="2:3" x14ac:dyDescent="0.2">
      <c r="B1386" s="32"/>
      <c r="C1386" s="32"/>
    </row>
    <row r="1387" spans="2:3" x14ac:dyDescent="0.2">
      <c r="B1387" s="32"/>
      <c r="C1387" s="32"/>
    </row>
    <row r="1388" spans="2:3" x14ac:dyDescent="0.2">
      <c r="B1388" s="32"/>
      <c r="C1388" s="32"/>
    </row>
    <row r="1389" spans="2:3" x14ac:dyDescent="0.2">
      <c r="B1389" s="32"/>
      <c r="C1389" s="32"/>
    </row>
    <row r="1390" spans="2:3" x14ac:dyDescent="0.2">
      <c r="B1390" s="32"/>
      <c r="C1390" s="32"/>
    </row>
    <row r="1391" spans="2:3" x14ac:dyDescent="0.2">
      <c r="B1391" s="32"/>
      <c r="C1391" s="32"/>
    </row>
    <row r="1392" spans="2:3" x14ac:dyDescent="0.2">
      <c r="B1392" s="32"/>
      <c r="C1392" s="32"/>
    </row>
    <row r="1393" spans="2:3" x14ac:dyDescent="0.2">
      <c r="B1393" s="32"/>
      <c r="C1393" s="32"/>
    </row>
    <row r="1394" spans="2:3" x14ac:dyDescent="0.2">
      <c r="B1394" s="32"/>
      <c r="C1394" s="32"/>
    </row>
    <row r="1395" spans="2:3" x14ac:dyDescent="0.2">
      <c r="B1395" s="32"/>
      <c r="C1395" s="32"/>
    </row>
    <row r="1396" spans="2:3" x14ac:dyDescent="0.2">
      <c r="B1396" s="32"/>
      <c r="C1396" s="32"/>
    </row>
    <row r="1397" spans="2:3" x14ac:dyDescent="0.2">
      <c r="B1397" s="32"/>
      <c r="C1397" s="32"/>
    </row>
    <row r="1398" spans="2:3" x14ac:dyDescent="0.2">
      <c r="B1398" s="32"/>
      <c r="C1398" s="32"/>
    </row>
    <row r="1399" spans="2:3" x14ac:dyDescent="0.2">
      <c r="B1399" s="32"/>
      <c r="C1399" s="32"/>
    </row>
    <row r="1400" spans="2:3" x14ac:dyDescent="0.2">
      <c r="B1400" s="32"/>
      <c r="C1400" s="32"/>
    </row>
    <row r="1401" spans="2:3" x14ac:dyDescent="0.2">
      <c r="B1401" s="32"/>
      <c r="C1401" s="32"/>
    </row>
    <row r="1402" spans="2:3" x14ac:dyDescent="0.2">
      <c r="B1402" s="32"/>
      <c r="C1402" s="32"/>
    </row>
    <row r="1403" spans="2:3" x14ac:dyDescent="0.2">
      <c r="B1403" s="32"/>
      <c r="C1403" s="32"/>
    </row>
    <row r="1404" spans="2:3" x14ac:dyDescent="0.2">
      <c r="B1404" s="32"/>
      <c r="C1404" s="32"/>
    </row>
    <row r="1405" spans="2:3" x14ac:dyDescent="0.2">
      <c r="B1405" s="32"/>
      <c r="C1405" s="32"/>
    </row>
    <row r="1406" spans="2:3" x14ac:dyDescent="0.2">
      <c r="B1406" s="32"/>
      <c r="C1406" s="32"/>
    </row>
    <row r="1407" spans="2:3" x14ac:dyDescent="0.2">
      <c r="B1407" s="32"/>
      <c r="C1407" s="32"/>
    </row>
    <row r="1408" spans="2:3" x14ac:dyDescent="0.2">
      <c r="B1408" s="32"/>
      <c r="C1408" s="32"/>
    </row>
    <row r="1409" spans="2:3" x14ac:dyDescent="0.2">
      <c r="B1409" s="32"/>
      <c r="C1409" s="32"/>
    </row>
    <row r="1410" spans="2:3" x14ac:dyDescent="0.2">
      <c r="B1410" s="32"/>
      <c r="C1410" s="32"/>
    </row>
    <row r="1411" spans="2:3" x14ac:dyDescent="0.2">
      <c r="B1411" s="32"/>
      <c r="C1411" s="32"/>
    </row>
    <row r="1412" spans="2:3" x14ac:dyDescent="0.2">
      <c r="B1412" s="32"/>
      <c r="C1412" s="32"/>
    </row>
    <row r="1413" spans="2:3" x14ac:dyDescent="0.2">
      <c r="B1413" s="32"/>
      <c r="C1413" s="32"/>
    </row>
    <row r="1414" spans="2:3" x14ac:dyDescent="0.2">
      <c r="B1414" s="32"/>
      <c r="C1414" s="32"/>
    </row>
    <row r="1415" spans="2:3" x14ac:dyDescent="0.2">
      <c r="B1415" s="32"/>
      <c r="C1415" s="32"/>
    </row>
    <row r="1416" spans="2:3" x14ac:dyDescent="0.2">
      <c r="B1416" s="32"/>
      <c r="C1416" s="32"/>
    </row>
    <row r="1417" spans="2:3" x14ac:dyDescent="0.2">
      <c r="B1417" s="32"/>
      <c r="C1417" s="32"/>
    </row>
    <row r="1418" spans="2:3" x14ac:dyDescent="0.2">
      <c r="B1418" s="32"/>
      <c r="C1418" s="32"/>
    </row>
    <row r="1419" spans="2:3" x14ac:dyDescent="0.2">
      <c r="B1419" s="32"/>
      <c r="C1419" s="32"/>
    </row>
    <row r="1420" spans="2:3" x14ac:dyDescent="0.2">
      <c r="B1420" s="32"/>
      <c r="C1420" s="32"/>
    </row>
    <row r="1421" spans="2:3" x14ac:dyDescent="0.2">
      <c r="B1421" s="32"/>
      <c r="C1421" s="32"/>
    </row>
    <row r="1422" spans="2:3" x14ac:dyDescent="0.2">
      <c r="B1422" s="32"/>
      <c r="C1422" s="32"/>
    </row>
    <row r="1423" spans="2:3" x14ac:dyDescent="0.2">
      <c r="B1423" s="32"/>
      <c r="C1423" s="32"/>
    </row>
    <row r="1424" spans="2:3" x14ac:dyDescent="0.2">
      <c r="B1424" s="32"/>
      <c r="C1424" s="32"/>
    </row>
    <row r="1425" spans="2:3" x14ac:dyDescent="0.2">
      <c r="B1425" s="32"/>
      <c r="C1425" s="32"/>
    </row>
    <row r="1426" spans="2:3" x14ac:dyDescent="0.2">
      <c r="B1426" s="32"/>
      <c r="C1426" s="32"/>
    </row>
    <row r="1427" spans="2:3" x14ac:dyDescent="0.2">
      <c r="B1427" s="32"/>
      <c r="C1427" s="32"/>
    </row>
    <row r="1428" spans="2:3" x14ac:dyDescent="0.2">
      <c r="B1428" s="32"/>
      <c r="C1428" s="32"/>
    </row>
    <row r="1429" spans="2:3" x14ac:dyDescent="0.2">
      <c r="B1429" s="32"/>
      <c r="C1429" s="32"/>
    </row>
    <row r="1430" spans="2:3" x14ac:dyDescent="0.2">
      <c r="B1430" s="32"/>
      <c r="C1430" s="32"/>
    </row>
    <row r="1431" spans="2:3" x14ac:dyDescent="0.2">
      <c r="B1431" s="32"/>
      <c r="C1431" s="32"/>
    </row>
    <row r="1432" spans="2:3" x14ac:dyDescent="0.2">
      <c r="B1432" s="32"/>
      <c r="C1432" s="32"/>
    </row>
    <row r="1433" spans="2:3" x14ac:dyDescent="0.2">
      <c r="B1433" s="32"/>
      <c r="C1433" s="32"/>
    </row>
    <row r="1434" spans="2:3" x14ac:dyDescent="0.2">
      <c r="B1434" s="32"/>
      <c r="C1434" s="32"/>
    </row>
    <row r="1435" spans="2:3" x14ac:dyDescent="0.2">
      <c r="B1435" s="32"/>
      <c r="C1435" s="32"/>
    </row>
    <row r="1436" spans="2:3" x14ac:dyDescent="0.2">
      <c r="B1436" s="32"/>
      <c r="C1436" s="32"/>
    </row>
    <row r="1437" spans="2:3" x14ac:dyDescent="0.2">
      <c r="B1437" s="32"/>
      <c r="C1437" s="32"/>
    </row>
    <row r="1438" spans="2:3" x14ac:dyDescent="0.2">
      <c r="B1438" s="32"/>
      <c r="C1438" s="32"/>
    </row>
    <row r="1439" spans="2:3" x14ac:dyDescent="0.2">
      <c r="B1439" s="32"/>
      <c r="C1439" s="32"/>
    </row>
    <row r="1440" spans="2:3" x14ac:dyDescent="0.2">
      <c r="B1440" s="32"/>
      <c r="C1440" s="32"/>
    </row>
    <row r="1441" spans="2:3" x14ac:dyDescent="0.2">
      <c r="B1441" s="32"/>
      <c r="C1441" s="32"/>
    </row>
    <row r="1442" spans="2:3" x14ac:dyDescent="0.2">
      <c r="B1442" s="32"/>
      <c r="C1442" s="32"/>
    </row>
    <row r="1443" spans="2:3" x14ac:dyDescent="0.2">
      <c r="B1443" s="32"/>
      <c r="C1443" s="32"/>
    </row>
    <row r="1444" spans="2:3" x14ac:dyDescent="0.2">
      <c r="B1444" s="32"/>
      <c r="C1444" s="32"/>
    </row>
    <row r="1445" spans="2:3" x14ac:dyDescent="0.2">
      <c r="B1445" s="32"/>
      <c r="C1445" s="32"/>
    </row>
    <row r="1446" spans="2:3" x14ac:dyDescent="0.2">
      <c r="B1446" s="32"/>
      <c r="C1446" s="32"/>
    </row>
    <row r="1447" spans="2:3" x14ac:dyDescent="0.2">
      <c r="B1447" s="32"/>
      <c r="C1447" s="32"/>
    </row>
    <row r="1448" spans="2:3" x14ac:dyDescent="0.2">
      <c r="B1448" s="32"/>
      <c r="C1448" s="32"/>
    </row>
    <row r="1449" spans="2:3" x14ac:dyDescent="0.2">
      <c r="B1449" s="32"/>
      <c r="C1449" s="32"/>
    </row>
    <row r="1450" spans="2:3" x14ac:dyDescent="0.2">
      <c r="B1450" s="32"/>
      <c r="C1450" s="32"/>
    </row>
    <row r="1451" spans="2:3" x14ac:dyDescent="0.2">
      <c r="B1451" s="32"/>
      <c r="C1451" s="32"/>
    </row>
    <row r="1452" spans="2:3" x14ac:dyDescent="0.2">
      <c r="B1452" s="32"/>
      <c r="C1452" s="32"/>
    </row>
    <row r="1453" spans="2:3" x14ac:dyDescent="0.2">
      <c r="B1453" s="32"/>
      <c r="C1453" s="32"/>
    </row>
    <row r="1454" spans="2:3" x14ac:dyDescent="0.2">
      <c r="B1454" s="32"/>
      <c r="C1454" s="32"/>
    </row>
    <row r="1455" spans="2:3" x14ac:dyDescent="0.2">
      <c r="B1455" s="32"/>
      <c r="C1455" s="32"/>
    </row>
    <row r="1456" spans="2:3" x14ac:dyDescent="0.2">
      <c r="B1456" s="32"/>
      <c r="C1456" s="32"/>
    </row>
    <row r="1457" spans="2:3" x14ac:dyDescent="0.2">
      <c r="B1457" s="32"/>
      <c r="C1457" s="32"/>
    </row>
    <row r="1458" spans="2:3" x14ac:dyDescent="0.2">
      <c r="B1458" s="32"/>
      <c r="C1458" s="32"/>
    </row>
    <row r="1459" spans="2:3" x14ac:dyDescent="0.2">
      <c r="B1459" s="32"/>
      <c r="C1459" s="32"/>
    </row>
    <row r="1460" spans="2:3" x14ac:dyDescent="0.2">
      <c r="B1460" s="32"/>
      <c r="C1460" s="32"/>
    </row>
    <row r="1461" spans="2:3" x14ac:dyDescent="0.2">
      <c r="B1461" s="32"/>
      <c r="C1461" s="32"/>
    </row>
    <row r="1462" spans="2:3" x14ac:dyDescent="0.2">
      <c r="B1462" s="32"/>
      <c r="C1462" s="32"/>
    </row>
    <row r="1463" spans="2:3" x14ac:dyDescent="0.2">
      <c r="B1463" s="32"/>
      <c r="C1463" s="32"/>
    </row>
    <row r="1464" spans="2:3" x14ac:dyDescent="0.2">
      <c r="B1464" s="32"/>
      <c r="C1464" s="32"/>
    </row>
    <row r="1465" spans="2:3" x14ac:dyDescent="0.2">
      <c r="B1465" s="32"/>
      <c r="C1465" s="32"/>
    </row>
    <row r="1466" spans="2:3" x14ac:dyDescent="0.2">
      <c r="B1466" s="32"/>
      <c r="C1466" s="32"/>
    </row>
    <row r="1467" spans="2:3" x14ac:dyDescent="0.2">
      <c r="B1467" s="32"/>
      <c r="C1467" s="32"/>
    </row>
    <row r="1468" spans="2:3" x14ac:dyDescent="0.2">
      <c r="B1468" s="32"/>
      <c r="C1468" s="32"/>
    </row>
    <row r="1469" spans="2:3" x14ac:dyDescent="0.2">
      <c r="B1469" s="32"/>
      <c r="C1469" s="32"/>
    </row>
    <row r="1470" spans="2:3" x14ac:dyDescent="0.2">
      <c r="B1470" s="32"/>
      <c r="C1470" s="32"/>
    </row>
    <row r="1471" spans="2:3" x14ac:dyDescent="0.2">
      <c r="B1471" s="32"/>
      <c r="C1471" s="32"/>
    </row>
    <row r="1472" spans="2:3" x14ac:dyDescent="0.2">
      <c r="B1472" s="32"/>
      <c r="C1472" s="32"/>
    </row>
    <row r="1473" spans="2:3" x14ac:dyDescent="0.2">
      <c r="B1473" s="32"/>
      <c r="C1473" s="32"/>
    </row>
    <row r="1474" spans="2:3" x14ac:dyDescent="0.2">
      <c r="B1474" s="32"/>
      <c r="C1474" s="32"/>
    </row>
    <row r="1475" spans="2:3" x14ac:dyDescent="0.2">
      <c r="B1475" s="32"/>
      <c r="C1475" s="32"/>
    </row>
    <row r="1476" spans="2:3" x14ac:dyDescent="0.2">
      <c r="B1476" s="32"/>
      <c r="C1476" s="32"/>
    </row>
    <row r="1477" spans="2:3" x14ac:dyDescent="0.2">
      <c r="B1477" s="32"/>
      <c r="C1477" s="32"/>
    </row>
    <row r="1478" spans="2:3" x14ac:dyDescent="0.2">
      <c r="B1478" s="32"/>
      <c r="C1478" s="32"/>
    </row>
    <row r="1479" spans="2:3" x14ac:dyDescent="0.2">
      <c r="B1479" s="32"/>
      <c r="C1479" s="32"/>
    </row>
    <row r="1480" spans="2:3" x14ac:dyDescent="0.2">
      <c r="B1480" s="32"/>
      <c r="C1480" s="32"/>
    </row>
    <row r="1481" spans="2:3" x14ac:dyDescent="0.2">
      <c r="B1481" s="32"/>
      <c r="C1481" s="32"/>
    </row>
    <row r="1482" spans="2:3" x14ac:dyDescent="0.2">
      <c r="B1482" s="32"/>
      <c r="C1482" s="32"/>
    </row>
    <row r="1483" spans="2:3" x14ac:dyDescent="0.2">
      <c r="B1483" s="32"/>
      <c r="C1483" s="32"/>
    </row>
    <row r="1484" spans="2:3" x14ac:dyDescent="0.2">
      <c r="B1484" s="32"/>
      <c r="C1484" s="32"/>
    </row>
    <row r="1485" spans="2:3" x14ac:dyDescent="0.2">
      <c r="B1485" s="32"/>
      <c r="C1485" s="32"/>
    </row>
    <row r="1486" spans="2:3" x14ac:dyDescent="0.2">
      <c r="B1486" s="32"/>
      <c r="C1486" s="32"/>
    </row>
    <row r="1487" spans="2:3" x14ac:dyDescent="0.2">
      <c r="B1487" s="32"/>
      <c r="C1487" s="32"/>
    </row>
    <row r="1488" spans="2:3" x14ac:dyDescent="0.2">
      <c r="B1488" s="32"/>
      <c r="C1488" s="32"/>
    </row>
    <row r="1489" spans="2:3" x14ac:dyDescent="0.2">
      <c r="B1489" s="32"/>
      <c r="C1489" s="32"/>
    </row>
    <row r="1490" spans="2:3" x14ac:dyDescent="0.2">
      <c r="B1490" s="32"/>
      <c r="C1490" s="32"/>
    </row>
    <row r="1491" spans="2:3" x14ac:dyDescent="0.2">
      <c r="B1491" s="32"/>
      <c r="C1491" s="32"/>
    </row>
    <row r="1492" spans="2:3" x14ac:dyDescent="0.2">
      <c r="B1492" s="32"/>
      <c r="C1492" s="32"/>
    </row>
    <row r="1493" spans="2:3" x14ac:dyDescent="0.2">
      <c r="B1493" s="32"/>
      <c r="C1493" s="32"/>
    </row>
    <row r="1494" spans="2:3" x14ac:dyDescent="0.2">
      <c r="B1494" s="32"/>
      <c r="C1494" s="32"/>
    </row>
    <row r="1495" spans="2:3" x14ac:dyDescent="0.2">
      <c r="B1495" s="32"/>
      <c r="C1495" s="32"/>
    </row>
    <row r="1496" spans="2:3" x14ac:dyDescent="0.2">
      <c r="B1496" s="32"/>
      <c r="C1496" s="32"/>
    </row>
    <row r="1497" spans="2:3" x14ac:dyDescent="0.2">
      <c r="B1497" s="32"/>
      <c r="C1497" s="32"/>
    </row>
    <row r="1498" spans="2:3" x14ac:dyDescent="0.2">
      <c r="B1498" s="32"/>
      <c r="C1498" s="32"/>
    </row>
    <row r="1499" spans="2:3" x14ac:dyDescent="0.2">
      <c r="B1499" s="32"/>
      <c r="C1499" s="32"/>
    </row>
    <row r="1500" spans="2:3" x14ac:dyDescent="0.2">
      <c r="B1500" s="32"/>
      <c r="C1500" s="32"/>
    </row>
    <row r="1501" spans="2:3" x14ac:dyDescent="0.2">
      <c r="B1501" s="32"/>
      <c r="C1501" s="32"/>
    </row>
    <row r="1502" spans="2:3" x14ac:dyDescent="0.2">
      <c r="B1502" s="32"/>
      <c r="C1502" s="32"/>
    </row>
    <row r="1503" spans="2:3" x14ac:dyDescent="0.2">
      <c r="B1503" s="32"/>
      <c r="C1503" s="32"/>
    </row>
    <row r="1504" spans="2:3" x14ac:dyDescent="0.2">
      <c r="B1504" s="32"/>
      <c r="C1504" s="32"/>
    </row>
    <row r="1505" spans="2:3" x14ac:dyDescent="0.2">
      <c r="B1505" s="32"/>
      <c r="C1505" s="32"/>
    </row>
    <row r="1506" spans="2:3" x14ac:dyDescent="0.2">
      <c r="B1506" s="32"/>
      <c r="C1506" s="32"/>
    </row>
    <row r="1507" spans="2:3" x14ac:dyDescent="0.2">
      <c r="B1507" s="32"/>
      <c r="C1507" s="32"/>
    </row>
    <row r="1508" spans="2:3" x14ac:dyDescent="0.2">
      <c r="B1508" s="32"/>
      <c r="C1508" s="32"/>
    </row>
    <row r="1509" spans="2:3" x14ac:dyDescent="0.2">
      <c r="B1509" s="32"/>
      <c r="C1509" s="32"/>
    </row>
    <row r="1510" spans="2:3" x14ac:dyDescent="0.2">
      <c r="B1510" s="32"/>
      <c r="C1510" s="32"/>
    </row>
    <row r="1511" spans="2:3" x14ac:dyDescent="0.2">
      <c r="B1511" s="32"/>
      <c r="C1511" s="32"/>
    </row>
    <row r="1512" spans="2:3" x14ac:dyDescent="0.2">
      <c r="B1512" s="32"/>
      <c r="C1512" s="32"/>
    </row>
    <row r="1513" spans="2:3" x14ac:dyDescent="0.2">
      <c r="B1513" s="32"/>
      <c r="C1513" s="32"/>
    </row>
    <row r="1514" spans="2:3" x14ac:dyDescent="0.2">
      <c r="B1514" s="32"/>
      <c r="C1514" s="32"/>
    </row>
    <row r="1515" spans="2:3" x14ac:dyDescent="0.2">
      <c r="B1515" s="32"/>
      <c r="C1515" s="32"/>
    </row>
    <row r="1516" spans="2:3" x14ac:dyDescent="0.2">
      <c r="B1516" s="32"/>
      <c r="C1516" s="32"/>
    </row>
    <row r="1517" spans="2:3" x14ac:dyDescent="0.2">
      <c r="B1517" s="32"/>
      <c r="C1517" s="32"/>
    </row>
    <row r="1518" spans="2:3" x14ac:dyDescent="0.2">
      <c r="B1518" s="32"/>
      <c r="C1518" s="32"/>
    </row>
    <row r="1519" spans="2:3" x14ac:dyDescent="0.2">
      <c r="B1519" s="32"/>
      <c r="C1519" s="32"/>
    </row>
    <row r="1520" spans="2:3" x14ac:dyDescent="0.2">
      <c r="B1520" s="32"/>
      <c r="C1520" s="32"/>
    </row>
    <row r="1521" spans="2:3" x14ac:dyDescent="0.2">
      <c r="B1521" s="32"/>
      <c r="C1521" s="32"/>
    </row>
    <row r="1522" spans="2:3" x14ac:dyDescent="0.2">
      <c r="B1522" s="32"/>
      <c r="C1522" s="32"/>
    </row>
    <row r="1523" spans="2:3" x14ac:dyDescent="0.2">
      <c r="B1523" s="32"/>
      <c r="C1523" s="32"/>
    </row>
    <row r="1524" spans="2:3" x14ac:dyDescent="0.2">
      <c r="B1524" s="32"/>
      <c r="C1524" s="32"/>
    </row>
    <row r="1525" spans="2:3" x14ac:dyDescent="0.2">
      <c r="B1525" s="32"/>
      <c r="C1525" s="32"/>
    </row>
    <row r="1526" spans="2:3" x14ac:dyDescent="0.2">
      <c r="B1526" s="32"/>
      <c r="C1526" s="32"/>
    </row>
    <row r="1527" spans="2:3" x14ac:dyDescent="0.2">
      <c r="B1527" s="32"/>
      <c r="C1527" s="32"/>
    </row>
    <row r="1528" spans="2:3" x14ac:dyDescent="0.2">
      <c r="B1528" s="32"/>
      <c r="C1528" s="32"/>
    </row>
    <row r="1529" spans="2:3" x14ac:dyDescent="0.2">
      <c r="B1529" s="32"/>
      <c r="C1529" s="32"/>
    </row>
    <row r="1530" spans="2:3" x14ac:dyDescent="0.2">
      <c r="B1530" s="32"/>
      <c r="C1530" s="32"/>
    </row>
    <row r="1531" spans="2:3" x14ac:dyDescent="0.2">
      <c r="B1531" s="32"/>
      <c r="C1531" s="32"/>
    </row>
    <row r="1532" spans="2:3" x14ac:dyDescent="0.2">
      <c r="B1532" s="32"/>
      <c r="C1532" s="32"/>
    </row>
    <row r="1533" spans="2:3" x14ac:dyDescent="0.2">
      <c r="B1533" s="32"/>
      <c r="C1533" s="32"/>
    </row>
    <row r="1534" spans="2:3" x14ac:dyDescent="0.2">
      <c r="B1534" s="32"/>
      <c r="C1534" s="32"/>
    </row>
    <row r="1535" spans="2:3" x14ac:dyDescent="0.2">
      <c r="B1535" s="32"/>
      <c r="C1535" s="32"/>
    </row>
    <row r="1536" spans="2:3" x14ac:dyDescent="0.2">
      <c r="B1536" s="32"/>
      <c r="C1536" s="32"/>
    </row>
    <row r="1537" spans="2:3" x14ac:dyDescent="0.2">
      <c r="B1537" s="32"/>
      <c r="C1537" s="32"/>
    </row>
    <row r="1538" spans="2:3" x14ac:dyDescent="0.2">
      <c r="B1538" s="32"/>
      <c r="C1538" s="32"/>
    </row>
    <row r="1539" spans="2:3" x14ac:dyDescent="0.2">
      <c r="B1539" s="32"/>
      <c r="C1539" s="32"/>
    </row>
    <row r="1540" spans="2:3" x14ac:dyDescent="0.2">
      <c r="B1540" s="32"/>
      <c r="C1540" s="32"/>
    </row>
    <row r="1541" spans="2:3" x14ac:dyDescent="0.2">
      <c r="B1541" s="32"/>
      <c r="C1541" s="32"/>
    </row>
    <row r="1542" spans="2:3" x14ac:dyDescent="0.2">
      <c r="B1542" s="32"/>
      <c r="C1542" s="32"/>
    </row>
    <row r="1543" spans="2:3" x14ac:dyDescent="0.2">
      <c r="B1543" s="32"/>
      <c r="C1543" s="32"/>
    </row>
    <row r="1544" spans="2:3" x14ac:dyDescent="0.2">
      <c r="B1544" s="32"/>
      <c r="C1544" s="32"/>
    </row>
    <row r="1545" spans="2:3" x14ac:dyDescent="0.2">
      <c r="B1545" s="32"/>
      <c r="C1545" s="32"/>
    </row>
    <row r="1546" spans="2:3" x14ac:dyDescent="0.2">
      <c r="B1546" s="32"/>
      <c r="C1546" s="32"/>
    </row>
    <row r="1547" spans="2:3" x14ac:dyDescent="0.2">
      <c r="B1547" s="32"/>
      <c r="C1547" s="32"/>
    </row>
    <row r="1548" spans="2:3" x14ac:dyDescent="0.2">
      <c r="B1548"/>
      <c r="C1548" s="41"/>
    </row>
    <row r="1549" spans="2:3" x14ac:dyDescent="0.2">
      <c r="B1549"/>
      <c r="C1549" s="41"/>
    </row>
    <row r="1550" spans="2:3" x14ac:dyDescent="0.2">
      <c r="B1550"/>
      <c r="C1550" s="41"/>
    </row>
    <row r="1551" spans="2:3" x14ac:dyDescent="0.2">
      <c r="B1551"/>
      <c r="C1551" s="41"/>
    </row>
    <row r="1552" spans="2:3" x14ac:dyDescent="0.2">
      <c r="B1552"/>
      <c r="C1552" s="41"/>
    </row>
    <row r="1553" spans="2:3" x14ac:dyDescent="0.2">
      <c r="B1553"/>
      <c r="C1553" s="41"/>
    </row>
    <row r="1554" spans="2:3" x14ac:dyDescent="0.2">
      <c r="B1554"/>
      <c r="C1554" s="41"/>
    </row>
    <row r="1555" spans="2:3" x14ac:dyDescent="0.2">
      <c r="B1555"/>
      <c r="C1555" s="41"/>
    </row>
    <row r="1556" spans="2:3" x14ac:dyDescent="0.2">
      <c r="B1556"/>
      <c r="C1556" s="41"/>
    </row>
    <row r="1557" spans="2:3" x14ac:dyDescent="0.2">
      <c r="B1557"/>
      <c r="C1557" s="41"/>
    </row>
    <row r="1558" spans="2:3" x14ac:dyDescent="0.2">
      <c r="B1558"/>
      <c r="C1558" s="41"/>
    </row>
    <row r="1559" spans="2:3" x14ac:dyDescent="0.2">
      <c r="B1559"/>
      <c r="C1559" s="41"/>
    </row>
    <row r="1560" spans="2:3" x14ac:dyDescent="0.2">
      <c r="B1560"/>
      <c r="C1560" s="41"/>
    </row>
    <row r="1561" spans="2:3" x14ac:dyDescent="0.2">
      <c r="B1561"/>
      <c r="C1561" s="41"/>
    </row>
    <row r="1562" spans="2:3" x14ac:dyDescent="0.2">
      <c r="B1562"/>
      <c r="C1562" s="41"/>
    </row>
    <row r="1563" spans="2:3" x14ac:dyDescent="0.2">
      <c r="B1563"/>
      <c r="C1563" s="41"/>
    </row>
    <row r="1564" spans="2:3" x14ac:dyDescent="0.2">
      <c r="B1564"/>
      <c r="C1564" s="41"/>
    </row>
    <row r="1565" spans="2:3" x14ac:dyDescent="0.2">
      <c r="B1565"/>
      <c r="C1565" s="41"/>
    </row>
    <row r="1566" spans="2:3" x14ac:dyDescent="0.2">
      <c r="B1566"/>
      <c r="C1566" s="41"/>
    </row>
    <row r="1567" spans="2:3" x14ac:dyDescent="0.2">
      <c r="B1567"/>
      <c r="C1567" s="41"/>
    </row>
    <row r="1568" spans="2:3" x14ac:dyDescent="0.2">
      <c r="B1568"/>
      <c r="C1568" s="41"/>
    </row>
    <row r="1569" spans="2:3" x14ac:dyDescent="0.2">
      <c r="B1569"/>
      <c r="C1569" s="41"/>
    </row>
    <row r="1570" spans="2:3" x14ac:dyDescent="0.2">
      <c r="B1570"/>
      <c r="C1570" s="41"/>
    </row>
    <row r="1571" spans="2:3" x14ac:dyDescent="0.2">
      <c r="B1571"/>
      <c r="C1571" s="41"/>
    </row>
    <row r="1572" spans="2:3" x14ac:dyDescent="0.2">
      <c r="B1572"/>
      <c r="C1572" s="41"/>
    </row>
    <row r="1573" spans="2:3" x14ac:dyDescent="0.2">
      <c r="B1573"/>
      <c r="C1573" s="41"/>
    </row>
    <row r="1574" spans="2:3" x14ac:dyDescent="0.2">
      <c r="B1574"/>
      <c r="C1574" s="41"/>
    </row>
    <row r="1575" spans="2:3" x14ac:dyDescent="0.2">
      <c r="B1575"/>
      <c r="C1575" s="41"/>
    </row>
    <row r="1576" spans="2:3" x14ac:dyDescent="0.2">
      <c r="B1576"/>
      <c r="C1576" s="41"/>
    </row>
    <row r="1577" spans="2:3" x14ac:dyDescent="0.2">
      <c r="B1577"/>
      <c r="C1577" s="41"/>
    </row>
    <row r="1578" spans="2:3" x14ac:dyDescent="0.2">
      <c r="B1578"/>
      <c r="C1578" s="41"/>
    </row>
    <row r="1579" spans="2:3" x14ac:dyDescent="0.2">
      <c r="B1579"/>
      <c r="C1579" s="41"/>
    </row>
    <row r="1580" spans="2:3" x14ac:dyDescent="0.2">
      <c r="B1580"/>
      <c r="C1580" s="41"/>
    </row>
    <row r="1581" spans="2:3" x14ac:dyDescent="0.2">
      <c r="B1581"/>
      <c r="C1581" s="41"/>
    </row>
    <row r="1582" spans="2:3" x14ac:dyDescent="0.2">
      <c r="B1582"/>
      <c r="C1582" s="41"/>
    </row>
    <row r="1583" spans="2:3" x14ac:dyDescent="0.2">
      <c r="B1583"/>
      <c r="C1583" s="41"/>
    </row>
    <row r="1584" spans="2:3" x14ac:dyDescent="0.2">
      <c r="B1584"/>
      <c r="C1584" s="41"/>
    </row>
    <row r="1585" spans="2:3" x14ac:dyDescent="0.2">
      <c r="B1585"/>
      <c r="C1585" s="41"/>
    </row>
    <row r="1586" spans="2:3" x14ac:dyDescent="0.2">
      <c r="B1586"/>
      <c r="C1586" s="41"/>
    </row>
    <row r="1587" spans="2:3" x14ac:dyDescent="0.2">
      <c r="B1587"/>
      <c r="C1587" s="41"/>
    </row>
    <row r="1588" spans="2:3" x14ac:dyDescent="0.2">
      <c r="B1588"/>
      <c r="C1588" s="41"/>
    </row>
    <row r="1589" spans="2:3" x14ac:dyDescent="0.2">
      <c r="B1589"/>
      <c r="C1589" s="41"/>
    </row>
    <row r="1590" spans="2:3" x14ac:dyDescent="0.2">
      <c r="B1590"/>
      <c r="C1590" s="41"/>
    </row>
    <row r="1591" spans="2:3" x14ac:dyDescent="0.2">
      <c r="B1591"/>
      <c r="C1591" s="41"/>
    </row>
    <row r="1592" spans="2:3" x14ac:dyDescent="0.2">
      <c r="B1592"/>
      <c r="C1592" s="41"/>
    </row>
    <row r="1593" spans="2:3" x14ac:dyDescent="0.2">
      <c r="B1593"/>
      <c r="C1593" s="41"/>
    </row>
    <row r="1594" spans="2:3" x14ac:dyDescent="0.2">
      <c r="B1594"/>
      <c r="C1594" s="41"/>
    </row>
    <row r="1595" spans="2:3" x14ac:dyDescent="0.2">
      <c r="B1595"/>
      <c r="C1595" s="41"/>
    </row>
    <row r="1596" spans="2:3" x14ac:dyDescent="0.2">
      <c r="B1596"/>
      <c r="C1596" s="41"/>
    </row>
    <row r="1597" spans="2:3" x14ac:dyDescent="0.2">
      <c r="B1597"/>
      <c r="C1597" s="41"/>
    </row>
    <row r="1598" spans="2:3" x14ac:dyDescent="0.2">
      <c r="B1598"/>
      <c r="C1598" s="41"/>
    </row>
    <row r="1599" spans="2:3" x14ac:dyDescent="0.2">
      <c r="B1599"/>
      <c r="C1599" s="41"/>
    </row>
    <row r="1600" spans="2:3" x14ac:dyDescent="0.2">
      <c r="B1600"/>
      <c r="C1600" s="41"/>
    </row>
    <row r="1601" spans="2:3" x14ac:dyDescent="0.2">
      <c r="B1601"/>
      <c r="C1601" s="41"/>
    </row>
    <row r="1602" spans="2:3" x14ac:dyDescent="0.2">
      <c r="B1602"/>
      <c r="C1602" s="41"/>
    </row>
    <row r="1603" spans="2:3" x14ac:dyDescent="0.2">
      <c r="B1603"/>
      <c r="C1603" s="41"/>
    </row>
    <row r="1604" spans="2:3" x14ac:dyDescent="0.2">
      <c r="B1604"/>
      <c r="C1604" s="41"/>
    </row>
    <row r="1605" spans="2:3" x14ac:dyDescent="0.2">
      <c r="B1605"/>
      <c r="C1605" s="41"/>
    </row>
    <row r="1606" spans="2:3" x14ac:dyDescent="0.2">
      <c r="B1606"/>
      <c r="C1606" s="41"/>
    </row>
    <row r="1607" spans="2:3" x14ac:dyDescent="0.2">
      <c r="B1607"/>
      <c r="C1607" s="41"/>
    </row>
    <row r="1608" spans="2:3" x14ac:dyDescent="0.2">
      <c r="B1608"/>
      <c r="C1608" s="41"/>
    </row>
    <row r="1609" spans="2:3" x14ac:dyDescent="0.2">
      <c r="B1609"/>
      <c r="C1609" s="41"/>
    </row>
    <row r="1610" spans="2:3" x14ac:dyDescent="0.2">
      <c r="B1610"/>
      <c r="C1610" s="41"/>
    </row>
    <row r="1611" spans="2:3" x14ac:dyDescent="0.2">
      <c r="B1611"/>
      <c r="C1611" s="41"/>
    </row>
    <row r="1612" spans="2:3" x14ac:dyDescent="0.2">
      <c r="B1612"/>
      <c r="C1612" s="41"/>
    </row>
    <row r="1613" spans="2:3" x14ac:dyDescent="0.2">
      <c r="B1613"/>
      <c r="C1613" s="41"/>
    </row>
    <row r="1614" spans="2:3" x14ac:dyDescent="0.2">
      <c r="B1614"/>
      <c r="C1614" s="41"/>
    </row>
    <row r="1615" spans="2:3" x14ac:dyDescent="0.2">
      <c r="B1615"/>
      <c r="C1615" s="41"/>
    </row>
    <row r="1616" spans="2:3" x14ac:dyDescent="0.2">
      <c r="B1616"/>
      <c r="C1616" s="41"/>
    </row>
    <row r="1617" spans="2:3" x14ac:dyDescent="0.2">
      <c r="B1617"/>
      <c r="C1617" s="41"/>
    </row>
    <row r="1618" spans="2:3" x14ac:dyDescent="0.2">
      <c r="B1618"/>
      <c r="C1618" s="41"/>
    </row>
    <row r="1619" spans="2:3" x14ac:dyDescent="0.2">
      <c r="B1619"/>
      <c r="C1619" s="41"/>
    </row>
    <row r="1620" spans="2:3" x14ac:dyDescent="0.2">
      <c r="B1620"/>
      <c r="C1620" s="41"/>
    </row>
    <row r="1621" spans="2:3" x14ac:dyDescent="0.2">
      <c r="B1621"/>
      <c r="C1621" s="41"/>
    </row>
    <row r="1622" spans="2:3" x14ac:dyDescent="0.2">
      <c r="B1622"/>
      <c r="C1622" s="41"/>
    </row>
    <row r="1623" spans="2:3" x14ac:dyDescent="0.2">
      <c r="B1623"/>
      <c r="C1623" s="41"/>
    </row>
    <row r="1624" spans="2:3" x14ac:dyDescent="0.2">
      <c r="B1624"/>
      <c r="C1624" s="41"/>
    </row>
    <row r="1625" spans="2:3" x14ac:dyDescent="0.2">
      <c r="B1625"/>
      <c r="C1625" s="41"/>
    </row>
    <row r="1626" spans="2:3" x14ac:dyDescent="0.2">
      <c r="B1626"/>
      <c r="C1626" s="41"/>
    </row>
    <row r="1627" spans="2:3" x14ac:dyDescent="0.2">
      <c r="B1627"/>
      <c r="C1627" s="41"/>
    </row>
    <row r="1628" spans="2:3" x14ac:dyDescent="0.2">
      <c r="B1628"/>
      <c r="C1628" s="41"/>
    </row>
    <row r="1629" spans="2:3" x14ac:dyDescent="0.2">
      <c r="B1629"/>
      <c r="C1629" s="41"/>
    </row>
    <row r="1630" spans="2:3" x14ac:dyDescent="0.2">
      <c r="B1630"/>
      <c r="C1630" s="41"/>
    </row>
    <row r="1631" spans="2:3" x14ac:dyDescent="0.2">
      <c r="B1631"/>
      <c r="C1631" s="41"/>
    </row>
    <row r="1632" spans="2:3" x14ac:dyDescent="0.2">
      <c r="B1632"/>
      <c r="C1632" s="41"/>
    </row>
    <row r="1633" spans="2:3" x14ac:dyDescent="0.2">
      <c r="B1633"/>
      <c r="C1633" s="41"/>
    </row>
    <row r="1634" spans="2:3" x14ac:dyDescent="0.2">
      <c r="B1634"/>
      <c r="C1634" s="41"/>
    </row>
    <row r="1635" spans="2:3" x14ac:dyDescent="0.2">
      <c r="B1635"/>
      <c r="C1635" s="41"/>
    </row>
    <row r="1636" spans="2:3" x14ac:dyDescent="0.2">
      <c r="B1636"/>
      <c r="C1636" s="41"/>
    </row>
    <row r="1637" spans="2:3" x14ac:dyDescent="0.2">
      <c r="B1637"/>
      <c r="C1637" s="41"/>
    </row>
    <row r="1638" spans="2:3" x14ac:dyDescent="0.2">
      <c r="B1638"/>
      <c r="C1638" s="41"/>
    </row>
    <row r="1639" spans="2:3" x14ac:dyDescent="0.2">
      <c r="B1639"/>
      <c r="C1639" s="41"/>
    </row>
    <row r="1640" spans="2:3" x14ac:dyDescent="0.2">
      <c r="B1640"/>
      <c r="C1640" s="41"/>
    </row>
    <row r="1641" spans="2:3" x14ac:dyDescent="0.2">
      <c r="B1641"/>
      <c r="C1641" s="41"/>
    </row>
    <row r="1642" spans="2:3" x14ac:dyDescent="0.2">
      <c r="B1642"/>
      <c r="C1642" s="41"/>
    </row>
    <row r="1643" spans="2:3" x14ac:dyDescent="0.2">
      <c r="B1643"/>
      <c r="C1643" s="41"/>
    </row>
    <row r="1644" spans="2:3" x14ac:dyDescent="0.2">
      <c r="B1644"/>
      <c r="C1644" s="41"/>
    </row>
    <row r="1645" spans="2:3" x14ac:dyDescent="0.2">
      <c r="B1645"/>
      <c r="C1645" s="41"/>
    </row>
    <row r="1646" spans="2:3" x14ac:dyDescent="0.2">
      <c r="B1646"/>
      <c r="C1646" s="41"/>
    </row>
    <row r="1647" spans="2:3" x14ac:dyDescent="0.2">
      <c r="B1647"/>
      <c r="C1647" s="41"/>
    </row>
    <row r="1648" spans="2:3" x14ac:dyDescent="0.2">
      <c r="B1648"/>
      <c r="C1648" s="41"/>
    </row>
    <row r="1649" spans="2:3" x14ac:dyDescent="0.2">
      <c r="B1649"/>
      <c r="C1649" s="41"/>
    </row>
    <row r="1650" spans="2:3" x14ac:dyDescent="0.2">
      <c r="B1650"/>
      <c r="C1650" s="41"/>
    </row>
    <row r="1651" spans="2:3" x14ac:dyDescent="0.2">
      <c r="B1651"/>
      <c r="C1651" s="41"/>
    </row>
    <row r="1652" spans="2:3" x14ac:dyDescent="0.2">
      <c r="B1652"/>
      <c r="C1652" s="41"/>
    </row>
    <row r="1653" spans="2:3" x14ac:dyDescent="0.2">
      <c r="B1653"/>
      <c r="C1653" s="41"/>
    </row>
    <row r="1654" spans="2:3" x14ac:dyDescent="0.2">
      <c r="B1654"/>
      <c r="C1654" s="41"/>
    </row>
    <row r="1655" spans="2:3" x14ac:dyDescent="0.2">
      <c r="B1655"/>
      <c r="C1655" s="41"/>
    </row>
    <row r="1656" spans="2:3" x14ac:dyDescent="0.2">
      <c r="B1656"/>
      <c r="C1656" s="41"/>
    </row>
    <row r="1657" spans="2:3" x14ac:dyDescent="0.2">
      <c r="B1657"/>
      <c r="C1657" s="41"/>
    </row>
    <row r="1658" spans="2:3" x14ac:dyDescent="0.2">
      <c r="B1658"/>
      <c r="C1658" s="41"/>
    </row>
    <row r="1659" spans="2:3" x14ac:dyDescent="0.2">
      <c r="B1659"/>
      <c r="C1659" s="41"/>
    </row>
    <row r="1660" spans="2:3" x14ac:dyDescent="0.2">
      <c r="B1660"/>
      <c r="C1660" s="41"/>
    </row>
    <row r="1661" spans="2:3" x14ac:dyDescent="0.2">
      <c r="B1661"/>
      <c r="C1661" s="41"/>
    </row>
    <row r="1662" spans="2:3" x14ac:dyDescent="0.2">
      <c r="B1662"/>
      <c r="C1662" s="41"/>
    </row>
    <row r="1663" spans="2:3" x14ac:dyDescent="0.2">
      <c r="B1663"/>
      <c r="C1663" s="41"/>
    </row>
    <row r="1664" spans="2:3" x14ac:dyDescent="0.2">
      <c r="B1664"/>
      <c r="C1664" s="41"/>
    </row>
    <row r="1665" spans="2:3" x14ac:dyDescent="0.2">
      <c r="B1665"/>
      <c r="C1665" s="41"/>
    </row>
    <row r="1666" spans="2:3" x14ac:dyDescent="0.2">
      <c r="B1666"/>
      <c r="C1666" s="41"/>
    </row>
    <row r="1667" spans="2:3" x14ac:dyDescent="0.2">
      <c r="B1667"/>
      <c r="C1667" s="41"/>
    </row>
    <row r="1668" spans="2:3" x14ac:dyDescent="0.2">
      <c r="B1668"/>
      <c r="C1668" s="41"/>
    </row>
    <row r="1669" spans="2:3" x14ac:dyDescent="0.2">
      <c r="B1669"/>
      <c r="C1669" s="41"/>
    </row>
    <row r="1670" spans="2:3" x14ac:dyDescent="0.2">
      <c r="B1670"/>
      <c r="C1670" s="41"/>
    </row>
    <row r="1671" spans="2:3" x14ac:dyDescent="0.2">
      <c r="B1671"/>
      <c r="C1671" s="41"/>
    </row>
    <row r="1672" spans="2:3" x14ac:dyDescent="0.2">
      <c r="B1672"/>
      <c r="C1672" s="41"/>
    </row>
    <row r="1673" spans="2:3" x14ac:dyDescent="0.2">
      <c r="B1673"/>
      <c r="C1673" s="41"/>
    </row>
    <row r="1674" spans="2:3" x14ac:dyDescent="0.2">
      <c r="B1674"/>
      <c r="C1674" s="41"/>
    </row>
    <row r="1675" spans="2:3" x14ac:dyDescent="0.2">
      <c r="B1675"/>
      <c r="C1675" s="41"/>
    </row>
    <row r="1676" spans="2:3" x14ac:dyDescent="0.2">
      <c r="B1676"/>
      <c r="C1676" s="41"/>
    </row>
    <row r="1677" spans="2:3" x14ac:dyDescent="0.2">
      <c r="B1677"/>
      <c r="C1677" s="41"/>
    </row>
    <row r="1678" spans="2:3" x14ac:dyDescent="0.2">
      <c r="B1678"/>
      <c r="C1678" s="41"/>
    </row>
    <row r="1679" spans="2:3" x14ac:dyDescent="0.2">
      <c r="B1679"/>
      <c r="C1679" s="41"/>
    </row>
    <row r="1680" spans="2:3" x14ac:dyDescent="0.2">
      <c r="B1680"/>
      <c r="C1680" s="41"/>
    </row>
    <row r="1681" spans="2:3" x14ac:dyDescent="0.2">
      <c r="B1681"/>
      <c r="C1681" s="41"/>
    </row>
    <row r="1682" spans="2:3" x14ac:dyDescent="0.2">
      <c r="B1682"/>
      <c r="C1682" s="41"/>
    </row>
    <row r="1683" spans="2:3" x14ac:dyDescent="0.2">
      <c r="B1683"/>
      <c r="C1683" s="41"/>
    </row>
    <row r="1684" spans="2:3" x14ac:dyDescent="0.2">
      <c r="B1684"/>
      <c r="C1684" s="41"/>
    </row>
    <row r="1685" spans="2:3" x14ac:dyDescent="0.2">
      <c r="B1685"/>
      <c r="C1685" s="41"/>
    </row>
    <row r="1686" spans="2:3" x14ac:dyDescent="0.2">
      <c r="B1686"/>
      <c r="C1686" s="41"/>
    </row>
    <row r="1687" spans="2:3" x14ac:dyDescent="0.2">
      <c r="B1687"/>
      <c r="C1687" s="41"/>
    </row>
    <row r="1688" spans="2:3" x14ac:dyDescent="0.2">
      <c r="B1688"/>
      <c r="C1688" s="41"/>
    </row>
    <row r="1689" spans="2:3" x14ac:dyDescent="0.2">
      <c r="B1689"/>
      <c r="C1689" s="41"/>
    </row>
    <row r="1690" spans="2:3" x14ac:dyDescent="0.2">
      <c r="B1690"/>
      <c r="C1690" s="41"/>
    </row>
    <row r="1691" spans="2:3" x14ac:dyDescent="0.2">
      <c r="B1691"/>
      <c r="C1691" s="41"/>
    </row>
    <row r="1692" spans="2:3" x14ac:dyDescent="0.2">
      <c r="B1692"/>
      <c r="C1692" s="41"/>
    </row>
    <row r="1693" spans="2:3" x14ac:dyDescent="0.2">
      <c r="B1693"/>
      <c r="C1693" s="41"/>
    </row>
    <row r="1694" spans="2:3" x14ac:dyDescent="0.2">
      <c r="B1694"/>
      <c r="C1694" s="41"/>
    </row>
    <row r="1695" spans="2:3" x14ac:dyDescent="0.2">
      <c r="B1695"/>
      <c r="C1695" s="41"/>
    </row>
    <row r="1696" spans="2:3" x14ac:dyDescent="0.2">
      <c r="B1696"/>
      <c r="C1696" s="41"/>
    </row>
    <row r="1697" spans="2:3" x14ac:dyDescent="0.2">
      <c r="B1697"/>
      <c r="C1697" s="41"/>
    </row>
    <row r="1698" spans="2:3" x14ac:dyDescent="0.2">
      <c r="B1698"/>
      <c r="C1698" s="41"/>
    </row>
    <row r="1699" spans="2:3" x14ac:dyDescent="0.2">
      <c r="B1699"/>
      <c r="C1699" s="41"/>
    </row>
    <row r="1700" spans="2:3" x14ac:dyDescent="0.2">
      <c r="B1700"/>
      <c r="C1700" s="41"/>
    </row>
    <row r="1701" spans="2:3" x14ac:dyDescent="0.2">
      <c r="B1701"/>
      <c r="C1701" s="41"/>
    </row>
    <row r="1702" spans="2:3" x14ac:dyDescent="0.2">
      <c r="B1702"/>
      <c r="C1702" s="41"/>
    </row>
    <row r="1703" spans="2:3" x14ac:dyDescent="0.2">
      <c r="B1703"/>
      <c r="C1703" s="41"/>
    </row>
    <row r="1704" spans="2:3" x14ac:dyDescent="0.2">
      <c r="B1704"/>
      <c r="C1704" s="41"/>
    </row>
    <row r="1705" spans="2:3" x14ac:dyDescent="0.2">
      <c r="B1705"/>
      <c r="C1705" s="41"/>
    </row>
    <row r="1706" spans="2:3" x14ac:dyDescent="0.2">
      <c r="B1706"/>
      <c r="C1706" s="41"/>
    </row>
    <row r="1707" spans="2:3" x14ac:dyDescent="0.2">
      <c r="B1707"/>
      <c r="C1707" s="41"/>
    </row>
    <row r="1708" spans="2:3" x14ac:dyDescent="0.2">
      <c r="B1708"/>
      <c r="C1708" s="41"/>
    </row>
    <row r="1709" spans="2:3" x14ac:dyDescent="0.2">
      <c r="B1709"/>
      <c r="C1709" s="41"/>
    </row>
    <row r="1710" spans="2:3" x14ac:dyDescent="0.2">
      <c r="B1710"/>
      <c r="C1710" s="41"/>
    </row>
    <row r="1711" spans="2:3" x14ac:dyDescent="0.2">
      <c r="B1711"/>
      <c r="C1711" s="41"/>
    </row>
    <row r="1712" spans="2:3" x14ac:dyDescent="0.2">
      <c r="B1712"/>
      <c r="C1712" s="41"/>
    </row>
    <row r="1713" spans="2:3" x14ac:dyDescent="0.2">
      <c r="B1713"/>
      <c r="C1713" s="41"/>
    </row>
    <row r="1714" spans="2:3" x14ac:dyDescent="0.2">
      <c r="B1714"/>
      <c r="C1714" s="41"/>
    </row>
    <row r="1715" spans="2:3" x14ac:dyDescent="0.2">
      <c r="B1715"/>
      <c r="C1715" s="41"/>
    </row>
    <row r="1716" spans="2:3" x14ac:dyDescent="0.2">
      <c r="B1716"/>
      <c r="C1716" s="41"/>
    </row>
    <row r="1717" spans="2:3" x14ac:dyDescent="0.2">
      <c r="B1717"/>
      <c r="C1717" s="41"/>
    </row>
    <row r="1718" spans="2:3" x14ac:dyDescent="0.2">
      <c r="B1718"/>
      <c r="C1718" s="41"/>
    </row>
    <row r="1719" spans="2:3" x14ac:dyDescent="0.2">
      <c r="B1719"/>
      <c r="C1719" s="41"/>
    </row>
    <row r="1720" spans="2:3" x14ac:dyDescent="0.2">
      <c r="B1720"/>
      <c r="C1720" s="41"/>
    </row>
    <row r="1721" spans="2:3" x14ac:dyDescent="0.2">
      <c r="B1721"/>
      <c r="C1721" s="41"/>
    </row>
    <row r="1722" spans="2:3" x14ac:dyDescent="0.2">
      <c r="B1722"/>
      <c r="C1722" s="41"/>
    </row>
    <row r="1723" spans="2:3" x14ac:dyDescent="0.2">
      <c r="B1723"/>
      <c r="C1723" s="41"/>
    </row>
    <row r="1724" spans="2:3" x14ac:dyDescent="0.2">
      <c r="B1724"/>
      <c r="C1724" s="41"/>
    </row>
    <row r="1725" spans="2:3" x14ac:dyDescent="0.2">
      <c r="B1725"/>
      <c r="C1725" s="41"/>
    </row>
    <row r="1726" spans="2:3" x14ac:dyDescent="0.2">
      <c r="B1726"/>
      <c r="C1726" s="41"/>
    </row>
    <row r="1727" spans="2:3" x14ac:dyDescent="0.2">
      <c r="B1727"/>
      <c r="C1727" s="41"/>
    </row>
    <row r="1728" spans="2:3" x14ac:dyDescent="0.2">
      <c r="B1728"/>
      <c r="C1728" s="41"/>
    </row>
    <row r="1729" spans="2:3" x14ac:dyDescent="0.2">
      <c r="B1729"/>
      <c r="C1729" s="41"/>
    </row>
    <row r="1730" spans="2:3" x14ac:dyDescent="0.2">
      <c r="B1730"/>
      <c r="C1730" s="41"/>
    </row>
    <row r="1731" spans="2:3" x14ac:dyDescent="0.2">
      <c r="B1731"/>
      <c r="C1731" s="41"/>
    </row>
    <row r="1732" spans="2:3" x14ac:dyDescent="0.2">
      <c r="B1732"/>
      <c r="C1732" s="41"/>
    </row>
    <row r="1733" spans="2:3" x14ac:dyDescent="0.2">
      <c r="B1733"/>
      <c r="C1733" s="41"/>
    </row>
    <row r="1734" spans="2:3" x14ac:dyDescent="0.2">
      <c r="B1734"/>
      <c r="C1734" s="41"/>
    </row>
    <row r="1735" spans="2:3" x14ac:dyDescent="0.2">
      <c r="B1735"/>
      <c r="C1735" s="41"/>
    </row>
    <row r="1736" spans="2:3" x14ac:dyDescent="0.2">
      <c r="B1736"/>
      <c r="C1736" s="41"/>
    </row>
    <row r="1737" spans="2:3" x14ac:dyDescent="0.2">
      <c r="B1737"/>
      <c r="C1737" s="41"/>
    </row>
    <row r="1738" spans="2:3" x14ac:dyDescent="0.2">
      <c r="B1738"/>
      <c r="C1738" s="41"/>
    </row>
    <row r="1739" spans="2:3" x14ac:dyDescent="0.2">
      <c r="B1739"/>
      <c r="C1739" s="41"/>
    </row>
    <row r="1740" spans="2:3" x14ac:dyDescent="0.2">
      <c r="B1740"/>
      <c r="C1740" s="41"/>
    </row>
    <row r="1741" spans="2:3" x14ac:dyDescent="0.2">
      <c r="B1741"/>
      <c r="C1741" s="41"/>
    </row>
    <row r="1742" spans="2:3" x14ac:dyDescent="0.2">
      <c r="B1742"/>
      <c r="C1742" s="41"/>
    </row>
    <row r="1743" spans="2:3" x14ac:dyDescent="0.2">
      <c r="B1743"/>
      <c r="C1743" s="41"/>
    </row>
    <row r="1744" spans="2:3" x14ac:dyDescent="0.2">
      <c r="B1744"/>
      <c r="C1744" s="41"/>
    </row>
    <row r="1745" spans="2:3" x14ac:dyDescent="0.2">
      <c r="B1745"/>
      <c r="C1745" s="41"/>
    </row>
    <row r="1746" spans="2:3" x14ac:dyDescent="0.2">
      <c r="B1746"/>
      <c r="C1746" s="41"/>
    </row>
    <row r="1747" spans="2:3" x14ac:dyDescent="0.2">
      <c r="B1747"/>
      <c r="C1747" s="41"/>
    </row>
    <row r="1748" spans="2:3" x14ac:dyDescent="0.2">
      <c r="B1748"/>
      <c r="C1748" s="41"/>
    </row>
    <row r="1749" spans="2:3" x14ac:dyDescent="0.2">
      <c r="B1749"/>
      <c r="C1749" s="41"/>
    </row>
    <row r="1750" spans="2:3" x14ac:dyDescent="0.2">
      <c r="B1750"/>
      <c r="C1750" s="41"/>
    </row>
    <row r="1751" spans="2:3" x14ac:dyDescent="0.2">
      <c r="B1751"/>
      <c r="C1751" s="41"/>
    </row>
    <row r="1752" spans="2:3" x14ac:dyDescent="0.2">
      <c r="B1752"/>
      <c r="C1752" s="41"/>
    </row>
    <row r="1753" spans="2:3" x14ac:dyDescent="0.2">
      <c r="B1753"/>
      <c r="C1753" s="41"/>
    </row>
    <row r="1754" spans="2:3" x14ac:dyDescent="0.2">
      <c r="B1754"/>
      <c r="C1754" s="41"/>
    </row>
    <row r="1755" spans="2:3" x14ac:dyDescent="0.2">
      <c r="B1755"/>
      <c r="C1755" s="41"/>
    </row>
    <row r="1756" spans="2:3" x14ac:dyDescent="0.2">
      <c r="B1756"/>
      <c r="C1756" s="41"/>
    </row>
    <row r="1757" spans="2:3" x14ac:dyDescent="0.2">
      <c r="B1757"/>
      <c r="C1757" s="41"/>
    </row>
    <row r="1758" spans="2:3" x14ac:dyDescent="0.2">
      <c r="B1758"/>
      <c r="C1758" s="41"/>
    </row>
    <row r="1759" spans="2:3" x14ac:dyDescent="0.2">
      <c r="B1759"/>
      <c r="C1759" s="41"/>
    </row>
    <row r="1760" spans="2:3" x14ac:dyDescent="0.2">
      <c r="B1760"/>
      <c r="C1760" s="41"/>
    </row>
    <row r="1761" spans="2:3" x14ac:dyDescent="0.2">
      <c r="B1761"/>
      <c r="C1761" s="41"/>
    </row>
    <row r="1762" spans="2:3" x14ac:dyDescent="0.2">
      <c r="B1762"/>
      <c r="C1762" s="41"/>
    </row>
    <row r="1763" spans="2:3" x14ac:dyDescent="0.2">
      <c r="B1763"/>
      <c r="C1763" s="41"/>
    </row>
    <row r="1764" spans="2:3" x14ac:dyDescent="0.2">
      <c r="B1764"/>
      <c r="C1764" s="41"/>
    </row>
    <row r="1765" spans="2:3" x14ac:dyDescent="0.2">
      <c r="B1765"/>
      <c r="C1765" s="41"/>
    </row>
    <row r="1766" spans="2:3" x14ac:dyDescent="0.2">
      <c r="B1766"/>
      <c r="C1766" s="41"/>
    </row>
    <row r="1767" spans="2:3" x14ac:dyDescent="0.2">
      <c r="B1767"/>
      <c r="C1767" s="41"/>
    </row>
    <row r="1768" spans="2:3" x14ac:dyDescent="0.2">
      <c r="B1768"/>
      <c r="C1768" s="41"/>
    </row>
    <row r="1769" spans="2:3" x14ac:dyDescent="0.2">
      <c r="B1769"/>
      <c r="C1769" s="41"/>
    </row>
    <row r="1770" spans="2:3" x14ac:dyDescent="0.2">
      <c r="B1770"/>
      <c r="C1770" s="41"/>
    </row>
    <row r="1771" spans="2:3" x14ac:dyDescent="0.2">
      <c r="B1771"/>
      <c r="C1771" s="41"/>
    </row>
    <row r="1772" spans="2:3" x14ac:dyDescent="0.2">
      <c r="B1772"/>
      <c r="C1772" s="41"/>
    </row>
    <row r="1773" spans="2:3" x14ac:dyDescent="0.2">
      <c r="B1773"/>
      <c r="C1773" s="41"/>
    </row>
    <row r="1774" spans="2:3" x14ac:dyDescent="0.2">
      <c r="B1774"/>
      <c r="C1774" s="41"/>
    </row>
    <row r="1775" spans="2:3" x14ac:dyDescent="0.2">
      <c r="B1775"/>
      <c r="C1775" s="41"/>
    </row>
    <row r="1776" spans="2:3" x14ac:dyDescent="0.2">
      <c r="B1776"/>
      <c r="C1776" s="41"/>
    </row>
    <row r="1777" spans="2:3" x14ac:dyDescent="0.2">
      <c r="B1777"/>
      <c r="C1777" s="41"/>
    </row>
    <row r="1778" spans="2:3" x14ac:dyDescent="0.2">
      <c r="B1778"/>
      <c r="C1778" s="41"/>
    </row>
    <row r="1779" spans="2:3" x14ac:dyDescent="0.2">
      <c r="B1779"/>
      <c r="C1779" s="41"/>
    </row>
    <row r="1780" spans="2:3" x14ac:dyDescent="0.2">
      <c r="B1780"/>
      <c r="C1780" s="41"/>
    </row>
    <row r="1781" spans="2:3" x14ac:dyDescent="0.2">
      <c r="B1781"/>
      <c r="C1781" s="41"/>
    </row>
    <row r="1782" spans="2:3" x14ac:dyDescent="0.2">
      <c r="B1782"/>
      <c r="C1782" s="41"/>
    </row>
    <row r="1783" spans="2:3" x14ac:dyDescent="0.2">
      <c r="B1783"/>
      <c r="C1783" s="41"/>
    </row>
    <row r="1784" spans="2:3" x14ac:dyDescent="0.2">
      <c r="B1784"/>
      <c r="C1784" s="41"/>
    </row>
    <row r="1785" spans="2:3" x14ac:dyDescent="0.2">
      <c r="B1785"/>
      <c r="C1785" s="41"/>
    </row>
    <row r="1786" spans="2:3" x14ac:dyDescent="0.2">
      <c r="B1786"/>
      <c r="C1786" s="41"/>
    </row>
    <row r="1787" spans="2:3" x14ac:dyDescent="0.2">
      <c r="B1787"/>
      <c r="C1787" s="41"/>
    </row>
    <row r="1788" spans="2:3" x14ac:dyDescent="0.2">
      <c r="B1788"/>
      <c r="C1788" s="41"/>
    </row>
    <row r="1789" spans="2:3" x14ac:dyDescent="0.2">
      <c r="B1789"/>
      <c r="C1789" s="41"/>
    </row>
    <row r="1790" spans="2:3" x14ac:dyDescent="0.2">
      <c r="B1790"/>
      <c r="C1790" s="41"/>
    </row>
    <row r="1791" spans="2:3" x14ac:dyDescent="0.2">
      <c r="B1791"/>
      <c r="C1791" s="41"/>
    </row>
    <row r="1792" spans="2:3" x14ac:dyDescent="0.2">
      <c r="B1792"/>
      <c r="C1792" s="41"/>
    </row>
    <row r="1793" spans="2:3" x14ac:dyDescent="0.2">
      <c r="B1793"/>
      <c r="C1793" s="41"/>
    </row>
    <row r="1794" spans="2:3" x14ac:dyDescent="0.2">
      <c r="B1794"/>
      <c r="C1794" s="41"/>
    </row>
    <row r="1795" spans="2:3" x14ac:dyDescent="0.2">
      <c r="B1795"/>
      <c r="C1795" s="41"/>
    </row>
    <row r="1796" spans="2:3" x14ac:dyDescent="0.2">
      <c r="B1796"/>
      <c r="C1796" s="41"/>
    </row>
    <row r="1797" spans="2:3" x14ac:dyDescent="0.2">
      <c r="B1797"/>
      <c r="C1797" s="41"/>
    </row>
    <row r="1798" spans="2:3" x14ac:dyDescent="0.2">
      <c r="B1798"/>
      <c r="C1798" s="41"/>
    </row>
    <row r="1799" spans="2:3" x14ac:dyDescent="0.2">
      <c r="B1799"/>
      <c r="C1799" s="41"/>
    </row>
    <row r="1800" spans="2:3" x14ac:dyDescent="0.2">
      <c r="B1800"/>
      <c r="C1800" s="41"/>
    </row>
    <row r="1801" spans="2:3" x14ac:dyDescent="0.2">
      <c r="B1801"/>
      <c r="C1801" s="41"/>
    </row>
    <row r="1802" spans="2:3" x14ac:dyDescent="0.2">
      <c r="B1802"/>
      <c r="C1802" s="41"/>
    </row>
    <row r="1803" spans="2:3" x14ac:dyDescent="0.2">
      <c r="B1803"/>
      <c r="C1803" s="41"/>
    </row>
    <row r="1804" spans="2:3" x14ac:dyDescent="0.2">
      <c r="B1804"/>
      <c r="C1804" s="41"/>
    </row>
    <row r="1805" spans="2:3" x14ac:dyDescent="0.2">
      <c r="B1805"/>
      <c r="C1805" s="41"/>
    </row>
    <row r="1806" spans="2:3" x14ac:dyDescent="0.2">
      <c r="B1806"/>
      <c r="C1806" s="41"/>
    </row>
    <row r="1807" spans="2:3" x14ac:dyDescent="0.2">
      <c r="B1807"/>
      <c r="C1807" s="41"/>
    </row>
    <row r="1808" spans="2:3" x14ac:dyDescent="0.2">
      <c r="B1808"/>
      <c r="C1808" s="41"/>
    </row>
    <row r="1809" spans="2:3" x14ac:dyDescent="0.2">
      <c r="B1809"/>
      <c r="C1809" s="41"/>
    </row>
    <row r="1810" spans="2:3" x14ac:dyDescent="0.2">
      <c r="B1810"/>
      <c r="C1810" s="41"/>
    </row>
    <row r="1811" spans="2:3" x14ac:dyDescent="0.2">
      <c r="B1811"/>
      <c r="C1811" s="41"/>
    </row>
    <row r="1812" spans="2:3" x14ac:dyDescent="0.2">
      <c r="B1812"/>
      <c r="C1812" s="41"/>
    </row>
    <row r="1813" spans="2:3" x14ac:dyDescent="0.2">
      <c r="B1813"/>
      <c r="C1813" s="41"/>
    </row>
    <row r="1814" spans="2:3" x14ac:dyDescent="0.2">
      <c r="B1814"/>
      <c r="C1814" s="41"/>
    </row>
    <row r="1815" spans="2:3" x14ac:dyDescent="0.2">
      <c r="B1815"/>
      <c r="C1815" s="41"/>
    </row>
    <row r="1816" spans="2:3" x14ac:dyDescent="0.2">
      <c r="B1816"/>
      <c r="C1816" s="41"/>
    </row>
    <row r="1817" spans="2:3" x14ac:dyDescent="0.2">
      <c r="B1817"/>
      <c r="C1817" s="41"/>
    </row>
    <row r="1818" spans="2:3" x14ac:dyDescent="0.2">
      <c r="B1818"/>
      <c r="C1818" s="41"/>
    </row>
    <row r="1819" spans="2:3" x14ac:dyDescent="0.2">
      <c r="B1819"/>
      <c r="C1819" s="41"/>
    </row>
    <row r="1820" spans="2:3" x14ac:dyDescent="0.2">
      <c r="B1820"/>
      <c r="C1820" s="41"/>
    </row>
    <row r="1821" spans="2:3" x14ac:dyDescent="0.2">
      <c r="B1821"/>
      <c r="C1821" s="41"/>
    </row>
    <row r="1822" spans="2:3" x14ac:dyDescent="0.2">
      <c r="B1822"/>
      <c r="C1822" s="41"/>
    </row>
    <row r="1823" spans="2:3" x14ac:dyDescent="0.2">
      <c r="B1823"/>
      <c r="C1823" s="41"/>
    </row>
    <row r="1824" spans="2:3" x14ac:dyDescent="0.2">
      <c r="B1824"/>
      <c r="C1824" s="41"/>
    </row>
    <row r="1825" spans="2:3" x14ac:dyDescent="0.2">
      <c r="B1825"/>
      <c r="C1825" s="41"/>
    </row>
    <row r="1826" spans="2:3" x14ac:dyDescent="0.2">
      <c r="B1826"/>
      <c r="C1826" s="41"/>
    </row>
    <row r="1827" spans="2:3" x14ac:dyDescent="0.2">
      <c r="B1827"/>
      <c r="C1827" s="41"/>
    </row>
    <row r="1828" spans="2:3" x14ac:dyDescent="0.2">
      <c r="B1828"/>
      <c r="C1828" s="41"/>
    </row>
    <row r="1829" spans="2:3" x14ac:dyDescent="0.2">
      <c r="B1829"/>
      <c r="C1829" s="41"/>
    </row>
    <row r="1830" spans="2:3" x14ac:dyDescent="0.2">
      <c r="B1830"/>
      <c r="C1830" s="41"/>
    </row>
    <row r="1831" spans="2:3" x14ac:dyDescent="0.2">
      <c r="B1831"/>
      <c r="C1831" s="41"/>
    </row>
    <row r="1832" spans="2:3" x14ac:dyDescent="0.2">
      <c r="B1832"/>
      <c r="C1832" s="41"/>
    </row>
    <row r="1833" spans="2:3" x14ac:dyDescent="0.2">
      <c r="B1833"/>
      <c r="C1833" s="41"/>
    </row>
    <row r="1834" spans="2:3" x14ac:dyDescent="0.2">
      <c r="B1834"/>
      <c r="C1834" s="41"/>
    </row>
    <row r="1835" spans="2:3" x14ac:dyDescent="0.2">
      <c r="B1835"/>
      <c r="C1835" s="41"/>
    </row>
    <row r="1836" spans="2:3" x14ac:dyDescent="0.2">
      <c r="B1836"/>
      <c r="C1836" s="41"/>
    </row>
    <row r="1837" spans="2:3" x14ac:dyDescent="0.2">
      <c r="B1837"/>
      <c r="C1837" s="41"/>
    </row>
    <row r="1838" spans="2:3" x14ac:dyDescent="0.2">
      <c r="B1838"/>
      <c r="C1838" s="41"/>
    </row>
    <row r="1839" spans="2:3" x14ac:dyDescent="0.2">
      <c r="B1839"/>
      <c r="C1839" s="41"/>
    </row>
    <row r="1840" spans="2:3" x14ac:dyDescent="0.2">
      <c r="B1840"/>
      <c r="C1840" s="41"/>
    </row>
    <row r="1841" spans="2:3" x14ac:dyDescent="0.2">
      <c r="B1841"/>
      <c r="C1841" s="41"/>
    </row>
    <row r="1842" spans="2:3" x14ac:dyDescent="0.2">
      <c r="B1842"/>
      <c r="C1842" s="41"/>
    </row>
    <row r="1843" spans="2:3" x14ac:dyDescent="0.2">
      <c r="B1843"/>
      <c r="C1843" s="41"/>
    </row>
    <row r="1844" spans="2:3" x14ac:dyDescent="0.2">
      <c r="B1844"/>
      <c r="C1844" s="41"/>
    </row>
    <row r="1845" spans="2:3" x14ac:dyDescent="0.2">
      <c r="B1845"/>
      <c r="C1845" s="41"/>
    </row>
    <row r="1846" spans="2:3" x14ac:dyDescent="0.2">
      <c r="B1846"/>
      <c r="C1846" s="41"/>
    </row>
    <row r="1847" spans="2:3" x14ac:dyDescent="0.2">
      <c r="B1847"/>
      <c r="C1847" s="41"/>
    </row>
    <row r="1848" spans="2:3" x14ac:dyDescent="0.2">
      <c r="B1848"/>
      <c r="C1848" s="41"/>
    </row>
    <row r="1849" spans="2:3" x14ac:dyDescent="0.2">
      <c r="B1849"/>
      <c r="C1849" s="41"/>
    </row>
    <row r="1850" spans="2:3" x14ac:dyDescent="0.2">
      <c r="B1850"/>
      <c r="C1850" s="41"/>
    </row>
    <row r="1851" spans="2:3" x14ac:dyDescent="0.2">
      <c r="B1851"/>
      <c r="C1851" s="41"/>
    </row>
    <row r="1852" spans="2:3" x14ac:dyDescent="0.2">
      <c r="B1852"/>
      <c r="C1852" s="41"/>
    </row>
    <row r="1853" spans="2:3" x14ac:dyDescent="0.2">
      <c r="B1853"/>
      <c r="C1853" s="41"/>
    </row>
    <row r="1854" spans="2:3" x14ac:dyDescent="0.2">
      <c r="B1854"/>
      <c r="C1854" s="41"/>
    </row>
    <row r="1855" spans="2:3" x14ac:dyDescent="0.2">
      <c r="B1855"/>
      <c r="C1855" s="41"/>
    </row>
    <row r="1856" spans="2:3" x14ac:dyDescent="0.2">
      <c r="B1856"/>
      <c r="C1856" s="41"/>
    </row>
    <row r="1857" spans="2:3" x14ac:dyDescent="0.2">
      <c r="B1857"/>
      <c r="C1857" s="41"/>
    </row>
    <row r="1858" spans="2:3" x14ac:dyDescent="0.2">
      <c r="B1858"/>
      <c r="C1858" s="41"/>
    </row>
    <row r="1859" spans="2:3" x14ac:dyDescent="0.2">
      <c r="B1859"/>
      <c r="C1859" s="41"/>
    </row>
    <row r="1860" spans="2:3" x14ac:dyDescent="0.2">
      <c r="B1860"/>
      <c r="C1860" s="41"/>
    </row>
    <row r="1861" spans="2:3" x14ac:dyDescent="0.2">
      <c r="B1861"/>
      <c r="C1861" s="41"/>
    </row>
    <row r="1862" spans="2:3" x14ac:dyDescent="0.2">
      <c r="B1862"/>
      <c r="C1862" s="41"/>
    </row>
    <row r="1863" spans="2:3" x14ac:dyDescent="0.2">
      <c r="B1863"/>
      <c r="C1863" s="41"/>
    </row>
    <row r="1864" spans="2:3" x14ac:dyDescent="0.2">
      <c r="B1864"/>
      <c r="C1864" s="41"/>
    </row>
    <row r="1865" spans="2:3" x14ac:dyDescent="0.2">
      <c r="B1865"/>
      <c r="C1865" s="41"/>
    </row>
    <row r="1866" spans="2:3" x14ac:dyDescent="0.2">
      <c r="B1866"/>
      <c r="C1866" s="41"/>
    </row>
    <row r="1867" spans="2:3" x14ac:dyDescent="0.2">
      <c r="B1867"/>
      <c r="C1867" s="41"/>
    </row>
    <row r="1868" spans="2:3" x14ac:dyDescent="0.2">
      <c r="B1868"/>
      <c r="C1868" s="41"/>
    </row>
    <row r="1869" spans="2:3" x14ac:dyDescent="0.2">
      <c r="B1869"/>
      <c r="C1869" s="41"/>
    </row>
    <row r="1870" spans="2:3" x14ac:dyDescent="0.2">
      <c r="B1870"/>
      <c r="C1870" s="41"/>
    </row>
    <row r="1871" spans="2:3" x14ac:dyDescent="0.2">
      <c r="B1871"/>
      <c r="C1871" s="41"/>
    </row>
    <row r="1872" spans="2:3" x14ac:dyDescent="0.2">
      <c r="B1872"/>
      <c r="C1872" s="41"/>
    </row>
    <row r="1873" spans="2:3" x14ac:dyDescent="0.2">
      <c r="B1873"/>
      <c r="C1873" s="41"/>
    </row>
    <row r="1874" spans="2:3" x14ac:dyDescent="0.2">
      <c r="B1874"/>
      <c r="C1874" s="41"/>
    </row>
    <row r="1875" spans="2:3" x14ac:dyDescent="0.2">
      <c r="B1875"/>
      <c r="C1875" s="41"/>
    </row>
    <row r="1876" spans="2:3" x14ac:dyDescent="0.2">
      <c r="B1876"/>
      <c r="C1876" s="41"/>
    </row>
    <row r="1877" spans="2:3" x14ac:dyDescent="0.2">
      <c r="B1877"/>
      <c r="C1877" s="41"/>
    </row>
    <row r="1878" spans="2:3" x14ac:dyDescent="0.2">
      <c r="B1878"/>
      <c r="C1878" s="41"/>
    </row>
    <row r="1879" spans="2:3" x14ac:dyDescent="0.2">
      <c r="B1879"/>
      <c r="C1879" s="41"/>
    </row>
    <row r="1880" spans="2:3" x14ac:dyDescent="0.2">
      <c r="B1880"/>
      <c r="C1880" s="41"/>
    </row>
    <row r="1881" spans="2:3" x14ac:dyDescent="0.2">
      <c r="B1881"/>
      <c r="C1881" s="41"/>
    </row>
    <row r="1882" spans="2:3" x14ac:dyDescent="0.2">
      <c r="B1882"/>
      <c r="C1882" s="41"/>
    </row>
    <row r="1883" spans="2:3" x14ac:dyDescent="0.2">
      <c r="B1883"/>
      <c r="C1883" s="41"/>
    </row>
    <row r="1884" spans="2:3" x14ac:dyDescent="0.2">
      <c r="B1884"/>
      <c r="C1884" s="41"/>
    </row>
    <row r="1885" spans="2:3" x14ac:dyDescent="0.2">
      <c r="B1885"/>
      <c r="C1885" s="41"/>
    </row>
    <row r="1886" spans="2:3" x14ac:dyDescent="0.2">
      <c r="B1886"/>
      <c r="C1886" s="41"/>
    </row>
    <row r="1887" spans="2:3" x14ac:dyDescent="0.2">
      <c r="B1887"/>
      <c r="C1887" s="41"/>
    </row>
    <row r="1888" spans="2:3" x14ac:dyDescent="0.2">
      <c r="B1888"/>
      <c r="C1888" s="41"/>
    </row>
    <row r="1889" spans="2:3" x14ac:dyDescent="0.2">
      <c r="B1889"/>
      <c r="C1889" s="41"/>
    </row>
    <row r="1890" spans="2:3" x14ac:dyDescent="0.2">
      <c r="B1890"/>
      <c r="C1890" s="41"/>
    </row>
    <row r="1891" spans="2:3" x14ac:dyDescent="0.2">
      <c r="B1891"/>
      <c r="C1891" s="41"/>
    </row>
    <row r="1892" spans="2:3" x14ac:dyDescent="0.2">
      <c r="B1892"/>
      <c r="C1892" s="41"/>
    </row>
    <row r="1893" spans="2:3" x14ac:dyDescent="0.2">
      <c r="B1893"/>
      <c r="C1893" s="41"/>
    </row>
    <row r="1894" spans="2:3" x14ac:dyDescent="0.2">
      <c r="B1894"/>
      <c r="C1894" s="41"/>
    </row>
    <row r="1895" spans="2:3" x14ac:dyDescent="0.2">
      <c r="B1895"/>
      <c r="C1895" s="41"/>
    </row>
    <row r="1896" spans="2:3" x14ac:dyDescent="0.2">
      <c r="B1896"/>
      <c r="C1896" s="41"/>
    </row>
    <row r="1897" spans="2:3" x14ac:dyDescent="0.2">
      <c r="B1897"/>
      <c r="C1897" s="41"/>
    </row>
    <row r="1898" spans="2:3" x14ac:dyDescent="0.2">
      <c r="B1898"/>
      <c r="C1898" s="41"/>
    </row>
    <row r="1899" spans="2:3" x14ac:dyDescent="0.2">
      <c r="B1899"/>
      <c r="C1899" s="41"/>
    </row>
    <row r="1900" spans="2:3" x14ac:dyDescent="0.2">
      <c r="B1900"/>
      <c r="C1900" s="41"/>
    </row>
    <row r="1901" spans="2:3" x14ac:dyDescent="0.2">
      <c r="B1901"/>
      <c r="C1901" s="41"/>
    </row>
    <row r="1902" spans="2:3" x14ac:dyDescent="0.2">
      <c r="B1902"/>
      <c r="C1902" s="41"/>
    </row>
    <row r="1903" spans="2:3" x14ac:dyDescent="0.2">
      <c r="B1903"/>
      <c r="C1903" s="41"/>
    </row>
    <row r="1904" spans="2:3" x14ac:dyDescent="0.2">
      <c r="B1904"/>
      <c r="C1904" s="41"/>
    </row>
    <row r="1905" spans="2:3" x14ac:dyDescent="0.2">
      <c r="B1905"/>
      <c r="C1905" s="41"/>
    </row>
    <row r="1906" spans="2:3" x14ac:dyDescent="0.2">
      <c r="B1906"/>
      <c r="C1906" s="41"/>
    </row>
    <row r="1907" spans="2:3" x14ac:dyDescent="0.2">
      <c r="B1907"/>
      <c r="C1907" s="41"/>
    </row>
    <row r="1908" spans="2:3" x14ac:dyDescent="0.2">
      <c r="B1908"/>
      <c r="C1908" s="41"/>
    </row>
    <row r="1909" spans="2:3" x14ac:dyDescent="0.2">
      <c r="B1909"/>
      <c r="C1909" s="41"/>
    </row>
    <row r="1910" spans="2:3" x14ac:dyDescent="0.2">
      <c r="B1910"/>
      <c r="C1910" s="41"/>
    </row>
    <row r="1911" spans="2:3" x14ac:dyDescent="0.2">
      <c r="B1911"/>
      <c r="C1911" s="41"/>
    </row>
    <row r="1912" spans="2:3" x14ac:dyDescent="0.2">
      <c r="B1912"/>
      <c r="C1912" s="41"/>
    </row>
    <row r="1913" spans="2:3" x14ac:dyDescent="0.2">
      <c r="B1913"/>
      <c r="C1913" s="41"/>
    </row>
    <row r="1914" spans="2:3" x14ac:dyDescent="0.2">
      <c r="B1914"/>
      <c r="C1914" s="41"/>
    </row>
    <row r="1915" spans="2:3" x14ac:dyDescent="0.2">
      <c r="B1915"/>
      <c r="C1915" s="41"/>
    </row>
    <row r="1916" spans="2:3" x14ac:dyDescent="0.2">
      <c r="B1916"/>
      <c r="C1916" s="41"/>
    </row>
    <row r="1917" spans="2:3" x14ac:dyDescent="0.2">
      <c r="B1917"/>
      <c r="C1917" s="41"/>
    </row>
    <row r="1918" spans="2:3" x14ac:dyDescent="0.2">
      <c r="B1918"/>
      <c r="C1918" s="41"/>
    </row>
    <row r="1919" spans="2:3" x14ac:dyDescent="0.2">
      <c r="B1919"/>
      <c r="C1919" s="41"/>
    </row>
    <row r="1920" spans="2:3" x14ac:dyDescent="0.2">
      <c r="B1920"/>
      <c r="C1920" s="41"/>
    </row>
    <row r="1921" spans="2:3" x14ac:dyDescent="0.2">
      <c r="B1921"/>
      <c r="C1921" s="41"/>
    </row>
    <row r="1922" spans="2:3" x14ac:dyDescent="0.2">
      <c r="B1922"/>
      <c r="C1922" s="41"/>
    </row>
    <row r="1923" spans="2:3" x14ac:dyDescent="0.2">
      <c r="B1923"/>
      <c r="C1923" s="41"/>
    </row>
    <row r="1924" spans="2:3" x14ac:dyDescent="0.2">
      <c r="B1924"/>
      <c r="C1924" s="41"/>
    </row>
    <row r="1925" spans="2:3" x14ac:dyDescent="0.2">
      <c r="B1925"/>
      <c r="C1925" s="41"/>
    </row>
    <row r="1926" spans="2:3" x14ac:dyDescent="0.2">
      <c r="B1926"/>
      <c r="C1926" s="41"/>
    </row>
    <row r="1927" spans="2:3" x14ac:dyDescent="0.2">
      <c r="B1927"/>
      <c r="C1927" s="41"/>
    </row>
    <row r="1928" spans="2:3" x14ac:dyDescent="0.2">
      <c r="B1928"/>
      <c r="C1928" s="41"/>
    </row>
    <row r="1929" spans="2:3" x14ac:dyDescent="0.2">
      <c r="B1929"/>
      <c r="C1929" s="41"/>
    </row>
    <row r="1930" spans="2:3" x14ac:dyDescent="0.2">
      <c r="B1930"/>
      <c r="C1930" s="41"/>
    </row>
    <row r="1931" spans="2:3" x14ac:dyDescent="0.2">
      <c r="B1931"/>
      <c r="C1931" s="41"/>
    </row>
    <row r="1932" spans="2:3" x14ac:dyDescent="0.2">
      <c r="B1932"/>
      <c r="C1932" s="41"/>
    </row>
    <row r="1933" spans="2:3" x14ac:dyDescent="0.2">
      <c r="B1933"/>
      <c r="C1933" s="41"/>
    </row>
    <row r="1934" spans="2:3" x14ac:dyDescent="0.2">
      <c r="B1934"/>
      <c r="C1934" s="41"/>
    </row>
    <row r="1935" spans="2:3" x14ac:dyDescent="0.2">
      <c r="B1935"/>
      <c r="C1935" s="41"/>
    </row>
    <row r="1936" spans="2:3" x14ac:dyDescent="0.2">
      <c r="B1936"/>
      <c r="C1936" s="41"/>
    </row>
    <row r="1937" spans="2:3" x14ac:dyDescent="0.2">
      <c r="B1937"/>
      <c r="C1937" s="41"/>
    </row>
    <row r="1938" spans="2:3" x14ac:dyDescent="0.2">
      <c r="B1938"/>
      <c r="C1938" s="41"/>
    </row>
    <row r="1939" spans="2:3" x14ac:dyDescent="0.2">
      <c r="B1939"/>
      <c r="C1939" s="41"/>
    </row>
    <row r="1940" spans="2:3" x14ac:dyDescent="0.2">
      <c r="B1940"/>
      <c r="C1940" s="41"/>
    </row>
    <row r="1941" spans="2:3" x14ac:dyDescent="0.2">
      <c r="B1941"/>
      <c r="C1941" s="41"/>
    </row>
    <row r="1942" spans="2:3" x14ac:dyDescent="0.2">
      <c r="B1942"/>
      <c r="C1942" s="41"/>
    </row>
    <row r="1943" spans="2:3" x14ac:dyDescent="0.2">
      <c r="B1943"/>
      <c r="C1943" s="41"/>
    </row>
    <row r="1944" spans="2:3" x14ac:dyDescent="0.2">
      <c r="B1944"/>
      <c r="C1944" s="41"/>
    </row>
    <row r="1945" spans="2:3" x14ac:dyDescent="0.2">
      <c r="B1945"/>
      <c r="C1945" s="41"/>
    </row>
    <row r="1946" spans="2:3" x14ac:dyDescent="0.2">
      <c r="B1946"/>
      <c r="C1946" s="41"/>
    </row>
    <row r="1947" spans="2:3" x14ac:dyDescent="0.2">
      <c r="B1947"/>
      <c r="C1947" s="41"/>
    </row>
    <row r="1948" spans="2:3" x14ac:dyDescent="0.2">
      <c r="B1948"/>
      <c r="C1948" s="41"/>
    </row>
    <row r="1949" spans="2:3" x14ac:dyDescent="0.2">
      <c r="B1949"/>
      <c r="C1949" s="41"/>
    </row>
    <row r="1950" spans="2:3" x14ac:dyDescent="0.2">
      <c r="B1950"/>
      <c r="C1950" s="41"/>
    </row>
    <row r="1951" spans="2:3" x14ac:dyDescent="0.2">
      <c r="B1951"/>
      <c r="C1951" s="41"/>
    </row>
    <row r="1952" spans="2:3" x14ac:dyDescent="0.2">
      <c r="B1952"/>
      <c r="C1952" s="41"/>
    </row>
    <row r="1953" spans="2:3" x14ac:dyDescent="0.2">
      <c r="B1953"/>
      <c r="C1953" s="41"/>
    </row>
    <row r="1954" spans="2:3" x14ac:dyDescent="0.2">
      <c r="B1954"/>
      <c r="C1954" s="41"/>
    </row>
    <row r="1955" spans="2:3" x14ac:dyDescent="0.2">
      <c r="B1955"/>
      <c r="C1955" s="41"/>
    </row>
    <row r="1956" spans="2:3" x14ac:dyDescent="0.2">
      <c r="B1956"/>
      <c r="C1956" s="41"/>
    </row>
    <row r="1957" spans="2:3" x14ac:dyDescent="0.2">
      <c r="B1957"/>
      <c r="C1957" s="41"/>
    </row>
    <row r="1958" spans="2:3" x14ac:dyDescent="0.2">
      <c r="B1958"/>
      <c r="C1958" s="41"/>
    </row>
    <row r="1959" spans="2:3" x14ac:dyDescent="0.2">
      <c r="B1959"/>
      <c r="C1959" s="41"/>
    </row>
    <row r="1960" spans="2:3" x14ac:dyDescent="0.2">
      <c r="B1960"/>
      <c r="C1960" s="41"/>
    </row>
    <row r="1961" spans="2:3" x14ac:dyDescent="0.2">
      <c r="B1961"/>
      <c r="C1961" s="41"/>
    </row>
    <row r="1962" spans="2:3" x14ac:dyDescent="0.2">
      <c r="B1962"/>
      <c r="C1962" s="41"/>
    </row>
    <row r="1963" spans="2:3" x14ac:dyDescent="0.2">
      <c r="B1963"/>
      <c r="C1963" s="41"/>
    </row>
    <row r="1964" spans="2:3" x14ac:dyDescent="0.2">
      <c r="B1964"/>
      <c r="C1964" s="41"/>
    </row>
    <row r="1965" spans="2:3" x14ac:dyDescent="0.2">
      <c r="B1965"/>
      <c r="C1965" s="41"/>
    </row>
    <row r="1966" spans="2:3" x14ac:dyDescent="0.2">
      <c r="B1966"/>
      <c r="C1966" s="41"/>
    </row>
    <row r="1967" spans="2:3" x14ac:dyDescent="0.2">
      <c r="B1967"/>
      <c r="C1967" s="41"/>
    </row>
    <row r="1968" spans="2:3" x14ac:dyDescent="0.2">
      <c r="B1968"/>
      <c r="C1968" s="41"/>
    </row>
    <row r="1969" spans="2:3" x14ac:dyDescent="0.2">
      <c r="B1969"/>
      <c r="C1969" s="41"/>
    </row>
    <row r="1970" spans="2:3" x14ac:dyDescent="0.2">
      <c r="B1970"/>
      <c r="C1970" s="41"/>
    </row>
    <row r="1971" spans="2:3" x14ac:dyDescent="0.2">
      <c r="B1971"/>
      <c r="C1971" s="41"/>
    </row>
    <row r="1972" spans="2:3" x14ac:dyDescent="0.2">
      <c r="B1972"/>
      <c r="C1972" s="41"/>
    </row>
    <row r="1973" spans="2:3" x14ac:dyDescent="0.2">
      <c r="B1973"/>
      <c r="C1973" s="41"/>
    </row>
    <row r="1974" spans="2:3" x14ac:dyDescent="0.2">
      <c r="B1974"/>
      <c r="C1974" s="41"/>
    </row>
    <row r="1975" spans="2:3" x14ac:dyDescent="0.2">
      <c r="B1975"/>
      <c r="C1975" s="41"/>
    </row>
    <row r="1976" spans="2:3" x14ac:dyDescent="0.2">
      <c r="B1976"/>
      <c r="C1976" s="41"/>
    </row>
    <row r="1977" spans="2:3" x14ac:dyDescent="0.2">
      <c r="B1977"/>
      <c r="C1977" s="41"/>
    </row>
    <row r="1978" spans="2:3" x14ac:dyDescent="0.2">
      <c r="B1978"/>
      <c r="C1978" s="41"/>
    </row>
    <row r="1979" spans="2:3" x14ac:dyDescent="0.2">
      <c r="B1979"/>
      <c r="C1979" s="41"/>
    </row>
    <row r="1980" spans="2:3" x14ac:dyDescent="0.2">
      <c r="B1980"/>
      <c r="C1980" s="41"/>
    </row>
    <row r="1981" spans="2:3" x14ac:dyDescent="0.2">
      <c r="B1981"/>
      <c r="C1981" s="41"/>
    </row>
    <row r="1982" spans="2:3" x14ac:dyDescent="0.2">
      <c r="B1982"/>
      <c r="C1982" s="41"/>
    </row>
    <row r="1983" spans="2:3" x14ac:dyDescent="0.2">
      <c r="B1983"/>
      <c r="C1983" s="41"/>
    </row>
    <row r="1984" spans="2:3" x14ac:dyDescent="0.2">
      <c r="B1984"/>
      <c r="C1984" s="41"/>
    </row>
    <row r="1985" spans="2:3" x14ac:dyDescent="0.2">
      <c r="B1985"/>
      <c r="C1985" s="41"/>
    </row>
    <row r="1986" spans="2:3" x14ac:dyDescent="0.2">
      <c r="B1986"/>
      <c r="C1986" s="41"/>
    </row>
    <row r="1987" spans="2:3" x14ac:dyDescent="0.2">
      <c r="B1987"/>
      <c r="C1987" s="41"/>
    </row>
    <row r="1988" spans="2:3" x14ac:dyDescent="0.2">
      <c r="B1988"/>
      <c r="C1988" s="41"/>
    </row>
    <row r="1989" spans="2:3" x14ac:dyDescent="0.2">
      <c r="B1989"/>
      <c r="C1989" s="41"/>
    </row>
    <row r="1990" spans="2:3" x14ac:dyDescent="0.2">
      <c r="B1990"/>
      <c r="C1990" s="41"/>
    </row>
    <row r="1991" spans="2:3" x14ac:dyDescent="0.2">
      <c r="B1991"/>
      <c r="C1991" s="41"/>
    </row>
    <row r="1992" spans="2:3" x14ac:dyDescent="0.2">
      <c r="B1992"/>
      <c r="C1992" s="41"/>
    </row>
    <row r="1993" spans="2:3" x14ac:dyDescent="0.2">
      <c r="B1993"/>
      <c r="C1993" s="41"/>
    </row>
    <row r="1994" spans="2:3" x14ac:dyDescent="0.2">
      <c r="B1994"/>
      <c r="C1994" s="41"/>
    </row>
    <row r="1995" spans="2:3" x14ac:dyDescent="0.2">
      <c r="B1995"/>
      <c r="C1995" s="41"/>
    </row>
    <row r="1996" spans="2:3" x14ac:dyDescent="0.2">
      <c r="B1996"/>
      <c r="C1996" s="41"/>
    </row>
    <row r="1997" spans="2:3" x14ac:dyDescent="0.2">
      <c r="B1997"/>
      <c r="C1997" s="41"/>
    </row>
    <row r="1998" spans="2:3" x14ac:dyDescent="0.2">
      <c r="B1998"/>
      <c r="C1998" s="41"/>
    </row>
    <row r="1999" spans="2:3" x14ac:dyDescent="0.2">
      <c r="B1999"/>
      <c r="C1999" s="41"/>
    </row>
    <row r="2000" spans="2:3" x14ac:dyDescent="0.2">
      <c r="B2000"/>
      <c r="C2000" s="41"/>
    </row>
    <row r="2001" spans="2:3" x14ac:dyDescent="0.2">
      <c r="B2001"/>
      <c r="C2001" s="41"/>
    </row>
    <row r="2002" spans="2:3" x14ac:dyDescent="0.2">
      <c r="B2002"/>
      <c r="C2002" s="41"/>
    </row>
    <row r="2003" spans="2:3" x14ac:dyDescent="0.2">
      <c r="B2003"/>
      <c r="C2003" s="41"/>
    </row>
    <row r="2004" spans="2:3" x14ac:dyDescent="0.2">
      <c r="B2004"/>
      <c r="C2004" s="41"/>
    </row>
    <row r="2005" spans="2:3" x14ac:dyDescent="0.2">
      <c r="B2005"/>
      <c r="C2005" s="41"/>
    </row>
    <row r="2006" spans="2:3" x14ac:dyDescent="0.2">
      <c r="B2006"/>
      <c r="C2006" s="41"/>
    </row>
    <row r="2007" spans="2:3" x14ac:dyDescent="0.2">
      <c r="B2007"/>
      <c r="C2007" s="41"/>
    </row>
    <row r="2008" spans="2:3" x14ac:dyDescent="0.2">
      <c r="B2008"/>
      <c r="C2008" s="41"/>
    </row>
    <row r="2009" spans="2:3" x14ac:dyDescent="0.2">
      <c r="B2009"/>
      <c r="C2009" s="41"/>
    </row>
    <row r="2010" spans="2:3" x14ac:dyDescent="0.2">
      <c r="B2010"/>
      <c r="C2010" s="41"/>
    </row>
    <row r="2011" spans="2:3" x14ac:dyDescent="0.2">
      <c r="B2011"/>
      <c r="C2011" s="41"/>
    </row>
    <row r="2012" spans="2:3" x14ac:dyDescent="0.2">
      <c r="B2012"/>
      <c r="C2012" s="41"/>
    </row>
    <row r="2013" spans="2:3" x14ac:dyDescent="0.2">
      <c r="B2013"/>
      <c r="C2013" s="41"/>
    </row>
    <row r="2014" spans="2:3" x14ac:dyDescent="0.2">
      <c r="B2014"/>
      <c r="C2014" s="41"/>
    </row>
    <row r="2015" spans="2:3" x14ac:dyDescent="0.2">
      <c r="B2015"/>
      <c r="C2015" s="41"/>
    </row>
    <row r="2016" spans="2:3" x14ac:dyDescent="0.2">
      <c r="B2016"/>
      <c r="C2016" s="41"/>
    </row>
    <row r="2017" spans="2:3" x14ac:dyDescent="0.2">
      <c r="B2017"/>
      <c r="C2017" s="41"/>
    </row>
    <row r="2018" spans="2:3" x14ac:dyDescent="0.2">
      <c r="B2018"/>
      <c r="C2018" s="41"/>
    </row>
    <row r="2019" spans="2:3" x14ac:dyDescent="0.2">
      <c r="B2019"/>
      <c r="C2019" s="41"/>
    </row>
    <row r="2020" spans="2:3" x14ac:dyDescent="0.2">
      <c r="B2020"/>
      <c r="C2020" s="41"/>
    </row>
    <row r="2021" spans="2:3" x14ac:dyDescent="0.2">
      <c r="B2021"/>
      <c r="C2021" s="41"/>
    </row>
    <row r="2022" spans="2:3" x14ac:dyDescent="0.2">
      <c r="B2022"/>
      <c r="C2022" s="41"/>
    </row>
    <row r="2023" spans="2:3" x14ac:dyDescent="0.2">
      <c r="B2023"/>
      <c r="C2023" s="41"/>
    </row>
    <row r="2024" spans="2:3" x14ac:dyDescent="0.2">
      <c r="B2024"/>
      <c r="C2024" s="41"/>
    </row>
    <row r="2025" spans="2:3" x14ac:dyDescent="0.2">
      <c r="B2025"/>
      <c r="C2025" s="41"/>
    </row>
    <row r="2026" spans="2:3" x14ac:dyDescent="0.2">
      <c r="B2026"/>
      <c r="C2026" s="41"/>
    </row>
    <row r="2027" spans="2:3" x14ac:dyDescent="0.2">
      <c r="B2027"/>
      <c r="C2027" s="41"/>
    </row>
    <row r="2028" spans="2:3" x14ac:dyDescent="0.2">
      <c r="B2028"/>
      <c r="C2028" s="41"/>
    </row>
    <row r="2029" spans="2:3" x14ac:dyDescent="0.2">
      <c r="B2029"/>
      <c r="C2029" s="41"/>
    </row>
    <row r="2030" spans="2:3" x14ac:dyDescent="0.2">
      <c r="B2030"/>
      <c r="C2030" s="41"/>
    </row>
    <row r="2031" spans="2:3" x14ac:dyDescent="0.2">
      <c r="B2031"/>
      <c r="C2031" s="41"/>
    </row>
    <row r="2032" spans="2:3" x14ac:dyDescent="0.2">
      <c r="B2032"/>
      <c r="C2032" s="41"/>
    </row>
    <row r="2033" spans="2:3" x14ac:dyDescent="0.2">
      <c r="B2033"/>
      <c r="C2033" s="41"/>
    </row>
    <row r="2034" spans="2:3" x14ac:dyDescent="0.2">
      <c r="B2034"/>
      <c r="C2034" s="41"/>
    </row>
    <row r="2035" spans="2:3" x14ac:dyDescent="0.2">
      <c r="B2035"/>
      <c r="C2035" s="41"/>
    </row>
    <row r="2036" spans="2:3" x14ac:dyDescent="0.2">
      <c r="B2036"/>
      <c r="C2036" s="41"/>
    </row>
    <row r="2037" spans="2:3" x14ac:dyDescent="0.2">
      <c r="B2037"/>
      <c r="C2037" s="41"/>
    </row>
    <row r="2038" spans="2:3" x14ac:dyDescent="0.2">
      <c r="B2038"/>
      <c r="C2038" s="41"/>
    </row>
    <row r="2039" spans="2:3" x14ac:dyDescent="0.2">
      <c r="B2039"/>
      <c r="C2039" s="41"/>
    </row>
    <row r="2040" spans="2:3" x14ac:dyDescent="0.2">
      <c r="B2040"/>
      <c r="C2040" s="41"/>
    </row>
    <row r="2041" spans="2:3" x14ac:dyDescent="0.2">
      <c r="B2041"/>
      <c r="C2041" s="41"/>
    </row>
    <row r="2042" spans="2:3" x14ac:dyDescent="0.2">
      <c r="B2042"/>
      <c r="C2042" s="41"/>
    </row>
    <row r="2043" spans="2:3" x14ac:dyDescent="0.2">
      <c r="B2043"/>
      <c r="C2043" s="41"/>
    </row>
    <row r="2044" spans="2:3" x14ac:dyDescent="0.2">
      <c r="B2044"/>
      <c r="C2044" s="41"/>
    </row>
    <row r="2045" spans="2:3" x14ac:dyDescent="0.2">
      <c r="B2045"/>
      <c r="C2045" s="41"/>
    </row>
    <row r="2046" spans="2:3" x14ac:dyDescent="0.2">
      <c r="B2046"/>
      <c r="C2046" s="41"/>
    </row>
    <row r="2047" spans="2:3" x14ac:dyDescent="0.2">
      <c r="B2047"/>
      <c r="C2047" s="41"/>
    </row>
    <row r="2048" spans="2:3" x14ac:dyDescent="0.2">
      <c r="B2048"/>
      <c r="C2048" s="41"/>
    </row>
    <row r="2049" spans="2:3" x14ac:dyDescent="0.2">
      <c r="B2049"/>
      <c r="C2049" s="41"/>
    </row>
    <row r="2050" spans="2:3" x14ac:dyDescent="0.2">
      <c r="B2050"/>
      <c r="C2050" s="41"/>
    </row>
    <row r="2051" spans="2:3" x14ac:dyDescent="0.2">
      <c r="B2051"/>
      <c r="C2051" s="41"/>
    </row>
    <row r="2052" spans="2:3" x14ac:dyDescent="0.2">
      <c r="B2052"/>
      <c r="C2052" s="41"/>
    </row>
    <row r="2053" spans="2:3" x14ac:dyDescent="0.2">
      <c r="B2053"/>
      <c r="C2053" s="41"/>
    </row>
    <row r="2054" spans="2:3" x14ac:dyDescent="0.2">
      <c r="B2054"/>
      <c r="C2054" s="41"/>
    </row>
    <row r="2055" spans="2:3" x14ac:dyDescent="0.2">
      <c r="B2055"/>
      <c r="C2055" s="41"/>
    </row>
    <row r="2056" spans="2:3" x14ac:dyDescent="0.2">
      <c r="B2056"/>
      <c r="C2056" s="41"/>
    </row>
    <row r="2057" spans="2:3" x14ac:dyDescent="0.2">
      <c r="B2057"/>
      <c r="C2057" s="41"/>
    </row>
    <row r="2058" spans="2:3" x14ac:dyDescent="0.2">
      <c r="B2058"/>
      <c r="C2058" s="41"/>
    </row>
    <row r="2059" spans="2:3" x14ac:dyDescent="0.2">
      <c r="B2059"/>
      <c r="C2059" s="41"/>
    </row>
    <row r="2060" spans="2:3" x14ac:dyDescent="0.2">
      <c r="B2060"/>
      <c r="C2060" s="41"/>
    </row>
    <row r="2061" spans="2:3" x14ac:dyDescent="0.2">
      <c r="B2061"/>
      <c r="C2061" s="41"/>
    </row>
    <row r="2062" spans="2:3" x14ac:dyDescent="0.2">
      <c r="B2062"/>
      <c r="C2062" s="41"/>
    </row>
    <row r="2063" spans="2:3" x14ac:dyDescent="0.2">
      <c r="B2063"/>
      <c r="C2063" s="41"/>
    </row>
    <row r="2064" spans="2:3" x14ac:dyDescent="0.2">
      <c r="B2064"/>
      <c r="C2064" s="41"/>
    </row>
    <row r="2065" spans="2:3" x14ac:dyDescent="0.2">
      <c r="B2065"/>
      <c r="C2065" s="41"/>
    </row>
    <row r="2066" spans="2:3" x14ac:dyDescent="0.2">
      <c r="B2066"/>
      <c r="C2066" s="41"/>
    </row>
    <row r="2067" spans="2:3" x14ac:dyDescent="0.2">
      <c r="B2067"/>
      <c r="C2067" s="41"/>
    </row>
    <row r="2068" spans="2:3" x14ac:dyDescent="0.2">
      <c r="B2068"/>
      <c r="C2068" s="41"/>
    </row>
    <row r="2069" spans="2:3" x14ac:dyDescent="0.2">
      <c r="B2069"/>
      <c r="C2069" s="41"/>
    </row>
    <row r="2070" spans="2:3" x14ac:dyDescent="0.2">
      <c r="B2070"/>
      <c r="C2070" s="41"/>
    </row>
    <row r="2071" spans="2:3" x14ac:dyDescent="0.2">
      <c r="B2071"/>
      <c r="C2071" s="41"/>
    </row>
    <row r="2072" spans="2:3" x14ac:dyDescent="0.2">
      <c r="B2072"/>
      <c r="C2072" s="41"/>
    </row>
    <row r="2073" spans="2:3" x14ac:dyDescent="0.2">
      <c r="B2073"/>
      <c r="C2073" s="41"/>
    </row>
    <row r="2074" spans="2:3" x14ac:dyDescent="0.2">
      <c r="B2074"/>
      <c r="C2074" s="41"/>
    </row>
    <row r="2075" spans="2:3" x14ac:dyDescent="0.2">
      <c r="B2075"/>
      <c r="C2075" s="41"/>
    </row>
    <row r="2076" spans="2:3" x14ac:dyDescent="0.2">
      <c r="B2076"/>
      <c r="C2076" s="41"/>
    </row>
    <row r="2077" spans="2:3" x14ac:dyDescent="0.2">
      <c r="B2077"/>
      <c r="C2077" s="41"/>
    </row>
    <row r="2078" spans="2:3" x14ac:dyDescent="0.2">
      <c r="B2078"/>
      <c r="C2078" s="41"/>
    </row>
    <row r="2079" spans="2:3" x14ac:dyDescent="0.2">
      <c r="B2079"/>
      <c r="C2079" s="41"/>
    </row>
    <row r="2080" spans="2:3" x14ac:dyDescent="0.2">
      <c r="B2080"/>
      <c r="C2080" s="41"/>
    </row>
    <row r="2081" spans="2:3" x14ac:dyDescent="0.2">
      <c r="B2081"/>
      <c r="C2081" s="41"/>
    </row>
    <row r="2082" spans="2:3" x14ac:dyDescent="0.2">
      <c r="B2082"/>
      <c r="C2082" s="41"/>
    </row>
    <row r="2083" spans="2:3" x14ac:dyDescent="0.2">
      <c r="B2083"/>
      <c r="C2083" s="41"/>
    </row>
    <row r="2084" spans="2:3" x14ac:dyDescent="0.2">
      <c r="B2084"/>
      <c r="C2084" s="41"/>
    </row>
    <row r="2085" spans="2:3" x14ac:dyDescent="0.2">
      <c r="B2085"/>
      <c r="C2085" s="41"/>
    </row>
    <row r="2086" spans="2:3" x14ac:dyDescent="0.2">
      <c r="B2086"/>
      <c r="C2086" s="41"/>
    </row>
    <row r="2087" spans="2:3" x14ac:dyDescent="0.2">
      <c r="B2087"/>
      <c r="C2087" s="41"/>
    </row>
    <row r="2088" spans="2:3" x14ac:dyDescent="0.2">
      <c r="B2088"/>
      <c r="C2088" s="41"/>
    </row>
    <row r="2089" spans="2:3" x14ac:dyDescent="0.2">
      <c r="B2089"/>
      <c r="C2089" s="41"/>
    </row>
    <row r="2090" spans="2:3" x14ac:dyDescent="0.2">
      <c r="B2090"/>
      <c r="C2090" s="41"/>
    </row>
    <row r="2091" spans="2:3" x14ac:dyDescent="0.2">
      <c r="B2091"/>
      <c r="C2091" s="41"/>
    </row>
    <row r="2092" spans="2:3" x14ac:dyDescent="0.2">
      <c r="B2092"/>
      <c r="C2092" s="41"/>
    </row>
    <row r="2093" spans="2:3" x14ac:dyDescent="0.2">
      <c r="B2093"/>
      <c r="C2093" s="41"/>
    </row>
    <row r="2094" spans="2:3" x14ac:dyDescent="0.2">
      <c r="B2094"/>
      <c r="C2094" s="41"/>
    </row>
    <row r="2095" spans="2:3" x14ac:dyDescent="0.2">
      <c r="B2095"/>
      <c r="C2095" s="41"/>
    </row>
    <row r="2096" spans="2:3" x14ac:dyDescent="0.2">
      <c r="B2096"/>
      <c r="C2096" s="41"/>
    </row>
    <row r="2097" spans="2:3" x14ac:dyDescent="0.2">
      <c r="B2097"/>
      <c r="C2097" s="41"/>
    </row>
    <row r="2098" spans="2:3" x14ac:dyDescent="0.2">
      <c r="B2098"/>
      <c r="C2098" s="41"/>
    </row>
    <row r="2099" spans="2:3" x14ac:dyDescent="0.2">
      <c r="B2099"/>
      <c r="C2099" s="41"/>
    </row>
    <row r="2100" spans="2:3" x14ac:dyDescent="0.2">
      <c r="B2100"/>
      <c r="C2100" s="41"/>
    </row>
    <row r="2101" spans="2:3" x14ac:dyDescent="0.2">
      <c r="B2101"/>
      <c r="C2101" s="41"/>
    </row>
    <row r="2102" spans="2:3" x14ac:dyDescent="0.2">
      <c r="B2102"/>
      <c r="C2102" s="41"/>
    </row>
    <row r="2103" spans="2:3" x14ac:dyDescent="0.2">
      <c r="B2103"/>
      <c r="C2103" s="41"/>
    </row>
    <row r="2104" spans="2:3" x14ac:dyDescent="0.2">
      <c r="B2104"/>
      <c r="C2104" s="41"/>
    </row>
    <row r="2105" spans="2:3" x14ac:dyDescent="0.2">
      <c r="B2105"/>
      <c r="C2105" s="41"/>
    </row>
    <row r="2106" spans="2:3" x14ac:dyDescent="0.2">
      <c r="B2106"/>
      <c r="C2106" s="41"/>
    </row>
    <row r="2107" spans="2:3" x14ac:dyDescent="0.2">
      <c r="B2107"/>
      <c r="C2107" s="41"/>
    </row>
    <row r="2108" spans="2:3" x14ac:dyDescent="0.2">
      <c r="B2108"/>
      <c r="C2108" s="41"/>
    </row>
    <row r="2109" spans="2:3" x14ac:dyDescent="0.2">
      <c r="B2109"/>
      <c r="C2109" s="41"/>
    </row>
    <row r="2110" spans="2:3" x14ac:dyDescent="0.2">
      <c r="B2110"/>
      <c r="C2110" s="41"/>
    </row>
    <row r="2111" spans="2:3" x14ac:dyDescent="0.2">
      <c r="B2111"/>
      <c r="C2111" s="41"/>
    </row>
    <row r="2112" spans="2:3" x14ac:dyDescent="0.2">
      <c r="B2112"/>
      <c r="C2112" s="41"/>
    </row>
    <row r="2113" spans="2:3" x14ac:dyDescent="0.2">
      <c r="B2113"/>
      <c r="C2113" s="41"/>
    </row>
    <row r="2114" spans="2:3" x14ac:dyDescent="0.2">
      <c r="B2114"/>
      <c r="C2114" s="41"/>
    </row>
    <row r="2115" spans="2:3" x14ac:dyDescent="0.2">
      <c r="B2115"/>
      <c r="C2115" s="41"/>
    </row>
    <row r="2116" spans="2:3" x14ac:dyDescent="0.2">
      <c r="B2116"/>
      <c r="C2116" s="41"/>
    </row>
    <row r="2117" spans="2:3" x14ac:dyDescent="0.2">
      <c r="B2117"/>
      <c r="C2117" s="41"/>
    </row>
    <row r="2118" spans="2:3" x14ac:dyDescent="0.2">
      <c r="B2118"/>
      <c r="C2118" s="41"/>
    </row>
    <row r="2119" spans="2:3" x14ac:dyDescent="0.2">
      <c r="B2119"/>
      <c r="C2119" s="41"/>
    </row>
    <row r="2120" spans="2:3" x14ac:dyDescent="0.2">
      <c r="B2120"/>
      <c r="C2120" s="41"/>
    </row>
    <row r="2121" spans="2:3" x14ac:dyDescent="0.2">
      <c r="B2121"/>
      <c r="C2121" s="41"/>
    </row>
    <row r="2122" spans="2:3" x14ac:dyDescent="0.2">
      <c r="B2122"/>
      <c r="C2122" s="41"/>
    </row>
    <row r="2123" spans="2:3" x14ac:dyDescent="0.2">
      <c r="B2123"/>
      <c r="C2123" s="41"/>
    </row>
    <row r="2124" spans="2:3" x14ac:dyDescent="0.2">
      <c r="B2124"/>
      <c r="C2124" s="41"/>
    </row>
    <row r="2125" spans="2:3" x14ac:dyDescent="0.2">
      <c r="B2125"/>
      <c r="C2125" s="41"/>
    </row>
    <row r="2126" spans="2:3" x14ac:dyDescent="0.2">
      <c r="B2126"/>
      <c r="C2126" s="41"/>
    </row>
    <row r="2127" spans="2:3" x14ac:dyDescent="0.2">
      <c r="B2127"/>
      <c r="C2127" s="41"/>
    </row>
    <row r="2128" spans="2:3" x14ac:dyDescent="0.2">
      <c r="B2128"/>
      <c r="C2128" s="41"/>
    </row>
    <row r="2129" spans="2:3" x14ac:dyDescent="0.2">
      <c r="B2129"/>
      <c r="C2129" s="41"/>
    </row>
    <row r="2130" spans="2:3" x14ac:dyDescent="0.2">
      <c r="B2130"/>
      <c r="C2130" s="41"/>
    </row>
    <row r="2131" spans="2:3" x14ac:dyDescent="0.2">
      <c r="B2131"/>
      <c r="C2131" s="41"/>
    </row>
    <row r="2132" spans="2:3" x14ac:dyDescent="0.2">
      <c r="B2132"/>
      <c r="C2132" s="41"/>
    </row>
    <row r="2133" spans="2:3" x14ac:dyDescent="0.2">
      <c r="B2133"/>
      <c r="C2133" s="41"/>
    </row>
    <row r="2134" spans="2:3" x14ac:dyDescent="0.2">
      <c r="B2134"/>
      <c r="C2134" s="41"/>
    </row>
    <row r="2135" spans="2:3" x14ac:dyDescent="0.2">
      <c r="B2135"/>
      <c r="C2135" s="41"/>
    </row>
    <row r="2136" spans="2:3" x14ac:dyDescent="0.2">
      <c r="B2136"/>
      <c r="C2136" s="41"/>
    </row>
    <row r="2137" spans="2:3" x14ac:dyDescent="0.2">
      <c r="B2137"/>
      <c r="C2137" s="41"/>
    </row>
    <row r="2138" spans="2:3" x14ac:dyDescent="0.2">
      <c r="B2138"/>
      <c r="C2138" s="41"/>
    </row>
    <row r="2139" spans="2:3" x14ac:dyDescent="0.2">
      <c r="B2139"/>
      <c r="C2139" s="41"/>
    </row>
    <row r="2140" spans="2:3" x14ac:dyDescent="0.2">
      <c r="B2140"/>
      <c r="C2140" s="41"/>
    </row>
    <row r="2141" spans="2:3" x14ac:dyDescent="0.2">
      <c r="B2141"/>
      <c r="C2141" s="41"/>
    </row>
    <row r="2142" spans="2:3" x14ac:dyDescent="0.2">
      <c r="B2142"/>
      <c r="C2142" s="41"/>
    </row>
    <row r="2143" spans="2:3" x14ac:dyDescent="0.2">
      <c r="B2143"/>
      <c r="C2143" s="41"/>
    </row>
    <row r="2144" spans="2:3" x14ac:dyDescent="0.2">
      <c r="B2144"/>
      <c r="C2144" s="41"/>
    </row>
    <row r="2145" spans="2:3" x14ac:dyDescent="0.2">
      <c r="B2145"/>
      <c r="C2145" s="41"/>
    </row>
    <row r="2146" spans="2:3" x14ac:dyDescent="0.2">
      <c r="B2146"/>
      <c r="C2146" s="41"/>
    </row>
    <row r="2147" spans="2:3" x14ac:dyDescent="0.2">
      <c r="B2147"/>
      <c r="C2147" s="41"/>
    </row>
    <row r="2148" spans="2:3" x14ac:dyDescent="0.2">
      <c r="B2148"/>
      <c r="C2148" s="41"/>
    </row>
    <row r="2149" spans="2:3" x14ac:dyDescent="0.2">
      <c r="B2149"/>
      <c r="C2149" s="41"/>
    </row>
    <row r="2150" spans="2:3" x14ac:dyDescent="0.2">
      <c r="B2150"/>
      <c r="C2150" s="41"/>
    </row>
    <row r="2151" spans="2:3" x14ac:dyDescent="0.2">
      <c r="B2151"/>
      <c r="C2151" s="41"/>
    </row>
    <row r="2152" spans="2:3" x14ac:dyDescent="0.2">
      <c r="B2152"/>
      <c r="C2152" s="41"/>
    </row>
    <row r="2153" spans="2:3" x14ac:dyDescent="0.2">
      <c r="B2153"/>
      <c r="C2153" s="41"/>
    </row>
    <row r="2154" spans="2:3" x14ac:dyDescent="0.2">
      <c r="B2154"/>
      <c r="C2154" s="41"/>
    </row>
    <row r="2155" spans="2:3" x14ac:dyDescent="0.2">
      <c r="B2155"/>
      <c r="C2155" s="41"/>
    </row>
    <row r="2156" spans="2:3" x14ac:dyDescent="0.2">
      <c r="B2156"/>
      <c r="C2156" s="41"/>
    </row>
    <row r="2157" spans="2:3" x14ac:dyDescent="0.2">
      <c r="B2157"/>
      <c r="C2157" s="41"/>
    </row>
    <row r="2158" spans="2:3" x14ac:dyDescent="0.2">
      <c r="B2158"/>
      <c r="C2158" s="41"/>
    </row>
    <row r="2159" spans="2:3" x14ac:dyDescent="0.2">
      <c r="B2159"/>
      <c r="C2159" s="41"/>
    </row>
    <row r="2160" spans="2:3" x14ac:dyDescent="0.2">
      <c r="B2160"/>
      <c r="C2160" s="41"/>
    </row>
    <row r="2161" spans="2:3" x14ac:dyDescent="0.2">
      <c r="B2161"/>
      <c r="C2161" s="41"/>
    </row>
    <row r="2162" spans="2:3" x14ac:dyDescent="0.2">
      <c r="B2162"/>
      <c r="C2162" s="41"/>
    </row>
    <row r="2163" spans="2:3" x14ac:dyDescent="0.2">
      <c r="B2163"/>
      <c r="C2163" s="41"/>
    </row>
    <row r="2164" spans="2:3" x14ac:dyDescent="0.2">
      <c r="B2164"/>
      <c r="C2164" s="41"/>
    </row>
    <row r="2165" spans="2:3" x14ac:dyDescent="0.2">
      <c r="B2165"/>
      <c r="C2165" s="41"/>
    </row>
    <row r="2166" spans="2:3" x14ac:dyDescent="0.2">
      <c r="B2166"/>
      <c r="C2166" s="41"/>
    </row>
    <row r="2167" spans="2:3" x14ac:dyDescent="0.2">
      <c r="B2167"/>
      <c r="C2167" s="41"/>
    </row>
    <row r="2168" spans="2:3" x14ac:dyDescent="0.2">
      <c r="B2168"/>
      <c r="C2168" s="41"/>
    </row>
    <row r="2169" spans="2:3" x14ac:dyDescent="0.2">
      <c r="B2169"/>
      <c r="C2169" s="41"/>
    </row>
    <row r="2170" spans="2:3" x14ac:dyDescent="0.2">
      <c r="B2170"/>
      <c r="C2170" s="41"/>
    </row>
    <row r="2171" spans="2:3" x14ac:dyDescent="0.2">
      <c r="B2171"/>
      <c r="C2171" s="41"/>
    </row>
    <row r="2172" spans="2:3" x14ac:dyDescent="0.2">
      <c r="B2172"/>
      <c r="C2172" s="41"/>
    </row>
    <row r="2173" spans="2:3" x14ac:dyDescent="0.2">
      <c r="B2173"/>
      <c r="C2173" s="41"/>
    </row>
    <row r="2174" spans="2:3" x14ac:dyDescent="0.2">
      <c r="B2174"/>
      <c r="C2174" s="41"/>
    </row>
    <row r="2175" spans="2:3" x14ac:dyDescent="0.2">
      <c r="B2175"/>
      <c r="C2175" s="41"/>
    </row>
    <row r="2176" spans="2:3" x14ac:dyDescent="0.2">
      <c r="B2176"/>
      <c r="C2176" s="41"/>
    </row>
    <row r="2177" spans="2:3" x14ac:dyDescent="0.2">
      <c r="B2177"/>
      <c r="C2177" s="41"/>
    </row>
    <row r="2178" spans="2:3" x14ac:dyDescent="0.2">
      <c r="B2178"/>
      <c r="C2178" s="41"/>
    </row>
    <row r="2179" spans="2:3" x14ac:dyDescent="0.2">
      <c r="B2179"/>
      <c r="C2179" s="41"/>
    </row>
    <row r="2180" spans="2:3" x14ac:dyDescent="0.2">
      <c r="B2180"/>
      <c r="C2180" s="41"/>
    </row>
    <row r="2181" spans="2:3" x14ac:dyDescent="0.2">
      <c r="B2181"/>
      <c r="C2181" s="41"/>
    </row>
    <row r="2182" spans="2:3" x14ac:dyDescent="0.2">
      <c r="B2182"/>
      <c r="C2182" s="41"/>
    </row>
    <row r="2183" spans="2:3" x14ac:dyDescent="0.2">
      <c r="B2183"/>
      <c r="C2183" s="41"/>
    </row>
    <row r="2184" spans="2:3" x14ac:dyDescent="0.2">
      <c r="B2184"/>
      <c r="C2184" s="41"/>
    </row>
    <row r="2185" spans="2:3" x14ac:dyDescent="0.2">
      <c r="B2185"/>
      <c r="C2185" s="41"/>
    </row>
    <row r="2186" spans="2:3" x14ac:dyDescent="0.2">
      <c r="B2186"/>
      <c r="C2186" s="41"/>
    </row>
    <row r="2187" spans="2:3" x14ac:dyDescent="0.2">
      <c r="B2187"/>
      <c r="C2187" s="41"/>
    </row>
    <row r="2188" spans="2:3" x14ac:dyDescent="0.2">
      <c r="B2188"/>
      <c r="C2188" s="41"/>
    </row>
    <row r="2189" spans="2:3" x14ac:dyDescent="0.2">
      <c r="B2189"/>
      <c r="C2189" s="41"/>
    </row>
    <row r="2190" spans="2:3" x14ac:dyDescent="0.2">
      <c r="B2190"/>
      <c r="C2190" s="41"/>
    </row>
    <row r="2191" spans="2:3" x14ac:dyDescent="0.2">
      <c r="B2191"/>
      <c r="C2191" s="41"/>
    </row>
    <row r="2192" spans="2:3" x14ac:dyDescent="0.2">
      <c r="B2192"/>
      <c r="C2192" s="41"/>
    </row>
    <row r="2193" spans="2:3" x14ac:dyDescent="0.2">
      <c r="B2193"/>
      <c r="C2193" s="41"/>
    </row>
    <row r="2194" spans="2:3" x14ac:dyDescent="0.2">
      <c r="B2194"/>
      <c r="C2194" s="41"/>
    </row>
    <row r="2195" spans="2:3" x14ac:dyDescent="0.2">
      <c r="B2195"/>
      <c r="C2195" s="41"/>
    </row>
    <row r="2196" spans="2:3" x14ac:dyDescent="0.2">
      <c r="B2196"/>
      <c r="C2196" s="41"/>
    </row>
    <row r="2197" spans="2:3" x14ac:dyDescent="0.2">
      <c r="B2197"/>
      <c r="C2197" s="41"/>
    </row>
    <row r="2198" spans="2:3" x14ac:dyDescent="0.2">
      <c r="B2198"/>
      <c r="C2198" s="41"/>
    </row>
    <row r="2199" spans="2:3" x14ac:dyDescent="0.2">
      <c r="B2199"/>
      <c r="C2199" s="41"/>
    </row>
    <row r="2200" spans="2:3" x14ac:dyDescent="0.2">
      <c r="B2200"/>
      <c r="C2200" s="41"/>
    </row>
    <row r="2201" spans="2:3" x14ac:dyDescent="0.2">
      <c r="B2201"/>
      <c r="C2201" s="41"/>
    </row>
    <row r="2202" spans="2:3" x14ac:dyDescent="0.2">
      <c r="B2202"/>
      <c r="C2202" s="41"/>
    </row>
    <row r="2203" spans="2:3" x14ac:dyDescent="0.2">
      <c r="B2203"/>
      <c r="C2203" s="41"/>
    </row>
    <row r="2204" spans="2:3" x14ac:dyDescent="0.2">
      <c r="B2204"/>
      <c r="C2204" s="41"/>
    </row>
    <row r="2205" spans="2:3" x14ac:dyDescent="0.2">
      <c r="B2205"/>
      <c r="C2205" s="41"/>
    </row>
    <row r="2206" spans="2:3" x14ac:dyDescent="0.2">
      <c r="B2206"/>
      <c r="C2206" s="41"/>
    </row>
    <row r="2207" spans="2:3" x14ac:dyDescent="0.2">
      <c r="B2207"/>
      <c r="C2207" s="41"/>
    </row>
    <row r="2208" spans="2:3" x14ac:dyDescent="0.2">
      <c r="B2208"/>
      <c r="C2208" s="41"/>
    </row>
    <row r="2209" spans="2:3" x14ac:dyDescent="0.2">
      <c r="B2209"/>
      <c r="C2209" s="41"/>
    </row>
    <row r="2210" spans="2:3" x14ac:dyDescent="0.2">
      <c r="B2210"/>
      <c r="C2210" s="41"/>
    </row>
    <row r="2211" spans="2:3" x14ac:dyDescent="0.2">
      <c r="B2211"/>
      <c r="C2211" s="41"/>
    </row>
    <row r="2212" spans="2:3" x14ac:dyDescent="0.2">
      <c r="B2212"/>
      <c r="C2212" s="41"/>
    </row>
    <row r="2213" spans="2:3" x14ac:dyDescent="0.2">
      <c r="B2213"/>
      <c r="C2213" s="41"/>
    </row>
    <row r="2214" spans="2:3" x14ac:dyDescent="0.2">
      <c r="B2214"/>
      <c r="C2214" s="41"/>
    </row>
    <row r="2215" spans="2:3" x14ac:dyDescent="0.2">
      <c r="B2215"/>
      <c r="C2215" s="41"/>
    </row>
    <row r="2216" spans="2:3" x14ac:dyDescent="0.2">
      <c r="B2216"/>
      <c r="C2216" s="41"/>
    </row>
    <row r="2217" spans="2:3" x14ac:dyDescent="0.2">
      <c r="B2217"/>
      <c r="C2217" s="41"/>
    </row>
    <row r="2218" spans="2:3" x14ac:dyDescent="0.2">
      <c r="B2218"/>
      <c r="C2218" s="41"/>
    </row>
    <row r="2219" spans="2:3" x14ac:dyDescent="0.2">
      <c r="B2219"/>
      <c r="C2219" s="41"/>
    </row>
    <row r="2220" spans="2:3" x14ac:dyDescent="0.2">
      <c r="B2220"/>
      <c r="C2220" s="41"/>
    </row>
    <row r="2221" spans="2:3" x14ac:dyDescent="0.2">
      <c r="B2221"/>
      <c r="C2221" s="41"/>
    </row>
    <row r="2222" spans="2:3" x14ac:dyDescent="0.2">
      <c r="B2222"/>
      <c r="C2222" s="41"/>
    </row>
    <row r="2223" spans="2:3" x14ac:dyDescent="0.2">
      <c r="B2223"/>
      <c r="C2223" s="41"/>
    </row>
    <row r="2224" spans="2:3" x14ac:dyDescent="0.2">
      <c r="B2224"/>
      <c r="C2224" s="41"/>
    </row>
    <row r="2225" spans="2:3" x14ac:dyDescent="0.2">
      <c r="B2225"/>
      <c r="C2225" s="41"/>
    </row>
    <row r="2226" spans="2:3" x14ac:dyDescent="0.2">
      <c r="B2226"/>
      <c r="C2226" s="41"/>
    </row>
    <row r="2227" spans="2:3" x14ac:dyDescent="0.2">
      <c r="B2227"/>
      <c r="C2227" s="41"/>
    </row>
    <row r="2228" spans="2:3" x14ac:dyDescent="0.2">
      <c r="B2228"/>
      <c r="C2228" s="41"/>
    </row>
    <row r="2229" spans="2:3" x14ac:dyDescent="0.2">
      <c r="B2229"/>
      <c r="C2229" s="41"/>
    </row>
    <row r="2230" spans="2:3" x14ac:dyDescent="0.2">
      <c r="B2230"/>
      <c r="C2230" s="41"/>
    </row>
    <row r="2231" spans="2:3" x14ac:dyDescent="0.2">
      <c r="B2231"/>
      <c r="C2231" s="41"/>
    </row>
    <row r="2232" spans="2:3" x14ac:dyDescent="0.2">
      <c r="B2232"/>
      <c r="C2232" s="41"/>
    </row>
    <row r="2233" spans="2:3" x14ac:dyDescent="0.2">
      <c r="B2233"/>
      <c r="C2233" s="41"/>
    </row>
    <row r="2234" spans="2:3" x14ac:dyDescent="0.2">
      <c r="B2234"/>
      <c r="C2234" s="41"/>
    </row>
    <row r="2235" spans="2:3" x14ac:dyDescent="0.2">
      <c r="B2235"/>
      <c r="C2235" s="41"/>
    </row>
    <row r="2236" spans="2:3" x14ac:dyDescent="0.2">
      <c r="B2236"/>
      <c r="C2236" s="41"/>
    </row>
    <row r="2237" spans="2:3" x14ac:dyDescent="0.2">
      <c r="B2237"/>
      <c r="C2237" s="41"/>
    </row>
    <row r="2238" spans="2:3" x14ac:dyDescent="0.2">
      <c r="B2238"/>
      <c r="C2238" s="41"/>
    </row>
    <row r="2239" spans="2:3" x14ac:dyDescent="0.2">
      <c r="B2239"/>
      <c r="C2239" s="41"/>
    </row>
    <row r="2240" spans="2:3" x14ac:dyDescent="0.2">
      <c r="B2240"/>
      <c r="C2240" s="41"/>
    </row>
    <row r="2241" spans="2:3" x14ac:dyDescent="0.2">
      <c r="B2241"/>
      <c r="C2241" s="41"/>
    </row>
    <row r="2242" spans="2:3" x14ac:dyDescent="0.2">
      <c r="B2242"/>
      <c r="C2242" s="41"/>
    </row>
    <row r="2243" spans="2:3" x14ac:dyDescent="0.2">
      <c r="B2243"/>
      <c r="C2243" s="41"/>
    </row>
    <row r="2244" spans="2:3" x14ac:dyDescent="0.2">
      <c r="B2244"/>
      <c r="C2244" s="41"/>
    </row>
    <row r="2245" spans="2:3" x14ac:dyDescent="0.2">
      <c r="B2245"/>
      <c r="C2245" s="41"/>
    </row>
    <row r="2246" spans="2:3" x14ac:dyDescent="0.2">
      <c r="B2246"/>
      <c r="C2246" s="41"/>
    </row>
    <row r="2247" spans="2:3" x14ac:dyDescent="0.2">
      <c r="B2247"/>
      <c r="C2247" s="41"/>
    </row>
    <row r="2248" spans="2:3" x14ac:dyDescent="0.2">
      <c r="B2248"/>
      <c r="C2248" s="41"/>
    </row>
    <row r="2249" spans="2:3" x14ac:dyDescent="0.2">
      <c r="B2249"/>
      <c r="C2249" s="41"/>
    </row>
    <row r="2250" spans="2:3" x14ac:dyDescent="0.2">
      <c r="B2250"/>
      <c r="C2250" s="41"/>
    </row>
    <row r="2251" spans="2:3" x14ac:dyDescent="0.2">
      <c r="B2251"/>
      <c r="C2251" s="41"/>
    </row>
    <row r="2252" spans="2:3" x14ac:dyDescent="0.2">
      <c r="B2252"/>
      <c r="C2252" s="41"/>
    </row>
    <row r="2253" spans="2:3" x14ac:dyDescent="0.2">
      <c r="B2253"/>
      <c r="C2253" s="41"/>
    </row>
    <row r="2254" spans="2:3" x14ac:dyDescent="0.2">
      <c r="B2254"/>
      <c r="C2254" s="41"/>
    </row>
    <row r="2255" spans="2:3" x14ac:dyDescent="0.2">
      <c r="B2255"/>
      <c r="C2255" s="41"/>
    </row>
    <row r="2256" spans="2:3" x14ac:dyDescent="0.2">
      <c r="B2256"/>
      <c r="C2256" s="41"/>
    </row>
    <row r="2257" spans="2:3" x14ac:dyDescent="0.2">
      <c r="B2257"/>
      <c r="C2257" s="41"/>
    </row>
    <row r="2258" spans="2:3" x14ac:dyDescent="0.2">
      <c r="B2258"/>
      <c r="C2258" s="41"/>
    </row>
    <row r="2259" spans="2:3" x14ac:dyDescent="0.2">
      <c r="B2259"/>
      <c r="C2259" s="41"/>
    </row>
    <row r="2260" spans="2:3" x14ac:dyDescent="0.2">
      <c r="B2260"/>
      <c r="C2260" s="41"/>
    </row>
    <row r="2261" spans="2:3" x14ac:dyDescent="0.2">
      <c r="B2261"/>
      <c r="C2261" s="41"/>
    </row>
    <row r="2262" spans="2:3" x14ac:dyDescent="0.2">
      <c r="B2262"/>
      <c r="C2262" s="41"/>
    </row>
    <row r="2263" spans="2:3" x14ac:dyDescent="0.2">
      <c r="B2263"/>
      <c r="C2263" s="41"/>
    </row>
    <row r="2264" spans="2:3" x14ac:dyDescent="0.2">
      <c r="B2264"/>
      <c r="C2264" s="41"/>
    </row>
    <row r="2265" spans="2:3" x14ac:dyDescent="0.2">
      <c r="B2265"/>
      <c r="C2265" s="41"/>
    </row>
    <row r="2266" spans="2:3" x14ac:dyDescent="0.2">
      <c r="B2266"/>
      <c r="C2266" s="41"/>
    </row>
    <row r="2267" spans="2:3" x14ac:dyDescent="0.2">
      <c r="B2267"/>
      <c r="C2267" s="41"/>
    </row>
    <row r="2268" spans="2:3" x14ac:dyDescent="0.2">
      <c r="B2268"/>
      <c r="C2268" s="41"/>
    </row>
    <row r="2269" spans="2:3" x14ac:dyDescent="0.2">
      <c r="B2269"/>
      <c r="C2269" s="41"/>
    </row>
    <row r="2270" spans="2:3" x14ac:dyDescent="0.2">
      <c r="B2270"/>
      <c r="C2270" s="41"/>
    </row>
    <row r="2271" spans="2:3" x14ac:dyDescent="0.2">
      <c r="B2271"/>
      <c r="C2271" s="41"/>
    </row>
    <row r="2272" spans="2:3" x14ac:dyDescent="0.2">
      <c r="B2272"/>
      <c r="C2272" s="41"/>
    </row>
    <row r="2273" spans="2:3" x14ac:dyDescent="0.2">
      <c r="B2273"/>
      <c r="C2273" s="41"/>
    </row>
    <row r="2274" spans="2:3" x14ac:dyDescent="0.2">
      <c r="B2274"/>
      <c r="C2274" s="41"/>
    </row>
    <row r="2275" spans="2:3" x14ac:dyDescent="0.2">
      <c r="B2275"/>
      <c r="C2275" s="41"/>
    </row>
    <row r="2276" spans="2:3" x14ac:dyDescent="0.2">
      <c r="B2276"/>
      <c r="C2276" s="41"/>
    </row>
    <row r="2277" spans="2:3" x14ac:dyDescent="0.2">
      <c r="B2277"/>
      <c r="C2277" s="41"/>
    </row>
    <row r="2278" spans="2:3" x14ac:dyDescent="0.2">
      <c r="B2278"/>
      <c r="C2278" s="41"/>
    </row>
    <row r="2279" spans="2:3" x14ac:dyDescent="0.2">
      <c r="B2279"/>
      <c r="C2279" s="41"/>
    </row>
    <row r="2280" spans="2:3" x14ac:dyDescent="0.2">
      <c r="B2280"/>
      <c r="C2280" s="41"/>
    </row>
    <row r="2281" spans="2:3" x14ac:dyDescent="0.2">
      <c r="B2281"/>
      <c r="C2281" s="41"/>
    </row>
    <row r="2282" spans="2:3" x14ac:dyDescent="0.2">
      <c r="B2282"/>
      <c r="C2282" s="41"/>
    </row>
    <row r="2283" spans="2:3" x14ac:dyDescent="0.2">
      <c r="B2283"/>
      <c r="C2283" s="41"/>
    </row>
    <row r="2284" spans="2:3" x14ac:dyDescent="0.2">
      <c r="B2284"/>
      <c r="C2284" s="41"/>
    </row>
    <row r="2285" spans="2:3" x14ac:dyDescent="0.2">
      <c r="B2285"/>
      <c r="C2285" s="41"/>
    </row>
    <row r="2286" spans="2:3" x14ac:dyDescent="0.2">
      <c r="B2286"/>
      <c r="C2286" s="41"/>
    </row>
    <row r="2287" spans="2:3" x14ac:dyDescent="0.2">
      <c r="B2287"/>
      <c r="C2287" s="41"/>
    </row>
    <row r="2288" spans="2:3" x14ac:dyDescent="0.2">
      <c r="B2288"/>
      <c r="C2288" s="41"/>
    </row>
    <row r="2289" spans="2:3" x14ac:dyDescent="0.2">
      <c r="B2289"/>
      <c r="C2289" s="41"/>
    </row>
    <row r="2290" spans="2:3" x14ac:dyDescent="0.2">
      <c r="B2290"/>
      <c r="C2290" s="41"/>
    </row>
    <row r="2291" spans="2:3" x14ac:dyDescent="0.2">
      <c r="B2291"/>
      <c r="C2291" s="41"/>
    </row>
    <row r="2292" spans="2:3" x14ac:dyDescent="0.2">
      <c r="B2292"/>
      <c r="C2292" s="41"/>
    </row>
    <row r="2293" spans="2:3" x14ac:dyDescent="0.2">
      <c r="B2293"/>
      <c r="C2293" s="41"/>
    </row>
    <row r="2294" spans="2:3" x14ac:dyDescent="0.2">
      <c r="B2294"/>
      <c r="C2294" s="41"/>
    </row>
    <row r="2295" spans="2:3" x14ac:dyDescent="0.2">
      <c r="B2295"/>
      <c r="C2295" s="41"/>
    </row>
    <row r="2296" spans="2:3" x14ac:dyDescent="0.2">
      <c r="B2296"/>
      <c r="C2296" s="41"/>
    </row>
    <row r="2297" spans="2:3" x14ac:dyDescent="0.2">
      <c r="B2297"/>
      <c r="C2297" s="41"/>
    </row>
    <row r="2298" spans="2:3" x14ac:dyDescent="0.2">
      <c r="B2298"/>
      <c r="C2298" s="41"/>
    </row>
    <row r="2299" spans="2:3" x14ac:dyDescent="0.2">
      <c r="B2299"/>
      <c r="C2299" s="41"/>
    </row>
    <row r="2300" spans="2:3" x14ac:dyDescent="0.2">
      <c r="B2300"/>
      <c r="C2300" s="41"/>
    </row>
    <row r="2301" spans="2:3" x14ac:dyDescent="0.2">
      <c r="B2301"/>
      <c r="C2301" s="41"/>
    </row>
    <row r="2302" spans="2:3" x14ac:dyDescent="0.2">
      <c r="B2302"/>
      <c r="C2302" s="41"/>
    </row>
    <row r="2303" spans="2:3" x14ac:dyDescent="0.2">
      <c r="B2303"/>
      <c r="C2303" s="41"/>
    </row>
    <row r="2304" spans="2:3" x14ac:dyDescent="0.2">
      <c r="B2304"/>
      <c r="C2304" s="41"/>
    </row>
    <row r="2305" spans="2:3" x14ac:dyDescent="0.2">
      <c r="B2305"/>
      <c r="C2305" s="41"/>
    </row>
    <row r="2306" spans="2:3" x14ac:dyDescent="0.2">
      <c r="B2306"/>
      <c r="C2306" s="41"/>
    </row>
    <row r="2307" spans="2:3" x14ac:dyDescent="0.2">
      <c r="B2307"/>
      <c r="C2307" s="41"/>
    </row>
    <row r="2308" spans="2:3" x14ac:dyDescent="0.2">
      <c r="B2308"/>
      <c r="C2308" s="41"/>
    </row>
    <row r="2309" spans="2:3" x14ac:dyDescent="0.2">
      <c r="B2309"/>
      <c r="C2309" s="41"/>
    </row>
    <row r="2310" spans="2:3" x14ac:dyDescent="0.2">
      <c r="B2310"/>
      <c r="C2310" s="41"/>
    </row>
    <row r="2311" spans="2:3" x14ac:dyDescent="0.2">
      <c r="B2311"/>
      <c r="C2311" s="41"/>
    </row>
    <row r="2312" spans="2:3" x14ac:dyDescent="0.2">
      <c r="B2312"/>
      <c r="C2312" s="41"/>
    </row>
    <row r="2313" spans="2:3" x14ac:dyDescent="0.2">
      <c r="B2313"/>
      <c r="C2313" s="41"/>
    </row>
    <row r="2314" spans="2:3" x14ac:dyDescent="0.2">
      <c r="B2314"/>
      <c r="C2314" s="41"/>
    </row>
    <row r="2315" spans="2:3" x14ac:dyDescent="0.2">
      <c r="B2315"/>
      <c r="C2315" s="41"/>
    </row>
    <row r="2316" spans="2:3" x14ac:dyDescent="0.2">
      <c r="B2316"/>
      <c r="C2316" s="41"/>
    </row>
    <row r="2317" spans="2:3" x14ac:dyDescent="0.2">
      <c r="B2317"/>
      <c r="C2317" s="41"/>
    </row>
    <row r="2318" spans="2:3" x14ac:dyDescent="0.2">
      <c r="B2318"/>
      <c r="C2318" s="41"/>
    </row>
    <row r="2319" spans="2:3" x14ac:dyDescent="0.2">
      <c r="B2319"/>
      <c r="C2319" s="41"/>
    </row>
    <row r="2320" spans="2:3" x14ac:dyDescent="0.2">
      <c r="B2320"/>
      <c r="C2320" s="41"/>
    </row>
    <row r="2321" spans="2:3" x14ac:dyDescent="0.2">
      <c r="B2321"/>
      <c r="C2321" s="41"/>
    </row>
    <row r="2322" spans="2:3" x14ac:dyDescent="0.2">
      <c r="B2322"/>
      <c r="C2322" s="41"/>
    </row>
    <row r="2323" spans="2:3" x14ac:dyDescent="0.2">
      <c r="B2323"/>
      <c r="C2323" s="41"/>
    </row>
    <row r="2324" spans="2:3" x14ac:dyDescent="0.2">
      <c r="B2324"/>
      <c r="C2324" s="41"/>
    </row>
    <row r="2325" spans="2:3" x14ac:dyDescent="0.2">
      <c r="B2325"/>
      <c r="C2325" s="41"/>
    </row>
    <row r="2326" spans="2:3" x14ac:dyDescent="0.2">
      <c r="B2326"/>
      <c r="C2326" s="41"/>
    </row>
    <row r="2327" spans="2:3" x14ac:dyDescent="0.2">
      <c r="B2327"/>
      <c r="C2327" s="41"/>
    </row>
    <row r="2328" spans="2:3" x14ac:dyDescent="0.2">
      <c r="B2328"/>
      <c r="C2328" s="41"/>
    </row>
    <row r="2329" spans="2:3" x14ac:dyDescent="0.2">
      <c r="B2329"/>
      <c r="C2329" s="41"/>
    </row>
    <row r="2330" spans="2:3" x14ac:dyDescent="0.2">
      <c r="B2330"/>
      <c r="C2330" s="41"/>
    </row>
    <row r="2331" spans="2:3" x14ac:dyDescent="0.2">
      <c r="B2331"/>
      <c r="C2331" s="41"/>
    </row>
    <row r="2332" spans="2:3" x14ac:dyDescent="0.2">
      <c r="B2332"/>
      <c r="C2332" s="41"/>
    </row>
    <row r="2333" spans="2:3" x14ac:dyDescent="0.2">
      <c r="B2333"/>
      <c r="C2333" s="41"/>
    </row>
    <row r="2334" spans="2:3" x14ac:dyDescent="0.2">
      <c r="B2334"/>
      <c r="C2334" s="41"/>
    </row>
    <row r="2335" spans="2:3" x14ac:dyDescent="0.2">
      <c r="B2335"/>
      <c r="C2335" s="41"/>
    </row>
    <row r="2336" spans="2:3" x14ac:dyDescent="0.2">
      <c r="B2336"/>
      <c r="C2336" s="41"/>
    </row>
    <row r="2337" spans="2:3" x14ac:dyDescent="0.2">
      <c r="B2337"/>
      <c r="C2337" s="41"/>
    </row>
    <row r="2338" spans="2:3" x14ac:dyDescent="0.2">
      <c r="B2338"/>
      <c r="C2338" s="41"/>
    </row>
    <row r="2339" spans="2:3" x14ac:dyDescent="0.2">
      <c r="B2339"/>
      <c r="C2339" s="41"/>
    </row>
    <row r="2340" spans="2:3" x14ac:dyDescent="0.2">
      <c r="B2340"/>
      <c r="C2340" s="41"/>
    </row>
    <row r="2341" spans="2:3" x14ac:dyDescent="0.2">
      <c r="B2341"/>
      <c r="C2341" s="41"/>
    </row>
    <row r="2342" spans="2:3" x14ac:dyDescent="0.2">
      <c r="B2342"/>
      <c r="C2342" s="41"/>
    </row>
    <row r="2343" spans="2:3" x14ac:dyDescent="0.2">
      <c r="B2343"/>
      <c r="C2343" s="41"/>
    </row>
    <row r="2344" spans="2:3" x14ac:dyDescent="0.2">
      <c r="B2344"/>
      <c r="C2344" s="41"/>
    </row>
    <row r="2345" spans="2:3" x14ac:dyDescent="0.2">
      <c r="B2345"/>
      <c r="C2345" s="41"/>
    </row>
    <row r="2346" spans="2:3" x14ac:dyDescent="0.2">
      <c r="B2346"/>
      <c r="C2346" s="41"/>
    </row>
    <row r="2347" spans="2:3" x14ac:dyDescent="0.2">
      <c r="B2347"/>
      <c r="C2347" s="41"/>
    </row>
    <row r="2348" spans="2:3" x14ac:dyDescent="0.2">
      <c r="B2348"/>
      <c r="C2348" s="41"/>
    </row>
    <row r="2349" spans="2:3" x14ac:dyDescent="0.2">
      <c r="B2349"/>
      <c r="C2349" s="41"/>
    </row>
    <row r="2350" spans="2:3" x14ac:dyDescent="0.2">
      <c r="B2350"/>
      <c r="C2350" s="41"/>
    </row>
    <row r="2351" spans="2:3" x14ac:dyDescent="0.2">
      <c r="B2351"/>
      <c r="C2351" s="41"/>
    </row>
    <row r="2352" spans="2:3" x14ac:dyDescent="0.2">
      <c r="B2352"/>
      <c r="C2352" s="41"/>
    </row>
    <row r="2353" spans="2:3" x14ac:dyDescent="0.2">
      <c r="B2353"/>
      <c r="C2353" s="41"/>
    </row>
    <row r="2354" spans="2:3" x14ac:dyDescent="0.2">
      <c r="B2354"/>
      <c r="C2354" s="41"/>
    </row>
    <row r="2355" spans="2:3" x14ac:dyDescent="0.2">
      <c r="B2355"/>
      <c r="C2355" s="41"/>
    </row>
    <row r="2356" spans="2:3" x14ac:dyDescent="0.2">
      <c r="B2356"/>
      <c r="C2356" s="41"/>
    </row>
    <row r="2357" spans="2:3" x14ac:dyDescent="0.2">
      <c r="B2357"/>
      <c r="C2357" s="41"/>
    </row>
    <row r="2358" spans="2:3" x14ac:dyDescent="0.2">
      <c r="B2358"/>
      <c r="C2358" s="41"/>
    </row>
    <row r="2359" spans="2:3" x14ac:dyDescent="0.2">
      <c r="B2359"/>
      <c r="C2359" s="41"/>
    </row>
    <row r="2360" spans="2:3" x14ac:dyDescent="0.2">
      <c r="B2360"/>
      <c r="C2360" s="41"/>
    </row>
    <row r="2361" spans="2:3" x14ac:dyDescent="0.2">
      <c r="B2361"/>
      <c r="C2361" s="41"/>
    </row>
    <row r="2362" spans="2:3" x14ac:dyDescent="0.2">
      <c r="B2362"/>
      <c r="C2362" s="41"/>
    </row>
    <row r="2363" spans="2:3" x14ac:dyDescent="0.2">
      <c r="B2363"/>
      <c r="C2363" s="41"/>
    </row>
    <row r="2364" spans="2:3" x14ac:dyDescent="0.2">
      <c r="B2364"/>
      <c r="C2364" s="41"/>
    </row>
    <row r="2365" spans="2:3" x14ac:dyDescent="0.2">
      <c r="B2365"/>
      <c r="C2365" s="41"/>
    </row>
    <row r="2366" spans="2:3" x14ac:dyDescent="0.2">
      <c r="B2366"/>
      <c r="C2366" s="41"/>
    </row>
    <row r="2367" spans="2:3" x14ac:dyDescent="0.2">
      <c r="B2367"/>
      <c r="C2367" s="41"/>
    </row>
    <row r="2368" spans="2:3" x14ac:dyDescent="0.2">
      <c r="B2368"/>
      <c r="C2368" s="41"/>
    </row>
    <row r="2369" spans="2:3" x14ac:dyDescent="0.2">
      <c r="B2369"/>
      <c r="C2369" s="41"/>
    </row>
    <row r="2370" spans="2:3" x14ac:dyDescent="0.2">
      <c r="B2370"/>
      <c r="C2370" s="41"/>
    </row>
    <row r="2371" spans="2:3" x14ac:dyDescent="0.2">
      <c r="B2371"/>
      <c r="C2371" s="41"/>
    </row>
    <row r="2372" spans="2:3" x14ac:dyDescent="0.2">
      <c r="B2372"/>
      <c r="C2372" s="41"/>
    </row>
    <row r="2373" spans="2:3" x14ac:dyDescent="0.2">
      <c r="B2373"/>
      <c r="C2373" s="41"/>
    </row>
    <row r="2374" spans="2:3" x14ac:dyDescent="0.2">
      <c r="B2374"/>
      <c r="C2374" s="41"/>
    </row>
    <row r="2375" spans="2:3" x14ac:dyDescent="0.2">
      <c r="B2375"/>
      <c r="C2375" s="41"/>
    </row>
    <row r="2376" spans="2:3" x14ac:dyDescent="0.2">
      <c r="B2376"/>
      <c r="C2376" s="41"/>
    </row>
    <row r="2377" spans="2:3" x14ac:dyDescent="0.2">
      <c r="B2377"/>
      <c r="C2377" s="41"/>
    </row>
    <row r="2378" spans="2:3" x14ac:dyDescent="0.2">
      <c r="B2378"/>
      <c r="C2378" s="41"/>
    </row>
    <row r="2379" spans="2:3" x14ac:dyDescent="0.2">
      <c r="B2379"/>
      <c r="C2379" s="41"/>
    </row>
    <row r="2380" spans="2:3" x14ac:dyDescent="0.2">
      <c r="B2380"/>
      <c r="C2380" s="41"/>
    </row>
    <row r="2381" spans="2:3" x14ac:dyDescent="0.2">
      <c r="B2381"/>
      <c r="C2381" s="41"/>
    </row>
    <row r="2382" spans="2:3" x14ac:dyDescent="0.2">
      <c r="B2382"/>
      <c r="C2382" s="41"/>
    </row>
    <row r="2383" spans="2:3" x14ac:dyDescent="0.2">
      <c r="B2383"/>
      <c r="C2383" s="41"/>
    </row>
    <row r="2384" spans="2:3" x14ac:dyDescent="0.2">
      <c r="B2384"/>
      <c r="C2384" s="41"/>
    </row>
    <row r="2385" spans="2:3" x14ac:dyDescent="0.2">
      <c r="B2385"/>
      <c r="C2385" s="41"/>
    </row>
    <row r="2386" spans="2:3" x14ac:dyDescent="0.2">
      <c r="B2386"/>
      <c r="C2386" s="41"/>
    </row>
    <row r="2387" spans="2:3" x14ac:dyDescent="0.2">
      <c r="B2387"/>
      <c r="C2387" s="41"/>
    </row>
    <row r="2388" spans="2:3" x14ac:dyDescent="0.2">
      <c r="B2388"/>
      <c r="C2388" s="41"/>
    </row>
    <row r="2389" spans="2:3" x14ac:dyDescent="0.2">
      <c r="B2389"/>
      <c r="C2389" s="41"/>
    </row>
    <row r="2390" spans="2:3" x14ac:dyDescent="0.2">
      <c r="B2390"/>
      <c r="C2390" s="41"/>
    </row>
    <row r="2391" spans="2:3" x14ac:dyDescent="0.2">
      <c r="B2391"/>
      <c r="C2391" s="41"/>
    </row>
    <row r="2392" spans="2:3" x14ac:dyDescent="0.2">
      <c r="B2392"/>
      <c r="C2392" s="41"/>
    </row>
    <row r="2393" spans="2:3" x14ac:dyDescent="0.2">
      <c r="B2393"/>
      <c r="C2393" s="41"/>
    </row>
    <row r="2394" spans="2:3" x14ac:dyDescent="0.2">
      <c r="B2394"/>
      <c r="C2394" s="41"/>
    </row>
    <row r="2395" spans="2:3" x14ac:dyDescent="0.2">
      <c r="B2395"/>
      <c r="C2395" s="41"/>
    </row>
    <row r="2396" spans="2:3" x14ac:dyDescent="0.2">
      <c r="B2396"/>
      <c r="C2396" s="41"/>
    </row>
    <row r="2397" spans="2:3" x14ac:dyDescent="0.2">
      <c r="B2397"/>
      <c r="C2397" s="41"/>
    </row>
    <row r="2398" spans="2:3" x14ac:dyDescent="0.2">
      <c r="B2398"/>
      <c r="C2398" s="41"/>
    </row>
    <row r="2399" spans="2:3" x14ac:dyDescent="0.2">
      <c r="B2399"/>
      <c r="C2399" s="41"/>
    </row>
    <row r="2400" spans="2:3" x14ac:dyDescent="0.2">
      <c r="B2400"/>
      <c r="C2400" s="41"/>
    </row>
    <row r="2401" spans="2:3" x14ac:dyDescent="0.2">
      <c r="B2401"/>
      <c r="C2401" s="41"/>
    </row>
    <row r="2402" spans="2:3" x14ac:dyDescent="0.2">
      <c r="B2402"/>
      <c r="C2402" s="41"/>
    </row>
    <row r="2403" spans="2:3" x14ac:dyDescent="0.2">
      <c r="B2403"/>
      <c r="C2403" s="41"/>
    </row>
    <row r="2404" spans="2:3" x14ac:dyDescent="0.2">
      <c r="B2404"/>
      <c r="C2404" s="41"/>
    </row>
    <row r="2405" spans="2:3" x14ac:dyDescent="0.2">
      <c r="B2405"/>
      <c r="C2405" s="41"/>
    </row>
    <row r="2406" spans="2:3" x14ac:dyDescent="0.2">
      <c r="B2406"/>
      <c r="C2406" s="41"/>
    </row>
    <row r="2407" spans="2:3" x14ac:dyDescent="0.2">
      <c r="B2407"/>
      <c r="C2407" s="41"/>
    </row>
    <row r="2408" spans="2:3" x14ac:dyDescent="0.2">
      <c r="B2408"/>
      <c r="C2408" s="41"/>
    </row>
    <row r="2409" spans="2:3" x14ac:dyDescent="0.2">
      <c r="B2409"/>
      <c r="C2409" s="41"/>
    </row>
    <row r="2410" spans="2:3" x14ac:dyDescent="0.2">
      <c r="B2410"/>
      <c r="C2410" s="41"/>
    </row>
    <row r="2411" spans="2:3" x14ac:dyDescent="0.2">
      <c r="B2411"/>
      <c r="C2411" s="41"/>
    </row>
    <row r="2412" spans="2:3" x14ac:dyDescent="0.2">
      <c r="B2412"/>
      <c r="C2412" s="41"/>
    </row>
    <row r="2413" spans="2:3" x14ac:dyDescent="0.2">
      <c r="B2413"/>
      <c r="C2413" s="41"/>
    </row>
    <row r="2414" spans="2:3" x14ac:dyDescent="0.2">
      <c r="B2414"/>
      <c r="C2414" s="41"/>
    </row>
    <row r="2415" spans="2:3" x14ac:dyDescent="0.2">
      <c r="B2415"/>
      <c r="C2415" s="41"/>
    </row>
    <row r="2416" spans="2:3" x14ac:dyDescent="0.2">
      <c r="B2416"/>
      <c r="C2416" s="41"/>
    </row>
    <row r="2417" spans="2:3" x14ac:dyDescent="0.2">
      <c r="B2417"/>
      <c r="C2417" s="41"/>
    </row>
    <row r="2418" spans="2:3" x14ac:dyDescent="0.2">
      <c r="B2418"/>
      <c r="C2418" s="41"/>
    </row>
    <row r="2419" spans="2:3" x14ac:dyDescent="0.2">
      <c r="B2419"/>
      <c r="C2419" s="41"/>
    </row>
    <row r="2420" spans="2:3" x14ac:dyDescent="0.2">
      <c r="B2420"/>
      <c r="C2420" s="41"/>
    </row>
    <row r="2421" spans="2:3" x14ac:dyDescent="0.2">
      <c r="B2421"/>
      <c r="C2421" s="41"/>
    </row>
    <row r="2422" spans="2:3" x14ac:dyDescent="0.2">
      <c r="B2422"/>
      <c r="C2422" s="41"/>
    </row>
    <row r="2423" spans="2:3" x14ac:dyDescent="0.2">
      <c r="B2423"/>
      <c r="C2423" s="41"/>
    </row>
    <row r="2424" spans="2:3" x14ac:dyDescent="0.2">
      <c r="B2424"/>
      <c r="C2424" s="41"/>
    </row>
    <row r="2425" spans="2:3" x14ac:dyDescent="0.2">
      <c r="B2425"/>
      <c r="C2425" s="41"/>
    </row>
    <row r="2426" spans="2:3" x14ac:dyDescent="0.2">
      <c r="B2426"/>
      <c r="C2426" s="41"/>
    </row>
    <row r="2427" spans="2:3" x14ac:dyDescent="0.2">
      <c r="B2427"/>
      <c r="C2427" s="41"/>
    </row>
    <row r="2428" spans="2:3" x14ac:dyDescent="0.2">
      <c r="B2428"/>
      <c r="C2428" s="41"/>
    </row>
    <row r="2429" spans="2:3" x14ac:dyDescent="0.2">
      <c r="B2429"/>
      <c r="C2429" s="41"/>
    </row>
    <row r="2430" spans="2:3" x14ac:dyDescent="0.2">
      <c r="B2430"/>
      <c r="C2430" s="41"/>
    </row>
    <row r="2431" spans="2:3" x14ac:dyDescent="0.2">
      <c r="B2431"/>
      <c r="C2431" s="41"/>
    </row>
    <row r="2432" spans="2:3" x14ac:dyDescent="0.2">
      <c r="B2432"/>
      <c r="C2432" s="41"/>
    </row>
    <row r="2433" spans="2:3" x14ac:dyDescent="0.2">
      <c r="B2433"/>
      <c r="C2433" s="41"/>
    </row>
    <row r="2434" spans="2:3" x14ac:dyDescent="0.2">
      <c r="B2434"/>
      <c r="C2434" s="41"/>
    </row>
    <row r="2435" spans="2:3" x14ac:dyDescent="0.2">
      <c r="B2435"/>
      <c r="C2435" s="41"/>
    </row>
    <row r="2436" spans="2:3" x14ac:dyDescent="0.2">
      <c r="B2436"/>
      <c r="C2436" s="41"/>
    </row>
    <row r="2437" spans="2:3" x14ac:dyDescent="0.2">
      <c r="B2437"/>
      <c r="C2437" s="41"/>
    </row>
    <row r="2438" spans="2:3" x14ac:dyDescent="0.2">
      <c r="B2438"/>
      <c r="C2438" s="41"/>
    </row>
    <row r="2439" spans="2:3" x14ac:dyDescent="0.2">
      <c r="B2439"/>
      <c r="C2439" s="41"/>
    </row>
    <row r="2440" spans="2:3" x14ac:dyDescent="0.2">
      <c r="B2440"/>
      <c r="C2440" s="41"/>
    </row>
    <row r="2441" spans="2:3" x14ac:dyDescent="0.2">
      <c r="B2441"/>
      <c r="C2441" s="41"/>
    </row>
    <row r="2442" spans="2:3" x14ac:dyDescent="0.2">
      <c r="B2442"/>
      <c r="C2442" s="41"/>
    </row>
    <row r="2443" spans="2:3" x14ac:dyDescent="0.2">
      <c r="B2443"/>
      <c r="C2443" s="41"/>
    </row>
    <row r="2444" spans="2:3" x14ac:dyDescent="0.2">
      <c r="B2444"/>
      <c r="C2444" s="41"/>
    </row>
    <row r="2445" spans="2:3" x14ac:dyDescent="0.2">
      <c r="B2445"/>
      <c r="C2445" s="41"/>
    </row>
    <row r="2446" spans="2:3" x14ac:dyDescent="0.2">
      <c r="B2446"/>
      <c r="C2446" s="41"/>
    </row>
    <row r="2447" spans="2:3" x14ac:dyDescent="0.2">
      <c r="B2447"/>
      <c r="C2447" s="41"/>
    </row>
    <row r="2448" spans="2:3" x14ac:dyDescent="0.2">
      <c r="B2448"/>
      <c r="C2448" s="41"/>
    </row>
    <row r="2449" spans="2:3" x14ac:dyDescent="0.2">
      <c r="B2449"/>
      <c r="C2449" s="41"/>
    </row>
    <row r="2450" spans="2:3" x14ac:dyDescent="0.2">
      <c r="B2450"/>
      <c r="C2450" s="41"/>
    </row>
    <row r="2451" spans="2:3" x14ac:dyDescent="0.2">
      <c r="B2451"/>
      <c r="C2451" s="41"/>
    </row>
    <row r="2452" spans="2:3" x14ac:dyDescent="0.2">
      <c r="B2452"/>
      <c r="C2452" s="41"/>
    </row>
    <row r="2453" spans="2:3" x14ac:dyDescent="0.2">
      <c r="B2453"/>
      <c r="C2453" s="41"/>
    </row>
    <row r="2454" spans="2:3" x14ac:dyDescent="0.2">
      <c r="B2454"/>
      <c r="C2454" s="41"/>
    </row>
    <row r="2455" spans="2:3" x14ac:dyDescent="0.2">
      <c r="B2455"/>
      <c r="C2455" s="41"/>
    </row>
    <row r="2456" spans="2:3" x14ac:dyDescent="0.2">
      <c r="B2456"/>
      <c r="C2456" s="41"/>
    </row>
    <row r="2457" spans="2:3" x14ac:dyDescent="0.2">
      <c r="B2457"/>
      <c r="C2457" s="41"/>
    </row>
    <row r="2458" spans="2:3" x14ac:dyDescent="0.2">
      <c r="B2458"/>
      <c r="C2458" s="41"/>
    </row>
    <row r="2459" spans="2:3" x14ac:dyDescent="0.2">
      <c r="B2459"/>
      <c r="C2459" s="41"/>
    </row>
    <row r="2460" spans="2:3" x14ac:dyDescent="0.2">
      <c r="B2460"/>
      <c r="C2460" s="41"/>
    </row>
    <row r="2461" spans="2:3" x14ac:dyDescent="0.2">
      <c r="B2461"/>
      <c r="C2461" s="41"/>
    </row>
    <row r="2462" spans="2:3" x14ac:dyDescent="0.2">
      <c r="B2462"/>
      <c r="C2462" s="41"/>
    </row>
    <row r="2463" spans="2:3" x14ac:dyDescent="0.2">
      <c r="B2463"/>
      <c r="C2463" s="41"/>
    </row>
    <row r="2464" spans="2:3" x14ac:dyDescent="0.2">
      <c r="B2464"/>
      <c r="C2464" s="41"/>
    </row>
    <row r="2465" spans="2:3" x14ac:dyDescent="0.2">
      <c r="B2465"/>
      <c r="C2465" s="41"/>
    </row>
    <row r="2466" spans="2:3" x14ac:dyDescent="0.2">
      <c r="B2466"/>
      <c r="C2466" s="41"/>
    </row>
    <row r="2467" spans="2:3" x14ac:dyDescent="0.2">
      <c r="B2467"/>
      <c r="C2467" s="41"/>
    </row>
    <row r="2468" spans="2:3" x14ac:dyDescent="0.2">
      <c r="B2468"/>
      <c r="C2468" s="41"/>
    </row>
    <row r="2469" spans="2:3" x14ac:dyDescent="0.2">
      <c r="B2469"/>
      <c r="C2469" s="41"/>
    </row>
    <row r="2470" spans="2:3" x14ac:dyDescent="0.2">
      <c r="B2470"/>
      <c r="C2470" s="41"/>
    </row>
    <row r="2471" spans="2:3" x14ac:dyDescent="0.2">
      <c r="B2471"/>
      <c r="C2471" s="41"/>
    </row>
    <row r="2472" spans="2:3" x14ac:dyDescent="0.2">
      <c r="B2472"/>
      <c r="C2472" s="41"/>
    </row>
    <row r="2473" spans="2:3" x14ac:dyDescent="0.2">
      <c r="B2473"/>
      <c r="C2473" s="41"/>
    </row>
    <row r="2474" spans="2:3" x14ac:dyDescent="0.2">
      <c r="B2474"/>
      <c r="C2474" s="41"/>
    </row>
    <row r="2475" spans="2:3" x14ac:dyDescent="0.2">
      <c r="B2475"/>
      <c r="C2475" s="41"/>
    </row>
    <row r="2476" spans="2:3" x14ac:dyDescent="0.2">
      <c r="B2476"/>
      <c r="C2476" s="41"/>
    </row>
    <row r="2477" spans="2:3" x14ac:dyDescent="0.2">
      <c r="B2477"/>
      <c r="C2477" s="41"/>
    </row>
    <row r="2478" spans="2:3" x14ac:dyDescent="0.2">
      <c r="B2478"/>
      <c r="C2478" s="41"/>
    </row>
    <row r="2479" spans="2:3" x14ac:dyDescent="0.2">
      <c r="B2479"/>
      <c r="C2479" s="41"/>
    </row>
    <row r="2480" spans="2:3" x14ac:dyDescent="0.2">
      <c r="B2480"/>
      <c r="C2480" s="41"/>
    </row>
    <row r="2481" spans="2:3" x14ac:dyDescent="0.2">
      <c r="B2481"/>
      <c r="C2481" s="41"/>
    </row>
    <row r="2482" spans="2:3" x14ac:dyDescent="0.2">
      <c r="B2482"/>
      <c r="C2482" s="41"/>
    </row>
    <row r="2483" spans="2:3" x14ac:dyDescent="0.2">
      <c r="B2483"/>
      <c r="C2483" s="41"/>
    </row>
    <row r="2484" spans="2:3" x14ac:dyDescent="0.2">
      <c r="B2484"/>
      <c r="C2484" s="41"/>
    </row>
    <row r="2485" spans="2:3" x14ac:dyDescent="0.2">
      <c r="B2485"/>
      <c r="C2485" s="41"/>
    </row>
    <row r="2486" spans="2:3" x14ac:dyDescent="0.2">
      <c r="B2486"/>
      <c r="C2486" s="41"/>
    </row>
    <row r="2487" spans="2:3" x14ac:dyDescent="0.2">
      <c r="B2487"/>
      <c r="C2487" s="41"/>
    </row>
    <row r="2488" spans="2:3" x14ac:dyDescent="0.2">
      <c r="B2488"/>
      <c r="C2488" s="41"/>
    </row>
    <row r="2489" spans="2:3" x14ac:dyDescent="0.2">
      <c r="B2489"/>
      <c r="C2489" s="41"/>
    </row>
    <row r="2490" spans="2:3" x14ac:dyDescent="0.2">
      <c r="B2490"/>
      <c r="C2490" s="41"/>
    </row>
    <row r="2491" spans="2:3" x14ac:dyDescent="0.2">
      <c r="B2491"/>
      <c r="C2491" s="41"/>
    </row>
    <row r="2492" spans="2:3" x14ac:dyDescent="0.2">
      <c r="B2492"/>
      <c r="C2492" s="41"/>
    </row>
    <row r="2493" spans="2:3" x14ac:dyDescent="0.2">
      <c r="B2493"/>
      <c r="C2493" s="41"/>
    </row>
    <row r="2494" spans="2:3" x14ac:dyDescent="0.2">
      <c r="B2494"/>
      <c r="C2494" s="41"/>
    </row>
    <row r="2495" spans="2:3" x14ac:dyDescent="0.2">
      <c r="B2495"/>
      <c r="C2495" s="41"/>
    </row>
    <row r="2496" spans="2:3" x14ac:dyDescent="0.2">
      <c r="B2496"/>
      <c r="C2496" s="41"/>
    </row>
    <row r="2497" spans="2:3" x14ac:dyDescent="0.2">
      <c r="B2497"/>
      <c r="C2497" s="41"/>
    </row>
    <row r="2498" spans="2:3" x14ac:dyDescent="0.2">
      <c r="B2498"/>
      <c r="C2498" s="41"/>
    </row>
    <row r="2499" spans="2:3" x14ac:dyDescent="0.2">
      <c r="B2499"/>
      <c r="C2499" s="41"/>
    </row>
    <row r="2500" spans="2:3" x14ac:dyDescent="0.2">
      <c r="B2500"/>
      <c r="C2500" s="41"/>
    </row>
    <row r="2501" spans="2:3" x14ac:dyDescent="0.2">
      <c r="B2501"/>
      <c r="C2501" s="41"/>
    </row>
    <row r="2502" spans="2:3" x14ac:dyDescent="0.2">
      <c r="B2502"/>
      <c r="C2502" s="41"/>
    </row>
    <row r="2503" spans="2:3" x14ac:dyDescent="0.2">
      <c r="B2503"/>
      <c r="C2503" s="41"/>
    </row>
    <row r="2504" spans="2:3" x14ac:dyDescent="0.2">
      <c r="B2504"/>
      <c r="C2504" s="41"/>
    </row>
    <row r="2505" spans="2:3" x14ac:dyDescent="0.2">
      <c r="B2505"/>
      <c r="C2505" s="41"/>
    </row>
    <row r="2506" spans="2:3" x14ac:dyDescent="0.2">
      <c r="B2506"/>
      <c r="C2506" s="41"/>
    </row>
    <row r="2507" spans="2:3" x14ac:dyDescent="0.2">
      <c r="B2507"/>
      <c r="C2507" s="41"/>
    </row>
    <row r="2508" spans="2:3" x14ac:dyDescent="0.2">
      <c r="B2508"/>
      <c r="C2508" s="41"/>
    </row>
    <row r="2509" spans="2:3" x14ac:dyDescent="0.2">
      <c r="B2509"/>
      <c r="C2509" s="41"/>
    </row>
    <row r="2510" spans="2:3" x14ac:dyDescent="0.2">
      <c r="B2510"/>
      <c r="C2510" s="41"/>
    </row>
    <row r="2511" spans="2:3" x14ac:dyDescent="0.2">
      <c r="B2511"/>
      <c r="C2511" s="41"/>
    </row>
    <row r="2512" spans="2:3" x14ac:dyDescent="0.2">
      <c r="B2512"/>
      <c r="C2512" s="41"/>
    </row>
    <row r="2513" spans="2:3" x14ac:dyDescent="0.2">
      <c r="B2513"/>
      <c r="C2513" s="41"/>
    </row>
    <row r="2514" spans="2:3" x14ac:dyDescent="0.2">
      <c r="B2514"/>
      <c r="C2514" s="41"/>
    </row>
    <row r="2515" spans="2:3" x14ac:dyDescent="0.2">
      <c r="B2515"/>
      <c r="C2515" s="41"/>
    </row>
    <row r="2516" spans="2:3" x14ac:dyDescent="0.2">
      <c r="B2516"/>
      <c r="C2516" s="41"/>
    </row>
    <row r="2517" spans="2:3" x14ac:dyDescent="0.2">
      <c r="B2517"/>
      <c r="C2517" s="41"/>
    </row>
    <row r="2518" spans="2:3" x14ac:dyDescent="0.2">
      <c r="B2518"/>
      <c r="C2518" s="41"/>
    </row>
    <row r="2519" spans="2:3" x14ac:dyDescent="0.2">
      <c r="B2519"/>
      <c r="C2519" s="41"/>
    </row>
    <row r="2520" spans="2:3" x14ac:dyDescent="0.2">
      <c r="B2520"/>
      <c r="C2520" s="41"/>
    </row>
    <row r="2521" spans="2:3" x14ac:dyDescent="0.2">
      <c r="B2521"/>
      <c r="C2521" s="41"/>
    </row>
    <row r="2522" spans="2:3" x14ac:dyDescent="0.2">
      <c r="B2522"/>
      <c r="C2522" s="41"/>
    </row>
    <row r="2523" spans="2:3" x14ac:dyDescent="0.2">
      <c r="B2523"/>
      <c r="C2523" s="41"/>
    </row>
    <row r="2524" spans="2:3" x14ac:dyDescent="0.2">
      <c r="B2524"/>
      <c r="C2524" s="41"/>
    </row>
    <row r="2525" spans="2:3" x14ac:dyDescent="0.2">
      <c r="B2525"/>
      <c r="C2525" s="41"/>
    </row>
    <row r="2526" spans="2:3" x14ac:dyDescent="0.2">
      <c r="B2526"/>
      <c r="C2526" s="41"/>
    </row>
    <row r="2527" spans="2:3" x14ac:dyDescent="0.2">
      <c r="B2527"/>
      <c r="C2527" s="41"/>
    </row>
    <row r="2528" spans="2:3" x14ac:dyDescent="0.2">
      <c r="B2528"/>
      <c r="C2528" s="41"/>
    </row>
    <row r="2529" spans="2:3" x14ac:dyDescent="0.2">
      <c r="B2529"/>
      <c r="C2529" s="41"/>
    </row>
    <row r="2530" spans="2:3" x14ac:dyDescent="0.2">
      <c r="B2530"/>
      <c r="C2530" s="41"/>
    </row>
    <row r="2531" spans="2:3" x14ac:dyDescent="0.2">
      <c r="B2531"/>
      <c r="C2531" s="41"/>
    </row>
    <row r="2532" spans="2:3" x14ac:dyDescent="0.2">
      <c r="B2532"/>
      <c r="C2532" s="41"/>
    </row>
    <row r="2533" spans="2:3" x14ac:dyDescent="0.2">
      <c r="B2533"/>
      <c r="C2533" s="41"/>
    </row>
    <row r="2534" spans="2:3" x14ac:dyDescent="0.2">
      <c r="B2534"/>
      <c r="C2534" s="41"/>
    </row>
    <row r="2535" spans="2:3" x14ac:dyDescent="0.2">
      <c r="B2535"/>
      <c r="C2535" s="41"/>
    </row>
    <row r="2536" spans="2:3" x14ac:dyDescent="0.2">
      <c r="B2536"/>
      <c r="C2536" s="41"/>
    </row>
    <row r="2537" spans="2:3" x14ac:dyDescent="0.2">
      <c r="B2537"/>
      <c r="C2537" s="41"/>
    </row>
    <row r="2538" spans="2:3" x14ac:dyDescent="0.2">
      <c r="B2538"/>
      <c r="C2538" s="41"/>
    </row>
    <row r="2539" spans="2:3" x14ac:dyDescent="0.2">
      <c r="B2539"/>
      <c r="C2539" s="41"/>
    </row>
    <row r="2540" spans="2:3" x14ac:dyDescent="0.2">
      <c r="B2540"/>
      <c r="C2540" s="41"/>
    </row>
    <row r="2541" spans="2:3" x14ac:dyDescent="0.2">
      <c r="B2541"/>
      <c r="C2541" s="41"/>
    </row>
    <row r="2542" spans="2:3" x14ac:dyDescent="0.2">
      <c r="B2542"/>
      <c r="C2542" s="41"/>
    </row>
    <row r="2543" spans="2:3" x14ac:dyDescent="0.2">
      <c r="B2543"/>
      <c r="C2543" s="41"/>
    </row>
    <row r="2544" spans="2:3" x14ac:dyDescent="0.2">
      <c r="B2544"/>
      <c r="C2544" s="41"/>
    </row>
    <row r="2545" spans="2:3" x14ac:dyDescent="0.2">
      <c r="B2545"/>
      <c r="C2545" s="41"/>
    </row>
    <row r="2546" spans="2:3" x14ac:dyDescent="0.2">
      <c r="B2546"/>
      <c r="C2546" s="41"/>
    </row>
    <row r="2547" spans="2:3" x14ac:dyDescent="0.2">
      <c r="B2547"/>
      <c r="C2547" s="41"/>
    </row>
    <row r="2548" spans="2:3" x14ac:dyDescent="0.2">
      <c r="B2548"/>
      <c r="C2548" s="41"/>
    </row>
    <row r="2549" spans="2:3" x14ac:dyDescent="0.2">
      <c r="B2549"/>
      <c r="C2549" s="41"/>
    </row>
    <row r="2550" spans="2:3" x14ac:dyDescent="0.2">
      <c r="B2550"/>
      <c r="C2550" s="41"/>
    </row>
    <row r="2551" spans="2:3" x14ac:dyDescent="0.2">
      <c r="B2551"/>
      <c r="C2551" s="41"/>
    </row>
    <row r="2552" spans="2:3" x14ac:dyDescent="0.2">
      <c r="B2552"/>
      <c r="C2552" s="41"/>
    </row>
    <row r="2553" spans="2:3" x14ac:dyDescent="0.2">
      <c r="B2553"/>
      <c r="C2553" s="41"/>
    </row>
    <row r="2554" spans="2:3" x14ac:dyDescent="0.2">
      <c r="B2554"/>
      <c r="C2554" s="41"/>
    </row>
    <row r="2555" spans="2:3" x14ac:dyDescent="0.2">
      <c r="B2555"/>
      <c r="C2555" s="41"/>
    </row>
    <row r="2556" spans="2:3" x14ac:dyDescent="0.2">
      <c r="B2556"/>
      <c r="C2556" s="41"/>
    </row>
    <row r="2557" spans="2:3" x14ac:dyDescent="0.2">
      <c r="B2557"/>
      <c r="C2557" s="41"/>
    </row>
    <row r="2558" spans="2:3" x14ac:dyDescent="0.2">
      <c r="B2558"/>
      <c r="C2558" s="41"/>
    </row>
    <row r="2559" spans="2:3" x14ac:dyDescent="0.2">
      <c r="B2559"/>
      <c r="C2559" s="41"/>
    </row>
    <row r="2560" spans="2:3" x14ac:dyDescent="0.2">
      <c r="B2560"/>
      <c r="C2560" s="41"/>
    </row>
    <row r="2561" spans="2:3" x14ac:dyDescent="0.2">
      <c r="B2561"/>
      <c r="C2561" s="41"/>
    </row>
    <row r="2562" spans="2:3" x14ac:dyDescent="0.2">
      <c r="B2562"/>
      <c r="C2562" s="41"/>
    </row>
    <row r="2563" spans="2:3" x14ac:dyDescent="0.2">
      <c r="B2563"/>
      <c r="C2563" s="41"/>
    </row>
    <row r="2564" spans="2:3" x14ac:dyDescent="0.2">
      <c r="B2564"/>
      <c r="C2564" s="41"/>
    </row>
    <row r="2565" spans="2:3" x14ac:dyDescent="0.2">
      <c r="B2565"/>
      <c r="C2565" s="41"/>
    </row>
    <row r="2566" spans="2:3" x14ac:dyDescent="0.2">
      <c r="B2566"/>
      <c r="C2566" s="41"/>
    </row>
    <row r="2567" spans="2:3" x14ac:dyDescent="0.2">
      <c r="B2567"/>
      <c r="C2567" s="41"/>
    </row>
    <row r="2568" spans="2:3" x14ac:dyDescent="0.2">
      <c r="B2568"/>
      <c r="C2568" s="41"/>
    </row>
    <row r="2569" spans="2:3" x14ac:dyDescent="0.2">
      <c r="B2569"/>
      <c r="C2569" s="41"/>
    </row>
    <row r="2570" spans="2:3" x14ac:dyDescent="0.2">
      <c r="B2570"/>
      <c r="C2570" s="41"/>
    </row>
    <row r="2571" spans="2:3" x14ac:dyDescent="0.2">
      <c r="B2571"/>
      <c r="C2571" s="41"/>
    </row>
    <row r="2572" spans="2:3" x14ac:dyDescent="0.2">
      <c r="B2572"/>
      <c r="C2572" s="41"/>
    </row>
    <row r="2573" spans="2:3" x14ac:dyDescent="0.2">
      <c r="B2573"/>
      <c r="C2573" s="41"/>
    </row>
    <row r="2574" spans="2:3" x14ac:dyDescent="0.2">
      <c r="B2574"/>
      <c r="C2574" s="41"/>
    </row>
    <row r="2575" spans="2:3" x14ac:dyDescent="0.2">
      <c r="B2575"/>
      <c r="C2575" s="41"/>
    </row>
    <row r="2576" spans="2:3" x14ac:dyDescent="0.2">
      <c r="B2576"/>
      <c r="C2576" s="41"/>
    </row>
    <row r="2577" spans="2:3" x14ac:dyDescent="0.2">
      <c r="B2577"/>
      <c r="C2577" s="41"/>
    </row>
    <row r="2578" spans="2:3" x14ac:dyDescent="0.2">
      <c r="B2578"/>
      <c r="C2578" s="41"/>
    </row>
    <row r="2579" spans="2:3" x14ac:dyDescent="0.2">
      <c r="B2579"/>
      <c r="C2579" s="41"/>
    </row>
    <row r="2580" spans="2:3" x14ac:dyDescent="0.2">
      <c r="B2580"/>
      <c r="C2580" s="41"/>
    </row>
    <row r="2581" spans="2:3" x14ac:dyDescent="0.2">
      <c r="B2581"/>
      <c r="C2581" s="41"/>
    </row>
    <row r="2582" spans="2:3" x14ac:dyDescent="0.2">
      <c r="B2582"/>
      <c r="C2582" s="41"/>
    </row>
    <row r="2583" spans="2:3" x14ac:dyDescent="0.2">
      <c r="B2583"/>
      <c r="C2583" s="41"/>
    </row>
    <row r="2584" spans="2:3" x14ac:dyDescent="0.2">
      <c r="B2584"/>
      <c r="C2584" s="41"/>
    </row>
    <row r="2585" spans="2:3" x14ac:dyDescent="0.2">
      <c r="B2585"/>
      <c r="C2585" s="41"/>
    </row>
    <row r="2586" spans="2:3" x14ac:dyDescent="0.2">
      <c r="B2586"/>
      <c r="C2586" s="41"/>
    </row>
    <row r="2587" spans="2:3" x14ac:dyDescent="0.2">
      <c r="B2587"/>
      <c r="C2587" s="41"/>
    </row>
    <row r="2588" spans="2:3" x14ac:dyDescent="0.2">
      <c r="B2588"/>
      <c r="C2588" s="41"/>
    </row>
    <row r="2589" spans="2:3" x14ac:dyDescent="0.2">
      <c r="B2589"/>
      <c r="C2589" s="41"/>
    </row>
    <row r="2590" spans="2:3" x14ac:dyDescent="0.2">
      <c r="B2590"/>
      <c r="C2590" s="41"/>
    </row>
    <row r="2591" spans="2:3" x14ac:dyDescent="0.2">
      <c r="B2591"/>
      <c r="C2591" s="41"/>
    </row>
    <row r="2592" spans="2:3" x14ac:dyDescent="0.2">
      <c r="B2592"/>
      <c r="C2592" s="41"/>
    </row>
    <row r="2593" spans="2:3" x14ac:dyDescent="0.2">
      <c r="B2593"/>
      <c r="C2593" s="41"/>
    </row>
    <row r="2594" spans="2:3" x14ac:dyDescent="0.2">
      <c r="B2594"/>
      <c r="C2594" s="41"/>
    </row>
    <row r="2595" spans="2:3" x14ac:dyDescent="0.2">
      <c r="B2595"/>
      <c r="C2595" s="41"/>
    </row>
    <row r="2596" spans="2:3" x14ac:dyDescent="0.2">
      <c r="B2596"/>
      <c r="C2596" s="41"/>
    </row>
    <row r="2597" spans="2:3" x14ac:dyDescent="0.2">
      <c r="B2597"/>
      <c r="C2597" s="41"/>
    </row>
    <row r="2598" spans="2:3" x14ac:dyDescent="0.2">
      <c r="B2598"/>
      <c r="C2598" s="41"/>
    </row>
    <row r="2599" spans="2:3" x14ac:dyDescent="0.2">
      <c r="B2599"/>
      <c r="C2599" s="41"/>
    </row>
    <row r="2600" spans="2:3" x14ac:dyDescent="0.2">
      <c r="B2600"/>
      <c r="C2600" s="41"/>
    </row>
    <row r="2601" spans="2:3" x14ac:dyDescent="0.2">
      <c r="B2601"/>
      <c r="C2601" s="41"/>
    </row>
    <row r="2602" spans="2:3" x14ac:dyDescent="0.2">
      <c r="B2602"/>
      <c r="C2602" s="41"/>
    </row>
    <row r="2603" spans="2:3" x14ac:dyDescent="0.2">
      <c r="B2603"/>
      <c r="C2603" s="41"/>
    </row>
    <row r="2604" spans="2:3" x14ac:dyDescent="0.2">
      <c r="B2604"/>
      <c r="C2604" s="41"/>
    </row>
    <row r="2605" spans="2:3" x14ac:dyDescent="0.2">
      <c r="B2605"/>
      <c r="C2605" s="41"/>
    </row>
    <row r="2606" spans="2:3" x14ac:dyDescent="0.2">
      <c r="B2606"/>
      <c r="C2606" s="41"/>
    </row>
    <row r="2607" spans="2:3" x14ac:dyDescent="0.2">
      <c r="B2607"/>
      <c r="C2607" s="41"/>
    </row>
    <row r="2608" spans="2:3" x14ac:dyDescent="0.2">
      <c r="B2608"/>
      <c r="C2608" s="41"/>
    </row>
    <row r="2609" spans="2:3" x14ac:dyDescent="0.2">
      <c r="B2609"/>
      <c r="C2609" s="41"/>
    </row>
    <row r="2610" spans="2:3" x14ac:dyDescent="0.2">
      <c r="B2610"/>
      <c r="C2610" s="41"/>
    </row>
    <row r="2611" spans="2:3" x14ac:dyDescent="0.2">
      <c r="B2611"/>
      <c r="C2611" s="41"/>
    </row>
    <row r="2612" spans="2:3" x14ac:dyDescent="0.2">
      <c r="B2612"/>
      <c r="C2612" s="41"/>
    </row>
    <row r="2613" spans="2:3" x14ac:dyDescent="0.2">
      <c r="B2613"/>
      <c r="C2613" s="41"/>
    </row>
    <row r="2614" spans="2:3" x14ac:dyDescent="0.2">
      <c r="B2614"/>
      <c r="C2614" s="41"/>
    </row>
    <row r="2615" spans="2:3" x14ac:dyDescent="0.2">
      <c r="B2615"/>
      <c r="C2615" s="41"/>
    </row>
    <row r="2616" spans="2:3" x14ac:dyDescent="0.2">
      <c r="B2616"/>
      <c r="C2616" s="41"/>
    </row>
    <row r="2617" spans="2:3" x14ac:dyDescent="0.2">
      <c r="B2617"/>
      <c r="C2617" s="41"/>
    </row>
    <row r="2618" spans="2:3" x14ac:dyDescent="0.2">
      <c r="B2618"/>
      <c r="C2618" s="41"/>
    </row>
    <row r="2619" spans="2:3" x14ac:dyDescent="0.2">
      <c r="B2619"/>
      <c r="C2619" s="41"/>
    </row>
    <row r="2620" spans="2:3" x14ac:dyDescent="0.2">
      <c r="B2620"/>
      <c r="C2620" s="41"/>
    </row>
    <row r="2621" spans="2:3" x14ac:dyDescent="0.2">
      <c r="B2621"/>
      <c r="C2621" s="41"/>
    </row>
    <row r="2622" spans="2:3" x14ac:dyDescent="0.2">
      <c r="B2622"/>
      <c r="C2622" s="41"/>
    </row>
    <row r="2623" spans="2:3" x14ac:dyDescent="0.2">
      <c r="B2623"/>
      <c r="C2623" s="41"/>
    </row>
    <row r="2624" spans="2:3" x14ac:dyDescent="0.2">
      <c r="B2624"/>
      <c r="C2624" s="41"/>
    </row>
    <row r="2625" spans="2:3" x14ac:dyDescent="0.2">
      <c r="B2625"/>
      <c r="C2625" s="41"/>
    </row>
    <row r="2626" spans="2:3" x14ac:dyDescent="0.2">
      <c r="B2626"/>
      <c r="C2626" s="41"/>
    </row>
    <row r="2627" spans="2:3" x14ac:dyDescent="0.2">
      <c r="B2627"/>
      <c r="C2627" s="41"/>
    </row>
    <row r="2628" spans="2:3" x14ac:dyDescent="0.2">
      <c r="B2628"/>
      <c r="C2628" s="41"/>
    </row>
    <row r="2629" spans="2:3" x14ac:dyDescent="0.2">
      <c r="B2629"/>
      <c r="C2629" s="41"/>
    </row>
    <row r="2630" spans="2:3" x14ac:dyDescent="0.2">
      <c r="B2630"/>
      <c r="C2630" s="41"/>
    </row>
    <row r="2631" spans="2:3" x14ac:dyDescent="0.2">
      <c r="B2631"/>
      <c r="C2631" s="41"/>
    </row>
    <row r="2632" spans="2:3" x14ac:dyDescent="0.2">
      <c r="B2632"/>
      <c r="C2632" s="41"/>
    </row>
    <row r="2633" spans="2:3" x14ac:dyDescent="0.2">
      <c r="B2633"/>
      <c r="C2633" s="41"/>
    </row>
    <row r="2634" spans="2:3" x14ac:dyDescent="0.2">
      <c r="B2634"/>
      <c r="C2634" s="41"/>
    </row>
    <row r="2635" spans="2:3" x14ac:dyDescent="0.2">
      <c r="B2635"/>
      <c r="C2635" s="41"/>
    </row>
    <row r="2636" spans="2:3" x14ac:dyDescent="0.2">
      <c r="B2636"/>
      <c r="C2636" s="41"/>
    </row>
    <row r="2637" spans="2:3" x14ac:dyDescent="0.2">
      <c r="B2637"/>
      <c r="C2637" s="41"/>
    </row>
    <row r="2638" spans="2:3" x14ac:dyDescent="0.2">
      <c r="B2638"/>
      <c r="C2638" s="41"/>
    </row>
    <row r="2639" spans="2:3" x14ac:dyDescent="0.2">
      <c r="B2639"/>
      <c r="C2639" s="41"/>
    </row>
    <row r="2640" spans="2:3" x14ac:dyDescent="0.2">
      <c r="B2640"/>
      <c r="C2640" s="41"/>
    </row>
    <row r="2641" spans="2:3" x14ac:dyDescent="0.2">
      <c r="B2641"/>
      <c r="C2641" s="41"/>
    </row>
    <row r="2642" spans="2:3" x14ac:dyDescent="0.2">
      <c r="B2642"/>
      <c r="C2642" s="41"/>
    </row>
    <row r="2643" spans="2:3" x14ac:dyDescent="0.2">
      <c r="B2643"/>
      <c r="C2643" s="41"/>
    </row>
    <row r="2644" spans="2:3" x14ac:dyDescent="0.2">
      <c r="B2644"/>
      <c r="C2644" s="41"/>
    </row>
    <row r="2645" spans="2:3" x14ac:dyDescent="0.2">
      <c r="B2645"/>
      <c r="C2645" s="41"/>
    </row>
    <row r="2646" spans="2:3" x14ac:dyDescent="0.2">
      <c r="B2646"/>
      <c r="C2646" s="41"/>
    </row>
    <row r="2647" spans="2:3" x14ac:dyDescent="0.2">
      <c r="B2647"/>
      <c r="C2647" s="41"/>
    </row>
    <row r="2648" spans="2:3" x14ac:dyDescent="0.2">
      <c r="B2648"/>
      <c r="C2648" s="41"/>
    </row>
    <row r="2649" spans="2:3" x14ac:dyDescent="0.2">
      <c r="B2649"/>
      <c r="C2649" s="41"/>
    </row>
    <row r="2650" spans="2:3" x14ac:dyDescent="0.2">
      <c r="B2650"/>
      <c r="C2650" s="41"/>
    </row>
    <row r="2651" spans="2:3" x14ac:dyDescent="0.2">
      <c r="B2651"/>
      <c r="C2651" s="41"/>
    </row>
    <row r="2652" spans="2:3" x14ac:dyDescent="0.2">
      <c r="B2652"/>
      <c r="C2652" s="41"/>
    </row>
    <row r="2653" spans="2:3" x14ac:dyDescent="0.2">
      <c r="B2653"/>
      <c r="C2653" s="41"/>
    </row>
    <row r="2654" spans="2:3" x14ac:dyDescent="0.2">
      <c r="B2654"/>
      <c r="C2654" s="41"/>
    </row>
    <row r="2655" spans="2:3" x14ac:dyDescent="0.2">
      <c r="B2655"/>
      <c r="C2655" s="41"/>
    </row>
    <row r="2656" spans="2:3" x14ac:dyDescent="0.2">
      <c r="B2656"/>
      <c r="C2656" s="41"/>
    </row>
    <row r="2657" spans="2:3" x14ac:dyDescent="0.2">
      <c r="B2657"/>
      <c r="C2657" s="41"/>
    </row>
    <row r="2658" spans="2:3" x14ac:dyDescent="0.2">
      <c r="B2658"/>
      <c r="C2658" s="41"/>
    </row>
    <row r="2659" spans="2:3" x14ac:dyDescent="0.2">
      <c r="B2659"/>
      <c r="C2659" s="41"/>
    </row>
    <row r="2660" spans="2:3" x14ac:dyDescent="0.2">
      <c r="B2660"/>
      <c r="C2660" s="41"/>
    </row>
    <row r="2661" spans="2:3" x14ac:dyDescent="0.2">
      <c r="B2661"/>
      <c r="C2661" s="41"/>
    </row>
    <row r="2662" spans="2:3" x14ac:dyDescent="0.2">
      <c r="B2662"/>
      <c r="C2662" s="41"/>
    </row>
    <row r="2663" spans="2:3" x14ac:dyDescent="0.2">
      <c r="B2663"/>
      <c r="C2663" s="41"/>
    </row>
    <row r="2664" spans="2:3" x14ac:dyDescent="0.2">
      <c r="B2664"/>
      <c r="C2664" s="41"/>
    </row>
    <row r="2665" spans="2:3" x14ac:dyDescent="0.2">
      <c r="B2665"/>
      <c r="C2665" s="41"/>
    </row>
    <row r="2666" spans="2:3" x14ac:dyDescent="0.2">
      <c r="B2666"/>
      <c r="C2666" s="41"/>
    </row>
    <row r="2667" spans="2:3" x14ac:dyDescent="0.2">
      <c r="B2667"/>
      <c r="C2667" s="41"/>
    </row>
    <row r="2668" spans="2:3" x14ac:dyDescent="0.2">
      <c r="B2668"/>
      <c r="C2668" s="41"/>
    </row>
    <row r="2669" spans="2:3" x14ac:dyDescent="0.2">
      <c r="B2669"/>
      <c r="C2669" s="41"/>
    </row>
    <row r="2670" spans="2:3" x14ac:dyDescent="0.2">
      <c r="B2670"/>
      <c r="C2670" s="41"/>
    </row>
    <row r="2671" spans="2:3" x14ac:dyDescent="0.2">
      <c r="B2671"/>
      <c r="C2671" s="41"/>
    </row>
    <row r="2672" spans="2:3" x14ac:dyDescent="0.2">
      <c r="B2672"/>
      <c r="C2672" s="41"/>
    </row>
    <row r="2673" spans="2:3" x14ac:dyDescent="0.2">
      <c r="B2673"/>
      <c r="C2673" s="41"/>
    </row>
    <row r="2674" spans="2:3" x14ac:dyDescent="0.2">
      <c r="B2674"/>
      <c r="C2674" s="41"/>
    </row>
    <row r="2675" spans="2:3" x14ac:dyDescent="0.2">
      <c r="B2675"/>
      <c r="C2675" s="41"/>
    </row>
    <row r="2676" spans="2:3" x14ac:dyDescent="0.2">
      <c r="B2676"/>
      <c r="C2676" s="41"/>
    </row>
    <row r="2677" spans="2:3" x14ac:dyDescent="0.2">
      <c r="B2677"/>
      <c r="C2677" s="41"/>
    </row>
    <row r="2678" spans="2:3" x14ac:dyDescent="0.2">
      <c r="B2678"/>
      <c r="C2678" s="41"/>
    </row>
    <row r="2679" spans="2:3" x14ac:dyDescent="0.2">
      <c r="B2679"/>
      <c r="C2679" s="41"/>
    </row>
    <row r="2680" spans="2:3" x14ac:dyDescent="0.2">
      <c r="B2680"/>
      <c r="C2680" s="41"/>
    </row>
    <row r="2681" spans="2:3" x14ac:dyDescent="0.2">
      <c r="B2681"/>
      <c r="C2681" s="41"/>
    </row>
    <row r="2682" spans="2:3" x14ac:dyDescent="0.2">
      <c r="B2682"/>
      <c r="C2682" s="41"/>
    </row>
    <row r="2683" spans="2:3" x14ac:dyDescent="0.2">
      <c r="B2683"/>
      <c r="C2683" s="41"/>
    </row>
    <row r="2684" spans="2:3" x14ac:dyDescent="0.2">
      <c r="B2684"/>
      <c r="C2684" s="41"/>
    </row>
    <row r="2685" spans="2:3" x14ac:dyDescent="0.2">
      <c r="B2685"/>
      <c r="C2685" s="41"/>
    </row>
    <row r="2686" spans="2:3" x14ac:dyDescent="0.2">
      <c r="B2686"/>
      <c r="C2686" s="41"/>
    </row>
    <row r="2687" spans="2:3" x14ac:dyDescent="0.2">
      <c r="B2687"/>
      <c r="C2687" s="41"/>
    </row>
    <row r="2688" spans="2:3" x14ac:dyDescent="0.2">
      <c r="B2688"/>
      <c r="C2688" s="41"/>
    </row>
    <row r="2689" spans="2:3" x14ac:dyDescent="0.2">
      <c r="B2689"/>
      <c r="C2689" s="41"/>
    </row>
    <row r="2690" spans="2:3" x14ac:dyDescent="0.2">
      <c r="B2690"/>
      <c r="C2690" s="41"/>
    </row>
    <row r="2691" spans="2:3" x14ac:dyDescent="0.2">
      <c r="B2691"/>
      <c r="C2691" s="41"/>
    </row>
    <row r="2692" spans="2:3" x14ac:dyDescent="0.2">
      <c r="B2692"/>
      <c r="C2692" s="41"/>
    </row>
    <row r="2693" spans="2:3" x14ac:dyDescent="0.2">
      <c r="B2693"/>
      <c r="C2693" s="41"/>
    </row>
    <row r="2694" spans="2:3" x14ac:dyDescent="0.2">
      <c r="B2694"/>
      <c r="C2694" s="41"/>
    </row>
    <row r="2695" spans="2:3" x14ac:dyDescent="0.2">
      <c r="B2695"/>
      <c r="C2695" s="41"/>
    </row>
    <row r="2696" spans="2:3" x14ac:dyDescent="0.2">
      <c r="B2696"/>
      <c r="C2696" s="41"/>
    </row>
    <row r="2697" spans="2:3" x14ac:dyDescent="0.2">
      <c r="B2697"/>
      <c r="C2697" s="41"/>
    </row>
    <row r="2698" spans="2:3" x14ac:dyDescent="0.2">
      <c r="B2698"/>
      <c r="C2698" s="41"/>
    </row>
    <row r="2699" spans="2:3" x14ac:dyDescent="0.2">
      <c r="B2699"/>
      <c r="C2699" s="41"/>
    </row>
    <row r="2700" spans="2:3" x14ac:dyDescent="0.2">
      <c r="B2700"/>
      <c r="C2700" s="41"/>
    </row>
    <row r="2701" spans="2:3" x14ac:dyDescent="0.2">
      <c r="B2701"/>
      <c r="C2701" s="41"/>
    </row>
    <row r="2702" spans="2:3" x14ac:dyDescent="0.2">
      <c r="B2702"/>
      <c r="C2702" s="41"/>
    </row>
    <row r="2703" spans="2:3" x14ac:dyDescent="0.2">
      <c r="B2703"/>
      <c r="C2703" s="41"/>
    </row>
    <row r="2704" spans="2:3" x14ac:dyDescent="0.2">
      <c r="B2704"/>
      <c r="C2704" s="41"/>
    </row>
    <row r="2705" spans="2:3" x14ac:dyDescent="0.2">
      <c r="B2705"/>
      <c r="C2705" s="41"/>
    </row>
    <row r="2706" spans="2:3" x14ac:dyDescent="0.2">
      <c r="B2706"/>
      <c r="C2706" s="41"/>
    </row>
    <row r="2707" spans="2:3" x14ac:dyDescent="0.2">
      <c r="B2707"/>
      <c r="C2707" s="41"/>
    </row>
    <row r="2708" spans="2:3" x14ac:dyDescent="0.2">
      <c r="B2708"/>
      <c r="C2708" s="41"/>
    </row>
    <row r="2709" spans="2:3" x14ac:dyDescent="0.2">
      <c r="B2709"/>
      <c r="C2709" s="41"/>
    </row>
    <row r="2710" spans="2:3" x14ac:dyDescent="0.2">
      <c r="B2710"/>
      <c r="C2710" s="41"/>
    </row>
    <row r="2711" spans="2:3" x14ac:dyDescent="0.2">
      <c r="B2711"/>
      <c r="C2711" s="41"/>
    </row>
    <row r="2712" spans="2:3" x14ac:dyDescent="0.2">
      <c r="B2712"/>
      <c r="C2712" s="41"/>
    </row>
    <row r="2713" spans="2:3" x14ac:dyDescent="0.2">
      <c r="B2713"/>
      <c r="C2713" s="41"/>
    </row>
    <row r="2714" spans="2:3" x14ac:dyDescent="0.2">
      <c r="B2714"/>
      <c r="C2714" s="41"/>
    </row>
    <row r="2715" spans="2:3" x14ac:dyDescent="0.2">
      <c r="B2715"/>
      <c r="C2715" s="41"/>
    </row>
    <row r="2716" spans="2:3" x14ac:dyDescent="0.2">
      <c r="B2716"/>
      <c r="C2716" s="41"/>
    </row>
    <row r="2717" spans="2:3" x14ac:dyDescent="0.2">
      <c r="B2717"/>
      <c r="C2717" s="41"/>
    </row>
    <row r="2718" spans="2:3" x14ac:dyDescent="0.2">
      <c r="B2718"/>
      <c r="C2718" s="41"/>
    </row>
    <row r="2719" spans="2:3" x14ac:dyDescent="0.2">
      <c r="B2719"/>
      <c r="C2719" s="41"/>
    </row>
    <row r="2720" spans="2:3" x14ac:dyDescent="0.2">
      <c r="B2720"/>
      <c r="C2720" s="41"/>
    </row>
    <row r="2721" spans="2:3" x14ac:dyDescent="0.2">
      <c r="B2721"/>
      <c r="C2721" s="41"/>
    </row>
    <row r="2722" spans="2:3" x14ac:dyDescent="0.2">
      <c r="B2722"/>
      <c r="C2722" s="41"/>
    </row>
    <row r="2723" spans="2:3" x14ac:dyDescent="0.2">
      <c r="B2723"/>
      <c r="C2723" s="41"/>
    </row>
    <row r="2724" spans="2:3" x14ac:dyDescent="0.2">
      <c r="B2724"/>
      <c r="C2724" s="41"/>
    </row>
    <row r="2725" spans="2:3" x14ac:dyDescent="0.2">
      <c r="B2725"/>
      <c r="C2725" s="41"/>
    </row>
    <row r="2726" spans="2:3" x14ac:dyDescent="0.2">
      <c r="B2726"/>
      <c r="C2726" s="41"/>
    </row>
    <row r="2727" spans="2:3" x14ac:dyDescent="0.2">
      <c r="B2727"/>
      <c r="C2727" s="41"/>
    </row>
    <row r="2728" spans="2:3" x14ac:dyDescent="0.2">
      <c r="B2728"/>
      <c r="C2728" s="41"/>
    </row>
    <row r="2729" spans="2:3" x14ac:dyDescent="0.2">
      <c r="B2729"/>
      <c r="C2729" s="41"/>
    </row>
    <row r="2730" spans="2:3" x14ac:dyDescent="0.2">
      <c r="B2730"/>
      <c r="C2730" s="41"/>
    </row>
    <row r="2731" spans="2:3" x14ac:dyDescent="0.2">
      <c r="B2731"/>
      <c r="C2731" s="41"/>
    </row>
    <row r="2732" spans="2:3" x14ac:dyDescent="0.2">
      <c r="B2732"/>
      <c r="C2732" s="41"/>
    </row>
    <row r="2733" spans="2:3" x14ac:dyDescent="0.2">
      <c r="B2733"/>
      <c r="C2733" s="41"/>
    </row>
    <row r="2734" spans="2:3" x14ac:dyDescent="0.2">
      <c r="B2734"/>
      <c r="C2734" s="41"/>
    </row>
    <row r="2735" spans="2:3" x14ac:dyDescent="0.2">
      <c r="B2735"/>
      <c r="C2735" s="41"/>
    </row>
    <row r="2736" spans="2:3" x14ac:dyDescent="0.2">
      <c r="B2736"/>
      <c r="C2736" s="41"/>
    </row>
    <row r="2737" spans="2:3" x14ac:dyDescent="0.2">
      <c r="B2737"/>
      <c r="C2737" s="41"/>
    </row>
    <row r="2738" spans="2:3" x14ac:dyDescent="0.2">
      <c r="B2738"/>
      <c r="C2738" s="41"/>
    </row>
    <row r="2739" spans="2:3" x14ac:dyDescent="0.2">
      <c r="B2739"/>
      <c r="C2739" s="41"/>
    </row>
    <row r="2740" spans="2:3" x14ac:dyDescent="0.2">
      <c r="B2740"/>
      <c r="C2740" s="41"/>
    </row>
    <row r="2741" spans="2:3" x14ac:dyDescent="0.2">
      <c r="B2741"/>
      <c r="C2741" s="41"/>
    </row>
    <row r="2742" spans="2:3" x14ac:dyDescent="0.2">
      <c r="B2742"/>
      <c r="C2742" s="41"/>
    </row>
    <row r="2743" spans="2:3" x14ac:dyDescent="0.2">
      <c r="B2743"/>
      <c r="C2743" s="41"/>
    </row>
    <row r="2744" spans="2:3" x14ac:dyDescent="0.2">
      <c r="B2744"/>
      <c r="C2744" s="41"/>
    </row>
    <row r="2745" spans="2:3" x14ac:dyDescent="0.2">
      <c r="B2745"/>
      <c r="C2745" s="41"/>
    </row>
    <row r="2746" spans="2:3" x14ac:dyDescent="0.2">
      <c r="B2746"/>
      <c r="C2746" s="41"/>
    </row>
    <row r="2747" spans="2:3" x14ac:dyDescent="0.2">
      <c r="B2747"/>
      <c r="C2747" s="41"/>
    </row>
    <row r="2748" spans="2:3" x14ac:dyDescent="0.2">
      <c r="B2748"/>
      <c r="C2748" s="41"/>
    </row>
    <row r="2749" spans="2:3" x14ac:dyDescent="0.2">
      <c r="B2749"/>
      <c r="C2749" s="41"/>
    </row>
    <row r="2750" spans="2:3" x14ac:dyDescent="0.2">
      <c r="B2750"/>
      <c r="C2750" s="41"/>
    </row>
    <row r="2751" spans="2:3" x14ac:dyDescent="0.2">
      <c r="B2751"/>
      <c r="C2751" s="41"/>
    </row>
    <row r="2752" spans="2:3" x14ac:dyDescent="0.2">
      <c r="B2752"/>
      <c r="C2752" s="41"/>
    </row>
    <row r="2753" spans="2:3" x14ac:dyDescent="0.2">
      <c r="B2753"/>
      <c r="C2753" s="41"/>
    </row>
    <row r="2754" spans="2:3" x14ac:dyDescent="0.2">
      <c r="B2754"/>
      <c r="C2754" s="41"/>
    </row>
    <row r="2755" spans="2:3" x14ac:dyDescent="0.2">
      <c r="B2755"/>
      <c r="C2755" s="41"/>
    </row>
    <row r="2756" spans="2:3" x14ac:dyDescent="0.2">
      <c r="B2756"/>
      <c r="C2756" s="41"/>
    </row>
    <row r="2757" spans="2:3" x14ac:dyDescent="0.2">
      <c r="B2757"/>
      <c r="C2757" s="41"/>
    </row>
    <row r="2758" spans="2:3" x14ac:dyDescent="0.2">
      <c r="B2758"/>
      <c r="C2758" s="41"/>
    </row>
    <row r="2759" spans="2:3" x14ac:dyDescent="0.2">
      <c r="B2759"/>
      <c r="C2759" s="41"/>
    </row>
    <row r="2760" spans="2:3" x14ac:dyDescent="0.2">
      <c r="B2760"/>
      <c r="C2760" s="41"/>
    </row>
    <row r="2761" spans="2:3" x14ac:dyDescent="0.2">
      <c r="B2761"/>
      <c r="C2761" s="41"/>
    </row>
    <row r="2762" spans="2:3" x14ac:dyDescent="0.2">
      <c r="B2762"/>
      <c r="C2762" s="41"/>
    </row>
    <row r="2763" spans="2:3" x14ac:dyDescent="0.2">
      <c r="B2763"/>
      <c r="C2763" s="41"/>
    </row>
    <row r="2764" spans="2:3" x14ac:dyDescent="0.2">
      <c r="B2764"/>
      <c r="C2764" s="41"/>
    </row>
    <row r="2765" spans="2:3" x14ac:dyDescent="0.2">
      <c r="B2765"/>
      <c r="C2765" s="41"/>
    </row>
    <row r="2766" spans="2:3" x14ac:dyDescent="0.2">
      <c r="B2766"/>
      <c r="C2766" s="41"/>
    </row>
    <row r="2767" spans="2:3" x14ac:dyDescent="0.2">
      <c r="B2767"/>
      <c r="C2767" s="41"/>
    </row>
    <row r="2768" spans="2:3" x14ac:dyDescent="0.2">
      <c r="B2768"/>
      <c r="C2768" s="41"/>
    </row>
    <row r="2769" spans="2:3" x14ac:dyDescent="0.2">
      <c r="B2769"/>
      <c r="C2769" s="41"/>
    </row>
    <row r="2770" spans="2:3" x14ac:dyDescent="0.2">
      <c r="B2770"/>
      <c r="C2770" s="41"/>
    </row>
    <row r="2771" spans="2:3" x14ac:dyDescent="0.2">
      <c r="B2771"/>
      <c r="C2771" s="41"/>
    </row>
    <row r="2772" spans="2:3" x14ac:dyDescent="0.2">
      <c r="B2772"/>
      <c r="C2772" s="41"/>
    </row>
    <row r="2773" spans="2:3" x14ac:dyDescent="0.2">
      <c r="B2773"/>
      <c r="C2773" s="41"/>
    </row>
    <row r="2774" spans="2:3" x14ac:dyDescent="0.2">
      <c r="B2774"/>
      <c r="C2774" s="41"/>
    </row>
    <row r="2775" spans="2:3" x14ac:dyDescent="0.2">
      <c r="B2775"/>
      <c r="C2775" s="41"/>
    </row>
    <row r="2776" spans="2:3" x14ac:dyDescent="0.2">
      <c r="B2776"/>
      <c r="C2776" s="41"/>
    </row>
    <row r="2777" spans="2:3" x14ac:dyDescent="0.2">
      <c r="B2777"/>
      <c r="C2777" s="41"/>
    </row>
    <row r="2778" spans="2:3" x14ac:dyDescent="0.2">
      <c r="B2778"/>
      <c r="C2778" s="41"/>
    </row>
    <row r="2779" spans="2:3" x14ac:dyDescent="0.2">
      <c r="B2779"/>
      <c r="C2779" s="41"/>
    </row>
    <row r="2780" spans="2:3" x14ac:dyDescent="0.2">
      <c r="B2780"/>
      <c r="C2780" s="41"/>
    </row>
    <row r="2781" spans="2:3" x14ac:dyDescent="0.2">
      <c r="B2781"/>
      <c r="C2781" s="41"/>
    </row>
    <row r="2782" spans="2:3" x14ac:dyDescent="0.2">
      <c r="B2782"/>
      <c r="C2782" s="41"/>
    </row>
    <row r="2783" spans="2:3" x14ac:dyDescent="0.2">
      <c r="B2783"/>
      <c r="C2783" s="41"/>
    </row>
    <row r="2784" spans="2:3" x14ac:dyDescent="0.2">
      <c r="B2784"/>
      <c r="C2784" s="41"/>
    </row>
    <row r="2785" spans="2:3" x14ac:dyDescent="0.2">
      <c r="B2785"/>
      <c r="C2785" s="41"/>
    </row>
    <row r="2786" spans="2:3" x14ac:dyDescent="0.2">
      <c r="B2786"/>
      <c r="C2786" s="41"/>
    </row>
    <row r="2787" spans="2:3" x14ac:dyDescent="0.2">
      <c r="B2787"/>
      <c r="C2787" s="41"/>
    </row>
    <row r="2788" spans="2:3" x14ac:dyDescent="0.2">
      <c r="B2788"/>
      <c r="C2788" s="41"/>
    </row>
    <row r="2789" spans="2:3" x14ac:dyDescent="0.2">
      <c r="B2789"/>
      <c r="C2789" s="41"/>
    </row>
    <row r="2790" spans="2:3" x14ac:dyDescent="0.2">
      <c r="B2790"/>
      <c r="C2790" s="41"/>
    </row>
    <row r="2791" spans="2:3" x14ac:dyDescent="0.2">
      <c r="B2791"/>
      <c r="C2791" s="41"/>
    </row>
    <row r="2792" spans="2:3" x14ac:dyDescent="0.2">
      <c r="B2792"/>
      <c r="C2792" s="41"/>
    </row>
    <row r="2793" spans="2:3" x14ac:dyDescent="0.2">
      <c r="B2793"/>
      <c r="C2793" s="41"/>
    </row>
    <row r="2794" spans="2:3" x14ac:dyDescent="0.2">
      <c r="B2794"/>
      <c r="C2794" s="41"/>
    </row>
    <row r="2795" spans="2:3" x14ac:dyDescent="0.2">
      <c r="B2795"/>
      <c r="C2795" s="41"/>
    </row>
    <row r="2796" spans="2:3" x14ac:dyDescent="0.2">
      <c r="B2796"/>
      <c r="C2796" s="41"/>
    </row>
    <row r="2797" spans="2:3" x14ac:dyDescent="0.2">
      <c r="B2797"/>
      <c r="C2797" s="41"/>
    </row>
    <row r="2798" spans="2:3" x14ac:dyDescent="0.2">
      <c r="B2798"/>
      <c r="C2798" s="41"/>
    </row>
    <row r="2799" spans="2:3" x14ac:dyDescent="0.2">
      <c r="B2799"/>
      <c r="C2799" s="41"/>
    </row>
    <row r="2800" spans="2:3" x14ac:dyDescent="0.2">
      <c r="B2800"/>
      <c r="C2800" s="41"/>
    </row>
    <row r="2801" spans="2:3" x14ac:dyDescent="0.2">
      <c r="B2801"/>
      <c r="C2801" s="41"/>
    </row>
    <row r="2802" spans="2:3" x14ac:dyDescent="0.2">
      <c r="B2802"/>
      <c r="C2802" s="41"/>
    </row>
    <row r="2803" spans="2:3" x14ac:dyDescent="0.2">
      <c r="B2803"/>
      <c r="C2803" s="41"/>
    </row>
    <row r="2804" spans="2:3" x14ac:dyDescent="0.2">
      <c r="B2804"/>
      <c r="C2804" s="41"/>
    </row>
    <row r="2805" spans="2:3" x14ac:dyDescent="0.2">
      <c r="B2805"/>
      <c r="C2805" s="41"/>
    </row>
    <row r="2806" spans="2:3" x14ac:dyDescent="0.2">
      <c r="B2806"/>
      <c r="C2806" s="41"/>
    </row>
    <row r="2807" spans="2:3" x14ac:dyDescent="0.2">
      <c r="B2807"/>
      <c r="C2807" s="41"/>
    </row>
    <row r="2808" spans="2:3" x14ac:dyDescent="0.2">
      <c r="B2808"/>
      <c r="C2808" s="41"/>
    </row>
    <row r="2809" spans="2:3" x14ac:dyDescent="0.2">
      <c r="B2809"/>
      <c r="C2809" s="41"/>
    </row>
    <row r="2810" spans="2:3" x14ac:dyDescent="0.2">
      <c r="B2810"/>
      <c r="C2810" s="41"/>
    </row>
    <row r="2811" spans="2:3" x14ac:dyDescent="0.2">
      <c r="B2811"/>
      <c r="C2811" s="41"/>
    </row>
    <row r="2812" spans="2:3" x14ac:dyDescent="0.2">
      <c r="B2812"/>
      <c r="C2812" s="41"/>
    </row>
    <row r="2813" spans="2:3" x14ac:dyDescent="0.2">
      <c r="B2813"/>
      <c r="C2813" s="41"/>
    </row>
    <row r="2814" spans="2:3" x14ac:dyDescent="0.2">
      <c r="B2814"/>
      <c r="C2814" s="41"/>
    </row>
    <row r="2815" spans="2:3" x14ac:dyDescent="0.2">
      <c r="B2815"/>
      <c r="C2815" s="41"/>
    </row>
    <row r="2816" spans="2:3" x14ac:dyDescent="0.2">
      <c r="B2816"/>
      <c r="C2816" s="41"/>
    </row>
    <row r="2817" spans="2:3" x14ac:dyDescent="0.2">
      <c r="B2817"/>
      <c r="C2817" s="41"/>
    </row>
    <row r="2818" spans="2:3" x14ac:dyDescent="0.2">
      <c r="B2818"/>
      <c r="C2818" s="41"/>
    </row>
    <row r="2819" spans="2:3" x14ac:dyDescent="0.2">
      <c r="B2819"/>
      <c r="C2819" s="41"/>
    </row>
    <row r="2820" spans="2:3" x14ac:dyDescent="0.2">
      <c r="B2820"/>
      <c r="C2820" s="41"/>
    </row>
    <row r="2821" spans="2:3" x14ac:dyDescent="0.2">
      <c r="B2821"/>
      <c r="C2821" s="41"/>
    </row>
    <row r="2822" spans="2:3" x14ac:dyDescent="0.2">
      <c r="B2822"/>
      <c r="C2822" s="41"/>
    </row>
    <row r="2823" spans="2:3" x14ac:dyDescent="0.2">
      <c r="B2823"/>
      <c r="C2823" s="41"/>
    </row>
    <row r="2824" spans="2:3" x14ac:dyDescent="0.2">
      <c r="B2824"/>
      <c r="C2824" s="41"/>
    </row>
    <row r="2825" spans="2:3" x14ac:dyDescent="0.2">
      <c r="B2825"/>
      <c r="C2825" s="41"/>
    </row>
    <row r="2826" spans="2:3" x14ac:dyDescent="0.2">
      <c r="B2826"/>
      <c r="C2826" s="41"/>
    </row>
    <row r="2827" spans="2:3" x14ac:dyDescent="0.2">
      <c r="B2827"/>
      <c r="C2827" s="41"/>
    </row>
    <row r="2828" spans="2:3" x14ac:dyDescent="0.2">
      <c r="B2828"/>
      <c r="C2828" s="41"/>
    </row>
    <row r="2829" spans="2:3" x14ac:dyDescent="0.2">
      <c r="B2829"/>
      <c r="C2829" s="41"/>
    </row>
    <row r="2830" spans="2:3" x14ac:dyDescent="0.2">
      <c r="B2830"/>
      <c r="C2830" s="41"/>
    </row>
    <row r="2831" spans="2:3" x14ac:dyDescent="0.2">
      <c r="B2831"/>
      <c r="C2831" s="41"/>
    </row>
    <row r="2832" spans="2:3" x14ac:dyDescent="0.2">
      <c r="B2832"/>
      <c r="C2832" s="41"/>
    </row>
    <row r="2833" spans="2:3" x14ac:dyDescent="0.2">
      <c r="B2833"/>
      <c r="C2833" s="41"/>
    </row>
    <row r="2834" spans="2:3" x14ac:dyDescent="0.2">
      <c r="B2834"/>
      <c r="C2834" s="41"/>
    </row>
    <row r="2835" spans="2:3" x14ac:dyDescent="0.2">
      <c r="B2835"/>
      <c r="C2835" s="41"/>
    </row>
    <row r="2836" spans="2:3" x14ac:dyDescent="0.2">
      <c r="B2836"/>
      <c r="C2836" s="41"/>
    </row>
    <row r="2837" spans="2:3" x14ac:dyDescent="0.2">
      <c r="B2837"/>
      <c r="C2837" s="41"/>
    </row>
    <row r="2838" spans="2:3" x14ac:dyDescent="0.2">
      <c r="B2838"/>
      <c r="C2838" s="41"/>
    </row>
    <row r="2839" spans="2:3" x14ac:dyDescent="0.2">
      <c r="B2839"/>
      <c r="C2839" s="41"/>
    </row>
    <row r="2840" spans="2:3" x14ac:dyDescent="0.2">
      <c r="B2840"/>
      <c r="C2840" s="41"/>
    </row>
    <row r="2841" spans="2:3" x14ac:dyDescent="0.2">
      <c r="B2841"/>
      <c r="C2841" s="41"/>
    </row>
    <row r="2842" spans="2:3" x14ac:dyDescent="0.2">
      <c r="B2842"/>
      <c r="C2842" s="41"/>
    </row>
    <row r="2843" spans="2:3" x14ac:dyDescent="0.2">
      <c r="B2843"/>
      <c r="C2843" s="41"/>
    </row>
    <row r="2844" spans="2:3" x14ac:dyDescent="0.2">
      <c r="B2844"/>
      <c r="C2844" s="41"/>
    </row>
    <row r="2845" spans="2:3" x14ac:dyDescent="0.2">
      <c r="B2845"/>
      <c r="C2845" s="41"/>
    </row>
    <row r="2846" spans="2:3" x14ac:dyDescent="0.2">
      <c r="B2846"/>
      <c r="C2846" s="41"/>
    </row>
    <row r="2847" spans="2:3" x14ac:dyDescent="0.2">
      <c r="B2847"/>
      <c r="C2847" s="41"/>
    </row>
    <row r="2848" spans="2:3" x14ac:dyDescent="0.2">
      <c r="B2848"/>
      <c r="C2848" s="41"/>
    </row>
    <row r="2849" spans="2:3" x14ac:dyDescent="0.2">
      <c r="B2849"/>
      <c r="C2849" s="41"/>
    </row>
    <row r="2850" spans="2:3" x14ac:dyDescent="0.2">
      <c r="B2850"/>
      <c r="C2850" s="41"/>
    </row>
    <row r="2851" spans="2:3" x14ac:dyDescent="0.2">
      <c r="B2851"/>
      <c r="C2851" s="41"/>
    </row>
    <row r="2852" spans="2:3" x14ac:dyDescent="0.2">
      <c r="B2852"/>
      <c r="C2852" s="41"/>
    </row>
    <row r="2853" spans="2:3" x14ac:dyDescent="0.2">
      <c r="B2853"/>
      <c r="C2853" s="41"/>
    </row>
    <row r="2854" spans="2:3" x14ac:dyDescent="0.2">
      <c r="B2854"/>
      <c r="C2854" s="41"/>
    </row>
    <row r="2855" spans="2:3" x14ac:dyDescent="0.2">
      <c r="B2855"/>
      <c r="C2855" s="41"/>
    </row>
    <row r="2856" spans="2:3" x14ac:dyDescent="0.2">
      <c r="B2856"/>
      <c r="C2856" s="41"/>
    </row>
    <row r="2857" spans="2:3" x14ac:dyDescent="0.2">
      <c r="B2857"/>
      <c r="C2857" s="41"/>
    </row>
    <row r="2858" spans="2:3" x14ac:dyDescent="0.2">
      <c r="B2858"/>
      <c r="C2858" s="41"/>
    </row>
    <row r="2859" spans="2:3" x14ac:dyDescent="0.2">
      <c r="B2859"/>
      <c r="C2859" s="41"/>
    </row>
    <row r="2860" spans="2:3" x14ac:dyDescent="0.2">
      <c r="B2860"/>
      <c r="C2860" s="41"/>
    </row>
    <row r="2861" spans="2:3" x14ac:dyDescent="0.2">
      <c r="B2861"/>
      <c r="C2861" s="41"/>
    </row>
    <row r="2862" spans="2:3" x14ac:dyDescent="0.2">
      <c r="B2862"/>
      <c r="C2862" s="41"/>
    </row>
    <row r="2863" spans="2:3" x14ac:dyDescent="0.2">
      <c r="B2863"/>
      <c r="C2863" s="41"/>
    </row>
    <row r="2864" spans="2:3" x14ac:dyDescent="0.2">
      <c r="B2864"/>
      <c r="C2864" s="41"/>
    </row>
    <row r="2865" spans="2:3" x14ac:dyDescent="0.2">
      <c r="B2865"/>
      <c r="C2865" s="41"/>
    </row>
    <row r="2866" spans="2:3" x14ac:dyDescent="0.2">
      <c r="B2866"/>
      <c r="C2866" s="41"/>
    </row>
    <row r="2867" spans="2:3" x14ac:dyDescent="0.2">
      <c r="B2867"/>
      <c r="C2867" s="41"/>
    </row>
    <row r="2868" spans="2:3" x14ac:dyDescent="0.2">
      <c r="B2868"/>
      <c r="C2868" s="41"/>
    </row>
    <row r="2869" spans="2:3" x14ac:dyDescent="0.2">
      <c r="B2869"/>
      <c r="C2869" s="41"/>
    </row>
    <row r="2870" spans="2:3" x14ac:dyDescent="0.2">
      <c r="B2870"/>
      <c r="C2870" s="41"/>
    </row>
    <row r="2871" spans="2:3" x14ac:dyDescent="0.2">
      <c r="B2871"/>
      <c r="C2871" s="41"/>
    </row>
    <row r="2872" spans="2:3" x14ac:dyDescent="0.2">
      <c r="B2872"/>
      <c r="C2872" s="41"/>
    </row>
    <row r="2873" spans="2:3" x14ac:dyDescent="0.2">
      <c r="B2873"/>
      <c r="C2873" s="41"/>
    </row>
    <row r="2874" spans="2:3" x14ac:dyDescent="0.2">
      <c r="B2874"/>
      <c r="C2874" s="41"/>
    </row>
    <row r="2875" spans="2:3" x14ac:dyDescent="0.2">
      <c r="B2875"/>
      <c r="C2875" s="41"/>
    </row>
    <row r="2876" spans="2:3" x14ac:dyDescent="0.2">
      <c r="B2876"/>
      <c r="C2876" s="41"/>
    </row>
    <row r="2877" spans="2:3" x14ac:dyDescent="0.2">
      <c r="B2877"/>
      <c r="C2877" s="41"/>
    </row>
    <row r="2878" spans="2:3" x14ac:dyDescent="0.2">
      <c r="B2878"/>
      <c r="C2878" s="41"/>
    </row>
    <row r="2879" spans="2:3" x14ac:dyDescent="0.2">
      <c r="B2879"/>
      <c r="C2879" s="41"/>
    </row>
    <row r="2880" spans="2:3" x14ac:dyDescent="0.2">
      <c r="B2880"/>
      <c r="C2880" s="41"/>
    </row>
    <row r="2881" spans="2:3" x14ac:dyDescent="0.2">
      <c r="B2881"/>
      <c r="C2881" s="41"/>
    </row>
    <row r="2882" spans="2:3" x14ac:dyDescent="0.2">
      <c r="B2882"/>
      <c r="C2882" s="41"/>
    </row>
    <row r="2883" spans="2:3" x14ac:dyDescent="0.2">
      <c r="B2883"/>
      <c r="C2883" s="41"/>
    </row>
    <row r="2884" spans="2:3" x14ac:dyDescent="0.2">
      <c r="B2884"/>
      <c r="C2884" s="41"/>
    </row>
    <row r="2885" spans="2:3" x14ac:dyDescent="0.2">
      <c r="B2885"/>
      <c r="C2885" s="41"/>
    </row>
    <row r="2886" spans="2:3" x14ac:dyDescent="0.2">
      <c r="B2886"/>
      <c r="C2886" s="41"/>
    </row>
    <row r="2887" spans="2:3" x14ac:dyDescent="0.2">
      <c r="B2887"/>
      <c r="C2887" s="41"/>
    </row>
    <row r="2888" spans="2:3" x14ac:dyDescent="0.2">
      <c r="B2888"/>
      <c r="C2888" s="41"/>
    </row>
    <row r="2889" spans="2:3" x14ac:dyDescent="0.2">
      <c r="B2889"/>
      <c r="C2889" s="41"/>
    </row>
    <row r="2890" spans="2:3" x14ac:dyDescent="0.2">
      <c r="B2890"/>
      <c r="C2890" s="41"/>
    </row>
    <row r="2891" spans="2:3" x14ac:dyDescent="0.2">
      <c r="B2891"/>
      <c r="C2891" s="41"/>
    </row>
    <row r="2892" spans="2:3" x14ac:dyDescent="0.2">
      <c r="B2892"/>
      <c r="C2892" s="41"/>
    </row>
    <row r="2893" spans="2:3" x14ac:dyDescent="0.2">
      <c r="B2893"/>
      <c r="C2893" s="41"/>
    </row>
    <row r="2894" spans="2:3" x14ac:dyDescent="0.2">
      <c r="B2894"/>
      <c r="C2894" s="41"/>
    </row>
    <row r="2895" spans="2:3" x14ac:dyDescent="0.2">
      <c r="B2895"/>
      <c r="C2895" s="41"/>
    </row>
    <row r="2896" spans="2:3" x14ac:dyDescent="0.2">
      <c r="B2896"/>
      <c r="C2896" s="41"/>
    </row>
    <row r="2897" spans="2:3" x14ac:dyDescent="0.2">
      <c r="B2897"/>
      <c r="C2897" s="41"/>
    </row>
    <row r="2898" spans="2:3" x14ac:dyDescent="0.2">
      <c r="B2898"/>
      <c r="C2898" s="41"/>
    </row>
    <row r="2899" spans="2:3" x14ac:dyDescent="0.2">
      <c r="B2899"/>
      <c r="C2899" s="41"/>
    </row>
    <row r="2900" spans="2:3" x14ac:dyDescent="0.2">
      <c r="B2900"/>
      <c r="C2900" s="41"/>
    </row>
    <row r="2901" spans="2:3" x14ac:dyDescent="0.2">
      <c r="B2901"/>
      <c r="C2901" s="41"/>
    </row>
    <row r="2902" spans="2:3" x14ac:dyDescent="0.2">
      <c r="B2902"/>
      <c r="C2902" s="41"/>
    </row>
    <row r="2903" spans="2:3" x14ac:dyDescent="0.2">
      <c r="B2903"/>
      <c r="C2903" s="41"/>
    </row>
    <row r="2904" spans="2:3" x14ac:dyDescent="0.2">
      <c r="B2904"/>
      <c r="C2904" s="41"/>
    </row>
    <row r="2905" spans="2:3" x14ac:dyDescent="0.2">
      <c r="B2905"/>
      <c r="C2905" s="41"/>
    </row>
    <row r="2906" spans="2:3" x14ac:dyDescent="0.2">
      <c r="B2906"/>
      <c r="C2906" s="41"/>
    </row>
    <row r="2907" spans="2:3" x14ac:dyDescent="0.2">
      <c r="B2907"/>
      <c r="C2907" s="41"/>
    </row>
    <row r="2908" spans="2:3" x14ac:dyDescent="0.2">
      <c r="B2908"/>
      <c r="C2908" s="41"/>
    </row>
    <row r="2909" spans="2:3" x14ac:dyDescent="0.2">
      <c r="B2909"/>
      <c r="C2909" s="41"/>
    </row>
    <row r="2910" spans="2:3" x14ac:dyDescent="0.2">
      <c r="B2910"/>
      <c r="C2910" s="41"/>
    </row>
    <row r="2911" spans="2:3" x14ac:dyDescent="0.2">
      <c r="B2911"/>
      <c r="C2911" s="41"/>
    </row>
    <row r="2912" spans="2:3" x14ac:dyDescent="0.2">
      <c r="B2912"/>
      <c r="C2912" s="41"/>
    </row>
    <row r="2913" spans="2:3" x14ac:dyDescent="0.2">
      <c r="B2913"/>
      <c r="C2913" s="41"/>
    </row>
    <row r="2914" spans="2:3" x14ac:dyDescent="0.2">
      <c r="B2914"/>
      <c r="C2914" s="41"/>
    </row>
    <row r="2915" spans="2:3" x14ac:dyDescent="0.2">
      <c r="B2915"/>
      <c r="C2915" s="41"/>
    </row>
    <row r="2916" spans="2:3" x14ac:dyDescent="0.2">
      <c r="B2916"/>
      <c r="C2916" s="41"/>
    </row>
    <row r="2917" spans="2:3" x14ac:dyDescent="0.2">
      <c r="B2917"/>
      <c r="C2917" s="41"/>
    </row>
    <row r="2918" spans="2:3" x14ac:dyDescent="0.2">
      <c r="B2918"/>
      <c r="C2918" s="41"/>
    </row>
    <row r="2919" spans="2:3" x14ac:dyDescent="0.2">
      <c r="B2919"/>
      <c r="C2919" s="41"/>
    </row>
    <row r="2920" spans="2:3" x14ac:dyDescent="0.2">
      <c r="B2920"/>
      <c r="C2920" s="41"/>
    </row>
    <row r="2921" spans="2:3" x14ac:dyDescent="0.2">
      <c r="B2921"/>
      <c r="C2921" s="41"/>
    </row>
    <row r="2922" spans="2:3" x14ac:dyDescent="0.2">
      <c r="B2922"/>
      <c r="C2922" s="41"/>
    </row>
    <row r="2923" spans="2:3" x14ac:dyDescent="0.2">
      <c r="B2923"/>
      <c r="C2923" s="41"/>
    </row>
    <row r="2924" spans="2:3" x14ac:dyDescent="0.2">
      <c r="B2924"/>
      <c r="C2924" s="41"/>
    </row>
    <row r="2925" spans="2:3" x14ac:dyDescent="0.2">
      <c r="B2925"/>
      <c r="C2925" s="41"/>
    </row>
    <row r="2926" spans="2:3" x14ac:dyDescent="0.2">
      <c r="B2926"/>
      <c r="C2926" s="41"/>
    </row>
    <row r="2927" spans="2:3" x14ac:dyDescent="0.2">
      <c r="B2927"/>
      <c r="C2927" s="41"/>
    </row>
    <row r="2928" spans="2:3" x14ac:dyDescent="0.2">
      <c r="B2928"/>
      <c r="C2928" s="41"/>
    </row>
    <row r="2929" spans="2:3" x14ac:dyDescent="0.2">
      <c r="B2929"/>
      <c r="C2929" s="41"/>
    </row>
    <row r="2930" spans="2:3" x14ac:dyDescent="0.2">
      <c r="B2930"/>
      <c r="C2930" s="41"/>
    </row>
    <row r="2931" spans="2:3" x14ac:dyDescent="0.2">
      <c r="B2931"/>
      <c r="C2931" s="41"/>
    </row>
    <row r="2932" spans="2:3" x14ac:dyDescent="0.2">
      <c r="B2932"/>
      <c r="C2932" s="41"/>
    </row>
    <row r="2933" spans="2:3" x14ac:dyDescent="0.2">
      <c r="B2933"/>
      <c r="C2933" s="41"/>
    </row>
    <row r="2934" spans="2:3" x14ac:dyDescent="0.2">
      <c r="B2934"/>
      <c r="C2934" s="41"/>
    </row>
    <row r="2935" spans="2:3" x14ac:dyDescent="0.2">
      <c r="B2935"/>
      <c r="C2935" s="41"/>
    </row>
    <row r="2936" spans="2:3" x14ac:dyDescent="0.2">
      <c r="B2936"/>
      <c r="C2936" s="41"/>
    </row>
    <row r="2937" spans="2:3" x14ac:dyDescent="0.2">
      <c r="B2937"/>
      <c r="C2937" s="41"/>
    </row>
    <row r="2938" spans="2:3" x14ac:dyDescent="0.2">
      <c r="B2938"/>
      <c r="C2938" s="41"/>
    </row>
    <row r="2939" spans="2:3" x14ac:dyDescent="0.2">
      <c r="B2939"/>
      <c r="C2939" s="41"/>
    </row>
    <row r="2940" spans="2:3" x14ac:dyDescent="0.2">
      <c r="B2940"/>
      <c r="C2940" s="41"/>
    </row>
    <row r="2941" spans="2:3" x14ac:dyDescent="0.2">
      <c r="B2941"/>
      <c r="C2941" s="41"/>
    </row>
    <row r="2942" spans="2:3" x14ac:dyDescent="0.2">
      <c r="B2942"/>
      <c r="C2942" s="41"/>
    </row>
    <row r="2943" spans="2:3" x14ac:dyDescent="0.2">
      <c r="B2943"/>
      <c r="C2943" s="41"/>
    </row>
    <row r="2944" spans="2:3" x14ac:dyDescent="0.2">
      <c r="B2944"/>
      <c r="C2944" s="41"/>
    </row>
    <row r="2945" spans="2:3" x14ac:dyDescent="0.2">
      <c r="B2945"/>
      <c r="C2945" s="41"/>
    </row>
    <row r="2946" spans="2:3" x14ac:dyDescent="0.2">
      <c r="B2946"/>
      <c r="C2946" s="41"/>
    </row>
    <row r="2947" spans="2:3" x14ac:dyDescent="0.2">
      <c r="B2947"/>
      <c r="C2947" s="41"/>
    </row>
    <row r="2948" spans="2:3" x14ac:dyDescent="0.2">
      <c r="B2948"/>
      <c r="C2948" s="41"/>
    </row>
    <row r="2949" spans="2:3" x14ac:dyDescent="0.2">
      <c r="B2949"/>
      <c r="C2949" s="41"/>
    </row>
    <row r="2950" spans="2:3" x14ac:dyDescent="0.2">
      <c r="B2950"/>
      <c r="C2950" s="41"/>
    </row>
    <row r="2951" spans="2:3" x14ac:dyDescent="0.2">
      <c r="B2951"/>
      <c r="C2951" s="41"/>
    </row>
    <row r="2952" spans="2:3" x14ac:dyDescent="0.2">
      <c r="B2952"/>
      <c r="C2952" s="41"/>
    </row>
    <row r="2953" spans="2:3" x14ac:dyDescent="0.2">
      <c r="B2953"/>
      <c r="C2953" s="41"/>
    </row>
    <row r="2954" spans="2:3" x14ac:dyDescent="0.2">
      <c r="B2954"/>
      <c r="C2954" s="41"/>
    </row>
    <row r="2955" spans="2:3" x14ac:dyDescent="0.2">
      <c r="B2955"/>
      <c r="C2955" s="41"/>
    </row>
    <row r="2956" spans="2:3" x14ac:dyDescent="0.2">
      <c r="B2956"/>
      <c r="C2956" s="41"/>
    </row>
    <row r="2957" spans="2:3" x14ac:dyDescent="0.2">
      <c r="B2957"/>
      <c r="C2957" s="41"/>
    </row>
    <row r="2958" spans="2:3" x14ac:dyDescent="0.2">
      <c r="B2958"/>
      <c r="C2958" s="41"/>
    </row>
    <row r="2959" spans="2:3" x14ac:dyDescent="0.2">
      <c r="B2959"/>
      <c r="C2959" s="41"/>
    </row>
    <row r="2960" spans="2:3" x14ac:dyDescent="0.2">
      <c r="B2960"/>
      <c r="C2960" s="41"/>
    </row>
    <row r="2961" spans="2:3" x14ac:dyDescent="0.2">
      <c r="B2961"/>
      <c r="C2961" s="41"/>
    </row>
    <row r="2962" spans="2:3" x14ac:dyDescent="0.2">
      <c r="B2962"/>
      <c r="C2962" s="41"/>
    </row>
    <row r="2963" spans="2:3" x14ac:dyDescent="0.2">
      <c r="B2963"/>
      <c r="C2963" s="41"/>
    </row>
    <row r="2964" spans="2:3" x14ac:dyDescent="0.2">
      <c r="B2964"/>
      <c r="C2964" s="41"/>
    </row>
    <row r="2965" spans="2:3" x14ac:dyDescent="0.2">
      <c r="B2965"/>
      <c r="C2965" s="41"/>
    </row>
    <row r="2966" spans="2:3" x14ac:dyDescent="0.2">
      <c r="B2966"/>
      <c r="C2966" s="41"/>
    </row>
    <row r="2967" spans="2:3" x14ac:dyDescent="0.2">
      <c r="B2967"/>
      <c r="C2967" s="41"/>
    </row>
    <row r="2968" spans="2:3" x14ac:dyDescent="0.2">
      <c r="B2968"/>
      <c r="C2968" s="41"/>
    </row>
    <row r="2969" spans="2:3" x14ac:dyDescent="0.2">
      <c r="B2969"/>
      <c r="C2969" s="41"/>
    </row>
    <row r="2970" spans="2:3" x14ac:dyDescent="0.2">
      <c r="B2970"/>
      <c r="C2970" s="41"/>
    </row>
    <row r="2971" spans="2:3" x14ac:dyDescent="0.2">
      <c r="B2971"/>
      <c r="C2971" s="41"/>
    </row>
    <row r="2972" spans="2:3" x14ac:dyDescent="0.2">
      <c r="B2972"/>
      <c r="C2972" s="41"/>
    </row>
    <row r="2973" spans="2:3" x14ac:dyDescent="0.2">
      <c r="B2973"/>
      <c r="C2973" s="41"/>
    </row>
    <row r="2974" spans="2:3" x14ac:dyDescent="0.2">
      <c r="B2974"/>
      <c r="C2974" s="41"/>
    </row>
    <row r="2975" spans="2:3" x14ac:dyDescent="0.2">
      <c r="B2975"/>
      <c r="C2975" s="41"/>
    </row>
    <row r="2976" spans="2:3" x14ac:dyDescent="0.2">
      <c r="B2976"/>
      <c r="C2976" s="41"/>
    </row>
    <row r="2977" spans="2:3" x14ac:dyDescent="0.2">
      <c r="B2977"/>
      <c r="C2977" s="41"/>
    </row>
    <row r="2978" spans="2:3" x14ac:dyDescent="0.2">
      <c r="B2978"/>
      <c r="C2978" s="41"/>
    </row>
    <row r="2979" spans="2:3" x14ac:dyDescent="0.2">
      <c r="B2979"/>
      <c r="C2979" s="41"/>
    </row>
    <row r="2980" spans="2:3" x14ac:dyDescent="0.2">
      <c r="B2980"/>
      <c r="C2980" s="41"/>
    </row>
    <row r="2981" spans="2:3" x14ac:dyDescent="0.2">
      <c r="B2981"/>
      <c r="C2981" s="41"/>
    </row>
    <row r="2982" spans="2:3" x14ac:dyDescent="0.2">
      <c r="B2982"/>
      <c r="C2982" s="41"/>
    </row>
    <row r="2983" spans="2:3" x14ac:dyDescent="0.2">
      <c r="B2983"/>
      <c r="C2983" s="41"/>
    </row>
    <row r="2984" spans="2:3" x14ac:dyDescent="0.2">
      <c r="B2984"/>
      <c r="C2984" s="41"/>
    </row>
    <row r="2985" spans="2:3" x14ac:dyDescent="0.2">
      <c r="B2985"/>
      <c r="C2985" s="41"/>
    </row>
    <row r="2986" spans="2:3" x14ac:dyDescent="0.2">
      <c r="B2986"/>
      <c r="C2986" s="41"/>
    </row>
    <row r="2987" spans="2:3" x14ac:dyDescent="0.2">
      <c r="B2987"/>
      <c r="C2987" s="41"/>
    </row>
    <row r="2988" spans="2:3" x14ac:dyDescent="0.2">
      <c r="B2988"/>
      <c r="C2988" s="41"/>
    </row>
    <row r="2989" spans="2:3" x14ac:dyDescent="0.2">
      <c r="B2989"/>
      <c r="C2989" s="41"/>
    </row>
    <row r="2990" spans="2:3" x14ac:dyDescent="0.2">
      <c r="B2990"/>
      <c r="C2990" s="41"/>
    </row>
    <row r="2991" spans="2:3" x14ac:dyDescent="0.2">
      <c r="B2991"/>
      <c r="C2991" s="41"/>
    </row>
    <row r="2992" spans="2:3" x14ac:dyDescent="0.2">
      <c r="B2992"/>
      <c r="C2992" s="41"/>
    </row>
    <row r="2993" spans="2:3" x14ac:dyDescent="0.2">
      <c r="B2993"/>
      <c r="C2993" s="41"/>
    </row>
    <row r="2994" spans="2:3" x14ac:dyDescent="0.2">
      <c r="B2994"/>
      <c r="C2994" s="41"/>
    </row>
    <row r="2995" spans="2:3" x14ac:dyDescent="0.2">
      <c r="B2995"/>
      <c r="C2995" s="41"/>
    </row>
    <row r="2996" spans="2:3" x14ac:dyDescent="0.2">
      <c r="B2996"/>
      <c r="C2996" s="41"/>
    </row>
    <row r="2997" spans="2:3" x14ac:dyDescent="0.2">
      <c r="B2997"/>
      <c r="C2997" s="41"/>
    </row>
    <row r="2998" spans="2:3" x14ac:dyDescent="0.2">
      <c r="B2998"/>
      <c r="C2998" s="41"/>
    </row>
    <row r="2999" spans="2:3" x14ac:dyDescent="0.2">
      <c r="B2999"/>
      <c r="C2999" s="41"/>
    </row>
    <row r="3000" spans="2:3" x14ac:dyDescent="0.2">
      <c r="B3000"/>
      <c r="C3000" s="41"/>
    </row>
    <row r="3001" spans="2:3" x14ac:dyDescent="0.2">
      <c r="B3001"/>
      <c r="C3001" s="41"/>
    </row>
    <row r="3002" spans="2:3" x14ac:dyDescent="0.2">
      <c r="B3002"/>
      <c r="C3002" s="41"/>
    </row>
    <row r="3003" spans="2:3" x14ac:dyDescent="0.2">
      <c r="B3003"/>
      <c r="C3003" s="41"/>
    </row>
    <row r="3004" spans="2:3" x14ac:dyDescent="0.2">
      <c r="B3004"/>
      <c r="C3004" s="41"/>
    </row>
    <row r="3005" spans="2:3" x14ac:dyDescent="0.2">
      <c r="B3005"/>
      <c r="C3005" s="41"/>
    </row>
    <row r="3006" spans="2:3" x14ac:dyDescent="0.2">
      <c r="B3006"/>
      <c r="C3006" s="41"/>
    </row>
    <row r="3007" spans="2:3" x14ac:dyDescent="0.2">
      <c r="B3007"/>
      <c r="C3007" s="41"/>
    </row>
    <row r="3008" spans="2:3" x14ac:dyDescent="0.2">
      <c r="B3008"/>
      <c r="C3008" s="41"/>
    </row>
    <row r="3009" spans="2:3" x14ac:dyDescent="0.2">
      <c r="B3009"/>
      <c r="C3009" s="41"/>
    </row>
    <row r="3010" spans="2:3" x14ac:dyDescent="0.2">
      <c r="B3010"/>
      <c r="C3010" s="41"/>
    </row>
    <row r="3011" spans="2:3" x14ac:dyDescent="0.2">
      <c r="B3011"/>
      <c r="C3011" s="41"/>
    </row>
    <row r="3012" spans="2:3" x14ac:dyDescent="0.2">
      <c r="B3012"/>
      <c r="C3012" s="41"/>
    </row>
    <row r="3013" spans="2:3" x14ac:dyDescent="0.2">
      <c r="B3013"/>
      <c r="C3013" s="41"/>
    </row>
    <row r="3014" spans="2:3" x14ac:dyDescent="0.2">
      <c r="B3014"/>
      <c r="C3014" s="41"/>
    </row>
    <row r="3015" spans="2:3" x14ac:dyDescent="0.2">
      <c r="B3015"/>
      <c r="C3015" s="41"/>
    </row>
    <row r="3016" spans="2:3" x14ac:dyDescent="0.2">
      <c r="B3016"/>
      <c r="C3016" s="41"/>
    </row>
    <row r="3017" spans="2:3" x14ac:dyDescent="0.2">
      <c r="B3017"/>
      <c r="C3017" s="41"/>
    </row>
    <row r="3018" spans="2:3" x14ac:dyDescent="0.2">
      <c r="B3018"/>
      <c r="C3018" s="41"/>
    </row>
    <row r="3019" spans="2:3" x14ac:dyDescent="0.2">
      <c r="B3019"/>
      <c r="C3019" s="41"/>
    </row>
    <row r="3020" spans="2:3" x14ac:dyDescent="0.2">
      <c r="B3020"/>
      <c r="C3020" s="41"/>
    </row>
    <row r="3021" spans="2:3" x14ac:dyDescent="0.2">
      <c r="B3021"/>
      <c r="C3021" s="41"/>
    </row>
    <row r="3022" spans="2:3" x14ac:dyDescent="0.2">
      <c r="B3022"/>
      <c r="C3022" s="41"/>
    </row>
    <row r="3023" spans="2:3" x14ac:dyDescent="0.2">
      <c r="B3023"/>
      <c r="C3023" s="41"/>
    </row>
    <row r="3024" spans="2:3" x14ac:dyDescent="0.2">
      <c r="B3024"/>
      <c r="C3024" s="41"/>
    </row>
    <row r="3025" spans="2:3" x14ac:dyDescent="0.2">
      <c r="B3025"/>
      <c r="C3025" s="41"/>
    </row>
    <row r="3026" spans="2:3" x14ac:dyDescent="0.2">
      <c r="B3026"/>
      <c r="C3026" s="41"/>
    </row>
    <row r="3027" spans="2:3" x14ac:dyDescent="0.2">
      <c r="B3027"/>
      <c r="C3027" s="41"/>
    </row>
    <row r="3028" spans="2:3" x14ac:dyDescent="0.2">
      <c r="B3028"/>
      <c r="C3028" s="41"/>
    </row>
    <row r="3029" spans="2:3" x14ac:dyDescent="0.2">
      <c r="B3029"/>
      <c r="C3029" s="41"/>
    </row>
    <row r="3030" spans="2:3" x14ac:dyDescent="0.2">
      <c r="B3030"/>
      <c r="C3030" s="41"/>
    </row>
    <row r="3031" spans="2:3" x14ac:dyDescent="0.2">
      <c r="B3031"/>
      <c r="C3031" s="41"/>
    </row>
    <row r="3032" spans="2:3" x14ac:dyDescent="0.2">
      <c r="B3032"/>
      <c r="C3032" s="41"/>
    </row>
    <row r="3033" spans="2:3" x14ac:dyDescent="0.2">
      <c r="B3033"/>
      <c r="C3033" s="41"/>
    </row>
    <row r="3034" spans="2:3" x14ac:dyDescent="0.2">
      <c r="B3034"/>
      <c r="C3034" s="41"/>
    </row>
    <row r="3035" spans="2:3" x14ac:dyDescent="0.2">
      <c r="B3035"/>
      <c r="C3035" s="41"/>
    </row>
    <row r="3036" spans="2:3" x14ac:dyDescent="0.2">
      <c r="B3036"/>
      <c r="C3036" s="41"/>
    </row>
    <row r="3037" spans="2:3" x14ac:dyDescent="0.2">
      <c r="B3037"/>
      <c r="C3037" s="41"/>
    </row>
    <row r="3038" spans="2:3" x14ac:dyDescent="0.2">
      <c r="B3038"/>
      <c r="C3038" s="41"/>
    </row>
    <row r="3039" spans="2:3" x14ac:dyDescent="0.2">
      <c r="B3039"/>
      <c r="C3039" s="41"/>
    </row>
    <row r="3040" spans="2:3" x14ac:dyDescent="0.2">
      <c r="B3040"/>
      <c r="C3040" s="41"/>
    </row>
    <row r="3041" spans="2:3" x14ac:dyDescent="0.2">
      <c r="B3041"/>
      <c r="C3041" s="41"/>
    </row>
    <row r="3042" spans="2:3" x14ac:dyDescent="0.2">
      <c r="B3042"/>
      <c r="C3042" s="41"/>
    </row>
    <row r="3043" spans="2:3" x14ac:dyDescent="0.2">
      <c r="B3043"/>
      <c r="C3043" s="41"/>
    </row>
    <row r="3044" spans="2:3" x14ac:dyDescent="0.2">
      <c r="B3044"/>
      <c r="C3044" s="41"/>
    </row>
    <row r="3045" spans="2:3" x14ac:dyDescent="0.2">
      <c r="B3045"/>
      <c r="C3045" s="41"/>
    </row>
    <row r="3046" spans="2:3" x14ac:dyDescent="0.2">
      <c r="B3046"/>
      <c r="C3046" s="41"/>
    </row>
    <row r="3047" spans="2:3" x14ac:dyDescent="0.2">
      <c r="B3047"/>
      <c r="C3047" s="41"/>
    </row>
    <row r="3048" spans="2:3" x14ac:dyDescent="0.2">
      <c r="B3048"/>
      <c r="C3048" s="41"/>
    </row>
    <row r="3049" spans="2:3" x14ac:dyDescent="0.2">
      <c r="B3049"/>
      <c r="C3049" s="41"/>
    </row>
    <row r="3050" spans="2:3" x14ac:dyDescent="0.2">
      <c r="B3050"/>
      <c r="C3050" s="41"/>
    </row>
    <row r="3051" spans="2:3" x14ac:dyDescent="0.2">
      <c r="B3051"/>
      <c r="C3051" s="41"/>
    </row>
    <row r="3052" spans="2:3" x14ac:dyDescent="0.2">
      <c r="B3052"/>
      <c r="C3052" s="41"/>
    </row>
    <row r="3053" spans="2:3" x14ac:dyDescent="0.2">
      <c r="B3053"/>
      <c r="C3053" s="41"/>
    </row>
    <row r="3054" spans="2:3" x14ac:dyDescent="0.2">
      <c r="B3054"/>
      <c r="C3054" s="41"/>
    </row>
    <row r="3055" spans="2:3" x14ac:dyDescent="0.2">
      <c r="B3055"/>
      <c r="C3055" s="41"/>
    </row>
    <row r="3056" spans="2:3" x14ac:dyDescent="0.2">
      <c r="B3056"/>
      <c r="C3056" s="41"/>
    </row>
    <row r="3057" spans="2:3" x14ac:dyDescent="0.2">
      <c r="B3057"/>
      <c r="C3057" s="41"/>
    </row>
    <row r="3058" spans="2:3" x14ac:dyDescent="0.2">
      <c r="B3058"/>
      <c r="C3058" s="41"/>
    </row>
    <row r="3059" spans="2:3" x14ac:dyDescent="0.2">
      <c r="B3059"/>
      <c r="C3059" s="41"/>
    </row>
    <row r="3060" spans="2:3" x14ac:dyDescent="0.2">
      <c r="B3060"/>
      <c r="C3060" s="41"/>
    </row>
    <row r="3061" spans="2:3" x14ac:dyDescent="0.2">
      <c r="B3061"/>
      <c r="C3061" s="41"/>
    </row>
    <row r="3062" spans="2:3" x14ac:dyDescent="0.2">
      <c r="B3062"/>
      <c r="C3062" s="41"/>
    </row>
    <row r="3063" spans="2:3" x14ac:dyDescent="0.2">
      <c r="B3063"/>
      <c r="C3063" s="41"/>
    </row>
    <row r="3064" spans="2:3" x14ac:dyDescent="0.2">
      <c r="B3064"/>
      <c r="C3064" s="41"/>
    </row>
    <row r="3065" spans="2:3" x14ac:dyDescent="0.2">
      <c r="B3065"/>
      <c r="C3065" s="41"/>
    </row>
    <row r="3066" spans="2:3" x14ac:dyDescent="0.2">
      <c r="B3066"/>
      <c r="C3066" s="41"/>
    </row>
    <row r="3067" spans="2:3" x14ac:dyDescent="0.2">
      <c r="B3067"/>
      <c r="C3067" s="41"/>
    </row>
    <row r="3068" spans="2:3" x14ac:dyDescent="0.2">
      <c r="B3068"/>
      <c r="C3068" s="41"/>
    </row>
    <row r="3069" spans="2:3" x14ac:dyDescent="0.2">
      <c r="B3069"/>
      <c r="C3069" s="41"/>
    </row>
    <row r="3070" spans="2:3" x14ac:dyDescent="0.2">
      <c r="B3070"/>
      <c r="C3070" s="41"/>
    </row>
    <row r="3071" spans="2:3" x14ac:dyDescent="0.2">
      <c r="B3071"/>
      <c r="C3071" s="41"/>
    </row>
    <row r="3072" spans="2:3" x14ac:dyDescent="0.2">
      <c r="B3072"/>
      <c r="C3072" s="41"/>
    </row>
    <row r="3073" spans="2:3" x14ac:dyDescent="0.2">
      <c r="B3073"/>
      <c r="C3073" s="41"/>
    </row>
    <row r="3074" spans="2:3" x14ac:dyDescent="0.2">
      <c r="B3074"/>
      <c r="C3074" s="41"/>
    </row>
    <row r="3075" spans="2:3" x14ac:dyDescent="0.2">
      <c r="B3075"/>
      <c r="C3075" s="41"/>
    </row>
    <row r="3076" spans="2:3" x14ac:dyDescent="0.2">
      <c r="B3076"/>
      <c r="C3076" s="41"/>
    </row>
    <row r="3077" spans="2:3" x14ac:dyDescent="0.2">
      <c r="B3077"/>
      <c r="C3077" s="41"/>
    </row>
    <row r="3078" spans="2:3" x14ac:dyDescent="0.2">
      <c r="B3078"/>
      <c r="C3078" s="41"/>
    </row>
    <row r="3079" spans="2:3" x14ac:dyDescent="0.2">
      <c r="B3079"/>
      <c r="C3079" s="41"/>
    </row>
    <row r="3080" spans="2:3" x14ac:dyDescent="0.2">
      <c r="B3080"/>
      <c r="C3080" s="41"/>
    </row>
    <row r="3081" spans="2:3" x14ac:dyDescent="0.2">
      <c r="B3081"/>
      <c r="C3081" s="41"/>
    </row>
    <row r="3082" spans="2:3" x14ac:dyDescent="0.2">
      <c r="B3082"/>
      <c r="C3082" s="41"/>
    </row>
    <row r="3083" spans="2:3" x14ac:dyDescent="0.2">
      <c r="B3083"/>
      <c r="C3083" s="41"/>
    </row>
    <row r="3084" spans="2:3" x14ac:dyDescent="0.2">
      <c r="B3084"/>
      <c r="C3084" s="41"/>
    </row>
    <row r="3085" spans="2:3" x14ac:dyDescent="0.2">
      <c r="B3085"/>
      <c r="C3085" s="41"/>
    </row>
    <row r="3086" spans="2:3" x14ac:dyDescent="0.2">
      <c r="B3086"/>
      <c r="C3086" s="41"/>
    </row>
    <row r="3087" spans="2:3" x14ac:dyDescent="0.2">
      <c r="B3087"/>
      <c r="C3087" s="41"/>
    </row>
    <row r="3088" spans="2:3" x14ac:dyDescent="0.2">
      <c r="B3088"/>
      <c r="C3088" s="41"/>
    </row>
    <row r="3089" spans="2:3" x14ac:dyDescent="0.2">
      <c r="B3089"/>
      <c r="C3089" s="41"/>
    </row>
    <row r="3090" spans="2:3" x14ac:dyDescent="0.2">
      <c r="B3090"/>
      <c r="C3090" s="41"/>
    </row>
    <row r="3091" spans="2:3" x14ac:dyDescent="0.2">
      <c r="B3091"/>
      <c r="C3091" s="41"/>
    </row>
    <row r="3092" spans="2:3" x14ac:dyDescent="0.2">
      <c r="B3092"/>
      <c r="C3092" s="41"/>
    </row>
    <row r="3093" spans="2:3" x14ac:dyDescent="0.2">
      <c r="B3093"/>
      <c r="C3093" s="41"/>
    </row>
    <row r="3094" spans="2:3" x14ac:dyDescent="0.2">
      <c r="B3094"/>
      <c r="C3094" s="41"/>
    </row>
    <row r="3095" spans="2:3" x14ac:dyDescent="0.2">
      <c r="B3095"/>
      <c r="C3095" s="41"/>
    </row>
    <row r="3096" spans="2:3" x14ac:dyDescent="0.2">
      <c r="B3096"/>
      <c r="C3096" s="41"/>
    </row>
    <row r="3097" spans="2:3" x14ac:dyDescent="0.2">
      <c r="B3097"/>
      <c r="C3097" s="41"/>
    </row>
    <row r="3098" spans="2:3" x14ac:dyDescent="0.2">
      <c r="B3098"/>
      <c r="C3098" s="41"/>
    </row>
    <row r="3099" spans="2:3" x14ac:dyDescent="0.2">
      <c r="B3099"/>
      <c r="C3099" s="41"/>
    </row>
    <row r="3100" spans="2:3" x14ac:dyDescent="0.2">
      <c r="B3100"/>
      <c r="C3100" s="41"/>
    </row>
    <row r="3101" spans="2:3" x14ac:dyDescent="0.2">
      <c r="B3101"/>
      <c r="C3101" s="41"/>
    </row>
    <row r="3102" spans="2:3" x14ac:dyDescent="0.2">
      <c r="B3102"/>
      <c r="C3102" s="41"/>
    </row>
    <row r="3103" spans="2:3" x14ac:dyDescent="0.2">
      <c r="B3103"/>
      <c r="C3103" s="41"/>
    </row>
    <row r="3104" spans="2:3" x14ac:dyDescent="0.2">
      <c r="B3104"/>
      <c r="C3104" s="41"/>
    </row>
    <row r="3105" spans="2:3" x14ac:dyDescent="0.2">
      <c r="B3105"/>
      <c r="C3105" s="41"/>
    </row>
    <row r="3106" spans="2:3" x14ac:dyDescent="0.2">
      <c r="B3106"/>
      <c r="C3106" s="41"/>
    </row>
    <row r="3107" spans="2:3" x14ac:dyDescent="0.2">
      <c r="B3107"/>
      <c r="C3107" s="41"/>
    </row>
    <row r="3108" spans="2:3" x14ac:dyDescent="0.2">
      <c r="B3108"/>
      <c r="C3108" s="41"/>
    </row>
    <row r="3109" spans="2:3" x14ac:dyDescent="0.2">
      <c r="B3109"/>
      <c r="C3109" s="41"/>
    </row>
    <row r="3110" spans="2:3" x14ac:dyDescent="0.2">
      <c r="B3110"/>
      <c r="C3110" s="41"/>
    </row>
    <row r="3111" spans="2:3" x14ac:dyDescent="0.2">
      <c r="B3111"/>
      <c r="C3111" s="41"/>
    </row>
    <row r="3112" spans="2:3" x14ac:dyDescent="0.2">
      <c r="B3112"/>
      <c r="C3112" s="41"/>
    </row>
    <row r="3113" spans="2:3" x14ac:dyDescent="0.2">
      <c r="B3113"/>
      <c r="C3113" s="41"/>
    </row>
    <row r="3114" spans="2:3" x14ac:dyDescent="0.2">
      <c r="B3114"/>
      <c r="C3114" s="41"/>
    </row>
    <row r="3115" spans="2:3" x14ac:dyDescent="0.2">
      <c r="B3115"/>
      <c r="C3115" s="41"/>
    </row>
    <row r="3116" spans="2:3" x14ac:dyDescent="0.2">
      <c r="B3116"/>
      <c r="C3116" s="41"/>
    </row>
    <row r="3117" spans="2:3" x14ac:dyDescent="0.2">
      <c r="B3117"/>
      <c r="C3117" s="41"/>
    </row>
    <row r="3118" spans="2:3" x14ac:dyDescent="0.2">
      <c r="B3118"/>
      <c r="C3118" s="41"/>
    </row>
    <row r="3119" spans="2:3" x14ac:dyDescent="0.2">
      <c r="B3119"/>
      <c r="C3119" s="41"/>
    </row>
    <row r="3120" spans="2:3" x14ac:dyDescent="0.2">
      <c r="B3120"/>
      <c r="C3120" s="41"/>
    </row>
    <row r="3121" spans="2:3" x14ac:dyDescent="0.2">
      <c r="B3121"/>
      <c r="C3121" s="41"/>
    </row>
    <row r="3122" spans="2:3" x14ac:dyDescent="0.2">
      <c r="B3122"/>
      <c r="C3122" s="41"/>
    </row>
    <row r="3123" spans="2:3" x14ac:dyDescent="0.2">
      <c r="B3123"/>
      <c r="C3123" s="41"/>
    </row>
    <row r="3124" spans="2:3" x14ac:dyDescent="0.2">
      <c r="B3124"/>
      <c r="C3124" s="41"/>
    </row>
    <row r="3125" spans="2:3" x14ac:dyDescent="0.2">
      <c r="B3125"/>
      <c r="C3125" s="41"/>
    </row>
    <row r="3126" spans="2:3" x14ac:dyDescent="0.2">
      <c r="B3126"/>
      <c r="C3126" s="41"/>
    </row>
    <row r="3127" spans="2:3" x14ac:dyDescent="0.2">
      <c r="B3127"/>
      <c r="C3127" s="41"/>
    </row>
    <row r="3128" spans="2:3" x14ac:dyDescent="0.2">
      <c r="B3128"/>
      <c r="C3128" s="41"/>
    </row>
    <row r="3129" spans="2:3" x14ac:dyDescent="0.2">
      <c r="B3129"/>
      <c r="C3129" s="41"/>
    </row>
    <row r="3130" spans="2:3" x14ac:dyDescent="0.2">
      <c r="B3130"/>
      <c r="C3130" s="41"/>
    </row>
    <row r="3131" spans="2:3" x14ac:dyDescent="0.2">
      <c r="B3131"/>
      <c r="C3131" s="41"/>
    </row>
    <row r="3132" spans="2:3" x14ac:dyDescent="0.2">
      <c r="B3132"/>
      <c r="C3132" s="41"/>
    </row>
    <row r="3133" spans="2:3" x14ac:dyDescent="0.2">
      <c r="B3133"/>
      <c r="C3133" s="41"/>
    </row>
    <row r="3134" spans="2:3" x14ac:dyDescent="0.2">
      <c r="B3134"/>
      <c r="C3134" s="41"/>
    </row>
    <row r="3135" spans="2:3" x14ac:dyDescent="0.2">
      <c r="B3135"/>
      <c r="C3135" s="41"/>
    </row>
    <row r="3136" spans="2:3" x14ac:dyDescent="0.2">
      <c r="B3136"/>
      <c r="C3136" s="41"/>
    </row>
    <row r="3137" spans="2:3" x14ac:dyDescent="0.2">
      <c r="B3137"/>
      <c r="C3137" s="41"/>
    </row>
    <row r="3138" spans="2:3" x14ac:dyDescent="0.2">
      <c r="B3138"/>
      <c r="C3138" s="41"/>
    </row>
    <row r="3139" spans="2:3" x14ac:dyDescent="0.2">
      <c r="B3139"/>
      <c r="C3139" s="41"/>
    </row>
    <row r="3140" spans="2:3" x14ac:dyDescent="0.2">
      <c r="B3140"/>
      <c r="C3140" s="41"/>
    </row>
    <row r="3141" spans="2:3" x14ac:dyDescent="0.2">
      <c r="B3141"/>
      <c r="C3141" s="41"/>
    </row>
    <row r="3142" spans="2:3" x14ac:dyDescent="0.2">
      <c r="B3142"/>
      <c r="C3142" s="41"/>
    </row>
    <row r="3143" spans="2:3" x14ac:dyDescent="0.2">
      <c r="B3143"/>
      <c r="C3143" s="41"/>
    </row>
    <row r="3144" spans="2:3" x14ac:dyDescent="0.2">
      <c r="B3144"/>
      <c r="C3144" s="41"/>
    </row>
    <row r="3145" spans="2:3" x14ac:dyDescent="0.2">
      <c r="B3145"/>
      <c r="C3145" s="41"/>
    </row>
    <row r="3146" spans="2:3" x14ac:dyDescent="0.2">
      <c r="B3146"/>
      <c r="C3146" s="41"/>
    </row>
    <row r="3147" spans="2:3" x14ac:dyDescent="0.2">
      <c r="B3147"/>
      <c r="C3147" s="41"/>
    </row>
    <row r="3148" spans="2:3" x14ac:dyDescent="0.2">
      <c r="B3148"/>
      <c r="C3148" s="41"/>
    </row>
    <row r="3149" spans="2:3" x14ac:dyDescent="0.2">
      <c r="B3149"/>
      <c r="C3149" s="41"/>
    </row>
    <row r="3150" spans="2:3" x14ac:dyDescent="0.2">
      <c r="B3150"/>
      <c r="C3150" s="41"/>
    </row>
    <row r="3151" spans="2:3" x14ac:dyDescent="0.2">
      <c r="B3151"/>
      <c r="C3151" s="41"/>
    </row>
    <row r="3152" spans="2:3" x14ac:dyDescent="0.2">
      <c r="B3152"/>
      <c r="C3152" s="41"/>
    </row>
    <row r="3153" spans="2:3" x14ac:dyDescent="0.2">
      <c r="B3153"/>
      <c r="C3153" s="41"/>
    </row>
    <row r="3154" spans="2:3" x14ac:dyDescent="0.2">
      <c r="B3154"/>
      <c r="C3154" s="41"/>
    </row>
    <row r="3155" spans="2:3" x14ac:dyDescent="0.2">
      <c r="B3155"/>
      <c r="C3155" s="41"/>
    </row>
    <row r="3156" spans="2:3" x14ac:dyDescent="0.2">
      <c r="B3156"/>
      <c r="C3156" s="41"/>
    </row>
    <row r="3157" spans="2:3" x14ac:dyDescent="0.2">
      <c r="B3157"/>
      <c r="C3157" s="41"/>
    </row>
    <row r="3158" spans="2:3" x14ac:dyDescent="0.2">
      <c r="B3158"/>
      <c r="C3158" s="41"/>
    </row>
    <row r="3159" spans="2:3" x14ac:dyDescent="0.2">
      <c r="B3159"/>
      <c r="C3159" s="41"/>
    </row>
    <row r="3160" spans="2:3" x14ac:dyDescent="0.2">
      <c r="B3160"/>
      <c r="C3160" s="41"/>
    </row>
    <row r="3161" spans="2:3" x14ac:dyDescent="0.2">
      <c r="B3161"/>
      <c r="C3161" s="41"/>
    </row>
    <row r="3162" spans="2:3" x14ac:dyDescent="0.2">
      <c r="B3162"/>
      <c r="C3162" s="41"/>
    </row>
    <row r="3163" spans="2:3" x14ac:dyDescent="0.2">
      <c r="B3163"/>
      <c r="C3163" s="41"/>
    </row>
    <row r="3164" spans="2:3" x14ac:dyDescent="0.2">
      <c r="B3164"/>
      <c r="C3164" s="41"/>
    </row>
    <row r="3165" spans="2:3" x14ac:dyDescent="0.2">
      <c r="B3165"/>
      <c r="C3165" s="41"/>
    </row>
    <row r="3166" spans="2:3" x14ac:dyDescent="0.2">
      <c r="B3166"/>
      <c r="C3166" s="41"/>
    </row>
    <row r="3167" spans="2:3" x14ac:dyDescent="0.2">
      <c r="B3167"/>
      <c r="C3167" s="41"/>
    </row>
    <row r="3168" spans="2:3" x14ac:dyDescent="0.2">
      <c r="B3168"/>
      <c r="C3168" s="41"/>
    </row>
    <row r="3169" spans="2:3" x14ac:dyDescent="0.2">
      <c r="B3169"/>
      <c r="C3169" s="41"/>
    </row>
    <row r="3170" spans="2:3" x14ac:dyDescent="0.2">
      <c r="B3170"/>
      <c r="C3170" s="41"/>
    </row>
    <row r="3171" spans="2:3" x14ac:dyDescent="0.2">
      <c r="B3171"/>
      <c r="C3171" s="41"/>
    </row>
    <row r="3172" spans="2:3" x14ac:dyDescent="0.2">
      <c r="B3172"/>
      <c r="C3172" s="41"/>
    </row>
    <row r="3173" spans="2:3" x14ac:dyDescent="0.2">
      <c r="B3173"/>
      <c r="C3173" s="41"/>
    </row>
    <row r="3174" spans="2:3" x14ac:dyDescent="0.2">
      <c r="B3174"/>
      <c r="C3174" s="41"/>
    </row>
    <row r="3175" spans="2:3" x14ac:dyDescent="0.2">
      <c r="B3175"/>
      <c r="C3175" s="41"/>
    </row>
    <row r="3176" spans="2:3" x14ac:dyDescent="0.2">
      <c r="B3176"/>
      <c r="C3176" s="41"/>
    </row>
    <row r="3177" spans="2:3" x14ac:dyDescent="0.2">
      <c r="B3177"/>
      <c r="C3177" s="41"/>
    </row>
    <row r="3178" spans="2:3" x14ac:dyDescent="0.2">
      <c r="B3178"/>
      <c r="C3178" s="41"/>
    </row>
    <row r="3179" spans="2:3" x14ac:dyDescent="0.2">
      <c r="B3179"/>
      <c r="C3179" s="41"/>
    </row>
    <row r="3180" spans="2:3" x14ac:dyDescent="0.2">
      <c r="B3180"/>
      <c r="C3180" s="41"/>
    </row>
    <row r="3181" spans="2:3" x14ac:dyDescent="0.2">
      <c r="B3181"/>
      <c r="C3181" s="41"/>
    </row>
    <row r="3182" spans="2:3" x14ac:dyDescent="0.2">
      <c r="B3182"/>
      <c r="C3182" s="41"/>
    </row>
    <row r="3183" spans="2:3" x14ac:dyDescent="0.2">
      <c r="B3183"/>
      <c r="C3183" s="41"/>
    </row>
    <row r="3184" spans="2:3" x14ac:dyDescent="0.2">
      <c r="B3184"/>
      <c r="C3184" s="41"/>
    </row>
    <row r="3185" spans="2:3" x14ac:dyDescent="0.2">
      <c r="B3185"/>
      <c r="C3185" s="41"/>
    </row>
    <row r="3186" spans="2:3" x14ac:dyDescent="0.2">
      <c r="B3186"/>
      <c r="C3186" s="41"/>
    </row>
    <row r="3187" spans="2:3" x14ac:dyDescent="0.2">
      <c r="B3187"/>
      <c r="C3187" s="41"/>
    </row>
    <row r="3188" spans="2:3" x14ac:dyDescent="0.2">
      <c r="B3188"/>
      <c r="C3188" s="41"/>
    </row>
    <row r="3189" spans="2:3" x14ac:dyDescent="0.2">
      <c r="B3189"/>
      <c r="C3189" s="41"/>
    </row>
    <row r="3190" spans="2:3" x14ac:dyDescent="0.2">
      <c r="B3190"/>
      <c r="C3190" s="41"/>
    </row>
    <row r="3191" spans="2:3" x14ac:dyDescent="0.2">
      <c r="B3191"/>
      <c r="C3191" s="41"/>
    </row>
    <row r="3192" spans="2:3" x14ac:dyDescent="0.2">
      <c r="B3192"/>
      <c r="C3192" s="41"/>
    </row>
    <row r="3193" spans="2:3" x14ac:dyDescent="0.2">
      <c r="B3193"/>
      <c r="C3193" s="41"/>
    </row>
    <row r="3194" spans="2:3" x14ac:dyDescent="0.2">
      <c r="B3194"/>
      <c r="C3194" s="41"/>
    </row>
    <row r="3195" spans="2:3" x14ac:dyDescent="0.2">
      <c r="B3195"/>
      <c r="C3195" s="41"/>
    </row>
    <row r="3196" spans="2:3" x14ac:dyDescent="0.2">
      <c r="B3196"/>
      <c r="C3196" s="41"/>
    </row>
    <row r="3197" spans="2:3" x14ac:dyDescent="0.2">
      <c r="B3197"/>
      <c r="C3197" s="41"/>
    </row>
    <row r="3198" spans="2:3" x14ac:dyDescent="0.2">
      <c r="B3198"/>
      <c r="C3198" s="41"/>
    </row>
    <row r="3199" spans="2:3" x14ac:dyDescent="0.2">
      <c r="B3199"/>
      <c r="C3199" s="41"/>
    </row>
    <row r="3200" spans="2:3" x14ac:dyDescent="0.2">
      <c r="B3200"/>
      <c r="C3200" s="41"/>
    </row>
    <row r="3201" spans="2:3" x14ac:dyDescent="0.2">
      <c r="B3201"/>
      <c r="C3201" s="41"/>
    </row>
    <row r="3202" spans="2:3" x14ac:dyDescent="0.2">
      <c r="B3202"/>
      <c r="C3202" s="41"/>
    </row>
    <row r="3203" spans="2:3" x14ac:dyDescent="0.2">
      <c r="B3203"/>
      <c r="C3203" s="41"/>
    </row>
    <row r="3204" spans="2:3" x14ac:dyDescent="0.2">
      <c r="B3204"/>
      <c r="C3204" s="41"/>
    </row>
    <row r="3205" spans="2:3" x14ac:dyDescent="0.2">
      <c r="B3205"/>
      <c r="C3205" s="41"/>
    </row>
    <row r="3206" spans="2:3" x14ac:dyDescent="0.2">
      <c r="B3206"/>
      <c r="C3206" s="41"/>
    </row>
    <row r="3207" spans="2:3" x14ac:dyDescent="0.2">
      <c r="B3207"/>
      <c r="C3207" s="41"/>
    </row>
    <row r="3208" spans="2:3" x14ac:dyDescent="0.2">
      <c r="B3208"/>
      <c r="C3208" s="41"/>
    </row>
    <row r="3209" spans="2:3" x14ac:dyDescent="0.2">
      <c r="B3209"/>
      <c r="C3209" s="41"/>
    </row>
    <row r="3210" spans="2:3" x14ac:dyDescent="0.2">
      <c r="B3210"/>
      <c r="C3210" s="41"/>
    </row>
    <row r="3211" spans="2:3" x14ac:dyDescent="0.2">
      <c r="B3211"/>
      <c r="C3211" s="41"/>
    </row>
    <row r="3212" spans="2:3" x14ac:dyDescent="0.2">
      <c r="B3212"/>
      <c r="C3212" s="41"/>
    </row>
    <row r="3213" spans="2:3" x14ac:dyDescent="0.2">
      <c r="B3213"/>
      <c r="C3213" s="41"/>
    </row>
    <row r="3214" spans="2:3" x14ac:dyDescent="0.2">
      <c r="B3214"/>
      <c r="C3214" s="41"/>
    </row>
    <row r="3215" spans="2:3" x14ac:dyDescent="0.2">
      <c r="B3215"/>
      <c r="C3215" s="41"/>
    </row>
    <row r="3216" spans="2:3" x14ac:dyDescent="0.2">
      <c r="B3216"/>
      <c r="C3216" s="41"/>
    </row>
    <row r="3217" spans="2:3" x14ac:dyDescent="0.2">
      <c r="B3217"/>
      <c r="C3217" s="41"/>
    </row>
    <row r="3218" spans="2:3" x14ac:dyDescent="0.2">
      <c r="B3218"/>
      <c r="C3218" s="41"/>
    </row>
    <row r="3219" spans="2:3" x14ac:dyDescent="0.2">
      <c r="B3219"/>
      <c r="C3219" s="41"/>
    </row>
    <row r="3220" spans="2:3" x14ac:dyDescent="0.2">
      <c r="B3220"/>
      <c r="C3220" s="41"/>
    </row>
    <row r="3221" spans="2:3" x14ac:dyDescent="0.2">
      <c r="B3221"/>
      <c r="C3221" s="41"/>
    </row>
    <row r="3222" spans="2:3" x14ac:dyDescent="0.2">
      <c r="B3222"/>
      <c r="C3222" s="41"/>
    </row>
    <row r="3223" spans="2:3" x14ac:dyDescent="0.2">
      <c r="B3223"/>
      <c r="C3223" s="41"/>
    </row>
    <row r="3224" spans="2:3" x14ac:dyDescent="0.2">
      <c r="B3224"/>
      <c r="C3224" s="41"/>
    </row>
    <row r="3225" spans="2:3" x14ac:dyDescent="0.2">
      <c r="B3225"/>
      <c r="C3225" s="41"/>
    </row>
    <row r="3226" spans="2:3" x14ac:dyDescent="0.2">
      <c r="B3226"/>
      <c r="C3226" s="41"/>
    </row>
    <row r="3227" spans="2:3" x14ac:dyDescent="0.2">
      <c r="B3227"/>
      <c r="C3227" s="41"/>
    </row>
    <row r="3228" spans="2:3" x14ac:dyDescent="0.2">
      <c r="B3228"/>
      <c r="C3228" s="41"/>
    </row>
    <row r="3229" spans="2:3" x14ac:dyDescent="0.2">
      <c r="B3229"/>
      <c r="C3229" s="41"/>
    </row>
    <row r="3230" spans="2:3" x14ac:dyDescent="0.2">
      <c r="B3230"/>
      <c r="C3230" s="41"/>
    </row>
    <row r="3231" spans="2:3" x14ac:dyDescent="0.2">
      <c r="B3231"/>
      <c r="C3231" s="41"/>
    </row>
    <row r="3232" spans="2:3" x14ac:dyDescent="0.2">
      <c r="B3232"/>
      <c r="C3232" s="41"/>
    </row>
    <row r="3233" spans="2:3" x14ac:dyDescent="0.2">
      <c r="B3233"/>
      <c r="C3233" s="41"/>
    </row>
    <row r="3234" spans="2:3" x14ac:dyDescent="0.2">
      <c r="B3234"/>
      <c r="C3234" s="41"/>
    </row>
    <row r="3235" spans="2:3" x14ac:dyDescent="0.2">
      <c r="B3235"/>
      <c r="C3235" s="41"/>
    </row>
    <row r="3236" spans="2:3" x14ac:dyDescent="0.2">
      <c r="B3236"/>
      <c r="C3236" s="41"/>
    </row>
    <row r="3237" spans="2:3" x14ac:dyDescent="0.2">
      <c r="B3237"/>
      <c r="C3237" s="41"/>
    </row>
    <row r="3238" spans="2:3" x14ac:dyDescent="0.2">
      <c r="B3238"/>
      <c r="C3238" s="41"/>
    </row>
    <row r="3239" spans="2:3" x14ac:dyDescent="0.2">
      <c r="B3239"/>
      <c r="C3239" s="41"/>
    </row>
    <row r="3240" spans="2:3" x14ac:dyDescent="0.2">
      <c r="B3240"/>
      <c r="C3240" s="41"/>
    </row>
    <row r="3241" spans="2:3" x14ac:dyDescent="0.2">
      <c r="B3241"/>
      <c r="C3241" s="41"/>
    </row>
    <row r="3242" spans="2:3" x14ac:dyDescent="0.2">
      <c r="B3242"/>
      <c r="C3242" s="41"/>
    </row>
    <row r="3243" spans="2:3" x14ac:dyDescent="0.2">
      <c r="B3243"/>
      <c r="C3243" s="41"/>
    </row>
    <row r="3244" spans="2:3" x14ac:dyDescent="0.2">
      <c r="B3244"/>
      <c r="C3244" s="41"/>
    </row>
    <row r="3245" spans="2:3" x14ac:dyDescent="0.2">
      <c r="B3245"/>
      <c r="C3245" s="41"/>
    </row>
    <row r="3246" spans="2:3" x14ac:dyDescent="0.2">
      <c r="B3246"/>
      <c r="C3246" s="41"/>
    </row>
    <row r="3247" spans="2:3" x14ac:dyDescent="0.2">
      <c r="B3247"/>
      <c r="C3247" s="41"/>
    </row>
    <row r="3248" spans="2:3" x14ac:dyDescent="0.2">
      <c r="B3248"/>
      <c r="C3248" s="41"/>
    </row>
    <row r="3249" spans="2:3" x14ac:dyDescent="0.2">
      <c r="B3249"/>
      <c r="C3249" s="41"/>
    </row>
    <row r="3250" spans="2:3" x14ac:dyDescent="0.2">
      <c r="B3250"/>
      <c r="C3250" s="41"/>
    </row>
    <row r="3251" spans="2:3" x14ac:dyDescent="0.2">
      <c r="B3251"/>
      <c r="C3251" s="41"/>
    </row>
    <row r="3252" spans="2:3" x14ac:dyDescent="0.2">
      <c r="B3252"/>
      <c r="C3252" s="41"/>
    </row>
    <row r="3253" spans="2:3" x14ac:dyDescent="0.2">
      <c r="B3253"/>
      <c r="C3253" s="41"/>
    </row>
    <row r="3254" spans="2:3" x14ac:dyDescent="0.2">
      <c r="B3254"/>
      <c r="C3254" s="41"/>
    </row>
    <row r="3255" spans="2:3" x14ac:dyDescent="0.2">
      <c r="B3255"/>
      <c r="C3255" s="41"/>
    </row>
    <row r="3256" spans="2:3" x14ac:dyDescent="0.2">
      <c r="B3256"/>
      <c r="C3256" s="41"/>
    </row>
    <row r="3257" spans="2:3" x14ac:dyDescent="0.2">
      <c r="B3257"/>
      <c r="C3257" s="41"/>
    </row>
    <row r="3258" spans="2:3" x14ac:dyDescent="0.2">
      <c r="B3258"/>
      <c r="C3258" s="41"/>
    </row>
    <row r="3259" spans="2:3" x14ac:dyDescent="0.2">
      <c r="B3259"/>
      <c r="C3259" s="41"/>
    </row>
    <row r="3260" spans="2:3" x14ac:dyDescent="0.2">
      <c r="B3260"/>
      <c r="C3260" s="41"/>
    </row>
    <row r="3261" spans="2:3" x14ac:dyDescent="0.2">
      <c r="B3261"/>
      <c r="C3261" s="41"/>
    </row>
    <row r="3262" spans="2:3" x14ac:dyDescent="0.2">
      <c r="B3262"/>
      <c r="C3262" s="41"/>
    </row>
    <row r="3263" spans="2:3" x14ac:dyDescent="0.2">
      <c r="B3263"/>
      <c r="C3263" s="41"/>
    </row>
    <row r="3264" spans="2:3" x14ac:dyDescent="0.2">
      <c r="B3264"/>
      <c r="C3264" s="41"/>
    </row>
    <row r="3265" spans="2:3" x14ac:dyDescent="0.2">
      <c r="B3265"/>
      <c r="C3265" s="41"/>
    </row>
    <row r="3266" spans="2:3" x14ac:dyDescent="0.2">
      <c r="B3266"/>
      <c r="C3266" s="41"/>
    </row>
    <row r="3267" spans="2:3" x14ac:dyDescent="0.2">
      <c r="B3267"/>
      <c r="C3267" s="41"/>
    </row>
    <row r="3268" spans="2:3" x14ac:dyDescent="0.2">
      <c r="B3268"/>
      <c r="C3268" s="41"/>
    </row>
    <row r="3269" spans="2:3" x14ac:dyDescent="0.2">
      <c r="B3269"/>
      <c r="C3269" s="41"/>
    </row>
    <row r="3270" spans="2:3" x14ac:dyDescent="0.2">
      <c r="B3270"/>
      <c r="C3270" s="41"/>
    </row>
    <row r="3271" spans="2:3" x14ac:dyDescent="0.2">
      <c r="B3271"/>
      <c r="C3271" s="41"/>
    </row>
    <row r="3272" spans="2:3" x14ac:dyDescent="0.2">
      <c r="B3272"/>
      <c r="C3272" s="41"/>
    </row>
    <row r="3273" spans="2:3" x14ac:dyDescent="0.2">
      <c r="B3273"/>
      <c r="C3273" s="41"/>
    </row>
    <row r="3274" spans="2:3" x14ac:dyDescent="0.2">
      <c r="B3274"/>
      <c r="C3274" s="41"/>
    </row>
    <row r="3275" spans="2:3" x14ac:dyDescent="0.2">
      <c r="B3275"/>
      <c r="C3275" s="41"/>
    </row>
    <row r="3276" spans="2:3" x14ac:dyDescent="0.2">
      <c r="B3276"/>
      <c r="C3276" s="41"/>
    </row>
    <row r="3277" spans="2:3" x14ac:dyDescent="0.2">
      <c r="B3277"/>
      <c r="C3277" s="41"/>
    </row>
    <row r="3278" spans="2:3" x14ac:dyDescent="0.2">
      <c r="B3278"/>
      <c r="C3278" s="41"/>
    </row>
    <row r="3279" spans="2:3" x14ac:dyDescent="0.2">
      <c r="B3279"/>
      <c r="C3279" s="41"/>
    </row>
    <row r="3280" spans="2:3" x14ac:dyDescent="0.2">
      <c r="B3280"/>
      <c r="C3280" s="41"/>
    </row>
    <row r="3281" spans="2:3" x14ac:dyDescent="0.2">
      <c r="B3281"/>
      <c r="C3281" s="41"/>
    </row>
    <row r="3282" spans="2:3" x14ac:dyDescent="0.2">
      <c r="B3282"/>
      <c r="C3282" s="41"/>
    </row>
    <row r="3283" spans="2:3" x14ac:dyDescent="0.2">
      <c r="B3283"/>
      <c r="C3283" s="41"/>
    </row>
    <row r="3284" spans="2:3" x14ac:dyDescent="0.2">
      <c r="B3284"/>
      <c r="C3284" s="41"/>
    </row>
    <row r="3285" spans="2:3" x14ac:dyDescent="0.2">
      <c r="B3285"/>
      <c r="C3285" s="41"/>
    </row>
    <row r="3286" spans="2:3" x14ac:dyDescent="0.2">
      <c r="B3286"/>
      <c r="C3286" s="41"/>
    </row>
    <row r="3287" spans="2:3" x14ac:dyDescent="0.2">
      <c r="B3287"/>
      <c r="C3287" s="41"/>
    </row>
    <row r="3288" spans="2:3" x14ac:dyDescent="0.2">
      <c r="B3288"/>
      <c r="C3288" s="41"/>
    </row>
    <row r="3289" spans="2:3" x14ac:dyDescent="0.2">
      <c r="B3289"/>
      <c r="C3289" s="41"/>
    </row>
    <row r="3290" spans="2:3" x14ac:dyDescent="0.2">
      <c r="B3290"/>
      <c r="C3290" s="41"/>
    </row>
    <row r="3291" spans="2:3" x14ac:dyDescent="0.2">
      <c r="B3291"/>
      <c r="C3291" s="41"/>
    </row>
    <row r="3292" spans="2:3" x14ac:dyDescent="0.2">
      <c r="B3292"/>
      <c r="C3292" s="41"/>
    </row>
    <row r="3293" spans="2:3" x14ac:dyDescent="0.2">
      <c r="B3293"/>
      <c r="C3293" s="41"/>
    </row>
    <row r="3294" spans="2:3" x14ac:dyDescent="0.2">
      <c r="B3294"/>
      <c r="C3294" s="41"/>
    </row>
    <row r="3295" spans="2:3" x14ac:dyDescent="0.2">
      <c r="B3295"/>
      <c r="C3295" s="41"/>
    </row>
    <row r="3296" spans="2:3" x14ac:dyDescent="0.2">
      <c r="B3296"/>
      <c r="C3296" s="41"/>
    </row>
    <row r="3297" spans="2:3" x14ac:dyDescent="0.2">
      <c r="B3297"/>
      <c r="C3297" s="41"/>
    </row>
    <row r="3298" spans="2:3" x14ac:dyDescent="0.2">
      <c r="B3298"/>
      <c r="C3298" s="41"/>
    </row>
    <row r="3299" spans="2:3" x14ac:dyDescent="0.2">
      <c r="B3299"/>
      <c r="C3299" s="41"/>
    </row>
    <row r="3300" spans="2:3" x14ac:dyDescent="0.2">
      <c r="B3300"/>
      <c r="C3300" s="41"/>
    </row>
    <row r="3301" spans="2:3" x14ac:dyDescent="0.2">
      <c r="B3301"/>
      <c r="C3301" s="41"/>
    </row>
    <row r="3302" spans="2:3" x14ac:dyDescent="0.2">
      <c r="B3302"/>
      <c r="C3302" s="41"/>
    </row>
    <row r="3303" spans="2:3" x14ac:dyDescent="0.2">
      <c r="B3303"/>
      <c r="C3303" s="41"/>
    </row>
    <row r="3304" spans="2:3" x14ac:dyDescent="0.2">
      <c r="B3304"/>
      <c r="C3304" s="41"/>
    </row>
    <row r="3305" spans="2:3" x14ac:dyDescent="0.2">
      <c r="B3305"/>
      <c r="C3305" s="41"/>
    </row>
    <row r="3306" spans="2:3" x14ac:dyDescent="0.2">
      <c r="B3306"/>
      <c r="C3306" s="41"/>
    </row>
    <row r="3307" spans="2:3" x14ac:dyDescent="0.2">
      <c r="B3307"/>
      <c r="C3307" s="41"/>
    </row>
    <row r="3308" spans="2:3" x14ac:dyDescent="0.2">
      <c r="B3308"/>
      <c r="C3308" s="41"/>
    </row>
    <row r="3309" spans="2:3" x14ac:dyDescent="0.2">
      <c r="B3309"/>
      <c r="C3309" s="41"/>
    </row>
    <row r="3310" spans="2:3" x14ac:dyDescent="0.2">
      <c r="B3310"/>
      <c r="C3310" s="41"/>
    </row>
    <row r="3311" spans="2:3" x14ac:dyDescent="0.2">
      <c r="B3311"/>
      <c r="C3311" s="41"/>
    </row>
    <row r="3312" spans="2:3" x14ac:dyDescent="0.2">
      <c r="B3312"/>
      <c r="C3312" s="41"/>
    </row>
    <row r="3313" spans="2:3" x14ac:dyDescent="0.2">
      <c r="B3313"/>
      <c r="C3313" s="41"/>
    </row>
    <row r="3314" spans="2:3" x14ac:dyDescent="0.2">
      <c r="B3314"/>
      <c r="C3314" s="41"/>
    </row>
    <row r="3315" spans="2:3" x14ac:dyDescent="0.2">
      <c r="B3315"/>
      <c r="C3315" s="41"/>
    </row>
    <row r="3316" spans="2:3" x14ac:dyDescent="0.2">
      <c r="B3316"/>
      <c r="C3316" s="41"/>
    </row>
    <row r="3317" spans="2:3" x14ac:dyDescent="0.2">
      <c r="B3317"/>
      <c r="C3317" s="41"/>
    </row>
    <row r="3318" spans="2:3" x14ac:dyDescent="0.2">
      <c r="B3318"/>
      <c r="C3318" s="41"/>
    </row>
    <row r="3319" spans="2:3" x14ac:dyDescent="0.2">
      <c r="B3319"/>
      <c r="C3319" s="41"/>
    </row>
    <row r="3320" spans="2:3" x14ac:dyDescent="0.2">
      <c r="B3320"/>
      <c r="C3320" s="41"/>
    </row>
    <row r="3321" spans="2:3" x14ac:dyDescent="0.2">
      <c r="B3321"/>
      <c r="C3321" s="41"/>
    </row>
    <row r="3322" spans="2:3" x14ac:dyDescent="0.2">
      <c r="B3322"/>
      <c r="C3322" s="41"/>
    </row>
    <row r="3323" spans="2:3" x14ac:dyDescent="0.2">
      <c r="B3323"/>
      <c r="C3323" s="41"/>
    </row>
    <row r="3324" spans="2:3" x14ac:dyDescent="0.2">
      <c r="B3324"/>
      <c r="C3324" s="41"/>
    </row>
    <row r="3325" spans="2:3" x14ac:dyDescent="0.2">
      <c r="B3325"/>
      <c r="C3325" s="41"/>
    </row>
    <row r="3326" spans="2:3" x14ac:dyDescent="0.2">
      <c r="B3326"/>
      <c r="C3326" s="41"/>
    </row>
    <row r="3327" spans="2:3" x14ac:dyDescent="0.2">
      <c r="B3327"/>
      <c r="C3327" s="41"/>
    </row>
    <row r="3328" spans="2:3" x14ac:dyDescent="0.2">
      <c r="B3328"/>
      <c r="C3328" s="41"/>
    </row>
    <row r="3329" spans="2:3" x14ac:dyDescent="0.2">
      <c r="B3329"/>
      <c r="C3329" s="41"/>
    </row>
    <row r="3330" spans="2:3" x14ac:dyDescent="0.2">
      <c r="B3330"/>
      <c r="C3330" s="41"/>
    </row>
    <row r="3331" spans="2:3" x14ac:dyDescent="0.2">
      <c r="B3331"/>
      <c r="C3331" s="41"/>
    </row>
    <row r="3332" spans="2:3" x14ac:dyDescent="0.2">
      <c r="B3332"/>
      <c r="C3332" s="41"/>
    </row>
    <row r="3333" spans="2:3" x14ac:dyDescent="0.2">
      <c r="B3333"/>
      <c r="C3333" s="41"/>
    </row>
    <row r="3334" spans="2:3" x14ac:dyDescent="0.2">
      <c r="B3334"/>
      <c r="C3334" s="41"/>
    </row>
    <row r="3335" spans="2:3" x14ac:dyDescent="0.2">
      <c r="B3335"/>
      <c r="C3335" s="41"/>
    </row>
    <row r="3336" spans="2:3" x14ac:dyDescent="0.2">
      <c r="B3336"/>
      <c r="C3336" s="41"/>
    </row>
    <row r="3337" spans="2:3" x14ac:dyDescent="0.2">
      <c r="B3337"/>
      <c r="C3337" s="41"/>
    </row>
    <row r="3338" spans="2:3" x14ac:dyDescent="0.2">
      <c r="B3338"/>
      <c r="C3338" s="41"/>
    </row>
    <row r="3339" spans="2:3" x14ac:dyDescent="0.2">
      <c r="B3339"/>
      <c r="C3339" s="41"/>
    </row>
    <row r="3340" spans="2:3" x14ac:dyDescent="0.2">
      <c r="B3340"/>
      <c r="C3340" s="41"/>
    </row>
    <row r="3341" spans="2:3" x14ac:dyDescent="0.2">
      <c r="B3341"/>
      <c r="C3341" s="41"/>
    </row>
    <row r="3342" spans="2:3" x14ac:dyDescent="0.2">
      <c r="B3342"/>
      <c r="C3342" s="41"/>
    </row>
    <row r="3343" spans="2:3" x14ac:dyDescent="0.2">
      <c r="B3343"/>
      <c r="C3343" s="41"/>
    </row>
    <row r="3344" spans="2:3" x14ac:dyDescent="0.2">
      <c r="B3344"/>
      <c r="C3344" s="41"/>
    </row>
    <row r="3345" spans="2:3" x14ac:dyDescent="0.2">
      <c r="B3345"/>
      <c r="C3345" s="41"/>
    </row>
    <row r="3346" spans="2:3" x14ac:dyDescent="0.2">
      <c r="B3346"/>
      <c r="C3346" s="41"/>
    </row>
    <row r="3347" spans="2:3" x14ac:dyDescent="0.2">
      <c r="B3347"/>
      <c r="C3347" s="41"/>
    </row>
    <row r="3348" spans="2:3" x14ac:dyDescent="0.2">
      <c r="B3348"/>
      <c r="C3348" s="41"/>
    </row>
    <row r="3349" spans="2:3" x14ac:dyDescent="0.2">
      <c r="B3349"/>
      <c r="C3349" s="41"/>
    </row>
    <row r="3350" spans="2:3" x14ac:dyDescent="0.2">
      <c r="B3350"/>
      <c r="C3350" s="41"/>
    </row>
    <row r="3351" spans="2:3" x14ac:dyDescent="0.2">
      <c r="B3351"/>
      <c r="C3351" s="41"/>
    </row>
    <row r="3352" spans="2:3" x14ac:dyDescent="0.2">
      <c r="B3352"/>
      <c r="C3352" s="41"/>
    </row>
    <row r="3353" spans="2:3" x14ac:dyDescent="0.2">
      <c r="B3353"/>
      <c r="C3353" s="41"/>
    </row>
    <row r="3354" spans="2:3" x14ac:dyDescent="0.2">
      <c r="B3354"/>
      <c r="C3354" s="41"/>
    </row>
    <row r="3355" spans="2:3" x14ac:dyDescent="0.2">
      <c r="B3355"/>
      <c r="C3355" s="41"/>
    </row>
    <row r="3356" spans="2:3" x14ac:dyDescent="0.2">
      <c r="B3356"/>
      <c r="C3356" s="41"/>
    </row>
    <row r="3357" spans="2:3" x14ac:dyDescent="0.2">
      <c r="B3357"/>
      <c r="C3357" s="41"/>
    </row>
    <row r="3358" spans="2:3" x14ac:dyDescent="0.2">
      <c r="B3358"/>
      <c r="C3358" s="41"/>
    </row>
    <row r="3359" spans="2:3" x14ac:dyDescent="0.2">
      <c r="B3359"/>
      <c r="C3359" s="41"/>
    </row>
    <row r="3360" spans="2:3" x14ac:dyDescent="0.2">
      <c r="B3360"/>
      <c r="C3360" s="41"/>
    </row>
    <row r="3361" spans="2:3" x14ac:dyDescent="0.2">
      <c r="B3361"/>
      <c r="C3361" s="41"/>
    </row>
    <row r="3362" spans="2:3" x14ac:dyDescent="0.2">
      <c r="B3362"/>
      <c r="C3362" s="41"/>
    </row>
    <row r="3363" spans="2:3" x14ac:dyDescent="0.2">
      <c r="B3363"/>
      <c r="C3363" s="41"/>
    </row>
    <row r="3364" spans="2:3" x14ac:dyDescent="0.2">
      <c r="B3364"/>
      <c r="C3364" s="41"/>
    </row>
    <row r="3365" spans="2:3" x14ac:dyDescent="0.2">
      <c r="B3365"/>
      <c r="C3365" s="41"/>
    </row>
    <row r="3366" spans="2:3" x14ac:dyDescent="0.2">
      <c r="B3366"/>
      <c r="C3366" s="41"/>
    </row>
    <row r="3367" spans="2:3" x14ac:dyDescent="0.2">
      <c r="B3367"/>
      <c r="C3367" s="41"/>
    </row>
    <row r="3368" spans="2:3" x14ac:dyDescent="0.2">
      <c r="B3368"/>
      <c r="C3368" s="41"/>
    </row>
    <row r="3369" spans="2:3" x14ac:dyDescent="0.2">
      <c r="B3369"/>
      <c r="C3369" s="41"/>
    </row>
    <row r="3370" spans="2:3" x14ac:dyDescent="0.2">
      <c r="B3370"/>
      <c r="C3370" s="41"/>
    </row>
    <row r="3371" spans="2:3" x14ac:dyDescent="0.2">
      <c r="B3371"/>
      <c r="C3371" s="41"/>
    </row>
    <row r="3372" spans="2:3" x14ac:dyDescent="0.2">
      <c r="B3372"/>
      <c r="C3372" s="41"/>
    </row>
    <row r="3373" spans="2:3" x14ac:dyDescent="0.2">
      <c r="B3373"/>
      <c r="C3373" s="41"/>
    </row>
    <row r="3374" spans="2:3" x14ac:dyDescent="0.2">
      <c r="B3374"/>
      <c r="C3374" s="41"/>
    </row>
    <row r="3375" spans="2:3" x14ac:dyDescent="0.2">
      <c r="B3375"/>
      <c r="C3375" s="41"/>
    </row>
    <row r="3376" spans="2:3" x14ac:dyDescent="0.2">
      <c r="B3376"/>
      <c r="C3376" s="41"/>
    </row>
    <row r="3377" spans="2:3" x14ac:dyDescent="0.2">
      <c r="B3377"/>
      <c r="C3377" s="41"/>
    </row>
    <row r="3378" spans="2:3" x14ac:dyDescent="0.2">
      <c r="B3378"/>
      <c r="C3378" s="41"/>
    </row>
    <row r="3379" spans="2:3" x14ac:dyDescent="0.2">
      <c r="B3379"/>
      <c r="C3379" s="41"/>
    </row>
    <row r="3380" spans="2:3" x14ac:dyDescent="0.2">
      <c r="B3380"/>
      <c r="C3380" s="41"/>
    </row>
    <row r="3381" spans="2:3" x14ac:dyDescent="0.2">
      <c r="B3381"/>
      <c r="C3381" s="41"/>
    </row>
    <row r="3382" spans="2:3" x14ac:dyDescent="0.2">
      <c r="B3382"/>
      <c r="C3382" s="41"/>
    </row>
    <row r="3383" spans="2:3" x14ac:dyDescent="0.2">
      <c r="B3383"/>
      <c r="C3383" s="41"/>
    </row>
    <row r="3384" spans="2:3" x14ac:dyDescent="0.2">
      <c r="B3384"/>
      <c r="C3384" s="41"/>
    </row>
    <row r="3385" spans="2:3" x14ac:dyDescent="0.2">
      <c r="B3385"/>
      <c r="C3385" s="41"/>
    </row>
    <row r="3386" spans="2:3" x14ac:dyDescent="0.2">
      <c r="B3386"/>
      <c r="C3386" s="41"/>
    </row>
    <row r="3387" spans="2:3" x14ac:dyDescent="0.2">
      <c r="B3387"/>
      <c r="C3387" s="41"/>
    </row>
    <row r="3388" spans="2:3" x14ac:dyDescent="0.2">
      <c r="B3388"/>
      <c r="C3388" s="41"/>
    </row>
    <row r="3389" spans="2:3" x14ac:dyDescent="0.2">
      <c r="B3389"/>
      <c r="C3389" s="41"/>
    </row>
    <row r="3390" spans="2:3" x14ac:dyDescent="0.2">
      <c r="B3390"/>
      <c r="C3390" s="41"/>
    </row>
    <row r="3391" spans="2:3" x14ac:dyDescent="0.2">
      <c r="B3391"/>
      <c r="C3391" s="41"/>
    </row>
    <row r="3392" spans="2:3" x14ac:dyDescent="0.2">
      <c r="B3392"/>
      <c r="C3392" s="41"/>
    </row>
    <row r="3393" spans="2:3" x14ac:dyDescent="0.2">
      <c r="B3393"/>
      <c r="C3393" s="41"/>
    </row>
    <row r="3394" spans="2:3" x14ac:dyDescent="0.2">
      <c r="B3394"/>
      <c r="C3394" s="41"/>
    </row>
    <row r="3395" spans="2:3" x14ac:dyDescent="0.2">
      <c r="B3395"/>
      <c r="C3395" s="41"/>
    </row>
    <row r="3396" spans="2:3" x14ac:dyDescent="0.2">
      <c r="B3396"/>
      <c r="C3396" s="41"/>
    </row>
    <row r="3397" spans="2:3" x14ac:dyDescent="0.2">
      <c r="B3397"/>
      <c r="C3397" s="41"/>
    </row>
    <row r="3398" spans="2:3" x14ac:dyDescent="0.2">
      <c r="B3398"/>
      <c r="C3398" s="41"/>
    </row>
    <row r="3399" spans="2:3" x14ac:dyDescent="0.2">
      <c r="B3399"/>
      <c r="C3399" s="41"/>
    </row>
    <row r="3400" spans="2:3" x14ac:dyDescent="0.2">
      <c r="B3400"/>
      <c r="C3400" s="41"/>
    </row>
    <row r="3401" spans="2:3" x14ac:dyDescent="0.2">
      <c r="B3401"/>
      <c r="C3401" s="41"/>
    </row>
    <row r="3402" spans="2:3" x14ac:dyDescent="0.2">
      <c r="B3402"/>
      <c r="C3402" s="41"/>
    </row>
    <row r="3403" spans="2:3" x14ac:dyDescent="0.2">
      <c r="B3403"/>
      <c r="C3403" s="41"/>
    </row>
    <row r="3404" spans="2:3" x14ac:dyDescent="0.2">
      <c r="B3404"/>
      <c r="C3404" s="41"/>
    </row>
    <row r="3405" spans="2:3" x14ac:dyDescent="0.2">
      <c r="B3405"/>
      <c r="C3405" s="41"/>
    </row>
    <row r="3406" spans="2:3" x14ac:dyDescent="0.2">
      <c r="B3406"/>
      <c r="C3406" s="41"/>
    </row>
    <row r="3407" spans="2:3" x14ac:dyDescent="0.2">
      <c r="B3407"/>
      <c r="C3407" s="41"/>
    </row>
    <row r="3408" spans="2:3" x14ac:dyDescent="0.2">
      <c r="B3408"/>
      <c r="C3408" s="41"/>
    </row>
    <row r="3409" spans="2:3" x14ac:dyDescent="0.2">
      <c r="B3409"/>
      <c r="C3409" s="41"/>
    </row>
    <row r="3410" spans="2:3" x14ac:dyDescent="0.2">
      <c r="B3410"/>
      <c r="C3410" s="41"/>
    </row>
    <row r="3411" spans="2:3" x14ac:dyDescent="0.2">
      <c r="B3411"/>
      <c r="C3411" s="41"/>
    </row>
    <row r="3412" spans="2:3" x14ac:dyDescent="0.2">
      <c r="B3412"/>
      <c r="C3412" s="41"/>
    </row>
    <row r="3413" spans="2:3" x14ac:dyDescent="0.2">
      <c r="B3413"/>
      <c r="C3413" s="41"/>
    </row>
    <row r="3414" spans="2:3" x14ac:dyDescent="0.2">
      <c r="B3414"/>
      <c r="C3414" s="41"/>
    </row>
    <row r="3415" spans="2:3" x14ac:dyDescent="0.2">
      <c r="B3415"/>
      <c r="C3415" s="41"/>
    </row>
    <row r="3416" spans="2:3" x14ac:dyDescent="0.2">
      <c r="B3416"/>
      <c r="C3416" s="41"/>
    </row>
    <row r="3417" spans="2:3" x14ac:dyDescent="0.2">
      <c r="B3417"/>
      <c r="C3417" s="41"/>
    </row>
    <row r="3418" spans="2:3" x14ac:dyDescent="0.2">
      <c r="B3418"/>
      <c r="C3418" s="41"/>
    </row>
    <row r="3419" spans="2:3" x14ac:dyDescent="0.2">
      <c r="B3419"/>
      <c r="C3419" s="41"/>
    </row>
    <row r="3420" spans="2:3" x14ac:dyDescent="0.2">
      <c r="B3420"/>
      <c r="C3420" s="41"/>
    </row>
    <row r="3421" spans="2:3" x14ac:dyDescent="0.2">
      <c r="B3421"/>
      <c r="C3421" s="41"/>
    </row>
    <row r="3422" spans="2:3" x14ac:dyDescent="0.2">
      <c r="B3422"/>
      <c r="C3422" s="41"/>
    </row>
    <row r="3423" spans="2:3" x14ac:dyDescent="0.2">
      <c r="B3423"/>
      <c r="C3423" s="41"/>
    </row>
    <row r="3424" spans="2:3" x14ac:dyDescent="0.2">
      <c r="B3424"/>
      <c r="C3424" s="41"/>
    </row>
    <row r="3425" spans="2:3" x14ac:dyDescent="0.2">
      <c r="B3425"/>
      <c r="C3425" s="41"/>
    </row>
    <row r="3426" spans="2:3" x14ac:dyDescent="0.2">
      <c r="B3426"/>
      <c r="C3426" s="41"/>
    </row>
    <row r="3427" spans="2:3" x14ac:dyDescent="0.2">
      <c r="B3427"/>
      <c r="C3427" s="41"/>
    </row>
    <row r="3428" spans="2:3" x14ac:dyDescent="0.2">
      <c r="B3428"/>
      <c r="C3428" s="41"/>
    </row>
    <row r="3429" spans="2:3" x14ac:dyDescent="0.2">
      <c r="B3429"/>
      <c r="C3429" s="41"/>
    </row>
    <row r="3430" spans="2:3" x14ac:dyDescent="0.2">
      <c r="B3430"/>
      <c r="C3430" s="41"/>
    </row>
    <row r="3431" spans="2:3" x14ac:dyDescent="0.2">
      <c r="B3431"/>
      <c r="C3431" s="41"/>
    </row>
    <row r="3432" spans="2:3" x14ac:dyDescent="0.2">
      <c r="B3432"/>
      <c r="C3432" s="41"/>
    </row>
    <row r="3433" spans="2:3" x14ac:dyDescent="0.2">
      <c r="B3433"/>
      <c r="C3433" s="41"/>
    </row>
    <row r="3434" spans="2:3" x14ac:dyDescent="0.2">
      <c r="B3434"/>
      <c r="C3434" s="41"/>
    </row>
    <row r="3435" spans="2:3" x14ac:dyDescent="0.2">
      <c r="B3435"/>
      <c r="C3435" s="41"/>
    </row>
    <row r="3436" spans="2:3" x14ac:dyDescent="0.2">
      <c r="B3436"/>
      <c r="C3436" s="41"/>
    </row>
    <row r="3437" spans="2:3" x14ac:dyDescent="0.2">
      <c r="B3437"/>
      <c r="C3437" s="41"/>
    </row>
    <row r="3438" spans="2:3" x14ac:dyDescent="0.2">
      <c r="B3438"/>
      <c r="C3438" s="41"/>
    </row>
    <row r="3439" spans="2:3" x14ac:dyDescent="0.2">
      <c r="B3439"/>
      <c r="C3439" s="41"/>
    </row>
    <row r="3440" spans="2:3" x14ac:dyDescent="0.2">
      <c r="B3440"/>
      <c r="C3440" s="41"/>
    </row>
    <row r="3441" spans="2:3" x14ac:dyDescent="0.2">
      <c r="B3441"/>
      <c r="C3441" s="41"/>
    </row>
    <row r="3442" spans="2:3" x14ac:dyDescent="0.2">
      <c r="B3442"/>
      <c r="C3442" s="41"/>
    </row>
    <row r="3443" spans="2:3" x14ac:dyDescent="0.2">
      <c r="B3443"/>
      <c r="C3443" s="41"/>
    </row>
    <row r="3444" spans="2:3" x14ac:dyDescent="0.2">
      <c r="B3444"/>
      <c r="C3444" s="41"/>
    </row>
    <row r="3445" spans="2:3" x14ac:dyDescent="0.2">
      <c r="B3445"/>
      <c r="C3445" s="41"/>
    </row>
    <row r="3446" spans="2:3" x14ac:dyDescent="0.2">
      <c r="B3446"/>
      <c r="C3446" s="41"/>
    </row>
    <row r="3447" spans="2:3" x14ac:dyDescent="0.2">
      <c r="B3447"/>
      <c r="C3447" s="41"/>
    </row>
    <row r="3448" spans="2:3" x14ac:dyDescent="0.2">
      <c r="B3448"/>
      <c r="C3448" s="41"/>
    </row>
    <row r="3449" spans="2:3" x14ac:dyDescent="0.2">
      <c r="B3449"/>
      <c r="C3449" s="41"/>
    </row>
    <row r="3450" spans="2:3" x14ac:dyDescent="0.2">
      <c r="B3450"/>
      <c r="C3450" s="41"/>
    </row>
    <row r="3451" spans="2:3" x14ac:dyDescent="0.2">
      <c r="B3451"/>
      <c r="C3451" s="41"/>
    </row>
    <row r="3452" spans="2:3" x14ac:dyDescent="0.2">
      <c r="B3452"/>
      <c r="C3452" s="41"/>
    </row>
    <row r="3453" spans="2:3" x14ac:dyDescent="0.2">
      <c r="B3453"/>
      <c r="C3453" s="41"/>
    </row>
    <row r="3454" spans="2:3" x14ac:dyDescent="0.2">
      <c r="B3454"/>
      <c r="C3454" s="41"/>
    </row>
    <row r="3455" spans="2:3" x14ac:dyDescent="0.2">
      <c r="B3455"/>
      <c r="C3455" s="41"/>
    </row>
    <row r="3456" spans="2:3" x14ac:dyDescent="0.2">
      <c r="B3456"/>
      <c r="C3456" s="41"/>
    </row>
    <row r="3457" spans="2:3" x14ac:dyDescent="0.2">
      <c r="B3457"/>
      <c r="C3457" s="41"/>
    </row>
    <row r="3458" spans="2:3" x14ac:dyDescent="0.2">
      <c r="B3458"/>
      <c r="C3458" s="41"/>
    </row>
    <row r="3459" spans="2:3" x14ac:dyDescent="0.2">
      <c r="B3459"/>
      <c r="C3459" s="41"/>
    </row>
    <row r="3460" spans="2:3" x14ac:dyDescent="0.2">
      <c r="B3460"/>
      <c r="C3460" s="41"/>
    </row>
    <row r="3461" spans="2:3" x14ac:dyDescent="0.2">
      <c r="B3461"/>
      <c r="C3461" s="41"/>
    </row>
    <row r="3462" spans="2:3" x14ac:dyDescent="0.2">
      <c r="B3462"/>
      <c r="C3462" s="41"/>
    </row>
    <row r="3463" spans="2:3" x14ac:dyDescent="0.2">
      <c r="B3463"/>
      <c r="C3463" s="41"/>
    </row>
    <row r="3464" spans="2:3" x14ac:dyDescent="0.2">
      <c r="B3464"/>
      <c r="C3464" s="41"/>
    </row>
    <row r="3465" spans="2:3" x14ac:dyDescent="0.2">
      <c r="B3465"/>
      <c r="C3465" s="41"/>
    </row>
    <row r="3466" spans="2:3" x14ac:dyDescent="0.2">
      <c r="B3466"/>
      <c r="C3466" s="41"/>
    </row>
    <row r="3467" spans="2:3" x14ac:dyDescent="0.2">
      <c r="B3467"/>
      <c r="C3467" s="41"/>
    </row>
    <row r="3468" spans="2:3" x14ac:dyDescent="0.2">
      <c r="B3468"/>
      <c r="C3468" s="41"/>
    </row>
    <row r="3469" spans="2:3" x14ac:dyDescent="0.2">
      <c r="B3469"/>
      <c r="C3469" s="41"/>
    </row>
    <row r="3470" spans="2:3" x14ac:dyDescent="0.2">
      <c r="B3470"/>
      <c r="C3470" s="41"/>
    </row>
    <row r="3471" spans="2:3" x14ac:dyDescent="0.2">
      <c r="B3471"/>
      <c r="C3471" s="41"/>
    </row>
    <row r="3472" spans="2:3" x14ac:dyDescent="0.2">
      <c r="B3472"/>
      <c r="C3472" s="41"/>
    </row>
    <row r="3473" spans="2:3" x14ac:dyDescent="0.2">
      <c r="B3473"/>
      <c r="C3473" s="41"/>
    </row>
    <row r="3474" spans="2:3" x14ac:dyDescent="0.2">
      <c r="B3474"/>
      <c r="C3474" s="41"/>
    </row>
    <row r="3475" spans="2:3" x14ac:dyDescent="0.2">
      <c r="B3475"/>
      <c r="C3475" s="41"/>
    </row>
    <row r="3476" spans="2:3" x14ac:dyDescent="0.2">
      <c r="B3476"/>
      <c r="C3476" s="41"/>
    </row>
    <row r="3477" spans="2:3" x14ac:dyDescent="0.2">
      <c r="B3477"/>
      <c r="C3477" s="41"/>
    </row>
    <row r="3478" spans="2:3" x14ac:dyDescent="0.2">
      <c r="B3478"/>
      <c r="C3478" s="41"/>
    </row>
    <row r="3479" spans="2:3" x14ac:dyDescent="0.2">
      <c r="B3479"/>
      <c r="C3479" s="41"/>
    </row>
    <row r="3480" spans="2:3" x14ac:dyDescent="0.2">
      <c r="B3480"/>
      <c r="C3480" s="41"/>
    </row>
    <row r="3481" spans="2:3" x14ac:dyDescent="0.2">
      <c r="B3481"/>
      <c r="C3481" s="41"/>
    </row>
    <row r="3482" spans="2:3" x14ac:dyDescent="0.2">
      <c r="B3482"/>
      <c r="C3482" s="41"/>
    </row>
    <row r="3483" spans="2:3" x14ac:dyDescent="0.2">
      <c r="B3483"/>
      <c r="C3483" s="41"/>
    </row>
    <row r="3484" spans="2:3" x14ac:dyDescent="0.2">
      <c r="B3484"/>
      <c r="C3484" s="41"/>
    </row>
    <row r="3485" spans="2:3" x14ac:dyDescent="0.2">
      <c r="B3485"/>
      <c r="C3485" s="41"/>
    </row>
    <row r="3486" spans="2:3" x14ac:dyDescent="0.2">
      <c r="B3486"/>
      <c r="C3486" s="41"/>
    </row>
    <row r="3487" spans="2:3" x14ac:dyDescent="0.2">
      <c r="B3487"/>
      <c r="C3487" s="41"/>
    </row>
    <row r="3488" spans="2:3" x14ac:dyDescent="0.2">
      <c r="B3488"/>
      <c r="C3488" s="41"/>
    </row>
    <row r="3489" spans="2:3" x14ac:dyDescent="0.2">
      <c r="B3489"/>
      <c r="C3489" s="41"/>
    </row>
    <row r="3490" spans="2:3" x14ac:dyDescent="0.2">
      <c r="B3490"/>
      <c r="C3490" s="41"/>
    </row>
    <row r="3491" spans="2:3" x14ac:dyDescent="0.2">
      <c r="B3491"/>
      <c r="C3491" s="41"/>
    </row>
    <row r="3492" spans="2:3" x14ac:dyDescent="0.2">
      <c r="B3492"/>
      <c r="C3492" s="41"/>
    </row>
    <row r="3493" spans="2:3" x14ac:dyDescent="0.2">
      <c r="B3493"/>
      <c r="C3493" s="41"/>
    </row>
    <row r="3494" spans="2:3" x14ac:dyDescent="0.2">
      <c r="B3494"/>
      <c r="C3494" s="41"/>
    </row>
    <row r="3495" spans="2:3" x14ac:dyDescent="0.2">
      <c r="B3495"/>
      <c r="C3495" s="41"/>
    </row>
    <row r="3496" spans="2:3" x14ac:dyDescent="0.2">
      <c r="B3496"/>
      <c r="C3496" s="41"/>
    </row>
    <row r="3497" spans="2:3" x14ac:dyDescent="0.2">
      <c r="B3497"/>
      <c r="C3497" s="41"/>
    </row>
    <row r="3498" spans="2:3" x14ac:dyDescent="0.2">
      <c r="B3498"/>
      <c r="C3498" s="41"/>
    </row>
    <row r="3499" spans="2:3" x14ac:dyDescent="0.2">
      <c r="B3499"/>
      <c r="C3499" s="41"/>
    </row>
    <row r="3500" spans="2:3" x14ac:dyDescent="0.2">
      <c r="B3500"/>
      <c r="C3500" s="41"/>
    </row>
    <row r="3501" spans="2:3" x14ac:dyDescent="0.2">
      <c r="B3501"/>
      <c r="C3501" s="41"/>
    </row>
    <row r="3502" spans="2:3" x14ac:dyDescent="0.2">
      <c r="B3502"/>
      <c r="C3502" s="41"/>
    </row>
    <row r="3503" spans="2:3" x14ac:dyDescent="0.2">
      <c r="B3503"/>
      <c r="C3503" s="41"/>
    </row>
    <row r="3504" spans="2:3" x14ac:dyDescent="0.2">
      <c r="B3504"/>
      <c r="C3504" s="41"/>
    </row>
    <row r="3505" spans="2:3" x14ac:dyDescent="0.2">
      <c r="B3505"/>
      <c r="C3505" s="41"/>
    </row>
    <row r="3506" spans="2:3" x14ac:dyDescent="0.2">
      <c r="B3506"/>
      <c r="C3506" s="41"/>
    </row>
    <row r="3507" spans="2:3" x14ac:dyDescent="0.2">
      <c r="B3507"/>
      <c r="C3507" s="41"/>
    </row>
    <row r="3508" spans="2:3" x14ac:dyDescent="0.2">
      <c r="B3508"/>
      <c r="C3508" s="41"/>
    </row>
    <row r="3509" spans="2:3" x14ac:dyDescent="0.2">
      <c r="B3509"/>
      <c r="C3509" s="41"/>
    </row>
    <row r="3510" spans="2:3" x14ac:dyDescent="0.2">
      <c r="B3510"/>
      <c r="C3510" s="41"/>
    </row>
    <row r="3511" spans="2:3" x14ac:dyDescent="0.2">
      <c r="B3511"/>
      <c r="C3511" s="41"/>
    </row>
    <row r="3512" spans="2:3" x14ac:dyDescent="0.2">
      <c r="B3512"/>
      <c r="C3512" s="41"/>
    </row>
    <row r="3513" spans="2:3" x14ac:dyDescent="0.2">
      <c r="B3513"/>
      <c r="C3513" s="41"/>
    </row>
    <row r="3514" spans="2:3" x14ac:dyDescent="0.2">
      <c r="B3514"/>
      <c r="C3514" s="41"/>
    </row>
    <row r="3515" spans="2:3" x14ac:dyDescent="0.2">
      <c r="B3515"/>
      <c r="C3515" s="41"/>
    </row>
    <row r="3516" spans="2:3" x14ac:dyDescent="0.2">
      <c r="B3516"/>
      <c r="C3516" s="41"/>
    </row>
    <row r="3517" spans="2:3" x14ac:dyDescent="0.2">
      <c r="B3517"/>
      <c r="C3517" s="41"/>
    </row>
    <row r="3518" spans="2:3" x14ac:dyDescent="0.2">
      <c r="B3518"/>
      <c r="C3518" s="41"/>
    </row>
    <row r="3519" spans="2:3" x14ac:dyDescent="0.2">
      <c r="B3519"/>
      <c r="C3519" s="41"/>
    </row>
    <row r="3520" spans="2:3" x14ac:dyDescent="0.2">
      <c r="B3520"/>
      <c r="C3520" s="41"/>
    </row>
    <row r="3521" spans="2:3" x14ac:dyDescent="0.2">
      <c r="B3521"/>
      <c r="C3521" s="41"/>
    </row>
    <row r="3522" spans="2:3" x14ac:dyDescent="0.2">
      <c r="B3522"/>
      <c r="C3522" s="41"/>
    </row>
    <row r="3523" spans="2:3" x14ac:dyDescent="0.2">
      <c r="B3523"/>
      <c r="C3523" s="41"/>
    </row>
    <row r="3524" spans="2:3" x14ac:dyDescent="0.2">
      <c r="B3524"/>
      <c r="C3524" s="41"/>
    </row>
    <row r="3525" spans="2:3" x14ac:dyDescent="0.2">
      <c r="B3525"/>
      <c r="C3525" s="41"/>
    </row>
    <row r="3526" spans="2:3" x14ac:dyDescent="0.2">
      <c r="B3526"/>
      <c r="C3526" s="41"/>
    </row>
    <row r="3527" spans="2:3" x14ac:dyDescent="0.2">
      <c r="B3527"/>
      <c r="C3527" s="41"/>
    </row>
    <row r="3528" spans="2:3" x14ac:dyDescent="0.2">
      <c r="B3528"/>
      <c r="C3528" s="41"/>
    </row>
    <row r="3529" spans="2:3" x14ac:dyDescent="0.2">
      <c r="B3529"/>
      <c r="C3529" s="41"/>
    </row>
    <row r="3530" spans="2:3" x14ac:dyDescent="0.2">
      <c r="B3530"/>
      <c r="C3530" s="41"/>
    </row>
    <row r="3531" spans="2:3" x14ac:dyDescent="0.2">
      <c r="B3531"/>
      <c r="C3531" s="41"/>
    </row>
    <row r="3532" spans="2:3" x14ac:dyDescent="0.2">
      <c r="B3532"/>
      <c r="C3532" s="41"/>
    </row>
    <row r="3533" spans="2:3" x14ac:dyDescent="0.2">
      <c r="B3533"/>
      <c r="C3533" s="41"/>
    </row>
    <row r="3534" spans="2:3" x14ac:dyDescent="0.2">
      <c r="B3534"/>
      <c r="C3534" s="41"/>
    </row>
    <row r="3535" spans="2:3" x14ac:dyDescent="0.2">
      <c r="B3535"/>
      <c r="C3535" s="41"/>
    </row>
    <row r="3536" spans="2:3" x14ac:dyDescent="0.2">
      <c r="B3536"/>
      <c r="C3536" s="41"/>
    </row>
    <row r="3537" spans="2:3" x14ac:dyDescent="0.2">
      <c r="B3537"/>
      <c r="C3537" s="41"/>
    </row>
    <row r="3538" spans="2:3" x14ac:dyDescent="0.2">
      <c r="B3538"/>
      <c r="C3538" s="41"/>
    </row>
    <row r="3539" spans="2:3" x14ac:dyDescent="0.2">
      <c r="B3539"/>
      <c r="C3539" s="41"/>
    </row>
    <row r="3540" spans="2:3" x14ac:dyDescent="0.2">
      <c r="B3540"/>
      <c r="C3540" s="41"/>
    </row>
    <row r="3541" spans="2:3" x14ac:dyDescent="0.2">
      <c r="B3541"/>
      <c r="C3541" s="41"/>
    </row>
    <row r="3542" spans="2:3" x14ac:dyDescent="0.2">
      <c r="B3542"/>
      <c r="C3542" s="41"/>
    </row>
    <row r="3543" spans="2:3" x14ac:dyDescent="0.2">
      <c r="B3543"/>
      <c r="C3543" s="41"/>
    </row>
    <row r="3544" spans="2:3" x14ac:dyDescent="0.2">
      <c r="B3544"/>
      <c r="C3544" s="41"/>
    </row>
    <row r="3545" spans="2:3" x14ac:dyDescent="0.2">
      <c r="B3545"/>
      <c r="C3545" s="41"/>
    </row>
    <row r="3546" spans="2:3" x14ac:dyDescent="0.2">
      <c r="B3546"/>
      <c r="C3546" s="41"/>
    </row>
    <row r="3547" spans="2:3" x14ac:dyDescent="0.2">
      <c r="B3547"/>
      <c r="C3547" s="41"/>
    </row>
    <row r="3548" spans="2:3" x14ac:dyDescent="0.2">
      <c r="B3548"/>
      <c r="C3548" s="41"/>
    </row>
    <row r="3549" spans="2:3" x14ac:dyDescent="0.2">
      <c r="B3549"/>
      <c r="C3549" s="41"/>
    </row>
    <row r="3550" spans="2:3" x14ac:dyDescent="0.2">
      <c r="B3550"/>
      <c r="C3550" s="41"/>
    </row>
    <row r="3551" spans="2:3" x14ac:dyDescent="0.2">
      <c r="B3551"/>
      <c r="C3551" s="41"/>
    </row>
    <row r="3552" spans="2:3" x14ac:dyDescent="0.2">
      <c r="B3552"/>
      <c r="C3552" s="41"/>
    </row>
    <row r="3553" spans="2:3" x14ac:dyDescent="0.2">
      <c r="B3553"/>
      <c r="C3553" s="41"/>
    </row>
    <row r="3554" spans="2:3" x14ac:dyDescent="0.2">
      <c r="B3554"/>
      <c r="C3554" s="41"/>
    </row>
    <row r="3555" spans="2:3" x14ac:dyDescent="0.2">
      <c r="B3555"/>
      <c r="C3555" s="41"/>
    </row>
    <row r="3556" spans="2:3" x14ac:dyDescent="0.2">
      <c r="B3556"/>
      <c r="C3556" s="41"/>
    </row>
    <row r="3557" spans="2:3" x14ac:dyDescent="0.2">
      <c r="B3557"/>
      <c r="C3557" s="41"/>
    </row>
    <row r="3558" spans="2:3" x14ac:dyDescent="0.2">
      <c r="B3558"/>
      <c r="C3558" s="41"/>
    </row>
    <row r="3559" spans="2:3" x14ac:dyDescent="0.2">
      <c r="B3559"/>
      <c r="C3559" s="41"/>
    </row>
    <row r="3560" spans="2:3" x14ac:dyDescent="0.2">
      <c r="B3560"/>
      <c r="C3560" s="41"/>
    </row>
    <row r="3561" spans="2:3" x14ac:dyDescent="0.2">
      <c r="B3561"/>
      <c r="C3561" s="41"/>
    </row>
    <row r="3562" spans="2:3" x14ac:dyDescent="0.2">
      <c r="B3562"/>
      <c r="C3562" s="41"/>
    </row>
    <row r="3563" spans="2:3" x14ac:dyDescent="0.2">
      <c r="B3563"/>
      <c r="C3563" s="41"/>
    </row>
    <row r="3564" spans="2:3" x14ac:dyDescent="0.2">
      <c r="B3564"/>
      <c r="C3564" s="41"/>
    </row>
    <row r="3565" spans="2:3" x14ac:dyDescent="0.2">
      <c r="B3565"/>
      <c r="C3565" s="41"/>
    </row>
    <row r="3566" spans="2:3" x14ac:dyDescent="0.2">
      <c r="B3566"/>
      <c r="C3566" s="41"/>
    </row>
    <row r="3567" spans="2:3" x14ac:dyDescent="0.2">
      <c r="B3567"/>
      <c r="C3567" s="41"/>
    </row>
    <row r="3568" spans="2:3" x14ac:dyDescent="0.2">
      <c r="B3568"/>
      <c r="C3568" s="41"/>
    </row>
    <row r="3569" spans="2:3" x14ac:dyDescent="0.2">
      <c r="B3569"/>
      <c r="C3569" s="41"/>
    </row>
    <row r="3570" spans="2:3" x14ac:dyDescent="0.2">
      <c r="B3570"/>
      <c r="C3570" s="41"/>
    </row>
    <row r="3571" spans="2:3" x14ac:dyDescent="0.2">
      <c r="B3571"/>
      <c r="C3571" s="41"/>
    </row>
    <row r="3572" spans="2:3" x14ac:dyDescent="0.2">
      <c r="B3572"/>
      <c r="C3572" s="41"/>
    </row>
    <row r="3573" spans="2:3" x14ac:dyDescent="0.2">
      <c r="B3573"/>
      <c r="C3573" s="41"/>
    </row>
    <row r="3574" spans="2:3" x14ac:dyDescent="0.2">
      <c r="B3574"/>
      <c r="C3574" s="41"/>
    </row>
    <row r="3575" spans="2:3" x14ac:dyDescent="0.2">
      <c r="B3575"/>
      <c r="C3575" s="41"/>
    </row>
    <row r="3576" spans="2:3" x14ac:dyDescent="0.2">
      <c r="B3576"/>
      <c r="C3576" s="41"/>
    </row>
    <row r="3577" spans="2:3" x14ac:dyDescent="0.2">
      <c r="B3577"/>
      <c r="C3577" s="41"/>
    </row>
    <row r="3578" spans="2:3" x14ac:dyDescent="0.2">
      <c r="B3578"/>
      <c r="C3578" s="41"/>
    </row>
    <row r="3579" spans="2:3" x14ac:dyDescent="0.2">
      <c r="B3579"/>
      <c r="C3579" s="41"/>
    </row>
    <row r="3580" spans="2:3" x14ac:dyDescent="0.2">
      <c r="B3580"/>
      <c r="C3580" s="41"/>
    </row>
    <row r="3581" spans="2:3" x14ac:dyDescent="0.2">
      <c r="B3581"/>
      <c r="C3581" s="41"/>
    </row>
    <row r="3582" spans="2:3" x14ac:dyDescent="0.2">
      <c r="B3582"/>
      <c r="C3582" s="41"/>
    </row>
    <row r="3583" spans="2:3" x14ac:dyDescent="0.2">
      <c r="B3583"/>
      <c r="C3583" s="41"/>
    </row>
    <row r="3584" spans="2:3" x14ac:dyDescent="0.2">
      <c r="B3584"/>
      <c r="C3584" s="41"/>
    </row>
    <row r="3585" spans="2:3" x14ac:dyDescent="0.2">
      <c r="B3585"/>
      <c r="C3585" s="41"/>
    </row>
    <row r="3586" spans="2:3" x14ac:dyDescent="0.2">
      <c r="B3586"/>
      <c r="C3586" s="41"/>
    </row>
    <row r="3587" spans="2:3" x14ac:dyDescent="0.2">
      <c r="B3587"/>
      <c r="C3587" s="41"/>
    </row>
    <row r="3588" spans="2:3" x14ac:dyDescent="0.2">
      <c r="B3588"/>
      <c r="C3588" s="41"/>
    </row>
    <row r="3589" spans="2:3" x14ac:dyDescent="0.2">
      <c r="B3589"/>
      <c r="C3589" s="41"/>
    </row>
    <row r="3590" spans="2:3" x14ac:dyDescent="0.2">
      <c r="B3590"/>
      <c r="C3590" s="41"/>
    </row>
    <row r="3591" spans="2:3" x14ac:dyDescent="0.2">
      <c r="B3591"/>
      <c r="C3591" s="41"/>
    </row>
    <row r="3592" spans="2:3" x14ac:dyDescent="0.2">
      <c r="B3592"/>
      <c r="C3592" s="41"/>
    </row>
    <row r="3593" spans="2:3" x14ac:dyDescent="0.2">
      <c r="B3593"/>
      <c r="C3593" s="41"/>
    </row>
    <row r="3594" spans="2:3" x14ac:dyDescent="0.2">
      <c r="B3594"/>
      <c r="C3594" s="41"/>
    </row>
    <row r="3595" spans="2:3" x14ac:dyDescent="0.2">
      <c r="B3595"/>
      <c r="C3595" s="41"/>
    </row>
    <row r="3596" spans="2:3" x14ac:dyDescent="0.2">
      <c r="B3596"/>
      <c r="C3596" s="41"/>
    </row>
    <row r="3597" spans="2:3" x14ac:dyDescent="0.2">
      <c r="B3597"/>
      <c r="C3597" s="41"/>
    </row>
    <row r="3598" spans="2:3" x14ac:dyDescent="0.2">
      <c r="B3598"/>
      <c r="C3598" s="41"/>
    </row>
    <row r="3599" spans="2:3" x14ac:dyDescent="0.2">
      <c r="B3599"/>
      <c r="C3599" s="41"/>
    </row>
    <row r="3600" spans="2:3" x14ac:dyDescent="0.2">
      <c r="B3600"/>
      <c r="C3600" s="41"/>
    </row>
    <row r="3601" spans="2:3" x14ac:dyDescent="0.2">
      <c r="B3601"/>
      <c r="C3601" s="41"/>
    </row>
    <row r="3602" spans="2:3" x14ac:dyDescent="0.2">
      <c r="B3602"/>
      <c r="C3602" s="41"/>
    </row>
    <row r="3603" spans="2:3" x14ac:dyDescent="0.2">
      <c r="B3603"/>
      <c r="C3603" s="41"/>
    </row>
    <row r="3604" spans="2:3" x14ac:dyDescent="0.2">
      <c r="B3604"/>
      <c r="C3604" s="41"/>
    </row>
    <row r="3605" spans="2:3" x14ac:dyDescent="0.2">
      <c r="B3605"/>
      <c r="C3605" s="41"/>
    </row>
    <row r="3606" spans="2:3" x14ac:dyDescent="0.2">
      <c r="B3606"/>
      <c r="C3606" s="41"/>
    </row>
    <row r="3607" spans="2:3" x14ac:dyDescent="0.2">
      <c r="B3607"/>
      <c r="C3607" s="41"/>
    </row>
    <row r="3608" spans="2:3" x14ac:dyDescent="0.2">
      <c r="B3608"/>
      <c r="C3608" s="41"/>
    </row>
    <row r="3609" spans="2:3" x14ac:dyDescent="0.2">
      <c r="B3609"/>
      <c r="C3609" s="41"/>
    </row>
    <row r="3610" spans="2:3" x14ac:dyDescent="0.2">
      <c r="B3610"/>
      <c r="C3610" s="41"/>
    </row>
    <row r="3611" spans="2:3" x14ac:dyDescent="0.2">
      <c r="B3611"/>
      <c r="C3611" s="41"/>
    </row>
    <row r="3612" spans="2:3" x14ac:dyDescent="0.2">
      <c r="B3612"/>
      <c r="C3612" s="41"/>
    </row>
    <row r="3613" spans="2:3" x14ac:dyDescent="0.2">
      <c r="B3613"/>
      <c r="C3613" s="41"/>
    </row>
    <row r="3614" spans="2:3" x14ac:dyDescent="0.2">
      <c r="B3614"/>
      <c r="C3614" s="41"/>
    </row>
    <row r="3615" spans="2:3" x14ac:dyDescent="0.2">
      <c r="B3615"/>
      <c r="C3615" s="41"/>
    </row>
    <row r="3616" spans="2:3" x14ac:dyDescent="0.2">
      <c r="B3616"/>
      <c r="C3616" s="41"/>
    </row>
    <row r="3617" spans="2:3" x14ac:dyDescent="0.2">
      <c r="B3617"/>
      <c r="C3617" s="41"/>
    </row>
    <row r="3618" spans="2:3" x14ac:dyDescent="0.2">
      <c r="B3618"/>
      <c r="C3618" s="41"/>
    </row>
    <row r="3619" spans="2:3" x14ac:dyDescent="0.2">
      <c r="B3619"/>
      <c r="C3619" s="41"/>
    </row>
    <row r="3620" spans="2:3" x14ac:dyDescent="0.2">
      <c r="B3620"/>
      <c r="C3620" s="41"/>
    </row>
    <row r="3621" spans="2:3" x14ac:dyDescent="0.2">
      <c r="B3621"/>
      <c r="C3621" s="41"/>
    </row>
    <row r="3622" spans="2:3" x14ac:dyDescent="0.2">
      <c r="B3622"/>
      <c r="C3622" s="41"/>
    </row>
    <row r="3623" spans="2:3" x14ac:dyDescent="0.2">
      <c r="B3623"/>
      <c r="C3623" s="41"/>
    </row>
    <row r="3624" spans="2:3" x14ac:dyDescent="0.2">
      <c r="B3624"/>
      <c r="C3624" s="41"/>
    </row>
    <row r="3625" spans="2:3" x14ac:dyDescent="0.2">
      <c r="B3625"/>
      <c r="C3625" s="41"/>
    </row>
    <row r="3626" spans="2:3" x14ac:dyDescent="0.2">
      <c r="B3626"/>
      <c r="C3626" s="41"/>
    </row>
    <row r="3627" spans="2:3" x14ac:dyDescent="0.2">
      <c r="B3627"/>
      <c r="C3627" s="41"/>
    </row>
    <row r="3628" spans="2:3" x14ac:dyDescent="0.2">
      <c r="B3628"/>
      <c r="C3628" s="41"/>
    </row>
    <row r="3629" spans="2:3" x14ac:dyDescent="0.2">
      <c r="B3629"/>
      <c r="C3629" s="41"/>
    </row>
    <row r="3630" spans="2:3" x14ac:dyDescent="0.2">
      <c r="B3630"/>
      <c r="C3630" s="41"/>
    </row>
    <row r="3631" spans="2:3" x14ac:dyDescent="0.2">
      <c r="B3631"/>
      <c r="C3631" s="41"/>
    </row>
    <row r="3632" spans="2:3" x14ac:dyDescent="0.2">
      <c r="B3632"/>
      <c r="C3632" s="41"/>
    </row>
    <row r="3633" spans="2:3" x14ac:dyDescent="0.2">
      <c r="B3633"/>
      <c r="C3633" s="41"/>
    </row>
    <row r="3634" spans="2:3" x14ac:dyDescent="0.2">
      <c r="B3634"/>
      <c r="C3634" s="41"/>
    </row>
    <row r="3635" spans="2:3" x14ac:dyDescent="0.2">
      <c r="B3635"/>
      <c r="C3635" s="41"/>
    </row>
    <row r="3636" spans="2:3" x14ac:dyDescent="0.2">
      <c r="B3636"/>
      <c r="C3636" s="41"/>
    </row>
    <row r="3637" spans="2:3" x14ac:dyDescent="0.2">
      <c r="B3637"/>
      <c r="C3637" s="41"/>
    </row>
    <row r="3638" spans="2:3" x14ac:dyDescent="0.2">
      <c r="B3638"/>
      <c r="C3638" s="41"/>
    </row>
    <row r="3639" spans="2:3" x14ac:dyDescent="0.2">
      <c r="B3639"/>
      <c r="C3639" s="41"/>
    </row>
    <row r="3640" spans="2:3" x14ac:dyDescent="0.2">
      <c r="B3640"/>
      <c r="C3640" s="41"/>
    </row>
    <row r="3641" spans="2:3" x14ac:dyDescent="0.2">
      <c r="B3641"/>
      <c r="C3641" s="41"/>
    </row>
    <row r="3642" spans="2:3" x14ac:dyDescent="0.2">
      <c r="B3642"/>
      <c r="C3642" s="41"/>
    </row>
    <row r="3643" spans="2:3" x14ac:dyDescent="0.2">
      <c r="B3643"/>
      <c r="C3643" s="41"/>
    </row>
    <row r="3644" spans="2:3" x14ac:dyDescent="0.2">
      <c r="B3644"/>
      <c r="C3644" s="41"/>
    </row>
    <row r="3645" spans="2:3" x14ac:dyDescent="0.2">
      <c r="B3645"/>
      <c r="C3645" s="41"/>
    </row>
    <row r="3646" spans="2:3" x14ac:dyDescent="0.2">
      <c r="B3646"/>
      <c r="C3646" s="41"/>
    </row>
    <row r="3647" spans="2:3" x14ac:dyDescent="0.2">
      <c r="B3647"/>
      <c r="C3647" s="41"/>
    </row>
    <row r="3648" spans="2:3" x14ac:dyDescent="0.2">
      <c r="B3648"/>
      <c r="C3648" s="41"/>
    </row>
    <row r="3649" spans="2:3" x14ac:dyDescent="0.2">
      <c r="B3649"/>
      <c r="C3649" s="41"/>
    </row>
    <row r="3650" spans="2:3" x14ac:dyDescent="0.2">
      <c r="B3650"/>
      <c r="C3650" s="41"/>
    </row>
    <row r="3651" spans="2:3" x14ac:dyDescent="0.2">
      <c r="B3651"/>
      <c r="C3651" s="41"/>
    </row>
    <row r="3652" spans="2:3" x14ac:dyDescent="0.2">
      <c r="B3652"/>
      <c r="C3652" s="41"/>
    </row>
    <row r="3653" spans="2:3" x14ac:dyDescent="0.2">
      <c r="B3653"/>
      <c r="C3653" s="41"/>
    </row>
    <row r="3654" spans="2:3" x14ac:dyDescent="0.2">
      <c r="B3654"/>
      <c r="C3654" s="41"/>
    </row>
    <row r="3655" spans="2:3" x14ac:dyDescent="0.2">
      <c r="B3655"/>
      <c r="C3655" s="41"/>
    </row>
    <row r="3656" spans="2:3" x14ac:dyDescent="0.2">
      <c r="B3656"/>
      <c r="C3656" s="41"/>
    </row>
    <row r="3657" spans="2:3" x14ac:dyDescent="0.2">
      <c r="B3657"/>
      <c r="C3657" s="41"/>
    </row>
    <row r="3658" spans="2:3" x14ac:dyDescent="0.2">
      <c r="B3658"/>
      <c r="C3658" s="41"/>
    </row>
    <row r="3659" spans="2:3" x14ac:dyDescent="0.2">
      <c r="B3659"/>
      <c r="C3659" s="41"/>
    </row>
    <row r="3660" spans="2:3" x14ac:dyDescent="0.2">
      <c r="B3660"/>
      <c r="C3660" s="41"/>
    </row>
    <row r="3661" spans="2:3" x14ac:dyDescent="0.2">
      <c r="B3661"/>
      <c r="C3661" s="41"/>
    </row>
    <row r="3662" spans="2:3" x14ac:dyDescent="0.2">
      <c r="B3662"/>
      <c r="C3662" s="41"/>
    </row>
    <row r="3663" spans="2:3" x14ac:dyDescent="0.2">
      <c r="B3663"/>
      <c r="C3663" s="41"/>
    </row>
    <row r="3664" spans="2:3" x14ac:dyDescent="0.2">
      <c r="B3664"/>
      <c r="C3664" s="41"/>
    </row>
    <row r="3665" spans="2:3" x14ac:dyDescent="0.2">
      <c r="B3665"/>
      <c r="C3665" s="41"/>
    </row>
    <row r="3666" spans="2:3" x14ac:dyDescent="0.2">
      <c r="B3666"/>
      <c r="C3666" s="41"/>
    </row>
    <row r="3667" spans="2:3" x14ac:dyDescent="0.2">
      <c r="B3667"/>
      <c r="C3667" s="41"/>
    </row>
    <row r="3668" spans="2:3" x14ac:dyDescent="0.2">
      <c r="B3668"/>
      <c r="C3668" s="41"/>
    </row>
    <row r="3669" spans="2:3" x14ac:dyDescent="0.2">
      <c r="B3669"/>
      <c r="C3669" s="41"/>
    </row>
    <row r="3670" spans="2:3" x14ac:dyDescent="0.2">
      <c r="B3670"/>
      <c r="C3670" s="41"/>
    </row>
    <row r="3671" spans="2:3" x14ac:dyDescent="0.2">
      <c r="B3671"/>
      <c r="C3671" s="41"/>
    </row>
    <row r="3672" spans="2:3" x14ac:dyDescent="0.2">
      <c r="B3672"/>
      <c r="C3672" s="41"/>
    </row>
    <row r="3673" spans="2:3" x14ac:dyDescent="0.2">
      <c r="B3673"/>
      <c r="C3673" s="41"/>
    </row>
    <row r="3674" spans="2:3" x14ac:dyDescent="0.2">
      <c r="B3674"/>
      <c r="C3674" s="41"/>
    </row>
    <row r="3675" spans="2:3" x14ac:dyDescent="0.2">
      <c r="B3675"/>
      <c r="C3675" s="41"/>
    </row>
  </sheetData>
  <conditionalFormatting pivot="1" sqref="C21:J118">
    <cfRule type="cellIs" dxfId="35" priority="3" operator="between">
      <formula>99.5</formula>
      <formula>114.9</formula>
    </cfRule>
  </conditionalFormatting>
  <conditionalFormatting pivot="1" sqref="C21:J118">
    <cfRule type="cellIs" dxfId="34" priority="2" operator="greaterThan">
      <formula>114.5</formula>
    </cfRule>
  </conditionalFormatting>
  <conditionalFormatting pivot="1" sqref="C21:J118">
    <cfRule type="cellIs" dxfId="33" priority="1" operator="between">
      <formula>89.5</formula>
      <formula>99.49</formula>
    </cfRule>
  </conditionalFormatting>
  <pageMargins left="0" right="0" top="0" bottom="0" header="0" footer="0"/>
  <pageSetup orientation="portrait" r:id="rId2"/>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A134BA-5EB5-4A64-8960-E8E3B41DD8D1}">
  <sheetPr codeName="Sheet4">
    <tabColor theme="0" tint="-0.49995422223578601"/>
  </sheetPr>
  <dimension ref="B1:BY843"/>
  <sheetViews>
    <sheetView showGridLines="0" showRuler="0" view="pageLayout" zoomScaleNormal="100" workbookViewId="0">
      <selection activeCell="C4" sqref="C4"/>
    </sheetView>
  </sheetViews>
  <sheetFormatPr defaultColWidth="13.85546875" defaultRowHeight="14.25" x14ac:dyDescent="0.2"/>
  <cols>
    <col min="1" max="1" width="2.140625" style="11" customWidth="1"/>
    <col min="2" max="2" width="12.42578125" style="11" customWidth="1"/>
    <col min="3" max="3" width="13.42578125" style="11" customWidth="1"/>
    <col min="4" max="4" width="15.140625" style="11" customWidth="1"/>
    <col min="5" max="5" width="14.140625" style="11" customWidth="1"/>
    <col min="6" max="6" width="4.42578125" style="12" customWidth="1"/>
    <col min="7" max="8" width="18.85546875" style="12" customWidth="1"/>
    <col min="9" max="22" width="13.85546875" style="12"/>
    <col min="23" max="16384" width="13.85546875" style="11"/>
  </cols>
  <sheetData>
    <row r="1" spans="2:23" ht="24.6" customHeight="1" x14ac:dyDescent="0.2">
      <c r="B1" s="8" t="s">
        <v>21</v>
      </c>
      <c r="C1" s="9"/>
      <c r="D1" s="10"/>
    </row>
    <row r="2" spans="2:23" ht="15" customHeight="1" x14ac:dyDescent="0.2">
      <c r="B2" s="13" t="s">
        <v>22</v>
      </c>
      <c r="C2" s="9"/>
      <c r="D2" s="10"/>
    </row>
    <row r="3" spans="2:23" ht="12.2" customHeight="1" x14ac:dyDescent="0.2">
      <c r="B3" s="10"/>
      <c r="C3" s="10"/>
      <c r="D3" s="10"/>
      <c r="G3" s="11"/>
      <c r="J3" s="11"/>
      <c r="P3" s="14"/>
      <c r="Q3" s="14"/>
      <c r="R3" s="14"/>
      <c r="S3" s="15"/>
      <c r="T3" s="15"/>
      <c r="U3" s="15"/>
      <c r="V3" s="15"/>
      <c r="W3" s="16"/>
    </row>
    <row r="4" spans="2:23" ht="13.7" customHeight="1" x14ac:dyDescent="0.2">
      <c r="B4" s="17" t="s">
        <v>23</v>
      </c>
      <c r="C4" s="18" t="str">
        <f>COVER!C17</f>
        <v>ENTER CLIENT NAME HERE</v>
      </c>
      <c r="D4" s="19"/>
      <c r="E4" s="20"/>
      <c r="F4" s="21"/>
      <c r="G4" s="22"/>
    </row>
    <row r="5" spans="2:23" ht="13.7" customHeight="1" x14ac:dyDescent="0.2">
      <c r="B5" s="17" t="s">
        <v>24</v>
      </c>
      <c r="C5" s="17" t="str">
        <f>COVER!C19</f>
        <v>Atlanta, Chicago, Dallas/Ft. Worth, Los Angeles, New York, Seattle/Tacoma</v>
      </c>
      <c r="D5" s="19"/>
      <c r="E5" s="23"/>
      <c r="F5" s="21"/>
      <c r="G5" s="24"/>
      <c r="H5" s="24"/>
      <c r="I5" s="24"/>
      <c r="J5" s="24"/>
      <c r="K5" s="24"/>
      <c r="L5" s="24"/>
      <c r="M5" s="24"/>
    </row>
    <row r="6" spans="2:23" ht="13.7" customHeight="1" x14ac:dyDescent="0.2">
      <c r="B6" s="17" t="s">
        <v>25</v>
      </c>
      <c r="C6" s="17" t="str">
        <f>COVER!C18</f>
        <v>Experian &gt; Experian Household Segments &gt; Lifestyles - Standard &gt; Domestic Travel</v>
      </c>
      <c r="D6" s="19"/>
      <c r="E6" s="25"/>
      <c r="F6" s="21"/>
      <c r="G6" s="24"/>
      <c r="H6" s="24"/>
      <c r="I6" s="24"/>
      <c r="J6" s="24"/>
      <c r="K6" s="24"/>
      <c r="L6" s="24"/>
      <c r="M6" s="24"/>
    </row>
    <row r="7" spans="2:23" s="12" customFormat="1" x14ac:dyDescent="0.2">
      <c r="B7" s="17" t="s">
        <v>26</v>
      </c>
      <c r="C7" s="17" t="str">
        <f>COVER!C20</f>
        <v>February 2026</v>
      </c>
      <c r="D7" s="9"/>
      <c r="E7" s="26"/>
      <c r="H7" s="15"/>
      <c r="I7" s="15"/>
      <c r="J7" s="15"/>
      <c r="K7" s="15"/>
      <c r="L7" s="15"/>
    </row>
    <row r="8" spans="2:23" s="12" customFormat="1" ht="15" x14ac:dyDescent="0.25">
      <c r="B8" s="27" t="s">
        <v>27</v>
      </c>
      <c r="E8" s="28"/>
      <c r="I8" s="29"/>
      <c r="J8" s="29"/>
      <c r="K8" s="29"/>
      <c r="L8" s="29"/>
    </row>
    <row r="9" spans="2:23" s="12" customFormat="1" ht="15" x14ac:dyDescent="0.25">
      <c r="B9" s="27"/>
      <c r="E9" s="28"/>
      <c r="I9" s="29"/>
      <c r="J9" s="29"/>
      <c r="K9" s="29"/>
      <c r="L9" s="29"/>
    </row>
    <row r="10" spans="2:23" s="12" customFormat="1" ht="15" hidden="1" x14ac:dyDescent="0.25">
      <c r="B10" s="30"/>
      <c r="E10" s="28"/>
      <c r="I10" s="29"/>
      <c r="J10" s="29"/>
      <c r="K10" s="29"/>
      <c r="L10" s="29"/>
    </row>
    <row r="11" spans="2:23" s="12" customFormat="1" ht="15" hidden="1" x14ac:dyDescent="0.25">
      <c r="B11" s="67" t="s">
        <v>38</v>
      </c>
      <c r="C11"/>
      <c r="D11"/>
      <c r="E11" s="28"/>
      <c r="I11" s="29"/>
      <c r="J11" s="29"/>
      <c r="K11" s="29"/>
      <c r="L11" s="29"/>
    </row>
    <row r="12" spans="2:23" s="12" customFormat="1" ht="15" hidden="1" x14ac:dyDescent="0.25">
      <c r="B12" t="s">
        <v>40</v>
      </c>
      <c r="C12" s="40">
        <v>0.6283333333333333</v>
      </c>
      <c r="D12"/>
      <c r="E12"/>
      <c r="F12"/>
      <c r="G12"/>
      <c r="I12" s="29"/>
      <c r="J12" s="29"/>
      <c r="K12" s="29"/>
      <c r="L12" s="29"/>
    </row>
    <row r="13" spans="2:23" s="12" customFormat="1" ht="15" hidden="1" x14ac:dyDescent="0.25">
      <c r="B13" t="s">
        <v>39</v>
      </c>
      <c r="C13" s="40">
        <v>0.37166666666666665</v>
      </c>
      <c r="D13"/>
      <c r="E13"/>
      <c r="F13"/>
      <c r="G13"/>
      <c r="I13" s="29"/>
      <c r="J13" s="29"/>
      <c r="K13" s="29"/>
      <c r="L13" s="29"/>
    </row>
    <row r="14" spans="2:23" ht="15" hidden="1" x14ac:dyDescent="0.25">
      <c r="B14"/>
      <c r="C14"/>
      <c r="D14"/>
      <c r="E14"/>
      <c r="F14"/>
      <c r="G14"/>
      <c r="I14" s="29"/>
      <c r="J14" s="29"/>
      <c r="K14" s="29"/>
      <c r="L14" s="29"/>
      <c r="M14" s="11"/>
      <c r="N14" s="11"/>
      <c r="O14" s="11"/>
      <c r="P14" s="11"/>
    </row>
    <row r="15" spans="2:23" ht="15" x14ac:dyDescent="0.25">
      <c r="B15"/>
      <c r="C15"/>
      <c r="D15"/>
      <c r="E15"/>
      <c r="F15"/>
      <c r="G15"/>
      <c r="I15" s="29"/>
      <c r="J15" s="29"/>
      <c r="K15" s="29"/>
      <c r="L15" s="29"/>
      <c r="M15" s="11"/>
      <c r="N15" s="11"/>
      <c r="O15" s="11"/>
      <c r="P15" s="11"/>
    </row>
    <row r="16" spans="2:23" ht="15" x14ac:dyDescent="0.25">
      <c r="B16"/>
      <c r="C16"/>
      <c r="D16"/>
      <c r="E16"/>
      <c r="F16"/>
      <c r="I16" s="29"/>
      <c r="J16" s="29"/>
      <c r="K16" s="29"/>
      <c r="L16" s="29"/>
      <c r="M16" s="11"/>
      <c r="N16" s="11"/>
      <c r="O16" s="11"/>
      <c r="P16" s="11"/>
    </row>
    <row r="17" spans="2:77" ht="15" x14ac:dyDescent="0.25">
      <c r="B17"/>
      <c r="C17"/>
      <c r="D17"/>
      <c r="I17" s="29"/>
      <c r="J17" s="31"/>
      <c r="K17" s="29"/>
      <c r="L17" s="29"/>
      <c r="M17" s="11"/>
      <c r="N17" s="11"/>
      <c r="O17" s="11"/>
      <c r="P17" s="11"/>
      <c r="Q17" s="24"/>
      <c r="R17" s="24"/>
      <c r="S17" s="24"/>
      <c r="T17" s="24"/>
      <c r="U17" s="24"/>
      <c r="V17" s="24"/>
    </row>
    <row r="18" spans="2:77" ht="15" x14ac:dyDescent="0.25">
      <c r="B18"/>
      <c r="C18"/>
      <c r="D18"/>
      <c r="E18" s="29"/>
      <c r="F18" s="29"/>
      <c r="G18" s="29"/>
      <c r="H18" s="29"/>
      <c r="I18" s="29"/>
      <c r="J18" s="29"/>
      <c r="K18" s="29"/>
      <c r="L18" s="29"/>
      <c r="M18" s="29"/>
      <c r="N18" s="29"/>
      <c r="O18" s="29"/>
      <c r="P18" s="11"/>
      <c r="Q18" s="24"/>
      <c r="R18" s="24"/>
      <c r="S18" s="24"/>
      <c r="T18" s="24"/>
      <c r="U18" s="24"/>
      <c r="V18" s="24"/>
    </row>
    <row r="19" spans="2:77" ht="15" x14ac:dyDescent="0.25">
      <c r="B19"/>
      <c r="C19"/>
      <c r="D19"/>
      <c r="E19" s="29"/>
      <c r="F19" s="29"/>
      <c r="G19" s="29"/>
      <c r="H19" s="29"/>
      <c r="I19" s="29"/>
      <c r="J19" s="29"/>
      <c r="K19" s="29"/>
      <c r="L19" s="29"/>
      <c r="M19" s="29"/>
      <c r="N19" s="29"/>
      <c r="O19" s="29"/>
    </row>
    <row r="20" spans="2:77" ht="15" x14ac:dyDescent="0.25">
      <c r="B20"/>
      <c r="C20"/>
      <c r="D20"/>
      <c r="E20" s="29"/>
      <c r="F20" s="29"/>
      <c r="G20" s="29"/>
      <c r="H20" s="29"/>
      <c r="I20" s="29"/>
      <c r="J20" s="29"/>
      <c r="K20" s="29"/>
      <c r="L20" s="29"/>
      <c r="M20" s="29"/>
      <c r="N20" s="29"/>
      <c r="O20" s="29"/>
      <c r="P20" s="29"/>
      <c r="Q20" s="29"/>
      <c r="R20" s="29"/>
      <c r="S20" s="29"/>
      <c r="T20" s="29"/>
      <c r="U20" s="29"/>
      <c r="V20" s="29"/>
      <c r="W20" s="29"/>
      <c r="X20" s="29"/>
      <c r="Y20" s="29"/>
      <c r="Z20" s="29"/>
      <c r="AA20" s="29"/>
      <c r="AB20" s="29"/>
      <c r="AC20" s="29"/>
      <c r="AD20" s="29"/>
      <c r="AE20" s="29"/>
      <c r="AF20" s="29"/>
      <c r="AG20" s="29"/>
      <c r="AH20" s="29"/>
      <c r="AI20" s="29"/>
      <c r="AJ20" s="29"/>
      <c r="AK20" s="29"/>
      <c r="AL20" s="29"/>
      <c r="AM20" s="29"/>
      <c r="AN20" s="29"/>
      <c r="AO20" s="29"/>
      <c r="AP20" s="29"/>
      <c r="AQ20" s="29"/>
      <c r="AR20" s="29"/>
      <c r="AS20" s="29"/>
      <c r="AT20" s="29"/>
      <c r="AU20" s="29"/>
      <c r="AV20" s="29"/>
      <c r="AW20" s="29"/>
      <c r="AX20" s="29"/>
      <c r="AY20" s="29"/>
      <c r="AZ20" s="29"/>
      <c r="BA20" s="29"/>
      <c r="BB20" s="29"/>
      <c r="BC20" s="29"/>
      <c r="BD20" s="29"/>
      <c r="BE20" s="29"/>
      <c r="BF20" s="29"/>
      <c r="BG20" s="29"/>
      <c r="BH20" s="29"/>
      <c r="BI20" s="29"/>
      <c r="BJ20" s="29"/>
      <c r="BK20" s="29"/>
      <c r="BL20" s="29"/>
      <c r="BM20" s="29"/>
      <c r="BN20" s="29"/>
      <c r="BO20" s="29"/>
      <c r="BP20" s="29"/>
      <c r="BQ20" s="29"/>
      <c r="BR20" s="29"/>
      <c r="BS20" s="29"/>
      <c r="BT20" s="29"/>
      <c r="BU20" s="29"/>
      <c r="BV20" s="29"/>
      <c r="BW20" s="29"/>
      <c r="BX20" s="29"/>
      <c r="BY20" s="29"/>
    </row>
    <row r="21" spans="2:77" ht="15" x14ac:dyDescent="0.25">
      <c r="B21"/>
      <c r="C21"/>
      <c r="D21"/>
      <c r="E21" s="29"/>
      <c r="F21" s="29"/>
      <c r="G21" s="29"/>
      <c r="H21" s="29"/>
      <c r="I21" s="29"/>
      <c r="J21" s="29"/>
      <c r="K21" s="29"/>
      <c r="L21" s="29"/>
      <c r="M21" s="29"/>
      <c r="N21" s="29"/>
      <c r="O21" s="29"/>
      <c r="P21" s="29"/>
      <c r="Q21" s="29"/>
      <c r="R21" s="29"/>
      <c r="S21" s="29"/>
      <c r="T21" s="29"/>
      <c r="U21" s="29"/>
      <c r="V21" s="29"/>
      <c r="W21" s="29"/>
      <c r="X21" s="29"/>
      <c r="Y21" s="29"/>
      <c r="Z21" s="29"/>
      <c r="AA21" s="29"/>
      <c r="AB21" s="29"/>
      <c r="AC21" s="29"/>
      <c r="AD21" s="29"/>
      <c r="AE21" s="29"/>
      <c r="AF21" s="29"/>
      <c r="AG21" s="29"/>
      <c r="AH21" s="29"/>
      <c r="AI21" s="29"/>
      <c r="AJ21" s="29"/>
      <c r="AK21" s="29"/>
      <c r="AL21" s="29"/>
      <c r="AM21" s="29"/>
      <c r="AN21" s="29"/>
      <c r="AO21" s="29"/>
      <c r="AP21" s="29"/>
      <c r="AQ21" s="29"/>
      <c r="AR21" s="29"/>
      <c r="AS21" s="29"/>
      <c r="AT21" s="29"/>
      <c r="AU21" s="29"/>
      <c r="AV21" s="29"/>
      <c r="AW21" s="29"/>
      <c r="AX21" s="29"/>
      <c r="AY21" s="29"/>
      <c r="AZ21" s="29"/>
      <c r="BA21" s="29"/>
      <c r="BB21" s="29"/>
      <c r="BC21" s="29"/>
      <c r="BD21" s="29"/>
      <c r="BE21" s="29"/>
      <c r="BF21" s="29"/>
      <c r="BG21" s="29"/>
      <c r="BH21" s="29"/>
      <c r="BI21" s="29"/>
      <c r="BJ21" s="29"/>
      <c r="BK21" s="29"/>
      <c r="BL21" s="29"/>
      <c r="BM21" s="29"/>
      <c r="BN21" s="29"/>
      <c r="BO21" s="29"/>
      <c r="BP21" s="29"/>
      <c r="BQ21" s="29"/>
      <c r="BR21" s="29"/>
      <c r="BS21" s="29"/>
      <c r="BT21" s="29"/>
      <c r="BU21" s="29"/>
      <c r="BV21" s="29"/>
      <c r="BW21" s="29"/>
      <c r="BX21" s="29"/>
      <c r="BY21" s="29"/>
    </row>
    <row r="22" spans="2:77" ht="15" x14ac:dyDescent="0.25">
      <c r="B22"/>
      <c r="C22"/>
      <c r="D22"/>
      <c r="E22" s="29"/>
      <c r="F22" s="29"/>
      <c r="G22" s="29"/>
      <c r="H22" s="29"/>
      <c r="I22" s="29"/>
      <c r="J22" s="29"/>
      <c r="K22" s="29"/>
      <c r="L22" s="29"/>
      <c r="M22" s="29"/>
      <c r="N22" s="29"/>
      <c r="O22" s="29"/>
      <c r="P22" s="29"/>
      <c r="Q22" s="29"/>
      <c r="R22" s="29"/>
      <c r="S22" s="29"/>
      <c r="T22" s="29"/>
      <c r="U22" s="29"/>
      <c r="V22" s="29"/>
      <c r="W22" s="29"/>
      <c r="X22" s="29"/>
      <c r="Y22" s="29"/>
      <c r="Z22" s="29"/>
      <c r="AA22" s="29"/>
      <c r="AB22" s="29"/>
      <c r="AC22" s="29"/>
      <c r="AD22" s="29"/>
      <c r="AE22" s="29"/>
      <c r="AF22" s="29"/>
      <c r="AG22" s="29"/>
      <c r="AH22" s="29"/>
      <c r="AI22" s="29"/>
      <c r="AJ22" s="29"/>
      <c r="AK22" s="29"/>
      <c r="AL22" s="29"/>
      <c r="AM22" s="29"/>
      <c r="AN22" s="29"/>
      <c r="AO22" s="29"/>
      <c r="AP22" s="29"/>
      <c r="AQ22" s="29"/>
      <c r="AR22" s="29"/>
      <c r="AS22" s="29"/>
      <c r="AT22" s="29"/>
      <c r="AU22" s="29"/>
      <c r="AV22" s="29"/>
      <c r="AW22" s="29"/>
      <c r="AX22" s="29"/>
      <c r="AY22" s="29"/>
      <c r="AZ22" s="29"/>
      <c r="BA22" s="29"/>
      <c r="BB22" s="29"/>
      <c r="BC22" s="29"/>
      <c r="BD22" s="29"/>
      <c r="BE22" s="29"/>
      <c r="BF22" s="29"/>
      <c r="BG22" s="29"/>
      <c r="BH22" s="29"/>
      <c r="BI22" s="29"/>
      <c r="BJ22" s="29"/>
      <c r="BK22" s="29"/>
      <c r="BL22" s="29"/>
      <c r="BM22" s="29"/>
      <c r="BN22" s="29"/>
      <c r="BO22" s="29"/>
      <c r="BP22" s="29"/>
      <c r="BQ22" s="29"/>
      <c r="BR22" s="29"/>
      <c r="BS22" s="29"/>
      <c r="BT22" s="29"/>
      <c r="BU22" s="29"/>
      <c r="BV22" s="29"/>
      <c r="BW22" s="29"/>
      <c r="BX22" s="29"/>
      <c r="BY22" s="29"/>
    </row>
    <row r="23" spans="2:77" ht="15" x14ac:dyDescent="0.25">
      <c r="B23"/>
      <c r="C23"/>
      <c r="D23"/>
      <c r="E23" s="29"/>
      <c r="F23" s="29"/>
      <c r="G23" s="29"/>
      <c r="H23" s="29"/>
      <c r="I23" s="29"/>
      <c r="J23" s="29"/>
      <c r="K23" s="29"/>
      <c r="L23" s="29"/>
      <c r="M23" s="29"/>
      <c r="N23" s="29"/>
      <c r="O23" s="29"/>
      <c r="P23" s="29"/>
      <c r="Q23" s="29"/>
      <c r="R23" s="29"/>
      <c r="S23" s="29"/>
      <c r="T23" s="29"/>
      <c r="U23" s="29"/>
      <c r="V23" s="29"/>
      <c r="W23" s="29"/>
      <c r="X23" s="29"/>
      <c r="Y23" s="29"/>
      <c r="Z23" s="29"/>
      <c r="AA23" s="29"/>
      <c r="AB23" s="29"/>
      <c r="AC23" s="29"/>
      <c r="AD23" s="29"/>
      <c r="AE23" s="29"/>
      <c r="AF23" s="29"/>
      <c r="AG23" s="29"/>
      <c r="AH23" s="29"/>
      <c r="AI23" s="29"/>
      <c r="AJ23" s="29"/>
      <c r="AK23" s="29"/>
      <c r="AL23" s="29"/>
    </row>
    <row r="24" spans="2:77" ht="15" x14ac:dyDescent="0.25">
      <c r="B24"/>
      <c r="C24"/>
      <c r="D24"/>
      <c r="E24" s="29"/>
      <c r="F24" s="29"/>
      <c r="G24" s="29"/>
      <c r="H24" s="29"/>
      <c r="I24" s="29"/>
      <c r="J24" s="29"/>
      <c r="K24" s="29"/>
      <c r="L24" s="29"/>
      <c r="M24" s="29"/>
      <c r="N24" s="29"/>
      <c r="O24" s="29"/>
      <c r="P24" s="29"/>
      <c r="Q24" s="29"/>
      <c r="R24" s="29"/>
      <c r="S24" s="29"/>
      <c r="T24" s="29"/>
      <c r="U24" s="29"/>
      <c r="V24" s="29"/>
      <c r="W24" s="29"/>
      <c r="X24" s="29"/>
      <c r="Y24" s="29"/>
      <c r="Z24" s="29"/>
      <c r="AA24" s="29"/>
      <c r="AB24" s="29"/>
      <c r="AC24" s="29"/>
      <c r="AD24" s="29"/>
      <c r="AE24" s="29"/>
      <c r="AF24" s="29"/>
      <c r="AG24" s="29"/>
      <c r="AH24" s="29"/>
      <c r="AI24" s="29"/>
      <c r="AJ24" s="29"/>
      <c r="AK24" s="29"/>
      <c r="AL24" s="29"/>
    </row>
    <row r="25" spans="2:77" ht="15" x14ac:dyDescent="0.25">
      <c r="B25"/>
      <c r="C25"/>
      <c r="D25"/>
      <c r="E25" s="29"/>
      <c r="F25" s="29"/>
      <c r="G25" s="29"/>
      <c r="H25" s="29"/>
      <c r="I25" s="29"/>
      <c r="J25" s="29"/>
      <c r="K25" s="29"/>
      <c r="L25" s="29"/>
      <c r="M25" s="29"/>
      <c r="N25" s="29"/>
      <c r="O25" s="29"/>
      <c r="P25" s="29"/>
      <c r="Q25" s="29"/>
      <c r="R25" s="29"/>
      <c r="S25" s="29"/>
      <c r="T25" s="29"/>
      <c r="U25" s="29"/>
      <c r="V25" s="29"/>
      <c r="W25" s="29"/>
      <c r="X25" s="29"/>
      <c r="Y25" s="29"/>
      <c r="Z25" s="29"/>
      <c r="AA25" s="29"/>
      <c r="AB25" s="29"/>
      <c r="AC25" s="29"/>
      <c r="AD25" s="29"/>
      <c r="AE25" s="29"/>
      <c r="AF25" s="29"/>
      <c r="AG25" s="29"/>
      <c r="AH25" s="29"/>
      <c r="AI25" s="29"/>
      <c r="AJ25" s="29"/>
      <c r="AK25" s="29"/>
      <c r="AL25" s="29"/>
    </row>
    <row r="26" spans="2:77" ht="15" x14ac:dyDescent="0.25">
      <c r="B26"/>
      <c r="C26"/>
      <c r="D26"/>
      <c r="E26" s="29"/>
      <c r="F26" s="29"/>
      <c r="G26" s="29"/>
      <c r="H26" s="29"/>
      <c r="I26" s="29"/>
      <c r="J26" s="29"/>
      <c r="K26" s="29"/>
      <c r="L26" s="29"/>
      <c r="M26" s="29"/>
      <c r="N26" s="29"/>
      <c r="O26" s="29"/>
      <c r="P26" s="29"/>
      <c r="Q26" s="29"/>
      <c r="R26" s="29"/>
      <c r="S26" s="29"/>
      <c r="T26" s="29"/>
      <c r="U26" s="29"/>
      <c r="V26" s="29"/>
      <c r="W26" s="29"/>
      <c r="X26" s="29"/>
      <c r="Y26" s="29"/>
      <c r="Z26" s="29"/>
      <c r="AA26" s="29"/>
      <c r="AB26" s="29"/>
      <c r="AC26" s="29"/>
      <c r="AD26" s="29"/>
      <c r="AE26" s="29"/>
      <c r="AF26" s="29"/>
      <c r="AG26" s="29"/>
      <c r="AH26" s="29"/>
      <c r="AI26" s="29"/>
      <c r="AJ26" s="29"/>
      <c r="AK26" s="29"/>
      <c r="AL26" s="29"/>
    </row>
    <row r="27" spans="2:77" ht="15" x14ac:dyDescent="0.25">
      <c r="B27"/>
      <c r="C27"/>
      <c r="D27"/>
      <c r="E27" s="29"/>
      <c r="F27" s="29"/>
      <c r="G27" s="29"/>
      <c r="H27" s="29"/>
      <c r="I27" s="29"/>
      <c r="J27" s="29"/>
      <c r="K27" s="29"/>
      <c r="L27" s="29"/>
      <c r="M27" s="29"/>
      <c r="N27" s="29"/>
      <c r="O27" s="29"/>
      <c r="P27" s="29"/>
      <c r="Q27" s="29"/>
      <c r="R27" s="29"/>
      <c r="S27" s="29"/>
      <c r="T27" s="29"/>
      <c r="U27" s="29"/>
      <c r="V27" s="29"/>
      <c r="W27" s="29"/>
      <c r="X27" s="29"/>
      <c r="Y27" s="29"/>
      <c r="Z27" s="29"/>
      <c r="AA27" s="29"/>
      <c r="AB27" s="29"/>
      <c r="AC27" s="29"/>
      <c r="AD27" s="29"/>
      <c r="AE27" s="29"/>
      <c r="AF27" s="29"/>
      <c r="AG27" s="29"/>
      <c r="AH27" s="29"/>
      <c r="AI27" s="29"/>
      <c r="AJ27" s="29"/>
      <c r="AK27" s="29"/>
      <c r="AL27" s="29"/>
    </row>
    <row r="28" spans="2:77" ht="15" x14ac:dyDescent="0.25">
      <c r="B28"/>
      <c r="C28"/>
      <c r="D28"/>
      <c r="E28" s="29"/>
      <c r="F28" s="29"/>
      <c r="G28" s="29"/>
      <c r="H28" s="29"/>
      <c r="I28" s="29"/>
      <c r="J28" s="29"/>
      <c r="K28" s="29"/>
      <c r="L28" s="29"/>
      <c r="M28" s="29"/>
      <c r="N28" s="29"/>
      <c r="O28" s="29"/>
      <c r="P28" s="29"/>
      <c r="Q28" s="29"/>
      <c r="R28" s="29"/>
      <c r="S28" s="29"/>
      <c r="T28" s="29"/>
      <c r="U28" s="29"/>
      <c r="V28" s="29"/>
      <c r="W28" s="29"/>
      <c r="X28" s="29"/>
      <c r="Y28" s="29"/>
      <c r="Z28" s="29"/>
      <c r="AA28" s="29"/>
      <c r="AB28" s="29"/>
      <c r="AC28" s="29"/>
      <c r="AD28" s="29"/>
      <c r="AE28" s="29"/>
      <c r="AF28" s="29"/>
      <c r="AG28" s="29"/>
      <c r="AH28" s="29"/>
      <c r="AI28" s="29"/>
      <c r="AJ28" s="29"/>
      <c r="AK28" s="29"/>
      <c r="AL28" s="29"/>
    </row>
    <row r="29" spans="2:77" ht="15" x14ac:dyDescent="0.25">
      <c r="B29"/>
      <c r="C29"/>
      <c r="D29"/>
      <c r="E29" s="29"/>
      <c r="F29" s="29"/>
      <c r="G29" s="29"/>
      <c r="H29" s="29"/>
      <c r="I29" s="29"/>
      <c r="J29" s="29"/>
      <c r="K29" s="29"/>
      <c r="L29" s="29"/>
      <c r="M29" s="29"/>
      <c r="N29" s="29"/>
      <c r="O29" s="29"/>
      <c r="P29" s="29"/>
      <c r="Q29" s="29"/>
      <c r="R29" s="29"/>
      <c r="S29" s="29"/>
      <c r="T29" s="29"/>
      <c r="U29" s="29"/>
      <c r="V29" s="29"/>
      <c r="W29" s="29"/>
      <c r="X29" s="29"/>
      <c r="Y29" s="29"/>
      <c r="Z29" s="29"/>
      <c r="AA29" s="29"/>
      <c r="AB29" s="29"/>
      <c r="AC29" s="29"/>
      <c r="AD29" s="29"/>
      <c r="AE29" s="29"/>
      <c r="AF29" s="29"/>
      <c r="AG29" s="29"/>
      <c r="AH29" s="29"/>
      <c r="AI29" s="29"/>
      <c r="AJ29" s="29"/>
      <c r="AK29" s="29"/>
      <c r="AL29" s="29"/>
    </row>
    <row r="30" spans="2:77" ht="15" x14ac:dyDescent="0.25">
      <c r="B30"/>
      <c r="C30"/>
      <c r="D30"/>
      <c r="E30" s="29"/>
      <c r="F30" s="29"/>
      <c r="G30" s="29"/>
      <c r="H30" s="29"/>
      <c r="I30" s="29"/>
      <c r="J30" s="29"/>
      <c r="K30" s="29"/>
      <c r="L30" s="29"/>
      <c r="M30" s="29"/>
      <c r="N30" s="29"/>
      <c r="O30" s="29"/>
      <c r="P30" s="29"/>
      <c r="Q30" s="29"/>
      <c r="R30" s="29"/>
      <c r="S30" s="29"/>
      <c r="T30" s="29"/>
      <c r="U30" s="29"/>
      <c r="V30" s="29"/>
      <c r="W30" s="29"/>
      <c r="X30" s="29"/>
      <c r="Y30" s="29"/>
      <c r="Z30" s="29"/>
      <c r="AA30" s="29"/>
      <c r="AB30" s="29"/>
      <c r="AC30" s="29"/>
      <c r="AD30" s="29"/>
      <c r="AE30" s="29"/>
      <c r="AF30" s="29"/>
      <c r="AG30" s="29"/>
      <c r="AH30" s="29"/>
      <c r="AI30" s="29"/>
      <c r="AJ30" s="29"/>
      <c r="AK30" s="29"/>
      <c r="AL30" s="29"/>
    </row>
    <row r="31" spans="2:77" ht="15" x14ac:dyDescent="0.25">
      <c r="B31"/>
      <c r="C31"/>
      <c r="D31"/>
      <c r="E31" s="29"/>
      <c r="F31" s="29"/>
      <c r="G31" s="29"/>
      <c r="H31" s="29"/>
      <c r="I31" s="29"/>
      <c r="J31" s="29"/>
      <c r="K31" s="29"/>
      <c r="L31" s="29"/>
      <c r="M31" s="29"/>
      <c r="N31" s="29"/>
      <c r="O31" s="29"/>
      <c r="P31" s="29"/>
      <c r="Q31" s="29"/>
      <c r="R31" s="29"/>
      <c r="S31" s="29"/>
      <c r="T31" s="29"/>
      <c r="U31" s="29"/>
      <c r="V31" s="29"/>
      <c r="W31" s="29"/>
      <c r="X31" s="29"/>
      <c r="Y31" s="29"/>
      <c r="Z31" s="29"/>
      <c r="AA31" s="29"/>
      <c r="AB31" s="29"/>
      <c r="AC31" s="29"/>
      <c r="AD31" s="29"/>
      <c r="AE31" s="29"/>
      <c r="AF31" s="29"/>
      <c r="AG31" s="29"/>
      <c r="AH31" s="29"/>
      <c r="AI31" s="29"/>
      <c r="AJ31" s="29"/>
      <c r="AK31" s="29"/>
      <c r="AL31" s="29"/>
    </row>
    <row r="32" spans="2:77" ht="15" x14ac:dyDescent="0.25">
      <c r="B32"/>
      <c r="C32"/>
      <c r="D32"/>
      <c r="E32" s="29"/>
      <c r="F32" s="29"/>
      <c r="G32" s="29"/>
      <c r="H32" s="29"/>
      <c r="I32" s="29"/>
      <c r="J32" s="29"/>
      <c r="K32" s="29"/>
      <c r="L32" s="29"/>
      <c r="M32" s="29"/>
      <c r="N32" s="29"/>
      <c r="O32" s="29"/>
      <c r="P32" s="29"/>
      <c r="Q32" s="29"/>
      <c r="R32" s="29"/>
      <c r="S32" s="29"/>
      <c r="T32" s="29"/>
      <c r="U32" s="29"/>
      <c r="V32" s="29"/>
      <c r="W32" s="29"/>
      <c r="X32" s="29"/>
      <c r="Y32" s="29"/>
      <c r="Z32" s="29"/>
      <c r="AA32" s="29"/>
      <c r="AB32" s="29"/>
      <c r="AC32" s="29"/>
      <c r="AD32" s="29"/>
      <c r="AE32" s="29"/>
      <c r="AF32" s="29"/>
      <c r="AG32" s="29"/>
      <c r="AH32" s="29"/>
      <c r="AI32" s="29"/>
      <c r="AJ32" s="29"/>
      <c r="AK32" s="29"/>
      <c r="AL32" s="29"/>
    </row>
    <row r="33" spans="2:38" ht="22.5" x14ac:dyDescent="0.3">
      <c r="B33" s="38" t="s">
        <v>41</v>
      </c>
      <c r="C33" s="39"/>
      <c r="D33" s="39"/>
      <c r="E33" s="54">
        <f>GETPIVOTDATA(" Cable",$B$11)</f>
        <v>0.6283333333333333</v>
      </c>
      <c r="F33" s="29"/>
      <c r="G33" s="29"/>
      <c r="H33" s="29"/>
      <c r="I33" s="29"/>
      <c r="J33" s="29"/>
      <c r="K33" s="29"/>
      <c r="L33" s="29"/>
      <c r="M33" s="29"/>
      <c r="N33" s="29"/>
      <c r="O33" s="29"/>
      <c r="P33" s="29"/>
      <c r="Q33" s="29"/>
      <c r="R33" s="29"/>
      <c r="S33" s="29"/>
      <c r="T33" s="29"/>
      <c r="U33" s="29"/>
      <c r="V33" s="29"/>
      <c r="W33" s="29"/>
      <c r="X33" s="29"/>
      <c r="Y33" s="29"/>
      <c r="Z33" s="29"/>
      <c r="AA33" s="29"/>
      <c r="AB33" s="29"/>
      <c r="AC33" s="29"/>
      <c r="AD33" s="29"/>
      <c r="AE33" s="29"/>
      <c r="AF33" s="29"/>
      <c r="AG33" s="29"/>
      <c r="AH33" s="29"/>
      <c r="AI33" s="29"/>
      <c r="AJ33" s="29"/>
      <c r="AK33" s="29"/>
      <c r="AL33" s="29"/>
    </row>
    <row r="34" spans="2:38" ht="15" x14ac:dyDescent="0.25">
      <c r="B34"/>
      <c r="C34"/>
      <c r="D34"/>
      <c r="E34" s="29"/>
      <c r="F34" s="29"/>
      <c r="G34" s="29"/>
      <c r="H34" s="29"/>
      <c r="I34" s="29"/>
      <c r="J34" s="29"/>
      <c r="K34" s="29"/>
      <c r="L34" s="29"/>
      <c r="M34" s="29"/>
      <c r="N34" s="29"/>
      <c r="O34" s="29"/>
      <c r="P34" s="29"/>
      <c r="Q34" s="29"/>
      <c r="R34" s="29"/>
      <c r="S34" s="29"/>
      <c r="T34" s="29"/>
      <c r="U34" s="29"/>
      <c r="V34" s="29"/>
      <c r="W34" s="29"/>
      <c r="X34" s="29"/>
      <c r="Y34" s="29"/>
      <c r="Z34" s="29"/>
      <c r="AA34" s="29"/>
      <c r="AB34" s="29"/>
      <c r="AC34" s="29"/>
      <c r="AD34" s="29"/>
      <c r="AE34" s="29"/>
      <c r="AF34" s="29"/>
      <c r="AG34" s="29"/>
      <c r="AH34" s="29"/>
      <c r="AI34" s="29"/>
      <c r="AJ34" s="29"/>
      <c r="AK34" s="29"/>
      <c r="AL34" s="29"/>
    </row>
    <row r="35" spans="2:38" ht="15" x14ac:dyDescent="0.25">
      <c r="B35"/>
      <c r="C35"/>
      <c r="D35"/>
      <c r="E35" s="29"/>
      <c r="F35" s="29"/>
      <c r="G35" s="29"/>
      <c r="H35" s="29"/>
      <c r="I35" s="29"/>
      <c r="J35" s="29"/>
      <c r="K35" s="29"/>
      <c r="L35" s="29"/>
      <c r="M35" s="29"/>
      <c r="N35" s="29"/>
      <c r="O35" s="29"/>
      <c r="P35" s="29"/>
      <c r="Q35" s="29"/>
      <c r="R35" s="29"/>
      <c r="S35" s="29"/>
      <c r="T35" s="29"/>
      <c r="U35" s="29"/>
      <c r="V35" s="29"/>
      <c r="W35" s="29"/>
      <c r="X35" s="29"/>
      <c r="Y35" s="29"/>
      <c r="Z35" s="29"/>
      <c r="AA35" s="29"/>
      <c r="AB35" s="29"/>
      <c r="AC35" s="29"/>
      <c r="AD35" s="29"/>
      <c r="AE35" s="29"/>
      <c r="AF35" s="29"/>
      <c r="AG35" s="29"/>
      <c r="AH35" s="29"/>
      <c r="AI35" s="29"/>
      <c r="AJ35" s="29"/>
      <c r="AK35" s="29"/>
      <c r="AL35" s="29"/>
    </row>
    <row r="36" spans="2:38" ht="15" x14ac:dyDescent="0.25">
      <c r="B36"/>
      <c r="C36"/>
      <c r="D36"/>
      <c r="E36" s="29"/>
      <c r="F36" s="29"/>
      <c r="G36" s="29"/>
      <c r="H36" s="29"/>
      <c r="I36" s="29"/>
      <c r="J36" s="29"/>
      <c r="K36" s="29"/>
      <c r="L36" s="29"/>
      <c r="M36" s="29"/>
      <c r="N36" s="29"/>
      <c r="O36" s="29"/>
      <c r="P36" s="29"/>
      <c r="Q36" s="29"/>
      <c r="R36" s="29"/>
      <c r="S36" s="29"/>
      <c r="T36" s="29"/>
      <c r="U36" s="29"/>
      <c r="V36" s="29"/>
      <c r="W36" s="29"/>
      <c r="X36" s="29"/>
      <c r="Y36" s="29"/>
      <c r="Z36" s="29"/>
      <c r="AA36" s="29"/>
      <c r="AB36" s="29"/>
      <c r="AC36" s="29"/>
      <c r="AD36" s="29"/>
      <c r="AE36" s="29"/>
      <c r="AF36" s="29"/>
      <c r="AG36" s="29"/>
      <c r="AH36" s="29"/>
      <c r="AI36" s="29"/>
      <c r="AJ36" s="29"/>
      <c r="AK36" s="29"/>
      <c r="AL36" s="29"/>
    </row>
    <row r="37" spans="2:38" ht="15" x14ac:dyDescent="0.25">
      <c r="B37"/>
      <c r="C37"/>
      <c r="D37"/>
      <c r="E37" s="29"/>
      <c r="F37" s="29"/>
      <c r="G37" s="29"/>
      <c r="H37" s="29"/>
      <c r="I37" s="29"/>
      <c r="J37" s="29"/>
      <c r="K37" s="29"/>
      <c r="L37" s="29"/>
      <c r="M37" s="29"/>
      <c r="N37" s="29"/>
      <c r="O37" s="29"/>
      <c r="P37" s="29"/>
      <c r="Q37" s="29"/>
      <c r="R37" s="29"/>
      <c r="S37" s="29"/>
      <c r="T37" s="29"/>
      <c r="U37" s="29"/>
      <c r="V37" s="29"/>
      <c r="W37" s="29"/>
      <c r="X37" s="29"/>
      <c r="Y37" s="29"/>
      <c r="Z37" s="29"/>
      <c r="AA37" s="29"/>
      <c r="AB37" s="29"/>
      <c r="AC37" s="29"/>
      <c r="AD37" s="29"/>
      <c r="AE37" s="29"/>
      <c r="AF37" s="29"/>
      <c r="AG37" s="29"/>
      <c r="AH37" s="29"/>
      <c r="AI37" s="29"/>
      <c r="AJ37" s="29"/>
      <c r="AK37" s="29"/>
      <c r="AL37" s="29"/>
    </row>
    <row r="38" spans="2:38" ht="15" x14ac:dyDescent="0.25">
      <c r="B38"/>
      <c r="C38"/>
      <c r="D38"/>
      <c r="E38" s="29"/>
      <c r="F38" s="29"/>
      <c r="G38" s="29"/>
      <c r="H38" s="29"/>
      <c r="I38" s="29"/>
      <c r="J38" s="29"/>
      <c r="K38" s="29"/>
      <c r="L38" s="29"/>
      <c r="M38" s="29"/>
      <c r="N38" s="29"/>
      <c r="O38" s="29"/>
      <c r="P38" s="29"/>
      <c r="Q38" s="29"/>
      <c r="R38" s="29"/>
      <c r="S38" s="29"/>
      <c r="T38" s="29"/>
      <c r="U38" s="29"/>
      <c r="V38" s="29"/>
      <c r="W38" s="29"/>
      <c r="X38" s="29"/>
      <c r="Y38" s="29"/>
      <c r="Z38" s="29"/>
      <c r="AA38" s="29"/>
      <c r="AB38" s="29"/>
      <c r="AC38" s="29"/>
      <c r="AD38" s="29"/>
      <c r="AE38" s="29"/>
      <c r="AF38" s="29"/>
      <c r="AG38" s="29"/>
      <c r="AH38" s="29"/>
      <c r="AI38" s="29"/>
      <c r="AJ38" s="29"/>
      <c r="AK38" s="29"/>
      <c r="AL38" s="29"/>
    </row>
    <row r="39" spans="2:38" ht="15" x14ac:dyDescent="0.25">
      <c r="B39"/>
      <c r="C39"/>
      <c r="D39"/>
      <c r="E39" s="29"/>
      <c r="F39" s="29"/>
      <c r="G39" s="29"/>
      <c r="H39" s="29"/>
      <c r="I39" s="29"/>
      <c r="J39" s="29"/>
      <c r="K39" s="29"/>
      <c r="L39" s="29"/>
      <c r="M39" s="29"/>
      <c r="N39" s="29"/>
      <c r="O39" s="29"/>
      <c r="P39" s="29"/>
      <c r="Q39" s="29"/>
      <c r="R39" s="29"/>
      <c r="S39" s="29"/>
      <c r="T39" s="29"/>
      <c r="U39" s="29"/>
      <c r="V39" s="29"/>
      <c r="W39" s="29"/>
      <c r="X39" s="29"/>
      <c r="Y39" s="29"/>
      <c r="Z39" s="29"/>
      <c r="AA39" s="29"/>
      <c r="AB39" s="29"/>
      <c r="AC39" s="29"/>
      <c r="AD39" s="29"/>
      <c r="AE39" s="29"/>
      <c r="AF39" s="29"/>
      <c r="AG39" s="29"/>
      <c r="AH39" s="29"/>
      <c r="AI39" s="29"/>
      <c r="AJ39" s="29"/>
      <c r="AK39" s="29"/>
      <c r="AL39" s="29"/>
    </row>
    <row r="40" spans="2:38" ht="15" x14ac:dyDescent="0.25">
      <c r="B40"/>
      <c r="C40"/>
      <c r="D40"/>
      <c r="E40" s="29"/>
      <c r="F40" s="29"/>
      <c r="G40" s="29"/>
      <c r="H40" s="29"/>
      <c r="I40" s="29"/>
      <c r="J40" s="29"/>
      <c r="K40" s="29"/>
      <c r="L40" s="29"/>
      <c r="M40" s="29"/>
      <c r="N40" s="29"/>
      <c r="O40" s="29"/>
      <c r="P40" s="29"/>
      <c r="Q40" s="29"/>
      <c r="R40" s="29"/>
      <c r="S40" s="29"/>
      <c r="T40" s="29"/>
      <c r="U40" s="29"/>
      <c r="V40" s="29"/>
      <c r="W40" s="29"/>
      <c r="X40" s="29"/>
      <c r="Y40" s="29"/>
      <c r="Z40" s="29"/>
      <c r="AA40" s="29"/>
      <c r="AB40" s="29"/>
      <c r="AC40" s="29"/>
      <c r="AD40" s="29"/>
      <c r="AE40" s="29"/>
      <c r="AF40" s="29"/>
      <c r="AG40" s="29"/>
      <c r="AH40" s="29"/>
      <c r="AI40" s="29"/>
      <c r="AJ40" s="29"/>
      <c r="AK40" s="29"/>
      <c r="AL40" s="29"/>
    </row>
    <row r="41" spans="2:38" ht="15" x14ac:dyDescent="0.25">
      <c r="B41"/>
      <c r="C41"/>
      <c r="D41"/>
      <c r="E41" s="29"/>
      <c r="F41" s="29"/>
      <c r="G41" s="29"/>
      <c r="H41" s="29"/>
      <c r="I41" s="29"/>
      <c r="J41" s="29"/>
      <c r="K41" s="29"/>
      <c r="L41" s="29"/>
      <c r="M41" s="29"/>
      <c r="N41" s="29"/>
      <c r="O41" s="29"/>
      <c r="P41" s="29"/>
      <c r="Q41" s="29"/>
      <c r="R41" s="29"/>
      <c r="S41" s="29"/>
      <c r="T41" s="29"/>
      <c r="U41" s="29"/>
      <c r="V41" s="29"/>
      <c r="W41" s="29"/>
      <c r="X41" s="29"/>
      <c r="Y41" s="29"/>
      <c r="Z41" s="29"/>
      <c r="AA41" s="29"/>
      <c r="AB41" s="29"/>
      <c r="AC41" s="29"/>
      <c r="AD41" s="29"/>
      <c r="AE41" s="29"/>
      <c r="AF41" s="29"/>
      <c r="AG41" s="29"/>
      <c r="AH41" s="29"/>
      <c r="AI41" s="29"/>
      <c r="AJ41" s="29"/>
      <c r="AK41" s="29"/>
      <c r="AL41" s="29"/>
    </row>
    <row r="42" spans="2:38" ht="15" x14ac:dyDescent="0.25">
      <c r="B42"/>
      <c r="C42"/>
      <c r="D42"/>
      <c r="E42" s="29"/>
      <c r="F42" s="29"/>
      <c r="G42" s="29"/>
      <c r="H42" s="29"/>
      <c r="I42" s="29"/>
      <c r="J42" s="29"/>
      <c r="K42" s="29"/>
      <c r="L42" s="29"/>
      <c r="M42" s="29"/>
      <c r="N42" s="29"/>
      <c r="O42" s="29"/>
      <c r="P42" s="29"/>
      <c r="Q42" s="29"/>
      <c r="R42" s="29"/>
      <c r="S42" s="29"/>
      <c r="T42" s="29"/>
      <c r="U42" s="29"/>
      <c r="V42" s="29"/>
      <c r="W42" s="29"/>
      <c r="X42" s="29"/>
      <c r="Y42" s="29"/>
      <c r="Z42" s="29"/>
      <c r="AA42" s="29"/>
      <c r="AB42" s="29"/>
      <c r="AC42" s="29"/>
      <c r="AD42" s="29"/>
      <c r="AE42" s="29"/>
      <c r="AF42" s="29"/>
      <c r="AG42" s="29"/>
      <c r="AH42" s="29"/>
      <c r="AI42" s="29"/>
      <c r="AJ42" s="29"/>
      <c r="AK42" s="29"/>
      <c r="AL42" s="29"/>
    </row>
    <row r="43" spans="2:38" ht="15" x14ac:dyDescent="0.25">
      <c r="B43"/>
      <c r="C43"/>
      <c r="D43"/>
      <c r="E43" s="29"/>
      <c r="F43" s="29"/>
      <c r="G43" s="29"/>
      <c r="H43" s="29"/>
      <c r="I43" s="29"/>
      <c r="J43" s="29"/>
      <c r="K43" s="29"/>
      <c r="L43" s="29"/>
      <c r="M43" s="29"/>
      <c r="N43" s="29"/>
      <c r="O43" s="29"/>
      <c r="P43" s="29"/>
      <c r="Q43" s="29"/>
      <c r="R43" s="29"/>
      <c r="S43" s="29"/>
      <c r="T43" s="29"/>
      <c r="U43" s="29"/>
      <c r="V43" s="29"/>
      <c r="W43" s="29"/>
      <c r="X43" s="29"/>
      <c r="Y43" s="29"/>
      <c r="Z43" s="29"/>
      <c r="AA43" s="29"/>
      <c r="AB43" s="29"/>
      <c r="AC43" s="29"/>
      <c r="AD43" s="29"/>
      <c r="AE43" s="29"/>
      <c r="AF43" s="29"/>
      <c r="AG43" s="29"/>
      <c r="AH43" s="29"/>
      <c r="AI43" s="29"/>
      <c r="AJ43" s="29"/>
      <c r="AK43" s="29"/>
      <c r="AL43" s="29"/>
    </row>
    <row r="44" spans="2:38" ht="15" x14ac:dyDescent="0.25">
      <c r="B44"/>
      <c r="C44"/>
      <c r="D44"/>
      <c r="E44" s="29"/>
      <c r="F44" s="29"/>
      <c r="G44" s="29"/>
      <c r="H44" s="29"/>
      <c r="I44" s="29"/>
      <c r="J44" s="29"/>
      <c r="K44" s="29"/>
      <c r="L44" s="29"/>
      <c r="M44" s="29"/>
      <c r="N44" s="29"/>
      <c r="O44" s="29"/>
      <c r="P44" s="29"/>
      <c r="Q44" s="29"/>
      <c r="R44" s="29"/>
      <c r="S44" s="29"/>
      <c r="T44" s="29"/>
      <c r="U44" s="29"/>
      <c r="V44" s="29"/>
      <c r="W44" s="29"/>
      <c r="X44" s="29"/>
      <c r="Y44" s="29"/>
      <c r="Z44" s="29"/>
      <c r="AA44" s="29"/>
      <c r="AB44" s="29"/>
      <c r="AC44" s="29"/>
      <c r="AD44" s="29"/>
      <c r="AE44" s="29"/>
      <c r="AF44" s="29"/>
      <c r="AG44" s="29"/>
      <c r="AH44" s="29"/>
      <c r="AI44" s="29"/>
      <c r="AJ44" s="29"/>
      <c r="AK44" s="29"/>
      <c r="AL44" s="29"/>
    </row>
    <row r="45" spans="2:38" ht="15" x14ac:dyDescent="0.25">
      <c r="B45"/>
      <c r="C45"/>
      <c r="D45"/>
      <c r="E45" s="29"/>
      <c r="F45" s="29"/>
      <c r="G45" s="29"/>
      <c r="H45" s="29"/>
      <c r="I45" s="29"/>
      <c r="J45" s="29"/>
      <c r="K45" s="29"/>
      <c r="L45" s="29"/>
      <c r="M45" s="29"/>
      <c r="N45" s="29"/>
      <c r="O45" s="29"/>
      <c r="P45" s="29"/>
      <c r="Q45" s="29"/>
      <c r="R45" s="29"/>
      <c r="S45" s="29"/>
      <c r="T45" s="29"/>
      <c r="U45" s="29"/>
      <c r="V45" s="29"/>
      <c r="W45" s="29"/>
      <c r="X45" s="29"/>
      <c r="Y45" s="29"/>
      <c r="Z45" s="29"/>
      <c r="AA45" s="29"/>
      <c r="AB45" s="29"/>
      <c r="AC45" s="29"/>
      <c r="AD45" s="29"/>
      <c r="AE45" s="29"/>
      <c r="AF45" s="29"/>
      <c r="AG45" s="29"/>
      <c r="AH45" s="29"/>
      <c r="AI45" s="29"/>
      <c r="AJ45" s="29"/>
      <c r="AK45" s="29"/>
      <c r="AL45" s="29"/>
    </row>
    <row r="46" spans="2:38" ht="15" x14ac:dyDescent="0.25">
      <c r="B46"/>
      <c r="C46"/>
      <c r="D46"/>
      <c r="E46" s="29"/>
      <c r="F46" s="29"/>
      <c r="G46" s="29"/>
      <c r="H46" s="29"/>
      <c r="I46" s="29"/>
      <c r="J46" s="29"/>
      <c r="K46" s="29"/>
      <c r="L46" s="29"/>
      <c r="M46" s="29"/>
      <c r="N46" s="29"/>
      <c r="O46" s="29"/>
      <c r="P46" s="29"/>
      <c r="Q46" s="29"/>
      <c r="R46" s="29"/>
      <c r="S46" s="29"/>
      <c r="T46" s="29"/>
      <c r="U46" s="29"/>
      <c r="V46" s="29"/>
      <c r="W46" s="29"/>
      <c r="X46" s="29"/>
      <c r="Y46" s="29"/>
      <c r="Z46" s="29"/>
      <c r="AA46" s="29"/>
      <c r="AB46" s="29"/>
      <c r="AC46" s="29"/>
      <c r="AD46" s="29"/>
      <c r="AE46" s="29"/>
      <c r="AF46" s="29"/>
      <c r="AG46" s="29"/>
      <c r="AH46" s="29"/>
      <c r="AI46" s="29"/>
      <c r="AJ46" s="29"/>
      <c r="AK46" s="29"/>
      <c r="AL46" s="29"/>
    </row>
    <row r="47" spans="2:38" ht="15" x14ac:dyDescent="0.25">
      <c r="B47"/>
      <c r="C47"/>
      <c r="D47"/>
      <c r="E47" s="29"/>
      <c r="F47" s="29"/>
      <c r="G47" s="29"/>
      <c r="H47" s="29"/>
      <c r="I47" s="29"/>
      <c r="J47" s="29"/>
      <c r="K47" s="29"/>
      <c r="L47" s="29"/>
      <c r="M47" s="29"/>
      <c r="N47" s="29"/>
      <c r="O47" s="29"/>
      <c r="P47" s="29"/>
      <c r="Q47" s="29"/>
      <c r="R47" s="29"/>
      <c r="S47" s="29"/>
      <c r="T47" s="29"/>
      <c r="U47" s="29"/>
      <c r="V47" s="29"/>
      <c r="W47" s="29"/>
      <c r="X47" s="29"/>
      <c r="Y47" s="29"/>
      <c r="Z47" s="29"/>
      <c r="AA47" s="29"/>
      <c r="AB47" s="29"/>
      <c r="AC47" s="29"/>
      <c r="AD47" s="29"/>
      <c r="AE47" s="29"/>
      <c r="AF47" s="29"/>
      <c r="AG47" s="29"/>
      <c r="AH47" s="29"/>
      <c r="AI47" s="29"/>
      <c r="AJ47" s="29"/>
      <c r="AK47" s="29"/>
      <c r="AL47" s="29"/>
    </row>
    <row r="48" spans="2:38" ht="15" x14ac:dyDescent="0.25">
      <c r="B48"/>
      <c r="C48"/>
      <c r="D48"/>
      <c r="E48" s="29"/>
      <c r="F48" s="29"/>
      <c r="G48" s="29"/>
      <c r="H48" s="29"/>
      <c r="I48" s="29"/>
      <c r="J48" s="29"/>
      <c r="K48" s="29"/>
      <c r="L48" s="29"/>
      <c r="M48" s="29"/>
      <c r="N48" s="29"/>
      <c r="O48" s="29"/>
      <c r="P48" s="29"/>
      <c r="Q48" s="29"/>
      <c r="R48" s="29"/>
      <c r="S48" s="29"/>
      <c r="T48" s="29"/>
      <c r="U48" s="29"/>
      <c r="V48" s="29"/>
      <c r="W48" s="29"/>
      <c r="X48" s="29"/>
      <c r="Y48" s="29"/>
      <c r="Z48" s="29"/>
      <c r="AA48" s="29"/>
      <c r="AB48" s="29"/>
      <c r="AC48" s="29"/>
      <c r="AD48" s="29"/>
      <c r="AE48" s="29"/>
      <c r="AF48" s="29"/>
      <c r="AG48" s="29"/>
      <c r="AH48" s="29"/>
      <c r="AI48" s="29"/>
      <c r="AJ48" s="29"/>
      <c r="AK48" s="29"/>
      <c r="AL48" s="29"/>
    </row>
    <row r="49" spans="2:38" ht="15" x14ac:dyDescent="0.25">
      <c r="B49"/>
      <c r="C49"/>
      <c r="D49"/>
      <c r="E49" s="29"/>
      <c r="F49" s="29"/>
      <c r="G49" s="29"/>
      <c r="H49" s="29"/>
      <c r="I49" s="29"/>
      <c r="J49" s="29"/>
      <c r="K49" s="29"/>
      <c r="L49" s="29"/>
      <c r="M49" s="29"/>
      <c r="N49" s="29"/>
      <c r="O49" s="29"/>
      <c r="P49" s="29"/>
      <c r="Q49" s="29"/>
      <c r="R49" s="29"/>
      <c r="S49" s="29"/>
      <c r="T49" s="29"/>
      <c r="U49" s="29"/>
      <c r="V49" s="29"/>
      <c r="W49" s="29"/>
      <c r="X49" s="29"/>
      <c r="Y49" s="29"/>
      <c r="Z49" s="29"/>
      <c r="AA49" s="29"/>
      <c r="AB49" s="29"/>
      <c r="AC49" s="29"/>
      <c r="AD49" s="29"/>
      <c r="AE49" s="29"/>
      <c r="AF49" s="29"/>
      <c r="AG49" s="29"/>
      <c r="AH49" s="29"/>
      <c r="AI49" s="29"/>
      <c r="AJ49" s="29"/>
      <c r="AK49" s="29"/>
      <c r="AL49" s="29"/>
    </row>
    <row r="50" spans="2:38" ht="15" x14ac:dyDescent="0.25">
      <c r="B50"/>
      <c r="C50"/>
      <c r="D50"/>
      <c r="E50" s="29"/>
      <c r="F50" s="29"/>
      <c r="G50" s="29"/>
      <c r="H50" s="29"/>
      <c r="I50" s="29"/>
      <c r="J50" s="29"/>
      <c r="K50" s="29"/>
      <c r="L50" s="29"/>
      <c r="M50" s="29"/>
      <c r="N50" s="29"/>
      <c r="O50" s="29"/>
      <c r="P50" s="29"/>
      <c r="Q50" s="29"/>
      <c r="R50" s="29"/>
      <c r="S50" s="29"/>
      <c r="T50" s="29"/>
      <c r="U50" s="29"/>
      <c r="V50" s="29"/>
      <c r="W50" s="29"/>
      <c r="X50" s="29"/>
      <c r="Y50" s="29"/>
      <c r="Z50" s="29"/>
      <c r="AA50" s="29"/>
      <c r="AB50" s="29"/>
      <c r="AC50" s="29"/>
      <c r="AD50" s="29"/>
      <c r="AE50" s="29"/>
      <c r="AF50" s="29"/>
      <c r="AG50" s="29"/>
      <c r="AH50" s="29"/>
      <c r="AI50" s="29"/>
      <c r="AJ50" s="29"/>
      <c r="AK50" s="29"/>
      <c r="AL50" s="29"/>
    </row>
    <row r="51" spans="2:38" ht="15" x14ac:dyDescent="0.25">
      <c r="B51"/>
      <c r="C51"/>
      <c r="D51"/>
      <c r="E51" s="29"/>
      <c r="F51" s="29"/>
      <c r="G51" s="29"/>
      <c r="H51" s="29"/>
      <c r="I51" s="29"/>
      <c r="J51" s="29"/>
      <c r="K51" s="29"/>
      <c r="L51" s="29"/>
      <c r="M51" s="29"/>
      <c r="N51" s="29"/>
      <c r="O51" s="29"/>
      <c r="P51" s="29"/>
      <c r="Q51" s="29"/>
      <c r="R51" s="29"/>
      <c r="S51" s="29"/>
      <c r="T51" s="29"/>
      <c r="U51" s="29"/>
      <c r="V51" s="29"/>
      <c r="W51" s="29"/>
      <c r="X51" s="29"/>
      <c r="Y51" s="29"/>
      <c r="Z51" s="29"/>
      <c r="AA51" s="29"/>
      <c r="AB51" s="29"/>
      <c r="AC51" s="29"/>
      <c r="AD51" s="29"/>
      <c r="AE51" s="29"/>
      <c r="AF51" s="29"/>
      <c r="AG51" s="29"/>
      <c r="AH51" s="29"/>
      <c r="AI51" s="29"/>
      <c r="AJ51" s="29"/>
      <c r="AK51" s="29"/>
      <c r="AL51" s="29"/>
    </row>
    <row r="52" spans="2:38" ht="15" x14ac:dyDescent="0.25">
      <c r="B52"/>
      <c r="C52"/>
      <c r="D52"/>
      <c r="E52" s="29"/>
      <c r="F52" s="29"/>
      <c r="G52" s="29"/>
      <c r="H52" s="29"/>
      <c r="I52" s="29"/>
      <c r="J52" s="29"/>
      <c r="K52" s="29"/>
      <c r="L52" s="29"/>
      <c r="M52" s="29"/>
      <c r="N52" s="29"/>
      <c r="O52" s="29"/>
      <c r="P52" s="29"/>
      <c r="Q52" s="29"/>
      <c r="R52" s="29"/>
      <c r="S52" s="29"/>
      <c r="T52" s="29"/>
      <c r="U52" s="29"/>
      <c r="V52" s="29"/>
      <c r="W52" s="29"/>
      <c r="X52" s="29"/>
      <c r="Y52" s="29"/>
      <c r="Z52" s="29"/>
      <c r="AA52" s="29"/>
      <c r="AB52" s="29"/>
      <c r="AC52" s="29"/>
      <c r="AD52" s="29"/>
      <c r="AE52" s="29"/>
      <c r="AF52" s="29"/>
      <c r="AG52" s="29"/>
      <c r="AH52" s="29"/>
      <c r="AI52" s="29"/>
      <c r="AJ52" s="29"/>
      <c r="AK52" s="29"/>
      <c r="AL52" s="29"/>
    </row>
    <row r="53" spans="2:38" ht="15" x14ac:dyDescent="0.25">
      <c r="B53"/>
      <c r="C53"/>
      <c r="D53"/>
      <c r="E53" s="29"/>
      <c r="F53" s="29"/>
      <c r="G53" s="29"/>
      <c r="H53" s="29"/>
      <c r="I53" s="29"/>
      <c r="J53" s="29"/>
      <c r="K53" s="29"/>
      <c r="L53" s="29"/>
      <c r="M53" s="29"/>
      <c r="N53" s="29"/>
      <c r="O53" s="29"/>
      <c r="P53" s="29"/>
      <c r="Q53" s="29"/>
      <c r="R53" s="29"/>
      <c r="S53" s="29"/>
      <c r="T53" s="29"/>
      <c r="U53" s="29"/>
      <c r="V53" s="29"/>
      <c r="W53" s="29"/>
      <c r="X53" s="29"/>
      <c r="Y53" s="29"/>
      <c r="Z53" s="29"/>
      <c r="AA53" s="29"/>
      <c r="AB53" s="29"/>
      <c r="AC53" s="29"/>
      <c r="AD53" s="29"/>
      <c r="AE53" s="29"/>
      <c r="AF53" s="29"/>
      <c r="AG53" s="29"/>
      <c r="AH53" s="29"/>
      <c r="AI53" s="29"/>
      <c r="AJ53" s="29"/>
      <c r="AK53" s="29"/>
      <c r="AL53" s="29"/>
    </row>
    <row r="54" spans="2:38" ht="15" x14ac:dyDescent="0.25">
      <c r="B54"/>
      <c r="C54"/>
      <c r="D54"/>
      <c r="E54" s="29"/>
      <c r="F54" s="29"/>
      <c r="G54" s="29"/>
      <c r="H54" s="29"/>
      <c r="I54" s="29"/>
      <c r="J54" s="29"/>
      <c r="K54" s="29"/>
      <c r="L54" s="29"/>
      <c r="M54" s="29"/>
      <c r="N54" s="29"/>
      <c r="O54" s="29"/>
      <c r="P54" s="29"/>
      <c r="Q54" s="29"/>
      <c r="R54" s="29"/>
      <c r="S54" s="29"/>
      <c r="T54" s="29"/>
      <c r="U54" s="29"/>
      <c r="V54" s="29"/>
      <c r="W54" s="29"/>
      <c r="X54" s="29"/>
      <c r="Y54" s="29"/>
      <c r="Z54" s="29"/>
      <c r="AA54" s="29"/>
      <c r="AB54" s="29"/>
      <c r="AC54" s="29"/>
      <c r="AD54" s="29"/>
      <c r="AE54" s="29"/>
      <c r="AF54" s="29"/>
      <c r="AG54" s="29"/>
      <c r="AH54" s="29"/>
      <c r="AI54" s="29"/>
      <c r="AJ54" s="29"/>
      <c r="AK54" s="29"/>
      <c r="AL54" s="29"/>
    </row>
    <row r="55" spans="2:38" ht="15" x14ac:dyDescent="0.25">
      <c r="B55" s="29"/>
      <c r="C55" s="29"/>
      <c r="D55" s="29"/>
      <c r="E55" s="29"/>
      <c r="F55" s="29"/>
      <c r="G55" s="29"/>
      <c r="H55" s="29"/>
      <c r="I55" s="29"/>
      <c r="J55" s="29"/>
      <c r="K55" s="29"/>
      <c r="L55" s="29"/>
      <c r="M55" s="29"/>
      <c r="N55" s="29"/>
      <c r="O55" s="29"/>
      <c r="P55" s="29"/>
      <c r="Q55" s="29"/>
      <c r="R55" s="29"/>
      <c r="S55" s="29"/>
      <c r="T55" s="29"/>
      <c r="U55" s="29"/>
      <c r="V55" s="29"/>
      <c r="W55" s="29"/>
      <c r="X55" s="29"/>
      <c r="Y55" s="29"/>
      <c r="Z55" s="29"/>
      <c r="AA55" s="29"/>
      <c r="AB55" s="29"/>
      <c r="AC55" s="29"/>
      <c r="AD55" s="29"/>
      <c r="AE55" s="29"/>
      <c r="AF55" s="29"/>
      <c r="AG55" s="29"/>
      <c r="AH55" s="29"/>
      <c r="AI55" s="29"/>
      <c r="AJ55" s="29"/>
      <c r="AK55" s="29"/>
      <c r="AL55" s="29"/>
    </row>
    <row r="56" spans="2:38" ht="15" x14ac:dyDescent="0.25">
      <c r="C56" s="29"/>
      <c r="D56" s="29"/>
      <c r="E56" s="29"/>
      <c r="F56" s="29"/>
      <c r="G56" s="29"/>
      <c r="H56" s="29"/>
      <c r="I56" s="29"/>
      <c r="J56" s="29"/>
      <c r="K56" s="29"/>
      <c r="L56" s="29"/>
      <c r="M56" s="29"/>
      <c r="N56" s="29"/>
      <c r="O56" s="29"/>
      <c r="P56" s="29"/>
      <c r="Q56" s="29"/>
      <c r="R56" s="29"/>
      <c r="S56" s="29"/>
      <c r="T56" s="29"/>
      <c r="U56" s="29"/>
      <c r="V56" s="29"/>
      <c r="W56" s="29"/>
      <c r="X56" s="29"/>
      <c r="Y56" s="29"/>
      <c r="Z56" s="29"/>
      <c r="AA56" s="29"/>
      <c r="AB56" s="29"/>
      <c r="AC56" s="29"/>
      <c r="AD56" s="29"/>
      <c r="AE56" s="29"/>
      <c r="AF56" s="29"/>
      <c r="AG56" s="29"/>
      <c r="AH56" s="29"/>
      <c r="AI56" s="29"/>
      <c r="AJ56" s="29"/>
      <c r="AK56" s="29"/>
      <c r="AL56" s="29"/>
    </row>
    <row r="57" spans="2:38" ht="15" x14ac:dyDescent="0.25">
      <c r="C57" s="29"/>
      <c r="D57" s="29"/>
      <c r="E57" s="29"/>
      <c r="F57" s="29"/>
      <c r="G57" s="29"/>
      <c r="H57" s="29"/>
      <c r="I57" s="29"/>
      <c r="J57" s="29"/>
      <c r="K57" s="29"/>
      <c r="L57" s="29"/>
      <c r="M57" s="29"/>
      <c r="N57" s="29"/>
      <c r="O57" s="29"/>
      <c r="P57" s="29"/>
      <c r="Q57" s="29"/>
      <c r="R57" s="29"/>
      <c r="S57" s="29"/>
      <c r="T57" s="29"/>
      <c r="U57" s="29"/>
      <c r="V57" s="29"/>
      <c r="W57" s="29"/>
      <c r="X57" s="29"/>
      <c r="Y57" s="29"/>
      <c r="Z57" s="29"/>
      <c r="AA57" s="29"/>
      <c r="AB57" s="29"/>
      <c r="AC57" s="29"/>
      <c r="AD57" s="29"/>
      <c r="AE57" s="29"/>
      <c r="AF57" s="29"/>
      <c r="AG57" s="29"/>
      <c r="AH57" s="29"/>
      <c r="AI57" s="29"/>
      <c r="AJ57" s="29"/>
      <c r="AK57" s="29"/>
      <c r="AL57" s="29"/>
    </row>
    <row r="58" spans="2:38" ht="15" x14ac:dyDescent="0.25">
      <c r="B58" s="29"/>
      <c r="C58" s="29"/>
      <c r="D58" s="29"/>
      <c r="E58" s="29"/>
      <c r="F58" s="29"/>
      <c r="G58" s="29"/>
      <c r="H58" s="29"/>
      <c r="I58" s="29"/>
      <c r="J58" s="29"/>
      <c r="K58" s="29"/>
      <c r="L58" s="29"/>
      <c r="M58" s="29"/>
      <c r="N58" s="29"/>
      <c r="O58" s="29"/>
      <c r="P58" s="29"/>
      <c r="Q58" s="29"/>
      <c r="R58" s="29"/>
      <c r="S58" s="29"/>
      <c r="T58" s="29"/>
      <c r="U58" s="29"/>
      <c r="V58" s="29"/>
      <c r="W58" s="29"/>
      <c r="X58" s="29"/>
      <c r="Y58" s="29"/>
      <c r="Z58" s="29"/>
      <c r="AA58" s="29"/>
      <c r="AB58" s="29"/>
      <c r="AC58" s="29"/>
      <c r="AD58" s="29"/>
      <c r="AE58" s="29"/>
      <c r="AF58" s="29"/>
      <c r="AG58" s="29"/>
      <c r="AH58" s="29"/>
      <c r="AI58" s="29"/>
      <c r="AJ58" s="29"/>
      <c r="AK58" s="29"/>
      <c r="AL58" s="29"/>
    </row>
    <row r="59" spans="2:38" ht="15" x14ac:dyDescent="0.25">
      <c r="B59" s="29"/>
      <c r="C59" s="29"/>
      <c r="D59" s="29"/>
      <c r="E59" s="29"/>
      <c r="F59" s="29"/>
      <c r="G59" s="29"/>
      <c r="H59" s="29"/>
      <c r="I59" s="29"/>
      <c r="J59" s="29"/>
      <c r="K59" s="29"/>
      <c r="L59" s="29"/>
      <c r="M59" s="29"/>
      <c r="N59" s="29"/>
      <c r="O59" s="29"/>
      <c r="P59" s="29"/>
      <c r="Q59" s="29"/>
      <c r="R59" s="29"/>
      <c r="S59" s="29"/>
      <c r="T59" s="29"/>
      <c r="U59" s="29"/>
      <c r="V59" s="29"/>
      <c r="W59" s="29"/>
      <c r="X59" s="29"/>
      <c r="Y59" s="29"/>
      <c r="Z59" s="29"/>
      <c r="AA59" s="29"/>
      <c r="AB59" s="29"/>
      <c r="AC59" s="29"/>
      <c r="AD59" s="29"/>
      <c r="AE59" s="29"/>
      <c r="AF59" s="29"/>
      <c r="AG59" s="29"/>
      <c r="AH59" s="29"/>
      <c r="AI59" s="29"/>
      <c r="AJ59" s="29"/>
      <c r="AK59" s="29"/>
      <c r="AL59" s="29"/>
    </row>
    <row r="60" spans="2:38" ht="15" x14ac:dyDescent="0.25">
      <c r="B60" s="29"/>
      <c r="C60" s="29"/>
      <c r="D60" s="29"/>
      <c r="E60" s="29"/>
      <c r="F60" s="29"/>
      <c r="G60" s="29"/>
      <c r="H60" s="29"/>
      <c r="I60" s="29"/>
      <c r="J60" s="29"/>
      <c r="K60" s="29"/>
      <c r="L60" s="29"/>
      <c r="M60" s="29"/>
      <c r="N60" s="29"/>
      <c r="O60" s="29"/>
      <c r="P60" s="29"/>
      <c r="Q60" s="29"/>
      <c r="R60" s="29"/>
      <c r="S60" s="29"/>
      <c r="T60" s="29"/>
      <c r="U60" s="29"/>
      <c r="V60" s="29"/>
      <c r="W60" s="29"/>
      <c r="X60" s="29"/>
      <c r="Y60" s="29"/>
      <c r="Z60" s="29"/>
      <c r="AA60" s="29"/>
      <c r="AB60" s="29"/>
      <c r="AC60" s="29"/>
      <c r="AD60" s="29"/>
      <c r="AE60" s="29"/>
      <c r="AF60" s="29"/>
      <c r="AG60" s="29"/>
      <c r="AH60" s="29"/>
      <c r="AI60" s="29"/>
      <c r="AJ60" s="29"/>
      <c r="AK60" s="29"/>
      <c r="AL60" s="29"/>
    </row>
    <row r="61" spans="2:38" ht="15" x14ac:dyDescent="0.25">
      <c r="B61" s="29"/>
      <c r="C61" s="29"/>
      <c r="D61" s="29"/>
      <c r="E61" s="29"/>
      <c r="F61" s="29"/>
      <c r="G61" s="29"/>
      <c r="H61" s="29"/>
      <c r="I61" s="29"/>
      <c r="J61" s="29"/>
      <c r="K61" s="29"/>
      <c r="L61" s="29"/>
      <c r="M61" s="29"/>
      <c r="N61" s="29"/>
      <c r="O61" s="29"/>
      <c r="P61" s="29"/>
      <c r="Q61" s="29"/>
      <c r="R61" s="29"/>
      <c r="S61" s="29"/>
      <c r="T61" s="29"/>
      <c r="U61" s="29"/>
      <c r="V61" s="29"/>
      <c r="W61" s="29"/>
      <c r="X61" s="29"/>
      <c r="Y61" s="29"/>
      <c r="Z61" s="29"/>
      <c r="AA61" s="29"/>
      <c r="AB61" s="29"/>
      <c r="AC61" s="29"/>
      <c r="AD61" s="29"/>
      <c r="AE61" s="29"/>
      <c r="AF61" s="29"/>
      <c r="AG61" s="29"/>
      <c r="AH61" s="29"/>
      <c r="AI61" s="29"/>
      <c r="AJ61" s="29"/>
      <c r="AK61" s="29"/>
      <c r="AL61" s="29"/>
    </row>
    <row r="62" spans="2:38" ht="15" x14ac:dyDescent="0.25">
      <c r="B62" s="29"/>
      <c r="C62" s="29"/>
      <c r="D62" s="29"/>
      <c r="E62" s="29"/>
      <c r="F62" s="29"/>
      <c r="G62" s="29"/>
      <c r="H62" s="29"/>
      <c r="I62" s="29"/>
      <c r="J62" s="29"/>
      <c r="K62" s="29"/>
      <c r="L62" s="29"/>
      <c r="M62" s="29"/>
      <c r="N62" s="29"/>
      <c r="O62" s="29"/>
      <c r="P62" s="29"/>
      <c r="Q62" s="29"/>
      <c r="R62" s="29"/>
      <c r="S62" s="29"/>
      <c r="T62" s="29"/>
      <c r="U62" s="29"/>
      <c r="V62" s="29"/>
      <c r="W62" s="29"/>
      <c r="X62" s="29"/>
      <c r="Y62" s="29"/>
      <c r="Z62" s="29"/>
      <c r="AA62" s="29"/>
      <c r="AB62" s="29"/>
      <c r="AC62" s="29"/>
      <c r="AD62" s="29"/>
      <c r="AE62" s="29"/>
      <c r="AF62" s="29"/>
      <c r="AG62" s="29"/>
      <c r="AH62" s="29"/>
      <c r="AI62" s="29"/>
      <c r="AJ62" s="29"/>
      <c r="AK62" s="29"/>
      <c r="AL62" s="29"/>
    </row>
    <row r="63" spans="2:38" ht="15" x14ac:dyDescent="0.25">
      <c r="B63" s="29"/>
      <c r="C63" s="29"/>
      <c r="D63" s="29"/>
      <c r="E63" s="29"/>
      <c r="F63" s="29"/>
      <c r="G63" s="29"/>
      <c r="H63" s="29"/>
      <c r="I63" s="29"/>
      <c r="J63" s="29"/>
      <c r="K63" s="29"/>
      <c r="L63" s="29"/>
      <c r="M63" s="29"/>
      <c r="N63" s="29"/>
      <c r="O63" s="29"/>
      <c r="P63" s="29"/>
      <c r="Q63" s="29"/>
      <c r="R63" s="29"/>
      <c r="S63" s="29"/>
      <c r="T63" s="29"/>
      <c r="U63" s="29"/>
      <c r="V63" s="29"/>
      <c r="W63" s="29"/>
      <c r="X63" s="29"/>
      <c r="Y63" s="29"/>
      <c r="Z63" s="29"/>
      <c r="AA63" s="29"/>
      <c r="AB63" s="29"/>
      <c r="AC63" s="29"/>
      <c r="AD63" s="29"/>
      <c r="AE63" s="29"/>
      <c r="AF63" s="29"/>
      <c r="AG63" s="29"/>
      <c r="AH63" s="29"/>
      <c r="AI63" s="29"/>
      <c r="AJ63" s="29"/>
      <c r="AK63" s="29"/>
      <c r="AL63" s="29"/>
    </row>
    <row r="64" spans="2:38" ht="15" x14ac:dyDescent="0.25">
      <c r="B64" s="29"/>
      <c r="C64" s="29"/>
      <c r="D64" s="29"/>
      <c r="E64" s="29"/>
      <c r="F64" s="29"/>
      <c r="G64" s="29"/>
      <c r="H64" s="29"/>
      <c r="I64" s="29"/>
      <c r="J64" s="29"/>
      <c r="K64" s="29"/>
      <c r="L64" s="29"/>
      <c r="M64" s="29"/>
      <c r="N64" s="29"/>
      <c r="O64" s="29"/>
      <c r="P64" s="29"/>
      <c r="Q64" s="29"/>
      <c r="R64" s="29"/>
      <c r="S64" s="29"/>
      <c r="T64" s="29"/>
      <c r="U64" s="29"/>
      <c r="V64" s="29"/>
      <c r="W64" s="29"/>
      <c r="X64" s="29"/>
      <c r="Y64" s="29"/>
      <c r="Z64" s="29"/>
      <c r="AA64" s="29"/>
      <c r="AB64" s="29"/>
      <c r="AC64" s="29"/>
      <c r="AD64" s="29"/>
      <c r="AE64" s="29"/>
      <c r="AF64" s="29"/>
      <c r="AG64" s="29"/>
      <c r="AH64" s="29"/>
      <c r="AI64" s="29"/>
      <c r="AJ64" s="29"/>
      <c r="AK64" s="29"/>
      <c r="AL64" s="29"/>
    </row>
    <row r="65" spans="2:38" ht="15" x14ac:dyDescent="0.25">
      <c r="B65" s="29"/>
      <c r="C65" s="29"/>
      <c r="D65" s="29"/>
      <c r="E65" s="29"/>
      <c r="F65" s="29"/>
      <c r="G65" s="29"/>
      <c r="H65" s="29"/>
      <c r="I65" s="29"/>
      <c r="J65" s="29"/>
      <c r="K65" s="29"/>
      <c r="L65" s="29"/>
      <c r="M65" s="29"/>
      <c r="N65" s="29"/>
      <c r="O65" s="29"/>
      <c r="P65" s="29"/>
      <c r="Q65" s="29"/>
      <c r="R65" s="29"/>
      <c r="S65" s="29"/>
      <c r="T65" s="29"/>
      <c r="U65" s="29"/>
      <c r="V65" s="29"/>
      <c r="W65" s="29"/>
      <c r="X65" s="29"/>
      <c r="Y65" s="29"/>
      <c r="Z65" s="29"/>
      <c r="AA65" s="29"/>
      <c r="AB65" s="29"/>
      <c r="AC65" s="29"/>
      <c r="AD65" s="29"/>
      <c r="AE65" s="29"/>
      <c r="AF65" s="29"/>
      <c r="AG65" s="29"/>
      <c r="AH65" s="29"/>
      <c r="AI65" s="29"/>
      <c r="AJ65" s="29"/>
      <c r="AK65" s="29"/>
      <c r="AL65" s="29"/>
    </row>
    <row r="66" spans="2:38" ht="15" x14ac:dyDescent="0.25">
      <c r="B66" s="29"/>
      <c r="C66" s="29"/>
      <c r="D66" s="29"/>
      <c r="E66" s="29"/>
      <c r="F66" s="29"/>
      <c r="G66" s="29"/>
      <c r="H66" s="29"/>
      <c r="I66" s="29"/>
      <c r="J66" s="29"/>
      <c r="K66" s="29"/>
      <c r="L66" s="29"/>
      <c r="M66" s="29"/>
      <c r="N66" s="29"/>
      <c r="O66" s="29"/>
      <c r="P66" s="29"/>
      <c r="Q66" s="29"/>
      <c r="R66" s="29"/>
      <c r="S66" s="29"/>
      <c r="T66" s="29"/>
      <c r="U66" s="29"/>
      <c r="V66" s="29"/>
      <c r="W66" s="29"/>
      <c r="X66" s="29"/>
      <c r="Y66" s="29"/>
      <c r="Z66" s="29"/>
      <c r="AA66" s="29"/>
      <c r="AB66" s="29"/>
      <c r="AC66" s="29"/>
      <c r="AD66" s="29"/>
      <c r="AE66" s="29"/>
      <c r="AF66" s="29"/>
      <c r="AG66" s="29"/>
      <c r="AH66" s="29"/>
      <c r="AI66" s="29"/>
      <c r="AJ66" s="29"/>
      <c r="AK66" s="29"/>
      <c r="AL66" s="29"/>
    </row>
    <row r="67" spans="2:38" ht="15" x14ac:dyDescent="0.25">
      <c r="B67" s="29"/>
      <c r="C67" s="29"/>
      <c r="D67" s="29"/>
      <c r="E67" s="29"/>
      <c r="F67" s="29"/>
      <c r="G67" s="29"/>
      <c r="H67" s="29"/>
      <c r="I67" s="29"/>
      <c r="J67" s="29"/>
      <c r="K67" s="29"/>
      <c r="L67" s="29"/>
      <c r="M67" s="29"/>
      <c r="N67" s="29"/>
      <c r="O67" s="29"/>
      <c r="P67" s="29"/>
      <c r="Q67" s="29"/>
      <c r="R67" s="29"/>
      <c r="S67" s="29"/>
      <c r="T67" s="29"/>
      <c r="U67" s="29"/>
      <c r="V67" s="29"/>
      <c r="W67" s="29"/>
      <c r="X67" s="29"/>
      <c r="Y67" s="29"/>
      <c r="Z67" s="29"/>
      <c r="AA67" s="29"/>
      <c r="AB67" s="29"/>
      <c r="AC67" s="29"/>
      <c r="AD67" s="29"/>
      <c r="AE67" s="29"/>
      <c r="AF67" s="29"/>
      <c r="AG67" s="29"/>
      <c r="AH67" s="29"/>
      <c r="AI67" s="29"/>
      <c r="AJ67" s="29"/>
      <c r="AK67" s="29"/>
      <c r="AL67" s="29"/>
    </row>
    <row r="68" spans="2:38" ht="15" x14ac:dyDescent="0.25">
      <c r="B68" s="29"/>
      <c r="C68" s="29"/>
      <c r="D68" s="29"/>
      <c r="E68" s="29"/>
      <c r="F68" s="29"/>
      <c r="G68" s="29"/>
      <c r="H68" s="29"/>
      <c r="I68" s="29"/>
      <c r="J68" s="29"/>
      <c r="K68" s="29"/>
      <c r="L68" s="29"/>
      <c r="M68" s="29"/>
      <c r="N68" s="29"/>
      <c r="O68" s="29"/>
      <c r="P68" s="29"/>
      <c r="Q68" s="29"/>
      <c r="R68" s="29"/>
      <c r="S68" s="29"/>
      <c r="T68" s="29"/>
      <c r="U68" s="29"/>
      <c r="V68" s="29"/>
      <c r="W68" s="29"/>
      <c r="X68" s="29"/>
      <c r="Y68" s="29"/>
      <c r="Z68" s="29"/>
      <c r="AA68" s="29"/>
      <c r="AB68" s="29"/>
      <c r="AC68" s="29"/>
      <c r="AD68" s="29"/>
      <c r="AE68" s="29"/>
      <c r="AF68" s="29"/>
      <c r="AG68" s="29"/>
      <c r="AH68" s="29"/>
      <c r="AI68" s="29"/>
      <c r="AJ68" s="29"/>
      <c r="AK68" s="29"/>
      <c r="AL68" s="29"/>
    </row>
    <row r="69" spans="2:38" ht="15" x14ac:dyDescent="0.25">
      <c r="B69" s="29"/>
      <c r="C69" s="29"/>
      <c r="D69" s="29"/>
      <c r="E69" s="29"/>
      <c r="F69" s="29"/>
      <c r="G69" s="29"/>
      <c r="H69" s="29"/>
      <c r="I69" s="29"/>
      <c r="J69" s="29"/>
      <c r="K69" s="29"/>
      <c r="L69" s="29"/>
      <c r="M69" s="29"/>
      <c r="N69" s="29"/>
      <c r="O69" s="29"/>
      <c r="P69" s="29"/>
      <c r="Q69" s="29"/>
      <c r="R69" s="29"/>
      <c r="S69" s="29"/>
      <c r="T69" s="29"/>
      <c r="U69" s="29"/>
      <c r="V69" s="29"/>
      <c r="W69" s="29"/>
      <c r="X69" s="29"/>
      <c r="Y69" s="29"/>
      <c r="Z69" s="29"/>
      <c r="AA69" s="29"/>
      <c r="AB69" s="29"/>
      <c r="AC69" s="29"/>
      <c r="AD69" s="29"/>
      <c r="AE69" s="29"/>
      <c r="AF69" s="29"/>
      <c r="AG69" s="29"/>
      <c r="AH69" s="29"/>
      <c r="AI69" s="29"/>
      <c r="AJ69" s="29"/>
      <c r="AK69" s="29"/>
      <c r="AL69" s="29"/>
    </row>
    <row r="70" spans="2:38" ht="15" x14ac:dyDescent="0.25">
      <c r="B70" s="29"/>
      <c r="C70" s="29"/>
      <c r="D70" s="29"/>
      <c r="E70" s="29"/>
      <c r="F70" s="29"/>
      <c r="G70" s="29"/>
      <c r="H70" s="29"/>
      <c r="I70" s="29"/>
      <c r="J70" s="29"/>
      <c r="K70" s="29"/>
      <c r="L70" s="29"/>
      <c r="M70" s="29"/>
      <c r="N70" s="29"/>
      <c r="O70" s="29"/>
      <c r="P70" s="29"/>
      <c r="Q70" s="29"/>
      <c r="R70" s="29"/>
      <c r="S70" s="29"/>
      <c r="T70" s="29"/>
      <c r="U70" s="29"/>
      <c r="V70" s="29"/>
      <c r="W70" s="29"/>
      <c r="X70" s="29"/>
      <c r="Y70" s="29"/>
      <c r="Z70" s="29"/>
      <c r="AA70" s="29"/>
      <c r="AB70" s="29"/>
      <c r="AC70" s="29"/>
      <c r="AD70" s="29"/>
      <c r="AE70" s="29"/>
      <c r="AF70" s="29"/>
      <c r="AG70" s="29"/>
      <c r="AH70" s="29"/>
      <c r="AI70" s="29"/>
      <c r="AJ70" s="29"/>
      <c r="AK70" s="29"/>
      <c r="AL70" s="29"/>
    </row>
    <row r="71" spans="2:38" ht="15" x14ac:dyDescent="0.25">
      <c r="B71" s="29"/>
      <c r="C71" s="29"/>
      <c r="D71" s="29"/>
      <c r="E71" s="29"/>
      <c r="F71" s="29"/>
      <c r="G71" s="29"/>
      <c r="H71" s="29"/>
      <c r="I71" s="29"/>
      <c r="J71" s="29"/>
      <c r="K71" s="29"/>
      <c r="L71" s="29"/>
      <c r="M71" s="29"/>
      <c r="N71" s="29"/>
      <c r="O71" s="29"/>
      <c r="P71" s="29"/>
      <c r="Q71" s="29"/>
      <c r="R71" s="29"/>
      <c r="S71" s="29"/>
      <c r="T71" s="29"/>
      <c r="U71" s="29"/>
      <c r="V71" s="29"/>
      <c r="W71" s="29"/>
      <c r="X71" s="29"/>
      <c r="Y71" s="29"/>
      <c r="Z71" s="29"/>
      <c r="AA71" s="29"/>
      <c r="AB71" s="29"/>
      <c r="AC71" s="29"/>
      <c r="AD71" s="29"/>
      <c r="AE71" s="29"/>
      <c r="AF71" s="29"/>
      <c r="AG71" s="29"/>
      <c r="AH71" s="29"/>
      <c r="AI71" s="29"/>
      <c r="AJ71" s="29"/>
      <c r="AK71" s="29"/>
      <c r="AL71" s="29"/>
    </row>
    <row r="72" spans="2:38" ht="15" x14ac:dyDescent="0.25">
      <c r="B72" s="29"/>
      <c r="C72" s="29"/>
      <c r="D72" s="29"/>
      <c r="E72" s="29"/>
      <c r="F72" s="29"/>
      <c r="G72" s="29"/>
      <c r="H72" s="29"/>
      <c r="I72" s="29"/>
      <c r="J72" s="29"/>
      <c r="K72" s="29"/>
      <c r="L72" s="29"/>
      <c r="M72" s="29"/>
      <c r="N72" s="29"/>
      <c r="O72" s="29"/>
      <c r="P72" s="29"/>
      <c r="Q72" s="29"/>
      <c r="R72" s="29"/>
      <c r="S72" s="29"/>
      <c r="T72" s="29"/>
      <c r="U72" s="29"/>
      <c r="V72" s="29"/>
      <c r="W72" s="29"/>
      <c r="X72" s="29"/>
      <c r="Y72" s="29"/>
      <c r="Z72" s="29"/>
      <c r="AA72" s="29"/>
      <c r="AB72" s="29"/>
      <c r="AC72" s="29"/>
      <c r="AD72" s="29"/>
      <c r="AE72" s="29"/>
      <c r="AF72" s="29"/>
      <c r="AG72" s="29"/>
      <c r="AH72" s="29"/>
      <c r="AI72" s="29"/>
      <c r="AJ72" s="29"/>
      <c r="AK72" s="29"/>
      <c r="AL72" s="29"/>
    </row>
    <row r="73" spans="2:38" ht="15" x14ac:dyDescent="0.25">
      <c r="B73" s="29"/>
      <c r="C73" s="29"/>
      <c r="D73" s="29"/>
      <c r="E73" s="29"/>
      <c r="F73" s="29"/>
      <c r="G73" s="29"/>
      <c r="H73" s="29"/>
      <c r="I73" s="29"/>
      <c r="J73" s="29"/>
      <c r="K73" s="29"/>
      <c r="L73" s="29"/>
      <c r="M73" s="29"/>
      <c r="N73" s="29"/>
      <c r="O73" s="29"/>
      <c r="P73" s="29"/>
      <c r="Q73" s="29"/>
      <c r="R73" s="29"/>
      <c r="S73" s="29"/>
      <c r="T73" s="29"/>
      <c r="U73" s="29"/>
      <c r="V73" s="29"/>
      <c r="W73" s="29"/>
      <c r="X73" s="29"/>
      <c r="Y73" s="29"/>
      <c r="Z73" s="29"/>
      <c r="AA73" s="29"/>
      <c r="AB73" s="29"/>
      <c r="AC73" s="29"/>
      <c r="AD73" s="29"/>
      <c r="AE73" s="29"/>
      <c r="AF73" s="29"/>
      <c r="AG73" s="29"/>
      <c r="AH73" s="29"/>
      <c r="AI73" s="29"/>
      <c r="AJ73" s="29"/>
      <c r="AK73" s="29"/>
      <c r="AL73" s="29"/>
    </row>
    <row r="74" spans="2:38" ht="15" x14ac:dyDescent="0.25">
      <c r="B74" s="29"/>
      <c r="C74" s="29"/>
      <c r="D74" s="29"/>
      <c r="E74" s="29"/>
      <c r="F74" s="29"/>
      <c r="G74" s="29"/>
      <c r="H74" s="29"/>
      <c r="I74" s="29"/>
      <c r="J74" s="29"/>
      <c r="K74" s="29"/>
      <c r="L74" s="29"/>
      <c r="M74" s="29"/>
      <c r="N74" s="29"/>
      <c r="O74" s="29"/>
      <c r="P74" s="29"/>
      <c r="Q74" s="29"/>
      <c r="R74" s="29"/>
      <c r="S74" s="29"/>
      <c r="T74" s="29"/>
      <c r="U74" s="29"/>
      <c r="V74" s="29"/>
      <c r="W74" s="29"/>
      <c r="X74" s="29"/>
      <c r="Y74" s="29"/>
      <c r="Z74" s="29"/>
      <c r="AA74" s="29"/>
      <c r="AB74" s="29"/>
      <c r="AC74" s="29"/>
      <c r="AD74" s="29"/>
      <c r="AE74" s="29"/>
      <c r="AF74" s="29"/>
      <c r="AG74" s="29"/>
      <c r="AH74" s="29"/>
      <c r="AI74" s="29"/>
      <c r="AJ74" s="29"/>
      <c r="AK74" s="29"/>
      <c r="AL74" s="29"/>
    </row>
    <row r="75" spans="2:38" ht="15" x14ac:dyDescent="0.25">
      <c r="B75" s="29"/>
      <c r="C75" s="29"/>
      <c r="D75" s="29"/>
      <c r="E75" s="29"/>
      <c r="F75" s="29"/>
      <c r="G75" s="29"/>
      <c r="H75" s="29"/>
      <c r="I75" s="29"/>
      <c r="J75" s="29"/>
      <c r="K75" s="29"/>
      <c r="L75" s="29"/>
      <c r="M75" s="29"/>
      <c r="N75" s="29"/>
      <c r="O75" s="29"/>
      <c r="P75" s="29"/>
      <c r="Q75" s="29"/>
      <c r="R75" s="29"/>
      <c r="S75" s="29"/>
      <c r="T75" s="29"/>
      <c r="U75" s="29"/>
      <c r="V75" s="29"/>
      <c r="W75" s="29"/>
      <c r="X75" s="29"/>
      <c r="Y75" s="29"/>
      <c r="Z75" s="29"/>
      <c r="AA75" s="29"/>
      <c r="AB75" s="29"/>
      <c r="AC75" s="29"/>
      <c r="AD75" s="29"/>
      <c r="AE75" s="29"/>
      <c r="AF75" s="29"/>
      <c r="AG75" s="29"/>
      <c r="AH75" s="29"/>
      <c r="AI75" s="29"/>
      <c r="AJ75" s="29"/>
      <c r="AK75" s="29"/>
      <c r="AL75" s="29"/>
    </row>
    <row r="76" spans="2:38" ht="15" x14ac:dyDescent="0.25">
      <c r="B76" s="29"/>
      <c r="C76" s="29"/>
      <c r="D76" s="29"/>
      <c r="E76" s="29"/>
      <c r="F76" s="29"/>
      <c r="G76" s="29"/>
      <c r="H76" s="29"/>
      <c r="I76" s="29"/>
      <c r="J76" s="29"/>
      <c r="K76" s="29"/>
      <c r="L76" s="29"/>
      <c r="M76" s="29"/>
      <c r="N76" s="29"/>
      <c r="O76" s="29"/>
      <c r="P76" s="29"/>
      <c r="Q76" s="29"/>
      <c r="R76" s="29"/>
      <c r="S76" s="29"/>
      <c r="T76" s="29"/>
      <c r="U76" s="29"/>
      <c r="V76" s="29"/>
      <c r="W76" s="29"/>
      <c r="X76" s="29"/>
      <c r="Y76" s="29"/>
      <c r="Z76" s="29"/>
      <c r="AA76" s="29"/>
      <c r="AB76" s="29"/>
      <c r="AC76" s="29"/>
      <c r="AD76" s="29"/>
      <c r="AE76" s="29"/>
      <c r="AF76" s="29"/>
      <c r="AG76" s="29"/>
      <c r="AH76" s="29"/>
      <c r="AI76" s="29"/>
      <c r="AJ76" s="29"/>
      <c r="AK76" s="29"/>
      <c r="AL76" s="29"/>
    </row>
    <row r="77" spans="2:38" ht="15" x14ac:dyDescent="0.25">
      <c r="B77" s="29"/>
      <c r="C77" s="29"/>
      <c r="D77" s="29"/>
      <c r="E77" s="29"/>
      <c r="F77" s="29"/>
      <c r="G77" s="29"/>
      <c r="H77" s="29"/>
      <c r="I77" s="29"/>
      <c r="J77" s="29"/>
      <c r="K77" s="29"/>
      <c r="L77" s="29"/>
      <c r="M77" s="29"/>
      <c r="N77" s="29"/>
      <c r="O77" s="29"/>
      <c r="P77" s="29"/>
      <c r="Q77" s="29"/>
      <c r="R77" s="29"/>
      <c r="S77" s="29"/>
      <c r="T77" s="29"/>
      <c r="U77" s="29"/>
      <c r="V77" s="29"/>
      <c r="W77" s="29"/>
      <c r="X77" s="29"/>
      <c r="Y77" s="29"/>
      <c r="Z77" s="29"/>
      <c r="AA77" s="29"/>
      <c r="AB77" s="29"/>
      <c r="AC77" s="29"/>
      <c r="AD77" s="29"/>
      <c r="AE77" s="29"/>
      <c r="AF77" s="29"/>
      <c r="AG77" s="29"/>
      <c r="AH77" s="29"/>
      <c r="AI77" s="29"/>
      <c r="AJ77" s="29"/>
      <c r="AK77" s="29"/>
      <c r="AL77" s="29"/>
    </row>
    <row r="78" spans="2:38" ht="15" x14ac:dyDescent="0.25">
      <c r="B78" s="29"/>
      <c r="C78" s="29"/>
      <c r="D78" s="29"/>
      <c r="E78" s="29"/>
      <c r="F78" s="29"/>
      <c r="G78" s="29"/>
      <c r="H78" s="29"/>
      <c r="I78" s="29"/>
      <c r="J78" s="29"/>
      <c r="K78" s="29"/>
      <c r="L78" s="29"/>
      <c r="M78" s="29"/>
      <c r="N78" s="29"/>
      <c r="O78" s="29"/>
      <c r="P78" s="29"/>
      <c r="Q78" s="29"/>
      <c r="R78" s="29"/>
      <c r="S78" s="29"/>
      <c r="T78" s="29"/>
      <c r="U78" s="29"/>
      <c r="V78" s="29"/>
      <c r="W78" s="29"/>
      <c r="X78" s="29"/>
      <c r="Y78" s="29"/>
      <c r="Z78" s="29"/>
      <c r="AA78" s="29"/>
      <c r="AB78" s="29"/>
      <c r="AC78" s="29"/>
      <c r="AD78" s="29"/>
      <c r="AE78" s="29"/>
    </row>
    <row r="79" spans="2:38" ht="15" x14ac:dyDescent="0.25">
      <c r="B79" s="29"/>
      <c r="C79" s="29"/>
      <c r="D79" s="29"/>
      <c r="E79" s="29"/>
      <c r="F79" s="29"/>
      <c r="G79" s="29"/>
      <c r="H79" s="29"/>
      <c r="I79" s="29"/>
      <c r="J79" s="29"/>
      <c r="K79" s="29"/>
      <c r="L79" s="29"/>
      <c r="M79" s="29"/>
      <c r="N79" s="29"/>
      <c r="O79" s="29"/>
      <c r="P79" s="29"/>
      <c r="Q79" s="29"/>
      <c r="R79" s="29"/>
      <c r="S79" s="29"/>
      <c r="T79" s="29"/>
      <c r="U79" s="29"/>
      <c r="V79" s="29"/>
      <c r="W79" s="29"/>
      <c r="X79" s="29"/>
      <c r="Y79" s="29"/>
      <c r="Z79" s="29"/>
      <c r="AA79" s="29"/>
      <c r="AB79" s="29"/>
      <c r="AC79" s="29"/>
      <c r="AD79" s="29"/>
      <c r="AE79" s="29"/>
    </row>
    <row r="80" spans="2:38" ht="15" x14ac:dyDescent="0.25">
      <c r="B80" s="29"/>
      <c r="C80" s="29"/>
      <c r="D80" s="29"/>
      <c r="E80" s="29"/>
      <c r="F80" s="29"/>
      <c r="G80" s="29"/>
      <c r="H80" s="29"/>
      <c r="I80" s="29"/>
      <c r="J80" s="29"/>
      <c r="K80" s="29"/>
      <c r="L80" s="29"/>
      <c r="M80" s="29"/>
      <c r="N80" s="29"/>
      <c r="O80" s="29"/>
      <c r="P80" s="29"/>
      <c r="Q80" s="29"/>
      <c r="R80" s="29"/>
      <c r="S80" s="29"/>
      <c r="T80" s="29"/>
      <c r="U80" s="29"/>
      <c r="V80" s="29"/>
      <c r="W80" s="29"/>
      <c r="X80" s="29"/>
      <c r="Y80" s="29"/>
      <c r="Z80" s="29"/>
      <c r="AA80" s="29"/>
      <c r="AB80" s="29"/>
      <c r="AC80" s="29"/>
      <c r="AD80" s="29"/>
      <c r="AE80" s="29"/>
    </row>
    <row r="81" spans="2:31" ht="15" x14ac:dyDescent="0.25">
      <c r="B81" s="29"/>
      <c r="C81" s="29"/>
      <c r="D81" s="29"/>
      <c r="E81" s="29"/>
      <c r="F81" s="29"/>
      <c r="G81" s="29"/>
      <c r="H81" s="29"/>
      <c r="I81" s="29"/>
      <c r="J81" s="29"/>
      <c r="K81" s="29"/>
      <c r="L81" s="29"/>
      <c r="M81" s="29"/>
      <c r="N81" s="29"/>
      <c r="O81" s="29"/>
      <c r="P81" s="29"/>
      <c r="Q81" s="29"/>
      <c r="R81" s="29"/>
      <c r="S81" s="29"/>
      <c r="T81" s="29"/>
      <c r="U81" s="29"/>
      <c r="V81" s="29"/>
      <c r="W81" s="29"/>
      <c r="X81" s="29"/>
      <c r="Y81" s="29"/>
      <c r="Z81" s="29"/>
      <c r="AA81" s="29"/>
      <c r="AB81" s="29"/>
      <c r="AC81" s="29"/>
      <c r="AD81" s="29"/>
      <c r="AE81" s="29"/>
    </row>
    <row r="82" spans="2:31" ht="15" x14ac:dyDescent="0.25">
      <c r="B82" s="29"/>
      <c r="C82" s="29"/>
      <c r="D82" s="29"/>
      <c r="E82" s="29"/>
      <c r="F82" s="29"/>
      <c r="G82" s="29"/>
      <c r="H82" s="29"/>
      <c r="I82" s="29"/>
      <c r="J82" s="29"/>
      <c r="K82" s="29"/>
      <c r="L82" s="29"/>
      <c r="M82" s="29"/>
      <c r="N82" s="29"/>
      <c r="O82" s="29"/>
      <c r="P82" s="29"/>
      <c r="Q82" s="29"/>
      <c r="R82" s="29"/>
      <c r="S82" s="29"/>
      <c r="T82" s="29"/>
      <c r="U82" s="29"/>
      <c r="V82" s="29"/>
      <c r="W82" s="29"/>
      <c r="X82" s="29"/>
      <c r="Y82" s="29"/>
      <c r="Z82" s="29"/>
      <c r="AA82" s="29"/>
      <c r="AB82" s="29"/>
      <c r="AC82" s="29"/>
      <c r="AD82" s="29"/>
      <c r="AE82" s="29"/>
    </row>
    <row r="83" spans="2:31" ht="15" x14ac:dyDescent="0.25">
      <c r="B83" s="29"/>
      <c r="C83" s="29"/>
      <c r="D83" s="29"/>
      <c r="E83" s="29"/>
      <c r="F83" s="29"/>
      <c r="G83" s="29"/>
      <c r="H83" s="29"/>
      <c r="I83" s="29"/>
      <c r="J83" s="29"/>
      <c r="K83" s="29"/>
      <c r="L83" s="29"/>
      <c r="M83" s="29"/>
      <c r="N83" s="29"/>
      <c r="O83" s="29"/>
      <c r="P83" s="29"/>
      <c r="Q83" s="29"/>
      <c r="R83" s="29"/>
      <c r="S83" s="29"/>
      <c r="T83" s="29"/>
      <c r="U83" s="29"/>
      <c r="V83" s="29"/>
      <c r="W83" s="29"/>
      <c r="X83" s="29"/>
      <c r="Y83" s="29"/>
      <c r="Z83" s="29"/>
      <c r="AA83" s="29"/>
      <c r="AB83" s="29"/>
      <c r="AC83" s="29"/>
      <c r="AD83" s="29"/>
      <c r="AE83" s="29"/>
    </row>
    <row r="84" spans="2:31" ht="15" x14ac:dyDescent="0.25">
      <c r="B84" s="29"/>
      <c r="C84" s="29"/>
      <c r="D84" s="29"/>
      <c r="E84" s="29"/>
      <c r="F84" s="29"/>
      <c r="G84" s="29"/>
      <c r="H84" s="29"/>
      <c r="I84" s="29"/>
      <c r="J84" s="29"/>
      <c r="K84" s="29"/>
      <c r="L84" s="29"/>
      <c r="M84" s="29"/>
      <c r="N84" s="29"/>
      <c r="O84" s="29"/>
      <c r="P84" s="29"/>
      <c r="Q84" s="29"/>
      <c r="R84" s="29"/>
      <c r="S84" s="29"/>
      <c r="T84" s="29"/>
      <c r="U84" s="29"/>
      <c r="V84" s="29"/>
      <c r="W84" s="29"/>
      <c r="X84" s="29"/>
      <c r="Y84" s="29"/>
      <c r="Z84" s="29"/>
      <c r="AA84" s="29"/>
      <c r="AB84" s="29"/>
      <c r="AC84" s="29"/>
      <c r="AD84" s="29"/>
      <c r="AE84" s="29"/>
    </row>
    <row r="85" spans="2:31" ht="15" x14ac:dyDescent="0.25">
      <c r="B85" s="29"/>
      <c r="C85" s="29"/>
      <c r="D85" s="29"/>
      <c r="E85" s="29"/>
      <c r="F85" s="29"/>
      <c r="G85" s="29"/>
      <c r="H85" s="29"/>
      <c r="I85" s="29"/>
      <c r="J85" s="29"/>
      <c r="K85" s="29"/>
      <c r="L85" s="29"/>
      <c r="M85" s="29"/>
      <c r="N85" s="29"/>
      <c r="O85" s="29"/>
      <c r="P85" s="29"/>
      <c r="Q85" s="29"/>
      <c r="R85" s="29"/>
      <c r="S85" s="29"/>
      <c r="T85" s="29"/>
      <c r="U85" s="29"/>
      <c r="V85" s="29"/>
      <c r="W85" s="29"/>
      <c r="X85" s="29"/>
      <c r="Y85" s="29"/>
      <c r="Z85" s="29"/>
      <c r="AA85" s="29"/>
      <c r="AB85" s="29"/>
      <c r="AC85" s="29"/>
      <c r="AD85" s="29"/>
      <c r="AE85" s="29"/>
    </row>
    <row r="86" spans="2:31" ht="15" x14ac:dyDescent="0.25">
      <c r="B86" s="29"/>
      <c r="C86" s="29"/>
      <c r="D86" s="29"/>
      <c r="E86" s="29"/>
      <c r="F86" s="29"/>
      <c r="G86" s="29"/>
      <c r="H86" s="29"/>
      <c r="I86" s="29"/>
      <c r="J86" s="29"/>
      <c r="K86" s="29"/>
      <c r="L86" s="29"/>
      <c r="M86" s="29"/>
      <c r="N86" s="29"/>
      <c r="O86" s="29"/>
      <c r="P86" s="29"/>
      <c r="Q86" s="29"/>
      <c r="R86" s="29"/>
      <c r="S86" s="29"/>
      <c r="T86" s="29"/>
      <c r="U86" s="29"/>
      <c r="V86" s="29"/>
      <c r="W86" s="29"/>
      <c r="X86" s="29"/>
      <c r="Y86" s="29"/>
      <c r="Z86" s="29"/>
      <c r="AA86" s="29"/>
      <c r="AB86" s="29"/>
      <c r="AC86" s="29"/>
      <c r="AD86" s="29"/>
      <c r="AE86" s="29"/>
    </row>
    <row r="87" spans="2:31" ht="15" x14ac:dyDescent="0.25">
      <c r="B87" s="29"/>
      <c r="C87" s="29"/>
      <c r="D87" s="29"/>
      <c r="E87" s="29"/>
      <c r="F87" s="29"/>
      <c r="G87" s="29"/>
      <c r="H87" s="29"/>
      <c r="I87" s="29"/>
      <c r="J87" s="29"/>
      <c r="K87" s="29"/>
      <c r="L87" s="29"/>
      <c r="M87" s="29"/>
      <c r="N87" s="29"/>
      <c r="O87" s="29"/>
      <c r="P87" s="29"/>
      <c r="Q87" s="29"/>
      <c r="R87" s="29"/>
      <c r="S87" s="29"/>
      <c r="T87" s="29"/>
      <c r="U87" s="29"/>
      <c r="V87" s="29"/>
      <c r="W87" s="29"/>
      <c r="X87" s="29"/>
      <c r="Y87" s="29"/>
      <c r="Z87" s="29"/>
      <c r="AA87" s="29"/>
      <c r="AB87" s="29"/>
      <c r="AC87" s="29"/>
      <c r="AD87" s="29"/>
      <c r="AE87" s="29"/>
    </row>
    <row r="88" spans="2:31" ht="15" x14ac:dyDescent="0.25">
      <c r="B88" s="29"/>
      <c r="C88" s="29"/>
      <c r="D88" s="29"/>
      <c r="E88" s="29"/>
      <c r="F88" s="29"/>
      <c r="G88" s="29"/>
      <c r="H88" s="29"/>
      <c r="I88" s="29"/>
      <c r="J88" s="29"/>
      <c r="K88" s="29"/>
      <c r="L88" s="29"/>
      <c r="M88" s="29"/>
      <c r="N88" s="29"/>
      <c r="O88" s="29"/>
      <c r="P88" s="29"/>
      <c r="Q88" s="29"/>
      <c r="R88" s="29"/>
      <c r="S88" s="29"/>
      <c r="T88" s="29"/>
      <c r="U88" s="29"/>
      <c r="V88" s="29"/>
      <c r="W88" s="29"/>
      <c r="X88" s="29"/>
      <c r="Y88" s="29"/>
      <c r="Z88" s="29"/>
      <c r="AA88" s="29"/>
      <c r="AB88" s="29"/>
      <c r="AC88" s="29"/>
      <c r="AD88" s="29"/>
      <c r="AE88" s="29"/>
    </row>
    <row r="89" spans="2:31" ht="15" x14ac:dyDescent="0.25">
      <c r="B89" s="29"/>
      <c r="C89" s="29"/>
      <c r="D89" s="29"/>
      <c r="E89" s="29"/>
      <c r="F89" s="29"/>
      <c r="G89" s="29"/>
      <c r="H89" s="29"/>
      <c r="I89" s="29"/>
      <c r="J89" s="29"/>
      <c r="K89" s="29"/>
      <c r="L89" s="29"/>
      <c r="M89" s="29"/>
      <c r="N89" s="29"/>
      <c r="O89" s="29"/>
      <c r="P89" s="29"/>
      <c r="Q89" s="29"/>
      <c r="R89" s="29"/>
      <c r="S89" s="29"/>
      <c r="T89" s="29"/>
      <c r="U89" s="29"/>
      <c r="V89" s="29"/>
      <c r="W89" s="29"/>
      <c r="X89" s="29"/>
      <c r="Y89" s="29"/>
      <c r="Z89" s="29"/>
      <c r="AA89" s="29"/>
      <c r="AB89" s="29"/>
      <c r="AC89" s="29"/>
      <c r="AD89" s="29"/>
      <c r="AE89" s="29"/>
    </row>
    <row r="90" spans="2:31" ht="15" x14ac:dyDescent="0.25">
      <c r="B90" s="29"/>
      <c r="C90" s="29"/>
      <c r="D90" s="29"/>
      <c r="E90" s="29"/>
      <c r="F90" s="29"/>
      <c r="G90" s="29"/>
      <c r="H90" s="29"/>
      <c r="I90" s="29"/>
      <c r="J90" s="29"/>
      <c r="K90" s="29"/>
      <c r="L90" s="29"/>
      <c r="M90" s="29"/>
      <c r="N90" s="29"/>
      <c r="O90" s="29"/>
      <c r="P90" s="29"/>
      <c r="Q90" s="29"/>
      <c r="R90" s="29"/>
      <c r="S90" s="29"/>
      <c r="T90" s="29"/>
      <c r="U90" s="29"/>
      <c r="V90" s="29"/>
      <c r="W90" s="29"/>
      <c r="X90" s="29"/>
      <c r="Y90" s="29"/>
      <c r="Z90" s="29"/>
      <c r="AA90" s="29"/>
      <c r="AB90" s="29"/>
      <c r="AC90" s="29"/>
      <c r="AD90" s="29"/>
      <c r="AE90" s="29"/>
    </row>
    <row r="91" spans="2:31" ht="15" x14ac:dyDescent="0.25">
      <c r="B91" s="29"/>
      <c r="C91" s="29"/>
      <c r="D91" s="29"/>
      <c r="E91" s="29"/>
      <c r="F91" s="29"/>
      <c r="G91" s="29"/>
      <c r="H91" s="29"/>
      <c r="I91" s="29"/>
      <c r="J91" s="29"/>
      <c r="K91" s="29"/>
      <c r="L91" s="29"/>
      <c r="M91" s="29"/>
      <c r="N91" s="29"/>
      <c r="O91" s="29"/>
      <c r="P91" s="29"/>
      <c r="Q91" s="29"/>
      <c r="R91" s="29"/>
      <c r="S91" s="29"/>
      <c r="T91" s="29"/>
      <c r="U91" s="29"/>
      <c r="V91" s="29"/>
      <c r="W91" s="29"/>
      <c r="X91" s="29"/>
      <c r="Y91" s="29"/>
      <c r="Z91" s="29"/>
      <c r="AA91" s="29"/>
      <c r="AB91" s="29"/>
      <c r="AC91" s="29"/>
      <c r="AD91" s="29"/>
      <c r="AE91" s="29"/>
    </row>
    <row r="92" spans="2:31" ht="15" x14ac:dyDescent="0.25">
      <c r="B92" s="29"/>
      <c r="C92" s="29"/>
      <c r="D92" s="29"/>
      <c r="E92" s="29"/>
      <c r="F92" s="29"/>
      <c r="G92" s="29"/>
      <c r="H92" s="29"/>
      <c r="I92" s="29"/>
      <c r="J92" s="29"/>
      <c r="K92" s="29"/>
      <c r="L92" s="29"/>
      <c r="M92" s="29"/>
      <c r="N92" s="29"/>
      <c r="O92" s="29"/>
      <c r="P92" s="29"/>
      <c r="Q92" s="29"/>
      <c r="R92" s="29"/>
      <c r="S92" s="29"/>
      <c r="T92" s="29"/>
      <c r="U92" s="29"/>
      <c r="V92" s="29"/>
      <c r="W92" s="29"/>
      <c r="X92" s="29"/>
      <c r="Y92" s="29"/>
      <c r="Z92" s="29"/>
      <c r="AA92" s="29"/>
      <c r="AB92" s="29"/>
      <c r="AC92" s="29"/>
      <c r="AD92" s="29"/>
      <c r="AE92" s="29"/>
    </row>
    <row r="93" spans="2:31" ht="15" x14ac:dyDescent="0.25">
      <c r="B93" s="29"/>
      <c r="C93" s="29"/>
      <c r="D93" s="29"/>
      <c r="E93" s="29"/>
      <c r="F93" s="29"/>
      <c r="G93" s="29"/>
      <c r="H93" s="29"/>
      <c r="I93" s="29"/>
      <c r="J93" s="29"/>
      <c r="K93" s="29"/>
      <c r="L93" s="29"/>
      <c r="M93" s="29"/>
      <c r="N93" s="29"/>
      <c r="O93" s="29"/>
      <c r="P93" s="29"/>
      <c r="Q93" s="29"/>
      <c r="R93" s="29"/>
      <c r="S93" s="29"/>
      <c r="T93" s="29"/>
      <c r="U93" s="29"/>
      <c r="V93" s="29"/>
      <c r="W93" s="29"/>
      <c r="X93" s="29"/>
      <c r="Y93" s="29"/>
      <c r="Z93" s="29"/>
      <c r="AA93" s="29"/>
      <c r="AB93" s="29"/>
      <c r="AC93" s="29"/>
      <c r="AD93" s="29"/>
      <c r="AE93" s="29"/>
    </row>
    <row r="94" spans="2:31" ht="15" x14ac:dyDescent="0.25">
      <c r="B94" s="29"/>
      <c r="C94" s="29"/>
      <c r="D94" s="29"/>
      <c r="E94" s="29"/>
      <c r="F94" s="29"/>
      <c r="G94" s="29"/>
      <c r="H94" s="29"/>
      <c r="I94" s="29"/>
      <c r="J94" s="29"/>
      <c r="K94" s="29"/>
      <c r="L94" s="29"/>
      <c r="M94" s="29"/>
      <c r="N94" s="29"/>
      <c r="O94" s="29"/>
      <c r="P94" s="29"/>
      <c r="Q94" s="29"/>
      <c r="R94" s="29"/>
      <c r="S94" s="29"/>
      <c r="T94" s="29"/>
      <c r="U94" s="29"/>
      <c r="V94" s="29"/>
      <c r="W94" s="29"/>
      <c r="X94" s="29"/>
      <c r="Y94" s="29"/>
      <c r="Z94" s="29"/>
      <c r="AA94" s="29"/>
      <c r="AB94" s="29"/>
      <c r="AC94" s="29"/>
      <c r="AD94" s="29"/>
      <c r="AE94" s="29"/>
    </row>
    <row r="95" spans="2:31" ht="15" x14ac:dyDescent="0.25">
      <c r="B95" s="29"/>
      <c r="C95" s="29"/>
      <c r="D95" s="29"/>
      <c r="E95" s="29"/>
      <c r="F95" s="29"/>
      <c r="G95" s="29"/>
      <c r="H95" s="29"/>
      <c r="I95" s="29"/>
      <c r="J95" s="29"/>
      <c r="K95" s="29"/>
      <c r="L95" s="29"/>
      <c r="M95" s="29"/>
      <c r="N95" s="29"/>
      <c r="O95" s="29"/>
      <c r="P95" s="29"/>
      <c r="Q95" s="29"/>
      <c r="R95" s="29"/>
      <c r="S95" s="29"/>
      <c r="T95" s="29"/>
      <c r="U95" s="29"/>
      <c r="V95" s="29"/>
      <c r="W95" s="29"/>
      <c r="X95" s="29"/>
      <c r="Y95" s="29"/>
      <c r="Z95" s="29"/>
      <c r="AA95" s="29"/>
      <c r="AB95" s="29"/>
      <c r="AC95" s="29"/>
      <c r="AD95" s="29"/>
      <c r="AE95" s="29"/>
    </row>
    <row r="96" spans="2:31" ht="15" x14ac:dyDescent="0.25">
      <c r="B96" s="29"/>
      <c r="C96" s="29"/>
      <c r="D96" s="29"/>
      <c r="E96" s="29"/>
      <c r="F96" s="29"/>
      <c r="G96" s="29"/>
      <c r="H96" s="29"/>
      <c r="I96" s="29"/>
      <c r="J96" s="29"/>
      <c r="K96" s="29"/>
      <c r="L96" s="29"/>
      <c r="M96" s="29"/>
      <c r="N96" s="29"/>
      <c r="O96" s="29"/>
      <c r="P96" s="29"/>
      <c r="Q96" s="29"/>
      <c r="R96" s="29"/>
      <c r="S96" s="29"/>
      <c r="T96" s="29"/>
      <c r="U96" s="29"/>
      <c r="V96" s="29"/>
      <c r="W96" s="29"/>
      <c r="X96" s="29"/>
      <c r="Y96" s="29"/>
      <c r="Z96" s="29"/>
      <c r="AA96" s="29"/>
      <c r="AB96" s="29"/>
      <c r="AC96" s="29"/>
      <c r="AD96" s="29"/>
      <c r="AE96" s="29"/>
    </row>
    <row r="97" spans="2:31" ht="15" x14ac:dyDescent="0.25">
      <c r="B97" s="29"/>
      <c r="C97" s="29"/>
      <c r="D97" s="29"/>
      <c r="E97" s="29"/>
      <c r="F97" s="29"/>
      <c r="G97" s="29"/>
      <c r="H97" s="29"/>
      <c r="I97" s="29"/>
      <c r="J97" s="29"/>
      <c r="K97" s="29"/>
      <c r="L97" s="29"/>
      <c r="M97" s="29"/>
      <c r="N97" s="29"/>
      <c r="O97" s="29"/>
      <c r="P97" s="29"/>
      <c r="Q97" s="29"/>
      <c r="R97" s="29"/>
      <c r="S97" s="29"/>
      <c r="T97" s="29"/>
      <c r="U97" s="29"/>
      <c r="V97" s="29"/>
      <c r="W97" s="29"/>
      <c r="X97" s="29"/>
      <c r="Y97" s="29"/>
      <c r="Z97" s="29"/>
      <c r="AA97" s="29"/>
      <c r="AB97" s="29"/>
      <c r="AC97" s="29"/>
      <c r="AD97" s="29"/>
      <c r="AE97" s="29"/>
    </row>
    <row r="98" spans="2:31" ht="15" x14ac:dyDescent="0.25">
      <c r="B98" s="29"/>
      <c r="C98" s="29"/>
      <c r="D98" s="29"/>
      <c r="E98" s="29"/>
      <c r="F98" s="29"/>
      <c r="G98" s="29"/>
      <c r="H98" s="29"/>
      <c r="I98" s="29"/>
      <c r="J98" s="29"/>
      <c r="K98" s="29"/>
      <c r="L98" s="29"/>
      <c r="M98" s="29"/>
      <c r="N98" s="29"/>
      <c r="O98" s="29"/>
      <c r="P98" s="29"/>
      <c r="Q98" s="29"/>
      <c r="R98" s="29"/>
      <c r="S98" s="29"/>
      <c r="T98" s="29"/>
      <c r="U98" s="29"/>
      <c r="V98" s="29"/>
      <c r="W98" s="29"/>
      <c r="X98" s="29"/>
      <c r="Y98" s="29"/>
      <c r="Z98" s="29"/>
      <c r="AA98" s="29"/>
      <c r="AB98" s="29"/>
      <c r="AC98" s="29"/>
      <c r="AD98" s="29"/>
      <c r="AE98" s="29"/>
    </row>
    <row r="99" spans="2:31" ht="15" x14ac:dyDescent="0.25">
      <c r="B99" s="29"/>
      <c r="C99" s="29"/>
      <c r="D99" s="29"/>
      <c r="E99" s="29"/>
      <c r="F99" s="29"/>
      <c r="G99" s="29"/>
      <c r="H99" s="29"/>
      <c r="I99" s="29"/>
      <c r="J99" s="29"/>
      <c r="K99" s="29"/>
      <c r="L99" s="29"/>
      <c r="M99" s="29"/>
      <c r="N99" s="29"/>
      <c r="O99" s="29"/>
      <c r="P99" s="29"/>
      <c r="Q99" s="29"/>
      <c r="R99" s="29"/>
      <c r="S99" s="29"/>
      <c r="T99" s="29"/>
      <c r="U99" s="29"/>
      <c r="V99" s="29"/>
      <c r="W99" s="29"/>
      <c r="X99" s="29"/>
      <c r="Y99" s="29"/>
      <c r="Z99" s="29"/>
      <c r="AA99" s="29"/>
      <c r="AB99" s="29"/>
      <c r="AC99" s="29"/>
      <c r="AD99" s="29"/>
      <c r="AE99" s="29"/>
    </row>
    <row r="100" spans="2:31" ht="15" x14ac:dyDescent="0.25">
      <c r="B100" s="29"/>
      <c r="C100" s="29"/>
      <c r="D100" s="29"/>
      <c r="E100" s="29"/>
      <c r="F100" s="29"/>
      <c r="G100" s="29"/>
      <c r="H100" s="29"/>
      <c r="I100" s="29"/>
      <c r="J100" s="29"/>
      <c r="K100" s="29"/>
      <c r="L100" s="29"/>
      <c r="M100" s="29"/>
      <c r="N100" s="29"/>
      <c r="O100" s="29"/>
      <c r="P100" s="29"/>
      <c r="Q100" s="29"/>
      <c r="R100" s="29"/>
      <c r="S100" s="29"/>
      <c r="T100" s="29"/>
      <c r="U100" s="29"/>
      <c r="V100" s="29"/>
      <c r="W100" s="29"/>
      <c r="X100" s="29"/>
      <c r="Y100" s="29"/>
      <c r="Z100" s="29"/>
      <c r="AA100" s="29"/>
      <c r="AB100" s="29"/>
      <c r="AC100" s="29"/>
      <c r="AD100" s="29"/>
      <c r="AE100" s="29"/>
    </row>
    <row r="101" spans="2:31" ht="15" x14ac:dyDescent="0.25">
      <c r="B101" s="29"/>
      <c r="C101" s="29"/>
      <c r="D101" s="29"/>
      <c r="E101" s="29"/>
      <c r="F101" s="29"/>
      <c r="G101" s="29"/>
      <c r="H101" s="29"/>
      <c r="I101" s="29"/>
      <c r="J101" s="29"/>
      <c r="K101" s="29"/>
      <c r="L101" s="29"/>
      <c r="M101" s="29"/>
      <c r="N101" s="29"/>
      <c r="O101" s="29"/>
      <c r="P101" s="29"/>
      <c r="Q101" s="29"/>
      <c r="R101" s="29"/>
      <c r="S101" s="29"/>
      <c r="T101" s="29"/>
      <c r="U101" s="29"/>
      <c r="V101" s="29"/>
      <c r="W101" s="29"/>
      <c r="X101" s="29"/>
      <c r="Y101" s="29"/>
      <c r="Z101" s="29"/>
      <c r="AA101" s="29"/>
      <c r="AB101" s="29"/>
      <c r="AC101" s="29"/>
      <c r="AD101" s="29"/>
      <c r="AE101" s="29"/>
    </row>
    <row r="102" spans="2:31" ht="15" x14ac:dyDescent="0.25">
      <c r="B102" s="29"/>
      <c r="C102" s="29"/>
      <c r="D102" s="29"/>
      <c r="E102" s="29"/>
      <c r="F102" s="29"/>
      <c r="G102" s="29"/>
      <c r="H102" s="29"/>
      <c r="I102" s="29"/>
      <c r="J102" s="29"/>
      <c r="K102" s="29"/>
      <c r="L102" s="29"/>
      <c r="M102" s="29"/>
      <c r="N102" s="29"/>
      <c r="O102" s="29"/>
      <c r="P102" s="29"/>
      <c r="Q102" s="29"/>
      <c r="R102" s="29"/>
      <c r="S102" s="29"/>
      <c r="T102" s="29"/>
      <c r="U102" s="29"/>
      <c r="V102" s="29"/>
      <c r="W102" s="29"/>
      <c r="X102" s="29"/>
      <c r="Y102" s="29"/>
      <c r="Z102" s="29"/>
      <c r="AA102" s="29"/>
      <c r="AB102" s="29"/>
      <c r="AC102" s="29"/>
      <c r="AD102" s="29"/>
      <c r="AE102" s="29"/>
    </row>
    <row r="103" spans="2:31" ht="15" x14ac:dyDescent="0.25">
      <c r="B103" s="29"/>
      <c r="C103" s="29"/>
      <c r="D103" s="29"/>
      <c r="E103" s="29"/>
      <c r="F103" s="29"/>
      <c r="G103" s="29"/>
      <c r="H103" s="29"/>
      <c r="I103" s="29"/>
      <c r="J103" s="29"/>
      <c r="K103" s="29"/>
      <c r="L103" s="29"/>
      <c r="M103" s="29"/>
      <c r="N103" s="29"/>
      <c r="O103" s="29"/>
      <c r="P103" s="29"/>
      <c r="Q103" s="29"/>
      <c r="R103" s="29"/>
      <c r="S103" s="29"/>
      <c r="T103" s="29"/>
      <c r="U103" s="29"/>
      <c r="V103" s="29"/>
      <c r="W103" s="29"/>
      <c r="X103" s="29"/>
      <c r="Y103" s="29"/>
      <c r="Z103" s="29"/>
      <c r="AA103" s="29"/>
      <c r="AB103" s="29"/>
      <c r="AC103" s="29"/>
      <c r="AD103" s="29"/>
      <c r="AE103" s="29"/>
    </row>
    <row r="104" spans="2:31" ht="15" x14ac:dyDescent="0.25">
      <c r="B104" s="29"/>
      <c r="C104" s="29"/>
      <c r="D104" s="29"/>
      <c r="E104" s="29"/>
      <c r="F104" s="29"/>
      <c r="G104" s="29"/>
      <c r="H104" s="29"/>
      <c r="I104" s="29"/>
      <c r="J104" s="29"/>
      <c r="K104" s="29"/>
      <c r="L104" s="29"/>
      <c r="M104" s="29"/>
      <c r="N104" s="29"/>
      <c r="O104" s="29"/>
      <c r="P104" s="29"/>
      <c r="Q104" s="29"/>
      <c r="R104" s="29"/>
      <c r="S104" s="29"/>
      <c r="T104" s="29"/>
      <c r="U104" s="29"/>
      <c r="V104" s="29"/>
      <c r="W104" s="29"/>
      <c r="X104" s="29"/>
      <c r="Y104" s="29"/>
      <c r="Z104" s="29"/>
      <c r="AA104" s="29"/>
      <c r="AB104" s="29"/>
      <c r="AC104" s="29"/>
      <c r="AD104" s="29"/>
      <c r="AE104" s="29"/>
    </row>
    <row r="105" spans="2:31" ht="15" x14ac:dyDescent="0.25">
      <c r="B105" s="29"/>
      <c r="C105" s="29"/>
      <c r="D105" s="29"/>
      <c r="E105" s="29"/>
      <c r="F105" s="29"/>
      <c r="G105" s="29"/>
      <c r="H105" s="29"/>
      <c r="I105" s="29"/>
      <c r="J105" s="29"/>
      <c r="K105" s="29"/>
      <c r="L105" s="29"/>
      <c r="M105" s="29"/>
      <c r="N105" s="29"/>
      <c r="O105" s="29"/>
      <c r="P105" s="29"/>
      <c r="Q105" s="29"/>
      <c r="R105" s="29"/>
      <c r="S105" s="29"/>
      <c r="T105" s="29"/>
      <c r="U105" s="29"/>
      <c r="V105" s="29"/>
      <c r="W105" s="29"/>
      <c r="X105" s="29"/>
      <c r="Y105" s="29"/>
      <c r="Z105" s="29"/>
      <c r="AA105" s="29"/>
      <c r="AB105" s="29"/>
      <c r="AC105" s="29"/>
      <c r="AD105" s="29"/>
      <c r="AE105" s="29"/>
    </row>
    <row r="106" spans="2:31" ht="15" x14ac:dyDescent="0.25">
      <c r="B106" s="29"/>
      <c r="C106" s="29"/>
      <c r="D106" s="29"/>
      <c r="E106" s="29"/>
      <c r="F106" s="29"/>
      <c r="G106" s="29"/>
      <c r="H106" s="29"/>
      <c r="I106" s="29"/>
      <c r="J106" s="29"/>
      <c r="K106" s="29"/>
      <c r="L106" s="29"/>
      <c r="M106" s="29"/>
      <c r="N106" s="29"/>
      <c r="O106" s="29"/>
      <c r="P106" s="29"/>
      <c r="Q106" s="29"/>
      <c r="R106" s="29"/>
      <c r="S106" s="29"/>
      <c r="T106" s="29"/>
      <c r="U106" s="29"/>
      <c r="V106" s="29"/>
      <c r="W106" s="29"/>
      <c r="X106" s="29"/>
      <c r="Y106" s="29"/>
      <c r="Z106" s="29"/>
      <c r="AA106" s="29"/>
      <c r="AB106" s="29"/>
      <c r="AC106" s="29"/>
      <c r="AD106" s="29"/>
      <c r="AE106" s="29"/>
    </row>
    <row r="107" spans="2:31" ht="15" x14ac:dyDescent="0.25">
      <c r="B107" s="29"/>
      <c r="C107" s="29"/>
      <c r="D107" s="29"/>
      <c r="E107" s="29"/>
      <c r="F107" s="29"/>
      <c r="G107" s="29"/>
      <c r="H107" s="29"/>
      <c r="I107" s="29"/>
      <c r="J107" s="29"/>
      <c r="K107" s="29"/>
      <c r="L107" s="29"/>
      <c r="M107" s="29"/>
      <c r="N107" s="29"/>
      <c r="O107" s="29"/>
      <c r="P107" s="29"/>
      <c r="Q107" s="29"/>
      <c r="R107" s="29"/>
      <c r="S107" s="29"/>
      <c r="T107" s="29"/>
      <c r="U107" s="29"/>
      <c r="V107" s="29"/>
      <c r="W107" s="29"/>
      <c r="X107" s="29"/>
      <c r="Y107" s="29"/>
      <c r="Z107" s="29"/>
      <c r="AA107" s="29"/>
      <c r="AB107" s="29"/>
      <c r="AC107" s="29"/>
      <c r="AD107" s="29"/>
      <c r="AE107" s="29"/>
    </row>
    <row r="108" spans="2:31" ht="15" x14ac:dyDescent="0.25">
      <c r="B108" s="29"/>
      <c r="C108" s="29"/>
      <c r="D108" s="29"/>
      <c r="E108" s="29"/>
      <c r="F108" s="29"/>
      <c r="G108" s="29"/>
      <c r="H108" s="29"/>
      <c r="I108" s="29"/>
      <c r="J108" s="29"/>
      <c r="K108" s="29"/>
      <c r="L108" s="29"/>
      <c r="M108" s="29"/>
      <c r="N108" s="29"/>
      <c r="O108" s="29"/>
      <c r="P108" s="29"/>
      <c r="Q108" s="29"/>
      <c r="R108" s="29"/>
      <c r="S108" s="29"/>
      <c r="T108" s="29"/>
      <c r="U108" s="29"/>
      <c r="V108" s="29"/>
      <c r="W108" s="29"/>
      <c r="X108" s="29"/>
      <c r="Y108" s="29"/>
      <c r="Z108" s="29"/>
      <c r="AA108" s="29"/>
      <c r="AB108" s="29"/>
      <c r="AC108" s="29"/>
      <c r="AD108" s="29"/>
      <c r="AE108" s="29"/>
    </row>
    <row r="109" spans="2:31" ht="15" x14ac:dyDescent="0.25">
      <c r="B109" s="29"/>
      <c r="C109" s="29"/>
      <c r="D109" s="29"/>
      <c r="E109" s="29"/>
      <c r="F109" s="29"/>
      <c r="G109" s="29"/>
      <c r="H109" s="29"/>
      <c r="I109" s="29"/>
      <c r="J109" s="29"/>
      <c r="K109" s="29"/>
      <c r="L109" s="29"/>
      <c r="M109" s="29"/>
      <c r="N109" s="29"/>
      <c r="O109" s="29"/>
      <c r="P109" s="29"/>
      <c r="Q109" s="29"/>
      <c r="R109" s="29"/>
      <c r="S109" s="29"/>
      <c r="T109" s="29"/>
      <c r="U109" s="29"/>
      <c r="V109" s="29"/>
      <c r="W109" s="29"/>
      <c r="X109" s="29"/>
      <c r="Y109" s="29"/>
      <c r="Z109" s="29"/>
      <c r="AA109" s="29"/>
      <c r="AB109" s="29"/>
      <c r="AC109" s="29"/>
      <c r="AD109" s="29"/>
      <c r="AE109" s="29"/>
    </row>
    <row r="110" spans="2:31" ht="15" x14ac:dyDescent="0.25">
      <c r="B110" s="29"/>
      <c r="C110" s="29"/>
      <c r="D110" s="29"/>
      <c r="E110" s="29"/>
      <c r="F110" s="29"/>
      <c r="G110" s="29"/>
      <c r="H110" s="29"/>
      <c r="I110" s="29"/>
      <c r="J110" s="29"/>
      <c r="K110" s="29"/>
      <c r="L110" s="29"/>
      <c r="M110" s="29"/>
      <c r="N110" s="29"/>
      <c r="O110" s="29"/>
      <c r="P110" s="29"/>
      <c r="Q110" s="29"/>
      <c r="R110" s="29"/>
      <c r="S110" s="29"/>
      <c r="T110" s="29"/>
      <c r="U110" s="29"/>
      <c r="V110" s="29"/>
      <c r="W110" s="29"/>
      <c r="X110" s="29"/>
      <c r="Y110" s="29"/>
      <c r="Z110" s="29"/>
      <c r="AA110" s="29"/>
      <c r="AB110" s="29"/>
      <c r="AC110" s="29"/>
      <c r="AD110" s="29"/>
      <c r="AE110" s="29"/>
    </row>
    <row r="111" spans="2:31" ht="15" x14ac:dyDescent="0.25">
      <c r="B111" s="29"/>
      <c r="C111" s="29"/>
      <c r="D111" s="29"/>
      <c r="E111" s="29"/>
      <c r="F111" s="29"/>
      <c r="G111" s="29"/>
      <c r="H111" s="29"/>
      <c r="I111" s="29"/>
      <c r="J111" s="29"/>
      <c r="K111" s="29"/>
      <c r="L111" s="29"/>
      <c r="M111" s="29"/>
      <c r="N111" s="29"/>
      <c r="O111" s="29"/>
      <c r="P111" s="29"/>
      <c r="Q111" s="29"/>
      <c r="R111" s="29"/>
      <c r="S111" s="29"/>
      <c r="T111" s="29"/>
      <c r="U111" s="29"/>
      <c r="V111" s="29"/>
      <c r="W111" s="29"/>
      <c r="X111" s="29"/>
      <c r="Y111" s="29"/>
      <c r="Z111" s="29"/>
      <c r="AA111" s="29"/>
      <c r="AB111" s="29"/>
      <c r="AC111" s="29"/>
      <c r="AD111" s="29"/>
      <c r="AE111" s="29"/>
    </row>
    <row r="112" spans="2:31" ht="15" x14ac:dyDescent="0.25">
      <c r="B112" s="29"/>
      <c r="C112" s="29"/>
      <c r="D112" s="29"/>
      <c r="E112" s="29"/>
      <c r="F112" s="29"/>
      <c r="G112" s="29"/>
      <c r="H112" s="29"/>
      <c r="I112" s="29"/>
      <c r="J112" s="29"/>
      <c r="K112" s="29"/>
      <c r="L112" s="29"/>
      <c r="M112" s="29"/>
      <c r="N112" s="29"/>
      <c r="O112" s="29"/>
      <c r="P112" s="29"/>
      <c r="Q112" s="29"/>
      <c r="R112" s="29"/>
      <c r="S112" s="29"/>
      <c r="T112" s="29"/>
      <c r="U112" s="29"/>
      <c r="V112" s="29"/>
      <c r="W112" s="29"/>
      <c r="X112" s="29"/>
      <c r="Y112" s="29"/>
      <c r="Z112" s="29"/>
      <c r="AA112" s="29"/>
      <c r="AB112" s="29"/>
      <c r="AC112" s="29"/>
      <c r="AD112" s="29"/>
      <c r="AE112" s="29"/>
    </row>
    <row r="113" spans="2:31" ht="15" x14ac:dyDescent="0.25">
      <c r="B113" s="29"/>
      <c r="C113" s="29"/>
      <c r="D113" s="29"/>
      <c r="E113" s="29"/>
      <c r="F113" s="29"/>
      <c r="G113" s="29"/>
      <c r="H113" s="29"/>
      <c r="I113" s="29"/>
      <c r="J113" s="29"/>
      <c r="K113" s="29"/>
      <c r="L113" s="29"/>
      <c r="M113" s="29"/>
      <c r="N113" s="29"/>
      <c r="O113" s="29"/>
      <c r="P113" s="29"/>
      <c r="Q113" s="29"/>
      <c r="R113" s="29"/>
      <c r="S113" s="29"/>
      <c r="T113" s="29"/>
      <c r="U113" s="29"/>
      <c r="V113" s="29"/>
      <c r="W113" s="29"/>
      <c r="X113" s="29"/>
      <c r="Y113" s="29"/>
      <c r="Z113" s="29"/>
      <c r="AA113" s="29"/>
      <c r="AB113" s="29"/>
      <c r="AC113" s="29"/>
      <c r="AD113" s="29"/>
      <c r="AE113" s="29"/>
    </row>
    <row r="114" spans="2:31" ht="15" x14ac:dyDescent="0.25">
      <c r="B114" s="29"/>
      <c r="C114" s="29"/>
      <c r="D114" s="29"/>
      <c r="E114" s="29"/>
      <c r="F114" s="29"/>
      <c r="G114" s="29"/>
      <c r="H114" s="29"/>
      <c r="I114" s="29"/>
      <c r="J114" s="29"/>
      <c r="K114" s="29"/>
      <c r="L114" s="29"/>
      <c r="M114" s="29"/>
      <c r="N114" s="29"/>
      <c r="O114" s="29"/>
      <c r="P114" s="29"/>
      <c r="Q114" s="29"/>
      <c r="R114" s="29"/>
      <c r="S114" s="29"/>
      <c r="T114" s="29"/>
      <c r="U114" s="29"/>
      <c r="V114" s="29"/>
      <c r="W114" s="29"/>
      <c r="X114" s="29"/>
      <c r="Y114" s="29"/>
      <c r="Z114" s="29"/>
      <c r="AA114" s="29"/>
      <c r="AB114" s="29"/>
      <c r="AC114" s="29"/>
      <c r="AD114" s="29"/>
      <c r="AE114" s="29"/>
    </row>
    <row r="115" spans="2:31" ht="15" x14ac:dyDescent="0.25">
      <c r="B115" s="29"/>
      <c r="C115" s="29"/>
      <c r="D115" s="29"/>
      <c r="E115" s="29"/>
      <c r="F115" s="29"/>
      <c r="G115" s="29"/>
      <c r="H115" s="29"/>
      <c r="I115" s="29"/>
      <c r="J115" s="29"/>
      <c r="K115" s="29"/>
      <c r="L115" s="29"/>
      <c r="M115" s="29"/>
      <c r="N115" s="29"/>
      <c r="O115" s="29"/>
      <c r="P115" s="29"/>
      <c r="Q115" s="29"/>
      <c r="R115" s="29"/>
      <c r="S115" s="29"/>
      <c r="T115" s="29"/>
      <c r="U115" s="29"/>
      <c r="V115" s="29"/>
      <c r="W115" s="29"/>
      <c r="X115" s="29"/>
      <c r="Y115" s="29"/>
      <c r="Z115" s="29"/>
      <c r="AA115" s="29"/>
      <c r="AB115" s="29"/>
      <c r="AC115" s="29"/>
      <c r="AD115" s="29"/>
      <c r="AE115" s="29"/>
    </row>
    <row r="116" spans="2:31" ht="15" x14ac:dyDescent="0.25">
      <c r="B116" s="29"/>
      <c r="C116" s="29"/>
      <c r="D116" s="29"/>
      <c r="E116" s="29"/>
      <c r="F116" s="29"/>
      <c r="G116" s="29"/>
      <c r="H116" s="29"/>
      <c r="I116" s="29"/>
      <c r="J116" s="29"/>
      <c r="K116" s="29"/>
      <c r="L116" s="29"/>
      <c r="M116" s="29"/>
      <c r="N116" s="29"/>
      <c r="O116" s="29"/>
      <c r="P116" s="29"/>
      <c r="Q116" s="29"/>
      <c r="R116" s="29"/>
      <c r="S116" s="29"/>
      <c r="T116" s="29"/>
      <c r="U116" s="29"/>
      <c r="V116" s="29"/>
      <c r="W116" s="29"/>
      <c r="X116" s="29"/>
      <c r="Y116" s="29"/>
      <c r="Z116" s="29"/>
      <c r="AA116" s="29"/>
      <c r="AB116" s="29"/>
      <c r="AC116" s="29"/>
      <c r="AD116" s="29"/>
      <c r="AE116" s="29"/>
    </row>
    <row r="117" spans="2:31" ht="15" x14ac:dyDescent="0.25">
      <c r="B117" s="29"/>
      <c r="C117" s="29"/>
      <c r="D117" s="29"/>
      <c r="E117" s="29"/>
      <c r="F117" s="29"/>
      <c r="G117" s="29"/>
      <c r="H117" s="29"/>
      <c r="I117" s="29"/>
      <c r="J117" s="29"/>
      <c r="K117" s="29"/>
      <c r="L117" s="29"/>
      <c r="M117" s="29"/>
      <c r="N117" s="29"/>
      <c r="O117" s="29"/>
      <c r="P117" s="29"/>
      <c r="Q117" s="29"/>
      <c r="R117" s="29"/>
      <c r="S117" s="29"/>
      <c r="T117" s="29"/>
      <c r="U117" s="29"/>
      <c r="V117" s="29"/>
      <c r="W117" s="29"/>
      <c r="X117" s="29"/>
      <c r="Y117" s="29"/>
      <c r="Z117" s="29"/>
      <c r="AA117" s="29"/>
      <c r="AB117" s="29"/>
      <c r="AC117" s="29"/>
      <c r="AD117" s="29"/>
      <c r="AE117" s="29"/>
    </row>
    <row r="118" spans="2:31" ht="15" x14ac:dyDescent="0.25">
      <c r="B118" s="29"/>
      <c r="C118" s="29"/>
      <c r="D118" s="29"/>
      <c r="E118" s="29"/>
      <c r="F118" s="29"/>
      <c r="G118" s="29"/>
      <c r="H118" s="29"/>
      <c r="I118" s="29"/>
      <c r="J118" s="29"/>
      <c r="K118" s="29"/>
      <c r="L118" s="29"/>
      <c r="M118" s="29"/>
      <c r="N118" s="29"/>
      <c r="O118" s="29"/>
      <c r="P118" s="29"/>
      <c r="Q118" s="29"/>
      <c r="R118" s="29"/>
      <c r="S118" s="29"/>
      <c r="T118" s="29"/>
      <c r="U118" s="29"/>
      <c r="V118" s="29"/>
      <c r="W118" s="29"/>
      <c r="X118" s="29"/>
      <c r="Y118" s="29"/>
      <c r="Z118" s="29"/>
      <c r="AA118" s="29"/>
      <c r="AB118" s="29"/>
      <c r="AC118" s="29"/>
      <c r="AD118" s="29"/>
      <c r="AE118" s="29"/>
    </row>
    <row r="119" spans="2:31" ht="15" x14ac:dyDescent="0.25">
      <c r="B119" s="29"/>
      <c r="C119" s="29"/>
      <c r="D119" s="29"/>
      <c r="E119" s="29"/>
      <c r="F119" s="29"/>
      <c r="G119" s="29"/>
      <c r="H119" s="29"/>
      <c r="I119" s="29"/>
      <c r="J119" s="29"/>
      <c r="K119" s="29"/>
      <c r="L119" s="29"/>
      <c r="M119" s="29"/>
      <c r="N119" s="29"/>
      <c r="O119" s="29"/>
      <c r="P119" s="29"/>
      <c r="Q119" s="29"/>
      <c r="R119" s="29"/>
      <c r="S119" s="29"/>
      <c r="T119" s="29"/>
      <c r="U119" s="29"/>
      <c r="V119" s="29"/>
      <c r="W119" s="29"/>
      <c r="X119" s="29"/>
      <c r="Y119" s="29"/>
      <c r="Z119" s="29"/>
      <c r="AA119" s="29"/>
      <c r="AB119" s="29"/>
      <c r="AC119" s="29"/>
      <c r="AD119" s="29"/>
      <c r="AE119" s="29"/>
    </row>
    <row r="120" spans="2:31" ht="15" x14ac:dyDescent="0.25">
      <c r="B120" s="29"/>
      <c r="C120" s="29"/>
      <c r="D120" s="29"/>
      <c r="E120" s="29"/>
      <c r="F120" s="29"/>
      <c r="G120" s="29"/>
      <c r="H120" s="29"/>
      <c r="I120" s="29"/>
      <c r="J120" s="29"/>
      <c r="K120" s="29"/>
      <c r="L120" s="29"/>
      <c r="M120" s="29"/>
      <c r="N120" s="29"/>
      <c r="O120" s="29"/>
      <c r="P120" s="29"/>
      <c r="Q120" s="29"/>
      <c r="R120" s="29"/>
      <c r="S120" s="29"/>
      <c r="T120" s="29"/>
      <c r="U120" s="29"/>
      <c r="V120" s="29"/>
      <c r="W120" s="29"/>
      <c r="X120" s="29"/>
      <c r="Y120" s="29"/>
      <c r="Z120" s="29"/>
      <c r="AA120" s="29"/>
      <c r="AB120" s="29"/>
      <c r="AC120" s="29"/>
      <c r="AD120" s="29"/>
      <c r="AE120" s="29"/>
    </row>
    <row r="121" spans="2:31" ht="15" x14ac:dyDescent="0.25">
      <c r="B121" s="29"/>
      <c r="C121" s="29"/>
      <c r="D121" s="29"/>
      <c r="E121" s="29"/>
      <c r="F121" s="29"/>
      <c r="G121" s="29"/>
      <c r="H121" s="29"/>
      <c r="I121" s="29"/>
      <c r="J121" s="29"/>
      <c r="K121" s="29"/>
      <c r="L121" s="29"/>
      <c r="M121" s="29"/>
      <c r="N121" s="29"/>
      <c r="O121" s="29"/>
      <c r="P121" s="29"/>
      <c r="Q121" s="29"/>
      <c r="R121" s="29"/>
      <c r="S121" s="29"/>
      <c r="T121" s="29"/>
      <c r="U121" s="29"/>
      <c r="V121" s="29"/>
      <c r="W121" s="29"/>
      <c r="X121" s="29"/>
      <c r="Y121" s="29"/>
      <c r="Z121" s="29"/>
      <c r="AA121" s="29"/>
      <c r="AB121" s="29"/>
      <c r="AC121" s="29"/>
      <c r="AD121" s="29"/>
      <c r="AE121" s="29"/>
    </row>
    <row r="122" spans="2:31" ht="15" x14ac:dyDescent="0.25">
      <c r="B122" s="29"/>
      <c r="C122" s="29"/>
      <c r="D122" s="29"/>
      <c r="E122" s="29"/>
      <c r="F122" s="29"/>
      <c r="G122" s="29"/>
      <c r="H122" s="29"/>
      <c r="I122" s="29"/>
      <c r="J122" s="29"/>
      <c r="K122" s="29"/>
      <c r="L122" s="29"/>
      <c r="M122" s="29"/>
      <c r="N122" s="29"/>
      <c r="O122" s="29"/>
      <c r="P122" s="29"/>
      <c r="Q122" s="29"/>
      <c r="R122" s="29"/>
      <c r="S122" s="29"/>
      <c r="T122" s="29"/>
      <c r="U122" s="29"/>
      <c r="V122" s="29"/>
      <c r="W122" s="29"/>
      <c r="X122" s="29"/>
      <c r="Y122" s="29"/>
      <c r="Z122" s="29"/>
      <c r="AA122" s="29"/>
      <c r="AB122" s="29"/>
      <c r="AC122" s="29"/>
      <c r="AD122" s="29"/>
      <c r="AE122" s="29"/>
    </row>
    <row r="123" spans="2:31" ht="15" x14ac:dyDescent="0.25">
      <c r="B123" s="29"/>
      <c r="C123" s="29"/>
      <c r="D123" s="29"/>
      <c r="E123" s="29"/>
      <c r="F123" s="29"/>
      <c r="G123" s="29"/>
      <c r="H123" s="29"/>
      <c r="I123" s="29"/>
      <c r="J123" s="29"/>
      <c r="K123" s="29"/>
      <c r="L123" s="29"/>
      <c r="M123" s="29"/>
      <c r="N123" s="29"/>
      <c r="O123" s="29"/>
      <c r="P123" s="29"/>
      <c r="Q123" s="29"/>
      <c r="R123" s="29"/>
      <c r="S123" s="29"/>
      <c r="T123" s="29"/>
      <c r="U123" s="29"/>
      <c r="V123" s="29"/>
      <c r="W123" s="29"/>
      <c r="X123" s="29"/>
      <c r="Y123" s="29"/>
      <c r="Z123" s="29"/>
      <c r="AA123" s="29"/>
      <c r="AB123" s="29"/>
      <c r="AC123" s="29"/>
      <c r="AD123" s="29"/>
      <c r="AE123" s="29"/>
    </row>
    <row r="124" spans="2:31" ht="15" x14ac:dyDescent="0.25">
      <c r="B124" s="29"/>
      <c r="C124" s="29"/>
      <c r="D124" s="29"/>
      <c r="E124" s="29"/>
      <c r="F124" s="29"/>
      <c r="G124" s="29"/>
      <c r="H124" s="29"/>
      <c r="I124" s="29"/>
      <c r="J124" s="29"/>
      <c r="K124" s="29"/>
      <c r="L124" s="29"/>
      <c r="M124" s="29"/>
      <c r="N124" s="29"/>
      <c r="O124" s="29"/>
      <c r="P124" s="29"/>
      <c r="Q124" s="29"/>
      <c r="R124" s="29"/>
      <c r="S124" s="29"/>
      <c r="T124" s="29"/>
      <c r="U124" s="29"/>
      <c r="V124" s="29"/>
      <c r="W124" s="29"/>
      <c r="X124" s="29"/>
      <c r="Y124" s="29"/>
      <c r="Z124" s="29"/>
      <c r="AA124" s="29"/>
      <c r="AB124" s="29"/>
      <c r="AC124" s="29"/>
      <c r="AD124" s="29"/>
      <c r="AE124" s="29"/>
    </row>
    <row r="125" spans="2:31" ht="15" x14ac:dyDescent="0.25">
      <c r="B125" s="29"/>
      <c r="C125" s="29"/>
      <c r="D125" s="29"/>
      <c r="E125" s="29"/>
      <c r="F125" s="29"/>
      <c r="G125" s="29"/>
      <c r="H125" s="29"/>
      <c r="I125" s="29"/>
      <c r="J125" s="29"/>
      <c r="K125" s="29"/>
      <c r="L125" s="29"/>
      <c r="M125" s="29"/>
      <c r="N125" s="29"/>
      <c r="O125" s="29"/>
      <c r="P125" s="29"/>
      <c r="Q125" s="29"/>
      <c r="R125" s="29"/>
      <c r="S125" s="29"/>
      <c r="T125" s="29"/>
      <c r="U125" s="29"/>
      <c r="V125" s="29"/>
      <c r="W125" s="29"/>
      <c r="X125" s="29"/>
      <c r="Y125" s="29"/>
      <c r="Z125" s="29"/>
      <c r="AA125" s="29"/>
      <c r="AB125" s="29"/>
      <c r="AC125" s="29"/>
      <c r="AD125" s="29"/>
      <c r="AE125" s="29"/>
    </row>
    <row r="126" spans="2:31" ht="15" x14ac:dyDescent="0.25">
      <c r="B126" s="29"/>
      <c r="C126" s="29"/>
      <c r="D126" s="29"/>
      <c r="E126" s="29"/>
      <c r="F126" s="29"/>
      <c r="G126" s="29"/>
      <c r="H126" s="29"/>
      <c r="I126" s="29"/>
      <c r="J126" s="29"/>
      <c r="K126" s="29"/>
      <c r="L126" s="29"/>
      <c r="M126" s="29"/>
      <c r="N126" s="29"/>
      <c r="O126" s="29"/>
      <c r="P126" s="29"/>
      <c r="Q126" s="29"/>
      <c r="R126" s="29"/>
      <c r="S126" s="29"/>
      <c r="T126" s="29"/>
      <c r="U126" s="29"/>
      <c r="V126" s="29"/>
      <c r="W126" s="29"/>
      <c r="X126" s="29"/>
      <c r="Y126" s="29"/>
      <c r="Z126" s="29"/>
      <c r="AA126" s="29"/>
      <c r="AB126" s="29"/>
      <c r="AC126" s="29"/>
      <c r="AD126" s="29"/>
      <c r="AE126" s="29"/>
    </row>
    <row r="127" spans="2:31" ht="15" x14ac:dyDescent="0.25">
      <c r="B127" s="29"/>
      <c r="C127" s="29"/>
      <c r="D127" s="29"/>
      <c r="E127" s="29"/>
      <c r="F127" s="29"/>
      <c r="G127" s="29"/>
      <c r="H127" s="29"/>
      <c r="I127" s="29"/>
      <c r="J127" s="29"/>
      <c r="K127" s="29"/>
      <c r="L127" s="29"/>
      <c r="M127" s="29"/>
      <c r="N127" s="29"/>
      <c r="O127" s="29"/>
      <c r="P127" s="29"/>
      <c r="Q127" s="29"/>
      <c r="R127" s="29"/>
      <c r="S127" s="29"/>
      <c r="T127" s="29"/>
      <c r="U127" s="29"/>
      <c r="V127" s="29"/>
      <c r="W127" s="29"/>
      <c r="X127" s="29"/>
      <c r="Y127" s="29"/>
      <c r="Z127" s="29"/>
      <c r="AA127" s="29"/>
      <c r="AB127" s="29"/>
      <c r="AC127" s="29"/>
      <c r="AD127" s="29"/>
      <c r="AE127" s="29"/>
    </row>
    <row r="128" spans="2:31" ht="15" x14ac:dyDescent="0.25">
      <c r="B128" s="29"/>
      <c r="C128" s="29"/>
      <c r="D128" s="29"/>
      <c r="E128" s="29"/>
      <c r="F128" s="29"/>
      <c r="G128" s="29"/>
      <c r="H128" s="29"/>
      <c r="I128" s="29"/>
      <c r="J128" s="29"/>
      <c r="K128" s="29"/>
      <c r="L128" s="29"/>
      <c r="M128" s="29"/>
      <c r="N128" s="29"/>
      <c r="O128" s="29"/>
      <c r="P128" s="29"/>
      <c r="Q128" s="29"/>
      <c r="R128" s="29"/>
      <c r="S128" s="29"/>
      <c r="T128" s="29"/>
      <c r="U128" s="29"/>
      <c r="V128" s="29"/>
      <c r="W128" s="29"/>
      <c r="X128" s="29"/>
      <c r="Y128" s="29"/>
      <c r="Z128" s="29"/>
      <c r="AA128" s="29"/>
      <c r="AB128" s="29"/>
      <c r="AC128" s="29"/>
      <c r="AD128" s="29"/>
      <c r="AE128" s="29"/>
    </row>
    <row r="129" spans="2:31" ht="15" x14ac:dyDescent="0.25">
      <c r="B129" s="29"/>
      <c r="C129" s="29"/>
      <c r="D129" s="29"/>
      <c r="E129" s="29"/>
      <c r="F129" s="29"/>
      <c r="G129" s="29"/>
      <c r="H129" s="29"/>
      <c r="I129" s="29"/>
      <c r="J129" s="29"/>
      <c r="K129" s="29"/>
      <c r="L129" s="29"/>
      <c r="M129" s="29"/>
      <c r="N129" s="29"/>
      <c r="O129" s="29"/>
      <c r="P129" s="29"/>
      <c r="Q129" s="29"/>
      <c r="R129" s="29"/>
      <c r="S129" s="29"/>
      <c r="T129" s="29"/>
      <c r="U129" s="29"/>
      <c r="V129" s="29"/>
      <c r="W129" s="29"/>
      <c r="X129" s="29"/>
      <c r="Y129" s="29"/>
      <c r="Z129" s="29"/>
      <c r="AA129" s="29"/>
      <c r="AB129" s="29"/>
      <c r="AC129" s="29"/>
      <c r="AD129" s="29"/>
      <c r="AE129" s="29"/>
    </row>
    <row r="130" spans="2:31" ht="15" x14ac:dyDescent="0.25">
      <c r="B130" s="29"/>
      <c r="C130" s="29"/>
      <c r="D130" s="29"/>
      <c r="E130" s="29"/>
      <c r="F130" s="29"/>
      <c r="G130" s="29"/>
      <c r="H130" s="29"/>
      <c r="I130" s="29"/>
      <c r="J130" s="29"/>
      <c r="K130" s="29"/>
      <c r="L130" s="29"/>
      <c r="M130" s="29"/>
      <c r="N130" s="29"/>
      <c r="O130" s="29"/>
      <c r="P130" s="29"/>
      <c r="Q130" s="29"/>
      <c r="R130" s="29"/>
      <c r="S130" s="29"/>
      <c r="T130" s="29"/>
      <c r="U130" s="29"/>
      <c r="V130" s="29"/>
      <c r="W130" s="29"/>
      <c r="X130" s="29"/>
      <c r="Y130" s="29"/>
      <c r="Z130" s="29"/>
      <c r="AA130" s="29"/>
      <c r="AB130" s="29"/>
      <c r="AC130" s="29"/>
      <c r="AD130" s="29"/>
      <c r="AE130" s="29"/>
    </row>
    <row r="131" spans="2:31" ht="15" x14ac:dyDescent="0.25">
      <c r="B131" s="29"/>
      <c r="C131" s="29"/>
      <c r="D131" s="29"/>
      <c r="E131" s="29"/>
      <c r="F131" s="29"/>
      <c r="G131" s="29"/>
      <c r="H131" s="29"/>
      <c r="I131" s="29"/>
      <c r="J131" s="29"/>
      <c r="K131" s="29"/>
      <c r="L131" s="29"/>
      <c r="M131" s="29"/>
      <c r="N131" s="29"/>
      <c r="O131" s="29"/>
      <c r="P131" s="29"/>
      <c r="Q131" s="29"/>
      <c r="R131" s="29"/>
      <c r="S131" s="29"/>
      <c r="T131" s="29"/>
      <c r="U131" s="29"/>
      <c r="V131" s="29"/>
      <c r="W131" s="29"/>
      <c r="X131" s="29"/>
      <c r="Y131" s="29"/>
      <c r="Z131" s="29"/>
      <c r="AA131" s="29"/>
      <c r="AB131" s="29"/>
      <c r="AC131" s="29"/>
      <c r="AD131" s="29"/>
      <c r="AE131" s="29"/>
    </row>
    <row r="132" spans="2:31" ht="15" x14ac:dyDescent="0.25">
      <c r="B132" s="29"/>
      <c r="C132" s="29"/>
      <c r="D132" s="29"/>
      <c r="E132" s="29"/>
      <c r="F132" s="29"/>
      <c r="G132" s="29"/>
      <c r="H132" s="29"/>
      <c r="I132" s="29"/>
      <c r="J132" s="29"/>
      <c r="K132" s="29"/>
      <c r="L132" s="29"/>
      <c r="M132" s="29"/>
      <c r="N132" s="29"/>
      <c r="O132" s="29"/>
      <c r="P132" s="29"/>
      <c r="Q132" s="29"/>
      <c r="R132" s="29"/>
      <c r="S132" s="29"/>
      <c r="T132" s="29"/>
      <c r="U132" s="29"/>
      <c r="V132" s="29"/>
      <c r="W132" s="29"/>
      <c r="X132" s="29"/>
      <c r="Y132" s="29"/>
      <c r="Z132" s="29"/>
      <c r="AA132" s="29"/>
      <c r="AB132" s="29"/>
      <c r="AC132" s="29"/>
      <c r="AD132" s="29"/>
      <c r="AE132" s="29"/>
    </row>
    <row r="133" spans="2:31" ht="15" x14ac:dyDescent="0.25">
      <c r="B133" s="29"/>
      <c r="C133" s="29"/>
      <c r="D133" s="29"/>
      <c r="E133" s="29"/>
      <c r="F133" s="29"/>
      <c r="G133" s="29"/>
      <c r="H133" s="29"/>
      <c r="I133" s="29"/>
      <c r="J133" s="29"/>
      <c r="K133" s="29"/>
      <c r="L133" s="29"/>
      <c r="M133" s="29"/>
      <c r="N133" s="29"/>
      <c r="O133" s="29"/>
      <c r="P133" s="29"/>
      <c r="Q133" s="29"/>
      <c r="R133" s="29"/>
      <c r="S133" s="29"/>
      <c r="T133" s="29"/>
      <c r="U133" s="29"/>
      <c r="V133" s="29"/>
      <c r="W133" s="29"/>
      <c r="X133" s="29"/>
      <c r="Y133" s="29"/>
      <c r="Z133" s="29"/>
      <c r="AA133" s="29"/>
      <c r="AB133" s="29"/>
      <c r="AC133" s="29"/>
      <c r="AD133" s="29"/>
      <c r="AE133" s="29"/>
    </row>
    <row r="134" spans="2:31" ht="15" x14ac:dyDescent="0.25">
      <c r="B134" s="29"/>
      <c r="C134" s="29"/>
      <c r="D134" s="29"/>
      <c r="E134" s="29"/>
      <c r="F134" s="29"/>
      <c r="G134" s="29"/>
      <c r="H134" s="29"/>
      <c r="I134" s="29"/>
      <c r="J134" s="29"/>
      <c r="K134" s="29"/>
      <c r="L134" s="29"/>
      <c r="M134" s="29"/>
      <c r="N134" s="29"/>
      <c r="O134" s="29"/>
      <c r="P134" s="29"/>
      <c r="Q134" s="29"/>
      <c r="R134" s="29"/>
      <c r="S134" s="29"/>
      <c r="T134" s="29"/>
      <c r="U134" s="29"/>
      <c r="V134" s="29"/>
      <c r="W134" s="29"/>
      <c r="X134" s="29"/>
      <c r="Y134" s="29"/>
      <c r="Z134" s="29"/>
      <c r="AA134" s="29"/>
      <c r="AB134" s="29"/>
      <c r="AC134" s="29"/>
      <c r="AD134" s="29"/>
      <c r="AE134" s="29"/>
    </row>
    <row r="135" spans="2:31" ht="15" x14ac:dyDescent="0.25">
      <c r="B135" s="29"/>
      <c r="C135" s="29"/>
      <c r="D135" s="29"/>
      <c r="E135" s="29"/>
      <c r="F135" s="29"/>
      <c r="G135" s="29"/>
      <c r="H135" s="29"/>
      <c r="I135" s="29"/>
      <c r="J135" s="29"/>
      <c r="K135" s="29"/>
      <c r="L135" s="29"/>
      <c r="M135" s="29"/>
      <c r="N135" s="29"/>
      <c r="O135" s="29"/>
      <c r="P135" s="29"/>
      <c r="Q135" s="29"/>
      <c r="R135" s="29"/>
      <c r="S135" s="29"/>
      <c r="T135" s="29"/>
      <c r="U135" s="29"/>
      <c r="V135" s="29"/>
      <c r="W135" s="29"/>
      <c r="X135" s="29"/>
      <c r="Y135" s="29"/>
      <c r="Z135" s="29"/>
      <c r="AA135" s="29"/>
      <c r="AB135" s="29"/>
      <c r="AC135" s="29"/>
      <c r="AD135" s="29"/>
      <c r="AE135" s="29"/>
    </row>
    <row r="136" spans="2:31" ht="15" x14ac:dyDescent="0.25">
      <c r="B136" s="29"/>
      <c r="C136" s="29"/>
      <c r="D136" s="29"/>
      <c r="E136" s="29"/>
      <c r="F136" s="29"/>
      <c r="G136" s="29"/>
      <c r="H136" s="29"/>
      <c r="I136" s="29"/>
      <c r="J136" s="29"/>
      <c r="K136" s="29"/>
      <c r="L136" s="29"/>
      <c r="M136" s="29"/>
      <c r="N136" s="29"/>
      <c r="O136" s="29"/>
      <c r="P136" s="29"/>
      <c r="Q136" s="29"/>
      <c r="R136" s="29"/>
      <c r="S136" s="29"/>
      <c r="T136" s="29"/>
      <c r="U136" s="29"/>
      <c r="V136" s="29"/>
      <c r="W136" s="29"/>
      <c r="X136" s="29"/>
      <c r="Y136" s="29"/>
      <c r="Z136" s="29"/>
      <c r="AA136" s="29"/>
      <c r="AB136" s="29"/>
      <c r="AC136" s="29"/>
      <c r="AD136" s="29"/>
      <c r="AE136" s="29"/>
    </row>
    <row r="137" spans="2:31" ht="15" x14ac:dyDescent="0.25">
      <c r="B137" s="29"/>
      <c r="C137" s="29"/>
      <c r="D137" s="29"/>
      <c r="E137" s="29"/>
      <c r="F137" s="29"/>
      <c r="G137" s="29"/>
      <c r="H137" s="29"/>
      <c r="I137" s="29"/>
      <c r="J137" s="29"/>
      <c r="K137" s="29"/>
      <c r="L137" s="29"/>
      <c r="M137" s="29"/>
      <c r="N137" s="29"/>
      <c r="O137" s="29"/>
      <c r="P137" s="29"/>
      <c r="Q137" s="29"/>
      <c r="R137" s="29"/>
      <c r="S137" s="29"/>
      <c r="T137" s="29"/>
      <c r="U137" s="29"/>
      <c r="V137" s="29"/>
      <c r="W137" s="29"/>
      <c r="X137" s="29"/>
      <c r="Y137" s="29"/>
      <c r="Z137" s="29"/>
      <c r="AA137" s="29"/>
      <c r="AB137" s="29"/>
      <c r="AC137" s="29"/>
      <c r="AD137" s="29"/>
      <c r="AE137" s="29"/>
    </row>
    <row r="138" spans="2:31" ht="15" x14ac:dyDescent="0.25">
      <c r="B138" s="29"/>
      <c r="C138" s="29"/>
      <c r="D138" s="29"/>
      <c r="E138" s="29"/>
      <c r="F138" s="29"/>
      <c r="G138" s="29"/>
      <c r="H138" s="29"/>
      <c r="I138" s="29"/>
      <c r="J138" s="29"/>
      <c r="K138" s="29"/>
      <c r="L138" s="29"/>
      <c r="M138" s="29"/>
      <c r="N138" s="29"/>
      <c r="O138" s="29"/>
      <c r="P138" s="29"/>
      <c r="Q138" s="29"/>
      <c r="R138" s="29"/>
      <c r="S138" s="29"/>
      <c r="T138" s="29"/>
      <c r="U138" s="29"/>
      <c r="V138" s="29"/>
      <c r="W138" s="29"/>
      <c r="X138" s="29"/>
      <c r="Y138" s="29"/>
      <c r="Z138" s="29"/>
      <c r="AA138" s="29"/>
      <c r="AB138" s="29"/>
      <c r="AC138" s="29"/>
      <c r="AD138" s="29"/>
      <c r="AE138" s="29"/>
    </row>
    <row r="139" spans="2:31" ht="15" x14ac:dyDescent="0.25">
      <c r="B139" s="29"/>
      <c r="C139" s="29"/>
      <c r="D139" s="29"/>
      <c r="E139" s="29"/>
      <c r="F139" s="29"/>
      <c r="G139" s="29"/>
      <c r="H139" s="29"/>
      <c r="I139" s="29"/>
      <c r="J139" s="29"/>
      <c r="K139" s="29"/>
      <c r="L139" s="29"/>
      <c r="M139" s="29"/>
      <c r="N139" s="29"/>
      <c r="O139" s="29"/>
      <c r="P139" s="29"/>
      <c r="Q139" s="29"/>
      <c r="R139" s="29"/>
      <c r="S139" s="29"/>
      <c r="T139" s="29"/>
      <c r="U139" s="29"/>
      <c r="V139" s="29"/>
      <c r="W139" s="29"/>
      <c r="X139" s="29"/>
      <c r="Y139" s="29"/>
      <c r="Z139" s="29"/>
      <c r="AA139" s="29"/>
      <c r="AB139" s="29"/>
      <c r="AC139" s="29"/>
      <c r="AD139" s="29"/>
      <c r="AE139" s="29"/>
    </row>
    <row r="140" spans="2:31" ht="15" x14ac:dyDescent="0.25">
      <c r="B140" s="29"/>
      <c r="C140" s="29"/>
      <c r="D140" s="29"/>
      <c r="E140" s="29"/>
      <c r="F140" s="29"/>
      <c r="G140" s="29"/>
      <c r="H140" s="29"/>
      <c r="I140" s="29"/>
      <c r="J140" s="29"/>
      <c r="K140" s="29"/>
      <c r="L140" s="29"/>
      <c r="M140" s="29"/>
      <c r="N140" s="29"/>
      <c r="O140" s="29"/>
      <c r="P140" s="29"/>
      <c r="Q140" s="29"/>
      <c r="R140" s="29"/>
      <c r="S140" s="29"/>
      <c r="T140" s="29"/>
      <c r="U140" s="29"/>
      <c r="V140" s="29"/>
      <c r="W140" s="29"/>
      <c r="X140" s="29"/>
      <c r="Y140" s="29"/>
      <c r="Z140" s="29"/>
      <c r="AA140" s="29"/>
      <c r="AB140" s="29"/>
      <c r="AC140" s="29"/>
      <c r="AD140" s="29"/>
      <c r="AE140" s="29"/>
    </row>
    <row r="141" spans="2:31" ht="15" x14ac:dyDescent="0.25">
      <c r="B141" s="29"/>
      <c r="C141" s="29"/>
      <c r="D141" s="29"/>
      <c r="E141" s="29"/>
      <c r="F141" s="29"/>
      <c r="G141" s="29"/>
      <c r="H141" s="29"/>
      <c r="I141" s="29"/>
      <c r="J141" s="29"/>
      <c r="K141" s="29"/>
      <c r="L141" s="29"/>
      <c r="M141" s="29"/>
      <c r="N141" s="29"/>
      <c r="O141" s="29"/>
      <c r="P141" s="29"/>
      <c r="Q141" s="29"/>
      <c r="R141" s="29"/>
      <c r="S141" s="29"/>
      <c r="T141" s="29"/>
      <c r="U141" s="29"/>
      <c r="V141" s="29"/>
      <c r="W141" s="29"/>
      <c r="X141" s="29"/>
      <c r="Y141" s="29"/>
      <c r="Z141" s="29"/>
      <c r="AA141" s="29"/>
      <c r="AB141" s="29"/>
      <c r="AC141" s="29"/>
      <c r="AD141" s="29"/>
      <c r="AE141" s="29"/>
    </row>
    <row r="142" spans="2:31" ht="15" x14ac:dyDescent="0.25">
      <c r="B142" s="29"/>
      <c r="C142" s="29"/>
      <c r="D142" s="29"/>
      <c r="E142" s="29"/>
      <c r="F142" s="29"/>
      <c r="G142" s="29"/>
      <c r="H142" s="29"/>
      <c r="I142" s="29"/>
      <c r="J142" s="29"/>
      <c r="K142" s="29"/>
      <c r="L142" s="29"/>
      <c r="M142" s="29"/>
      <c r="N142" s="29"/>
      <c r="O142" s="29"/>
      <c r="P142" s="29"/>
      <c r="Q142" s="29"/>
      <c r="R142" s="29"/>
      <c r="S142" s="29"/>
      <c r="T142" s="29"/>
      <c r="U142" s="29"/>
      <c r="V142" s="29"/>
      <c r="W142" s="29"/>
      <c r="X142" s="29"/>
      <c r="Y142" s="29"/>
      <c r="Z142" s="29"/>
      <c r="AA142" s="29"/>
      <c r="AB142" s="29"/>
      <c r="AC142" s="29"/>
      <c r="AD142" s="29"/>
      <c r="AE142" s="29"/>
    </row>
    <row r="143" spans="2:31" ht="15" x14ac:dyDescent="0.25">
      <c r="B143" s="29"/>
      <c r="C143" s="29"/>
      <c r="D143" s="29"/>
      <c r="E143" s="29"/>
      <c r="F143" s="29"/>
      <c r="G143" s="29"/>
      <c r="H143" s="29"/>
      <c r="I143" s="29"/>
      <c r="J143" s="29"/>
      <c r="K143" s="29"/>
      <c r="L143" s="29"/>
      <c r="M143" s="29"/>
      <c r="N143" s="29"/>
      <c r="O143" s="29"/>
      <c r="P143" s="29"/>
      <c r="Q143" s="29"/>
      <c r="R143" s="29"/>
      <c r="S143" s="29"/>
      <c r="T143" s="29"/>
      <c r="U143" s="29"/>
      <c r="V143" s="29"/>
      <c r="W143" s="29"/>
      <c r="X143" s="29"/>
      <c r="Y143" s="29"/>
      <c r="Z143" s="29"/>
      <c r="AA143" s="29"/>
      <c r="AB143" s="29"/>
      <c r="AC143" s="29"/>
      <c r="AD143" s="29"/>
      <c r="AE143" s="29"/>
    </row>
    <row r="144" spans="2:31" ht="15" x14ac:dyDescent="0.25">
      <c r="B144" s="29"/>
      <c r="C144" s="29"/>
      <c r="D144" s="29"/>
      <c r="E144" s="29"/>
      <c r="F144" s="29"/>
      <c r="G144" s="29"/>
      <c r="H144" s="29"/>
      <c r="I144" s="29"/>
      <c r="J144" s="29"/>
      <c r="K144" s="29"/>
      <c r="L144" s="29"/>
      <c r="M144" s="29"/>
      <c r="N144" s="29"/>
      <c r="O144" s="29"/>
      <c r="P144" s="29"/>
      <c r="Q144" s="29"/>
      <c r="R144" s="29"/>
      <c r="S144" s="29"/>
      <c r="T144" s="29"/>
      <c r="U144" s="29"/>
      <c r="V144" s="29"/>
      <c r="W144" s="29"/>
      <c r="X144" s="29"/>
      <c r="Y144" s="29"/>
      <c r="Z144" s="29"/>
      <c r="AA144" s="29"/>
      <c r="AB144" s="29"/>
      <c r="AC144" s="29"/>
      <c r="AD144" s="29"/>
      <c r="AE144" s="29"/>
    </row>
    <row r="145" spans="2:31" ht="15" x14ac:dyDescent="0.25">
      <c r="B145" s="29"/>
      <c r="C145" s="29"/>
      <c r="D145" s="29"/>
      <c r="E145" s="29"/>
      <c r="F145" s="29"/>
      <c r="G145" s="29"/>
      <c r="H145" s="29"/>
      <c r="I145" s="29"/>
      <c r="J145" s="29"/>
      <c r="K145" s="29"/>
      <c r="L145" s="29"/>
      <c r="M145" s="29"/>
      <c r="N145" s="29"/>
      <c r="O145" s="29"/>
      <c r="P145" s="29"/>
      <c r="Q145" s="29"/>
      <c r="R145" s="29"/>
      <c r="S145" s="29"/>
      <c r="T145" s="29"/>
      <c r="U145" s="29"/>
      <c r="V145" s="29"/>
      <c r="W145" s="29"/>
      <c r="X145" s="29"/>
      <c r="Y145" s="29"/>
      <c r="Z145" s="29"/>
      <c r="AA145" s="29"/>
      <c r="AB145" s="29"/>
      <c r="AC145" s="29"/>
      <c r="AD145" s="29"/>
      <c r="AE145" s="29"/>
    </row>
    <row r="146" spans="2:31" ht="15" x14ac:dyDescent="0.25">
      <c r="B146" s="29"/>
      <c r="C146" s="29"/>
      <c r="D146" s="29"/>
      <c r="E146" s="29"/>
      <c r="F146" s="29"/>
      <c r="G146" s="29"/>
      <c r="H146" s="29"/>
      <c r="I146" s="29"/>
      <c r="J146" s="29"/>
      <c r="K146" s="29"/>
      <c r="L146" s="29"/>
      <c r="M146" s="29"/>
      <c r="N146" s="29"/>
      <c r="O146" s="29"/>
      <c r="P146" s="29"/>
      <c r="Q146" s="29"/>
      <c r="R146" s="29"/>
      <c r="S146" s="29"/>
      <c r="T146" s="29"/>
      <c r="U146" s="29"/>
      <c r="V146" s="29"/>
      <c r="W146" s="29"/>
      <c r="X146" s="29"/>
      <c r="Y146" s="29"/>
      <c r="Z146" s="29"/>
      <c r="AA146" s="29"/>
      <c r="AB146" s="29"/>
      <c r="AC146" s="29"/>
      <c r="AD146" s="29"/>
      <c r="AE146" s="29"/>
    </row>
    <row r="147" spans="2:31" ht="15" x14ac:dyDescent="0.25">
      <c r="B147" s="29"/>
      <c r="C147" s="29"/>
      <c r="D147" s="29"/>
      <c r="E147" s="29"/>
      <c r="F147" s="29"/>
      <c r="G147" s="29"/>
      <c r="H147" s="29"/>
      <c r="I147" s="29"/>
      <c r="J147" s="29"/>
      <c r="K147" s="29"/>
      <c r="L147" s="29"/>
      <c r="M147" s="29"/>
      <c r="N147" s="29"/>
      <c r="O147" s="29"/>
      <c r="P147" s="29"/>
      <c r="Q147" s="29"/>
      <c r="R147" s="29"/>
      <c r="S147" s="29"/>
      <c r="T147" s="29"/>
      <c r="U147" s="29"/>
      <c r="V147" s="29"/>
      <c r="W147" s="29"/>
      <c r="X147" s="29"/>
      <c r="Y147" s="29"/>
      <c r="Z147" s="29"/>
      <c r="AA147" s="29"/>
      <c r="AB147" s="29"/>
      <c r="AC147" s="29"/>
      <c r="AD147" s="29"/>
      <c r="AE147" s="29"/>
    </row>
    <row r="148" spans="2:31" ht="15" x14ac:dyDescent="0.25">
      <c r="B148" s="29"/>
      <c r="C148" s="29"/>
      <c r="D148" s="29"/>
      <c r="E148" s="29"/>
      <c r="F148" s="29"/>
      <c r="G148" s="29"/>
      <c r="H148" s="29"/>
      <c r="I148" s="29"/>
      <c r="J148" s="29"/>
      <c r="K148" s="29"/>
      <c r="L148" s="29"/>
      <c r="M148" s="29"/>
      <c r="N148" s="29"/>
      <c r="O148" s="29"/>
      <c r="P148" s="29"/>
      <c r="Q148" s="29"/>
      <c r="R148" s="29"/>
      <c r="S148" s="29"/>
      <c r="T148" s="29"/>
      <c r="U148" s="29"/>
      <c r="V148" s="29"/>
      <c r="W148" s="29"/>
      <c r="X148" s="29"/>
      <c r="Y148" s="29"/>
      <c r="Z148" s="29"/>
      <c r="AA148" s="29"/>
      <c r="AB148" s="29"/>
      <c r="AC148" s="29"/>
      <c r="AD148" s="29"/>
      <c r="AE148" s="29"/>
    </row>
    <row r="149" spans="2:31" ht="15" x14ac:dyDescent="0.25">
      <c r="B149" s="29"/>
      <c r="C149" s="29"/>
      <c r="D149" s="29"/>
      <c r="F149" s="29"/>
      <c r="G149" s="29"/>
      <c r="H149" s="29"/>
      <c r="I149" s="29"/>
      <c r="J149" s="29"/>
      <c r="K149" s="29"/>
      <c r="L149" s="29"/>
      <c r="M149" s="29"/>
      <c r="N149" s="29"/>
      <c r="O149" s="29"/>
      <c r="P149" s="29"/>
      <c r="Q149" s="29"/>
      <c r="R149" s="29"/>
      <c r="S149" s="29"/>
      <c r="T149" s="29"/>
      <c r="U149" s="29"/>
      <c r="V149" s="29"/>
      <c r="W149" s="29"/>
      <c r="X149" s="29"/>
      <c r="Y149" s="29"/>
      <c r="Z149" s="29"/>
      <c r="AA149" s="29"/>
      <c r="AB149" s="29"/>
      <c r="AC149" s="29"/>
      <c r="AD149" s="29"/>
      <c r="AE149" s="29"/>
    </row>
    <row r="150" spans="2:31" ht="15" x14ac:dyDescent="0.25">
      <c r="B150" s="29"/>
      <c r="C150" s="29"/>
      <c r="D150" s="29"/>
      <c r="F150" s="29"/>
      <c r="G150" s="29"/>
      <c r="H150" s="29"/>
      <c r="I150" s="29"/>
      <c r="J150" s="29"/>
      <c r="K150" s="29"/>
      <c r="L150" s="29"/>
      <c r="M150" s="29"/>
      <c r="N150" s="29"/>
      <c r="O150" s="29"/>
      <c r="P150" s="29"/>
      <c r="Q150" s="29"/>
      <c r="R150" s="29"/>
      <c r="S150" s="29"/>
      <c r="T150" s="29"/>
      <c r="U150" s="29"/>
      <c r="V150" s="29"/>
      <c r="W150" s="29"/>
      <c r="X150" s="29"/>
      <c r="Y150" s="29"/>
      <c r="Z150" s="29"/>
      <c r="AA150" s="29"/>
      <c r="AB150" s="29"/>
      <c r="AC150" s="29"/>
      <c r="AD150" s="29"/>
      <c r="AE150" s="29"/>
    </row>
    <row r="151" spans="2:31" ht="15" x14ac:dyDescent="0.25">
      <c r="B151" s="29"/>
      <c r="C151" s="29"/>
      <c r="D151" s="29"/>
      <c r="F151" s="29"/>
      <c r="G151" s="29"/>
      <c r="H151" s="29"/>
      <c r="I151" s="29"/>
      <c r="J151" s="29"/>
      <c r="K151" s="29"/>
      <c r="L151" s="29"/>
      <c r="M151" s="29"/>
      <c r="N151" s="29"/>
      <c r="O151" s="29"/>
      <c r="P151" s="29"/>
      <c r="Q151" s="29"/>
      <c r="R151" s="29"/>
      <c r="S151" s="29"/>
      <c r="T151" s="29"/>
      <c r="U151" s="29"/>
      <c r="V151" s="29"/>
      <c r="W151" s="29"/>
      <c r="X151" s="29"/>
      <c r="Y151" s="29"/>
      <c r="Z151" s="29"/>
      <c r="AA151" s="29"/>
      <c r="AB151" s="29"/>
      <c r="AC151" s="29"/>
      <c r="AD151" s="29"/>
      <c r="AE151" s="29"/>
    </row>
    <row r="152" spans="2:31" ht="15" x14ac:dyDescent="0.25">
      <c r="B152" s="29"/>
      <c r="C152" s="29"/>
      <c r="D152" s="29"/>
      <c r="F152" s="29"/>
      <c r="G152" s="29"/>
      <c r="H152" s="29"/>
      <c r="I152" s="29"/>
      <c r="J152" s="29"/>
      <c r="K152" s="29"/>
      <c r="L152" s="29"/>
      <c r="M152" s="29"/>
      <c r="N152" s="29"/>
      <c r="O152" s="29"/>
      <c r="P152" s="29"/>
      <c r="Q152" s="29"/>
      <c r="R152" s="29"/>
      <c r="S152" s="29"/>
      <c r="T152" s="29"/>
      <c r="U152" s="29"/>
      <c r="V152" s="29"/>
      <c r="W152" s="29"/>
      <c r="X152" s="29"/>
      <c r="Y152" s="29"/>
      <c r="Z152" s="29"/>
      <c r="AA152" s="29"/>
      <c r="AB152" s="29"/>
      <c r="AC152" s="29"/>
      <c r="AD152" s="29"/>
      <c r="AE152" s="29"/>
    </row>
    <row r="153" spans="2:31" ht="15" x14ac:dyDescent="0.25">
      <c r="B153" s="29"/>
      <c r="C153" s="29"/>
      <c r="D153" s="29"/>
      <c r="F153" s="29"/>
      <c r="G153" s="29"/>
      <c r="H153" s="29"/>
      <c r="I153" s="29"/>
      <c r="J153" s="29"/>
      <c r="K153" s="29"/>
      <c r="L153" s="29"/>
      <c r="M153" s="29"/>
      <c r="N153" s="29"/>
      <c r="O153" s="29"/>
      <c r="P153" s="29"/>
      <c r="Q153" s="29"/>
      <c r="R153" s="29"/>
      <c r="S153" s="29"/>
      <c r="T153" s="29"/>
      <c r="U153" s="29"/>
      <c r="V153" s="29"/>
      <c r="W153" s="29"/>
      <c r="X153" s="29"/>
      <c r="Y153" s="29"/>
      <c r="Z153" s="29"/>
      <c r="AA153" s="29"/>
      <c r="AB153" s="29"/>
      <c r="AC153" s="29"/>
      <c r="AD153" s="29"/>
      <c r="AE153" s="29"/>
    </row>
    <row r="154" spans="2:31" ht="15" x14ac:dyDescent="0.25">
      <c r="B154" s="29"/>
      <c r="C154" s="29"/>
      <c r="D154" s="29"/>
      <c r="F154" s="29"/>
      <c r="G154" s="29"/>
      <c r="H154" s="29"/>
      <c r="I154" s="29"/>
      <c r="J154" s="29"/>
      <c r="K154" s="29"/>
      <c r="L154" s="29"/>
      <c r="M154" s="29"/>
      <c r="N154" s="29"/>
      <c r="O154" s="29"/>
      <c r="P154" s="29"/>
      <c r="Q154" s="29"/>
      <c r="R154" s="29"/>
      <c r="S154" s="29"/>
      <c r="T154" s="29"/>
      <c r="U154" s="29"/>
      <c r="V154" s="29"/>
      <c r="W154" s="29"/>
      <c r="X154" s="29"/>
      <c r="Y154" s="29"/>
      <c r="Z154" s="29"/>
      <c r="AA154" s="29"/>
      <c r="AB154" s="29"/>
      <c r="AC154" s="29"/>
      <c r="AD154" s="29"/>
      <c r="AE154" s="29"/>
    </row>
    <row r="155" spans="2:31" ht="15" x14ac:dyDescent="0.25">
      <c r="B155" s="29"/>
      <c r="C155" s="29"/>
      <c r="D155" s="29"/>
      <c r="F155" s="29"/>
      <c r="G155" s="29"/>
      <c r="H155" s="29"/>
      <c r="I155" s="29"/>
      <c r="J155" s="29"/>
      <c r="K155" s="29"/>
      <c r="L155" s="29"/>
      <c r="M155" s="29"/>
      <c r="N155" s="29"/>
      <c r="O155" s="29"/>
      <c r="P155" s="29"/>
      <c r="Q155" s="29"/>
      <c r="R155" s="29"/>
      <c r="S155" s="29"/>
      <c r="T155" s="29"/>
      <c r="U155" s="29"/>
      <c r="V155" s="29"/>
      <c r="W155" s="29"/>
      <c r="X155" s="29"/>
      <c r="Y155" s="29"/>
      <c r="Z155" s="29"/>
      <c r="AA155" s="29"/>
      <c r="AB155" s="29"/>
      <c r="AC155" s="29"/>
      <c r="AD155" s="29"/>
      <c r="AE155" s="29"/>
    </row>
    <row r="156" spans="2:31" ht="15" x14ac:dyDescent="0.25">
      <c r="B156" s="29"/>
      <c r="C156" s="29"/>
      <c r="D156" s="29"/>
      <c r="F156" s="29"/>
      <c r="G156" s="29"/>
      <c r="H156" s="29"/>
      <c r="I156" s="29"/>
      <c r="J156" s="29"/>
      <c r="K156" s="29"/>
      <c r="L156" s="29"/>
      <c r="M156" s="29"/>
      <c r="N156" s="29"/>
      <c r="O156" s="29"/>
      <c r="P156" s="29"/>
      <c r="Q156" s="29"/>
      <c r="R156" s="29"/>
      <c r="S156" s="29"/>
      <c r="T156" s="29"/>
      <c r="U156" s="29"/>
      <c r="V156" s="29"/>
      <c r="W156" s="29"/>
      <c r="X156" s="29"/>
      <c r="Y156" s="29"/>
      <c r="Z156" s="29"/>
      <c r="AA156" s="29"/>
      <c r="AB156" s="29"/>
      <c r="AC156" s="29"/>
      <c r="AD156" s="29"/>
      <c r="AE156" s="29"/>
    </row>
    <row r="157" spans="2:31" ht="15" x14ac:dyDescent="0.25">
      <c r="B157" s="29"/>
      <c r="C157" s="29"/>
      <c r="D157" s="29"/>
      <c r="F157" s="29"/>
      <c r="G157" s="29"/>
      <c r="H157" s="29"/>
      <c r="I157" s="29"/>
      <c r="J157" s="29"/>
      <c r="K157" s="29"/>
      <c r="L157" s="29"/>
      <c r="M157" s="29"/>
      <c r="N157" s="29"/>
      <c r="O157" s="29"/>
      <c r="P157" s="29"/>
      <c r="Q157" s="29"/>
      <c r="R157" s="29"/>
      <c r="S157" s="29"/>
      <c r="T157" s="29"/>
      <c r="U157" s="29"/>
      <c r="V157" s="29"/>
      <c r="W157" s="29"/>
      <c r="X157" s="29"/>
      <c r="Y157" s="29"/>
      <c r="Z157" s="29"/>
      <c r="AA157" s="29"/>
      <c r="AB157" s="29"/>
      <c r="AC157" s="29"/>
      <c r="AD157" s="29"/>
      <c r="AE157" s="29"/>
    </row>
    <row r="158" spans="2:31" ht="15" x14ac:dyDescent="0.25">
      <c r="B158" s="29"/>
      <c r="C158" s="29"/>
      <c r="D158" s="29"/>
      <c r="F158" s="29"/>
      <c r="G158" s="29"/>
      <c r="H158" s="29"/>
      <c r="I158" s="29"/>
      <c r="J158" s="29"/>
      <c r="K158" s="29"/>
      <c r="L158" s="29"/>
      <c r="M158" s="29"/>
      <c r="N158" s="29"/>
      <c r="O158" s="29"/>
      <c r="P158" s="29"/>
      <c r="Q158" s="29"/>
      <c r="R158" s="29"/>
      <c r="S158" s="29"/>
      <c r="T158" s="29"/>
      <c r="U158" s="29"/>
      <c r="V158" s="29"/>
      <c r="W158" s="29"/>
      <c r="X158" s="29"/>
      <c r="Y158" s="29"/>
      <c r="Z158" s="29"/>
      <c r="AA158" s="29"/>
      <c r="AB158" s="29"/>
      <c r="AC158" s="29"/>
      <c r="AD158" s="29"/>
      <c r="AE158" s="29"/>
    </row>
    <row r="159" spans="2:31" ht="15" x14ac:dyDescent="0.25">
      <c r="B159" s="29"/>
      <c r="C159" s="29"/>
      <c r="D159" s="29"/>
      <c r="F159" s="29"/>
      <c r="G159" s="29"/>
      <c r="H159" s="29"/>
      <c r="I159" s="29"/>
      <c r="J159" s="29"/>
      <c r="K159" s="29"/>
      <c r="L159" s="29"/>
      <c r="M159" s="29"/>
      <c r="N159" s="29"/>
      <c r="O159" s="29"/>
      <c r="P159" s="29"/>
      <c r="Q159" s="29"/>
      <c r="R159" s="29"/>
      <c r="S159" s="29"/>
      <c r="T159" s="29"/>
      <c r="U159" s="29"/>
      <c r="V159" s="29"/>
      <c r="W159" s="29"/>
      <c r="X159" s="29"/>
      <c r="Y159" s="29"/>
      <c r="Z159" s="29"/>
      <c r="AA159" s="29"/>
      <c r="AB159" s="29"/>
      <c r="AC159" s="29"/>
      <c r="AD159" s="29"/>
      <c r="AE159" s="29"/>
    </row>
    <row r="160" spans="2:31" ht="15" x14ac:dyDescent="0.25">
      <c r="B160" s="29"/>
      <c r="C160" s="29"/>
      <c r="D160" s="29"/>
      <c r="F160" s="29"/>
      <c r="G160" s="29"/>
      <c r="H160" s="29"/>
      <c r="I160" s="29"/>
      <c r="J160" s="29"/>
      <c r="K160" s="29"/>
      <c r="L160" s="29"/>
      <c r="M160" s="29"/>
      <c r="N160" s="29"/>
      <c r="O160" s="29"/>
      <c r="P160" s="29"/>
      <c r="Q160" s="29"/>
      <c r="R160" s="29"/>
      <c r="S160" s="29"/>
      <c r="T160" s="29"/>
      <c r="U160" s="29"/>
      <c r="V160" s="29"/>
      <c r="W160" s="29"/>
      <c r="X160" s="29"/>
      <c r="Y160" s="29"/>
      <c r="Z160" s="29"/>
      <c r="AA160" s="29"/>
      <c r="AB160" s="29"/>
      <c r="AC160" s="29"/>
      <c r="AD160" s="29"/>
      <c r="AE160" s="29"/>
    </row>
    <row r="161" spans="2:31" ht="15" x14ac:dyDescent="0.25">
      <c r="B161" s="29"/>
      <c r="C161" s="29"/>
      <c r="D161" s="29"/>
      <c r="F161" s="29"/>
      <c r="G161" s="29"/>
      <c r="H161" s="29"/>
      <c r="I161" s="29"/>
      <c r="J161" s="29"/>
      <c r="K161" s="29"/>
      <c r="L161" s="29"/>
      <c r="M161" s="29"/>
      <c r="N161" s="29"/>
      <c r="O161" s="29"/>
      <c r="P161" s="29"/>
      <c r="Q161" s="29"/>
      <c r="R161" s="29"/>
      <c r="S161" s="29"/>
      <c r="T161" s="29"/>
      <c r="U161" s="29"/>
      <c r="V161" s="29"/>
      <c r="W161" s="29"/>
      <c r="X161" s="29"/>
      <c r="Y161" s="29"/>
      <c r="Z161" s="29"/>
      <c r="AA161" s="29"/>
      <c r="AB161" s="29"/>
      <c r="AC161" s="29"/>
      <c r="AD161" s="29"/>
      <c r="AE161" s="29"/>
    </row>
    <row r="162" spans="2:31" ht="15" x14ac:dyDescent="0.25">
      <c r="B162" s="29"/>
      <c r="C162" s="29"/>
      <c r="D162" s="29"/>
      <c r="F162" s="29"/>
      <c r="G162" s="29"/>
      <c r="H162" s="29"/>
      <c r="I162" s="29"/>
      <c r="J162" s="29"/>
      <c r="K162" s="29"/>
      <c r="L162" s="29"/>
      <c r="M162" s="29"/>
      <c r="N162" s="29"/>
      <c r="O162" s="29"/>
      <c r="P162" s="29"/>
      <c r="Q162" s="29"/>
      <c r="R162" s="29"/>
      <c r="S162" s="29"/>
      <c r="T162" s="29"/>
      <c r="U162" s="29"/>
      <c r="V162" s="29"/>
      <c r="W162" s="29"/>
      <c r="X162" s="29"/>
      <c r="Y162" s="29"/>
      <c r="Z162" s="29"/>
      <c r="AA162" s="29"/>
      <c r="AB162" s="29"/>
      <c r="AC162" s="29"/>
      <c r="AD162" s="29"/>
      <c r="AE162" s="29"/>
    </row>
    <row r="163" spans="2:31" ht="15" x14ac:dyDescent="0.25">
      <c r="B163" s="29"/>
      <c r="C163" s="29"/>
      <c r="D163" s="29"/>
      <c r="F163" s="29"/>
      <c r="G163" s="29"/>
      <c r="H163" s="29"/>
      <c r="I163" s="29"/>
      <c r="J163" s="29"/>
      <c r="K163" s="29"/>
      <c r="L163" s="29"/>
      <c r="M163" s="29"/>
      <c r="N163" s="29"/>
      <c r="O163" s="29"/>
      <c r="P163" s="29"/>
      <c r="Q163" s="29"/>
      <c r="R163" s="29"/>
      <c r="S163" s="29"/>
      <c r="T163" s="29"/>
      <c r="U163" s="29"/>
      <c r="V163" s="29"/>
      <c r="W163" s="29"/>
      <c r="X163" s="29"/>
      <c r="Y163" s="29"/>
      <c r="Z163" s="29"/>
      <c r="AA163" s="29"/>
      <c r="AB163" s="29"/>
      <c r="AC163" s="29"/>
      <c r="AD163" s="29"/>
      <c r="AE163" s="29"/>
    </row>
    <row r="164" spans="2:31" ht="15" x14ac:dyDescent="0.25">
      <c r="B164" s="29"/>
      <c r="C164" s="29"/>
      <c r="D164" s="29"/>
      <c r="F164" s="29"/>
      <c r="G164" s="29"/>
      <c r="H164" s="29"/>
      <c r="I164" s="29"/>
      <c r="J164" s="29"/>
      <c r="K164" s="29"/>
      <c r="L164" s="29"/>
      <c r="M164" s="29"/>
      <c r="N164" s="29"/>
      <c r="O164" s="29"/>
      <c r="P164" s="29"/>
      <c r="Q164" s="29"/>
      <c r="R164" s="29"/>
      <c r="S164" s="29"/>
      <c r="T164" s="29"/>
      <c r="U164" s="29"/>
      <c r="V164" s="29"/>
      <c r="W164" s="29"/>
      <c r="X164" s="29"/>
      <c r="Y164" s="29"/>
      <c r="Z164" s="29"/>
      <c r="AA164" s="29"/>
      <c r="AB164" s="29"/>
      <c r="AC164" s="29"/>
      <c r="AD164" s="29"/>
      <c r="AE164" s="29"/>
    </row>
    <row r="165" spans="2:31" ht="15" x14ac:dyDescent="0.25">
      <c r="B165" s="29"/>
      <c r="C165" s="29"/>
      <c r="D165" s="29"/>
      <c r="F165" s="29"/>
      <c r="G165" s="29"/>
      <c r="H165" s="29"/>
      <c r="I165" s="29"/>
      <c r="J165" s="29"/>
      <c r="K165" s="29"/>
      <c r="L165" s="29"/>
      <c r="M165" s="29"/>
      <c r="N165" s="29"/>
      <c r="O165" s="29"/>
      <c r="P165" s="29"/>
      <c r="Q165" s="29"/>
      <c r="R165" s="29"/>
      <c r="S165" s="29"/>
      <c r="T165" s="29"/>
      <c r="U165" s="29"/>
      <c r="V165" s="29"/>
      <c r="W165" s="29"/>
      <c r="X165" s="29"/>
      <c r="Y165" s="29"/>
      <c r="Z165" s="29"/>
      <c r="AA165" s="29"/>
      <c r="AB165" s="29"/>
      <c r="AC165" s="29"/>
      <c r="AD165" s="29"/>
      <c r="AE165" s="29"/>
    </row>
    <row r="166" spans="2:31" ht="15" x14ac:dyDescent="0.25">
      <c r="B166" s="29"/>
      <c r="C166" s="29"/>
      <c r="D166" s="29"/>
      <c r="F166" s="29"/>
      <c r="G166" s="29"/>
      <c r="H166" s="29"/>
      <c r="I166" s="29"/>
      <c r="J166" s="29"/>
      <c r="K166" s="29"/>
      <c r="L166" s="29"/>
      <c r="M166" s="29"/>
      <c r="N166" s="29"/>
      <c r="O166" s="29"/>
      <c r="P166" s="29"/>
      <c r="Q166" s="29"/>
      <c r="R166" s="29"/>
      <c r="S166" s="29"/>
      <c r="T166" s="29"/>
      <c r="U166" s="29"/>
      <c r="V166" s="29"/>
      <c r="W166" s="29"/>
      <c r="X166" s="29"/>
      <c r="Y166" s="29"/>
      <c r="Z166" s="29"/>
      <c r="AA166" s="29"/>
      <c r="AB166" s="29"/>
      <c r="AC166" s="29"/>
      <c r="AD166" s="29"/>
      <c r="AE166" s="29"/>
    </row>
    <row r="167" spans="2:31" ht="15" x14ac:dyDescent="0.25">
      <c r="B167" s="29"/>
      <c r="C167" s="29"/>
      <c r="D167" s="29"/>
      <c r="F167" s="29"/>
      <c r="G167" s="29"/>
      <c r="H167" s="29"/>
      <c r="I167" s="29"/>
      <c r="J167" s="29"/>
      <c r="K167" s="29"/>
      <c r="L167" s="29"/>
      <c r="M167" s="29"/>
      <c r="N167" s="29"/>
      <c r="O167" s="29"/>
      <c r="P167" s="29"/>
      <c r="Q167" s="29"/>
      <c r="R167" s="29"/>
      <c r="S167" s="29"/>
      <c r="T167" s="29"/>
      <c r="U167" s="29"/>
      <c r="V167" s="29"/>
      <c r="W167" s="29"/>
      <c r="X167" s="29"/>
      <c r="Y167" s="29"/>
      <c r="Z167" s="29"/>
      <c r="AA167" s="29"/>
      <c r="AB167" s="29"/>
      <c r="AC167" s="29"/>
      <c r="AD167" s="29"/>
      <c r="AE167" s="29"/>
    </row>
    <row r="168" spans="2:31" ht="15" x14ac:dyDescent="0.25">
      <c r="B168" s="29"/>
      <c r="C168" s="29"/>
      <c r="D168" s="29"/>
      <c r="F168" s="29"/>
      <c r="G168" s="29"/>
      <c r="H168" s="29"/>
      <c r="I168" s="29"/>
      <c r="J168" s="29"/>
      <c r="K168" s="29"/>
      <c r="L168" s="29"/>
      <c r="M168" s="29"/>
      <c r="N168" s="29"/>
      <c r="O168" s="29"/>
      <c r="P168" s="29"/>
      <c r="Q168" s="29"/>
      <c r="R168" s="29"/>
      <c r="S168" s="29"/>
      <c r="T168" s="29"/>
      <c r="U168" s="29"/>
      <c r="V168" s="29"/>
      <c r="W168" s="29"/>
      <c r="X168" s="29"/>
      <c r="Y168" s="29"/>
      <c r="Z168" s="29"/>
      <c r="AA168" s="29"/>
      <c r="AB168" s="29"/>
      <c r="AC168" s="29"/>
      <c r="AD168" s="29"/>
      <c r="AE168" s="29"/>
    </row>
    <row r="169" spans="2:31" ht="15" x14ac:dyDescent="0.25">
      <c r="F169" s="29"/>
      <c r="G169" s="29"/>
      <c r="H169" s="29"/>
      <c r="I169" s="29"/>
      <c r="J169" s="29"/>
      <c r="K169" s="29"/>
      <c r="L169" s="29"/>
      <c r="M169" s="29"/>
      <c r="N169" s="29"/>
      <c r="O169" s="29"/>
      <c r="P169" s="29"/>
      <c r="Q169" s="29"/>
      <c r="R169" s="29"/>
      <c r="S169" s="29"/>
      <c r="T169" s="29"/>
      <c r="U169" s="29"/>
      <c r="V169" s="29"/>
      <c r="W169" s="29"/>
      <c r="X169" s="29"/>
      <c r="Y169" s="29"/>
      <c r="Z169" s="29"/>
      <c r="AA169" s="29"/>
      <c r="AB169" s="29"/>
      <c r="AC169" s="29"/>
      <c r="AD169" s="29"/>
      <c r="AE169" s="29"/>
    </row>
    <row r="170" spans="2:31" ht="15" x14ac:dyDescent="0.25">
      <c r="F170" s="29"/>
      <c r="G170" s="29"/>
      <c r="H170" s="29"/>
      <c r="I170" s="29"/>
      <c r="J170" s="29"/>
      <c r="K170" s="29"/>
      <c r="L170" s="29"/>
      <c r="M170" s="29"/>
      <c r="N170" s="29"/>
      <c r="O170" s="29"/>
      <c r="P170" s="29"/>
      <c r="Q170" s="29"/>
      <c r="R170" s="29"/>
      <c r="S170" s="29"/>
      <c r="T170" s="29"/>
      <c r="U170" s="29"/>
      <c r="V170" s="29"/>
      <c r="W170" s="29"/>
      <c r="X170" s="29"/>
      <c r="Y170" s="29"/>
      <c r="Z170" s="29"/>
      <c r="AA170" s="29"/>
      <c r="AB170" s="29"/>
      <c r="AC170" s="29"/>
      <c r="AD170" s="29"/>
      <c r="AE170" s="29"/>
    </row>
    <row r="171" spans="2:31" ht="15" x14ac:dyDescent="0.25">
      <c r="F171" s="29"/>
      <c r="G171" s="29"/>
      <c r="H171" s="29"/>
      <c r="I171" s="29"/>
      <c r="J171" s="29"/>
      <c r="K171" s="29"/>
      <c r="L171" s="29"/>
      <c r="M171" s="29"/>
      <c r="N171" s="29"/>
      <c r="O171" s="29"/>
      <c r="P171" s="29"/>
      <c r="Q171" s="29"/>
      <c r="R171" s="29"/>
      <c r="S171" s="29"/>
      <c r="T171" s="29"/>
      <c r="U171" s="29"/>
      <c r="V171" s="29"/>
      <c r="W171" s="29"/>
      <c r="X171" s="29"/>
      <c r="Y171" s="29"/>
      <c r="Z171" s="29"/>
      <c r="AA171" s="29"/>
      <c r="AB171" s="29"/>
      <c r="AC171" s="29"/>
      <c r="AD171" s="29"/>
      <c r="AE171" s="29"/>
    </row>
    <row r="172" spans="2:31" ht="15" x14ac:dyDescent="0.25">
      <c r="F172" s="29"/>
      <c r="G172" s="29"/>
      <c r="H172" s="29"/>
      <c r="I172" s="29"/>
      <c r="J172" s="29"/>
      <c r="K172" s="29"/>
      <c r="L172" s="29"/>
      <c r="M172" s="29"/>
      <c r="N172" s="29"/>
      <c r="O172" s="29"/>
      <c r="P172" s="29"/>
      <c r="Q172" s="29"/>
      <c r="R172" s="29"/>
      <c r="S172" s="29"/>
      <c r="T172" s="29"/>
      <c r="U172" s="29"/>
      <c r="V172" s="29"/>
      <c r="W172" s="29"/>
      <c r="X172" s="29"/>
      <c r="Y172" s="29"/>
      <c r="Z172" s="29"/>
      <c r="AA172" s="29"/>
      <c r="AB172" s="29"/>
      <c r="AC172" s="29"/>
      <c r="AD172" s="29"/>
      <c r="AE172" s="29"/>
    </row>
    <row r="173" spans="2:31" ht="15" x14ac:dyDescent="0.25">
      <c r="F173" s="29"/>
      <c r="G173" s="29"/>
      <c r="H173" s="29"/>
      <c r="I173" s="29"/>
      <c r="J173" s="29"/>
      <c r="K173" s="29"/>
      <c r="L173" s="29"/>
      <c r="M173" s="29"/>
      <c r="N173" s="29"/>
      <c r="O173" s="29"/>
      <c r="P173" s="29"/>
      <c r="Q173" s="29"/>
      <c r="R173" s="29"/>
      <c r="S173" s="29"/>
      <c r="T173" s="29"/>
      <c r="U173" s="29"/>
      <c r="V173" s="29"/>
      <c r="W173" s="29"/>
      <c r="X173" s="29"/>
      <c r="Y173" s="29"/>
      <c r="Z173" s="29"/>
      <c r="AA173" s="29"/>
      <c r="AB173" s="29"/>
      <c r="AC173" s="29"/>
      <c r="AD173" s="29"/>
      <c r="AE173" s="29"/>
    </row>
    <row r="174" spans="2:31" ht="15" x14ac:dyDescent="0.25">
      <c r="F174" s="29"/>
      <c r="G174" s="29"/>
      <c r="H174" s="29"/>
      <c r="I174" s="29"/>
      <c r="J174" s="29"/>
      <c r="K174" s="29"/>
      <c r="L174" s="29"/>
      <c r="M174" s="29"/>
      <c r="N174" s="29"/>
      <c r="O174" s="29"/>
      <c r="P174" s="29"/>
      <c r="Q174" s="29"/>
      <c r="R174" s="29"/>
      <c r="S174" s="29"/>
      <c r="T174" s="29"/>
      <c r="U174" s="29"/>
      <c r="V174" s="29"/>
      <c r="W174" s="29"/>
      <c r="X174" s="29"/>
      <c r="Y174" s="29"/>
      <c r="Z174" s="29"/>
      <c r="AA174" s="29"/>
      <c r="AB174" s="29"/>
      <c r="AC174" s="29"/>
      <c r="AD174" s="29"/>
      <c r="AE174" s="29"/>
    </row>
    <row r="175" spans="2:31" ht="15" x14ac:dyDescent="0.25">
      <c r="F175" s="29"/>
      <c r="G175" s="29"/>
      <c r="H175" s="29"/>
      <c r="I175" s="29"/>
      <c r="J175" s="29"/>
      <c r="K175" s="29"/>
      <c r="L175" s="29"/>
      <c r="M175" s="29"/>
      <c r="N175" s="29"/>
      <c r="O175" s="29"/>
      <c r="P175" s="29"/>
      <c r="Q175" s="29"/>
      <c r="R175" s="29"/>
      <c r="S175" s="29"/>
      <c r="T175" s="29"/>
      <c r="U175" s="29"/>
      <c r="V175" s="29"/>
      <c r="W175" s="29"/>
      <c r="X175" s="29"/>
      <c r="Y175" s="29"/>
      <c r="Z175" s="29"/>
      <c r="AA175" s="29"/>
      <c r="AB175" s="29"/>
      <c r="AC175" s="29"/>
      <c r="AD175" s="29"/>
      <c r="AE175" s="29"/>
    </row>
    <row r="176" spans="2:31" ht="15" x14ac:dyDescent="0.25">
      <c r="F176" s="29"/>
      <c r="G176" s="29"/>
      <c r="H176" s="29"/>
      <c r="I176" s="29"/>
      <c r="J176" s="29"/>
      <c r="K176" s="29"/>
      <c r="L176" s="29"/>
      <c r="M176" s="29"/>
      <c r="N176" s="29"/>
      <c r="O176" s="29"/>
      <c r="P176" s="29"/>
      <c r="Q176" s="29"/>
      <c r="R176" s="29"/>
      <c r="S176" s="29"/>
      <c r="T176" s="29"/>
      <c r="U176" s="29"/>
      <c r="V176" s="29"/>
      <c r="W176" s="29"/>
      <c r="X176" s="29"/>
      <c r="Y176" s="29"/>
      <c r="Z176" s="29"/>
      <c r="AA176" s="29"/>
      <c r="AB176" s="29"/>
      <c r="AC176" s="29"/>
      <c r="AD176" s="29"/>
      <c r="AE176" s="29"/>
    </row>
    <row r="177" spans="6:31" ht="15" x14ac:dyDescent="0.25">
      <c r="F177" s="29"/>
      <c r="G177" s="29"/>
      <c r="H177" s="29"/>
      <c r="I177" s="29"/>
      <c r="J177" s="29"/>
      <c r="K177" s="29"/>
      <c r="L177" s="29"/>
      <c r="M177" s="29"/>
      <c r="N177" s="29"/>
      <c r="O177" s="29"/>
      <c r="P177" s="29"/>
      <c r="Q177" s="29"/>
      <c r="R177" s="29"/>
      <c r="S177" s="29"/>
      <c r="T177" s="29"/>
      <c r="U177" s="29"/>
      <c r="V177" s="29"/>
      <c r="W177" s="29"/>
      <c r="X177" s="29"/>
      <c r="Y177" s="29"/>
      <c r="Z177" s="29"/>
      <c r="AA177" s="29"/>
      <c r="AB177" s="29"/>
      <c r="AC177" s="29"/>
      <c r="AD177" s="29"/>
      <c r="AE177" s="29"/>
    </row>
    <row r="178" spans="6:31" ht="15" x14ac:dyDescent="0.25">
      <c r="F178" s="29"/>
      <c r="G178" s="29"/>
      <c r="H178" s="29"/>
      <c r="I178" s="29"/>
      <c r="J178" s="29"/>
      <c r="K178" s="29"/>
      <c r="L178" s="29"/>
      <c r="M178" s="29"/>
      <c r="N178" s="29"/>
      <c r="O178" s="29"/>
      <c r="P178" s="29"/>
      <c r="Q178" s="29"/>
      <c r="R178" s="29"/>
      <c r="S178" s="29"/>
      <c r="T178" s="29"/>
      <c r="U178" s="29"/>
      <c r="V178" s="29"/>
      <c r="W178" s="29"/>
      <c r="X178" s="29"/>
      <c r="Y178" s="29"/>
      <c r="Z178" s="29"/>
      <c r="AA178" s="29"/>
      <c r="AB178" s="29"/>
      <c r="AC178" s="29"/>
      <c r="AD178" s="29"/>
      <c r="AE178" s="29"/>
    </row>
    <row r="179" spans="6:31" ht="15" x14ac:dyDescent="0.25">
      <c r="F179" s="29"/>
      <c r="G179" s="29"/>
      <c r="H179" s="29"/>
      <c r="I179" s="29"/>
      <c r="J179" s="29"/>
      <c r="K179" s="29"/>
      <c r="L179" s="29"/>
      <c r="M179" s="29"/>
      <c r="N179" s="29"/>
      <c r="O179" s="29"/>
      <c r="P179" s="29"/>
      <c r="Q179" s="29"/>
      <c r="R179" s="29"/>
      <c r="S179" s="29"/>
      <c r="T179" s="29"/>
      <c r="U179" s="29"/>
      <c r="V179" s="29"/>
      <c r="W179" s="29"/>
      <c r="X179" s="29"/>
      <c r="Y179" s="29"/>
      <c r="Z179" s="29"/>
      <c r="AA179" s="29"/>
      <c r="AB179" s="29"/>
      <c r="AC179" s="29"/>
      <c r="AD179" s="29"/>
      <c r="AE179" s="29"/>
    </row>
    <row r="180" spans="6:31" ht="15" x14ac:dyDescent="0.25">
      <c r="F180" s="29"/>
      <c r="G180" s="29"/>
      <c r="H180" s="29"/>
      <c r="I180" s="29"/>
      <c r="J180" s="29"/>
      <c r="K180" s="29"/>
      <c r="L180" s="29"/>
      <c r="M180" s="29"/>
      <c r="N180" s="29"/>
      <c r="O180" s="29"/>
      <c r="P180" s="29"/>
      <c r="Q180" s="29"/>
      <c r="R180" s="29"/>
      <c r="S180" s="29"/>
      <c r="T180" s="29"/>
      <c r="U180" s="29"/>
      <c r="V180" s="29"/>
      <c r="W180" s="29"/>
      <c r="X180" s="29"/>
      <c r="Y180" s="29"/>
      <c r="Z180" s="29"/>
      <c r="AA180" s="29"/>
      <c r="AB180" s="29"/>
      <c r="AC180" s="29"/>
      <c r="AD180" s="29"/>
      <c r="AE180" s="29"/>
    </row>
    <row r="181" spans="6:31" ht="15" x14ac:dyDescent="0.25">
      <c r="F181" s="29"/>
      <c r="G181" s="29"/>
      <c r="H181" s="29"/>
      <c r="I181" s="29"/>
      <c r="J181" s="29"/>
      <c r="K181" s="29"/>
      <c r="L181" s="29"/>
      <c r="M181" s="29"/>
      <c r="N181" s="29"/>
      <c r="O181" s="29"/>
      <c r="P181" s="29"/>
      <c r="Q181" s="29"/>
      <c r="R181" s="29"/>
      <c r="S181" s="29"/>
      <c r="T181" s="29"/>
      <c r="U181" s="29"/>
      <c r="V181" s="29"/>
      <c r="W181" s="29"/>
      <c r="X181" s="29"/>
      <c r="Y181" s="29"/>
      <c r="Z181" s="29"/>
      <c r="AA181" s="29"/>
      <c r="AB181" s="29"/>
      <c r="AC181" s="29"/>
      <c r="AD181" s="29"/>
      <c r="AE181" s="29"/>
    </row>
    <row r="182" spans="6:31" ht="15" x14ac:dyDescent="0.25">
      <c r="F182" s="29"/>
      <c r="G182" s="29"/>
      <c r="H182" s="29"/>
      <c r="I182" s="29"/>
      <c r="J182" s="29"/>
      <c r="K182" s="29"/>
      <c r="L182" s="29"/>
      <c r="M182" s="29"/>
      <c r="N182" s="29"/>
      <c r="O182" s="29"/>
      <c r="P182" s="29"/>
      <c r="Q182" s="29"/>
      <c r="R182" s="29"/>
      <c r="S182" s="29"/>
      <c r="T182" s="29"/>
      <c r="U182" s="29"/>
      <c r="V182" s="29"/>
      <c r="W182" s="29"/>
      <c r="X182" s="29"/>
      <c r="Y182" s="29"/>
      <c r="Z182" s="29"/>
      <c r="AA182" s="29"/>
      <c r="AB182" s="29"/>
      <c r="AC182" s="29"/>
      <c r="AD182" s="29"/>
      <c r="AE182" s="29"/>
    </row>
    <row r="183" spans="6:31" ht="15" x14ac:dyDescent="0.25">
      <c r="F183" s="29"/>
      <c r="G183" s="29"/>
      <c r="H183" s="29"/>
      <c r="I183" s="29"/>
      <c r="J183" s="29"/>
      <c r="K183" s="29"/>
      <c r="L183" s="29"/>
      <c r="M183" s="29"/>
      <c r="N183" s="29"/>
      <c r="O183" s="29"/>
      <c r="P183" s="29"/>
      <c r="Q183" s="29"/>
      <c r="R183" s="29"/>
      <c r="S183" s="29"/>
      <c r="T183" s="29"/>
      <c r="U183" s="29"/>
      <c r="V183" s="29"/>
      <c r="W183" s="29"/>
      <c r="X183" s="29"/>
      <c r="Y183" s="29"/>
      <c r="Z183" s="29"/>
      <c r="AA183" s="29"/>
      <c r="AB183" s="29"/>
      <c r="AC183" s="29"/>
      <c r="AD183" s="29"/>
      <c r="AE183" s="29"/>
    </row>
    <row r="184" spans="6:31" ht="15" x14ac:dyDescent="0.25">
      <c r="F184" s="29"/>
      <c r="G184" s="29"/>
      <c r="H184" s="29"/>
      <c r="I184" s="29"/>
      <c r="J184" s="29"/>
      <c r="K184" s="29"/>
      <c r="L184" s="29"/>
      <c r="M184" s="29"/>
      <c r="N184" s="29"/>
      <c r="O184" s="29"/>
      <c r="P184" s="29"/>
      <c r="Q184" s="29"/>
      <c r="R184" s="29"/>
      <c r="S184" s="29"/>
      <c r="T184" s="29"/>
      <c r="U184" s="29"/>
      <c r="V184" s="29"/>
      <c r="W184" s="29"/>
      <c r="X184" s="29"/>
      <c r="Y184" s="29"/>
      <c r="Z184" s="29"/>
      <c r="AA184" s="29"/>
      <c r="AB184" s="29"/>
      <c r="AC184" s="29"/>
      <c r="AD184" s="29"/>
      <c r="AE184" s="29"/>
    </row>
    <row r="185" spans="6:31" ht="15" x14ac:dyDescent="0.25">
      <c r="F185" s="29"/>
      <c r="G185" s="29"/>
      <c r="H185" s="29"/>
      <c r="I185" s="29"/>
      <c r="J185" s="29"/>
      <c r="K185" s="29"/>
      <c r="L185" s="29"/>
      <c r="M185" s="29"/>
      <c r="N185" s="29"/>
      <c r="O185" s="29"/>
      <c r="P185" s="29"/>
      <c r="Q185" s="29"/>
      <c r="R185" s="29"/>
      <c r="S185" s="29"/>
      <c r="T185" s="29"/>
      <c r="U185" s="29"/>
      <c r="V185" s="29"/>
      <c r="W185" s="29"/>
      <c r="X185" s="29"/>
      <c r="Y185" s="29"/>
      <c r="Z185" s="29"/>
      <c r="AA185" s="29"/>
      <c r="AB185" s="29"/>
      <c r="AC185" s="29"/>
      <c r="AD185" s="29"/>
      <c r="AE185" s="29"/>
    </row>
    <row r="186" spans="6:31" ht="15" x14ac:dyDescent="0.25">
      <c r="F186" s="29"/>
      <c r="G186" s="29"/>
      <c r="H186" s="29"/>
      <c r="I186" s="29"/>
      <c r="J186" s="29"/>
      <c r="K186" s="29"/>
      <c r="L186" s="29"/>
      <c r="M186" s="29"/>
      <c r="N186" s="29"/>
      <c r="O186" s="29"/>
      <c r="P186" s="29"/>
      <c r="Q186" s="29"/>
      <c r="R186" s="29"/>
      <c r="S186" s="29"/>
      <c r="T186" s="29"/>
      <c r="U186" s="29"/>
      <c r="V186" s="29"/>
      <c r="W186" s="29"/>
      <c r="X186" s="29"/>
      <c r="Y186" s="29"/>
      <c r="Z186" s="29"/>
      <c r="AA186" s="29"/>
      <c r="AB186" s="29"/>
      <c r="AC186" s="29"/>
      <c r="AD186" s="29"/>
      <c r="AE186" s="29"/>
    </row>
    <row r="187" spans="6:31" ht="15" x14ac:dyDescent="0.25">
      <c r="F187" s="29"/>
      <c r="G187" s="29"/>
      <c r="H187" s="29"/>
      <c r="I187" s="29"/>
      <c r="J187" s="29"/>
      <c r="K187" s="29"/>
      <c r="L187" s="29"/>
      <c r="M187" s="29"/>
      <c r="N187" s="29"/>
      <c r="O187" s="29"/>
      <c r="P187" s="29"/>
      <c r="Q187" s="29"/>
      <c r="R187" s="29"/>
      <c r="S187" s="29"/>
      <c r="T187" s="29"/>
      <c r="U187" s="29"/>
      <c r="V187" s="29"/>
      <c r="W187" s="29"/>
      <c r="X187" s="29"/>
      <c r="Y187" s="29"/>
      <c r="Z187" s="29"/>
      <c r="AA187" s="29"/>
      <c r="AB187" s="29"/>
      <c r="AC187" s="29"/>
      <c r="AD187" s="29"/>
      <c r="AE187" s="29"/>
    </row>
    <row r="188" spans="6:31" ht="15" x14ac:dyDescent="0.25">
      <c r="F188" s="29"/>
      <c r="G188" s="29"/>
      <c r="H188" s="29"/>
      <c r="I188" s="29"/>
      <c r="J188" s="29"/>
      <c r="K188" s="29"/>
      <c r="L188" s="29"/>
      <c r="M188" s="29"/>
      <c r="N188" s="29"/>
      <c r="O188" s="29"/>
      <c r="P188" s="29"/>
      <c r="Q188" s="29"/>
      <c r="R188" s="29"/>
      <c r="S188" s="29"/>
      <c r="T188" s="29"/>
      <c r="U188" s="29"/>
      <c r="V188" s="29"/>
      <c r="W188" s="29"/>
      <c r="X188" s="29"/>
      <c r="Y188" s="29"/>
      <c r="Z188" s="29"/>
      <c r="AA188" s="29"/>
      <c r="AB188" s="29"/>
      <c r="AC188" s="29"/>
      <c r="AD188" s="29"/>
      <c r="AE188" s="29"/>
    </row>
    <row r="189" spans="6:31" ht="15" x14ac:dyDescent="0.25">
      <c r="F189" s="29"/>
      <c r="G189" s="29"/>
      <c r="H189" s="29"/>
      <c r="I189" s="29"/>
      <c r="J189" s="29"/>
      <c r="K189" s="29"/>
      <c r="L189" s="29"/>
      <c r="M189" s="29"/>
      <c r="N189" s="29"/>
      <c r="O189" s="29"/>
      <c r="P189" s="29"/>
      <c r="Q189" s="29"/>
      <c r="R189" s="29"/>
      <c r="S189" s="29"/>
      <c r="T189" s="29"/>
      <c r="U189" s="29"/>
      <c r="V189" s="29"/>
      <c r="W189" s="29"/>
      <c r="X189" s="29"/>
      <c r="Y189" s="29"/>
      <c r="Z189" s="29"/>
      <c r="AA189" s="29"/>
      <c r="AB189" s="29"/>
      <c r="AC189" s="29"/>
      <c r="AD189" s="29"/>
      <c r="AE189" s="29"/>
    </row>
    <row r="190" spans="6:31" ht="15" x14ac:dyDescent="0.25">
      <c r="F190" s="29"/>
      <c r="G190" s="29"/>
      <c r="H190" s="29"/>
      <c r="I190" s="29"/>
      <c r="J190" s="29"/>
      <c r="K190" s="29"/>
      <c r="L190" s="29"/>
      <c r="M190" s="29"/>
      <c r="N190" s="29"/>
      <c r="O190" s="29"/>
      <c r="P190" s="29"/>
      <c r="Q190" s="29"/>
      <c r="R190" s="29"/>
      <c r="S190" s="29"/>
      <c r="T190" s="29"/>
      <c r="U190" s="29"/>
      <c r="V190" s="29"/>
      <c r="W190" s="29"/>
      <c r="X190" s="29"/>
      <c r="Y190" s="29"/>
      <c r="Z190" s="29"/>
      <c r="AA190" s="29"/>
      <c r="AB190" s="29"/>
      <c r="AC190" s="29"/>
      <c r="AD190" s="29"/>
      <c r="AE190" s="29"/>
    </row>
    <row r="191" spans="6:31" ht="15" x14ac:dyDescent="0.25">
      <c r="F191" s="29"/>
      <c r="G191" s="29"/>
      <c r="H191" s="29"/>
      <c r="I191" s="29"/>
      <c r="J191" s="29"/>
      <c r="K191" s="29"/>
      <c r="L191" s="29"/>
      <c r="M191" s="29"/>
      <c r="N191" s="29"/>
      <c r="O191" s="29"/>
      <c r="P191" s="29"/>
      <c r="Q191" s="29"/>
      <c r="R191" s="29"/>
      <c r="S191" s="29"/>
      <c r="T191" s="29"/>
      <c r="U191" s="29"/>
      <c r="V191" s="29"/>
      <c r="W191" s="29"/>
      <c r="X191" s="29"/>
      <c r="Y191" s="29"/>
      <c r="Z191" s="29"/>
      <c r="AA191" s="29"/>
      <c r="AB191" s="29"/>
      <c r="AC191" s="29"/>
      <c r="AD191" s="29"/>
      <c r="AE191" s="29"/>
    </row>
    <row r="192" spans="6:31" ht="15" x14ac:dyDescent="0.25">
      <c r="F192" s="29"/>
      <c r="G192" s="29"/>
      <c r="H192" s="29"/>
      <c r="I192" s="29"/>
      <c r="J192" s="29"/>
      <c r="K192" s="29"/>
      <c r="L192" s="29"/>
      <c r="M192" s="29"/>
      <c r="N192" s="29"/>
      <c r="O192" s="29"/>
      <c r="P192" s="29"/>
      <c r="Q192" s="29"/>
      <c r="R192" s="29"/>
      <c r="S192" s="29"/>
      <c r="T192" s="29"/>
      <c r="U192" s="29"/>
      <c r="V192" s="29"/>
      <c r="W192" s="29"/>
      <c r="X192" s="29"/>
      <c r="Y192" s="29"/>
      <c r="Z192" s="29"/>
      <c r="AA192" s="29"/>
      <c r="AB192" s="29"/>
      <c r="AC192" s="29"/>
      <c r="AD192" s="29"/>
      <c r="AE192" s="29"/>
    </row>
    <row r="193" spans="6:31" ht="15" x14ac:dyDescent="0.25">
      <c r="F193" s="29"/>
      <c r="G193" s="29"/>
      <c r="H193" s="29"/>
      <c r="I193" s="29"/>
      <c r="J193" s="29"/>
      <c r="K193" s="29"/>
      <c r="L193" s="29"/>
      <c r="M193" s="29"/>
      <c r="N193" s="29"/>
      <c r="O193" s="29"/>
      <c r="P193" s="29"/>
      <c r="Q193" s="29"/>
      <c r="R193" s="29"/>
      <c r="S193" s="29"/>
      <c r="T193" s="29"/>
      <c r="U193" s="29"/>
      <c r="V193" s="29"/>
      <c r="W193" s="29"/>
      <c r="X193" s="29"/>
      <c r="Y193" s="29"/>
      <c r="Z193" s="29"/>
      <c r="AA193" s="29"/>
      <c r="AB193" s="29"/>
      <c r="AC193" s="29"/>
      <c r="AD193" s="29"/>
      <c r="AE193" s="29"/>
    </row>
    <row r="194" spans="6:31" ht="15" x14ac:dyDescent="0.25">
      <c r="F194" s="29"/>
      <c r="G194" s="29"/>
      <c r="H194" s="29"/>
      <c r="I194" s="29"/>
      <c r="J194" s="29"/>
      <c r="K194" s="29"/>
      <c r="L194" s="29"/>
      <c r="M194" s="29"/>
      <c r="N194" s="29"/>
      <c r="O194" s="29"/>
      <c r="P194" s="29"/>
      <c r="Q194" s="29"/>
      <c r="R194" s="29"/>
      <c r="S194" s="29"/>
      <c r="T194" s="29"/>
      <c r="U194" s="29"/>
      <c r="V194" s="29"/>
      <c r="W194" s="29"/>
      <c r="X194" s="29"/>
      <c r="Y194" s="29"/>
      <c r="Z194" s="29"/>
      <c r="AA194" s="29"/>
      <c r="AB194" s="29"/>
      <c r="AC194" s="29"/>
      <c r="AD194" s="29"/>
      <c r="AE194" s="29"/>
    </row>
    <row r="195" spans="6:31" ht="15" x14ac:dyDescent="0.25">
      <c r="F195" s="29"/>
      <c r="G195" s="29"/>
      <c r="H195" s="29"/>
      <c r="I195" s="29"/>
      <c r="J195" s="29"/>
      <c r="K195" s="29"/>
      <c r="L195" s="29"/>
      <c r="M195" s="29"/>
      <c r="N195" s="29"/>
      <c r="O195" s="29"/>
      <c r="P195" s="29"/>
      <c r="Q195" s="29"/>
      <c r="R195" s="29"/>
      <c r="S195" s="29"/>
      <c r="T195" s="29"/>
      <c r="U195" s="29"/>
      <c r="V195" s="29"/>
      <c r="W195" s="29"/>
      <c r="X195" s="29"/>
      <c r="Y195" s="29"/>
      <c r="Z195" s="29"/>
      <c r="AA195" s="29"/>
      <c r="AB195" s="29"/>
      <c r="AC195" s="29"/>
      <c r="AD195" s="29"/>
      <c r="AE195" s="29"/>
    </row>
    <row r="196" spans="6:31" ht="16.5" x14ac:dyDescent="0.25">
      <c r="F196" s="22"/>
      <c r="G196" s="22"/>
      <c r="H196" s="22"/>
      <c r="I196" s="22"/>
      <c r="J196" s="22"/>
      <c r="K196" s="22"/>
      <c r="L196" s="22"/>
      <c r="M196" s="22"/>
      <c r="N196" s="29"/>
      <c r="O196" s="29"/>
      <c r="P196" s="29"/>
      <c r="Q196" s="29"/>
      <c r="R196" s="29"/>
      <c r="S196" s="29"/>
      <c r="T196" s="29"/>
      <c r="U196" s="29"/>
      <c r="V196" s="29"/>
      <c r="W196" s="29"/>
      <c r="X196" s="29"/>
      <c r="Y196" s="29"/>
      <c r="Z196" s="29"/>
      <c r="AA196" s="29"/>
      <c r="AB196" s="29"/>
      <c r="AC196" s="29"/>
      <c r="AD196" s="29"/>
      <c r="AE196" s="29"/>
    </row>
    <row r="197" spans="6:31" ht="16.5" x14ac:dyDescent="0.25">
      <c r="F197" s="22"/>
      <c r="G197" s="22"/>
      <c r="H197" s="22"/>
      <c r="I197" s="22"/>
      <c r="J197" s="22"/>
      <c r="K197" s="22"/>
      <c r="L197" s="22"/>
      <c r="M197" s="22"/>
      <c r="N197" s="29"/>
      <c r="O197" s="29"/>
      <c r="P197" s="29"/>
      <c r="Q197" s="29"/>
      <c r="R197" s="29"/>
      <c r="S197" s="29"/>
      <c r="T197" s="29"/>
      <c r="U197" s="29"/>
      <c r="V197" s="29"/>
      <c r="W197" s="29"/>
      <c r="X197" s="29"/>
      <c r="Y197" s="29"/>
      <c r="Z197" s="29"/>
      <c r="AA197" s="29"/>
      <c r="AB197" s="29"/>
      <c r="AC197" s="29"/>
      <c r="AD197" s="29"/>
      <c r="AE197" s="29"/>
    </row>
    <row r="198" spans="6:31" ht="16.5" x14ac:dyDescent="0.25">
      <c r="F198" s="22"/>
      <c r="G198" s="22"/>
      <c r="H198" s="22"/>
      <c r="I198" s="22"/>
      <c r="J198" s="22"/>
      <c r="K198" s="22"/>
      <c r="L198" s="22"/>
      <c r="M198" s="22"/>
      <c r="N198" s="29"/>
      <c r="O198" s="29"/>
      <c r="P198" s="29"/>
      <c r="Q198" s="29"/>
      <c r="R198" s="29"/>
      <c r="S198" s="29"/>
      <c r="T198" s="29"/>
      <c r="U198" s="29"/>
      <c r="V198" s="29"/>
      <c r="W198" s="29"/>
      <c r="X198" s="29"/>
      <c r="Y198" s="29"/>
      <c r="Z198" s="29"/>
      <c r="AA198" s="29"/>
      <c r="AB198" s="29"/>
      <c r="AC198" s="29"/>
      <c r="AD198" s="29"/>
      <c r="AE198" s="29"/>
    </row>
    <row r="199" spans="6:31" ht="16.5" x14ac:dyDescent="0.25">
      <c r="F199" s="22"/>
      <c r="G199" s="22"/>
      <c r="H199" s="22"/>
      <c r="I199" s="22"/>
      <c r="J199" s="22"/>
      <c r="K199" s="22"/>
      <c r="L199" s="22"/>
      <c r="M199" s="22"/>
      <c r="N199" s="29"/>
      <c r="O199" s="29"/>
      <c r="P199" s="29"/>
      <c r="Q199" s="29"/>
      <c r="R199" s="29"/>
      <c r="S199" s="29"/>
      <c r="T199" s="29"/>
      <c r="U199" s="29"/>
      <c r="V199" s="29"/>
      <c r="W199" s="29"/>
      <c r="X199" s="29"/>
      <c r="Y199" s="29"/>
      <c r="Z199" s="29"/>
      <c r="AA199" s="29"/>
      <c r="AB199" s="29"/>
      <c r="AC199" s="29"/>
      <c r="AD199" s="29"/>
      <c r="AE199" s="29"/>
    </row>
    <row r="200" spans="6:31" ht="16.5" x14ac:dyDescent="0.25">
      <c r="F200" s="22"/>
      <c r="G200" s="22"/>
      <c r="H200" s="22"/>
      <c r="I200" s="22"/>
      <c r="J200" s="22"/>
      <c r="K200" s="22"/>
      <c r="L200" s="22"/>
      <c r="M200" s="22"/>
      <c r="N200" s="29"/>
      <c r="O200" s="29"/>
      <c r="P200" s="29"/>
      <c r="Q200" s="29"/>
      <c r="R200" s="29"/>
      <c r="S200" s="29"/>
      <c r="T200" s="29"/>
      <c r="U200" s="29"/>
      <c r="V200" s="29"/>
      <c r="W200" s="29"/>
      <c r="X200" s="29"/>
      <c r="Y200" s="29"/>
      <c r="Z200" s="29"/>
      <c r="AA200" s="29"/>
      <c r="AB200" s="29"/>
      <c r="AC200" s="29"/>
      <c r="AD200" s="29"/>
      <c r="AE200" s="29"/>
    </row>
    <row r="201" spans="6:31" ht="16.5" x14ac:dyDescent="0.25">
      <c r="F201" s="22"/>
      <c r="G201" s="22"/>
      <c r="H201" s="22"/>
      <c r="I201" s="22"/>
      <c r="J201" s="22"/>
      <c r="K201" s="22"/>
      <c r="L201" s="22"/>
      <c r="M201" s="22"/>
      <c r="N201" s="29"/>
      <c r="O201" s="29"/>
      <c r="P201" s="29"/>
      <c r="Q201" s="29"/>
      <c r="R201" s="29"/>
      <c r="S201" s="29"/>
      <c r="T201" s="29"/>
      <c r="U201" s="29"/>
      <c r="V201" s="29"/>
      <c r="W201" s="29"/>
      <c r="X201" s="29"/>
      <c r="Y201" s="29"/>
      <c r="Z201" s="29"/>
      <c r="AA201" s="29"/>
      <c r="AB201" s="29"/>
      <c r="AC201" s="29"/>
      <c r="AD201" s="29"/>
      <c r="AE201" s="29"/>
    </row>
    <row r="202" spans="6:31" ht="16.5" x14ac:dyDescent="0.25">
      <c r="F202" s="22"/>
      <c r="G202" s="22"/>
      <c r="H202" s="22"/>
      <c r="I202" s="22"/>
      <c r="J202" s="22"/>
      <c r="K202" s="22"/>
      <c r="L202" s="22"/>
      <c r="M202" s="22"/>
      <c r="N202" s="22"/>
      <c r="O202" s="22"/>
      <c r="P202" s="22"/>
      <c r="Q202" s="22"/>
      <c r="R202" s="22"/>
      <c r="S202" s="22"/>
      <c r="T202" s="22"/>
      <c r="U202" s="22"/>
      <c r="V202" s="22"/>
      <c r="W202" s="29"/>
      <c r="X202" s="29"/>
      <c r="Y202" s="29"/>
      <c r="Z202" s="29"/>
      <c r="AA202" s="29"/>
      <c r="AB202" s="29"/>
      <c r="AC202" s="29"/>
      <c r="AD202" s="29"/>
      <c r="AE202" s="29"/>
    </row>
    <row r="203" spans="6:31" ht="16.5" x14ac:dyDescent="0.25">
      <c r="F203" s="22"/>
      <c r="G203" s="22"/>
      <c r="H203" s="22"/>
      <c r="I203" s="22"/>
      <c r="J203" s="22"/>
      <c r="K203" s="22"/>
      <c r="L203" s="22"/>
      <c r="M203" s="22"/>
      <c r="N203" s="22"/>
      <c r="O203" s="22"/>
      <c r="P203" s="22"/>
      <c r="Q203" s="22"/>
      <c r="R203" s="22"/>
      <c r="S203" s="22"/>
      <c r="T203" s="22"/>
      <c r="U203" s="22"/>
      <c r="V203" s="22"/>
      <c r="W203" s="29"/>
      <c r="X203" s="29"/>
      <c r="Y203" s="29"/>
      <c r="Z203" s="29"/>
      <c r="AA203" s="29"/>
      <c r="AB203" s="29"/>
      <c r="AC203" s="29"/>
      <c r="AD203" s="29"/>
      <c r="AE203" s="29"/>
    </row>
    <row r="204" spans="6:31" ht="16.5" x14ac:dyDescent="0.25">
      <c r="F204" s="22"/>
      <c r="G204" s="22"/>
      <c r="H204" s="22"/>
      <c r="I204" s="22"/>
      <c r="J204" s="22"/>
      <c r="K204" s="22"/>
      <c r="L204" s="22"/>
      <c r="M204" s="22"/>
      <c r="N204" s="22"/>
      <c r="O204" s="22"/>
      <c r="P204" s="22"/>
      <c r="Q204" s="22"/>
      <c r="R204" s="22"/>
      <c r="S204" s="22"/>
      <c r="T204" s="22"/>
      <c r="U204" s="22"/>
      <c r="V204" s="22"/>
      <c r="W204" s="29"/>
      <c r="X204" s="29"/>
      <c r="Y204" s="29"/>
      <c r="Z204" s="29"/>
      <c r="AA204" s="29"/>
      <c r="AB204" s="29"/>
      <c r="AC204" s="29"/>
      <c r="AD204" s="29"/>
      <c r="AE204" s="29"/>
    </row>
    <row r="205" spans="6:31" ht="16.5" x14ac:dyDescent="0.25">
      <c r="F205" s="22"/>
      <c r="G205" s="22"/>
      <c r="H205" s="22"/>
      <c r="I205" s="22"/>
      <c r="J205" s="22"/>
      <c r="K205" s="22"/>
      <c r="L205" s="22"/>
      <c r="M205" s="22"/>
      <c r="N205" s="22"/>
      <c r="O205" s="22"/>
      <c r="P205" s="22"/>
      <c r="Q205" s="22"/>
      <c r="R205" s="22"/>
      <c r="S205" s="22"/>
      <c r="T205" s="22"/>
      <c r="U205" s="22"/>
      <c r="V205" s="22"/>
      <c r="W205" s="29"/>
      <c r="X205" s="29"/>
      <c r="Y205" s="29"/>
      <c r="Z205" s="29"/>
      <c r="AA205" s="29"/>
      <c r="AB205" s="29"/>
      <c r="AC205" s="29"/>
      <c r="AD205" s="29"/>
      <c r="AE205" s="29"/>
    </row>
    <row r="206" spans="6:31" ht="16.5" x14ac:dyDescent="0.25">
      <c r="F206" s="22"/>
      <c r="G206" s="22"/>
      <c r="H206" s="22"/>
      <c r="I206" s="22"/>
      <c r="J206" s="22"/>
      <c r="K206" s="22"/>
      <c r="L206" s="22"/>
      <c r="M206" s="22"/>
      <c r="N206" s="22"/>
      <c r="O206" s="22"/>
      <c r="P206" s="22"/>
      <c r="Q206" s="22"/>
      <c r="R206" s="22"/>
      <c r="S206" s="22"/>
      <c r="T206" s="22"/>
      <c r="U206" s="22"/>
      <c r="V206" s="22"/>
      <c r="W206" s="29"/>
      <c r="X206" s="29"/>
      <c r="Y206" s="29"/>
      <c r="Z206" s="29"/>
      <c r="AA206" s="29"/>
      <c r="AB206" s="29"/>
      <c r="AC206" s="29"/>
      <c r="AD206" s="29"/>
      <c r="AE206" s="29"/>
    </row>
    <row r="207" spans="6:31" ht="16.5" x14ac:dyDescent="0.25">
      <c r="F207" s="22"/>
      <c r="G207" s="22"/>
      <c r="H207" s="22"/>
      <c r="I207" s="22"/>
      <c r="J207" s="22"/>
      <c r="K207" s="22"/>
      <c r="L207" s="22"/>
      <c r="M207" s="22"/>
      <c r="N207" s="22"/>
      <c r="O207" s="22"/>
      <c r="P207" s="22"/>
      <c r="Q207" s="22"/>
      <c r="R207" s="22"/>
      <c r="S207" s="22"/>
      <c r="T207" s="22"/>
      <c r="U207" s="22"/>
      <c r="V207" s="22"/>
      <c r="W207" s="29"/>
      <c r="X207" s="29"/>
      <c r="Y207" s="29"/>
      <c r="Z207" s="29"/>
      <c r="AA207" s="29"/>
      <c r="AB207" s="29"/>
      <c r="AC207" s="29"/>
      <c r="AD207" s="29"/>
      <c r="AE207" s="29"/>
    </row>
    <row r="208" spans="6:31" ht="16.5" x14ac:dyDescent="0.25">
      <c r="F208" s="22"/>
      <c r="G208" s="22"/>
      <c r="H208" s="22"/>
      <c r="I208" s="22"/>
      <c r="J208" s="22"/>
      <c r="K208" s="22"/>
      <c r="L208" s="22"/>
      <c r="M208" s="22"/>
      <c r="N208" s="22"/>
      <c r="O208" s="22"/>
      <c r="P208" s="22"/>
      <c r="Q208" s="22"/>
      <c r="R208" s="22"/>
      <c r="S208" s="22"/>
      <c r="T208" s="22"/>
      <c r="U208" s="22"/>
      <c r="V208" s="22"/>
      <c r="W208" s="29"/>
      <c r="X208" s="29"/>
      <c r="Y208" s="29"/>
      <c r="Z208" s="29"/>
      <c r="AA208" s="29"/>
      <c r="AB208" s="29"/>
      <c r="AC208" s="29"/>
      <c r="AD208" s="29"/>
      <c r="AE208" s="29"/>
    </row>
    <row r="209" spans="6:31" ht="16.5" x14ac:dyDescent="0.25">
      <c r="F209" s="22"/>
      <c r="G209" s="22"/>
      <c r="H209" s="22"/>
      <c r="I209" s="22"/>
      <c r="J209" s="22"/>
      <c r="K209" s="22"/>
      <c r="L209" s="22"/>
      <c r="M209" s="22"/>
      <c r="N209" s="22"/>
      <c r="O209" s="22"/>
      <c r="P209" s="22"/>
      <c r="Q209" s="22"/>
      <c r="R209" s="22"/>
      <c r="S209" s="22"/>
      <c r="T209" s="22"/>
      <c r="U209" s="22"/>
      <c r="V209" s="22"/>
      <c r="W209" s="29"/>
      <c r="X209" s="29"/>
      <c r="Y209" s="29"/>
      <c r="Z209" s="29"/>
      <c r="AA209" s="29"/>
      <c r="AB209" s="29"/>
      <c r="AC209" s="29"/>
      <c r="AD209" s="29"/>
      <c r="AE209" s="29"/>
    </row>
    <row r="210" spans="6:31" ht="16.5" x14ac:dyDescent="0.25">
      <c r="F210" s="22"/>
      <c r="G210" s="22"/>
      <c r="H210" s="22"/>
      <c r="I210" s="22"/>
      <c r="J210" s="22"/>
      <c r="K210" s="22"/>
      <c r="L210" s="22"/>
      <c r="M210" s="22"/>
      <c r="N210" s="22"/>
      <c r="O210" s="22"/>
      <c r="P210" s="22"/>
      <c r="Q210" s="22"/>
      <c r="R210" s="22"/>
      <c r="S210" s="22"/>
      <c r="T210" s="22"/>
      <c r="U210" s="22"/>
      <c r="V210" s="22"/>
      <c r="W210" s="29"/>
      <c r="X210" s="29"/>
      <c r="Y210" s="29"/>
      <c r="Z210" s="29"/>
      <c r="AA210" s="29"/>
      <c r="AB210" s="29"/>
      <c r="AC210" s="29"/>
      <c r="AD210" s="29"/>
      <c r="AE210" s="29"/>
    </row>
    <row r="211" spans="6:31" ht="16.5" x14ac:dyDescent="0.25">
      <c r="F211" s="22"/>
      <c r="G211" s="22"/>
      <c r="H211" s="22"/>
      <c r="I211" s="22"/>
      <c r="J211" s="22"/>
      <c r="K211" s="22"/>
      <c r="L211" s="22"/>
      <c r="M211" s="22"/>
      <c r="N211" s="22"/>
      <c r="O211" s="22"/>
      <c r="P211" s="22"/>
      <c r="Q211" s="22"/>
      <c r="R211" s="22"/>
      <c r="S211" s="22"/>
      <c r="T211" s="22"/>
      <c r="U211" s="22"/>
      <c r="V211" s="22"/>
      <c r="W211" s="29"/>
      <c r="X211" s="29"/>
      <c r="Y211" s="29"/>
      <c r="Z211" s="29"/>
      <c r="AA211" s="29"/>
      <c r="AB211" s="29"/>
      <c r="AC211" s="29"/>
      <c r="AD211" s="29"/>
      <c r="AE211" s="29"/>
    </row>
    <row r="212" spans="6:31" ht="16.5" x14ac:dyDescent="0.25">
      <c r="F212" s="22"/>
      <c r="G212" s="22"/>
      <c r="H212" s="22"/>
      <c r="I212" s="22"/>
      <c r="J212" s="22"/>
      <c r="K212" s="22"/>
      <c r="L212" s="22"/>
      <c r="M212" s="22"/>
      <c r="N212" s="22"/>
      <c r="O212" s="22"/>
      <c r="P212" s="22"/>
      <c r="Q212" s="22"/>
      <c r="R212" s="22"/>
      <c r="S212" s="22"/>
      <c r="T212" s="22"/>
      <c r="U212" s="22"/>
      <c r="V212" s="22"/>
      <c r="W212" s="29"/>
      <c r="X212" s="29"/>
      <c r="Y212" s="29"/>
      <c r="Z212" s="29"/>
      <c r="AA212" s="29"/>
      <c r="AB212" s="29"/>
      <c r="AC212" s="29"/>
      <c r="AD212" s="29"/>
      <c r="AE212" s="29"/>
    </row>
    <row r="213" spans="6:31" ht="16.5" x14ac:dyDescent="0.25">
      <c r="F213" s="22"/>
      <c r="G213" s="22"/>
      <c r="H213" s="22"/>
      <c r="I213" s="22"/>
      <c r="J213" s="22"/>
      <c r="K213" s="22"/>
      <c r="L213" s="22"/>
      <c r="M213" s="22"/>
      <c r="N213" s="22"/>
      <c r="O213" s="22"/>
      <c r="P213" s="22"/>
      <c r="Q213" s="22"/>
      <c r="R213" s="22"/>
      <c r="S213" s="22"/>
      <c r="T213" s="22"/>
      <c r="U213" s="22"/>
      <c r="V213" s="22"/>
      <c r="W213" s="29"/>
      <c r="X213" s="29"/>
      <c r="Y213" s="29"/>
      <c r="Z213" s="29"/>
      <c r="AA213" s="29"/>
      <c r="AB213" s="29"/>
      <c r="AC213" s="29"/>
      <c r="AD213" s="29"/>
      <c r="AE213" s="29"/>
    </row>
    <row r="214" spans="6:31" ht="16.5" x14ac:dyDescent="0.25">
      <c r="F214" s="22"/>
      <c r="G214" s="22"/>
      <c r="H214" s="22"/>
      <c r="I214" s="22"/>
      <c r="J214" s="22"/>
      <c r="K214" s="22"/>
      <c r="L214" s="22"/>
      <c r="M214" s="22"/>
      <c r="N214" s="22"/>
      <c r="O214" s="22"/>
      <c r="P214" s="22"/>
      <c r="Q214" s="22"/>
      <c r="R214" s="22"/>
      <c r="S214" s="22"/>
      <c r="T214" s="22"/>
      <c r="U214" s="22"/>
      <c r="V214" s="22"/>
      <c r="W214" s="29"/>
      <c r="X214" s="29"/>
      <c r="Y214" s="29"/>
      <c r="Z214" s="29"/>
      <c r="AA214" s="29"/>
      <c r="AB214" s="29"/>
      <c r="AC214" s="29"/>
      <c r="AD214" s="29"/>
      <c r="AE214" s="29"/>
    </row>
    <row r="215" spans="6:31" ht="16.5" x14ac:dyDescent="0.25">
      <c r="F215" s="22"/>
      <c r="G215" s="22"/>
      <c r="H215" s="22"/>
      <c r="I215" s="22"/>
      <c r="J215" s="22"/>
      <c r="K215" s="22"/>
      <c r="L215" s="22"/>
      <c r="M215" s="22"/>
      <c r="N215" s="22"/>
      <c r="O215" s="22"/>
      <c r="P215" s="22"/>
      <c r="Q215" s="22"/>
      <c r="R215" s="22"/>
      <c r="S215" s="22"/>
      <c r="T215" s="22"/>
      <c r="U215" s="22"/>
      <c r="V215" s="22"/>
      <c r="W215" s="29"/>
      <c r="X215" s="29"/>
      <c r="Y215" s="29"/>
      <c r="Z215" s="29"/>
      <c r="AA215" s="29"/>
      <c r="AB215" s="29"/>
      <c r="AC215" s="29"/>
      <c r="AD215" s="29"/>
      <c r="AE215" s="29"/>
    </row>
    <row r="216" spans="6:31" ht="16.5" x14ac:dyDescent="0.25">
      <c r="F216" s="22"/>
      <c r="G216" s="22"/>
      <c r="H216" s="22"/>
      <c r="I216" s="22"/>
      <c r="J216" s="22"/>
      <c r="K216" s="22"/>
      <c r="L216" s="22"/>
      <c r="M216" s="22"/>
      <c r="N216" s="22"/>
      <c r="O216" s="22"/>
      <c r="P216" s="22"/>
      <c r="Q216" s="22"/>
      <c r="R216" s="22"/>
      <c r="S216" s="22"/>
      <c r="T216" s="22"/>
      <c r="U216" s="22"/>
      <c r="V216" s="22"/>
      <c r="W216" s="29"/>
      <c r="X216" s="29"/>
      <c r="Y216" s="29"/>
      <c r="Z216" s="29"/>
      <c r="AA216" s="29"/>
      <c r="AB216" s="29"/>
      <c r="AC216" s="29"/>
      <c r="AD216" s="29"/>
      <c r="AE216" s="29"/>
    </row>
    <row r="217" spans="6:31" ht="16.5" x14ac:dyDescent="0.25">
      <c r="F217" s="22"/>
      <c r="G217" s="22"/>
      <c r="H217" s="22"/>
      <c r="I217" s="22"/>
      <c r="J217" s="22"/>
      <c r="K217" s="22"/>
      <c r="L217" s="22"/>
      <c r="M217" s="22"/>
      <c r="N217" s="22"/>
      <c r="O217" s="22"/>
      <c r="P217" s="22"/>
      <c r="Q217" s="22"/>
      <c r="R217" s="22"/>
      <c r="S217" s="22"/>
      <c r="T217" s="22"/>
      <c r="U217" s="22"/>
      <c r="V217" s="22"/>
      <c r="W217" s="29"/>
      <c r="X217" s="29"/>
      <c r="Y217" s="29"/>
      <c r="Z217" s="29"/>
      <c r="AA217" s="29"/>
      <c r="AB217" s="29"/>
      <c r="AC217" s="29"/>
      <c r="AD217" s="29"/>
      <c r="AE217" s="29"/>
    </row>
    <row r="218" spans="6:31" ht="16.5" x14ac:dyDescent="0.25">
      <c r="F218" s="22"/>
      <c r="G218" s="22"/>
      <c r="H218" s="22"/>
      <c r="I218" s="22"/>
      <c r="J218" s="22"/>
      <c r="K218" s="22"/>
      <c r="L218" s="22"/>
      <c r="M218" s="22"/>
      <c r="N218" s="22"/>
      <c r="O218" s="22"/>
      <c r="P218" s="22"/>
      <c r="Q218" s="22"/>
      <c r="R218" s="22"/>
      <c r="S218" s="22"/>
      <c r="T218" s="22"/>
      <c r="U218" s="22"/>
      <c r="V218" s="22"/>
      <c r="W218" s="29"/>
      <c r="X218" s="29"/>
      <c r="Y218" s="29"/>
      <c r="Z218" s="29"/>
      <c r="AA218" s="29"/>
      <c r="AB218" s="29"/>
      <c r="AC218" s="29"/>
      <c r="AD218" s="29"/>
      <c r="AE218" s="29"/>
    </row>
    <row r="219" spans="6:31" ht="16.5" x14ac:dyDescent="0.25">
      <c r="F219" s="22"/>
      <c r="G219" s="22"/>
      <c r="H219" s="22"/>
      <c r="I219" s="22"/>
      <c r="J219" s="22"/>
      <c r="K219" s="22"/>
      <c r="L219" s="22"/>
      <c r="M219" s="22"/>
      <c r="N219" s="22"/>
      <c r="O219" s="22"/>
      <c r="P219" s="22"/>
      <c r="Q219" s="22"/>
      <c r="R219" s="22"/>
      <c r="S219" s="22"/>
      <c r="T219" s="22"/>
      <c r="U219" s="22"/>
      <c r="V219" s="22"/>
      <c r="W219" s="29"/>
      <c r="X219" s="29"/>
      <c r="Y219" s="29"/>
      <c r="Z219" s="29"/>
      <c r="AA219" s="29"/>
      <c r="AB219" s="29"/>
      <c r="AC219" s="29"/>
      <c r="AD219" s="29"/>
      <c r="AE219" s="29"/>
    </row>
    <row r="220" spans="6:31" ht="16.5" x14ac:dyDescent="0.25">
      <c r="F220" s="22"/>
      <c r="G220" s="22"/>
      <c r="H220" s="22"/>
      <c r="I220" s="22"/>
      <c r="J220" s="22"/>
      <c r="K220" s="22"/>
      <c r="L220" s="22"/>
      <c r="M220" s="22"/>
      <c r="N220" s="22"/>
      <c r="O220" s="22"/>
      <c r="P220" s="22"/>
      <c r="Q220" s="22"/>
      <c r="R220" s="22"/>
      <c r="S220" s="22"/>
      <c r="T220" s="22"/>
      <c r="U220" s="22"/>
      <c r="V220" s="22"/>
      <c r="W220" s="29"/>
      <c r="X220" s="29"/>
      <c r="Y220" s="29"/>
      <c r="Z220" s="29"/>
      <c r="AA220" s="29"/>
      <c r="AB220" s="29"/>
      <c r="AC220" s="29"/>
      <c r="AD220" s="29"/>
      <c r="AE220" s="29"/>
    </row>
    <row r="221" spans="6:31" ht="16.5" x14ac:dyDescent="0.25">
      <c r="F221" s="22"/>
      <c r="G221" s="22"/>
      <c r="H221" s="22"/>
      <c r="I221" s="22"/>
      <c r="J221" s="22"/>
      <c r="K221" s="22"/>
      <c r="L221" s="22"/>
      <c r="M221" s="22"/>
      <c r="N221" s="22"/>
      <c r="O221" s="22"/>
      <c r="P221" s="22"/>
      <c r="Q221" s="22"/>
      <c r="R221" s="22"/>
      <c r="S221" s="22"/>
      <c r="T221" s="22"/>
      <c r="U221" s="22"/>
      <c r="V221" s="22"/>
      <c r="W221" s="29"/>
      <c r="X221" s="29"/>
      <c r="Y221" s="29"/>
      <c r="Z221" s="29"/>
      <c r="AA221" s="29"/>
      <c r="AB221" s="29"/>
      <c r="AC221" s="29"/>
      <c r="AD221" s="29"/>
      <c r="AE221" s="29"/>
    </row>
    <row r="222" spans="6:31" ht="16.5" x14ac:dyDescent="0.25">
      <c r="F222" s="22"/>
      <c r="G222" s="22"/>
      <c r="H222" s="22"/>
      <c r="I222" s="22"/>
      <c r="J222" s="22"/>
      <c r="K222" s="22"/>
      <c r="L222" s="22"/>
      <c r="M222" s="22"/>
      <c r="N222" s="22"/>
      <c r="O222" s="22"/>
      <c r="P222" s="22"/>
      <c r="Q222" s="22"/>
      <c r="R222" s="22"/>
      <c r="S222" s="22"/>
      <c r="T222" s="22"/>
      <c r="U222" s="22"/>
      <c r="V222" s="22"/>
      <c r="W222" s="29"/>
      <c r="X222" s="29"/>
      <c r="Y222" s="29"/>
      <c r="Z222" s="29"/>
      <c r="AA222" s="29"/>
      <c r="AB222" s="29"/>
      <c r="AC222" s="29"/>
      <c r="AD222" s="29"/>
      <c r="AE222" s="29"/>
    </row>
    <row r="223" spans="6:31" ht="16.5" x14ac:dyDescent="0.25">
      <c r="F223" s="22"/>
      <c r="G223" s="22"/>
      <c r="H223" s="22"/>
      <c r="I223" s="22"/>
      <c r="J223" s="22"/>
      <c r="K223" s="22"/>
      <c r="L223" s="22"/>
      <c r="M223" s="22"/>
      <c r="N223" s="22"/>
      <c r="O223" s="22"/>
      <c r="P223" s="22"/>
      <c r="Q223" s="22"/>
      <c r="R223" s="22"/>
      <c r="S223" s="22"/>
      <c r="T223" s="22"/>
      <c r="U223" s="22"/>
      <c r="V223" s="22"/>
      <c r="W223" s="29"/>
      <c r="X223" s="29"/>
      <c r="Y223" s="29"/>
      <c r="Z223" s="29"/>
      <c r="AA223" s="29"/>
      <c r="AB223" s="29"/>
      <c r="AC223" s="29"/>
      <c r="AD223" s="29"/>
      <c r="AE223" s="29"/>
    </row>
    <row r="224" spans="6:31" ht="16.5" x14ac:dyDescent="0.25">
      <c r="F224" s="22"/>
      <c r="G224" s="22"/>
      <c r="H224" s="22"/>
      <c r="I224" s="22"/>
      <c r="J224" s="22"/>
      <c r="K224" s="22"/>
      <c r="L224" s="22"/>
      <c r="M224" s="22"/>
      <c r="N224" s="22"/>
      <c r="O224" s="22"/>
      <c r="P224" s="22"/>
      <c r="Q224" s="22"/>
      <c r="R224" s="22"/>
      <c r="S224" s="22"/>
      <c r="T224" s="22"/>
      <c r="U224" s="22"/>
      <c r="V224" s="22"/>
      <c r="W224" s="29"/>
      <c r="X224" s="29"/>
      <c r="Y224" s="29"/>
      <c r="Z224" s="29"/>
      <c r="AA224" s="29"/>
      <c r="AB224" s="29"/>
      <c r="AC224" s="29"/>
      <c r="AD224" s="29"/>
      <c r="AE224" s="29"/>
    </row>
    <row r="225" spans="6:31" ht="16.5" x14ac:dyDescent="0.25">
      <c r="F225" s="22"/>
      <c r="G225" s="22"/>
      <c r="H225" s="22"/>
      <c r="I225" s="22"/>
      <c r="J225" s="22"/>
      <c r="K225" s="22"/>
      <c r="L225" s="22"/>
      <c r="M225" s="22"/>
      <c r="N225" s="22"/>
      <c r="O225" s="22"/>
      <c r="P225" s="22"/>
      <c r="Q225" s="22"/>
      <c r="R225" s="22"/>
      <c r="S225" s="22"/>
      <c r="T225" s="22"/>
      <c r="U225" s="22"/>
      <c r="V225" s="22"/>
      <c r="W225" s="29"/>
      <c r="X225" s="29"/>
      <c r="Y225" s="29"/>
      <c r="Z225" s="29"/>
      <c r="AA225" s="29"/>
      <c r="AB225" s="29"/>
      <c r="AC225" s="29"/>
      <c r="AD225" s="29"/>
      <c r="AE225" s="29"/>
    </row>
    <row r="226" spans="6:31" ht="16.5" x14ac:dyDescent="0.25">
      <c r="F226" s="22"/>
      <c r="G226" s="22"/>
      <c r="H226" s="22"/>
      <c r="I226" s="22"/>
      <c r="J226" s="22"/>
      <c r="K226" s="22"/>
      <c r="L226" s="22"/>
      <c r="M226" s="22"/>
      <c r="N226" s="22"/>
      <c r="O226" s="22"/>
      <c r="P226" s="22"/>
      <c r="Q226" s="22"/>
      <c r="R226" s="22"/>
      <c r="S226" s="22"/>
      <c r="T226" s="22"/>
      <c r="U226" s="22"/>
      <c r="V226" s="22"/>
      <c r="W226" s="29"/>
      <c r="X226" s="29"/>
      <c r="Y226" s="29"/>
      <c r="Z226" s="29"/>
      <c r="AA226" s="29"/>
      <c r="AB226" s="29"/>
      <c r="AC226" s="29"/>
      <c r="AD226" s="29"/>
      <c r="AE226" s="29"/>
    </row>
    <row r="227" spans="6:31" ht="16.5" x14ac:dyDescent="0.25">
      <c r="F227" s="22"/>
      <c r="G227" s="22"/>
      <c r="H227" s="22"/>
      <c r="I227" s="22"/>
      <c r="J227" s="22"/>
      <c r="K227" s="22"/>
      <c r="L227" s="22"/>
      <c r="M227" s="22"/>
      <c r="N227" s="22"/>
      <c r="O227" s="22"/>
      <c r="P227" s="22"/>
      <c r="Q227" s="22"/>
      <c r="R227" s="22"/>
      <c r="S227" s="22"/>
      <c r="T227" s="22"/>
      <c r="U227" s="22"/>
      <c r="V227" s="22"/>
      <c r="W227" s="29"/>
      <c r="X227" s="29"/>
      <c r="Y227" s="29"/>
      <c r="Z227" s="29"/>
      <c r="AA227" s="29"/>
      <c r="AB227" s="29"/>
      <c r="AC227" s="29"/>
      <c r="AD227" s="29"/>
      <c r="AE227" s="29"/>
    </row>
    <row r="228" spans="6:31" ht="16.5" x14ac:dyDescent="0.25">
      <c r="F228" s="22"/>
      <c r="G228" s="22"/>
      <c r="H228" s="22"/>
      <c r="I228" s="22"/>
      <c r="J228" s="22"/>
      <c r="K228" s="22"/>
      <c r="L228" s="22"/>
      <c r="M228" s="22"/>
      <c r="N228" s="22"/>
      <c r="O228" s="22"/>
      <c r="P228" s="22"/>
      <c r="Q228" s="22"/>
      <c r="R228" s="22"/>
      <c r="S228" s="22"/>
      <c r="T228" s="22"/>
      <c r="U228" s="22"/>
      <c r="V228" s="22"/>
      <c r="W228" s="29"/>
      <c r="X228" s="29"/>
      <c r="Y228" s="29"/>
      <c r="Z228" s="29"/>
      <c r="AA228" s="29"/>
      <c r="AB228" s="29"/>
      <c r="AC228" s="29"/>
      <c r="AD228" s="29"/>
      <c r="AE228" s="29"/>
    </row>
    <row r="229" spans="6:31" ht="16.5" x14ac:dyDescent="0.25">
      <c r="F229" s="22"/>
      <c r="G229" s="22"/>
      <c r="H229" s="22"/>
      <c r="I229" s="22"/>
      <c r="J229" s="22"/>
      <c r="K229" s="22"/>
      <c r="L229" s="22"/>
      <c r="M229" s="22"/>
      <c r="N229" s="22"/>
      <c r="O229" s="22"/>
      <c r="P229" s="22"/>
      <c r="Q229" s="22"/>
      <c r="R229" s="22"/>
      <c r="S229" s="22"/>
      <c r="T229" s="22"/>
      <c r="U229" s="22"/>
      <c r="V229" s="22"/>
      <c r="W229" s="29"/>
      <c r="X229" s="29"/>
      <c r="Y229" s="29"/>
      <c r="Z229" s="29"/>
      <c r="AA229" s="29"/>
      <c r="AB229" s="29"/>
      <c r="AC229" s="29"/>
      <c r="AD229" s="29"/>
      <c r="AE229" s="29"/>
    </row>
    <row r="230" spans="6:31" ht="16.5" x14ac:dyDescent="0.25">
      <c r="F230" s="22"/>
      <c r="G230" s="22"/>
      <c r="H230" s="22"/>
      <c r="I230" s="22"/>
      <c r="J230" s="22"/>
      <c r="K230" s="22"/>
      <c r="L230" s="22"/>
      <c r="M230" s="22"/>
      <c r="N230" s="22"/>
      <c r="O230" s="22"/>
      <c r="P230" s="22"/>
      <c r="Q230" s="22"/>
      <c r="R230" s="22"/>
      <c r="S230" s="22"/>
      <c r="T230" s="22"/>
      <c r="U230" s="22"/>
      <c r="V230" s="22"/>
      <c r="W230" s="29"/>
      <c r="X230" s="29"/>
      <c r="Y230" s="29"/>
      <c r="Z230" s="29"/>
      <c r="AA230" s="29"/>
      <c r="AB230" s="29"/>
      <c r="AC230" s="29"/>
      <c r="AD230" s="29"/>
      <c r="AE230" s="29"/>
    </row>
    <row r="231" spans="6:31" ht="16.5" x14ac:dyDescent="0.25">
      <c r="F231" s="22"/>
      <c r="G231" s="22"/>
      <c r="H231" s="22"/>
      <c r="I231" s="22"/>
      <c r="J231" s="22"/>
      <c r="K231" s="22"/>
      <c r="L231" s="22"/>
      <c r="M231" s="22"/>
      <c r="N231" s="22"/>
      <c r="O231" s="22"/>
      <c r="P231" s="22"/>
      <c r="Q231" s="22"/>
      <c r="R231" s="22"/>
      <c r="S231" s="22"/>
      <c r="T231" s="22"/>
      <c r="U231" s="22"/>
      <c r="V231" s="22"/>
      <c r="W231" s="29"/>
      <c r="X231" s="29"/>
      <c r="Y231" s="29"/>
      <c r="Z231" s="29"/>
      <c r="AA231" s="29"/>
      <c r="AB231" s="29"/>
      <c r="AC231" s="29"/>
      <c r="AD231" s="29"/>
      <c r="AE231" s="29"/>
    </row>
    <row r="232" spans="6:31" ht="16.5" x14ac:dyDescent="0.25">
      <c r="F232" s="22"/>
      <c r="G232" s="22"/>
      <c r="H232" s="22"/>
      <c r="I232" s="22"/>
      <c r="J232" s="22"/>
      <c r="K232" s="22"/>
      <c r="L232" s="22"/>
      <c r="M232" s="22"/>
      <c r="N232" s="22"/>
      <c r="O232" s="22"/>
      <c r="P232" s="22"/>
      <c r="Q232" s="22"/>
      <c r="R232" s="22"/>
      <c r="S232" s="22"/>
      <c r="T232" s="22"/>
      <c r="U232" s="22"/>
      <c r="V232" s="22"/>
      <c r="W232" s="29"/>
      <c r="X232" s="29"/>
      <c r="Y232" s="29"/>
      <c r="Z232" s="29"/>
      <c r="AA232" s="29"/>
      <c r="AB232" s="29"/>
      <c r="AC232" s="29"/>
      <c r="AD232" s="29"/>
      <c r="AE232" s="29"/>
    </row>
    <row r="233" spans="6:31" ht="16.5" x14ac:dyDescent="0.25">
      <c r="F233" s="22"/>
      <c r="G233" s="22"/>
      <c r="H233" s="22"/>
      <c r="I233" s="22"/>
      <c r="J233" s="22"/>
      <c r="K233" s="22"/>
      <c r="L233" s="22"/>
      <c r="M233" s="22"/>
      <c r="N233" s="22"/>
      <c r="O233" s="22"/>
      <c r="P233" s="22"/>
      <c r="Q233" s="22"/>
      <c r="R233" s="22"/>
      <c r="S233" s="22"/>
      <c r="T233" s="22"/>
      <c r="U233" s="22"/>
      <c r="V233" s="22"/>
      <c r="W233" s="29"/>
      <c r="X233" s="29"/>
      <c r="Y233" s="29"/>
      <c r="Z233" s="29"/>
      <c r="AA233" s="29"/>
      <c r="AB233" s="29"/>
      <c r="AC233" s="29"/>
      <c r="AD233" s="29"/>
      <c r="AE233" s="29"/>
    </row>
    <row r="234" spans="6:31" ht="16.5" x14ac:dyDescent="0.25">
      <c r="F234" s="22"/>
      <c r="G234" s="22"/>
      <c r="H234" s="22"/>
      <c r="I234" s="22"/>
      <c r="J234" s="22"/>
      <c r="K234" s="22"/>
      <c r="L234" s="22"/>
      <c r="M234" s="22"/>
      <c r="N234" s="22"/>
      <c r="O234" s="22"/>
      <c r="P234" s="22"/>
      <c r="Q234" s="22"/>
      <c r="R234" s="22"/>
      <c r="S234" s="22"/>
      <c r="T234" s="22"/>
      <c r="U234" s="22"/>
      <c r="V234" s="22"/>
      <c r="W234" s="29"/>
      <c r="X234" s="29"/>
      <c r="Y234" s="29"/>
      <c r="Z234" s="29"/>
      <c r="AA234" s="29"/>
      <c r="AB234" s="29"/>
      <c r="AC234" s="29"/>
      <c r="AD234" s="29"/>
      <c r="AE234" s="29"/>
    </row>
    <row r="235" spans="6:31" ht="16.5" x14ac:dyDescent="0.25">
      <c r="F235" s="22"/>
      <c r="G235" s="22"/>
      <c r="H235" s="22"/>
      <c r="I235" s="22"/>
      <c r="J235" s="22"/>
      <c r="K235" s="22"/>
      <c r="L235" s="22"/>
      <c r="M235" s="22"/>
      <c r="N235" s="22"/>
      <c r="O235" s="22"/>
      <c r="P235" s="22"/>
      <c r="Q235" s="22"/>
      <c r="R235" s="22"/>
      <c r="S235" s="22"/>
      <c r="T235" s="22"/>
      <c r="U235" s="22"/>
      <c r="V235" s="22"/>
      <c r="W235" s="29"/>
      <c r="X235" s="29"/>
      <c r="Y235" s="29"/>
      <c r="Z235" s="29"/>
      <c r="AA235" s="29"/>
      <c r="AB235" s="29"/>
      <c r="AC235" s="29"/>
      <c r="AD235" s="29"/>
      <c r="AE235" s="29"/>
    </row>
    <row r="236" spans="6:31" ht="16.5" x14ac:dyDescent="0.25">
      <c r="F236" s="22"/>
      <c r="G236" s="22"/>
      <c r="H236" s="22"/>
      <c r="I236" s="22"/>
      <c r="J236" s="22"/>
      <c r="K236" s="22"/>
      <c r="L236" s="22"/>
      <c r="M236" s="22"/>
      <c r="N236" s="22"/>
      <c r="O236" s="22"/>
      <c r="P236" s="22"/>
      <c r="Q236" s="22"/>
      <c r="R236" s="22"/>
      <c r="S236" s="22"/>
      <c r="T236" s="22"/>
      <c r="U236" s="22"/>
      <c r="V236" s="22"/>
      <c r="W236" s="29"/>
      <c r="X236" s="29"/>
      <c r="Y236" s="29"/>
      <c r="Z236" s="29"/>
      <c r="AA236" s="29"/>
      <c r="AB236" s="29"/>
      <c r="AC236" s="29"/>
      <c r="AD236" s="29"/>
      <c r="AE236" s="29"/>
    </row>
    <row r="237" spans="6:31" ht="16.5" x14ac:dyDescent="0.25">
      <c r="F237" s="22"/>
      <c r="G237" s="22"/>
      <c r="H237" s="22"/>
      <c r="I237" s="22"/>
      <c r="J237" s="22"/>
      <c r="K237" s="22"/>
      <c r="L237" s="22"/>
      <c r="M237" s="22"/>
      <c r="N237" s="22"/>
      <c r="O237" s="22"/>
      <c r="P237" s="22"/>
      <c r="Q237" s="22"/>
      <c r="R237" s="22"/>
      <c r="S237" s="22"/>
      <c r="T237" s="22"/>
      <c r="U237" s="22"/>
      <c r="V237" s="22"/>
      <c r="W237" s="29"/>
      <c r="X237" s="29"/>
      <c r="Y237" s="29"/>
      <c r="Z237" s="29"/>
      <c r="AA237" s="29"/>
      <c r="AB237" s="29"/>
      <c r="AC237" s="29"/>
      <c r="AD237" s="29"/>
      <c r="AE237" s="29"/>
    </row>
    <row r="238" spans="6:31" ht="16.5" x14ac:dyDescent="0.25">
      <c r="F238" s="22"/>
      <c r="G238" s="22"/>
      <c r="H238" s="22"/>
      <c r="I238" s="22"/>
      <c r="J238" s="22"/>
      <c r="K238" s="22"/>
      <c r="L238" s="22"/>
      <c r="M238" s="22"/>
      <c r="N238" s="22"/>
      <c r="O238" s="22"/>
      <c r="P238" s="22"/>
      <c r="Q238" s="22"/>
      <c r="R238" s="22"/>
      <c r="S238" s="22"/>
      <c r="T238" s="22"/>
      <c r="U238" s="22"/>
      <c r="V238" s="22"/>
      <c r="W238" s="29"/>
      <c r="X238" s="29"/>
      <c r="Y238" s="29"/>
      <c r="Z238" s="29"/>
      <c r="AA238" s="29"/>
      <c r="AB238" s="29"/>
      <c r="AC238" s="29"/>
      <c r="AD238" s="29"/>
      <c r="AE238" s="29"/>
    </row>
    <row r="239" spans="6:31" ht="16.5" x14ac:dyDescent="0.25">
      <c r="F239" s="22"/>
      <c r="G239" s="22"/>
      <c r="H239" s="22"/>
      <c r="I239" s="22"/>
      <c r="J239" s="22"/>
      <c r="K239" s="22"/>
      <c r="L239" s="22"/>
      <c r="M239" s="22"/>
      <c r="N239" s="22"/>
      <c r="O239" s="22"/>
      <c r="P239" s="22"/>
      <c r="Q239" s="22"/>
      <c r="R239" s="22"/>
      <c r="S239" s="22"/>
      <c r="T239" s="22"/>
      <c r="U239" s="22"/>
      <c r="V239" s="22"/>
      <c r="W239" s="29"/>
      <c r="X239" s="29"/>
      <c r="Y239" s="29"/>
      <c r="Z239" s="29"/>
      <c r="AA239" s="29"/>
      <c r="AB239" s="29"/>
      <c r="AC239" s="29"/>
      <c r="AD239" s="29"/>
      <c r="AE239" s="29"/>
    </row>
    <row r="240" spans="6:31" ht="16.5" x14ac:dyDescent="0.25">
      <c r="F240" s="22"/>
      <c r="G240" s="22"/>
      <c r="H240" s="22"/>
      <c r="I240" s="22"/>
      <c r="J240" s="22"/>
      <c r="K240" s="22"/>
      <c r="L240" s="22"/>
      <c r="M240" s="22"/>
      <c r="N240" s="22"/>
      <c r="O240" s="22"/>
      <c r="P240" s="22"/>
      <c r="Q240" s="22"/>
      <c r="R240" s="22"/>
      <c r="S240" s="22"/>
      <c r="T240" s="22"/>
      <c r="U240" s="22"/>
      <c r="V240" s="22"/>
      <c r="W240" s="29"/>
      <c r="X240" s="29"/>
      <c r="Y240" s="29"/>
      <c r="Z240" s="29"/>
      <c r="AA240" s="29"/>
      <c r="AB240" s="29"/>
      <c r="AC240" s="29"/>
      <c r="AD240" s="29"/>
      <c r="AE240" s="29"/>
    </row>
    <row r="241" spans="6:31" ht="16.5" x14ac:dyDescent="0.25">
      <c r="F241" s="22"/>
      <c r="G241" s="22"/>
      <c r="H241" s="22"/>
      <c r="I241" s="22"/>
      <c r="J241" s="22"/>
      <c r="K241" s="22"/>
      <c r="L241" s="22"/>
      <c r="M241" s="22"/>
      <c r="N241" s="22"/>
      <c r="O241" s="22"/>
      <c r="P241" s="22"/>
      <c r="Q241" s="22"/>
      <c r="R241" s="22"/>
      <c r="S241" s="22"/>
      <c r="T241" s="22"/>
      <c r="U241" s="22"/>
      <c r="V241" s="22"/>
      <c r="W241" s="29"/>
      <c r="X241" s="29"/>
      <c r="Y241" s="29"/>
      <c r="Z241" s="29"/>
      <c r="AA241" s="29"/>
      <c r="AB241" s="29"/>
      <c r="AC241" s="29"/>
      <c r="AD241" s="29"/>
      <c r="AE241" s="29"/>
    </row>
    <row r="242" spans="6:31" ht="16.5" x14ac:dyDescent="0.25">
      <c r="F242" s="22"/>
      <c r="G242" s="22"/>
      <c r="H242" s="22"/>
      <c r="I242" s="22"/>
      <c r="J242" s="22"/>
      <c r="K242" s="22"/>
      <c r="L242" s="22"/>
      <c r="M242" s="22"/>
      <c r="N242" s="22"/>
      <c r="O242" s="22"/>
      <c r="P242" s="22"/>
      <c r="Q242" s="22"/>
      <c r="R242" s="22"/>
      <c r="S242" s="22"/>
      <c r="T242" s="22"/>
      <c r="U242" s="22"/>
      <c r="V242" s="22"/>
      <c r="W242" s="29"/>
      <c r="X242" s="29"/>
      <c r="Y242" s="29"/>
      <c r="Z242" s="29"/>
      <c r="AA242" s="29"/>
      <c r="AB242" s="29"/>
      <c r="AC242" s="29"/>
      <c r="AD242" s="29"/>
      <c r="AE242" s="29"/>
    </row>
    <row r="243" spans="6:31" ht="16.5" x14ac:dyDescent="0.25">
      <c r="F243" s="22"/>
      <c r="G243" s="22"/>
      <c r="H243" s="22"/>
      <c r="I243" s="22"/>
      <c r="J243" s="22"/>
      <c r="K243" s="22"/>
      <c r="L243" s="22"/>
      <c r="M243" s="22"/>
      <c r="N243" s="22"/>
      <c r="O243" s="22"/>
      <c r="P243" s="22"/>
      <c r="Q243" s="22"/>
      <c r="R243" s="22"/>
      <c r="S243" s="22"/>
      <c r="T243" s="22"/>
      <c r="U243" s="22"/>
      <c r="V243" s="22"/>
      <c r="W243" s="29"/>
      <c r="X243" s="29"/>
      <c r="Y243" s="29"/>
      <c r="Z243" s="29"/>
      <c r="AA243" s="29"/>
      <c r="AB243" s="29"/>
      <c r="AC243" s="29"/>
      <c r="AD243" s="29"/>
      <c r="AE243" s="29"/>
    </row>
    <row r="244" spans="6:31" ht="16.5" x14ac:dyDescent="0.25">
      <c r="F244" s="22"/>
      <c r="G244" s="22"/>
      <c r="H244" s="22"/>
      <c r="I244" s="22"/>
      <c r="J244" s="22"/>
      <c r="K244" s="22"/>
      <c r="L244" s="22"/>
      <c r="M244" s="22"/>
      <c r="N244" s="22"/>
      <c r="O244" s="22"/>
      <c r="P244" s="22"/>
      <c r="Q244" s="22"/>
      <c r="R244" s="22"/>
      <c r="S244" s="22"/>
      <c r="T244" s="22"/>
      <c r="U244" s="22"/>
      <c r="V244" s="22"/>
      <c r="W244" s="29"/>
      <c r="X244" s="29"/>
      <c r="Y244" s="29"/>
      <c r="Z244" s="29"/>
      <c r="AA244" s="29"/>
      <c r="AB244" s="29"/>
      <c r="AC244" s="29"/>
      <c r="AD244" s="29"/>
      <c r="AE244" s="29"/>
    </row>
    <row r="245" spans="6:31" ht="16.5" x14ac:dyDescent="0.25">
      <c r="F245" s="22"/>
      <c r="G245" s="22"/>
      <c r="H245" s="22"/>
      <c r="I245" s="22"/>
      <c r="J245" s="22"/>
      <c r="K245" s="22"/>
      <c r="L245" s="22"/>
      <c r="M245" s="22"/>
      <c r="N245" s="22"/>
      <c r="O245" s="22"/>
      <c r="P245" s="22"/>
      <c r="Q245" s="22"/>
      <c r="R245" s="22"/>
      <c r="S245" s="22"/>
      <c r="T245" s="22"/>
      <c r="U245" s="22"/>
      <c r="V245" s="22"/>
      <c r="W245" s="29"/>
      <c r="X245" s="29"/>
      <c r="Y245" s="29"/>
      <c r="Z245" s="29"/>
      <c r="AA245" s="29"/>
      <c r="AB245" s="29"/>
      <c r="AC245" s="29"/>
      <c r="AD245" s="29"/>
      <c r="AE245" s="29"/>
    </row>
    <row r="246" spans="6:31" ht="16.5" x14ac:dyDescent="0.25">
      <c r="F246" s="22"/>
      <c r="G246" s="22"/>
      <c r="H246" s="22"/>
      <c r="I246" s="22"/>
      <c r="J246" s="22"/>
      <c r="K246" s="22"/>
      <c r="L246" s="22"/>
      <c r="M246" s="22"/>
      <c r="N246" s="22"/>
      <c r="O246" s="22"/>
      <c r="P246" s="22"/>
      <c r="Q246" s="22"/>
      <c r="R246" s="22"/>
      <c r="S246" s="22"/>
      <c r="T246" s="22"/>
      <c r="U246" s="22"/>
      <c r="V246" s="22"/>
      <c r="W246" s="29"/>
      <c r="X246" s="29"/>
      <c r="Y246" s="29"/>
      <c r="Z246" s="29"/>
      <c r="AA246" s="29"/>
      <c r="AB246" s="29"/>
      <c r="AC246" s="29"/>
      <c r="AD246" s="29"/>
      <c r="AE246" s="29"/>
    </row>
    <row r="247" spans="6:31" ht="16.5" x14ac:dyDescent="0.25">
      <c r="F247" s="22"/>
      <c r="G247" s="22"/>
      <c r="H247" s="22"/>
      <c r="I247" s="22"/>
      <c r="J247" s="22"/>
      <c r="K247" s="22"/>
      <c r="L247" s="22"/>
      <c r="M247" s="22"/>
      <c r="N247" s="22"/>
      <c r="O247" s="22"/>
      <c r="P247" s="22"/>
      <c r="Q247" s="22"/>
      <c r="R247" s="22"/>
      <c r="S247" s="22"/>
      <c r="T247" s="22"/>
      <c r="U247" s="22"/>
      <c r="V247" s="22"/>
      <c r="W247" s="29"/>
      <c r="X247" s="29"/>
      <c r="Y247" s="29"/>
      <c r="Z247" s="29"/>
      <c r="AA247" s="29"/>
      <c r="AB247" s="29"/>
      <c r="AC247" s="29"/>
      <c r="AD247" s="29"/>
      <c r="AE247" s="29"/>
    </row>
    <row r="248" spans="6:31" ht="16.5" x14ac:dyDescent="0.25">
      <c r="F248" s="22"/>
      <c r="G248" s="22"/>
      <c r="H248" s="22"/>
      <c r="I248" s="22"/>
      <c r="J248" s="22"/>
      <c r="K248" s="22"/>
      <c r="L248" s="22"/>
      <c r="M248" s="22"/>
      <c r="N248" s="22"/>
      <c r="O248" s="22"/>
      <c r="P248" s="22"/>
      <c r="Q248" s="22"/>
      <c r="R248" s="22"/>
      <c r="S248" s="22"/>
      <c r="T248" s="22"/>
      <c r="U248" s="22"/>
      <c r="V248" s="22"/>
      <c r="W248" s="29"/>
      <c r="X248" s="29"/>
      <c r="Y248" s="29"/>
      <c r="Z248" s="29"/>
      <c r="AA248" s="29"/>
      <c r="AB248" s="29"/>
      <c r="AC248" s="29"/>
      <c r="AD248" s="29"/>
      <c r="AE248" s="29"/>
    </row>
    <row r="249" spans="6:31" ht="16.5" x14ac:dyDescent="0.25">
      <c r="F249" s="22"/>
      <c r="G249" s="22"/>
      <c r="H249" s="22"/>
      <c r="I249" s="22"/>
      <c r="J249" s="22"/>
      <c r="K249" s="22"/>
      <c r="L249" s="22"/>
      <c r="M249" s="22"/>
      <c r="N249" s="22"/>
      <c r="O249" s="22"/>
      <c r="P249" s="22"/>
      <c r="Q249" s="22"/>
      <c r="R249" s="22"/>
      <c r="S249" s="22"/>
      <c r="T249" s="22"/>
      <c r="U249" s="22"/>
      <c r="V249" s="22"/>
      <c r="W249" s="29"/>
      <c r="X249" s="29"/>
      <c r="Y249" s="29"/>
      <c r="Z249" s="29"/>
      <c r="AA249" s="29"/>
      <c r="AB249" s="29"/>
      <c r="AC249" s="29"/>
      <c r="AD249" s="29"/>
      <c r="AE249" s="29"/>
    </row>
    <row r="250" spans="6:31" ht="16.5" x14ac:dyDescent="0.25">
      <c r="F250" s="22"/>
      <c r="G250" s="22"/>
      <c r="H250" s="22"/>
      <c r="I250" s="22"/>
      <c r="J250" s="22"/>
      <c r="K250" s="22"/>
      <c r="L250" s="22"/>
      <c r="M250" s="22"/>
      <c r="N250" s="22"/>
      <c r="O250" s="22"/>
      <c r="P250" s="22"/>
      <c r="Q250" s="22"/>
      <c r="R250" s="22"/>
      <c r="S250" s="22"/>
      <c r="T250" s="22"/>
      <c r="U250" s="22"/>
      <c r="V250" s="22"/>
      <c r="W250" s="29"/>
      <c r="X250" s="29"/>
      <c r="Y250" s="29"/>
      <c r="Z250" s="29"/>
      <c r="AA250" s="29"/>
      <c r="AB250" s="29"/>
      <c r="AC250" s="29"/>
      <c r="AD250" s="29"/>
      <c r="AE250" s="29"/>
    </row>
    <row r="251" spans="6:31" ht="16.5" x14ac:dyDescent="0.25">
      <c r="F251" s="22"/>
      <c r="G251" s="22"/>
      <c r="H251" s="22"/>
      <c r="I251" s="22"/>
      <c r="J251" s="22"/>
      <c r="K251" s="22"/>
      <c r="L251" s="22"/>
      <c r="M251" s="22"/>
      <c r="N251" s="22"/>
      <c r="O251" s="22"/>
      <c r="P251" s="22"/>
      <c r="Q251" s="22"/>
      <c r="R251" s="22"/>
      <c r="S251" s="22"/>
      <c r="T251" s="22"/>
      <c r="U251" s="22"/>
      <c r="V251" s="22"/>
      <c r="W251" s="29"/>
      <c r="X251" s="29"/>
      <c r="Y251" s="29"/>
      <c r="Z251" s="29"/>
      <c r="AA251" s="29"/>
      <c r="AB251" s="29"/>
      <c r="AC251" s="29"/>
      <c r="AD251" s="29"/>
      <c r="AE251" s="29"/>
    </row>
    <row r="252" spans="6:31" ht="16.5" x14ac:dyDescent="0.25">
      <c r="F252" s="22"/>
      <c r="G252" s="22"/>
      <c r="H252" s="22"/>
      <c r="I252" s="22"/>
      <c r="J252" s="22"/>
      <c r="K252" s="22"/>
      <c r="L252" s="22"/>
      <c r="M252" s="22"/>
      <c r="N252" s="22"/>
      <c r="O252" s="22"/>
      <c r="P252" s="22"/>
      <c r="Q252" s="22"/>
      <c r="R252" s="22"/>
      <c r="S252" s="22"/>
      <c r="T252" s="22"/>
      <c r="U252" s="22"/>
      <c r="V252" s="22"/>
      <c r="W252" s="29"/>
      <c r="X252" s="29"/>
      <c r="Y252" s="29"/>
      <c r="Z252" s="29"/>
      <c r="AA252" s="29"/>
      <c r="AB252" s="29"/>
      <c r="AC252" s="29"/>
      <c r="AD252" s="29"/>
      <c r="AE252" s="29"/>
    </row>
    <row r="253" spans="6:31" ht="16.5" x14ac:dyDescent="0.25">
      <c r="F253" s="22"/>
      <c r="G253" s="22"/>
      <c r="H253" s="22"/>
      <c r="I253" s="22"/>
      <c r="J253" s="22"/>
      <c r="K253" s="22"/>
      <c r="L253" s="22"/>
      <c r="M253" s="22"/>
      <c r="N253" s="22"/>
      <c r="O253" s="22"/>
      <c r="P253" s="22"/>
      <c r="Q253" s="22"/>
      <c r="R253" s="22"/>
      <c r="S253" s="22"/>
      <c r="T253" s="22"/>
      <c r="U253" s="22"/>
      <c r="V253" s="22"/>
      <c r="W253" s="29"/>
      <c r="X253" s="29"/>
      <c r="Y253" s="29"/>
      <c r="Z253" s="29"/>
      <c r="AA253" s="29"/>
      <c r="AB253" s="29"/>
      <c r="AC253" s="29"/>
      <c r="AD253" s="29"/>
      <c r="AE253" s="29"/>
    </row>
    <row r="254" spans="6:31" ht="16.5" x14ac:dyDescent="0.25">
      <c r="F254" s="22"/>
      <c r="G254" s="22"/>
      <c r="H254" s="22"/>
      <c r="I254" s="22"/>
      <c r="J254" s="22"/>
      <c r="K254" s="22"/>
      <c r="L254" s="22"/>
      <c r="M254" s="22"/>
      <c r="N254" s="22"/>
      <c r="O254" s="22"/>
      <c r="P254" s="22"/>
      <c r="Q254" s="22"/>
      <c r="R254" s="22"/>
      <c r="S254" s="22"/>
      <c r="T254" s="22"/>
      <c r="U254" s="22"/>
      <c r="V254" s="22"/>
      <c r="W254" s="29"/>
      <c r="X254" s="29"/>
      <c r="Y254" s="29"/>
      <c r="Z254" s="29"/>
      <c r="AA254" s="29"/>
      <c r="AB254" s="29"/>
      <c r="AC254" s="29"/>
      <c r="AD254" s="29"/>
      <c r="AE254" s="29"/>
    </row>
    <row r="255" spans="6:31" ht="16.5" x14ac:dyDescent="0.25">
      <c r="F255" s="22"/>
      <c r="G255" s="22"/>
      <c r="H255" s="22"/>
      <c r="I255" s="22"/>
      <c r="J255" s="22"/>
      <c r="K255" s="22"/>
      <c r="L255" s="22"/>
      <c r="M255" s="22"/>
      <c r="N255" s="22"/>
      <c r="O255" s="22"/>
      <c r="P255" s="22"/>
      <c r="Q255" s="22"/>
      <c r="R255" s="22"/>
      <c r="S255" s="22"/>
      <c r="T255" s="22"/>
      <c r="U255" s="22"/>
      <c r="V255" s="22"/>
      <c r="W255" s="29"/>
      <c r="X255" s="29"/>
      <c r="Y255" s="29"/>
      <c r="Z255" s="29"/>
      <c r="AA255" s="29"/>
      <c r="AB255" s="29"/>
      <c r="AC255" s="29"/>
      <c r="AD255" s="29"/>
      <c r="AE255" s="29"/>
    </row>
    <row r="256" spans="6:31" ht="16.5" x14ac:dyDescent="0.25">
      <c r="F256" s="22"/>
      <c r="G256" s="22"/>
      <c r="H256" s="22"/>
      <c r="I256" s="22"/>
      <c r="J256" s="22"/>
      <c r="K256" s="22"/>
      <c r="L256" s="22"/>
      <c r="M256" s="22"/>
      <c r="N256" s="22"/>
      <c r="O256" s="22"/>
      <c r="P256" s="22"/>
      <c r="Q256" s="22"/>
      <c r="R256" s="22"/>
      <c r="S256" s="22"/>
      <c r="T256" s="22"/>
      <c r="U256" s="22"/>
      <c r="V256" s="22"/>
      <c r="W256" s="29"/>
      <c r="X256" s="29"/>
      <c r="Y256" s="29"/>
      <c r="Z256" s="29"/>
      <c r="AA256" s="29"/>
      <c r="AB256" s="29"/>
      <c r="AC256" s="29"/>
      <c r="AD256" s="29"/>
      <c r="AE256" s="29"/>
    </row>
    <row r="257" spans="6:31" ht="16.5" x14ac:dyDescent="0.25">
      <c r="F257" s="22"/>
      <c r="G257" s="22"/>
      <c r="H257" s="22"/>
      <c r="I257" s="22"/>
      <c r="J257" s="22"/>
      <c r="K257" s="22"/>
      <c r="L257" s="22"/>
      <c r="M257" s="22"/>
      <c r="N257" s="22"/>
      <c r="O257" s="22"/>
      <c r="P257" s="22"/>
      <c r="Q257" s="22"/>
      <c r="R257" s="22"/>
      <c r="S257" s="22"/>
      <c r="T257" s="22"/>
      <c r="U257" s="22"/>
      <c r="V257" s="22"/>
      <c r="W257" s="29"/>
      <c r="X257" s="29"/>
      <c r="Y257" s="29"/>
      <c r="Z257" s="29"/>
      <c r="AA257" s="29"/>
      <c r="AB257" s="29"/>
      <c r="AC257" s="29"/>
      <c r="AD257" s="29"/>
      <c r="AE257" s="29"/>
    </row>
    <row r="258" spans="6:31" ht="16.5" x14ac:dyDescent="0.25">
      <c r="F258" s="22"/>
      <c r="G258" s="22"/>
      <c r="H258" s="22"/>
      <c r="I258" s="22"/>
      <c r="J258" s="22"/>
      <c r="K258" s="22"/>
      <c r="L258" s="22"/>
      <c r="M258" s="22"/>
      <c r="N258" s="22"/>
      <c r="O258" s="22"/>
      <c r="P258" s="22"/>
      <c r="Q258" s="22"/>
      <c r="R258" s="22"/>
      <c r="S258" s="22"/>
      <c r="T258" s="22"/>
      <c r="U258" s="22"/>
      <c r="V258" s="22"/>
      <c r="W258" s="29"/>
      <c r="X258" s="29"/>
      <c r="Y258" s="29"/>
      <c r="Z258" s="29"/>
      <c r="AA258" s="29"/>
      <c r="AB258" s="29"/>
      <c r="AC258" s="29"/>
      <c r="AD258" s="29"/>
      <c r="AE258" s="29"/>
    </row>
    <row r="259" spans="6:31" ht="16.5" x14ac:dyDescent="0.25">
      <c r="F259" s="22"/>
      <c r="G259" s="22"/>
      <c r="H259" s="22"/>
      <c r="I259" s="22"/>
      <c r="J259" s="22"/>
      <c r="K259" s="22"/>
      <c r="L259" s="22"/>
      <c r="M259" s="22"/>
      <c r="N259" s="22"/>
      <c r="O259" s="22"/>
      <c r="P259" s="22"/>
      <c r="Q259" s="22"/>
      <c r="R259" s="22"/>
      <c r="S259" s="22"/>
      <c r="T259" s="22"/>
      <c r="U259" s="22"/>
      <c r="V259" s="22"/>
      <c r="W259" s="29"/>
      <c r="X259" s="29"/>
      <c r="Y259" s="29"/>
      <c r="Z259" s="29"/>
      <c r="AA259" s="29"/>
      <c r="AB259" s="29"/>
      <c r="AC259" s="29"/>
      <c r="AD259" s="29"/>
      <c r="AE259" s="29"/>
    </row>
    <row r="260" spans="6:31" ht="16.5" x14ac:dyDescent="0.25">
      <c r="F260" s="22"/>
      <c r="G260" s="22"/>
      <c r="H260" s="22"/>
      <c r="I260" s="22"/>
      <c r="J260" s="22"/>
      <c r="K260" s="22"/>
      <c r="L260" s="22"/>
      <c r="M260" s="22"/>
      <c r="N260" s="22"/>
      <c r="O260" s="22"/>
      <c r="P260" s="22"/>
      <c r="Q260" s="22"/>
      <c r="R260" s="22"/>
      <c r="S260" s="22"/>
      <c r="T260" s="22"/>
      <c r="U260" s="22"/>
      <c r="V260" s="22"/>
      <c r="W260" s="29"/>
      <c r="X260" s="29"/>
      <c r="Y260" s="29"/>
      <c r="Z260" s="29"/>
      <c r="AA260" s="29"/>
      <c r="AB260" s="29"/>
      <c r="AC260" s="29"/>
      <c r="AD260" s="29"/>
      <c r="AE260" s="29"/>
    </row>
    <row r="261" spans="6:31" ht="16.5" x14ac:dyDescent="0.25">
      <c r="F261" s="22"/>
      <c r="G261" s="22"/>
      <c r="H261" s="22"/>
      <c r="I261" s="22"/>
      <c r="J261" s="22"/>
      <c r="K261" s="22"/>
      <c r="L261" s="22"/>
      <c r="M261" s="22"/>
      <c r="N261" s="22"/>
      <c r="O261" s="22"/>
      <c r="P261" s="22"/>
      <c r="Q261" s="22"/>
      <c r="R261" s="22"/>
      <c r="S261" s="22"/>
      <c r="T261" s="22"/>
      <c r="U261" s="22"/>
      <c r="V261" s="22"/>
      <c r="W261" s="29"/>
      <c r="X261" s="29"/>
      <c r="Y261" s="29"/>
      <c r="Z261" s="29"/>
      <c r="AA261" s="29"/>
      <c r="AB261" s="29"/>
      <c r="AC261" s="29"/>
      <c r="AD261" s="29"/>
      <c r="AE261" s="29"/>
    </row>
    <row r="262" spans="6:31" ht="16.5" x14ac:dyDescent="0.25">
      <c r="F262" s="22"/>
      <c r="G262" s="22"/>
      <c r="H262" s="22"/>
      <c r="I262" s="22"/>
      <c r="J262" s="22"/>
      <c r="K262" s="22"/>
      <c r="L262" s="22"/>
      <c r="M262" s="22"/>
      <c r="N262" s="22"/>
      <c r="O262" s="22"/>
      <c r="P262" s="22"/>
      <c r="Q262" s="22"/>
      <c r="R262" s="22"/>
      <c r="S262" s="22"/>
      <c r="T262" s="22"/>
      <c r="U262" s="22"/>
      <c r="V262" s="22"/>
      <c r="W262" s="29"/>
      <c r="X262" s="29"/>
      <c r="Y262" s="29"/>
      <c r="Z262" s="29"/>
      <c r="AA262" s="29"/>
      <c r="AB262" s="29"/>
      <c r="AC262" s="29"/>
      <c r="AD262" s="29"/>
      <c r="AE262" s="29"/>
    </row>
    <row r="263" spans="6:31" ht="16.5" x14ac:dyDescent="0.25">
      <c r="F263" s="22"/>
      <c r="G263" s="22"/>
      <c r="H263" s="22"/>
      <c r="I263" s="22"/>
      <c r="J263" s="22"/>
      <c r="K263" s="22"/>
      <c r="L263" s="22"/>
      <c r="M263" s="22"/>
      <c r="N263" s="22"/>
      <c r="O263" s="22"/>
      <c r="P263" s="22"/>
      <c r="Q263" s="22"/>
      <c r="R263" s="22"/>
      <c r="S263" s="22"/>
      <c r="T263" s="22"/>
      <c r="U263" s="22"/>
      <c r="V263" s="22"/>
      <c r="W263" s="29"/>
      <c r="X263" s="29"/>
      <c r="Y263" s="29"/>
      <c r="Z263" s="29"/>
      <c r="AA263" s="29"/>
      <c r="AB263" s="29"/>
      <c r="AC263" s="29"/>
      <c r="AD263" s="29"/>
      <c r="AE263" s="29"/>
    </row>
    <row r="264" spans="6:31" ht="16.5" x14ac:dyDescent="0.25">
      <c r="F264" s="22"/>
      <c r="G264" s="22"/>
      <c r="H264" s="22"/>
      <c r="I264" s="22"/>
      <c r="J264" s="22"/>
      <c r="K264" s="22"/>
      <c r="L264" s="22"/>
      <c r="M264" s="22"/>
      <c r="N264" s="22"/>
      <c r="O264" s="22"/>
      <c r="P264" s="22"/>
      <c r="Q264" s="22"/>
      <c r="R264" s="22"/>
      <c r="S264" s="22"/>
      <c r="T264" s="22"/>
      <c r="U264" s="22"/>
      <c r="V264" s="22"/>
      <c r="W264" s="29"/>
      <c r="X264" s="29"/>
      <c r="Y264" s="29"/>
      <c r="Z264" s="29"/>
      <c r="AA264" s="29"/>
      <c r="AB264" s="29"/>
      <c r="AC264" s="29"/>
      <c r="AD264" s="29"/>
      <c r="AE264" s="29"/>
    </row>
    <row r="265" spans="6:31" ht="16.5" x14ac:dyDescent="0.25">
      <c r="F265" s="22"/>
      <c r="G265" s="22"/>
      <c r="H265" s="22"/>
      <c r="I265" s="22"/>
      <c r="J265" s="22"/>
      <c r="K265" s="22"/>
      <c r="L265" s="22"/>
      <c r="M265" s="22"/>
      <c r="N265" s="22"/>
      <c r="O265" s="22"/>
      <c r="P265" s="22"/>
      <c r="Q265" s="22"/>
      <c r="R265" s="22"/>
      <c r="S265" s="22"/>
      <c r="T265" s="22"/>
      <c r="U265" s="22"/>
      <c r="V265" s="22"/>
      <c r="W265" s="29"/>
      <c r="X265" s="29"/>
      <c r="Y265" s="29"/>
      <c r="Z265" s="29"/>
      <c r="AA265" s="29"/>
      <c r="AB265" s="29"/>
      <c r="AC265" s="29"/>
      <c r="AD265" s="29"/>
      <c r="AE265" s="29"/>
    </row>
    <row r="266" spans="6:31" ht="16.5" x14ac:dyDescent="0.25">
      <c r="F266" s="22"/>
      <c r="G266" s="22"/>
      <c r="H266" s="22"/>
      <c r="I266" s="22"/>
      <c r="J266" s="22"/>
      <c r="K266" s="22"/>
      <c r="L266" s="22"/>
      <c r="M266" s="22"/>
      <c r="N266" s="22"/>
      <c r="O266" s="22"/>
      <c r="P266" s="22"/>
      <c r="Q266" s="22"/>
      <c r="R266" s="22"/>
      <c r="S266" s="22"/>
      <c r="T266" s="22"/>
      <c r="U266" s="22"/>
      <c r="V266" s="22"/>
      <c r="W266" s="29"/>
      <c r="X266" s="29"/>
      <c r="Y266" s="29"/>
      <c r="Z266" s="29"/>
      <c r="AA266" s="29"/>
      <c r="AB266" s="29"/>
      <c r="AC266" s="29"/>
      <c r="AD266" s="29"/>
      <c r="AE266" s="29"/>
    </row>
    <row r="267" spans="6:31" ht="16.5" x14ac:dyDescent="0.25">
      <c r="F267" s="22"/>
      <c r="G267" s="22"/>
      <c r="H267" s="22"/>
      <c r="I267" s="22"/>
      <c r="J267" s="22"/>
      <c r="K267" s="22"/>
      <c r="L267" s="22"/>
      <c r="M267" s="22"/>
      <c r="N267" s="22"/>
      <c r="O267" s="22"/>
      <c r="P267" s="22"/>
      <c r="Q267" s="22"/>
      <c r="R267" s="22"/>
      <c r="S267" s="22"/>
      <c r="T267" s="22"/>
      <c r="U267" s="22"/>
      <c r="V267" s="22"/>
      <c r="W267" s="29"/>
      <c r="X267" s="29"/>
      <c r="Y267" s="29"/>
      <c r="Z267" s="29"/>
      <c r="AA267" s="29"/>
      <c r="AB267" s="29"/>
      <c r="AC267" s="29"/>
      <c r="AD267" s="29"/>
      <c r="AE267" s="29"/>
    </row>
    <row r="268" spans="6:31" ht="16.5" x14ac:dyDescent="0.25">
      <c r="F268" s="22"/>
      <c r="G268" s="22"/>
      <c r="H268" s="22"/>
      <c r="I268" s="22"/>
      <c r="J268" s="22"/>
      <c r="K268" s="22"/>
      <c r="L268" s="22"/>
      <c r="M268" s="22"/>
      <c r="N268" s="22"/>
      <c r="O268" s="22"/>
      <c r="P268" s="22"/>
      <c r="Q268" s="22"/>
      <c r="R268" s="22"/>
      <c r="S268" s="22"/>
      <c r="T268" s="22"/>
      <c r="U268" s="22"/>
      <c r="V268" s="22"/>
      <c r="W268" s="29"/>
      <c r="X268" s="29"/>
      <c r="Y268" s="29"/>
      <c r="Z268" s="29"/>
      <c r="AA268" s="29"/>
      <c r="AB268" s="29"/>
      <c r="AC268" s="29"/>
      <c r="AD268" s="29"/>
      <c r="AE268" s="29"/>
    </row>
    <row r="269" spans="6:31" ht="16.5" x14ac:dyDescent="0.25">
      <c r="F269" s="22"/>
      <c r="G269" s="22"/>
      <c r="H269" s="22"/>
      <c r="I269" s="22"/>
      <c r="J269" s="22"/>
      <c r="K269" s="22"/>
      <c r="L269" s="22"/>
      <c r="M269" s="22"/>
      <c r="N269" s="22"/>
      <c r="O269" s="22"/>
      <c r="P269" s="22"/>
      <c r="Q269" s="22"/>
      <c r="R269" s="22"/>
      <c r="S269" s="22"/>
      <c r="T269" s="22"/>
      <c r="U269" s="22"/>
      <c r="V269" s="22"/>
      <c r="W269" s="29"/>
      <c r="X269" s="29"/>
      <c r="Y269" s="29"/>
      <c r="Z269" s="29"/>
      <c r="AA269" s="29"/>
      <c r="AB269" s="29"/>
      <c r="AC269" s="29"/>
      <c r="AD269" s="29"/>
      <c r="AE269" s="29"/>
    </row>
    <row r="270" spans="6:31" ht="16.5" x14ac:dyDescent="0.25">
      <c r="F270" s="22"/>
      <c r="G270" s="22"/>
      <c r="H270" s="22"/>
      <c r="I270" s="22"/>
      <c r="J270" s="22"/>
      <c r="K270" s="22"/>
      <c r="L270" s="22"/>
      <c r="M270" s="22"/>
      <c r="N270" s="22"/>
      <c r="O270" s="22"/>
      <c r="P270" s="22"/>
      <c r="Q270" s="22"/>
      <c r="R270" s="22"/>
      <c r="S270" s="22"/>
      <c r="T270" s="22"/>
      <c r="U270" s="22"/>
      <c r="V270" s="22"/>
      <c r="W270" s="29"/>
      <c r="X270" s="29"/>
      <c r="Y270" s="29"/>
      <c r="Z270" s="29"/>
      <c r="AA270" s="29"/>
      <c r="AB270" s="29"/>
      <c r="AC270" s="29"/>
      <c r="AD270" s="29"/>
      <c r="AE270" s="29"/>
    </row>
    <row r="271" spans="6:31" ht="16.5" x14ac:dyDescent="0.25">
      <c r="F271" s="22"/>
      <c r="G271" s="22"/>
      <c r="H271" s="22"/>
      <c r="I271" s="22"/>
      <c r="J271" s="22"/>
      <c r="K271" s="22"/>
      <c r="L271" s="22"/>
      <c r="M271" s="22"/>
      <c r="N271" s="22"/>
      <c r="O271" s="22"/>
      <c r="P271" s="22"/>
      <c r="Q271" s="22"/>
      <c r="R271" s="22"/>
      <c r="S271" s="22"/>
      <c r="T271" s="22"/>
      <c r="U271" s="22"/>
      <c r="V271" s="22"/>
      <c r="W271" s="29"/>
      <c r="X271" s="29"/>
      <c r="Y271" s="29"/>
      <c r="Z271" s="29"/>
      <c r="AA271" s="29"/>
      <c r="AB271" s="29"/>
      <c r="AC271" s="29"/>
      <c r="AD271" s="29"/>
      <c r="AE271" s="29"/>
    </row>
    <row r="272" spans="6:31" ht="16.5" x14ac:dyDescent="0.25">
      <c r="F272" s="22"/>
      <c r="G272" s="22"/>
      <c r="H272" s="22"/>
      <c r="I272" s="22"/>
      <c r="J272" s="22"/>
      <c r="K272" s="22"/>
      <c r="L272" s="22"/>
      <c r="M272" s="22"/>
      <c r="N272" s="22"/>
      <c r="O272" s="22"/>
      <c r="P272" s="22"/>
      <c r="Q272" s="22"/>
      <c r="R272" s="22"/>
      <c r="S272" s="22"/>
      <c r="T272" s="22"/>
      <c r="U272" s="22"/>
      <c r="V272" s="22"/>
      <c r="W272" s="29"/>
      <c r="X272" s="29"/>
      <c r="Y272" s="29"/>
      <c r="Z272" s="29"/>
      <c r="AA272" s="29"/>
      <c r="AB272" s="29"/>
      <c r="AC272" s="29"/>
      <c r="AD272" s="29"/>
      <c r="AE272" s="29"/>
    </row>
    <row r="273" spans="6:31" ht="16.5" x14ac:dyDescent="0.25">
      <c r="F273" s="22"/>
      <c r="G273" s="22"/>
      <c r="H273" s="22"/>
      <c r="I273" s="22"/>
      <c r="J273" s="22"/>
      <c r="K273" s="22"/>
      <c r="L273" s="22"/>
      <c r="M273" s="22"/>
      <c r="N273" s="22"/>
      <c r="O273" s="22"/>
      <c r="P273" s="22"/>
      <c r="Q273" s="22"/>
      <c r="R273" s="22"/>
      <c r="S273" s="22"/>
      <c r="T273" s="22"/>
      <c r="U273" s="22"/>
      <c r="V273" s="22"/>
      <c r="W273" s="29"/>
      <c r="X273" s="29"/>
      <c r="Y273" s="29"/>
      <c r="Z273" s="29"/>
      <c r="AA273" s="29"/>
      <c r="AB273" s="29"/>
      <c r="AC273" s="29"/>
      <c r="AD273" s="29"/>
      <c r="AE273" s="29"/>
    </row>
    <row r="274" spans="6:31" ht="16.5" x14ac:dyDescent="0.25">
      <c r="F274" s="22"/>
      <c r="G274" s="22"/>
      <c r="H274" s="22"/>
      <c r="I274" s="22"/>
      <c r="J274" s="22"/>
      <c r="K274" s="22"/>
      <c r="L274" s="22"/>
      <c r="M274" s="22"/>
      <c r="N274" s="22"/>
      <c r="O274" s="22"/>
      <c r="P274" s="22"/>
      <c r="Q274" s="22"/>
      <c r="R274" s="22"/>
      <c r="S274" s="22"/>
      <c r="T274" s="22"/>
      <c r="U274" s="22"/>
      <c r="V274" s="22"/>
      <c r="W274" s="29"/>
      <c r="X274" s="29"/>
      <c r="Y274" s="29"/>
      <c r="Z274" s="29"/>
      <c r="AA274" s="29"/>
      <c r="AB274" s="29"/>
      <c r="AC274" s="29"/>
      <c r="AD274" s="29"/>
      <c r="AE274" s="29"/>
    </row>
    <row r="275" spans="6:31" ht="16.5" x14ac:dyDescent="0.25">
      <c r="F275" s="22"/>
      <c r="G275" s="22"/>
      <c r="H275" s="22"/>
      <c r="I275" s="22"/>
      <c r="J275" s="22"/>
      <c r="K275" s="22"/>
      <c r="L275" s="22"/>
      <c r="M275" s="22"/>
      <c r="N275" s="22"/>
      <c r="O275" s="22"/>
      <c r="P275" s="22"/>
      <c r="Q275" s="22"/>
      <c r="R275" s="22"/>
      <c r="S275" s="22"/>
      <c r="T275" s="22"/>
      <c r="U275" s="22"/>
      <c r="V275" s="22"/>
      <c r="W275" s="29"/>
      <c r="X275" s="29"/>
      <c r="Y275" s="29"/>
      <c r="Z275" s="29"/>
      <c r="AA275" s="29"/>
      <c r="AB275" s="29"/>
      <c r="AC275" s="29"/>
      <c r="AD275" s="29"/>
      <c r="AE275" s="29"/>
    </row>
    <row r="276" spans="6:31" ht="16.5" x14ac:dyDescent="0.25">
      <c r="F276" s="22"/>
      <c r="G276" s="22"/>
      <c r="H276" s="22"/>
      <c r="I276" s="22"/>
      <c r="J276" s="22"/>
      <c r="K276" s="22"/>
      <c r="L276" s="22"/>
      <c r="M276" s="22"/>
      <c r="N276" s="22"/>
      <c r="O276" s="22"/>
      <c r="P276" s="22"/>
      <c r="Q276" s="22"/>
      <c r="R276" s="22"/>
      <c r="S276" s="22"/>
      <c r="T276" s="22"/>
      <c r="U276" s="22"/>
      <c r="V276" s="22"/>
      <c r="W276" s="29"/>
      <c r="X276" s="29"/>
      <c r="Y276" s="29"/>
      <c r="Z276" s="29"/>
      <c r="AA276" s="29"/>
      <c r="AB276" s="29"/>
      <c r="AC276" s="29"/>
      <c r="AD276" s="29"/>
      <c r="AE276" s="29"/>
    </row>
    <row r="277" spans="6:31" ht="16.5" x14ac:dyDescent="0.25">
      <c r="F277" s="22"/>
      <c r="G277" s="22"/>
      <c r="H277" s="22"/>
      <c r="I277" s="22"/>
      <c r="J277" s="22"/>
      <c r="K277" s="22"/>
      <c r="L277" s="22"/>
      <c r="M277" s="22"/>
      <c r="N277" s="22"/>
      <c r="O277" s="22"/>
      <c r="P277" s="22"/>
      <c r="Q277" s="22"/>
      <c r="R277" s="22"/>
      <c r="S277" s="22"/>
      <c r="T277" s="22"/>
      <c r="U277" s="22"/>
      <c r="V277" s="22"/>
      <c r="W277" s="29"/>
      <c r="X277" s="29"/>
      <c r="Y277" s="29"/>
      <c r="Z277" s="29"/>
      <c r="AA277" s="29"/>
      <c r="AB277" s="29"/>
      <c r="AC277" s="29"/>
      <c r="AD277" s="29"/>
      <c r="AE277" s="29"/>
    </row>
    <row r="278" spans="6:31" ht="16.5" x14ac:dyDescent="0.25">
      <c r="F278" s="22"/>
      <c r="G278" s="22"/>
      <c r="H278" s="22"/>
      <c r="I278" s="22"/>
      <c r="J278" s="22"/>
      <c r="K278" s="22"/>
      <c r="L278" s="22"/>
      <c r="M278" s="22"/>
      <c r="N278" s="22"/>
      <c r="O278" s="22"/>
      <c r="P278" s="22"/>
      <c r="Q278" s="22"/>
      <c r="R278" s="22"/>
      <c r="S278" s="22"/>
      <c r="T278" s="22"/>
      <c r="U278" s="22"/>
      <c r="V278" s="22"/>
      <c r="W278" s="29"/>
      <c r="X278" s="29"/>
      <c r="Y278" s="29"/>
      <c r="Z278" s="29"/>
      <c r="AA278" s="29"/>
      <c r="AB278" s="29"/>
      <c r="AC278" s="29"/>
      <c r="AD278" s="29"/>
      <c r="AE278" s="29"/>
    </row>
    <row r="279" spans="6:31" ht="16.5" x14ac:dyDescent="0.25">
      <c r="F279" s="22"/>
      <c r="G279" s="22"/>
      <c r="H279" s="22"/>
      <c r="I279" s="22"/>
      <c r="J279" s="22"/>
      <c r="K279" s="22"/>
      <c r="L279" s="22"/>
      <c r="M279" s="22"/>
      <c r="N279" s="22"/>
      <c r="O279" s="22"/>
      <c r="P279" s="22"/>
      <c r="Q279" s="22"/>
      <c r="R279" s="22"/>
      <c r="S279" s="22"/>
      <c r="T279" s="22"/>
      <c r="U279" s="22"/>
      <c r="V279" s="22"/>
      <c r="W279" s="29"/>
      <c r="X279" s="29"/>
      <c r="Y279" s="29"/>
      <c r="Z279" s="29"/>
      <c r="AA279" s="29"/>
      <c r="AB279" s="29"/>
      <c r="AC279" s="29"/>
      <c r="AD279" s="29"/>
      <c r="AE279" s="29"/>
    </row>
    <row r="280" spans="6:31" ht="16.5" x14ac:dyDescent="0.25">
      <c r="F280" s="22"/>
      <c r="G280" s="22"/>
      <c r="H280" s="22"/>
      <c r="I280" s="22"/>
      <c r="J280" s="22"/>
      <c r="K280" s="22"/>
      <c r="L280" s="22"/>
      <c r="M280" s="22"/>
      <c r="N280" s="22"/>
      <c r="O280" s="22"/>
      <c r="P280" s="22"/>
      <c r="Q280" s="22"/>
      <c r="R280" s="22"/>
      <c r="S280" s="22"/>
      <c r="T280" s="22"/>
      <c r="U280" s="22"/>
      <c r="V280" s="22"/>
      <c r="W280" s="29"/>
      <c r="X280" s="29"/>
      <c r="Y280" s="29"/>
      <c r="Z280" s="29"/>
      <c r="AA280" s="29"/>
      <c r="AB280" s="29"/>
      <c r="AC280" s="29"/>
      <c r="AD280" s="29"/>
      <c r="AE280" s="29"/>
    </row>
    <row r="281" spans="6:31" ht="16.5" x14ac:dyDescent="0.25">
      <c r="F281" s="22"/>
      <c r="G281" s="22"/>
      <c r="H281" s="22"/>
      <c r="I281" s="22"/>
      <c r="J281" s="22"/>
      <c r="K281" s="22"/>
      <c r="L281" s="22"/>
      <c r="M281" s="22"/>
      <c r="N281" s="22"/>
      <c r="O281" s="22"/>
      <c r="P281" s="22"/>
      <c r="Q281" s="22"/>
      <c r="R281" s="22"/>
      <c r="S281" s="22"/>
      <c r="T281" s="22"/>
      <c r="U281" s="22"/>
      <c r="V281" s="22"/>
      <c r="W281" s="29"/>
      <c r="X281" s="29"/>
      <c r="Y281" s="29"/>
      <c r="Z281" s="29"/>
      <c r="AA281" s="29"/>
      <c r="AB281" s="29"/>
      <c r="AC281" s="29"/>
      <c r="AD281" s="29"/>
      <c r="AE281" s="29"/>
    </row>
    <row r="282" spans="6:31" ht="16.5" x14ac:dyDescent="0.25">
      <c r="F282" s="22"/>
      <c r="G282" s="22"/>
      <c r="H282" s="22"/>
      <c r="I282" s="22"/>
      <c r="J282" s="22"/>
      <c r="K282" s="22"/>
      <c r="L282" s="22"/>
      <c r="M282" s="22"/>
      <c r="N282" s="22"/>
      <c r="O282" s="22"/>
      <c r="P282" s="22"/>
      <c r="Q282" s="22"/>
      <c r="R282" s="22"/>
      <c r="S282" s="22"/>
      <c r="T282" s="22"/>
      <c r="U282" s="22"/>
      <c r="V282" s="22"/>
      <c r="W282" s="29"/>
      <c r="X282" s="29"/>
      <c r="Y282" s="29"/>
      <c r="Z282" s="29"/>
      <c r="AA282" s="29"/>
      <c r="AB282" s="29"/>
      <c r="AC282" s="29"/>
      <c r="AD282" s="29"/>
      <c r="AE282" s="29"/>
    </row>
    <row r="283" spans="6:31" ht="16.5" x14ac:dyDescent="0.25">
      <c r="F283" s="22"/>
      <c r="G283" s="22"/>
      <c r="H283" s="22"/>
      <c r="I283" s="22"/>
      <c r="J283" s="22"/>
      <c r="K283" s="22"/>
      <c r="L283" s="22"/>
      <c r="M283" s="22"/>
      <c r="N283" s="22"/>
      <c r="O283" s="22"/>
      <c r="P283" s="22"/>
      <c r="Q283" s="22"/>
      <c r="R283" s="22"/>
      <c r="S283" s="22"/>
      <c r="T283" s="22"/>
      <c r="U283" s="22"/>
      <c r="V283" s="22"/>
      <c r="W283" s="29"/>
      <c r="X283" s="29"/>
      <c r="Y283" s="29"/>
      <c r="Z283" s="29"/>
      <c r="AA283" s="29"/>
      <c r="AB283" s="29"/>
      <c r="AC283" s="29"/>
      <c r="AD283" s="29"/>
      <c r="AE283" s="29"/>
    </row>
    <row r="284" spans="6:31" ht="16.5" x14ac:dyDescent="0.25">
      <c r="F284" s="22"/>
      <c r="G284" s="22"/>
      <c r="H284" s="22"/>
      <c r="I284" s="22"/>
      <c r="J284" s="22"/>
      <c r="K284" s="22"/>
      <c r="L284" s="22"/>
      <c r="M284" s="22"/>
      <c r="N284" s="22"/>
      <c r="O284" s="22"/>
      <c r="P284" s="22"/>
      <c r="Q284" s="22"/>
      <c r="R284" s="22"/>
      <c r="S284" s="22"/>
      <c r="T284" s="22"/>
      <c r="U284" s="22"/>
      <c r="V284" s="22"/>
      <c r="W284" s="29"/>
      <c r="X284" s="29"/>
      <c r="Y284" s="29"/>
      <c r="Z284" s="29"/>
      <c r="AA284" s="29"/>
      <c r="AB284" s="29"/>
      <c r="AC284" s="29"/>
      <c r="AD284" s="29"/>
      <c r="AE284" s="29"/>
    </row>
    <row r="285" spans="6:31" ht="16.5" x14ac:dyDescent="0.25">
      <c r="F285" s="22"/>
      <c r="G285" s="22"/>
      <c r="H285" s="22"/>
      <c r="I285" s="22"/>
      <c r="J285" s="22"/>
      <c r="K285" s="22"/>
      <c r="L285" s="22"/>
      <c r="M285" s="22"/>
      <c r="N285" s="22"/>
      <c r="O285" s="22"/>
      <c r="P285" s="22"/>
      <c r="Q285" s="22"/>
      <c r="R285" s="22"/>
      <c r="S285" s="22"/>
      <c r="T285" s="22"/>
      <c r="U285" s="22"/>
      <c r="V285" s="22"/>
      <c r="W285" s="29"/>
      <c r="X285" s="29"/>
      <c r="Y285" s="29"/>
      <c r="Z285" s="29"/>
      <c r="AA285" s="29"/>
      <c r="AB285" s="29"/>
      <c r="AC285" s="29"/>
      <c r="AD285" s="29"/>
      <c r="AE285" s="29"/>
    </row>
    <row r="286" spans="6:31" ht="16.5" x14ac:dyDescent="0.25">
      <c r="F286" s="22"/>
      <c r="G286" s="22"/>
      <c r="H286" s="22"/>
      <c r="I286" s="22"/>
      <c r="J286" s="22"/>
      <c r="K286" s="22"/>
      <c r="L286" s="22"/>
      <c r="M286" s="22"/>
      <c r="N286" s="22"/>
      <c r="O286" s="22"/>
      <c r="P286" s="22"/>
      <c r="Q286" s="22"/>
      <c r="R286" s="22"/>
      <c r="S286" s="22"/>
      <c r="T286" s="22"/>
      <c r="U286" s="22"/>
      <c r="V286" s="22"/>
      <c r="W286" s="29"/>
      <c r="X286" s="29"/>
      <c r="Y286" s="29"/>
      <c r="Z286" s="29"/>
      <c r="AA286" s="29"/>
      <c r="AB286" s="29"/>
      <c r="AC286" s="29"/>
      <c r="AD286" s="29"/>
      <c r="AE286" s="29"/>
    </row>
    <row r="287" spans="6:31" ht="16.5" x14ac:dyDescent="0.25">
      <c r="F287" s="22"/>
      <c r="G287" s="22"/>
      <c r="H287" s="22"/>
      <c r="I287" s="22"/>
      <c r="J287" s="22"/>
      <c r="K287" s="22"/>
      <c r="L287" s="22"/>
      <c r="M287" s="22"/>
      <c r="N287" s="22"/>
      <c r="O287" s="22"/>
      <c r="P287" s="22"/>
      <c r="Q287" s="22"/>
      <c r="R287" s="22"/>
      <c r="S287" s="22"/>
      <c r="T287" s="22"/>
      <c r="U287" s="22"/>
      <c r="V287" s="22"/>
      <c r="W287" s="29"/>
      <c r="X287" s="29"/>
      <c r="Y287" s="29"/>
      <c r="Z287" s="29"/>
      <c r="AA287" s="29"/>
      <c r="AB287" s="29"/>
      <c r="AC287" s="29"/>
      <c r="AD287" s="29"/>
      <c r="AE287" s="29"/>
    </row>
    <row r="288" spans="6:31" ht="16.5" x14ac:dyDescent="0.25">
      <c r="F288" s="22"/>
      <c r="G288" s="22"/>
      <c r="H288" s="22"/>
      <c r="I288" s="22"/>
      <c r="J288" s="22"/>
      <c r="K288" s="22"/>
      <c r="L288" s="22"/>
      <c r="M288" s="22"/>
      <c r="N288" s="22"/>
      <c r="O288" s="22"/>
      <c r="P288" s="22"/>
      <c r="Q288" s="22"/>
      <c r="R288" s="22"/>
      <c r="S288" s="22"/>
      <c r="T288" s="22"/>
      <c r="U288" s="22"/>
      <c r="V288" s="22"/>
      <c r="W288" s="29"/>
      <c r="X288" s="29"/>
      <c r="Y288" s="29"/>
      <c r="Z288" s="29"/>
      <c r="AA288" s="29"/>
      <c r="AB288" s="29"/>
      <c r="AC288" s="29"/>
      <c r="AD288" s="29"/>
      <c r="AE288" s="29"/>
    </row>
    <row r="289" spans="6:31" ht="16.5" x14ac:dyDescent="0.25">
      <c r="F289" s="22"/>
      <c r="G289" s="22"/>
      <c r="H289" s="22"/>
      <c r="I289" s="22"/>
      <c r="J289" s="22"/>
      <c r="K289" s="22"/>
      <c r="L289" s="22"/>
      <c r="M289" s="22"/>
      <c r="N289" s="22"/>
      <c r="O289" s="22"/>
      <c r="P289" s="22"/>
      <c r="Q289" s="22"/>
      <c r="R289" s="22"/>
      <c r="S289" s="22"/>
      <c r="T289" s="22"/>
      <c r="U289" s="22"/>
      <c r="V289" s="22"/>
      <c r="W289" s="29"/>
      <c r="X289" s="29"/>
      <c r="Y289" s="29"/>
      <c r="Z289" s="29"/>
      <c r="AA289" s="29"/>
      <c r="AB289" s="29"/>
      <c r="AC289" s="29"/>
      <c r="AD289" s="29"/>
      <c r="AE289" s="29"/>
    </row>
    <row r="290" spans="6:31" ht="16.5" x14ac:dyDescent="0.25">
      <c r="F290" s="22"/>
      <c r="G290" s="22"/>
      <c r="H290" s="22"/>
      <c r="I290" s="22"/>
      <c r="J290" s="22"/>
      <c r="K290" s="22"/>
      <c r="L290" s="22"/>
      <c r="M290" s="22"/>
      <c r="N290" s="22"/>
      <c r="O290" s="22"/>
      <c r="P290" s="22"/>
      <c r="Q290" s="22"/>
      <c r="R290" s="22"/>
      <c r="S290" s="22"/>
      <c r="T290" s="22"/>
      <c r="U290" s="22"/>
      <c r="V290" s="22"/>
      <c r="W290" s="29"/>
      <c r="X290" s="29"/>
      <c r="Y290" s="29"/>
      <c r="Z290" s="29"/>
      <c r="AA290" s="29"/>
      <c r="AB290" s="29"/>
      <c r="AC290" s="29"/>
      <c r="AD290" s="29"/>
      <c r="AE290" s="29"/>
    </row>
    <row r="291" spans="6:31" ht="16.5" x14ac:dyDescent="0.25">
      <c r="F291" s="22"/>
      <c r="G291" s="22"/>
      <c r="H291" s="22"/>
      <c r="I291" s="22"/>
      <c r="J291" s="22"/>
      <c r="K291" s="22"/>
      <c r="L291" s="22"/>
      <c r="M291" s="22"/>
      <c r="N291" s="22"/>
      <c r="O291" s="22"/>
      <c r="P291" s="22"/>
      <c r="Q291" s="22"/>
      <c r="R291" s="22"/>
      <c r="S291" s="22"/>
      <c r="T291" s="22"/>
      <c r="U291" s="22"/>
      <c r="V291" s="22"/>
      <c r="W291" s="29"/>
      <c r="X291" s="29"/>
      <c r="Y291" s="29"/>
      <c r="Z291" s="29"/>
      <c r="AA291" s="29"/>
      <c r="AB291" s="29"/>
      <c r="AC291" s="29"/>
      <c r="AD291" s="29"/>
      <c r="AE291" s="29"/>
    </row>
    <row r="292" spans="6:31" ht="16.5" x14ac:dyDescent="0.25">
      <c r="F292" s="22"/>
      <c r="G292" s="22"/>
      <c r="H292" s="22"/>
      <c r="I292" s="22"/>
      <c r="J292" s="22"/>
      <c r="K292" s="22"/>
      <c r="L292" s="22"/>
      <c r="M292" s="22"/>
      <c r="N292" s="22"/>
      <c r="O292" s="22"/>
      <c r="P292" s="22"/>
      <c r="Q292" s="22"/>
      <c r="R292" s="22"/>
      <c r="S292" s="22"/>
      <c r="T292" s="22"/>
      <c r="U292" s="22"/>
      <c r="V292" s="22"/>
      <c r="W292" s="29"/>
      <c r="X292" s="29"/>
      <c r="Y292" s="29"/>
      <c r="Z292" s="29"/>
      <c r="AA292" s="29"/>
      <c r="AB292" s="29"/>
      <c r="AC292" s="29"/>
      <c r="AD292" s="29"/>
      <c r="AE292" s="29"/>
    </row>
    <row r="293" spans="6:31" ht="16.5" x14ac:dyDescent="0.25">
      <c r="F293" s="22"/>
      <c r="G293" s="22"/>
      <c r="H293" s="22"/>
      <c r="I293" s="22"/>
      <c r="J293" s="22"/>
      <c r="K293" s="22"/>
      <c r="L293" s="22"/>
      <c r="M293" s="22"/>
      <c r="N293" s="22"/>
      <c r="O293" s="22"/>
      <c r="P293" s="22"/>
      <c r="Q293" s="22"/>
      <c r="R293" s="22"/>
      <c r="S293" s="22"/>
      <c r="T293" s="22"/>
      <c r="U293" s="22"/>
      <c r="V293" s="22"/>
      <c r="W293" s="29"/>
      <c r="X293" s="29"/>
      <c r="Y293" s="29"/>
      <c r="Z293" s="29"/>
      <c r="AA293" s="29"/>
      <c r="AB293" s="29"/>
      <c r="AC293" s="29"/>
      <c r="AD293" s="29"/>
      <c r="AE293" s="29"/>
    </row>
    <row r="294" spans="6:31" ht="16.5" x14ac:dyDescent="0.25">
      <c r="F294" s="22"/>
      <c r="G294" s="22"/>
      <c r="H294" s="22"/>
      <c r="I294" s="22"/>
      <c r="J294" s="22"/>
      <c r="K294" s="22"/>
      <c r="L294" s="22"/>
      <c r="M294" s="22"/>
      <c r="N294" s="22"/>
      <c r="O294" s="22"/>
      <c r="P294" s="22"/>
      <c r="Q294" s="22"/>
      <c r="R294" s="22"/>
      <c r="S294" s="22"/>
      <c r="T294" s="22"/>
      <c r="U294" s="22"/>
      <c r="V294" s="22"/>
      <c r="W294" s="29"/>
      <c r="X294" s="29"/>
      <c r="Y294" s="29"/>
      <c r="Z294" s="29"/>
      <c r="AA294" s="29"/>
      <c r="AB294" s="29"/>
      <c r="AC294" s="29"/>
      <c r="AD294" s="29"/>
      <c r="AE294" s="29"/>
    </row>
    <row r="295" spans="6:31" ht="16.5" x14ac:dyDescent="0.25">
      <c r="F295" s="22"/>
      <c r="G295" s="22"/>
      <c r="H295" s="22"/>
      <c r="I295" s="22"/>
      <c r="J295" s="22"/>
      <c r="K295" s="22"/>
      <c r="L295" s="22"/>
      <c r="M295" s="22"/>
      <c r="N295" s="22"/>
      <c r="O295" s="22"/>
      <c r="P295" s="22"/>
      <c r="Q295" s="22"/>
      <c r="R295" s="22"/>
      <c r="S295" s="22"/>
      <c r="T295" s="22"/>
      <c r="U295" s="22"/>
      <c r="V295" s="22"/>
      <c r="W295" s="29"/>
      <c r="X295" s="29"/>
      <c r="Y295" s="29"/>
      <c r="Z295" s="29"/>
      <c r="AA295" s="29"/>
      <c r="AB295" s="29"/>
      <c r="AC295" s="29"/>
      <c r="AD295" s="29"/>
      <c r="AE295" s="29"/>
    </row>
    <row r="296" spans="6:31" ht="16.5" x14ac:dyDescent="0.25">
      <c r="F296" s="22"/>
      <c r="G296" s="22"/>
      <c r="H296" s="22"/>
      <c r="I296" s="22"/>
      <c r="J296" s="22"/>
      <c r="K296" s="22"/>
      <c r="L296" s="22"/>
      <c r="M296" s="22"/>
      <c r="N296" s="22"/>
      <c r="O296" s="22"/>
      <c r="P296" s="22"/>
      <c r="Q296" s="22"/>
      <c r="R296" s="22"/>
      <c r="S296" s="22"/>
      <c r="T296" s="22"/>
      <c r="U296" s="22"/>
      <c r="V296" s="22"/>
      <c r="W296" s="29"/>
      <c r="X296" s="29"/>
      <c r="Y296" s="29"/>
      <c r="Z296" s="29"/>
      <c r="AA296" s="29"/>
      <c r="AB296" s="29"/>
      <c r="AC296" s="29"/>
      <c r="AD296" s="29"/>
      <c r="AE296" s="29"/>
    </row>
    <row r="297" spans="6:31" ht="16.5" x14ac:dyDescent="0.25">
      <c r="F297" s="22"/>
      <c r="G297" s="22"/>
      <c r="H297" s="22"/>
      <c r="I297" s="22"/>
      <c r="J297" s="22"/>
      <c r="K297" s="22"/>
      <c r="L297" s="22"/>
      <c r="M297" s="22"/>
      <c r="N297" s="22"/>
      <c r="O297" s="22"/>
      <c r="P297" s="22"/>
      <c r="Q297" s="22"/>
      <c r="R297" s="22"/>
      <c r="S297" s="22"/>
      <c r="T297" s="22"/>
      <c r="U297" s="22"/>
      <c r="V297" s="22"/>
      <c r="W297" s="29"/>
      <c r="X297" s="29"/>
      <c r="Y297" s="29"/>
      <c r="Z297" s="29"/>
      <c r="AA297" s="29"/>
      <c r="AB297" s="29"/>
      <c r="AC297" s="29"/>
      <c r="AD297" s="29"/>
      <c r="AE297" s="29"/>
    </row>
    <row r="298" spans="6:31" ht="16.5" x14ac:dyDescent="0.25">
      <c r="F298" s="22"/>
      <c r="G298" s="22"/>
      <c r="H298" s="22"/>
      <c r="I298" s="22"/>
      <c r="J298" s="22"/>
      <c r="K298" s="22"/>
      <c r="L298" s="22"/>
      <c r="M298" s="22"/>
      <c r="N298" s="22"/>
      <c r="O298" s="22"/>
      <c r="P298" s="22"/>
      <c r="Q298" s="22"/>
      <c r="R298" s="22"/>
      <c r="S298" s="22"/>
      <c r="T298" s="22"/>
      <c r="U298" s="22"/>
      <c r="V298" s="22"/>
      <c r="W298" s="29"/>
      <c r="X298" s="29"/>
      <c r="Y298" s="29"/>
      <c r="Z298" s="29"/>
      <c r="AA298" s="29"/>
      <c r="AB298" s="29"/>
      <c r="AC298" s="29"/>
      <c r="AD298" s="29"/>
      <c r="AE298" s="29"/>
    </row>
    <row r="299" spans="6:31" ht="16.5" x14ac:dyDescent="0.25">
      <c r="F299" s="22"/>
      <c r="G299" s="22"/>
      <c r="H299" s="22"/>
      <c r="I299" s="22"/>
      <c r="J299" s="22"/>
      <c r="K299" s="22"/>
      <c r="L299" s="22"/>
      <c r="M299" s="22"/>
      <c r="N299" s="22"/>
      <c r="O299" s="22"/>
      <c r="P299" s="22"/>
      <c r="Q299" s="22"/>
      <c r="R299" s="22"/>
      <c r="S299" s="22"/>
      <c r="T299" s="22"/>
      <c r="U299" s="22"/>
      <c r="V299" s="22"/>
      <c r="W299" s="29"/>
      <c r="X299" s="29"/>
      <c r="Y299" s="29"/>
      <c r="Z299" s="29"/>
      <c r="AA299" s="29"/>
      <c r="AB299" s="29"/>
      <c r="AC299" s="29"/>
      <c r="AD299" s="29"/>
      <c r="AE299" s="29"/>
    </row>
    <row r="300" spans="6:31" ht="16.5" x14ac:dyDescent="0.25">
      <c r="F300" s="22"/>
      <c r="G300" s="22"/>
      <c r="H300" s="22"/>
      <c r="I300" s="22"/>
      <c r="J300" s="22"/>
      <c r="K300" s="22"/>
      <c r="L300" s="22"/>
      <c r="M300" s="22"/>
      <c r="N300" s="22"/>
      <c r="O300" s="22"/>
      <c r="P300" s="22"/>
      <c r="Q300" s="22"/>
      <c r="R300" s="22"/>
      <c r="S300" s="22"/>
      <c r="T300" s="22"/>
      <c r="U300" s="22"/>
      <c r="V300" s="22"/>
      <c r="W300" s="29"/>
      <c r="X300" s="29"/>
      <c r="Y300" s="29"/>
      <c r="Z300" s="29"/>
      <c r="AA300" s="29"/>
      <c r="AB300" s="29"/>
      <c r="AC300" s="29"/>
      <c r="AD300" s="29"/>
      <c r="AE300" s="29"/>
    </row>
    <row r="301" spans="6:31" ht="16.5" x14ac:dyDescent="0.25">
      <c r="F301" s="22"/>
      <c r="G301" s="22"/>
      <c r="H301" s="22"/>
      <c r="I301" s="22"/>
      <c r="J301" s="22"/>
      <c r="K301" s="22"/>
      <c r="L301" s="22"/>
      <c r="M301" s="22"/>
      <c r="N301" s="22"/>
      <c r="O301" s="22"/>
      <c r="P301" s="22"/>
      <c r="Q301" s="22"/>
      <c r="R301" s="22"/>
      <c r="S301" s="22"/>
      <c r="T301" s="22"/>
      <c r="U301" s="22"/>
      <c r="V301" s="22"/>
      <c r="W301" s="29"/>
      <c r="X301" s="29"/>
      <c r="Y301" s="29"/>
      <c r="Z301" s="29"/>
      <c r="AA301" s="29"/>
      <c r="AB301" s="29"/>
      <c r="AC301" s="29"/>
      <c r="AD301" s="29"/>
      <c r="AE301" s="29"/>
    </row>
    <row r="302" spans="6:31" ht="16.5" x14ac:dyDescent="0.25">
      <c r="F302" s="22"/>
      <c r="G302" s="22"/>
      <c r="H302" s="22"/>
      <c r="I302" s="22"/>
      <c r="J302" s="22"/>
      <c r="K302" s="22"/>
      <c r="L302" s="22"/>
      <c r="M302" s="22"/>
      <c r="N302" s="22"/>
      <c r="O302" s="22"/>
      <c r="P302" s="22"/>
      <c r="Q302" s="22"/>
      <c r="R302" s="22"/>
      <c r="S302" s="22"/>
      <c r="T302" s="22"/>
      <c r="U302" s="22"/>
      <c r="V302" s="22"/>
      <c r="W302" s="29"/>
      <c r="X302" s="29"/>
      <c r="Y302" s="29"/>
      <c r="Z302" s="29"/>
      <c r="AA302" s="29"/>
      <c r="AB302" s="29"/>
      <c r="AC302" s="29"/>
      <c r="AD302" s="29"/>
      <c r="AE302" s="29"/>
    </row>
    <row r="303" spans="6:31" ht="16.5" x14ac:dyDescent="0.25">
      <c r="F303" s="22"/>
      <c r="G303" s="22"/>
      <c r="H303" s="22"/>
      <c r="I303" s="22"/>
      <c r="J303" s="22"/>
      <c r="K303" s="22"/>
      <c r="L303" s="22"/>
      <c r="M303" s="22"/>
      <c r="N303" s="22"/>
      <c r="O303" s="22"/>
      <c r="P303" s="22"/>
      <c r="Q303" s="22"/>
      <c r="R303" s="22"/>
      <c r="S303" s="22"/>
      <c r="T303" s="22"/>
      <c r="U303" s="22"/>
      <c r="V303" s="22"/>
      <c r="W303" s="29"/>
      <c r="X303" s="29"/>
      <c r="Y303" s="29"/>
      <c r="Z303" s="29"/>
      <c r="AA303" s="29"/>
      <c r="AB303" s="29"/>
      <c r="AC303" s="29"/>
      <c r="AD303" s="29"/>
      <c r="AE303" s="29"/>
    </row>
    <row r="304" spans="6:31" ht="16.5" x14ac:dyDescent="0.25">
      <c r="F304" s="22"/>
      <c r="G304" s="22"/>
      <c r="H304" s="22"/>
      <c r="I304" s="22"/>
      <c r="J304" s="22"/>
      <c r="K304" s="22"/>
      <c r="L304" s="22"/>
      <c r="M304" s="22"/>
      <c r="N304" s="22"/>
      <c r="O304" s="22"/>
      <c r="P304" s="22"/>
      <c r="Q304" s="22"/>
      <c r="R304" s="22"/>
      <c r="S304" s="22"/>
      <c r="T304" s="22"/>
      <c r="U304" s="22"/>
      <c r="V304" s="22"/>
      <c r="W304" s="29"/>
      <c r="X304" s="29"/>
      <c r="Y304" s="29"/>
      <c r="Z304" s="29"/>
      <c r="AA304" s="29"/>
      <c r="AB304" s="29"/>
      <c r="AC304" s="29"/>
      <c r="AD304" s="29"/>
      <c r="AE304" s="29"/>
    </row>
    <row r="305" spans="6:31" ht="16.5" x14ac:dyDescent="0.25">
      <c r="F305" s="22"/>
      <c r="G305" s="22"/>
      <c r="H305" s="22"/>
      <c r="I305" s="22"/>
      <c r="J305" s="22"/>
      <c r="K305" s="22"/>
      <c r="L305" s="22"/>
      <c r="M305" s="22"/>
      <c r="N305" s="22"/>
      <c r="O305" s="22"/>
      <c r="P305" s="22"/>
      <c r="Q305" s="22"/>
      <c r="R305" s="22"/>
      <c r="S305" s="22"/>
      <c r="T305" s="22"/>
      <c r="U305" s="22"/>
      <c r="V305" s="22"/>
      <c r="W305" s="29"/>
      <c r="X305" s="29"/>
      <c r="Y305" s="29"/>
      <c r="Z305" s="29"/>
      <c r="AA305" s="29"/>
      <c r="AB305" s="29"/>
      <c r="AC305" s="29"/>
      <c r="AD305" s="29"/>
      <c r="AE305" s="29"/>
    </row>
    <row r="306" spans="6:31" ht="16.5" x14ac:dyDescent="0.25">
      <c r="F306" s="22"/>
      <c r="G306" s="22"/>
      <c r="H306" s="22"/>
      <c r="I306" s="22"/>
      <c r="J306" s="22"/>
      <c r="K306" s="22"/>
      <c r="L306" s="22"/>
      <c r="M306" s="22"/>
      <c r="N306" s="22"/>
      <c r="O306" s="22"/>
      <c r="P306" s="22"/>
      <c r="Q306" s="22"/>
      <c r="R306" s="22"/>
      <c r="S306" s="22"/>
      <c r="T306" s="22"/>
      <c r="U306" s="22"/>
      <c r="V306" s="22"/>
      <c r="W306" s="29"/>
      <c r="X306" s="29"/>
      <c r="Y306" s="29"/>
      <c r="Z306" s="29"/>
      <c r="AA306" s="29"/>
      <c r="AB306" s="29"/>
      <c r="AC306" s="29"/>
      <c r="AD306" s="29"/>
      <c r="AE306" s="29"/>
    </row>
    <row r="307" spans="6:31" ht="16.5" x14ac:dyDescent="0.25">
      <c r="F307" s="22"/>
      <c r="G307" s="22"/>
      <c r="H307" s="22"/>
      <c r="I307" s="22"/>
      <c r="J307" s="22"/>
      <c r="K307" s="22"/>
      <c r="L307" s="22"/>
      <c r="M307" s="22"/>
      <c r="N307" s="22"/>
      <c r="O307" s="22"/>
      <c r="P307" s="22"/>
      <c r="Q307" s="22"/>
      <c r="R307" s="22"/>
      <c r="S307" s="22"/>
      <c r="T307" s="22"/>
      <c r="U307" s="22"/>
      <c r="V307" s="22"/>
      <c r="W307" s="29"/>
      <c r="X307" s="29"/>
      <c r="Y307" s="29"/>
      <c r="Z307" s="29"/>
      <c r="AA307" s="29"/>
      <c r="AB307" s="29"/>
      <c r="AC307" s="29"/>
      <c r="AD307" s="29"/>
      <c r="AE307" s="29"/>
    </row>
    <row r="308" spans="6:31" ht="16.5" x14ac:dyDescent="0.25">
      <c r="F308" s="22"/>
      <c r="G308" s="22"/>
      <c r="H308" s="22"/>
      <c r="I308" s="22"/>
      <c r="J308" s="22"/>
      <c r="K308" s="22"/>
      <c r="L308" s="22"/>
      <c r="M308" s="22"/>
      <c r="N308" s="22"/>
      <c r="O308" s="22"/>
      <c r="P308" s="22"/>
      <c r="Q308" s="22"/>
      <c r="R308" s="22"/>
      <c r="S308" s="22"/>
      <c r="T308" s="22"/>
      <c r="U308" s="22"/>
      <c r="V308" s="22"/>
      <c r="W308" s="29"/>
      <c r="X308" s="29"/>
      <c r="Y308" s="29"/>
      <c r="Z308" s="29"/>
      <c r="AA308" s="29"/>
      <c r="AB308" s="29"/>
      <c r="AC308" s="29"/>
      <c r="AD308" s="29"/>
      <c r="AE308" s="29"/>
    </row>
    <row r="309" spans="6:31" ht="16.5" x14ac:dyDescent="0.25">
      <c r="F309" s="22"/>
      <c r="G309" s="22"/>
      <c r="H309" s="22"/>
      <c r="I309" s="22"/>
      <c r="J309" s="22"/>
      <c r="K309" s="22"/>
      <c r="L309" s="22"/>
      <c r="M309" s="22"/>
      <c r="N309" s="22"/>
      <c r="O309" s="22"/>
      <c r="P309" s="22"/>
      <c r="Q309" s="22"/>
      <c r="R309" s="22"/>
      <c r="S309" s="22"/>
      <c r="T309" s="22"/>
      <c r="U309" s="22"/>
      <c r="V309" s="22"/>
      <c r="W309" s="29"/>
      <c r="X309" s="29"/>
      <c r="Y309" s="29"/>
      <c r="Z309" s="29"/>
      <c r="AA309" s="29"/>
      <c r="AB309" s="29"/>
      <c r="AC309" s="29"/>
      <c r="AD309" s="29"/>
      <c r="AE309" s="29"/>
    </row>
    <row r="310" spans="6:31" ht="16.5" x14ac:dyDescent="0.25">
      <c r="F310" s="22"/>
      <c r="G310" s="22"/>
      <c r="H310" s="22"/>
      <c r="I310" s="22"/>
      <c r="J310" s="22"/>
      <c r="K310" s="22"/>
      <c r="L310" s="22"/>
      <c r="M310" s="22"/>
      <c r="N310" s="22"/>
      <c r="O310" s="22"/>
      <c r="P310" s="22"/>
      <c r="Q310" s="22"/>
      <c r="R310" s="22"/>
      <c r="S310" s="22"/>
      <c r="T310" s="22"/>
      <c r="U310" s="22"/>
      <c r="V310" s="22"/>
      <c r="W310" s="29"/>
      <c r="X310" s="29"/>
      <c r="Y310" s="29"/>
      <c r="Z310" s="29"/>
      <c r="AA310" s="29"/>
      <c r="AB310" s="29"/>
      <c r="AC310" s="29"/>
      <c r="AD310" s="29"/>
      <c r="AE310" s="29"/>
    </row>
    <row r="311" spans="6:31" ht="16.5" x14ac:dyDescent="0.25">
      <c r="F311" s="22"/>
      <c r="G311" s="22"/>
      <c r="H311" s="22"/>
      <c r="I311" s="22"/>
      <c r="J311" s="22"/>
      <c r="K311" s="22"/>
      <c r="L311" s="22"/>
      <c r="M311" s="22"/>
      <c r="N311" s="22"/>
      <c r="O311" s="22"/>
      <c r="P311" s="22"/>
      <c r="Q311" s="22"/>
      <c r="R311" s="22"/>
      <c r="S311" s="22"/>
      <c r="T311" s="22"/>
      <c r="U311" s="22"/>
      <c r="V311" s="22"/>
      <c r="W311" s="29"/>
      <c r="X311" s="29"/>
      <c r="Y311" s="29"/>
      <c r="Z311" s="29"/>
      <c r="AA311" s="29"/>
      <c r="AB311" s="29"/>
      <c r="AC311" s="29"/>
      <c r="AD311" s="29"/>
      <c r="AE311" s="29"/>
    </row>
    <row r="312" spans="6:31" ht="16.5" x14ac:dyDescent="0.25">
      <c r="F312" s="22"/>
      <c r="G312" s="22"/>
      <c r="H312" s="22"/>
      <c r="I312" s="22"/>
      <c r="J312" s="22"/>
      <c r="K312" s="22"/>
      <c r="L312" s="22"/>
      <c r="M312" s="22"/>
      <c r="N312" s="22"/>
      <c r="O312" s="22"/>
      <c r="P312" s="22"/>
      <c r="Q312" s="22"/>
      <c r="R312" s="22"/>
      <c r="S312" s="22"/>
      <c r="T312" s="22"/>
      <c r="U312" s="22"/>
      <c r="V312" s="22"/>
      <c r="W312" s="29"/>
      <c r="X312" s="29"/>
      <c r="Y312" s="29"/>
      <c r="Z312" s="29"/>
      <c r="AA312" s="29"/>
      <c r="AB312" s="29"/>
      <c r="AC312" s="29"/>
      <c r="AD312" s="29"/>
      <c r="AE312" s="29"/>
    </row>
    <row r="313" spans="6:31" ht="16.5" x14ac:dyDescent="0.25">
      <c r="F313" s="22"/>
      <c r="G313" s="22"/>
      <c r="H313" s="22"/>
      <c r="I313" s="22"/>
      <c r="J313" s="22"/>
      <c r="K313" s="22"/>
      <c r="L313" s="22"/>
      <c r="M313" s="22"/>
      <c r="N313" s="22"/>
      <c r="O313" s="22"/>
      <c r="P313" s="22"/>
      <c r="Q313" s="22"/>
      <c r="R313" s="22"/>
      <c r="S313" s="22"/>
      <c r="T313" s="22"/>
      <c r="U313" s="22"/>
      <c r="V313" s="22"/>
      <c r="W313" s="29"/>
      <c r="X313" s="29"/>
      <c r="Y313" s="29"/>
      <c r="Z313" s="29"/>
      <c r="AA313" s="29"/>
      <c r="AB313" s="29"/>
      <c r="AC313" s="29"/>
      <c r="AD313" s="29"/>
      <c r="AE313" s="29"/>
    </row>
    <row r="314" spans="6:31" ht="16.5" x14ac:dyDescent="0.25">
      <c r="F314" s="22"/>
      <c r="G314" s="22"/>
      <c r="H314" s="22"/>
      <c r="I314" s="22"/>
      <c r="J314" s="22"/>
      <c r="K314" s="22"/>
      <c r="L314" s="22"/>
      <c r="M314" s="22"/>
      <c r="N314" s="22"/>
      <c r="O314" s="22"/>
      <c r="P314" s="22"/>
      <c r="Q314" s="22"/>
      <c r="R314" s="22"/>
      <c r="S314" s="22"/>
      <c r="T314" s="22"/>
      <c r="U314" s="22"/>
      <c r="V314" s="22"/>
      <c r="W314" s="29"/>
      <c r="X314" s="29"/>
      <c r="Y314" s="29"/>
      <c r="Z314" s="29"/>
      <c r="AA314" s="29"/>
      <c r="AB314" s="29"/>
      <c r="AC314" s="29"/>
      <c r="AD314" s="29"/>
      <c r="AE314" s="29"/>
    </row>
    <row r="315" spans="6:31" ht="16.5" x14ac:dyDescent="0.25">
      <c r="F315" s="22"/>
      <c r="G315" s="22"/>
      <c r="H315" s="22"/>
      <c r="I315" s="22"/>
      <c r="J315" s="22"/>
      <c r="K315" s="22"/>
      <c r="L315" s="22"/>
      <c r="M315" s="22"/>
      <c r="N315" s="22"/>
      <c r="O315" s="22"/>
      <c r="P315" s="22"/>
      <c r="Q315" s="22"/>
      <c r="R315" s="22"/>
      <c r="S315" s="22"/>
      <c r="T315" s="22"/>
      <c r="U315" s="22"/>
      <c r="V315" s="22"/>
      <c r="W315" s="29"/>
      <c r="X315" s="29"/>
      <c r="Y315" s="29"/>
      <c r="Z315" s="29"/>
      <c r="AA315" s="29"/>
      <c r="AB315" s="29"/>
      <c r="AC315" s="29"/>
      <c r="AD315" s="29"/>
      <c r="AE315" s="29"/>
    </row>
    <row r="316" spans="6:31" ht="16.5" x14ac:dyDescent="0.25">
      <c r="F316" s="22"/>
      <c r="G316" s="22"/>
      <c r="H316" s="22"/>
      <c r="I316" s="22"/>
      <c r="J316" s="22"/>
      <c r="K316" s="22"/>
      <c r="L316" s="22"/>
      <c r="M316" s="22"/>
      <c r="N316" s="22"/>
      <c r="O316" s="22"/>
      <c r="P316" s="22"/>
      <c r="Q316" s="22"/>
      <c r="R316" s="22"/>
      <c r="S316" s="22"/>
      <c r="T316" s="22"/>
      <c r="U316" s="22"/>
      <c r="V316" s="22"/>
      <c r="W316" s="29"/>
      <c r="X316" s="29"/>
      <c r="Y316" s="29"/>
      <c r="Z316" s="29"/>
      <c r="AA316" s="29"/>
      <c r="AB316" s="29"/>
      <c r="AC316" s="29"/>
      <c r="AD316" s="29"/>
      <c r="AE316" s="29"/>
    </row>
    <row r="317" spans="6:31" ht="16.5" x14ac:dyDescent="0.25">
      <c r="F317" s="22"/>
      <c r="G317" s="22"/>
      <c r="H317" s="22"/>
      <c r="I317" s="22"/>
      <c r="J317" s="22"/>
      <c r="K317" s="22"/>
      <c r="L317" s="22"/>
      <c r="M317" s="22"/>
      <c r="N317" s="22"/>
      <c r="O317" s="22"/>
      <c r="P317" s="22"/>
      <c r="Q317" s="22"/>
      <c r="R317" s="22"/>
      <c r="S317" s="22"/>
      <c r="T317" s="22"/>
      <c r="U317" s="22"/>
      <c r="V317" s="22"/>
      <c r="W317" s="29"/>
      <c r="X317" s="29"/>
      <c r="Y317" s="29"/>
      <c r="Z317" s="29"/>
      <c r="AA317" s="29"/>
      <c r="AB317" s="29"/>
      <c r="AC317" s="29"/>
      <c r="AD317" s="29"/>
      <c r="AE317" s="29"/>
    </row>
    <row r="318" spans="6:31" ht="16.5" x14ac:dyDescent="0.25">
      <c r="F318" s="22"/>
      <c r="G318" s="22"/>
      <c r="H318" s="22"/>
      <c r="I318" s="22"/>
      <c r="J318" s="22"/>
      <c r="K318" s="22"/>
      <c r="L318" s="22"/>
      <c r="M318" s="22"/>
      <c r="N318" s="22"/>
      <c r="O318" s="22"/>
      <c r="P318" s="22"/>
      <c r="Q318" s="22"/>
      <c r="R318" s="22"/>
      <c r="S318" s="22"/>
      <c r="T318" s="22"/>
      <c r="U318" s="22"/>
      <c r="V318" s="22"/>
      <c r="W318" s="29"/>
      <c r="X318" s="29"/>
      <c r="Y318" s="29"/>
      <c r="Z318" s="29"/>
      <c r="AA318" s="29"/>
      <c r="AB318" s="29"/>
      <c r="AC318" s="29"/>
      <c r="AD318" s="29"/>
      <c r="AE318" s="29"/>
    </row>
    <row r="319" spans="6:31" ht="16.5" x14ac:dyDescent="0.25">
      <c r="F319" s="22"/>
      <c r="G319" s="22"/>
      <c r="H319" s="22"/>
      <c r="I319" s="22"/>
      <c r="J319" s="22"/>
      <c r="K319" s="22"/>
      <c r="L319" s="22"/>
      <c r="M319" s="22"/>
      <c r="N319" s="22"/>
      <c r="O319" s="22"/>
      <c r="P319" s="22"/>
      <c r="Q319" s="22"/>
      <c r="R319" s="22"/>
      <c r="S319" s="22"/>
      <c r="T319" s="22"/>
      <c r="U319" s="22"/>
      <c r="V319" s="22"/>
      <c r="W319" s="29"/>
      <c r="X319" s="29"/>
      <c r="Y319" s="29"/>
      <c r="Z319" s="29"/>
      <c r="AA319" s="29"/>
      <c r="AB319" s="29"/>
      <c r="AC319" s="29"/>
      <c r="AD319" s="29"/>
      <c r="AE319" s="29"/>
    </row>
    <row r="320" spans="6:31" ht="16.5" x14ac:dyDescent="0.25">
      <c r="F320" s="22"/>
      <c r="G320" s="22"/>
      <c r="H320" s="22"/>
      <c r="I320" s="22"/>
      <c r="J320" s="22"/>
      <c r="K320" s="22"/>
      <c r="L320" s="22"/>
      <c r="M320" s="22"/>
      <c r="N320" s="22"/>
      <c r="O320" s="22"/>
      <c r="P320" s="22"/>
      <c r="Q320" s="22"/>
      <c r="R320" s="22"/>
      <c r="S320" s="22"/>
      <c r="T320" s="22"/>
      <c r="U320" s="22"/>
      <c r="V320" s="22"/>
      <c r="W320" s="29"/>
      <c r="X320" s="29"/>
      <c r="Y320" s="29"/>
      <c r="Z320" s="29"/>
      <c r="AA320" s="29"/>
      <c r="AB320" s="29"/>
      <c r="AC320" s="29"/>
      <c r="AD320" s="29"/>
      <c r="AE320" s="29"/>
    </row>
    <row r="321" spans="6:31" ht="16.5" x14ac:dyDescent="0.25">
      <c r="F321" s="22"/>
      <c r="G321" s="22"/>
      <c r="H321" s="22"/>
      <c r="I321" s="22"/>
      <c r="J321" s="22"/>
      <c r="K321" s="22"/>
      <c r="L321" s="22"/>
      <c r="M321" s="22"/>
      <c r="N321" s="22"/>
      <c r="O321" s="22"/>
      <c r="P321" s="22"/>
      <c r="Q321" s="22"/>
      <c r="R321" s="22"/>
      <c r="S321" s="22"/>
      <c r="T321" s="22"/>
      <c r="U321" s="22"/>
      <c r="V321" s="22"/>
      <c r="W321" s="29"/>
      <c r="X321" s="29"/>
      <c r="Y321" s="29"/>
      <c r="Z321" s="29"/>
      <c r="AA321" s="29"/>
      <c r="AB321" s="29"/>
      <c r="AC321" s="29"/>
      <c r="AD321" s="29"/>
      <c r="AE321" s="29"/>
    </row>
    <row r="322" spans="6:31" ht="16.5" x14ac:dyDescent="0.25">
      <c r="F322" s="22"/>
      <c r="G322" s="22"/>
      <c r="H322" s="22"/>
      <c r="I322" s="22"/>
      <c r="J322" s="22"/>
      <c r="K322" s="22"/>
      <c r="L322" s="22"/>
      <c r="M322" s="22"/>
      <c r="N322" s="22"/>
      <c r="O322" s="22"/>
      <c r="P322" s="22"/>
      <c r="Q322" s="22"/>
      <c r="R322" s="22"/>
      <c r="S322" s="22"/>
      <c r="T322" s="22"/>
      <c r="U322" s="22"/>
      <c r="V322" s="22"/>
      <c r="W322" s="29"/>
      <c r="X322" s="29"/>
      <c r="Y322" s="29"/>
      <c r="Z322" s="29"/>
      <c r="AA322" s="29"/>
      <c r="AB322" s="29"/>
      <c r="AC322" s="29"/>
      <c r="AD322" s="29"/>
      <c r="AE322" s="29"/>
    </row>
    <row r="323" spans="6:31" ht="16.5" x14ac:dyDescent="0.25">
      <c r="F323" s="22"/>
      <c r="G323" s="22"/>
      <c r="H323" s="22"/>
      <c r="I323" s="22"/>
      <c r="J323" s="22"/>
      <c r="K323" s="22"/>
      <c r="L323" s="22"/>
      <c r="M323" s="22"/>
      <c r="N323" s="22"/>
      <c r="O323" s="22"/>
      <c r="P323" s="22"/>
      <c r="Q323" s="22"/>
      <c r="R323" s="22"/>
      <c r="S323" s="22"/>
      <c r="T323" s="22"/>
      <c r="U323" s="22"/>
      <c r="V323" s="22"/>
      <c r="W323" s="29"/>
      <c r="X323" s="29"/>
      <c r="Y323" s="29"/>
      <c r="Z323" s="29"/>
      <c r="AA323" s="29"/>
      <c r="AB323" s="29"/>
      <c r="AC323" s="29"/>
      <c r="AD323" s="29"/>
      <c r="AE323" s="29"/>
    </row>
    <row r="324" spans="6:31" ht="16.5" x14ac:dyDescent="0.25">
      <c r="F324" s="22"/>
      <c r="G324" s="22"/>
      <c r="H324" s="22"/>
      <c r="I324" s="22"/>
      <c r="J324" s="22"/>
      <c r="K324" s="22"/>
      <c r="L324" s="22"/>
      <c r="M324" s="22"/>
      <c r="N324" s="22"/>
      <c r="O324" s="22"/>
      <c r="P324" s="22"/>
      <c r="Q324" s="22"/>
      <c r="R324" s="22"/>
      <c r="S324" s="22"/>
      <c r="T324" s="22"/>
      <c r="U324" s="22"/>
      <c r="V324" s="22"/>
      <c r="W324" s="29"/>
      <c r="X324" s="29"/>
      <c r="Y324" s="29"/>
      <c r="Z324" s="29"/>
      <c r="AA324" s="29"/>
      <c r="AB324" s="29"/>
      <c r="AC324" s="29"/>
      <c r="AD324" s="29"/>
      <c r="AE324" s="29"/>
    </row>
    <row r="325" spans="6:31" ht="16.5" x14ac:dyDescent="0.25">
      <c r="F325" s="22"/>
      <c r="G325" s="22"/>
      <c r="H325" s="22"/>
      <c r="I325" s="22"/>
      <c r="J325" s="22"/>
      <c r="K325" s="22"/>
      <c r="L325" s="22"/>
      <c r="M325" s="22"/>
      <c r="N325" s="22"/>
      <c r="O325" s="22"/>
      <c r="P325" s="22"/>
      <c r="Q325" s="22"/>
      <c r="R325" s="22"/>
      <c r="S325" s="22"/>
      <c r="T325" s="22"/>
      <c r="U325" s="22"/>
      <c r="V325" s="22"/>
      <c r="W325" s="29"/>
      <c r="X325" s="29"/>
      <c r="Y325" s="29"/>
      <c r="Z325" s="29"/>
      <c r="AA325" s="29"/>
      <c r="AB325" s="29"/>
      <c r="AC325" s="29"/>
      <c r="AD325" s="29"/>
      <c r="AE325" s="29"/>
    </row>
    <row r="326" spans="6:31" ht="16.5" x14ac:dyDescent="0.25">
      <c r="F326" s="22"/>
      <c r="G326" s="22"/>
      <c r="H326" s="22"/>
      <c r="I326" s="22"/>
      <c r="J326" s="22"/>
      <c r="K326" s="22"/>
      <c r="L326" s="22"/>
      <c r="M326" s="22"/>
      <c r="N326" s="22"/>
      <c r="O326" s="22"/>
      <c r="P326" s="22"/>
      <c r="Q326" s="22"/>
      <c r="R326" s="22"/>
      <c r="S326" s="22"/>
      <c r="T326" s="22"/>
      <c r="U326" s="22"/>
      <c r="V326" s="22"/>
      <c r="W326" s="29"/>
      <c r="X326" s="29"/>
      <c r="Y326" s="29"/>
      <c r="Z326" s="29"/>
      <c r="AA326" s="29"/>
      <c r="AB326" s="29"/>
      <c r="AC326" s="29"/>
      <c r="AD326" s="29"/>
      <c r="AE326" s="29"/>
    </row>
    <row r="327" spans="6:31" ht="16.5" x14ac:dyDescent="0.25">
      <c r="F327" s="22"/>
      <c r="G327" s="22"/>
      <c r="H327" s="22"/>
      <c r="I327" s="22"/>
      <c r="J327" s="22"/>
      <c r="K327" s="22"/>
      <c r="L327" s="22"/>
      <c r="M327" s="22"/>
      <c r="N327" s="22"/>
      <c r="O327" s="22"/>
      <c r="P327" s="22"/>
      <c r="Q327" s="22"/>
      <c r="R327" s="22"/>
      <c r="S327" s="22"/>
      <c r="T327" s="22"/>
      <c r="U327" s="22"/>
      <c r="V327" s="22"/>
      <c r="W327" s="29"/>
      <c r="X327" s="29"/>
      <c r="Y327" s="29"/>
      <c r="Z327" s="29"/>
      <c r="AA327" s="29"/>
      <c r="AB327" s="29"/>
      <c r="AC327" s="29"/>
      <c r="AD327" s="29"/>
      <c r="AE327" s="29"/>
    </row>
    <row r="328" spans="6:31" ht="16.5" x14ac:dyDescent="0.25">
      <c r="F328" s="22"/>
      <c r="G328" s="22"/>
      <c r="H328" s="22"/>
      <c r="I328" s="22"/>
      <c r="J328" s="22"/>
      <c r="K328" s="22"/>
      <c r="L328" s="22"/>
      <c r="M328" s="22"/>
      <c r="N328" s="22"/>
      <c r="O328" s="22"/>
      <c r="P328" s="22"/>
      <c r="Q328" s="22"/>
      <c r="R328" s="22"/>
      <c r="S328" s="22"/>
      <c r="T328" s="22"/>
      <c r="U328" s="22"/>
      <c r="V328" s="22"/>
      <c r="W328" s="29"/>
      <c r="X328" s="29"/>
      <c r="Y328" s="29"/>
      <c r="Z328" s="29"/>
      <c r="AA328" s="29"/>
      <c r="AB328" s="29"/>
      <c r="AC328" s="29"/>
      <c r="AD328" s="29"/>
      <c r="AE328" s="29"/>
    </row>
    <row r="329" spans="6:31" ht="16.5" x14ac:dyDescent="0.25">
      <c r="F329" s="22"/>
      <c r="G329" s="22"/>
      <c r="H329" s="22"/>
      <c r="I329" s="22"/>
      <c r="J329" s="22"/>
      <c r="K329" s="22"/>
      <c r="L329" s="22"/>
      <c r="M329" s="22"/>
      <c r="N329" s="22"/>
      <c r="O329" s="22"/>
      <c r="P329" s="22"/>
      <c r="Q329" s="22"/>
      <c r="R329" s="22"/>
      <c r="S329" s="22"/>
      <c r="T329" s="22"/>
      <c r="U329" s="22"/>
      <c r="V329" s="22"/>
      <c r="W329" s="29"/>
      <c r="X329" s="29"/>
      <c r="Y329" s="29"/>
      <c r="Z329" s="29"/>
      <c r="AA329" s="29"/>
      <c r="AB329" s="29"/>
      <c r="AC329" s="29"/>
      <c r="AD329" s="29"/>
      <c r="AE329" s="29"/>
    </row>
    <row r="330" spans="6:31" ht="16.5" x14ac:dyDescent="0.25">
      <c r="F330" s="22"/>
      <c r="G330" s="22"/>
      <c r="H330" s="22"/>
      <c r="I330" s="22"/>
      <c r="J330" s="22"/>
      <c r="K330" s="22"/>
      <c r="L330" s="22"/>
      <c r="M330" s="22"/>
      <c r="N330" s="22"/>
      <c r="O330" s="22"/>
      <c r="P330" s="22"/>
      <c r="Q330" s="22"/>
      <c r="R330" s="22"/>
      <c r="S330" s="22"/>
      <c r="T330" s="22"/>
      <c r="U330" s="22"/>
      <c r="V330" s="22"/>
      <c r="W330" s="29"/>
      <c r="X330" s="29"/>
      <c r="Y330" s="29"/>
      <c r="Z330" s="29"/>
      <c r="AA330" s="29"/>
      <c r="AB330" s="29"/>
      <c r="AC330" s="29"/>
      <c r="AD330" s="29"/>
      <c r="AE330" s="29"/>
    </row>
    <row r="331" spans="6:31" ht="16.5" x14ac:dyDescent="0.25">
      <c r="F331" s="22"/>
      <c r="G331" s="22"/>
      <c r="H331" s="22"/>
      <c r="I331" s="22"/>
      <c r="J331" s="22"/>
      <c r="K331" s="22"/>
      <c r="L331" s="22"/>
      <c r="M331" s="22"/>
      <c r="N331" s="22"/>
      <c r="O331" s="22"/>
      <c r="P331" s="22"/>
      <c r="Q331" s="22"/>
      <c r="R331" s="22"/>
      <c r="S331" s="22"/>
      <c r="T331" s="22"/>
      <c r="U331" s="22"/>
      <c r="V331" s="22"/>
      <c r="W331" s="29"/>
      <c r="X331" s="29"/>
      <c r="Y331" s="29"/>
      <c r="Z331" s="29"/>
      <c r="AA331" s="29"/>
      <c r="AB331" s="29"/>
      <c r="AC331" s="29"/>
      <c r="AD331" s="29"/>
      <c r="AE331" s="29"/>
    </row>
    <row r="332" spans="6:31" ht="16.5" x14ac:dyDescent="0.25">
      <c r="F332" s="22"/>
      <c r="G332" s="22"/>
      <c r="H332" s="22"/>
      <c r="I332" s="22"/>
      <c r="J332" s="22"/>
      <c r="K332" s="22"/>
      <c r="L332" s="22"/>
      <c r="M332" s="22"/>
      <c r="N332" s="22"/>
      <c r="O332" s="22"/>
      <c r="P332" s="22"/>
      <c r="Q332" s="22"/>
      <c r="R332" s="22"/>
      <c r="S332" s="22"/>
      <c r="T332" s="22"/>
      <c r="U332" s="22"/>
      <c r="V332" s="22"/>
      <c r="W332" s="29"/>
      <c r="X332" s="29"/>
      <c r="Y332" s="29"/>
      <c r="Z332" s="29"/>
      <c r="AA332" s="29"/>
      <c r="AB332" s="29"/>
      <c r="AC332" s="29"/>
      <c r="AD332" s="29"/>
      <c r="AE332" s="29"/>
    </row>
    <row r="333" spans="6:31" ht="16.5" x14ac:dyDescent="0.25">
      <c r="F333" s="22"/>
      <c r="G333" s="22"/>
      <c r="H333" s="22"/>
      <c r="I333" s="22"/>
      <c r="J333" s="22"/>
      <c r="K333" s="22"/>
      <c r="L333" s="22"/>
      <c r="M333" s="22"/>
      <c r="N333" s="22"/>
      <c r="O333" s="22"/>
      <c r="P333" s="22"/>
      <c r="Q333" s="22"/>
      <c r="R333" s="22"/>
      <c r="S333" s="22"/>
      <c r="T333" s="22"/>
      <c r="U333" s="22"/>
      <c r="V333" s="22"/>
      <c r="W333" s="29"/>
      <c r="X333" s="29"/>
      <c r="Y333" s="29"/>
      <c r="Z333" s="29"/>
      <c r="AA333" s="29"/>
      <c r="AB333" s="29"/>
      <c r="AC333" s="29"/>
      <c r="AD333" s="29"/>
      <c r="AE333" s="29"/>
    </row>
    <row r="334" spans="6:31" ht="16.5" x14ac:dyDescent="0.25">
      <c r="F334" s="22"/>
      <c r="G334" s="22"/>
      <c r="H334" s="22"/>
      <c r="I334" s="22"/>
      <c r="J334" s="22"/>
      <c r="K334" s="22"/>
      <c r="L334" s="22"/>
      <c r="M334" s="22"/>
      <c r="N334" s="22"/>
      <c r="O334" s="22"/>
      <c r="P334" s="22"/>
      <c r="Q334" s="22"/>
      <c r="R334" s="22"/>
      <c r="S334" s="22"/>
      <c r="T334" s="22"/>
      <c r="U334" s="22"/>
      <c r="V334" s="22"/>
      <c r="W334" s="29"/>
      <c r="X334" s="29"/>
      <c r="Y334" s="29"/>
      <c r="Z334" s="29"/>
      <c r="AA334" s="29"/>
      <c r="AB334" s="29"/>
      <c r="AC334" s="29"/>
      <c r="AD334" s="29"/>
      <c r="AE334" s="29"/>
    </row>
    <row r="335" spans="6:31" ht="16.5" x14ac:dyDescent="0.25">
      <c r="F335" s="22"/>
      <c r="G335" s="22"/>
      <c r="H335" s="22"/>
      <c r="I335" s="22"/>
      <c r="J335" s="22"/>
      <c r="K335" s="22"/>
      <c r="L335" s="22"/>
      <c r="M335" s="22"/>
      <c r="N335" s="22"/>
      <c r="O335" s="22"/>
      <c r="P335" s="22"/>
      <c r="Q335" s="22"/>
      <c r="R335" s="22"/>
      <c r="S335" s="22"/>
      <c r="T335" s="22"/>
      <c r="U335" s="22"/>
      <c r="V335" s="22"/>
      <c r="W335" s="29"/>
      <c r="X335" s="29"/>
      <c r="Y335" s="29"/>
      <c r="Z335" s="29"/>
      <c r="AA335" s="29"/>
      <c r="AB335" s="29"/>
      <c r="AC335" s="29"/>
      <c r="AD335" s="29"/>
      <c r="AE335" s="29"/>
    </row>
    <row r="336" spans="6:31" ht="16.5" x14ac:dyDescent="0.25">
      <c r="F336" s="22"/>
      <c r="G336" s="22"/>
      <c r="H336" s="22"/>
      <c r="I336" s="22"/>
      <c r="J336" s="22"/>
      <c r="K336" s="22"/>
      <c r="L336" s="22"/>
      <c r="M336" s="22"/>
      <c r="N336" s="22"/>
      <c r="O336" s="22"/>
      <c r="P336" s="22"/>
      <c r="Q336" s="22"/>
      <c r="R336" s="22"/>
      <c r="S336" s="22"/>
      <c r="T336" s="22"/>
      <c r="U336" s="22"/>
      <c r="V336" s="22"/>
      <c r="W336" s="29"/>
      <c r="X336" s="29"/>
      <c r="Y336" s="29"/>
      <c r="Z336" s="29"/>
      <c r="AA336" s="29"/>
      <c r="AB336" s="29"/>
      <c r="AC336" s="29"/>
      <c r="AD336" s="29"/>
      <c r="AE336" s="29"/>
    </row>
    <row r="337" spans="6:31" ht="16.5" x14ac:dyDescent="0.25">
      <c r="F337" s="22"/>
      <c r="G337" s="22"/>
      <c r="H337" s="22"/>
      <c r="I337" s="22"/>
      <c r="J337" s="22"/>
      <c r="K337" s="22"/>
      <c r="L337" s="22"/>
      <c r="M337" s="22"/>
      <c r="N337" s="22"/>
      <c r="O337" s="22"/>
      <c r="P337" s="22"/>
      <c r="Q337" s="22"/>
      <c r="R337" s="22"/>
      <c r="S337" s="22"/>
      <c r="T337" s="22"/>
      <c r="U337" s="22"/>
      <c r="V337" s="22"/>
      <c r="W337" s="29"/>
      <c r="X337" s="29"/>
      <c r="Y337" s="29"/>
      <c r="Z337" s="29"/>
      <c r="AA337" s="29"/>
      <c r="AB337" s="29"/>
      <c r="AC337" s="29"/>
      <c r="AD337" s="29"/>
      <c r="AE337" s="29"/>
    </row>
    <row r="338" spans="6:31" ht="16.5" x14ac:dyDescent="0.25">
      <c r="F338" s="22"/>
      <c r="G338" s="22"/>
      <c r="H338" s="22"/>
      <c r="I338" s="22"/>
      <c r="J338" s="22"/>
      <c r="K338" s="22"/>
      <c r="L338" s="22"/>
      <c r="M338" s="22"/>
      <c r="N338" s="22"/>
      <c r="O338" s="22"/>
      <c r="P338" s="22"/>
      <c r="Q338" s="22"/>
      <c r="R338" s="22"/>
      <c r="S338" s="22"/>
      <c r="T338" s="22"/>
      <c r="U338" s="22"/>
      <c r="V338" s="22"/>
      <c r="W338" s="29"/>
      <c r="X338" s="29"/>
      <c r="Y338" s="29"/>
      <c r="Z338" s="29"/>
      <c r="AA338" s="29"/>
      <c r="AB338" s="29"/>
      <c r="AC338" s="29"/>
      <c r="AD338" s="29"/>
      <c r="AE338" s="29"/>
    </row>
    <row r="339" spans="6:31" ht="16.5" x14ac:dyDescent="0.25">
      <c r="F339" s="22"/>
      <c r="G339" s="22"/>
      <c r="H339" s="22"/>
      <c r="I339" s="22"/>
      <c r="J339" s="22"/>
      <c r="K339" s="22"/>
      <c r="L339" s="22"/>
      <c r="M339" s="22"/>
      <c r="N339" s="22"/>
      <c r="O339" s="22"/>
      <c r="P339" s="22"/>
      <c r="Q339" s="22"/>
      <c r="R339" s="22"/>
      <c r="S339" s="22"/>
      <c r="T339" s="22"/>
      <c r="U339" s="22"/>
      <c r="V339" s="22"/>
      <c r="W339" s="29"/>
      <c r="X339" s="29"/>
      <c r="Y339" s="29"/>
      <c r="Z339" s="29"/>
      <c r="AA339" s="29"/>
      <c r="AB339" s="29"/>
      <c r="AC339" s="29"/>
      <c r="AD339" s="29"/>
      <c r="AE339" s="29"/>
    </row>
    <row r="340" spans="6:31" ht="16.5" x14ac:dyDescent="0.25">
      <c r="F340" s="22"/>
      <c r="G340" s="22"/>
      <c r="H340" s="22"/>
      <c r="I340" s="22"/>
      <c r="J340" s="22"/>
      <c r="K340" s="22"/>
      <c r="L340" s="22"/>
      <c r="M340" s="22"/>
      <c r="N340" s="22"/>
      <c r="O340" s="22"/>
      <c r="P340" s="22"/>
      <c r="Q340" s="22"/>
      <c r="R340" s="22"/>
      <c r="S340" s="22"/>
      <c r="T340" s="22"/>
      <c r="U340" s="22"/>
      <c r="V340" s="22"/>
      <c r="W340" s="29"/>
      <c r="X340" s="29"/>
      <c r="Y340" s="29"/>
      <c r="Z340" s="29"/>
      <c r="AA340" s="29"/>
      <c r="AB340" s="29"/>
      <c r="AC340" s="29"/>
      <c r="AD340" s="29"/>
      <c r="AE340" s="29"/>
    </row>
    <row r="341" spans="6:31" ht="16.5" x14ac:dyDescent="0.25">
      <c r="F341" s="22"/>
      <c r="G341" s="22"/>
      <c r="H341" s="22"/>
      <c r="I341" s="22"/>
      <c r="J341" s="22"/>
      <c r="K341" s="22"/>
      <c r="L341" s="22"/>
      <c r="M341" s="22"/>
      <c r="N341" s="22"/>
      <c r="O341" s="22"/>
      <c r="P341" s="22"/>
      <c r="Q341" s="22"/>
      <c r="R341" s="22"/>
      <c r="S341" s="22"/>
      <c r="T341" s="22"/>
      <c r="U341" s="22"/>
      <c r="V341" s="22"/>
      <c r="W341" s="29"/>
      <c r="X341" s="29"/>
      <c r="Y341" s="29"/>
      <c r="Z341" s="29"/>
      <c r="AA341" s="29"/>
      <c r="AB341" s="29"/>
      <c r="AC341" s="29"/>
      <c r="AD341" s="29"/>
      <c r="AE341" s="29"/>
    </row>
    <row r="342" spans="6:31" ht="16.5" x14ac:dyDescent="0.25">
      <c r="F342" s="22"/>
      <c r="G342" s="22"/>
      <c r="H342" s="22"/>
      <c r="I342" s="22"/>
      <c r="J342" s="22"/>
      <c r="K342" s="22"/>
      <c r="L342" s="22"/>
      <c r="M342" s="22"/>
      <c r="N342" s="22"/>
      <c r="O342" s="22"/>
      <c r="P342" s="22"/>
      <c r="Q342" s="22"/>
      <c r="R342" s="22"/>
      <c r="S342" s="22"/>
      <c r="T342" s="22"/>
      <c r="U342" s="22"/>
      <c r="V342" s="22"/>
      <c r="W342" s="29"/>
      <c r="X342" s="29"/>
      <c r="Y342" s="29"/>
      <c r="Z342" s="29"/>
      <c r="AA342" s="29"/>
      <c r="AB342" s="29"/>
      <c r="AC342" s="29"/>
      <c r="AD342" s="29"/>
      <c r="AE342" s="29"/>
    </row>
    <row r="343" spans="6:31" ht="16.5" x14ac:dyDescent="0.25">
      <c r="F343" s="22"/>
      <c r="G343" s="22"/>
      <c r="H343" s="22"/>
      <c r="I343" s="22"/>
      <c r="J343" s="22"/>
      <c r="K343" s="22"/>
      <c r="L343" s="22"/>
      <c r="M343" s="22"/>
      <c r="N343" s="22"/>
      <c r="O343" s="22"/>
      <c r="P343" s="22"/>
      <c r="Q343" s="22"/>
      <c r="R343" s="22"/>
      <c r="S343" s="22"/>
      <c r="T343" s="22"/>
      <c r="U343" s="22"/>
      <c r="V343" s="22"/>
      <c r="W343" s="29"/>
      <c r="X343" s="29"/>
      <c r="Y343" s="29"/>
      <c r="Z343" s="29"/>
      <c r="AA343" s="29"/>
      <c r="AB343" s="29"/>
      <c r="AC343" s="29"/>
      <c r="AD343" s="29"/>
      <c r="AE343" s="29"/>
    </row>
    <row r="344" spans="6:31" ht="16.5" x14ac:dyDescent="0.25">
      <c r="F344" s="22"/>
      <c r="G344" s="22"/>
      <c r="H344" s="22"/>
      <c r="I344" s="22"/>
      <c r="J344" s="22"/>
      <c r="K344" s="22"/>
      <c r="L344" s="22"/>
      <c r="M344" s="22"/>
      <c r="N344" s="22"/>
      <c r="O344" s="22"/>
      <c r="P344" s="22"/>
      <c r="Q344" s="22"/>
      <c r="R344" s="22"/>
      <c r="S344" s="22"/>
      <c r="T344" s="22"/>
      <c r="U344" s="22"/>
      <c r="V344" s="22"/>
      <c r="W344" s="29"/>
      <c r="X344" s="29"/>
      <c r="Y344" s="29"/>
      <c r="Z344" s="29"/>
      <c r="AA344" s="29"/>
      <c r="AB344" s="29"/>
      <c r="AC344" s="29"/>
      <c r="AD344" s="29"/>
      <c r="AE344" s="29"/>
    </row>
    <row r="345" spans="6:31" ht="16.5" x14ac:dyDescent="0.25">
      <c r="F345" s="22"/>
      <c r="G345" s="22"/>
      <c r="H345" s="22"/>
      <c r="I345" s="22"/>
      <c r="J345" s="22"/>
      <c r="K345" s="22"/>
      <c r="L345" s="22"/>
      <c r="M345" s="22"/>
      <c r="N345" s="22"/>
      <c r="O345" s="22"/>
      <c r="P345" s="22"/>
      <c r="Q345" s="22"/>
      <c r="R345" s="22"/>
      <c r="S345" s="22"/>
      <c r="T345" s="22"/>
      <c r="U345" s="22"/>
      <c r="V345" s="22"/>
      <c r="W345" s="29"/>
      <c r="X345" s="29"/>
      <c r="Y345" s="29"/>
      <c r="Z345" s="29"/>
      <c r="AA345" s="29"/>
      <c r="AB345" s="29"/>
      <c r="AC345" s="29"/>
      <c r="AD345" s="29"/>
      <c r="AE345" s="29"/>
    </row>
    <row r="346" spans="6:31" ht="16.5" x14ac:dyDescent="0.25">
      <c r="F346" s="22"/>
      <c r="G346" s="22"/>
      <c r="H346" s="22"/>
      <c r="I346" s="22"/>
      <c r="J346" s="22"/>
      <c r="K346" s="22"/>
      <c r="L346" s="22"/>
      <c r="M346" s="22"/>
      <c r="N346" s="22"/>
      <c r="O346" s="22"/>
      <c r="P346" s="22"/>
      <c r="Q346" s="22"/>
      <c r="R346" s="22"/>
      <c r="S346" s="22"/>
      <c r="T346" s="22"/>
      <c r="U346" s="22"/>
      <c r="V346" s="22"/>
      <c r="W346" s="29"/>
      <c r="X346" s="29"/>
      <c r="Y346" s="29"/>
      <c r="Z346" s="29"/>
      <c r="AA346" s="29"/>
      <c r="AB346" s="29"/>
      <c r="AC346" s="29"/>
      <c r="AD346" s="29"/>
      <c r="AE346" s="29"/>
    </row>
    <row r="347" spans="6:31" ht="16.5" x14ac:dyDescent="0.25">
      <c r="F347" s="22"/>
      <c r="G347" s="22"/>
      <c r="H347" s="22"/>
      <c r="I347" s="22"/>
      <c r="J347" s="22"/>
      <c r="K347" s="22"/>
      <c r="L347" s="22"/>
      <c r="M347" s="22"/>
      <c r="N347" s="22"/>
      <c r="O347" s="22"/>
      <c r="P347" s="22"/>
      <c r="Q347" s="22"/>
      <c r="R347" s="22"/>
      <c r="S347" s="22"/>
      <c r="T347" s="22"/>
      <c r="U347" s="22"/>
      <c r="V347" s="22"/>
      <c r="W347" s="29"/>
      <c r="X347" s="29"/>
      <c r="Y347" s="29"/>
      <c r="Z347" s="29"/>
      <c r="AA347" s="29"/>
      <c r="AB347" s="29"/>
      <c r="AC347" s="29"/>
      <c r="AD347" s="29"/>
      <c r="AE347" s="29"/>
    </row>
    <row r="348" spans="6:31" ht="16.5" x14ac:dyDescent="0.25">
      <c r="F348" s="22"/>
      <c r="G348" s="22"/>
      <c r="H348" s="22"/>
      <c r="I348" s="22"/>
      <c r="J348" s="22"/>
      <c r="K348" s="22"/>
      <c r="L348" s="22"/>
      <c r="M348" s="22"/>
      <c r="N348" s="22"/>
      <c r="O348" s="22"/>
      <c r="P348" s="22"/>
      <c r="Q348" s="22"/>
      <c r="R348" s="22"/>
      <c r="S348" s="22"/>
      <c r="T348" s="22"/>
      <c r="U348" s="22"/>
      <c r="V348" s="22"/>
      <c r="W348" s="29"/>
      <c r="X348" s="29"/>
      <c r="Y348" s="29"/>
      <c r="Z348" s="29"/>
      <c r="AA348" s="29"/>
      <c r="AB348" s="29"/>
      <c r="AC348" s="29"/>
      <c r="AD348" s="29"/>
      <c r="AE348" s="29"/>
    </row>
    <row r="349" spans="6:31" ht="16.5" x14ac:dyDescent="0.25">
      <c r="F349" s="22"/>
      <c r="G349" s="22"/>
      <c r="H349" s="22"/>
      <c r="I349" s="22"/>
      <c r="J349" s="22"/>
      <c r="K349" s="22"/>
      <c r="L349" s="22"/>
      <c r="M349" s="22"/>
      <c r="N349" s="22"/>
      <c r="O349" s="22"/>
      <c r="P349" s="22"/>
      <c r="Q349" s="22"/>
      <c r="R349" s="22"/>
      <c r="S349" s="22"/>
      <c r="T349" s="22"/>
      <c r="U349" s="22"/>
      <c r="V349" s="22"/>
      <c r="W349" s="29"/>
      <c r="X349" s="29"/>
      <c r="Y349" s="29"/>
      <c r="Z349" s="29"/>
      <c r="AA349" s="29"/>
      <c r="AB349" s="29"/>
      <c r="AC349" s="29"/>
      <c r="AD349" s="29"/>
      <c r="AE349" s="29"/>
    </row>
    <row r="350" spans="6:31" ht="16.5" x14ac:dyDescent="0.25">
      <c r="F350" s="22"/>
      <c r="G350" s="22"/>
      <c r="H350" s="22"/>
      <c r="I350" s="22"/>
      <c r="J350" s="22"/>
      <c r="K350" s="22"/>
      <c r="L350" s="22"/>
      <c r="M350" s="22"/>
      <c r="N350" s="22"/>
      <c r="O350" s="22"/>
      <c r="P350" s="22"/>
      <c r="Q350" s="22"/>
      <c r="R350" s="22"/>
      <c r="S350" s="22"/>
      <c r="T350" s="22"/>
      <c r="U350" s="22"/>
      <c r="V350" s="22"/>
      <c r="W350" s="29"/>
      <c r="X350" s="29"/>
      <c r="Y350" s="29"/>
      <c r="Z350" s="29"/>
      <c r="AA350" s="29"/>
      <c r="AB350" s="29"/>
      <c r="AC350" s="29"/>
      <c r="AD350" s="29"/>
      <c r="AE350" s="29"/>
    </row>
    <row r="351" spans="6:31" ht="16.5" x14ac:dyDescent="0.25">
      <c r="F351" s="22"/>
      <c r="G351" s="22"/>
      <c r="H351" s="22"/>
      <c r="I351" s="22"/>
      <c r="J351" s="22"/>
      <c r="K351" s="22"/>
      <c r="L351" s="22"/>
      <c r="M351" s="22"/>
      <c r="N351" s="22"/>
      <c r="O351" s="22"/>
      <c r="P351" s="22"/>
      <c r="Q351" s="22"/>
      <c r="R351" s="22"/>
      <c r="S351" s="22"/>
      <c r="T351" s="22"/>
      <c r="U351" s="22"/>
      <c r="V351" s="22"/>
      <c r="W351" s="29"/>
      <c r="X351" s="29"/>
      <c r="Y351" s="29"/>
      <c r="Z351" s="29"/>
      <c r="AA351" s="29"/>
      <c r="AB351" s="29"/>
      <c r="AC351" s="29"/>
      <c r="AD351" s="29"/>
      <c r="AE351" s="29"/>
    </row>
    <row r="352" spans="6:31" ht="16.5" x14ac:dyDescent="0.25">
      <c r="F352" s="22"/>
      <c r="G352" s="22"/>
      <c r="H352" s="22"/>
      <c r="I352" s="22"/>
      <c r="J352" s="22"/>
      <c r="K352" s="22"/>
      <c r="L352" s="22"/>
      <c r="M352" s="22"/>
      <c r="N352" s="22"/>
      <c r="O352" s="22"/>
      <c r="P352" s="22"/>
      <c r="Q352" s="22"/>
      <c r="R352" s="22"/>
      <c r="S352" s="22"/>
      <c r="T352" s="22"/>
      <c r="U352" s="22"/>
      <c r="V352" s="22"/>
      <c r="W352" s="29"/>
      <c r="X352" s="29"/>
      <c r="Y352" s="29"/>
      <c r="Z352" s="29"/>
      <c r="AA352" s="29"/>
      <c r="AB352" s="29"/>
      <c r="AC352" s="29"/>
      <c r="AD352" s="29"/>
      <c r="AE352" s="29"/>
    </row>
    <row r="353" spans="6:31" ht="16.5" x14ac:dyDescent="0.25">
      <c r="F353" s="22"/>
      <c r="G353" s="22"/>
      <c r="H353" s="22"/>
      <c r="I353" s="22"/>
      <c r="J353" s="22"/>
      <c r="K353" s="22"/>
      <c r="L353" s="22"/>
      <c r="M353" s="22"/>
      <c r="N353" s="22"/>
      <c r="O353" s="22"/>
      <c r="P353" s="22"/>
      <c r="Q353" s="22"/>
      <c r="R353" s="22"/>
      <c r="S353" s="22"/>
      <c r="T353" s="22"/>
      <c r="U353" s="22"/>
      <c r="V353" s="22"/>
      <c r="W353" s="29"/>
      <c r="X353" s="29"/>
      <c r="Y353" s="29"/>
      <c r="Z353" s="29"/>
      <c r="AA353" s="29"/>
      <c r="AB353" s="29"/>
      <c r="AC353" s="29"/>
      <c r="AD353" s="29"/>
      <c r="AE353" s="29"/>
    </row>
    <row r="354" spans="6:31" ht="16.5" x14ac:dyDescent="0.25">
      <c r="F354" s="22"/>
      <c r="G354" s="22"/>
      <c r="H354" s="22"/>
      <c r="I354" s="22"/>
      <c r="J354" s="22"/>
      <c r="K354" s="22"/>
      <c r="L354" s="22"/>
      <c r="M354" s="22"/>
      <c r="N354" s="22"/>
      <c r="O354" s="22"/>
      <c r="P354" s="22"/>
      <c r="Q354" s="22"/>
      <c r="R354" s="22"/>
      <c r="S354" s="22"/>
      <c r="T354" s="22"/>
      <c r="U354" s="22"/>
      <c r="V354" s="22"/>
      <c r="W354" s="29"/>
      <c r="X354" s="29"/>
      <c r="Y354" s="29"/>
      <c r="Z354" s="29"/>
      <c r="AA354" s="29"/>
      <c r="AB354" s="29"/>
      <c r="AC354" s="29"/>
      <c r="AD354" s="29"/>
      <c r="AE354" s="29"/>
    </row>
    <row r="355" spans="6:31" ht="16.5" x14ac:dyDescent="0.25">
      <c r="F355" s="22"/>
      <c r="G355" s="22"/>
      <c r="H355" s="22"/>
      <c r="I355" s="22"/>
      <c r="J355" s="22"/>
      <c r="K355" s="22"/>
      <c r="L355" s="22"/>
      <c r="M355" s="22"/>
      <c r="N355" s="22"/>
      <c r="O355" s="22"/>
      <c r="P355" s="22"/>
      <c r="Q355" s="22"/>
      <c r="R355" s="22"/>
      <c r="S355" s="22"/>
      <c r="T355" s="22"/>
      <c r="U355" s="22"/>
      <c r="V355" s="22"/>
      <c r="W355" s="29"/>
      <c r="X355" s="29"/>
      <c r="Y355" s="29"/>
      <c r="Z355" s="29"/>
      <c r="AA355" s="29"/>
      <c r="AB355" s="29"/>
      <c r="AC355" s="29"/>
      <c r="AD355" s="29"/>
      <c r="AE355" s="29"/>
    </row>
    <row r="356" spans="6:31" ht="16.5" x14ac:dyDescent="0.25">
      <c r="F356" s="22"/>
      <c r="G356" s="22"/>
      <c r="H356" s="22"/>
      <c r="I356" s="22"/>
      <c r="J356" s="22"/>
      <c r="K356" s="22"/>
      <c r="L356" s="22"/>
      <c r="M356" s="22"/>
      <c r="N356" s="22"/>
      <c r="O356" s="22"/>
      <c r="P356" s="22"/>
      <c r="Q356" s="22"/>
      <c r="R356" s="22"/>
      <c r="S356" s="22"/>
      <c r="T356" s="22"/>
      <c r="U356" s="22"/>
      <c r="V356" s="22"/>
      <c r="W356" s="29"/>
      <c r="X356" s="29"/>
      <c r="Y356" s="29"/>
      <c r="Z356" s="29"/>
      <c r="AA356" s="29"/>
      <c r="AB356" s="29"/>
      <c r="AC356" s="29"/>
      <c r="AD356" s="29"/>
      <c r="AE356" s="29"/>
    </row>
    <row r="357" spans="6:31" ht="16.5" x14ac:dyDescent="0.25">
      <c r="F357" s="22"/>
      <c r="G357" s="22"/>
      <c r="H357" s="22"/>
      <c r="I357" s="22"/>
      <c r="J357" s="22"/>
      <c r="K357" s="22"/>
      <c r="L357" s="22"/>
      <c r="M357" s="22"/>
      <c r="N357" s="22"/>
      <c r="O357" s="22"/>
      <c r="P357" s="22"/>
      <c r="Q357" s="22"/>
      <c r="R357" s="22"/>
      <c r="S357" s="22"/>
      <c r="T357" s="22"/>
      <c r="U357" s="22"/>
      <c r="V357" s="22"/>
      <c r="W357" s="29"/>
      <c r="X357" s="29"/>
      <c r="Y357" s="29"/>
      <c r="Z357" s="29"/>
      <c r="AA357" s="29"/>
      <c r="AB357" s="29"/>
      <c r="AC357" s="29"/>
      <c r="AD357" s="29"/>
      <c r="AE357" s="29"/>
    </row>
    <row r="358" spans="6:31" ht="16.5" x14ac:dyDescent="0.25">
      <c r="F358" s="22"/>
      <c r="G358" s="22"/>
      <c r="H358" s="22"/>
      <c r="I358" s="22"/>
      <c r="J358" s="22"/>
      <c r="K358" s="22"/>
      <c r="L358" s="22"/>
      <c r="M358" s="22"/>
      <c r="N358" s="22"/>
      <c r="O358" s="22"/>
      <c r="P358" s="22"/>
      <c r="Q358" s="22"/>
      <c r="R358" s="22"/>
      <c r="S358" s="22"/>
      <c r="T358" s="22"/>
      <c r="U358" s="22"/>
      <c r="V358" s="22"/>
      <c r="W358" s="29"/>
      <c r="X358" s="29"/>
      <c r="Y358" s="29"/>
      <c r="Z358" s="29"/>
      <c r="AA358" s="29"/>
      <c r="AB358" s="29"/>
      <c r="AC358" s="29"/>
      <c r="AD358" s="29"/>
      <c r="AE358" s="29"/>
    </row>
    <row r="359" spans="6:31" ht="16.5" x14ac:dyDescent="0.25">
      <c r="F359" s="22"/>
      <c r="G359" s="22"/>
      <c r="H359" s="22"/>
      <c r="I359" s="22"/>
      <c r="J359" s="22"/>
      <c r="K359" s="22"/>
      <c r="L359" s="22"/>
      <c r="M359" s="22"/>
      <c r="N359" s="22"/>
      <c r="O359" s="22"/>
      <c r="P359" s="22"/>
      <c r="Q359" s="22"/>
      <c r="R359" s="22"/>
      <c r="S359" s="22"/>
      <c r="T359" s="22"/>
      <c r="U359" s="22"/>
      <c r="V359" s="22"/>
      <c r="W359" s="29"/>
      <c r="X359" s="29"/>
      <c r="Y359" s="29"/>
      <c r="Z359" s="29"/>
      <c r="AA359" s="29"/>
      <c r="AB359" s="29"/>
      <c r="AC359" s="29"/>
      <c r="AD359" s="29"/>
      <c r="AE359" s="29"/>
    </row>
    <row r="360" spans="6:31" ht="16.5" x14ac:dyDescent="0.25">
      <c r="F360" s="22"/>
      <c r="G360" s="22"/>
      <c r="H360" s="22"/>
      <c r="I360" s="22"/>
      <c r="J360" s="22"/>
      <c r="K360" s="22"/>
      <c r="L360" s="22"/>
      <c r="M360" s="22"/>
      <c r="N360" s="22"/>
      <c r="O360" s="22"/>
      <c r="P360" s="22"/>
      <c r="Q360" s="22"/>
      <c r="R360" s="22"/>
      <c r="S360" s="22"/>
      <c r="T360" s="22"/>
      <c r="U360" s="22"/>
      <c r="V360" s="22"/>
      <c r="W360" s="29"/>
      <c r="X360" s="29"/>
      <c r="Y360" s="29"/>
      <c r="Z360" s="29"/>
      <c r="AA360" s="29"/>
      <c r="AB360" s="29"/>
      <c r="AC360" s="29"/>
      <c r="AD360" s="29"/>
      <c r="AE360" s="29"/>
    </row>
    <row r="361" spans="6:31" ht="16.5" x14ac:dyDescent="0.25">
      <c r="F361" s="22"/>
      <c r="G361" s="22"/>
      <c r="H361" s="22"/>
      <c r="I361" s="22"/>
      <c r="J361" s="22"/>
      <c r="K361" s="22"/>
      <c r="L361" s="22"/>
      <c r="M361" s="22"/>
      <c r="N361" s="22"/>
      <c r="O361" s="22"/>
      <c r="P361" s="22"/>
      <c r="Q361" s="22"/>
      <c r="R361" s="22"/>
      <c r="S361" s="22"/>
      <c r="T361" s="22"/>
      <c r="U361" s="22"/>
      <c r="V361" s="22"/>
      <c r="W361" s="29"/>
      <c r="X361" s="29"/>
      <c r="Y361" s="29"/>
      <c r="Z361" s="29"/>
      <c r="AA361" s="29"/>
      <c r="AB361" s="29"/>
      <c r="AC361" s="29"/>
      <c r="AD361" s="29"/>
      <c r="AE361" s="29"/>
    </row>
    <row r="362" spans="6:31" ht="16.5" x14ac:dyDescent="0.25">
      <c r="F362" s="22"/>
      <c r="G362" s="22"/>
      <c r="H362" s="22"/>
      <c r="I362" s="22"/>
      <c r="J362" s="22"/>
      <c r="K362" s="22"/>
      <c r="L362" s="22"/>
      <c r="M362" s="22"/>
      <c r="N362" s="22"/>
      <c r="O362" s="22"/>
      <c r="P362" s="22"/>
      <c r="Q362" s="22"/>
      <c r="R362" s="22"/>
      <c r="S362" s="22"/>
      <c r="T362" s="22"/>
      <c r="U362" s="22"/>
      <c r="V362" s="22"/>
      <c r="W362" s="29"/>
      <c r="X362" s="29"/>
      <c r="Y362" s="29"/>
      <c r="Z362" s="29"/>
      <c r="AA362" s="29"/>
      <c r="AB362" s="29"/>
      <c r="AC362" s="29"/>
      <c r="AD362" s="29"/>
      <c r="AE362" s="29"/>
    </row>
    <row r="363" spans="6:31" ht="16.5" x14ac:dyDescent="0.25">
      <c r="F363" s="22"/>
      <c r="G363" s="22"/>
      <c r="H363" s="22"/>
      <c r="I363" s="22"/>
      <c r="J363" s="22"/>
      <c r="K363" s="22"/>
      <c r="L363" s="22"/>
      <c r="M363" s="22"/>
      <c r="N363" s="22"/>
      <c r="O363" s="22"/>
      <c r="P363" s="22"/>
      <c r="Q363" s="22"/>
      <c r="R363" s="22"/>
      <c r="S363" s="22"/>
      <c r="T363" s="22"/>
      <c r="U363" s="22"/>
      <c r="V363" s="22"/>
      <c r="W363" s="29"/>
      <c r="X363" s="29"/>
      <c r="Y363" s="29"/>
      <c r="Z363" s="29"/>
      <c r="AA363" s="29"/>
      <c r="AB363" s="29"/>
      <c r="AC363" s="29"/>
      <c r="AD363" s="29"/>
      <c r="AE363" s="29"/>
    </row>
    <row r="364" spans="6:31" ht="16.5" x14ac:dyDescent="0.25">
      <c r="F364" s="22"/>
      <c r="G364" s="22"/>
      <c r="H364" s="22"/>
      <c r="I364" s="22"/>
      <c r="J364" s="22"/>
      <c r="K364" s="22"/>
      <c r="L364" s="22"/>
      <c r="M364" s="22"/>
      <c r="N364" s="22"/>
      <c r="O364" s="22"/>
      <c r="P364" s="22"/>
      <c r="Q364" s="22"/>
      <c r="R364" s="22"/>
      <c r="S364" s="22"/>
      <c r="T364" s="22"/>
      <c r="U364" s="22"/>
      <c r="V364" s="22"/>
      <c r="W364" s="29"/>
      <c r="X364" s="29"/>
      <c r="Y364" s="29"/>
      <c r="Z364" s="29"/>
      <c r="AA364" s="29"/>
      <c r="AB364" s="29"/>
      <c r="AC364" s="29"/>
      <c r="AD364" s="29"/>
      <c r="AE364" s="29"/>
    </row>
    <row r="365" spans="6:31" ht="16.5" x14ac:dyDescent="0.25">
      <c r="F365" s="22"/>
      <c r="G365" s="22"/>
      <c r="H365" s="22"/>
      <c r="I365" s="22"/>
      <c r="J365" s="22"/>
      <c r="K365" s="22"/>
      <c r="L365" s="22"/>
      <c r="M365" s="22"/>
      <c r="N365" s="22"/>
      <c r="O365" s="22"/>
      <c r="P365" s="22"/>
      <c r="Q365" s="22"/>
      <c r="R365" s="22"/>
      <c r="S365" s="22"/>
      <c r="T365" s="22"/>
      <c r="U365" s="22"/>
      <c r="V365" s="22"/>
      <c r="W365" s="29"/>
      <c r="X365" s="29"/>
      <c r="Y365" s="29"/>
      <c r="Z365" s="29"/>
      <c r="AA365" s="29"/>
      <c r="AB365" s="29"/>
      <c r="AC365" s="29"/>
      <c r="AD365" s="29"/>
      <c r="AE365" s="29"/>
    </row>
    <row r="366" spans="6:31" ht="16.5" x14ac:dyDescent="0.25">
      <c r="F366" s="22"/>
      <c r="G366" s="22"/>
      <c r="H366" s="22"/>
      <c r="I366" s="22"/>
      <c r="J366" s="22"/>
      <c r="K366" s="22"/>
      <c r="L366" s="22"/>
      <c r="M366" s="22"/>
      <c r="N366" s="22"/>
      <c r="O366" s="22"/>
      <c r="P366" s="22"/>
      <c r="Q366" s="22"/>
      <c r="R366" s="22"/>
      <c r="S366" s="22"/>
      <c r="T366" s="22"/>
      <c r="U366" s="22"/>
      <c r="V366" s="22"/>
      <c r="W366" s="29"/>
      <c r="X366" s="29"/>
      <c r="Y366" s="29"/>
      <c r="Z366" s="29"/>
      <c r="AA366" s="29"/>
      <c r="AB366" s="29"/>
      <c r="AC366" s="29"/>
      <c r="AD366" s="29"/>
      <c r="AE366" s="29"/>
    </row>
    <row r="367" spans="6:31" ht="16.5" x14ac:dyDescent="0.25">
      <c r="F367" s="22"/>
      <c r="G367" s="22"/>
      <c r="H367" s="22"/>
      <c r="I367" s="22"/>
      <c r="J367" s="22"/>
      <c r="K367" s="22"/>
      <c r="L367" s="22"/>
      <c r="M367" s="22"/>
      <c r="N367" s="22"/>
      <c r="O367" s="22"/>
      <c r="P367" s="22"/>
      <c r="Q367" s="22"/>
      <c r="R367" s="22"/>
      <c r="S367" s="22"/>
      <c r="T367" s="22"/>
      <c r="U367" s="22"/>
      <c r="V367" s="22"/>
      <c r="W367" s="29"/>
      <c r="X367" s="29"/>
      <c r="Y367" s="29"/>
      <c r="Z367" s="29"/>
      <c r="AA367" s="29"/>
      <c r="AB367" s="29"/>
      <c r="AC367" s="29"/>
      <c r="AD367" s="29"/>
      <c r="AE367" s="29"/>
    </row>
    <row r="368" spans="6:31" ht="16.5" x14ac:dyDescent="0.25">
      <c r="F368" s="22"/>
      <c r="G368" s="22"/>
      <c r="H368" s="22"/>
      <c r="I368" s="22"/>
      <c r="J368" s="22"/>
      <c r="K368" s="22"/>
      <c r="L368" s="22"/>
      <c r="M368" s="22"/>
      <c r="N368" s="22"/>
      <c r="O368" s="22"/>
      <c r="P368" s="22"/>
      <c r="Q368" s="22"/>
      <c r="R368" s="22"/>
      <c r="S368" s="22"/>
      <c r="T368" s="22"/>
      <c r="U368" s="22"/>
      <c r="V368" s="22"/>
      <c r="W368" s="29"/>
      <c r="X368" s="29"/>
      <c r="Y368" s="29"/>
      <c r="Z368" s="29"/>
      <c r="AA368" s="29"/>
      <c r="AB368" s="29"/>
      <c r="AC368" s="29"/>
      <c r="AD368" s="29"/>
      <c r="AE368" s="29"/>
    </row>
    <row r="369" spans="6:31" ht="16.5" x14ac:dyDescent="0.25">
      <c r="F369" s="22"/>
      <c r="G369" s="22"/>
      <c r="H369" s="22"/>
      <c r="I369" s="22"/>
      <c r="J369" s="22"/>
      <c r="K369" s="22"/>
      <c r="L369" s="22"/>
      <c r="M369" s="22"/>
      <c r="N369" s="22"/>
      <c r="O369" s="22"/>
      <c r="P369" s="22"/>
      <c r="Q369" s="22"/>
      <c r="R369" s="22"/>
      <c r="S369" s="22"/>
      <c r="T369" s="22"/>
      <c r="U369" s="22"/>
      <c r="V369" s="22"/>
      <c r="W369" s="29"/>
      <c r="X369" s="29"/>
      <c r="Y369" s="29"/>
      <c r="Z369" s="29"/>
      <c r="AA369" s="29"/>
      <c r="AB369" s="29"/>
      <c r="AC369" s="29"/>
      <c r="AD369" s="29"/>
      <c r="AE369" s="29"/>
    </row>
    <row r="370" spans="6:31" ht="16.5" x14ac:dyDescent="0.25">
      <c r="F370" s="22"/>
      <c r="G370" s="22"/>
      <c r="H370" s="22"/>
      <c r="I370" s="22"/>
      <c r="J370" s="22"/>
      <c r="K370" s="22"/>
      <c r="L370" s="22"/>
      <c r="M370" s="22"/>
      <c r="N370" s="22"/>
      <c r="O370" s="22"/>
      <c r="P370" s="22"/>
      <c r="Q370" s="22"/>
      <c r="R370" s="22"/>
      <c r="S370" s="22"/>
      <c r="T370" s="22"/>
      <c r="U370" s="22"/>
      <c r="V370" s="22"/>
      <c r="W370" s="29"/>
      <c r="X370" s="29"/>
      <c r="Y370" s="29"/>
      <c r="Z370" s="29"/>
      <c r="AA370" s="29"/>
      <c r="AB370" s="29"/>
      <c r="AC370" s="29"/>
      <c r="AD370" s="29"/>
      <c r="AE370" s="29"/>
    </row>
    <row r="371" spans="6:31" ht="16.5" x14ac:dyDescent="0.25">
      <c r="F371" s="22"/>
      <c r="G371" s="22"/>
      <c r="H371" s="22"/>
      <c r="I371" s="22"/>
      <c r="J371" s="22"/>
      <c r="K371" s="22"/>
      <c r="L371" s="22"/>
      <c r="M371" s="22"/>
      <c r="N371" s="22"/>
      <c r="O371" s="22"/>
      <c r="P371" s="22"/>
      <c r="Q371" s="22"/>
      <c r="R371" s="22"/>
      <c r="S371" s="22"/>
      <c r="T371" s="22"/>
      <c r="U371" s="22"/>
      <c r="V371" s="22"/>
      <c r="W371" s="29"/>
      <c r="X371" s="29"/>
      <c r="Y371" s="29"/>
      <c r="Z371" s="29"/>
      <c r="AA371" s="29"/>
      <c r="AB371" s="29"/>
      <c r="AC371" s="29"/>
      <c r="AD371" s="29"/>
      <c r="AE371" s="29"/>
    </row>
    <row r="372" spans="6:31" ht="16.5" x14ac:dyDescent="0.25">
      <c r="F372" s="22"/>
      <c r="G372" s="22"/>
      <c r="H372" s="22"/>
      <c r="I372" s="22"/>
      <c r="J372" s="22"/>
      <c r="K372" s="22"/>
      <c r="L372" s="22"/>
      <c r="M372" s="22"/>
      <c r="N372" s="22"/>
      <c r="O372" s="22"/>
      <c r="P372" s="22"/>
      <c r="Q372" s="22"/>
      <c r="R372" s="22"/>
      <c r="S372" s="22"/>
      <c r="T372" s="22"/>
      <c r="U372" s="22"/>
      <c r="V372" s="22"/>
      <c r="W372" s="29"/>
      <c r="X372" s="29"/>
      <c r="Y372" s="29"/>
      <c r="Z372" s="29"/>
      <c r="AA372" s="29"/>
      <c r="AB372" s="29"/>
      <c r="AC372" s="29"/>
      <c r="AD372" s="29"/>
      <c r="AE372" s="29"/>
    </row>
    <row r="373" spans="6:31" ht="16.5" x14ac:dyDescent="0.25">
      <c r="F373" s="22"/>
      <c r="G373" s="22"/>
      <c r="H373" s="22"/>
      <c r="I373" s="22"/>
      <c r="J373" s="22"/>
      <c r="K373" s="22"/>
      <c r="L373" s="22"/>
      <c r="M373" s="22"/>
      <c r="N373" s="22"/>
      <c r="O373" s="22"/>
      <c r="P373" s="22"/>
      <c r="Q373" s="22"/>
      <c r="R373" s="22"/>
      <c r="S373" s="22"/>
      <c r="T373" s="22"/>
      <c r="U373" s="22"/>
      <c r="V373" s="22"/>
      <c r="W373" s="29"/>
      <c r="X373" s="29"/>
      <c r="Y373" s="29"/>
      <c r="Z373" s="29"/>
      <c r="AA373" s="29"/>
      <c r="AB373" s="29"/>
      <c r="AC373" s="29"/>
      <c r="AD373" s="29"/>
      <c r="AE373" s="29"/>
    </row>
    <row r="374" spans="6:31" ht="16.5" x14ac:dyDescent="0.25">
      <c r="F374" s="22"/>
      <c r="G374" s="22"/>
      <c r="H374" s="22"/>
      <c r="I374" s="22"/>
      <c r="J374" s="22"/>
      <c r="K374" s="22"/>
      <c r="L374" s="22"/>
      <c r="M374" s="22"/>
      <c r="N374" s="22"/>
      <c r="O374" s="22"/>
      <c r="P374" s="22"/>
      <c r="Q374" s="22"/>
      <c r="R374" s="22"/>
      <c r="S374" s="22"/>
      <c r="T374" s="22"/>
      <c r="U374" s="22"/>
      <c r="V374" s="22"/>
      <c r="W374" s="29"/>
      <c r="X374" s="29"/>
      <c r="Y374" s="29"/>
      <c r="Z374" s="29"/>
      <c r="AA374" s="29"/>
      <c r="AB374" s="29"/>
      <c r="AC374" s="29"/>
      <c r="AD374" s="29"/>
      <c r="AE374" s="29"/>
    </row>
    <row r="375" spans="6:31" ht="16.5" x14ac:dyDescent="0.25">
      <c r="F375" s="22"/>
      <c r="G375" s="22"/>
      <c r="H375" s="22"/>
      <c r="I375" s="22"/>
      <c r="J375" s="22"/>
      <c r="K375" s="22"/>
      <c r="L375" s="22"/>
      <c r="M375" s="22"/>
      <c r="N375" s="22"/>
      <c r="O375" s="22"/>
      <c r="P375" s="22"/>
      <c r="Q375" s="22"/>
      <c r="R375" s="22"/>
      <c r="S375" s="22"/>
      <c r="T375" s="22"/>
      <c r="U375" s="22"/>
      <c r="V375" s="22"/>
      <c r="W375" s="29"/>
      <c r="X375" s="29"/>
      <c r="Y375" s="29"/>
      <c r="Z375" s="29"/>
      <c r="AA375" s="29"/>
      <c r="AB375" s="29"/>
      <c r="AC375" s="29"/>
      <c r="AD375" s="29"/>
      <c r="AE375" s="29"/>
    </row>
    <row r="376" spans="6:31" ht="16.5" x14ac:dyDescent="0.25">
      <c r="F376" s="22"/>
      <c r="G376" s="22"/>
      <c r="H376" s="22"/>
      <c r="I376" s="22"/>
      <c r="J376" s="22"/>
      <c r="K376" s="22"/>
      <c r="L376" s="22"/>
      <c r="M376" s="22"/>
      <c r="N376" s="22"/>
      <c r="O376" s="22"/>
      <c r="P376" s="22"/>
      <c r="Q376" s="22"/>
      <c r="R376" s="22"/>
      <c r="S376" s="22"/>
      <c r="T376" s="22"/>
      <c r="U376" s="22"/>
      <c r="V376" s="22"/>
      <c r="W376" s="29"/>
      <c r="X376" s="29"/>
      <c r="Y376" s="29"/>
      <c r="Z376" s="29"/>
      <c r="AA376" s="29"/>
      <c r="AB376" s="29"/>
      <c r="AC376" s="29"/>
      <c r="AD376" s="29"/>
      <c r="AE376" s="29"/>
    </row>
    <row r="377" spans="6:31" ht="16.5" x14ac:dyDescent="0.25">
      <c r="F377" s="22"/>
      <c r="G377" s="22"/>
      <c r="H377" s="22"/>
      <c r="I377" s="22"/>
      <c r="J377" s="22"/>
      <c r="K377" s="22"/>
      <c r="L377" s="22"/>
      <c r="M377" s="22"/>
      <c r="N377" s="22"/>
      <c r="O377" s="22"/>
      <c r="P377" s="22"/>
      <c r="Q377" s="22"/>
      <c r="R377" s="22"/>
      <c r="S377" s="22"/>
      <c r="T377" s="22"/>
      <c r="U377" s="22"/>
      <c r="V377" s="22"/>
      <c r="W377" s="29"/>
      <c r="X377" s="29"/>
      <c r="Y377" s="29"/>
      <c r="Z377" s="29"/>
      <c r="AA377" s="29"/>
      <c r="AB377" s="29"/>
      <c r="AC377" s="29"/>
      <c r="AD377" s="29"/>
      <c r="AE377" s="29"/>
    </row>
    <row r="378" spans="6:31" ht="16.5" x14ac:dyDescent="0.25">
      <c r="F378" s="22"/>
      <c r="G378" s="22"/>
      <c r="H378" s="22"/>
      <c r="I378" s="22"/>
      <c r="J378" s="22"/>
      <c r="K378" s="22"/>
      <c r="L378" s="22"/>
      <c r="M378" s="22"/>
      <c r="N378" s="22"/>
      <c r="O378" s="22"/>
      <c r="P378" s="22"/>
      <c r="Q378" s="22"/>
      <c r="R378" s="22"/>
      <c r="S378" s="22"/>
      <c r="T378" s="22"/>
      <c r="U378" s="22"/>
      <c r="V378" s="22"/>
      <c r="W378" s="29"/>
      <c r="X378" s="29"/>
      <c r="Y378" s="29"/>
      <c r="Z378" s="29"/>
      <c r="AA378" s="29"/>
      <c r="AB378" s="29"/>
      <c r="AC378" s="29"/>
      <c r="AD378" s="29"/>
      <c r="AE378" s="29"/>
    </row>
    <row r="379" spans="6:31" ht="16.5" x14ac:dyDescent="0.25">
      <c r="F379" s="22"/>
      <c r="G379" s="22"/>
      <c r="H379" s="22"/>
      <c r="I379" s="22"/>
      <c r="J379" s="22"/>
      <c r="K379" s="22"/>
      <c r="L379" s="22"/>
      <c r="M379" s="22"/>
      <c r="N379" s="22"/>
      <c r="O379" s="22"/>
      <c r="P379" s="22"/>
      <c r="Q379" s="22"/>
      <c r="R379" s="22"/>
      <c r="S379" s="22"/>
      <c r="T379" s="22"/>
      <c r="U379" s="22"/>
      <c r="V379" s="22"/>
      <c r="W379" s="29"/>
      <c r="X379" s="29"/>
      <c r="Y379" s="29"/>
      <c r="Z379" s="29"/>
      <c r="AA379" s="29"/>
      <c r="AB379" s="29"/>
      <c r="AC379" s="29"/>
      <c r="AD379" s="29"/>
      <c r="AE379" s="29"/>
    </row>
    <row r="380" spans="6:31" ht="16.5" x14ac:dyDescent="0.25">
      <c r="F380" s="22"/>
      <c r="G380" s="22"/>
      <c r="H380" s="22"/>
      <c r="I380" s="22"/>
      <c r="J380" s="22"/>
      <c r="K380" s="22"/>
      <c r="L380" s="22"/>
      <c r="M380" s="22"/>
      <c r="N380" s="22"/>
      <c r="O380" s="22"/>
      <c r="P380" s="22"/>
      <c r="Q380" s="22"/>
      <c r="R380" s="22"/>
      <c r="S380" s="22"/>
      <c r="T380" s="22"/>
      <c r="U380" s="22"/>
      <c r="V380" s="22"/>
      <c r="W380" s="29"/>
      <c r="X380" s="29"/>
      <c r="Y380" s="29"/>
      <c r="Z380" s="29"/>
      <c r="AA380" s="29"/>
      <c r="AB380" s="29"/>
      <c r="AC380" s="29"/>
      <c r="AD380" s="29"/>
      <c r="AE380" s="29"/>
    </row>
    <row r="381" spans="6:31" ht="16.5" x14ac:dyDescent="0.25">
      <c r="F381" s="22"/>
      <c r="G381" s="22"/>
      <c r="H381" s="22"/>
      <c r="I381" s="22"/>
      <c r="J381" s="22"/>
      <c r="K381" s="22"/>
      <c r="L381" s="22"/>
      <c r="M381" s="22"/>
      <c r="N381" s="22"/>
      <c r="O381" s="22"/>
      <c r="P381" s="22"/>
      <c r="Q381" s="22"/>
      <c r="R381" s="22"/>
      <c r="S381" s="22"/>
      <c r="T381" s="22"/>
      <c r="U381" s="22"/>
      <c r="V381" s="22"/>
      <c r="W381" s="29"/>
      <c r="X381" s="29"/>
      <c r="Y381" s="29"/>
      <c r="Z381" s="29"/>
      <c r="AA381" s="29"/>
      <c r="AB381" s="29"/>
      <c r="AC381" s="29"/>
      <c r="AD381" s="29"/>
      <c r="AE381" s="29"/>
    </row>
    <row r="382" spans="6:31" ht="16.5" x14ac:dyDescent="0.25">
      <c r="F382" s="22"/>
      <c r="G382" s="22"/>
      <c r="H382" s="22"/>
      <c r="I382" s="22"/>
      <c r="J382" s="22"/>
      <c r="K382" s="22"/>
      <c r="L382" s="22"/>
      <c r="M382" s="22"/>
      <c r="N382" s="22"/>
      <c r="O382" s="22"/>
      <c r="P382" s="22"/>
      <c r="Q382" s="22"/>
      <c r="R382" s="22"/>
      <c r="S382" s="22"/>
      <c r="T382" s="22"/>
      <c r="U382" s="22"/>
      <c r="V382" s="22"/>
      <c r="W382" s="29"/>
      <c r="X382" s="29"/>
      <c r="Y382" s="29"/>
      <c r="Z382" s="29"/>
      <c r="AA382" s="29"/>
      <c r="AB382" s="29"/>
      <c r="AC382" s="29"/>
      <c r="AD382" s="29"/>
      <c r="AE382" s="29"/>
    </row>
    <row r="383" spans="6:31" ht="16.5" x14ac:dyDescent="0.25">
      <c r="F383" s="22"/>
      <c r="G383" s="22"/>
      <c r="H383" s="22"/>
      <c r="I383" s="22"/>
      <c r="J383" s="22"/>
      <c r="K383" s="22"/>
      <c r="L383" s="22"/>
      <c r="M383" s="22"/>
      <c r="N383" s="22"/>
      <c r="O383" s="22"/>
      <c r="P383" s="22"/>
      <c r="Q383" s="22"/>
      <c r="R383" s="22"/>
      <c r="S383" s="22"/>
      <c r="T383" s="22"/>
      <c r="U383" s="22"/>
      <c r="V383" s="22"/>
      <c r="W383" s="29"/>
      <c r="X383" s="29"/>
      <c r="Y383" s="29"/>
      <c r="Z383" s="29"/>
      <c r="AA383" s="29"/>
      <c r="AB383" s="29"/>
      <c r="AC383" s="29"/>
      <c r="AD383" s="29"/>
      <c r="AE383" s="29"/>
    </row>
    <row r="384" spans="6:31" ht="16.5" x14ac:dyDescent="0.25">
      <c r="F384" s="22"/>
      <c r="G384" s="22"/>
      <c r="H384" s="22"/>
      <c r="I384" s="22"/>
      <c r="J384" s="22"/>
      <c r="K384" s="22"/>
      <c r="L384" s="22"/>
      <c r="M384" s="22"/>
      <c r="N384" s="22"/>
      <c r="O384" s="22"/>
      <c r="P384" s="22"/>
      <c r="Q384" s="22"/>
      <c r="R384" s="22"/>
      <c r="S384" s="22"/>
      <c r="T384" s="22"/>
      <c r="U384" s="22"/>
      <c r="V384" s="22"/>
      <c r="W384" s="29"/>
      <c r="X384" s="29"/>
      <c r="Y384" s="29"/>
      <c r="Z384" s="29"/>
      <c r="AA384" s="29"/>
      <c r="AB384" s="29"/>
      <c r="AC384" s="29"/>
      <c r="AD384" s="29"/>
      <c r="AE384" s="29"/>
    </row>
    <row r="385" spans="6:31" ht="16.5" x14ac:dyDescent="0.25">
      <c r="F385" s="22"/>
      <c r="G385" s="22"/>
      <c r="H385" s="22"/>
      <c r="I385" s="22"/>
      <c r="J385" s="22"/>
      <c r="K385" s="22"/>
      <c r="L385" s="22"/>
      <c r="M385" s="22"/>
      <c r="N385" s="22"/>
      <c r="O385" s="22"/>
      <c r="P385" s="22"/>
      <c r="Q385" s="22"/>
      <c r="R385" s="22"/>
      <c r="S385" s="22"/>
      <c r="T385" s="22"/>
      <c r="U385" s="22"/>
      <c r="V385" s="22"/>
      <c r="W385" s="29"/>
      <c r="X385" s="29"/>
      <c r="Y385" s="29"/>
      <c r="Z385" s="29"/>
      <c r="AA385" s="29"/>
      <c r="AB385" s="29"/>
      <c r="AC385" s="29"/>
      <c r="AD385" s="29"/>
      <c r="AE385" s="29"/>
    </row>
    <row r="386" spans="6:31" ht="16.5" x14ac:dyDescent="0.25">
      <c r="F386" s="22"/>
      <c r="G386" s="22"/>
      <c r="H386" s="22"/>
      <c r="I386" s="22"/>
      <c r="J386" s="22"/>
      <c r="K386" s="22"/>
      <c r="L386" s="22"/>
      <c r="M386" s="22"/>
      <c r="N386" s="22"/>
      <c r="O386" s="22"/>
      <c r="P386" s="22"/>
      <c r="Q386" s="22"/>
      <c r="R386" s="22"/>
      <c r="S386" s="22"/>
      <c r="T386" s="22"/>
      <c r="U386" s="22"/>
      <c r="V386" s="22"/>
      <c r="W386" s="29"/>
      <c r="X386" s="29"/>
      <c r="Y386" s="29"/>
      <c r="Z386" s="29"/>
      <c r="AA386" s="29"/>
      <c r="AB386" s="29"/>
      <c r="AC386" s="29"/>
      <c r="AD386" s="29"/>
      <c r="AE386" s="29"/>
    </row>
    <row r="387" spans="6:31" ht="16.5" x14ac:dyDescent="0.25">
      <c r="F387" s="22"/>
      <c r="G387" s="22"/>
      <c r="H387" s="22"/>
      <c r="I387" s="22"/>
      <c r="J387" s="22"/>
      <c r="K387" s="22"/>
      <c r="L387" s="22"/>
      <c r="M387" s="22"/>
      <c r="N387" s="22"/>
      <c r="O387" s="22"/>
      <c r="P387" s="22"/>
      <c r="Q387" s="22"/>
      <c r="R387" s="22"/>
      <c r="S387" s="22"/>
      <c r="T387" s="22"/>
      <c r="U387" s="22"/>
      <c r="V387" s="22"/>
      <c r="W387" s="29"/>
      <c r="X387" s="29"/>
      <c r="Y387" s="29"/>
      <c r="Z387" s="29"/>
      <c r="AA387" s="29"/>
      <c r="AB387" s="29"/>
      <c r="AC387" s="29"/>
      <c r="AD387" s="29"/>
      <c r="AE387" s="29"/>
    </row>
    <row r="388" spans="6:31" ht="16.5" x14ac:dyDescent="0.25">
      <c r="F388" s="22"/>
      <c r="G388" s="22"/>
      <c r="H388" s="22"/>
      <c r="I388" s="22"/>
      <c r="J388" s="22"/>
      <c r="K388" s="22"/>
      <c r="L388" s="22"/>
      <c r="M388" s="22"/>
      <c r="N388" s="22"/>
      <c r="O388" s="22"/>
      <c r="P388" s="22"/>
      <c r="Q388" s="22"/>
      <c r="R388" s="22"/>
      <c r="S388" s="22"/>
      <c r="T388" s="22"/>
      <c r="U388" s="22"/>
      <c r="V388" s="22"/>
      <c r="W388" s="29"/>
      <c r="X388" s="29"/>
      <c r="Y388" s="29"/>
      <c r="Z388" s="29"/>
      <c r="AA388" s="29"/>
      <c r="AB388" s="29"/>
      <c r="AC388" s="29"/>
      <c r="AD388" s="29"/>
      <c r="AE388" s="29"/>
    </row>
    <row r="389" spans="6:31" ht="16.5" x14ac:dyDescent="0.25">
      <c r="F389" s="22"/>
      <c r="G389" s="22"/>
      <c r="H389" s="22"/>
      <c r="I389" s="22"/>
      <c r="J389" s="22"/>
      <c r="K389" s="22"/>
      <c r="L389" s="22"/>
      <c r="M389" s="22"/>
      <c r="N389" s="22"/>
      <c r="O389" s="22"/>
      <c r="P389" s="22"/>
      <c r="Q389" s="22"/>
      <c r="R389" s="22"/>
      <c r="S389" s="22"/>
      <c r="T389" s="22"/>
      <c r="U389" s="22"/>
      <c r="V389" s="22"/>
      <c r="W389" s="29"/>
      <c r="X389" s="29"/>
      <c r="Y389" s="29"/>
      <c r="Z389" s="29"/>
      <c r="AA389" s="29"/>
      <c r="AB389" s="29"/>
      <c r="AC389" s="29"/>
      <c r="AD389" s="29"/>
      <c r="AE389" s="29"/>
    </row>
    <row r="390" spans="6:31" ht="16.5" x14ac:dyDescent="0.25">
      <c r="F390" s="22"/>
      <c r="G390" s="22"/>
      <c r="H390" s="22"/>
      <c r="I390" s="22"/>
      <c r="J390" s="22"/>
      <c r="K390" s="22"/>
      <c r="L390" s="22"/>
      <c r="M390" s="22"/>
      <c r="N390" s="22"/>
      <c r="O390" s="22"/>
      <c r="P390" s="22"/>
      <c r="Q390" s="22"/>
      <c r="R390" s="22"/>
      <c r="S390" s="22"/>
      <c r="T390" s="22"/>
      <c r="U390" s="22"/>
      <c r="V390" s="22"/>
      <c r="W390" s="29"/>
      <c r="X390" s="29"/>
      <c r="Y390" s="29"/>
      <c r="Z390" s="29"/>
      <c r="AA390" s="29"/>
      <c r="AB390" s="29"/>
      <c r="AC390" s="29"/>
      <c r="AD390" s="29"/>
      <c r="AE390" s="29"/>
    </row>
    <row r="391" spans="6:31" ht="16.5" x14ac:dyDescent="0.25">
      <c r="F391" s="22"/>
      <c r="G391" s="22"/>
      <c r="H391" s="22"/>
      <c r="I391" s="22"/>
      <c r="J391" s="22"/>
      <c r="K391" s="22"/>
      <c r="L391" s="22"/>
      <c r="M391" s="22"/>
      <c r="N391" s="22"/>
      <c r="O391" s="22"/>
      <c r="P391" s="22"/>
      <c r="Q391" s="22"/>
      <c r="R391" s="22"/>
      <c r="S391" s="22"/>
      <c r="T391" s="22"/>
      <c r="U391" s="22"/>
      <c r="V391" s="22"/>
      <c r="W391" s="29"/>
      <c r="X391" s="29"/>
      <c r="Y391" s="29"/>
      <c r="Z391" s="29"/>
      <c r="AA391" s="29"/>
      <c r="AB391" s="29"/>
      <c r="AC391" s="29"/>
      <c r="AD391" s="29"/>
      <c r="AE391" s="29"/>
    </row>
    <row r="392" spans="6:31" ht="16.5" x14ac:dyDescent="0.25">
      <c r="F392" s="22"/>
      <c r="G392" s="22"/>
      <c r="H392" s="22"/>
      <c r="I392" s="22"/>
      <c r="J392" s="22"/>
      <c r="K392" s="22"/>
      <c r="L392" s="22"/>
      <c r="M392" s="22"/>
      <c r="N392" s="22"/>
      <c r="O392" s="22"/>
      <c r="P392" s="22"/>
      <c r="Q392" s="22"/>
      <c r="R392" s="22"/>
      <c r="S392" s="22"/>
      <c r="T392" s="22"/>
      <c r="U392" s="22"/>
      <c r="V392" s="22"/>
      <c r="W392" s="29"/>
      <c r="X392" s="29"/>
      <c r="Y392" s="29"/>
      <c r="Z392" s="29"/>
      <c r="AA392" s="29"/>
      <c r="AB392" s="29"/>
      <c r="AC392" s="29"/>
      <c r="AD392" s="29"/>
      <c r="AE392" s="29"/>
    </row>
    <row r="393" spans="6:31" ht="16.5" x14ac:dyDescent="0.25">
      <c r="F393" s="22"/>
      <c r="G393" s="22"/>
      <c r="H393" s="22"/>
      <c r="I393" s="22"/>
      <c r="J393" s="22"/>
      <c r="K393" s="22"/>
      <c r="L393" s="22"/>
      <c r="M393" s="22"/>
      <c r="N393" s="22"/>
      <c r="O393" s="22"/>
      <c r="P393" s="22"/>
      <c r="Q393" s="22"/>
      <c r="R393" s="22"/>
      <c r="S393" s="22"/>
      <c r="T393" s="22"/>
      <c r="U393" s="22"/>
      <c r="V393" s="22"/>
      <c r="W393" s="29"/>
      <c r="X393" s="29"/>
      <c r="Y393" s="29"/>
      <c r="Z393" s="29"/>
      <c r="AA393" s="29"/>
      <c r="AB393" s="29"/>
      <c r="AC393" s="29"/>
      <c r="AD393" s="29"/>
      <c r="AE393" s="29"/>
    </row>
    <row r="394" spans="6:31" ht="16.5" x14ac:dyDescent="0.25">
      <c r="F394" s="22"/>
      <c r="G394" s="22"/>
      <c r="H394" s="22"/>
      <c r="I394" s="22"/>
      <c r="J394" s="22"/>
      <c r="K394" s="22"/>
      <c r="L394" s="22"/>
      <c r="M394" s="22"/>
      <c r="N394" s="22"/>
      <c r="O394" s="22"/>
      <c r="P394" s="22"/>
      <c r="Q394" s="22"/>
      <c r="R394" s="22"/>
      <c r="S394" s="22"/>
      <c r="T394" s="22"/>
      <c r="U394" s="22"/>
      <c r="V394" s="22"/>
      <c r="W394" s="29"/>
      <c r="X394" s="29"/>
      <c r="Y394" s="29"/>
      <c r="Z394" s="29"/>
      <c r="AA394" s="29"/>
      <c r="AB394" s="29"/>
      <c r="AC394" s="29"/>
      <c r="AD394" s="29"/>
      <c r="AE394" s="29"/>
    </row>
    <row r="395" spans="6:31" ht="16.5" x14ac:dyDescent="0.25">
      <c r="F395" s="22"/>
      <c r="G395" s="22"/>
      <c r="H395" s="22"/>
      <c r="I395" s="22"/>
      <c r="J395" s="22"/>
      <c r="K395" s="22"/>
      <c r="L395" s="22"/>
      <c r="M395" s="22"/>
      <c r="N395" s="22"/>
      <c r="O395" s="22"/>
      <c r="P395" s="22"/>
      <c r="Q395" s="22"/>
      <c r="R395" s="22"/>
      <c r="S395" s="22"/>
      <c r="T395" s="22"/>
      <c r="U395" s="22"/>
      <c r="V395" s="22"/>
      <c r="W395" s="29"/>
      <c r="X395" s="29"/>
      <c r="Y395" s="29"/>
      <c r="Z395" s="29"/>
      <c r="AA395" s="29"/>
      <c r="AB395" s="29"/>
      <c r="AC395" s="29"/>
      <c r="AD395" s="29"/>
      <c r="AE395" s="29"/>
    </row>
    <row r="396" spans="6:31" ht="16.5" x14ac:dyDescent="0.25">
      <c r="F396" s="22"/>
      <c r="G396" s="22"/>
      <c r="H396" s="22"/>
      <c r="I396" s="22"/>
      <c r="J396" s="22"/>
      <c r="K396" s="22"/>
      <c r="L396" s="22"/>
      <c r="M396" s="22"/>
      <c r="N396" s="22"/>
      <c r="O396" s="22"/>
      <c r="P396" s="22"/>
      <c r="Q396" s="22"/>
      <c r="R396" s="22"/>
      <c r="S396" s="22"/>
      <c r="T396" s="22"/>
      <c r="U396" s="22"/>
      <c r="V396" s="22"/>
      <c r="W396" s="29"/>
      <c r="X396" s="29"/>
      <c r="Y396" s="29"/>
      <c r="Z396" s="29"/>
      <c r="AA396" s="29"/>
      <c r="AB396" s="29"/>
      <c r="AC396" s="29"/>
      <c r="AD396" s="29"/>
      <c r="AE396" s="29"/>
    </row>
    <row r="397" spans="6:31" ht="16.5" x14ac:dyDescent="0.25">
      <c r="F397" s="22"/>
      <c r="G397" s="22"/>
      <c r="H397" s="22"/>
      <c r="I397" s="22"/>
      <c r="J397" s="22"/>
      <c r="K397" s="22"/>
      <c r="L397" s="22"/>
      <c r="M397" s="22"/>
      <c r="N397" s="22"/>
      <c r="O397" s="22"/>
      <c r="P397" s="22"/>
      <c r="Q397" s="22"/>
      <c r="R397" s="22"/>
      <c r="S397" s="22"/>
      <c r="T397" s="22"/>
      <c r="U397" s="22"/>
      <c r="V397" s="22"/>
      <c r="W397" s="29"/>
      <c r="X397" s="29"/>
      <c r="Y397" s="29"/>
      <c r="Z397" s="29"/>
      <c r="AA397" s="29"/>
      <c r="AB397" s="29"/>
      <c r="AC397" s="29"/>
      <c r="AD397" s="29"/>
      <c r="AE397" s="29"/>
    </row>
    <row r="398" spans="6:31" ht="16.5" x14ac:dyDescent="0.25">
      <c r="F398" s="22"/>
      <c r="G398" s="22"/>
      <c r="H398" s="22"/>
      <c r="I398" s="22"/>
      <c r="J398" s="22"/>
      <c r="K398" s="22"/>
      <c r="L398" s="22"/>
      <c r="M398" s="22"/>
      <c r="N398" s="22"/>
      <c r="O398" s="22"/>
      <c r="P398" s="22"/>
      <c r="Q398" s="22"/>
      <c r="R398" s="22"/>
      <c r="S398" s="22"/>
      <c r="T398" s="22"/>
      <c r="U398" s="22"/>
      <c r="V398" s="22"/>
      <c r="W398" s="29"/>
      <c r="X398" s="29"/>
      <c r="Y398" s="29"/>
      <c r="Z398" s="29"/>
      <c r="AA398" s="29"/>
      <c r="AB398" s="29"/>
      <c r="AC398" s="29"/>
      <c r="AD398" s="29"/>
      <c r="AE398" s="29"/>
    </row>
    <row r="399" spans="6:31" ht="16.5" x14ac:dyDescent="0.25">
      <c r="F399" s="22"/>
      <c r="G399" s="22"/>
      <c r="H399" s="22"/>
      <c r="I399" s="22"/>
      <c r="J399" s="22"/>
      <c r="K399" s="22"/>
      <c r="L399" s="22"/>
      <c r="M399" s="22"/>
      <c r="N399" s="22"/>
      <c r="O399" s="22"/>
      <c r="P399" s="22"/>
      <c r="Q399" s="22"/>
      <c r="R399" s="22"/>
      <c r="S399" s="22"/>
      <c r="T399" s="22"/>
      <c r="U399" s="22"/>
      <c r="V399" s="22"/>
      <c r="W399" s="29"/>
      <c r="X399" s="29"/>
      <c r="Y399" s="29"/>
      <c r="Z399" s="29"/>
      <c r="AA399" s="29"/>
      <c r="AB399" s="29"/>
      <c r="AC399" s="29"/>
      <c r="AD399" s="29"/>
      <c r="AE399" s="29"/>
    </row>
    <row r="400" spans="6:31" ht="16.5" x14ac:dyDescent="0.25">
      <c r="F400" s="22"/>
      <c r="G400" s="22"/>
      <c r="H400" s="22"/>
      <c r="I400" s="22"/>
      <c r="J400" s="22"/>
      <c r="K400" s="22"/>
      <c r="L400" s="22"/>
      <c r="M400" s="22"/>
      <c r="N400" s="22"/>
      <c r="O400" s="22"/>
      <c r="P400" s="22"/>
      <c r="Q400" s="22"/>
      <c r="R400" s="22"/>
      <c r="S400" s="22"/>
      <c r="T400" s="22"/>
      <c r="U400" s="22"/>
      <c r="V400" s="22"/>
      <c r="W400" s="29"/>
      <c r="X400" s="29"/>
      <c r="Y400" s="29"/>
      <c r="Z400" s="29"/>
      <c r="AA400" s="29"/>
      <c r="AB400" s="29"/>
      <c r="AC400" s="29"/>
      <c r="AD400" s="29"/>
      <c r="AE400" s="29"/>
    </row>
    <row r="401" spans="6:31" ht="16.5" x14ac:dyDescent="0.25">
      <c r="F401" s="22"/>
      <c r="G401" s="22"/>
      <c r="H401" s="22"/>
      <c r="I401" s="22"/>
      <c r="J401" s="22"/>
      <c r="K401" s="22"/>
      <c r="L401" s="22"/>
      <c r="M401" s="22"/>
      <c r="N401" s="22"/>
      <c r="O401" s="22"/>
      <c r="P401" s="22"/>
      <c r="Q401" s="22"/>
      <c r="R401" s="22"/>
      <c r="S401" s="22"/>
      <c r="T401" s="22"/>
      <c r="U401" s="22"/>
      <c r="V401" s="22"/>
      <c r="W401" s="29"/>
      <c r="X401" s="29"/>
      <c r="Y401" s="29"/>
      <c r="Z401" s="29"/>
      <c r="AA401" s="29"/>
      <c r="AB401" s="29"/>
      <c r="AC401" s="29"/>
      <c r="AD401" s="29"/>
      <c r="AE401" s="29"/>
    </row>
    <row r="402" spans="6:31" ht="16.5" x14ac:dyDescent="0.25">
      <c r="F402" s="22"/>
      <c r="G402" s="22"/>
      <c r="H402" s="22"/>
      <c r="I402" s="22"/>
      <c r="J402" s="22"/>
      <c r="K402" s="22"/>
      <c r="L402" s="22"/>
      <c r="M402" s="22"/>
      <c r="N402" s="22"/>
      <c r="O402" s="22"/>
      <c r="P402" s="22"/>
      <c r="Q402" s="22"/>
      <c r="R402" s="22"/>
      <c r="S402" s="22"/>
      <c r="T402" s="22"/>
      <c r="U402" s="22"/>
      <c r="V402" s="22"/>
      <c r="W402" s="29"/>
      <c r="X402" s="29"/>
      <c r="Y402" s="29"/>
      <c r="Z402" s="29"/>
      <c r="AA402" s="29"/>
      <c r="AB402" s="29"/>
      <c r="AC402" s="29"/>
      <c r="AD402" s="29"/>
      <c r="AE402" s="29"/>
    </row>
    <row r="403" spans="6:31" ht="16.5" x14ac:dyDescent="0.25">
      <c r="F403" s="22"/>
      <c r="G403" s="22"/>
      <c r="H403" s="22"/>
      <c r="I403" s="22"/>
      <c r="J403" s="22"/>
      <c r="K403" s="22"/>
      <c r="L403" s="22"/>
      <c r="M403" s="22"/>
      <c r="N403" s="22"/>
      <c r="O403" s="22"/>
      <c r="P403" s="22"/>
      <c r="Q403" s="22"/>
      <c r="R403" s="22"/>
      <c r="S403" s="22"/>
      <c r="T403" s="22"/>
      <c r="U403" s="22"/>
      <c r="V403" s="22"/>
      <c r="W403" s="29"/>
      <c r="X403" s="29"/>
      <c r="Y403" s="29"/>
      <c r="Z403" s="29"/>
      <c r="AA403" s="29"/>
      <c r="AB403" s="29"/>
      <c r="AC403" s="29"/>
      <c r="AD403" s="29"/>
      <c r="AE403" s="29"/>
    </row>
    <row r="404" spans="6:31" ht="16.5" x14ac:dyDescent="0.25">
      <c r="F404" s="22"/>
      <c r="G404" s="22"/>
      <c r="H404" s="22"/>
      <c r="I404" s="22"/>
      <c r="J404" s="22"/>
      <c r="K404" s="22"/>
      <c r="L404" s="22"/>
      <c r="M404" s="22"/>
      <c r="N404" s="22"/>
      <c r="O404" s="22"/>
      <c r="P404" s="22"/>
      <c r="Q404" s="22"/>
      <c r="R404" s="22"/>
      <c r="S404" s="22"/>
      <c r="T404" s="22"/>
      <c r="U404" s="22"/>
      <c r="V404" s="22"/>
      <c r="W404" s="29"/>
      <c r="X404" s="29"/>
      <c r="Y404" s="29"/>
      <c r="Z404" s="29"/>
      <c r="AA404" s="29"/>
      <c r="AB404" s="29"/>
      <c r="AC404" s="29"/>
      <c r="AD404" s="29"/>
      <c r="AE404" s="29"/>
    </row>
    <row r="405" spans="6:31" ht="16.5" x14ac:dyDescent="0.25">
      <c r="F405" s="22"/>
      <c r="G405" s="22"/>
      <c r="H405" s="22"/>
      <c r="I405" s="22"/>
      <c r="J405" s="22"/>
      <c r="K405" s="22"/>
      <c r="L405" s="22"/>
      <c r="M405" s="22"/>
      <c r="N405" s="22"/>
      <c r="O405" s="22"/>
      <c r="P405" s="22"/>
      <c r="Q405" s="22"/>
      <c r="R405" s="22"/>
      <c r="S405" s="22"/>
      <c r="T405" s="22"/>
      <c r="U405" s="22"/>
      <c r="V405" s="22"/>
      <c r="W405" s="29"/>
      <c r="X405" s="29"/>
      <c r="Y405" s="29"/>
      <c r="Z405" s="29"/>
      <c r="AA405" s="29"/>
      <c r="AB405" s="29"/>
      <c r="AC405" s="29"/>
      <c r="AD405" s="29"/>
      <c r="AE405" s="29"/>
    </row>
    <row r="406" spans="6:31" ht="16.5" x14ac:dyDescent="0.25">
      <c r="F406" s="22"/>
      <c r="G406" s="22"/>
      <c r="H406" s="22"/>
      <c r="I406" s="22"/>
      <c r="J406" s="22"/>
      <c r="K406" s="22"/>
      <c r="L406" s="22"/>
      <c r="M406" s="22"/>
      <c r="N406" s="22"/>
      <c r="O406" s="22"/>
      <c r="P406" s="22"/>
      <c r="Q406" s="22"/>
      <c r="R406" s="22"/>
      <c r="S406" s="22"/>
      <c r="T406" s="22"/>
      <c r="U406" s="22"/>
      <c r="V406" s="22"/>
      <c r="W406" s="29"/>
      <c r="X406" s="29"/>
      <c r="Y406" s="29"/>
      <c r="Z406" s="29"/>
      <c r="AA406" s="29"/>
      <c r="AB406" s="29"/>
      <c r="AC406" s="29"/>
      <c r="AD406" s="29"/>
      <c r="AE406" s="29"/>
    </row>
    <row r="407" spans="6:31" ht="16.5" x14ac:dyDescent="0.25">
      <c r="F407" s="22"/>
      <c r="G407" s="22"/>
      <c r="H407" s="22"/>
      <c r="I407" s="22"/>
      <c r="J407" s="22"/>
      <c r="K407" s="22"/>
      <c r="L407" s="22"/>
      <c r="M407" s="22"/>
      <c r="N407" s="22"/>
      <c r="O407" s="22"/>
      <c r="P407" s="22"/>
      <c r="Q407" s="22"/>
      <c r="R407" s="22"/>
      <c r="S407" s="22"/>
      <c r="T407" s="22"/>
      <c r="U407" s="22"/>
      <c r="V407" s="22"/>
      <c r="W407" s="29"/>
      <c r="X407" s="29"/>
      <c r="Y407" s="29"/>
      <c r="Z407" s="29"/>
      <c r="AA407" s="29"/>
      <c r="AB407" s="29"/>
      <c r="AC407" s="29"/>
      <c r="AD407" s="29"/>
      <c r="AE407" s="29"/>
    </row>
    <row r="408" spans="6:31" ht="16.5" x14ac:dyDescent="0.25">
      <c r="F408" s="22"/>
      <c r="G408" s="22"/>
      <c r="H408" s="22"/>
      <c r="I408" s="22"/>
      <c r="J408" s="22"/>
      <c r="K408" s="22"/>
      <c r="L408" s="22"/>
      <c r="M408" s="22"/>
      <c r="N408" s="22"/>
      <c r="O408" s="22"/>
      <c r="P408" s="22"/>
      <c r="Q408" s="22"/>
      <c r="R408" s="22"/>
      <c r="S408" s="22"/>
      <c r="T408" s="22"/>
      <c r="U408" s="22"/>
      <c r="V408" s="22"/>
      <c r="W408" s="29"/>
      <c r="X408" s="29"/>
      <c r="Y408" s="29"/>
      <c r="Z408" s="29"/>
      <c r="AA408" s="29"/>
      <c r="AB408" s="29"/>
      <c r="AC408" s="29"/>
      <c r="AD408" s="29"/>
      <c r="AE408" s="29"/>
    </row>
    <row r="409" spans="6:31" ht="16.5" x14ac:dyDescent="0.25">
      <c r="F409" s="22"/>
      <c r="G409" s="22"/>
      <c r="H409" s="22"/>
      <c r="I409" s="22"/>
      <c r="J409" s="22"/>
      <c r="K409" s="22"/>
      <c r="L409" s="22"/>
      <c r="M409" s="22"/>
      <c r="N409" s="22"/>
      <c r="O409" s="22"/>
      <c r="P409" s="22"/>
      <c r="Q409" s="22"/>
      <c r="R409" s="22"/>
      <c r="S409" s="22"/>
      <c r="T409" s="22"/>
      <c r="U409" s="22"/>
      <c r="V409" s="22"/>
      <c r="W409" s="29"/>
      <c r="X409" s="29"/>
      <c r="Y409" s="29"/>
      <c r="Z409" s="29"/>
      <c r="AA409" s="29"/>
      <c r="AB409" s="29"/>
      <c r="AC409" s="29"/>
      <c r="AD409" s="29"/>
      <c r="AE409" s="29"/>
    </row>
    <row r="410" spans="6:31" ht="16.5" x14ac:dyDescent="0.25">
      <c r="F410" s="22"/>
      <c r="G410" s="22"/>
      <c r="H410" s="22"/>
      <c r="I410" s="22"/>
      <c r="J410" s="22"/>
      <c r="K410" s="22"/>
      <c r="L410" s="22"/>
      <c r="M410" s="22"/>
      <c r="N410" s="22"/>
      <c r="O410" s="22"/>
      <c r="P410" s="22"/>
      <c r="Q410" s="22"/>
      <c r="R410" s="22"/>
      <c r="S410" s="22"/>
      <c r="T410" s="22"/>
      <c r="U410" s="22"/>
      <c r="V410" s="22"/>
      <c r="W410" s="29"/>
      <c r="X410" s="29"/>
      <c r="Y410" s="29"/>
      <c r="Z410" s="29"/>
      <c r="AA410" s="29"/>
      <c r="AB410" s="29"/>
      <c r="AC410" s="29"/>
      <c r="AD410" s="29"/>
      <c r="AE410" s="29"/>
    </row>
    <row r="411" spans="6:31" ht="16.5" x14ac:dyDescent="0.25">
      <c r="F411" s="22"/>
      <c r="G411" s="22"/>
      <c r="H411" s="22"/>
      <c r="I411" s="22"/>
      <c r="J411" s="22"/>
      <c r="K411" s="22"/>
      <c r="L411" s="22"/>
      <c r="M411" s="22"/>
      <c r="N411" s="22"/>
      <c r="O411" s="22"/>
      <c r="P411" s="22"/>
      <c r="Q411" s="22"/>
      <c r="R411" s="22"/>
      <c r="S411" s="22"/>
      <c r="T411" s="22"/>
      <c r="U411" s="22"/>
      <c r="V411" s="22"/>
      <c r="W411" s="29"/>
      <c r="X411" s="29"/>
      <c r="Y411" s="29"/>
      <c r="Z411" s="29"/>
      <c r="AA411" s="29"/>
      <c r="AB411" s="29"/>
      <c r="AC411" s="29"/>
      <c r="AD411" s="29"/>
      <c r="AE411" s="29"/>
    </row>
    <row r="412" spans="6:31" ht="16.5" x14ac:dyDescent="0.25">
      <c r="F412" s="22"/>
      <c r="G412" s="22"/>
      <c r="H412" s="22"/>
      <c r="I412" s="22"/>
      <c r="J412" s="22"/>
      <c r="K412" s="22"/>
      <c r="L412" s="22"/>
      <c r="M412" s="22"/>
      <c r="N412" s="22"/>
      <c r="O412" s="22"/>
      <c r="P412" s="22"/>
      <c r="Q412" s="22"/>
      <c r="R412" s="22"/>
      <c r="S412" s="22"/>
      <c r="T412" s="22"/>
      <c r="U412" s="22"/>
      <c r="V412" s="22"/>
      <c r="W412" s="29"/>
      <c r="X412" s="29"/>
      <c r="Y412" s="29"/>
      <c r="Z412" s="29"/>
      <c r="AA412" s="29"/>
      <c r="AB412" s="29"/>
      <c r="AC412" s="29"/>
      <c r="AD412" s="29"/>
      <c r="AE412" s="29"/>
    </row>
    <row r="413" spans="6:31" ht="16.5" x14ac:dyDescent="0.25">
      <c r="F413" s="22"/>
      <c r="G413" s="22"/>
      <c r="H413" s="22"/>
      <c r="I413" s="22"/>
      <c r="J413" s="22"/>
      <c r="K413" s="22"/>
      <c r="L413" s="22"/>
      <c r="M413" s="22"/>
      <c r="N413" s="22"/>
      <c r="O413" s="22"/>
      <c r="P413" s="22"/>
      <c r="Q413" s="22"/>
      <c r="R413" s="22"/>
      <c r="S413" s="22"/>
      <c r="T413" s="22"/>
      <c r="U413" s="22"/>
      <c r="V413" s="22"/>
      <c r="W413" s="29"/>
      <c r="X413" s="29"/>
      <c r="Y413" s="29"/>
      <c r="Z413" s="29"/>
      <c r="AA413" s="29"/>
      <c r="AB413" s="29"/>
      <c r="AC413" s="29"/>
      <c r="AD413" s="29"/>
      <c r="AE413" s="29"/>
    </row>
    <row r="414" spans="6:31" ht="16.5" x14ac:dyDescent="0.25">
      <c r="F414" s="22"/>
      <c r="G414" s="22"/>
      <c r="H414" s="22"/>
      <c r="I414" s="22"/>
      <c r="J414" s="22"/>
      <c r="K414" s="22"/>
      <c r="L414" s="22"/>
      <c r="M414" s="22"/>
      <c r="N414" s="22"/>
      <c r="O414" s="22"/>
      <c r="P414" s="22"/>
      <c r="Q414" s="22"/>
      <c r="R414" s="22"/>
      <c r="S414" s="22"/>
      <c r="T414" s="22"/>
      <c r="U414" s="22"/>
      <c r="V414" s="22"/>
      <c r="W414" s="29"/>
      <c r="X414" s="29"/>
      <c r="Y414" s="29"/>
      <c r="Z414" s="29"/>
      <c r="AA414" s="29"/>
      <c r="AB414" s="29"/>
      <c r="AC414" s="29"/>
      <c r="AD414" s="29"/>
      <c r="AE414" s="29"/>
    </row>
    <row r="415" spans="6:31" ht="16.5" x14ac:dyDescent="0.25">
      <c r="F415" s="22"/>
      <c r="G415" s="22"/>
      <c r="H415" s="22"/>
      <c r="I415" s="22"/>
      <c r="J415" s="22"/>
      <c r="K415" s="22"/>
      <c r="L415" s="22"/>
      <c r="M415" s="22"/>
      <c r="N415" s="22"/>
      <c r="O415" s="22"/>
      <c r="P415" s="22"/>
      <c r="Q415" s="22"/>
      <c r="R415" s="22"/>
      <c r="S415" s="22"/>
      <c r="T415" s="22"/>
      <c r="U415" s="22"/>
      <c r="V415" s="22"/>
      <c r="W415" s="29"/>
      <c r="X415" s="29"/>
      <c r="Y415" s="29"/>
      <c r="Z415" s="29"/>
      <c r="AA415" s="29"/>
      <c r="AB415" s="29"/>
      <c r="AC415" s="29"/>
      <c r="AD415" s="29"/>
      <c r="AE415" s="29"/>
    </row>
    <row r="416" spans="6:31" ht="16.5" x14ac:dyDescent="0.25">
      <c r="F416" s="22"/>
      <c r="G416" s="22"/>
      <c r="H416" s="22"/>
      <c r="I416" s="22"/>
      <c r="J416" s="22"/>
      <c r="K416" s="22"/>
      <c r="L416" s="22"/>
      <c r="M416" s="22"/>
      <c r="N416" s="22"/>
      <c r="O416" s="22"/>
      <c r="P416" s="22"/>
      <c r="Q416" s="22"/>
      <c r="R416" s="22"/>
      <c r="S416" s="22"/>
      <c r="T416" s="22"/>
      <c r="U416" s="22"/>
      <c r="V416" s="22"/>
      <c r="W416" s="29"/>
      <c r="X416" s="29"/>
      <c r="Y416" s="29"/>
      <c r="Z416" s="29"/>
      <c r="AA416" s="29"/>
      <c r="AB416" s="29"/>
      <c r="AC416" s="29"/>
      <c r="AD416" s="29"/>
      <c r="AE416" s="29"/>
    </row>
    <row r="417" spans="6:31" ht="16.5" x14ac:dyDescent="0.25">
      <c r="F417" s="22"/>
      <c r="G417" s="22"/>
      <c r="H417" s="22"/>
      <c r="I417" s="22"/>
      <c r="J417" s="22"/>
      <c r="K417" s="22"/>
      <c r="L417" s="22"/>
      <c r="M417" s="22"/>
      <c r="N417" s="22"/>
      <c r="O417" s="22"/>
      <c r="P417" s="22"/>
      <c r="Q417" s="22"/>
      <c r="R417" s="22"/>
      <c r="S417" s="22"/>
      <c r="T417" s="22"/>
      <c r="U417" s="22"/>
      <c r="V417" s="22"/>
      <c r="W417" s="29"/>
      <c r="X417" s="29"/>
      <c r="Y417" s="29"/>
      <c r="Z417" s="29"/>
      <c r="AA417" s="29"/>
      <c r="AB417" s="29"/>
      <c r="AC417" s="29"/>
      <c r="AD417" s="29"/>
      <c r="AE417" s="29"/>
    </row>
    <row r="418" spans="6:31" ht="16.5" x14ac:dyDescent="0.25">
      <c r="F418" s="22"/>
      <c r="G418" s="22"/>
      <c r="H418" s="22"/>
      <c r="I418" s="22"/>
      <c r="J418" s="22"/>
      <c r="K418" s="22"/>
      <c r="L418" s="22"/>
      <c r="M418" s="22"/>
      <c r="N418" s="22"/>
      <c r="O418" s="22"/>
      <c r="P418" s="22"/>
      <c r="Q418" s="22"/>
      <c r="R418" s="22"/>
      <c r="S418" s="22"/>
      <c r="T418" s="22"/>
      <c r="U418" s="22"/>
      <c r="V418" s="22"/>
      <c r="W418" s="29"/>
      <c r="X418" s="29"/>
      <c r="Y418" s="29"/>
      <c r="Z418" s="29"/>
      <c r="AA418" s="29"/>
      <c r="AB418" s="29"/>
      <c r="AC418" s="29"/>
      <c r="AD418" s="29"/>
      <c r="AE418" s="29"/>
    </row>
    <row r="419" spans="6:31" ht="16.5" x14ac:dyDescent="0.25">
      <c r="F419" s="22"/>
      <c r="G419" s="22"/>
      <c r="H419" s="22"/>
      <c r="I419" s="22"/>
      <c r="J419" s="22"/>
      <c r="K419" s="22"/>
      <c r="L419" s="22"/>
      <c r="M419" s="22"/>
      <c r="N419" s="22"/>
      <c r="O419" s="22"/>
      <c r="P419" s="22"/>
      <c r="Q419" s="22"/>
      <c r="R419" s="22"/>
      <c r="S419" s="22"/>
      <c r="T419" s="22"/>
      <c r="U419" s="22"/>
      <c r="V419" s="22"/>
      <c r="W419" s="29"/>
      <c r="X419" s="29"/>
      <c r="Y419" s="29"/>
      <c r="Z419" s="29"/>
      <c r="AA419" s="29"/>
      <c r="AB419" s="29"/>
      <c r="AC419" s="29"/>
      <c r="AD419" s="29"/>
      <c r="AE419" s="29"/>
    </row>
    <row r="420" spans="6:31" ht="16.5" x14ac:dyDescent="0.25">
      <c r="F420" s="22"/>
      <c r="G420" s="22"/>
      <c r="H420" s="22"/>
      <c r="I420" s="22"/>
      <c r="J420" s="22"/>
      <c r="K420" s="22"/>
      <c r="L420" s="22"/>
      <c r="M420" s="22"/>
      <c r="N420" s="22"/>
      <c r="O420" s="22"/>
      <c r="P420" s="22"/>
      <c r="Q420" s="22"/>
      <c r="R420" s="22"/>
      <c r="S420" s="22"/>
      <c r="T420" s="22"/>
      <c r="U420" s="22"/>
      <c r="V420" s="22"/>
      <c r="W420" s="29"/>
      <c r="X420" s="29"/>
      <c r="Y420" s="29"/>
      <c r="Z420" s="29"/>
      <c r="AA420" s="29"/>
      <c r="AB420" s="29"/>
      <c r="AC420" s="29"/>
      <c r="AD420" s="29"/>
      <c r="AE420" s="29"/>
    </row>
    <row r="421" spans="6:31" ht="16.5" x14ac:dyDescent="0.25">
      <c r="F421" s="22"/>
      <c r="G421" s="22"/>
      <c r="H421" s="22"/>
      <c r="I421" s="22"/>
      <c r="J421" s="22"/>
      <c r="K421" s="22"/>
      <c r="L421" s="22"/>
      <c r="M421" s="22"/>
      <c r="N421" s="22"/>
      <c r="O421" s="22"/>
      <c r="P421" s="22"/>
      <c r="Q421" s="22"/>
      <c r="R421" s="22"/>
      <c r="S421" s="22"/>
      <c r="T421" s="22"/>
      <c r="U421" s="22"/>
      <c r="V421" s="22"/>
      <c r="W421" s="29"/>
      <c r="X421" s="29"/>
      <c r="Y421" s="29"/>
      <c r="Z421" s="29"/>
      <c r="AA421" s="29"/>
      <c r="AB421" s="29"/>
      <c r="AC421" s="29"/>
      <c r="AD421" s="29"/>
      <c r="AE421" s="29"/>
    </row>
    <row r="422" spans="6:31" ht="16.5" x14ac:dyDescent="0.25">
      <c r="F422" s="22"/>
      <c r="G422" s="22"/>
      <c r="H422" s="22"/>
      <c r="I422" s="22"/>
      <c r="J422" s="22"/>
      <c r="K422" s="22"/>
      <c r="L422" s="22"/>
      <c r="M422" s="22"/>
      <c r="N422" s="22"/>
      <c r="O422" s="22"/>
      <c r="P422" s="22"/>
      <c r="Q422" s="22"/>
      <c r="R422" s="22"/>
      <c r="S422" s="22"/>
      <c r="T422" s="22"/>
      <c r="U422" s="22"/>
      <c r="V422" s="22"/>
      <c r="W422" s="29"/>
      <c r="X422" s="29"/>
      <c r="Y422" s="29"/>
      <c r="Z422" s="29"/>
      <c r="AA422" s="29"/>
      <c r="AB422" s="29"/>
      <c r="AC422" s="29"/>
      <c r="AD422" s="29"/>
      <c r="AE422" s="29"/>
    </row>
    <row r="423" spans="6:31" ht="16.5" x14ac:dyDescent="0.25">
      <c r="F423" s="22"/>
      <c r="G423" s="22"/>
      <c r="H423" s="22"/>
      <c r="I423" s="22"/>
      <c r="J423" s="22"/>
      <c r="K423" s="22"/>
      <c r="L423" s="22"/>
      <c r="M423" s="22"/>
      <c r="N423" s="22"/>
      <c r="O423" s="22"/>
      <c r="P423" s="22"/>
      <c r="Q423" s="22"/>
      <c r="R423" s="22"/>
      <c r="S423" s="22"/>
      <c r="T423" s="22"/>
      <c r="U423" s="22"/>
      <c r="V423" s="22"/>
      <c r="W423" s="29"/>
      <c r="X423" s="29"/>
      <c r="Y423" s="29"/>
      <c r="Z423" s="29"/>
      <c r="AA423" s="29"/>
      <c r="AB423" s="29"/>
      <c r="AC423" s="29"/>
      <c r="AD423" s="29"/>
      <c r="AE423" s="29"/>
    </row>
    <row r="424" spans="6:31" ht="16.5" x14ac:dyDescent="0.25">
      <c r="F424" s="22"/>
      <c r="G424" s="22"/>
      <c r="H424" s="22"/>
      <c r="I424" s="22"/>
      <c r="J424" s="22"/>
      <c r="K424" s="22"/>
      <c r="L424" s="22"/>
      <c r="M424" s="22"/>
      <c r="N424" s="22"/>
      <c r="O424" s="22"/>
      <c r="P424" s="22"/>
      <c r="Q424" s="22"/>
      <c r="R424" s="22"/>
      <c r="S424" s="22"/>
      <c r="T424" s="22"/>
      <c r="U424" s="22"/>
      <c r="V424" s="22"/>
      <c r="W424" s="29"/>
      <c r="X424" s="29"/>
      <c r="Y424" s="29"/>
      <c r="Z424" s="29"/>
      <c r="AA424" s="29"/>
      <c r="AB424" s="29"/>
      <c r="AC424" s="29"/>
      <c r="AD424" s="29"/>
      <c r="AE424" s="29"/>
    </row>
    <row r="425" spans="6:31" ht="16.5" x14ac:dyDescent="0.25">
      <c r="F425" s="22"/>
      <c r="G425" s="22"/>
      <c r="H425" s="22"/>
      <c r="I425" s="22"/>
      <c r="J425" s="22"/>
      <c r="K425" s="22"/>
      <c r="L425" s="22"/>
      <c r="M425" s="22"/>
      <c r="N425" s="22"/>
      <c r="O425" s="22"/>
      <c r="P425" s="22"/>
      <c r="Q425" s="22"/>
      <c r="R425" s="22"/>
      <c r="S425" s="22"/>
      <c r="T425" s="22"/>
      <c r="U425" s="22"/>
      <c r="V425" s="22"/>
      <c r="W425" s="29"/>
      <c r="X425" s="29"/>
      <c r="Y425" s="29"/>
      <c r="Z425" s="29"/>
      <c r="AA425" s="29"/>
      <c r="AB425" s="29"/>
      <c r="AC425" s="29"/>
      <c r="AD425" s="29"/>
      <c r="AE425" s="29"/>
    </row>
    <row r="426" spans="6:31" ht="16.5" x14ac:dyDescent="0.25">
      <c r="F426" s="22"/>
      <c r="G426" s="22"/>
      <c r="H426" s="22"/>
      <c r="I426" s="22"/>
      <c r="J426" s="22"/>
      <c r="K426" s="22"/>
      <c r="L426" s="22"/>
      <c r="M426" s="22"/>
      <c r="N426" s="22"/>
      <c r="O426" s="22"/>
      <c r="P426" s="22"/>
      <c r="Q426" s="22"/>
      <c r="R426" s="22"/>
      <c r="S426" s="22"/>
      <c r="T426" s="22"/>
      <c r="U426" s="22"/>
      <c r="V426" s="22"/>
      <c r="W426" s="29"/>
      <c r="X426" s="29"/>
      <c r="Y426" s="29"/>
      <c r="Z426" s="29"/>
      <c r="AA426" s="29"/>
      <c r="AB426" s="29"/>
      <c r="AC426" s="29"/>
      <c r="AD426" s="29"/>
      <c r="AE426" s="29"/>
    </row>
    <row r="427" spans="6:31" ht="16.5" x14ac:dyDescent="0.25">
      <c r="F427" s="22"/>
      <c r="G427" s="22"/>
      <c r="H427" s="22"/>
      <c r="I427" s="22"/>
      <c r="J427" s="22"/>
      <c r="K427" s="22"/>
      <c r="L427" s="22"/>
      <c r="M427" s="22"/>
      <c r="N427" s="22"/>
      <c r="O427" s="22"/>
      <c r="P427" s="22"/>
      <c r="Q427" s="22"/>
      <c r="R427" s="22"/>
      <c r="S427" s="22"/>
      <c r="T427" s="22"/>
      <c r="U427" s="22"/>
      <c r="V427" s="22"/>
      <c r="W427" s="29"/>
      <c r="X427" s="29"/>
      <c r="Y427" s="29"/>
      <c r="Z427" s="29"/>
      <c r="AA427" s="29"/>
      <c r="AB427" s="29"/>
      <c r="AC427" s="29"/>
      <c r="AD427" s="29"/>
      <c r="AE427" s="29"/>
    </row>
    <row r="428" spans="6:31" ht="16.5" x14ac:dyDescent="0.25">
      <c r="F428" s="22"/>
      <c r="G428" s="22"/>
      <c r="H428" s="22"/>
      <c r="I428" s="22"/>
      <c r="J428" s="22"/>
      <c r="K428" s="22"/>
      <c r="L428" s="22"/>
      <c r="M428" s="22"/>
      <c r="N428" s="22"/>
      <c r="O428" s="22"/>
      <c r="P428" s="22"/>
      <c r="Q428" s="22"/>
      <c r="R428" s="22"/>
      <c r="S428" s="22"/>
      <c r="T428" s="22"/>
      <c r="U428" s="22"/>
      <c r="V428" s="22"/>
      <c r="W428" s="29"/>
      <c r="X428" s="29"/>
      <c r="Y428" s="29"/>
      <c r="Z428" s="29"/>
      <c r="AA428" s="29"/>
      <c r="AB428" s="29"/>
      <c r="AC428" s="29"/>
      <c r="AD428" s="29"/>
      <c r="AE428" s="29"/>
    </row>
    <row r="429" spans="6:31" ht="16.5" x14ac:dyDescent="0.25">
      <c r="F429" s="22"/>
      <c r="G429" s="22"/>
      <c r="H429" s="22"/>
      <c r="I429" s="22"/>
      <c r="J429" s="22"/>
      <c r="K429" s="22"/>
      <c r="L429" s="22"/>
      <c r="M429" s="22"/>
      <c r="N429" s="22"/>
      <c r="O429" s="22"/>
      <c r="P429" s="22"/>
      <c r="Q429" s="22"/>
      <c r="R429" s="22"/>
      <c r="S429" s="22"/>
      <c r="T429" s="22"/>
      <c r="U429" s="22"/>
      <c r="V429" s="22"/>
      <c r="W429" s="29"/>
      <c r="X429" s="29"/>
      <c r="Y429" s="29"/>
      <c r="Z429" s="29"/>
      <c r="AA429" s="29"/>
      <c r="AB429" s="29"/>
      <c r="AC429" s="29"/>
      <c r="AD429" s="29"/>
      <c r="AE429" s="29"/>
    </row>
    <row r="430" spans="6:31" ht="16.5" x14ac:dyDescent="0.25">
      <c r="F430" s="22"/>
      <c r="G430" s="22"/>
      <c r="H430" s="22"/>
      <c r="I430" s="22"/>
      <c r="J430" s="22"/>
      <c r="K430" s="22"/>
      <c r="L430" s="22"/>
      <c r="M430" s="22"/>
      <c r="N430" s="22"/>
      <c r="O430" s="22"/>
      <c r="P430" s="22"/>
      <c r="Q430" s="22"/>
      <c r="R430" s="22"/>
      <c r="S430" s="22"/>
      <c r="T430" s="22"/>
      <c r="U430" s="22"/>
      <c r="V430" s="22"/>
      <c r="W430" s="29"/>
      <c r="X430" s="29"/>
      <c r="Y430" s="29"/>
      <c r="Z430" s="29"/>
      <c r="AA430" s="29"/>
      <c r="AB430" s="29"/>
      <c r="AC430" s="29"/>
      <c r="AD430" s="29"/>
      <c r="AE430" s="29"/>
    </row>
    <row r="431" spans="6:31" ht="16.5" x14ac:dyDescent="0.25">
      <c r="F431" s="22"/>
      <c r="G431" s="22"/>
      <c r="H431" s="22"/>
      <c r="I431" s="22"/>
      <c r="J431" s="22"/>
      <c r="K431" s="22"/>
      <c r="L431" s="22"/>
      <c r="M431" s="22"/>
      <c r="N431" s="22"/>
      <c r="O431" s="22"/>
      <c r="P431" s="22"/>
      <c r="Q431" s="22"/>
      <c r="R431" s="22"/>
      <c r="S431" s="22"/>
      <c r="T431" s="22"/>
      <c r="U431" s="22"/>
      <c r="V431" s="22"/>
      <c r="W431" s="29"/>
      <c r="X431" s="29"/>
      <c r="Y431" s="29"/>
      <c r="Z431" s="29"/>
      <c r="AA431" s="29"/>
      <c r="AB431" s="29"/>
      <c r="AC431" s="29"/>
      <c r="AD431" s="29"/>
      <c r="AE431" s="29"/>
    </row>
    <row r="432" spans="6:31" ht="16.5" x14ac:dyDescent="0.25">
      <c r="F432" s="22"/>
      <c r="G432" s="22"/>
      <c r="H432" s="22"/>
      <c r="I432" s="22"/>
      <c r="J432" s="22"/>
      <c r="K432" s="22"/>
      <c r="L432" s="22"/>
      <c r="M432" s="22"/>
      <c r="N432" s="22"/>
      <c r="O432" s="22"/>
      <c r="P432" s="22"/>
      <c r="Q432" s="22"/>
      <c r="R432" s="22"/>
      <c r="S432" s="22"/>
      <c r="T432" s="22"/>
      <c r="U432" s="22"/>
      <c r="V432" s="22"/>
      <c r="W432" s="29"/>
      <c r="X432" s="29"/>
      <c r="Y432" s="29"/>
      <c r="Z432" s="29"/>
      <c r="AA432" s="29"/>
      <c r="AB432" s="29"/>
      <c r="AC432" s="29"/>
      <c r="AD432" s="29"/>
      <c r="AE432" s="29"/>
    </row>
    <row r="433" spans="6:31" ht="16.5" x14ac:dyDescent="0.25">
      <c r="F433" s="22"/>
      <c r="G433" s="22"/>
      <c r="H433" s="22"/>
      <c r="I433" s="22"/>
      <c r="J433" s="22"/>
      <c r="K433" s="22"/>
      <c r="L433" s="22"/>
      <c r="M433" s="22"/>
      <c r="N433" s="22"/>
      <c r="O433" s="22"/>
      <c r="P433" s="22"/>
      <c r="Q433" s="22"/>
      <c r="R433" s="22"/>
      <c r="S433" s="22"/>
      <c r="T433" s="22"/>
      <c r="U433" s="22"/>
      <c r="V433" s="22"/>
      <c r="W433" s="29"/>
      <c r="X433" s="29"/>
      <c r="Y433" s="29"/>
      <c r="Z433" s="29"/>
      <c r="AA433" s="29"/>
      <c r="AB433" s="29"/>
      <c r="AC433" s="29"/>
      <c r="AD433" s="29"/>
      <c r="AE433" s="29"/>
    </row>
    <row r="434" spans="6:31" ht="16.5" x14ac:dyDescent="0.25">
      <c r="F434" s="22"/>
      <c r="G434" s="22"/>
      <c r="H434" s="22"/>
      <c r="I434" s="22"/>
      <c r="J434" s="22"/>
      <c r="K434" s="22"/>
      <c r="L434" s="22"/>
      <c r="M434" s="22"/>
      <c r="N434" s="22"/>
      <c r="O434" s="22"/>
      <c r="P434" s="22"/>
      <c r="Q434" s="22"/>
      <c r="R434" s="22"/>
      <c r="S434" s="22"/>
      <c r="T434" s="22"/>
      <c r="U434" s="22"/>
      <c r="V434" s="22"/>
      <c r="W434" s="29"/>
      <c r="X434" s="29"/>
      <c r="Y434" s="29"/>
      <c r="Z434" s="29"/>
      <c r="AA434" s="29"/>
      <c r="AB434" s="29"/>
      <c r="AC434" s="29"/>
      <c r="AD434" s="29"/>
      <c r="AE434" s="29"/>
    </row>
    <row r="435" spans="6:31" ht="16.5" x14ac:dyDescent="0.25">
      <c r="F435" s="22"/>
      <c r="G435" s="22"/>
      <c r="H435" s="22"/>
      <c r="I435" s="22"/>
      <c r="J435" s="22"/>
      <c r="K435" s="22"/>
      <c r="L435" s="22"/>
      <c r="M435" s="22"/>
      <c r="N435" s="22"/>
      <c r="O435" s="22"/>
      <c r="P435" s="22"/>
      <c r="Q435" s="22"/>
      <c r="R435" s="22"/>
      <c r="S435" s="22"/>
      <c r="T435" s="22"/>
      <c r="U435" s="22"/>
      <c r="V435" s="22"/>
      <c r="W435" s="29"/>
      <c r="X435" s="29"/>
      <c r="Y435" s="29"/>
      <c r="Z435" s="29"/>
      <c r="AA435" s="29"/>
      <c r="AB435" s="29"/>
      <c r="AC435" s="29"/>
      <c r="AD435" s="29"/>
      <c r="AE435" s="29"/>
    </row>
    <row r="436" spans="6:31" ht="16.5" x14ac:dyDescent="0.25">
      <c r="F436" s="22"/>
      <c r="G436" s="22"/>
      <c r="H436" s="22"/>
      <c r="I436" s="22"/>
      <c r="J436" s="22"/>
      <c r="K436" s="22"/>
      <c r="L436" s="22"/>
      <c r="M436" s="22"/>
      <c r="N436" s="22"/>
      <c r="O436" s="22"/>
      <c r="P436" s="22"/>
      <c r="Q436" s="22"/>
      <c r="R436" s="22"/>
      <c r="S436" s="22"/>
      <c r="T436" s="22"/>
      <c r="U436" s="22"/>
      <c r="V436" s="22"/>
      <c r="W436" s="29"/>
      <c r="X436" s="29"/>
      <c r="Y436" s="29"/>
      <c r="Z436" s="29"/>
      <c r="AA436" s="29"/>
      <c r="AB436" s="29"/>
      <c r="AC436" s="29"/>
      <c r="AD436" s="29"/>
      <c r="AE436" s="29"/>
    </row>
    <row r="437" spans="6:31" ht="16.5" x14ac:dyDescent="0.25">
      <c r="F437" s="22"/>
      <c r="G437" s="22"/>
      <c r="H437" s="22"/>
      <c r="I437" s="22"/>
      <c r="J437" s="22"/>
      <c r="K437" s="22"/>
      <c r="L437" s="22"/>
      <c r="M437" s="22"/>
      <c r="N437" s="22"/>
      <c r="O437" s="22"/>
      <c r="P437" s="22"/>
      <c r="Q437" s="22"/>
      <c r="R437" s="22"/>
      <c r="S437" s="22"/>
      <c r="T437" s="22"/>
      <c r="U437" s="22"/>
      <c r="V437" s="22"/>
      <c r="W437" s="29"/>
      <c r="X437" s="29"/>
      <c r="Y437" s="29"/>
      <c r="Z437" s="29"/>
      <c r="AA437" s="29"/>
      <c r="AB437" s="29"/>
      <c r="AC437" s="29"/>
      <c r="AD437" s="29"/>
      <c r="AE437" s="29"/>
    </row>
    <row r="438" spans="6:31" ht="16.5" x14ac:dyDescent="0.25">
      <c r="F438" s="22"/>
      <c r="G438" s="22"/>
      <c r="H438" s="22"/>
      <c r="I438" s="22"/>
      <c r="J438" s="22"/>
      <c r="K438" s="22"/>
      <c r="L438" s="22"/>
      <c r="M438" s="22"/>
      <c r="N438" s="22"/>
      <c r="O438" s="22"/>
      <c r="P438" s="22"/>
      <c r="Q438" s="22"/>
      <c r="R438" s="22"/>
      <c r="S438" s="22"/>
      <c r="T438" s="22"/>
      <c r="U438" s="22"/>
      <c r="V438" s="22"/>
      <c r="W438" s="29"/>
      <c r="X438" s="29"/>
      <c r="Y438" s="29"/>
      <c r="Z438" s="29"/>
      <c r="AA438" s="29"/>
      <c r="AB438" s="29"/>
      <c r="AC438" s="29"/>
      <c r="AD438" s="29"/>
      <c r="AE438" s="29"/>
    </row>
    <row r="439" spans="6:31" ht="16.5" x14ac:dyDescent="0.25">
      <c r="F439" s="22"/>
      <c r="G439" s="22"/>
      <c r="H439" s="22"/>
      <c r="I439" s="22"/>
      <c r="J439" s="22"/>
      <c r="K439" s="22"/>
      <c r="L439" s="22"/>
      <c r="M439" s="22"/>
      <c r="N439" s="22"/>
      <c r="O439" s="22"/>
      <c r="P439" s="22"/>
      <c r="Q439" s="22"/>
      <c r="R439" s="22"/>
      <c r="S439" s="22"/>
      <c r="T439" s="22"/>
      <c r="U439" s="22"/>
      <c r="V439" s="22"/>
      <c r="W439" s="29"/>
      <c r="X439" s="29"/>
      <c r="Y439" s="29"/>
      <c r="Z439" s="29"/>
      <c r="AA439" s="29"/>
      <c r="AB439" s="29"/>
      <c r="AC439" s="29"/>
      <c r="AD439" s="29"/>
      <c r="AE439" s="29"/>
    </row>
    <row r="440" spans="6:31" ht="16.5" x14ac:dyDescent="0.25">
      <c r="F440" s="22"/>
      <c r="G440" s="22"/>
      <c r="H440" s="22"/>
      <c r="I440" s="22"/>
      <c r="J440" s="22"/>
      <c r="K440" s="22"/>
      <c r="L440" s="22"/>
      <c r="M440" s="22"/>
      <c r="N440" s="22"/>
      <c r="O440" s="22"/>
      <c r="P440" s="22"/>
      <c r="Q440" s="22"/>
      <c r="R440" s="22"/>
      <c r="S440" s="22"/>
      <c r="T440" s="22"/>
      <c r="U440" s="22"/>
      <c r="V440" s="22"/>
      <c r="W440" s="29"/>
      <c r="X440" s="29"/>
      <c r="Y440" s="29"/>
      <c r="Z440" s="29"/>
      <c r="AA440" s="29"/>
      <c r="AB440" s="29"/>
      <c r="AC440" s="29"/>
      <c r="AD440" s="29"/>
      <c r="AE440" s="29"/>
    </row>
    <row r="441" spans="6:31" ht="16.5" x14ac:dyDescent="0.25">
      <c r="F441" s="22"/>
      <c r="G441" s="22"/>
      <c r="H441" s="22"/>
      <c r="I441" s="22"/>
      <c r="J441" s="22"/>
      <c r="K441" s="22"/>
      <c r="L441" s="22"/>
      <c r="M441" s="22"/>
      <c r="N441" s="22"/>
      <c r="O441" s="22"/>
      <c r="P441" s="22"/>
      <c r="Q441" s="22"/>
      <c r="R441" s="22"/>
      <c r="S441" s="22"/>
      <c r="T441" s="22"/>
      <c r="U441" s="22"/>
      <c r="V441" s="22"/>
      <c r="W441" s="29"/>
      <c r="X441" s="29"/>
      <c r="Y441" s="29"/>
      <c r="Z441" s="29"/>
      <c r="AA441" s="29"/>
      <c r="AB441" s="29"/>
      <c r="AC441" s="29"/>
      <c r="AD441" s="29"/>
      <c r="AE441" s="29"/>
    </row>
    <row r="442" spans="6:31" ht="16.5" x14ac:dyDescent="0.25">
      <c r="F442" s="22"/>
      <c r="G442" s="22"/>
      <c r="H442" s="22"/>
      <c r="I442" s="22"/>
      <c r="J442" s="22"/>
      <c r="K442" s="22"/>
      <c r="L442" s="22"/>
      <c r="M442" s="22"/>
      <c r="N442" s="22"/>
      <c r="O442" s="22"/>
      <c r="P442" s="22"/>
      <c r="Q442" s="22"/>
      <c r="R442" s="22"/>
      <c r="S442" s="22"/>
      <c r="T442" s="22"/>
      <c r="U442" s="22"/>
      <c r="V442" s="22"/>
      <c r="W442" s="29"/>
      <c r="X442" s="29"/>
      <c r="Y442" s="29"/>
      <c r="Z442" s="29"/>
      <c r="AA442" s="29"/>
      <c r="AB442" s="29"/>
      <c r="AC442" s="29"/>
      <c r="AD442" s="29"/>
      <c r="AE442" s="29"/>
    </row>
    <row r="443" spans="6:31" ht="16.5" x14ac:dyDescent="0.25">
      <c r="F443" s="22"/>
      <c r="G443" s="22"/>
      <c r="H443" s="22"/>
      <c r="I443" s="22"/>
      <c r="J443" s="22"/>
      <c r="K443" s="22"/>
      <c r="L443" s="22"/>
      <c r="M443" s="22"/>
      <c r="N443" s="22"/>
      <c r="O443" s="22"/>
      <c r="P443" s="22"/>
      <c r="Q443" s="22"/>
      <c r="R443" s="22"/>
      <c r="S443" s="22"/>
      <c r="T443" s="22"/>
      <c r="U443" s="22"/>
      <c r="V443" s="22"/>
      <c r="W443" s="29"/>
      <c r="X443" s="29"/>
      <c r="Y443" s="29"/>
      <c r="Z443" s="29"/>
      <c r="AA443" s="29"/>
      <c r="AB443" s="29"/>
      <c r="AC443" s="29"/>
      <c r="AD443" s="29"/>
      <c r="AE443" s="29"/>
    </row>
    <row r="444" spans="6:31" ht="16.5" x14ac:dyDescent="0.25">
      <c r="F444" s="22"/>
      <c r="G444" s="22"/>
      <c r="H444" s="22"/>
      <c r="I444" s="22"/>
      <c r="J444" s="22"/>
      <c r="K444" s="22"/>
      <c r="L444" s="22"/>
      <c r="M444" s="22"/>
      <c r="N444" s="22"/>
      <c r="O444" s="22"/>
      <c r="P444" s="22"/>
      <c r="Q444" s="22"/>
      <c r="R444" s="22"/>
      <c r="S444" s="22"/>
      <c r="T444" s="22"/>
      <c r="U444" s="22"/>
      <c r="V444" s="22"/>
      <c r="W444" s="29"/>
      <c r="X444" s="29"/>
      <c r="Y444" s="29"/>
      <c r="Z444" s="29"/>
      <c r="AA444" s="29"/>
      <c r="AB444" s="29"/>
      <c r="AC444" s="29"/>
      <c r="AD444" s="29"/>
      <c r="AE444" s="29"/>
    </row>
    <row r="445" spans="6:31" ht="16.5" x14ac:dyDescent="0.25">
      <c r="F445" s="22"/>
      <c r="G445" s="22"/>
      <c r="H445" s="22"/>
      <c r="I445" s="22"/>
      <c r="J445" s="22"/>
      <c r="K445" s="22"/>
      <c r="L445" s="22"/>
      <c r="M445" s="22"/>
      <c r="N445" s="22"/>
      <c r="O445" s="22"/>
      <c r="P445" s="22"/>
      <c r="Q445" s="22"/>
      <c r="R445" s="22"/>
      <c r="S445" s="22"/>
      <c r="T445" s="22"/>
      <c r="U445" s="22"/>
      <c r="V445" s="22"/>
      <c r="W445" s="29"/>
      <c r="X445" s="29"/>
      <c r="Y445" s="29"/>
      <c r="Z445" s="29"/>
      <c r="AA445" s="29"/>
      <c r="AB445" s="29"/>
      <c r="AC445" s="29"/>
      <c r="AD445" s="29"/>
      <c r="AE445" s="29"/>
    </row>
    <row r="446" spans="6:31" ht="16.5" x14ac:dyDescent="0.25">
      <c r="F446" s="22"/>
      <c r="G446" s="22"/>
      <c r="H446" s="22"/>
      <c r="I446" s="22"/>
      <c r="J446" s="22"/>
      <c r="K446" s="22"/>
      <c r="L446" s="22"/>
      <c r="M446" s="22"/>
      <c r="N446" s="22"/>
      <c r="O446" s="22"/>
      <c r="P446" s="22"/>
      <c r="Q446" s="22"/>
      <c r="R446" s="22"/>
      <c r="S446" s="22"/>
      <c r="T446" s="22"/>
      <c r="U446" s="22"/>
      <c r="V446" s="22"/>
      <c r="W446" s="29"/>
      <c r="X446" s="29"/>
      <c r="Y446" s="29"/>
      <c r="Z446" s="29"/>
      <c r="AA446" s="29"/>
      <c r="AB446" s="29"/>
      <c r="AC446" s="29"/>
      <c r="AD446" s="29"/>
      <c r="AE446" s="29"/>
    </row>
    <row r="447" spans="6:31" ht="16.5" x14ac:dyDescent="0.25">
      <c r="F447" s="22"/>
      <c r="G447" s="22"/>
      <c r="H447" s="22"/>
      <c r="I447" s="22"/>
      <c r="J447" s="22"/>
      <c r="K447" s="22"/>
      <c r="L447" s="22"/>
      <c r="M447" s="22"/>
      <c r="N447" s="22"/>
      <c r="O447" s="22"/>
      <c r="P447" s="22"/>
      <c r="Q447" s="22"/>
      <c r="R447" s="22"/>
      <c r="S447" s="22"/>
      <c r="T447" s="22"/>
      <c r="U447" s="22"/>
      <c r="V447" s="22"/>
      <c r="W447" s="29"/>
      <c r="X447" s="29"/>
      <c r="Y447" s="29"/>
      <c r="Z447" s="29"/>
      <c r="AA447" s="29"/>
      <c r="AB447" s="29"/>
      <c r="AC447" s="29"/>
      <c r="AD447" s="29"/>
      <c r="AE447" s="29"/>
    </row>
    <row r="448" spans="6:31" ht="16.5" x14ac:dyDescent="0.25">
      <c r="F448" s="22"/>
      <c r="G448" s="22"/>
      <c r="H448" s="22"/>
      <c r="I448" s="22"/>
      <c r="J448" s="22"/>
      <c r="K448" s="22"/>
      <c r="L448" s="22"/>
      <c r="M448" s="22"/>
      <c r="N448" s="22"/>
      <c r="O448" s="22"/>
      <c r="P448" s="22"/>
      <c r="Q448" s="22"/>
      <c r="R448" s="22"/>
      <c r="S448" s="22"/>
      <c r="T448" s="22"/>
      <c r="U448" s="22"/>
      <c r="V448" s="22"/>
      <c r="W448" s="29"/>
      <c r="X448" s="29"/>
      <c r="Y448" s="29"/>
      <c r="Z448" s="29"/>
      <c r="AA448" s="29"/>
      <c r="AB448" s="29"/>
      <c r="AC448" s="29"/>
      <c r="AD448" s="29"/>
      <c r="AE448" s="29"/>
    </row>
    <row r="449" spans="6:31" ht="16.5" x14ac:dyDescent="0.25">
      <c r="F449" s="22"/>
      <c r="G449" s="22"/>
      <c r="H449" s="22"/>
      <c r="I449" s="22"/>
      <c r="J449" s="22"/>
      <c r="K449" s="22"/>
      <c r="L449" s="22"/>
      <c r="M449" s="22"/>
      <c r="N449" s="22"/>
      <c r="O449" s="22"/>
      <c r="P449" s="22"/>
      <c r="Q449" s="22"/>
      <c r="R449" s="22"/>
      <c r="S449" s="22"/>
      <c r="T449" s="22"/>
      <c r="U449" s="22"/>
      <c r="V449" s="22"/>
      <c r="W449" s="29"/>
      <c r="X449" s="29"/>
      <c r="Y449" s="29"/>
      <c r="Z449" s="29"/>
      <c r="AA449" s="29"/>
      <c r="AB449" s="29"/>
      <c r="AC449" s="29"/>
      <c r="AD449" s="29"/>
      <c r="AE449" s="29"/>
    </row>
    <row r="450" spans="6:31" ht="16.5" x14ac:dyDescent="0.25">
      <c r="F450" s="22"/>
      <c r="G450" s="22"/>
      <c r="H450" s="22"/>
      <c r="I450" s="22"/>
      <c r="J450" s="22"/>
      <c r="K450" s="22"/>
      <c r="L450" s="22"/>
      <c r="M450" s="22"/>
      <c r="N450" s="22"/>
      <c r="O450" s="22"/>
      <c r="P450" s="22"/>
      <c r="Q450" s="22"/>
      <c r="R450" s="22"/>
      <c r="S450" s="22"/>
      <c r="T450" s="22"/>
      <c r="U450" s="22"/>
      <c r="V450" s="22"/>
      <c r="W450" s="29"/>
      <c r="X450" s="29"/>
      <c r="Y450" s="29"/>
      <c r="Z450" s="29"/>
      <c r="AA450" s="29"/>
      <c r="AB450" s="29"/>
      <c r="AC450" s="29"/>
      <c r="AD450" s="29"/>
      <c r="AE450" s="29"/>
    </row>
    <row r="451" spans="6:31" ht="16.5" x14ac:dyDescent="0.25">
      <c r="F451" s="22"/>
      <c r="G451" s="22"/>
      <c r="H451" s="22"/>
      <c r="I451" s="22"/>
      <c r="J451" s="22"/>
      <c r="K451" s="22"/>
      <c r="L451" s="22"/>
      <c r="M451" s="22"/>
      <c r="N451" s="22"/>
      <c r="O451" s="22"/>
      <c r="P451" s="22"/>
      <c r="Q451" s="22"/>
      <c r="R451" s="22"/>
      <c r="S451" s="22"/>
      <c r="T451" s="22"/>
      <c r="U451" s="22"/>
      <c r="V451" s="22"/>
      <c r="W451" s="29"/>
      <c r="X451" s="29"/>
      <c r="Y451" s="29"/>
      <c r="Z451" s="29"/>
      <c r="AA451" s="29"/>
      <c r="AB451" s="29"/>
      <c r="AC451" s="29"/>
      <c r="AD451" s="29"/>
      <c r="AE451" s="29"/>
    </row>
    <row r="452" spans="6:31" ht="16.5" x14ac:dyDescent="0.25">
      <c r="F452" s="22"/>
      <c r="G452" s="22"/>
      <c r="H452" s="22"/>
      <c r="I452" s="22"/>
      <c r="J452" s="22"/>
      <c r="K452" s="22"/>
      <c r="L452" s="22"/>
      <c r="M452" s="22"/>
      <c r="N452" s="22"/>
      <c r="O452" s="22"/>
      <c r="P452" s="22"/>
      <c r="Q452" s="22"/>
      <c r="R452" s="22"/>
      <c r="S452" s="22"/>
      <c r="T452" s="22"/>
      <c r="U452" s="22"/>
      <c r="V452" s="22"/>
      <c r="W452" s="29"/>
      <c r="X452" s="29"/>
      <c r="Y452" s="29"/>
      <c r="Z452" s="29"/>
      <c r="AA452" s="29"/>
      <c r="AB452" s="29"/>
      <c r="AC452" s="29"/>
      <c r="AD452" s="29"/>
      <c r="AE452" s="29"/>
    </row>
    <row r="453" spans="6:31" ht="16.5" x14ac:dyDescent="0.25">
      <c r="F453" s="22"/>
      <c r="G453" s="22"/>
      <c r="H453" s="22"/>
      <c r="I453" s="22"/>
      <c r="J453" s="22"/>
      <c r="K453" s="22"/>
      <c r="L453" s="22"/>
      <c r="M453" s="22"/>
      <c r="N453" s="22"/>
      <c r="O453" s="22"/>
      <c r="P453" s="22"/>
      <c r="Q453" s="22"/>
      <c r="R453" s="22"/>
      <c r="S453" s="22"/>
      <c r="T453" s="22"/>
      <c r="U453" s="22"/>
      <c r="V453" s="22"/>
      <c r="W453" s="29"/>
      <c r="X453" s="29"/>
      <c r="Y453" s="29"/>
      <c r="Z453" s="29"/>
      <c r="AA453" s="29"/>
      <c r="AB453" s="29"/>
      <c r="AC453" s="29"/>
      <c r="AD453" s="29"/>
      <c r="AE453" s="29"/>
    </row>
    <row r="454" spans="6:31" ht="16.5" x14ac:dyDescent="0.25">
      <c r="F454" s="22"/>
      <c r="G454" s="22"/>
      <c r="H454" s="22"/>
      <c r="I454" s="22"/>
      <c r="J454" s="22"/>
      <c r="K454" s="22"/>
      <c r="L454" s="22"/>
      <c r="M454" s="22"/>
      <c r="N454" s="22"/>
      <c r="O454" s="22"/>
      <c r="P454" s="22"/>
      <c r="Q454" s="22"/>
      <c r="R454" s="22"/>
      <c r="S454" s="22"/>
      <c r="T454" s="22"/>
      <c r="U454" s="22"/>
      <c r="V454" s="22"/>
      <c r="W454" s="29"/>
      <c r="X454" s="29"/>
      <c r="Y454" s="29"/>
      <c r="Z454" s="29"/>
      <c r="AA454" s="29"/>
      <c r="AB454" s="29"/>
      <c r="AC454" s="29"/>
      <c r="AD454" s="29"/>
      <c r="AE454" s="29"/>
    </row>
    <row r="455" spans="6:31" ht="16.5" x14ac:dyDescent="0.25">
      <c r="F455" s="22"/>
      <c r="G455" s="22"/>
      <c r="H455" s="22"/>
      <c r="I455" s="22"/>
      <c r="J455" s="22"/>
      <c r="K455" s="22"/>
      <c r="L455" s="22"/>
      <c r="M455" s="22"/>
      <c r="N455" s="22"/>
      <c r="O455" s="22"/>
      <c r="P455" s="22"/>
      <c r="Q455" s="22"/>
      <c r="R455" s="22"/>
      <c r="S455" s="22"/>
      <c r="T455" s="22"/>
      <c r="U455" s="22"/>
      <c r="V455" s="22"/>
      <c r="W455" s="29"/>
      <c r="X455" s="29"/>
      <c r="Y455" s="29"/>
      <c r="Z455" s="29"/>
      <c r="AA455" s="29"/>
      <c r="AB455" s="29"/>
      <c r="AC455" s="29"/>
      <c r="AD455" s="29"/>
      <c r="AE455" s="29"/>
    </row>
    <row r="456" spans="6:31" ht="16.5" x14ac:dyDescent="0.25">
      <c r="F456" s="22"/>
      <c r="G456" s="22"/>
      <c r="H456" s="22"/>
      <c r="I456" s="22"/>
      <c r="J456" s="22"/>
      <c r="K456" s="22"/>
      <c r="L456" s="22"/>
      <c r="M456" s="22"/>
      <c r="N456" s="22"/>
      <c r="O456" s="22"/>
      <c r="P456" s="22"/>
      <c r="Q456" s="22"/>
      <c r="R456" s="22"/>
      <c r="S456" s="22"/>
      <c r="T456" s="22"/>
      <c r="U456" s="22"/>
      <c r="V456" s="22"/>
      <c r="W456" s="29"/>
      <c r="X456" s="29"/>
      <c r="Y456" s="29"/>
      <c r="Z456" s="29"/>
      <c r="AA456" s="29"/>
      <c r="AB456" s="29"/>
      <c r="AC456" s="29"/>
      <c r="AD456" s="29"/>
      <c r="AE456" s="29"/>
    </row>
    <row r="457" spans="6:31" ht="16.5" x14ac:dyDescent="0.25">
      <c r="F457" s="22"/>
      <c r="G457" s="22"/>
      <c r="H457" s="22"/>
      <c r="I457" s="22"/>
      <c r="J457" s="22"/>
      <c r="K457" s="22"/>
      <c r="L457" s="22"/>
      <c r="M457" s="22"/>
      <c r="N457" s="22"/>
      <c r="O457" s="22"/>
      <c r="P457" s="22"/>
      <c r="Q457" s="22"/>
      <c r="R457" s="22"/>
      <c r="S457" s="22"/>
      <c r="T457" s="22"/>
      <c r="U457" s="22"/>
      <c r="V457" s="22"/>
      <c r="W457" s="29"/>
      <c r="X457" s="29"/>
      <c r="Y457" s="29"/>
      <c r="Z457" s="29"/>
      <c r="AA457" s="29"/>
      <c r="AB457" s="29"/>
      <c r="AC457" s="29"/>
      <c r="AD457" s="29"/>
      <c r="AE457" s="29"/>
    </row>
    <row r="458" spans="6:31" ht="16.5" x14ac:dyDescent="0.25">
      <c r="F458" s="22"/>
      <c r="G458" s="22"/>
      <c r="H458" s="22"/>
      <c r="I458" s="22"/>
      <c r="J458" s="22"/>
      <c r="K458" s="22"/>
      <c r="L458" s="22"/>
      <c r="M458" s="22"/>
      <c r="N458" s="22"/>
      <c r="O458" s="22"/>
      <c r="P458" s="22"/>
      <c r="Q458" s="22"/>
      <c r="R458" s="22"/>
      <c r="S458" s="22"/>
      <c r="T458" s="22"/>
      <c r="U458" s="22"/>
      <c r="V458" s="22"/>
      <c r="W458" s="29"/>
      <c r="X458" s="29"/>
      <c r="Y458" s="29"/>
      <c r="Z458" s="29"/>
      <c r="AA458" s="29"/>
      <c r="AB458" s="29"/>
      <c r="AC458" s="29"/>
      <c r="AD458" s="29"/>
      <c r="AE458" s="29"/>
    </row>
    <row r="459" spans="6:31" ht="16.5" x14ac:dyDescent="0.25">
      <c r="F459" s="22"/>
      <c r="G459" s="22"/>
      <c r="H459" s="22"/>
      <c r="I459" s="22"/>
      <c r="J459" s="22"/>
      <c r="K459" s="22"/>
      <c r="L459" s="22"/>
      <c r="M459" s="22"/>
      <c r="N459" s="22"/>
      <c r="O459" s="22"/>
      <c r="P459" s="22"/>
      <c r="Q459" s="22"/>
      <c r="R459" s="22"/>
      <c r="S459" s="22"/>
      <c r="T459" s="22"/>
      <c r="U459" s="22"/>
      <c r="V459" s="22"/>
      <c r="W459" s="29"/>
      <c r="X459" s="29"/>
      <c r="Y459" s="29"/>
      <c r="Z459" s="29"/>
      <c r="AA459" s="29"/>
      <c r="AB459" s="29"/>
      <c r="AC459" s="29"/>
      <c r="AD459" s="29"/>
      <c r="AE459" s="29"/>
    </row>
    <row r="460" spans="6:31" ht="16.5" x14ac:dyDescent="0.25">
      <c r="F460" s="22"/>
      <c r="G460" s="22"/>
      <c r="H460" s="22"/>
      <c r="I460" s="22"/>
      <c r="J460" s="22"/>
      <c r="K460" s="22"/>
      <c r="L460" s="22"/>
      <c r="M460" s="22"/>
      <c r="N460" s="22"/>
      <c r="O460" s="22"/>
      <c r="P460" s="22"/>
      <c r="Q460" s="22"/>
      <c r="R460" s="22"/>
      <c r="S460" s="22"/>
      <c r="T460" s="22"/>
      <c r="U460" s="22"/>
      <c r="V460" s="22"/>
      <c r="W460" s="29"/>
      <c r="X460" s="29"/>
      <c r="Y460" s="29"/>
      <c r="Z460" s="29"/>
      <c r="AA460" s="29"/>
      <c r="AB460" s="29"/>
      <c r="AC460" s="29"/>
      <c r="AD460" s="29"/>
      <c r="AE460" s="29"/>
    </row>
    <row r="461" spans="6:31" ht="16.5" x14ac:dyDescent="0.25">
      <c r="F461" s="22"/>
      <c r="G461" s="22"/>
      <c r="H461" s="22"/>
      <c r="I461" s="22"/>
      <c r="J461" s="22"/>
      <c r="K461" s="22"/>
      <c r="L461" s="22"/>
      <c r="M461" s="22"/>
      <c r="N461" s="22"/>
      <c r="O461" s="22"/>
      <c r="P461" s="22"/>
      <c r="Q461" s="22"/>
      <c r="R461" s="22"/>
      <c r="S461" s="22"/>
      <c r="T461" s="22"/>
      <c r="U461" s="22"/>
      <c r="V461" s="22"/>
      <c r="W461" s="29"/>
      <c r="X461" s="29"/>
      <c r="Y461" s="29"/>
      <c r="Z461" s="29"/>
      <c r="AA461" s="29"/>
      <c r="AB461" s="29"/>
      <c r="AC461" s="29"/>
      <c r="AD461" s="29"/>
      <c r="AE461" s="29"/>
    </row>
    <row r="462" spans="6:31" ht="16.5" x14ac:dyDescent="0.25">
      <c r="F462" s="22"/>
      <c r="G462" s="22"/>
      <c r="H462" s="22"/>
      <c r="I462" s="22"/>
      <c r="J462" s="22"/>
      <c r="K462" s="22"/>
      <c r="L462" s="22"/>
      <c r="M462" s="22"/>
      <c r="N462" s="22"/>
      <c r="O462" s="22"/>
      <c r="P462" s="22"/>
      <c r="Q462" s="22"/>
      <c r="R462" s="22"/>
      <c r="S462" s="22"/>
      <c r="T462" s="22"/>
      <c r="U462" s="22"/>
      <c r="V462" s="22"/>
      <c r="W462" s="29"/>
      <c r="X462" s="29"/>
      <c r="Y462" s="29"/>
      <c r="Z462" s="29"/>
      <c r="AA462" s="29"/>
      <c r="AB462" s="29"/>
      <c r="AC462" s="29"/>
      <c r="AD462" s="29"/>
      <c r="AE462" s="29"/>
    </row>
    <row r="463" spans="6:31" ht="16.5" x14ac:dyDescent="0.25">
      <c r="F463" s="22"/>
      <c r="G463" s="22"/>
      <c r="H463" s="22"/>
      <c r="I463" s="22"/>
      <c r="J463" s="22"/>
      <c r="K463" s="22"/>
      <c r="L463" s="22"/>
      <c r="M463" s="22"/>
      <c r="N463" s="22"/>
      <c r="O463" s="22"/>
      <c r="P463" s="22"/>
      <c r="Q463" s="22"/>
      <c r="R463" s="22"/>
      <c r="S463" s="22"/>
      <c r="T463" s="22"/>
      <c r="U463" s="22"/>
      <c r="V463" s="22"/>
      <c r="W463" s="29"/>
      <c r="X463" s="29"/>
      <c r="Y463" s="29"/>
      <c r="Z463" s="29"/>
      <c r="AA463" s="29"/>
      <c r="AB463" s="29"/>
      <c r="AC463" s="29"/>
      <c r="AD463" s="29"/>
      <c r="AE463" s="29"/>
    </row>
    <row r="464" spans="6:31" ht="16.5" x14ac:dyDescent="0.25">
      <c r="F464" s="22"/>
      <c r="G464" s="22"/>
      <c r="H464" s="22"/>
      <c r="I464" s="22"/>
      <c r="J464" s="22"/>
      <c r="K464" s="22"/>
      <c r="L464" s="22"/>
      <c r="M464" s="22"/>
      <c r="N464" s="22"/>
      <c r="O464" s="22"/>
      <c r="P464" s="22"/>
      <c r="Q464" s="22"/>
      <c r="R464" s="22"/>
      <c r="S464" s="22"/>
      <c r="T464" s="22"/>
      <c r="U464" s="22"/>
      <c r="V464" s="22"/>
      <c r="W464" s="29"/>
      <c r="X464" s="29"/>
      <c r="Y464" s="29"/>
      <c r="Z464" s="29"/>
      <c r="AA464" s="29"/>
      <c r="AB464" s="29"/>
      <c r="AC464" s="29"/>
      <c r="AD464" s="29"/>
      <c r="AE464" s="29"/>
    </row>
    <row r="465" spans="6:31" ht="16.5" x14ac:dyDescent="0.25">
      <c r="F465" s="22"/>
      <c r="G465" s="22"/>
      <c r="H465" s="22"/>
      <c r="I465" s="22"/>
      <c r="J465" s="22"/>
      <c r="K465" s="22"/>
      <c r="L465" s="22"/>
      <c r="M465" s="22"/>
      <c r="N465" s="22"/>
      <c r="O465" s="22"/>
      <c r="P465" s="22"/>
      <c r="Q465" s="22"/>
      <c r="R465" s="22"/>
      <c r="S465" s="22"/>
      <c r="T465" s="22"/>
      <c r="U465" s="22"/>
      <c r="V465" s="22"/>
      <c r="W465" s="29"/>
      <c r="X465" s="29"/>
      <c r="Y465" s="29"/>
      <c r="Z465" s="29"/>
      <c r="AA465" s="29"/>
      <c r="AB465" s="29"/>
      <c r="AC465" s="29"/>
      <c r="AD465" s="29"/>
      <c r="AE465" s="29"/>
    </row>
    <row r="466" spans="6:31" ht="16.5" x14ac:dyDescent="0.25">
      <c r="F466" s="22"/>
      <c r="G466" s="22"/>
      <c r="H466" s="22"/>
      <c r="I466" s="22"/>
      <c r="J466" s="22"/>
      <c r="K466" s="22"/>
      <c r="L466" s="22"/>
      <c r="M466" s="22"/>
      <c r="N466" s="22"/>
      <c r="O466" s="22"/>
      <c r="P466" s="22"/>
      <c r="Q466" s="22"/>
      <c r="R466" s="22"/>
      <c r="S466" s="22"/>
      <c r="T466" s="22"/>
      <c r="U466" s="22"/>
      <c r="V466" s="22"/>
      <c r="W466" s="29"/>
      <c r="X466" s="29"/>
      <c r="Y466" s="29"/>
      <c r="Z466" s="29"/>
      <c r="AA466" s="29"/>
      <c r="AB466" s="29"/>
      <c r="AC466" s="29"/>
      <c r="AD466" s="29"/>
      <c r="AE466" s="29"/>
    </row>
    <row r="467" spans="6:31" ht="16.5" x14ac:dyDescent="0.25">
      <c r="F467" s="22"/>
      <c r="G467" s="22"/>
      <c r="H467" s="22"/>
      <c r="I467" s="22"/>
      <c r="J467" s="22"/>
      <c r="K467" s="22"/>
      <c r="L467" s="22"/>
      <c r="M467" s="22"/>
      <c r="N467" s="22"/>
      <c r="O467" s="22"/>
      <c r="P467" s="22"/>
      <c r="Q467" s="22"/>
      <c r="R467" s="22"/>
      <c r="S467" s="22"/>
      <c r="T467" s="22"/>
      <c r="U467" s="22"/>
      <c r="V467" s="22"/>
      <c r="W467" s="29"/>
      <c r="X467" s="29"/>
      <c r="Y467" s="29"/>
      <c r="Z467" s="29"/>
      <c r="AA467" s="29"/>
      <c r="AB467" s="29"/>
      <c r="AC467" s="29"/>
      <c r="AD467" s="29"/>
      <c r="AE467" s="29"/>
    </row>
    <row r="468" spans="6:31" ht="16.5" x14ac:dyDescent="0.25">
      <c r="F468" s="22"/>
      <c r="G468" s="22"/>
      <c r="H468" s="22"/>
      <c r="I468" s="22"/>
      <c r="J468" s="22"/>
      <c r="K468" s="22"/>
      <c r="L468" s="22"/>
      <c r="M468" s="22"/>
      <c r="N468" s="22"/>
      <c r="O468" s="22"/>
      <c r="P468" s="22"/>
      <c r="Q468" s="22"/>
      <c r="R468" s="22"/>
      <c r="S468" s="22"/>
      <c r="T468" s="22"/>
      <c r="U468" s="22"/>
      <c r="V468" s="22"/>
      <c r="W468" s="29"/>
      <c r="X468" s="29"/>
      <c r="Y468" s="29"/>
      <c r="Z468" s="29"/>
      <c r="AA468" s="29"/>
      <c r="AB468" s="29"/>
      <c r="AC468" s="29"/>
      <c r="AD468" s="29"/>
      <c r="AE468" s="29"/>
    </row>
    <row r="469" spans="6:31" ht="16.5" x14ac:dyDescent="0.25">
      <c r="F469" s="22"/>
      <c r="G469" s="22"/>
      <c r="H469" s="22"/>
      <c r="I469" s="22"/>
      <c r="J469" s="22"/>
      <c r="K469" s="22"/>
      <c r="L469" s="22"/>
      <c r="M469" s="22"/>
      <c r="N469" s="22"/>
      <c r="O469" s="22"/>
      <c r="P469" s="22"/>
      <c r="Q469" s="22"/>
      <c r="R469" s="22"/>
      <c r="S469" s="22"/>
      <c r="T469" s="22"/>
      <c r="U469" s="22"/>
      <c r="V469" s="22"/>
      <c r="W469" s="29"/>
      <c r="X469" s="29"/>
      <c r="Y469" s="29"/>
      <c r="Z469" s="29"/>
      <c r="AA469" s="29"/>
      <c r="AB469" s="29"/>
      <c r="AC469" s="29"/>
      <c r="AD469" s="29"/>
      <c r="AE469" s="29"/>
    </row>
    <row r="470" spans="6:31" ht="16.5" x14ac:dyDescent="0.25">
      <c r="F470" s="22"/>
      <c r="G470" s="22"/>
      <c r="H470" s="22"/>
      <c r="I470" s="22"/>
      <c r="J470" s="22"/>
      <c r="K470" s="22"/>
      <c r="L470" s="22"/>
      <c r="M470" s="22"/>
      <c r="N470" s="22"/>
      <c r="O470" s="22"/>
      <c r="P470" s="22"/>
      <c r="Q470" s="22"/>
      <c r="R470" s="22"/>
      <c r="S470" s="22"/>
      <c r="T470" s="22"/>
      <c r="U470" s="22"/>
      <c r="V470" s="22"/>
      <c r="W470" s="29"/>
      <c r="X470" s="29"/>
      <c r="Y470" s="29"/>
      <c r="Z470" s="29"/>
      <c r="AA470" s="29"/>
      <c r="AB470" s="29"/>
      <c r="AC470" s="29"/>
      <c r="AD470" s="29"/>
      <c r="AE470" s="29"/>
    </row>
    <row r="471" spans="6:31" ht="16.5" x14ac:dyDescent="0.25">
      <c r="F471" s="22"/>
      <c r="G471" s="22"/>
      <c r="H471" s="22"/>
      <c r="I471" s="22"/>
      <c r="J471" s="22"/>
      <c r="K471" s="22"/>
      <c r="L471" s="22"/>
      <c r="M471" s="22"/>
      <c r="N471" s="22"/>
      <c r="O471" s="22"/>
      <c r="P471" s="22"/>
      <c r="Q471" s="22"/>
      <c r="R471" s="22"/>
      <c r="S471" s="22"/>
      <c r="T471" s="22"/>
      <c r="U471" s="22"/>
      <c r="V471" s="22"/>
      <c r="W471" s="29"/>
      <c r="X471" s="29"/>
      <c r="Y471" s="29"/>
      <c r="Z471" s="29"/>
      <c r="AA471" s="29"/>
      <c r="AB471" s="29"/>
      <c r="AC471" s="29"/>
      <c r="AD471" s="29"/>
      <c r="AE471" s="29"/>
    </row>
    <row r="472" spans="6:31" ht="16.5" x14ac:dyDescent="0.25">
      <c r="F472" s="22"/>
      <c r="G472" s="22"/>
      <c r="H472" s="22"/>
      <c r="I472" s="22"/>
      <c r="J472" s="22"/>
      <c r="K472" s="22"/>
      <c r="L472" s="22"/>
      <c r="M472" s="22"/>
      <c r="N472" s="22"/>
      <c r="O472" s="22"/>
      <c r="P472" s="22"/>
      <c r="Q472" s="22"/>
      <c r="R472" s="22"/>
      <c r="S472" s="22"/>
      <c r="T472" s="22"/>
      <c r="U472" s="22"/>
      <c r="V472" s="22"/>
      <c r="W472" s="29"/>
      <c r="X472" s="29"/>
      <c r="Y472" s="29"/>
      <c r="Z472" s="29"/>
      <c r="AA472" s="29"/>
      <c r="AB472" s="29"/>
      <c r="AC472" s="29"/>
      <c r="AD472" s="29"/>
      <c r="AE472" s="29"/>
    </row>
    <row r="473" spans="6:31" ht="16.5" x14ac:dyDescent="0.25">
      <c r="F473" s="22"/>
      <c r="G473" s="22"/>
      <c r="H473" s="22"/>
      <c r="I473" s="22"/>
      <c r="J473" s="22"/>
      <c r="K473" s="22"/>
      <c r="L473" s="22"/>
      <c r="M473" s="22"/>
      <c r="N473" s="22"/>
      <c r="O473" s="22"/>
      <c r="P473" s="22"/>
      <c r="Q473" s="22"/>
      <c r="R473" s="22"/>
      <c r="S473" s="22"/>
      <c r="T473" s="22"/>
      <c r="U473" s="22"/>
      <c r="V473" s="22"/>
      <c r="W473" s="29"/>
      <c r="X473" s="29"/>
      <c r="Y473" s="29"/>
      <c r="Z473" s="29"/>
      <c r="AA473" s="29"/>
      <c r="AB473" s="29"/>
      <c r="AC473" s="29"/>
      <c r="AD473" s="29"/>
      <c r="AE473" s="29"/>
    </row>
    <row r="474" spans="6:31" ht="16.5" x14ac:dyDescent="0.25">
      <c r="F474" s="22"/>
      <c r="G474" s="22"/>
      <c r="H474" s="22"/>
      <c r="I474" s="22"/>
      <c r="J474" s="22"/>
      <c r="K474" s="22"/>
      <c r="L474" s="22"/>
      <c r="M474" s="22"/>
      <c r="N474" s="22"/>
      <c r="O474" s="22"/>
      <c r="P474" s="22"/>
      <c r="Q474" s="22"/>
      <c r="R474" s="22"/>
      <c r="S474" s="22"/>
      <c r="T474" s="22"/>
      <c r="U474" s="22"/>
      <c r="V474" s="22"/>
      <c r="W474" s="29"/>
      <c r="X474" s="29"/>
      <c r="Y474" s="29"/>
      <c r="Z474" s="29"/>
      <c r="AA474" s="29"/>
      <c r="AB474" s="29"/>
      <c r="AC474" s="29"/>
      <c r="AD474" s="29"/>
      <c r="AE474" s="29"/>
    </row>
    <row r="475" spans="6:31" ht="16.5" x14ac:dyDescent="0.25">
      <c r="F475" s="22"/>
      <c r="G475" s="22"/>
      <c r="H475" s="22"/>
      <c r="I475" s="22"/>
      <c r="J475" s="22"/>
      <c r="K475" s="22"/>
      <c r="L475" s="22"/>
      <c r="M475" s="22"/>
      <c r="N475" s="22"/>
      <c r="O475" s="22"/>
      <c r="P475" s="22"/>
      <c r="Q475" s="22"/>
      <c r="R475" s="22"/>
      <c r="S475" s="22"/>
      <c r="T475" s="22"/>
      <c r="U475" s="22"/>
      <c r="V475" s="22"/>
      <c r="W475" s="29"/>
      <c r="X475" s="29"/>
      <c r="Y475" s="29"/>
      <c r="Z475" s="29"/>
      <c r="AA475" s="29"/>
      <c r="AB475" s="29"/>
      <c r="AC475" s="29"/>
      <c r="AD475" s="29"/>
      <c r="AE475" s="29"/>
    </row>
    <row r="476" spans="6:31" ht="16.5" x14ac:dyDescent="0.25">
      <c r="F476" s="22"/>
      <c r="G476" s="22"/>
      <c r="H476" s="22"/>
      <c r="I476" s="22"/>
      <c r="J476" s="22"/>
      <c r="K476" s="22"/>
      <c r="L476" s="22"/>
      <c r="M476" s="22"/>
      <c r="N476" s="22"/>
      <c r="O476" s="22"/>
      <c r="P476" s="22"/>
      <c r="Q476" s="22"/>
      <c r="R476" s="22"/>
      <c r="S476" s="22"/>
      <c r="T476" s="22"/>
      <c r="U476" s="22"/>
      <c r="V476" s="22"/>
      <c r="W476" s="29"/>
      <c r="X476" s="29"/>
      <c r="Y476" s="29"/>
      <c r="Z476" s="29"/>
      <c r="AA476" s="29"/>
      <c r="AB476" s="29"/>
      <c r="AC476" s="29"/>
      <c r="AD476" s="29"/>
      <c r="AE476" s="29"/>
    </row>
    <row r="477" spans="6:31" ht="16.5" x14ac:dyDescent="0.25">
      <c r="F477" s="22"/>
      <c r="G477" s="22"/>
      <c r="H477" s="22"/>
      <c r="I477" s="22"/>
      <c r="J477" s="22"/>
      <c r="K477" s="22"/>
      <c r="L477" s="22"/>
      <c r="M477" s="22"/>
      <c r="N477" s="22"/>
      <c r="O477" s="22"/>
      <c r="P477" s="22"/>
      <c r="Q477" s="22"/>
      <c r="R477" s="22"/>
      <c r="S477" s="22"/>
      <c r="T477" s="22"/>
      <c r="U477" s="22"/>
      <c r="V477" s="22"/>
      <c r="W477" s="29"/>
      <c r="X477" s="29"/>
      <c r="Y477" s="29"/>
      <c r="Z477" s="29"/>
      <c r="AA477" s="29"/>
      <c r="AB477" s="29"/>
      <c r="AC477" s="29"/>
      <c r="AD477" s="29"/>
      <c r="AE477" s="29"/>
    </row>
    <row r="478" spans="6:31" ht="16.5" x14ac:dyDescent="0.25">
      <c r="F478" s="22"/>
      <c r="G478" s="22"/>
      <c r="H478" s="22"/>
      <c r="I478" s="22"/>
      <c r="J478" s="22"/>
      <c r="K478" s="22"/>
      <c r="L478" s="22"/>
      <c r="M478" s="22"/>
      <c r="N478" s="22"/>
      <c r="O478" s="22"/>
      <c r="P478" s="22"/>
      <c r="Q478" s="22"/>
      <c r="R478" s="22"/>
      <c r="S478" s="22"/>
      <c r="T478" s="22"/>
      <c r="U478" s="22"/>
      <c r="V478" s="22"/>
      <c r="W478" s="29"/>
      <c r="X478" s="29"/>
      <c r="Y478" s="29"/>
      <c r="Z478" s="29"/>
      <c r="AA478" s="29"/>
      <c r="AB478" s="29"/>
      <c r="AC478" s="29"/>
      <c r="AD478" s="29"/>
      <c r="AE478" s="29"/>
    </row>
    <row r="479" spans="6:31" ht="16.5" x14ac:dyDescent="0.25">
      <c r="F479" s="22"/>
      <c r="G479" s="22"/>
      <c r="H479" s="22"/>
      <c r="I479" s="22"/>
      <c r="J479" s="22"/>
      <c r="K479" s="22"/>
      <c r="L479" s="22"/>
      <c r="M479" s="22"/>
      <c r="N479" s="22"/>
      <c r="O479" s="22"/>
      <c r="P479" s="22"/>
      <c r="Q479" s="22"/>
      <c r="R479" s="22"/>
      <c r="S479" s="22"/>
      <c r="T479" s="22"/>
      <c r="U479" s="22"/>
      <c r="V479" s="22"/>
      <c r="W479" s="29"/>
      <c r="X479" s="29"/>
      <c r="Y479" s="29"/>
      <c r="Z479" s="29"/>
      <c r="AA479" s="29"/>
      <c r="AB479" s="29"/>
      <c r="AC479" s="29"/>
      <c r="AD479" s="29"/>
      <c r="AE479" s="29"/>
    </row>
    <row r="480" spans="6:31" ht="16.5" x14ac:dyDescent="0.25">
      <c r="F480" s="22"/>
      <c r="G480" s="22"/>
      <c r="H480" s="22"/>
      <c r="I480" s="22"/>
      <c r="J480" s="22"/>
      <c r="K480" s="22"/>
      <c r="L480" s="22"/>
      <c r="M480" s="22"/>
      <c r="N480" s="22"/>
      <c r="O480" s="22"/>
      <c r="P480" s="22"/>
      <c r="Q480" s="22"/>
      <c r="R480" s="22"/>
      <c r="S480" s="22"/>
      <c r="T480" s="22"/>
      <c r="U480" s="22"/>
      <c r="V480" s="22"/>
      <c r="W480" s="29"/>
      <c r="X480" s="29"/>
      <c r="Y480" s="29"/>
      <c r="Z480" s="29"/>
      <c r="AA480" s="29"/>
      <c r="AB480" s="29"/>
      <c r="AC480" s="29"/>
      <c r="AD480" s="29"/>
      <c r="AE480" s="29"/>
    </row>
    <row r="481" spans="6:31" ht="16.5" x14ac:dyDescent="0.25">
      <c r="F481" s="22"/>
      <c r="G481" s="22"/>
      <c r="H481" s="22"/>
      <c r="I481" s="22"/>
      <c r="J481" s="22"/>
      <c r="K481" s="22"/>
      <c r="L481" s="22"/>
      <c r="M481" s="22"/>
      <c r="N481" s="22"/>
      <c r="O481" s="22"/>
      <c r="P481" s="22"/>
      <c r="Q481" s="22"/>
      <c r="R481" s="22"/>
      <c r="S481" s="22"/>
      <c r="T481" s="22"/>
      <c r="U481" s="22"/>
      <c r="V481" s="22"/>
      <c r="W481" s="29"/>
      <c r="X481" s="29"/>
      <c r="Y481" s="29"/>
      <c r="Z481" s="29"/>
      <c r="AA481" s="29"/>
      <c r="AB481" s="29"/>
      <c r="AC481" s="29"/>
      <c r="AD481" s="29"/>
      <c r="AE481" s="29"/>
    </row>
    <row r="482" spans="6:31" ht="16.5" x14ac:dyDescent="0.25">
      <c r="F482" s="22"/>
      <c r="G482" s="22"/>
      <c r="H482" s="22"/>
      <c r="I482" s="22"/>
      <c r="J482" s="22"/>
      <c r="K482" s="22"/>
      <c r="L482" s="22"/>
      <c r="M482" s="22"/>
      <c r="N482" s="22"/>
      <c r="O482" s="22"/>
      <c r="P482" s="22"/>
      <c r="Q482" s="22"/>
      <c r="R482" s="22"/>
      <c r="S482" s="22"/>
      <c r="T482" s="22"/>
      <c r="U482" s="22"/>
      <c r="V482" s="22"/>
      <c r="W482" s="29"/>
      <c r="X482" s="29"/>
      <c r="Y482" s="29"/>
      <c r="Z482" s="29"/>
      <c r="AA482" s="29"/>
      <c r="AB482" s="29"/>
      <c r="AC482" s="29"/>
      <c r="AD482" s="29"/>
      <c r="AE482" s="29"/>
    </row>
    <row r="483" spans="6:31" ht="16.5" x14ac:dyDescent="0.25">
      <c r="F483" s="22"/>
      <c r="G483" s="22"/>
      <c r="H483" s="22"/>
      <c r="I483" s="22"/>
      <c r="J483" s="22"/>
      <c r="K483" s="22"/>
      <c r="L483" s="22"/>
      <c r="M483" s="22"/>
      <c r="N483" s="22"/>
      <c r="O483" s="22"/>
      <c r="P483" s="22"/>
      <c r="Q483" s="22"/>
      <c r="R483" s="22"/>
      <c r="S483" s="22"/>
      <c r="T483" s="22"/>
      <c r="U483" s="22"/>
      <c r="V483" s="22"/>
      <c r="W483" s="29"/>
      <c r="X483" s="29"/>
      <c r="Y483" s="29"/>
      <c r="Z483" s="29"/>
      <c r="AA483" s="29"/>
      <c r="AB483" s="29"/>
      <c r="AC483" s="29"/>
      <c r="AD483" s="29"/>
      <c r="AE483" s="29"/>
    </row>
    <row r="484" spans="6:31" ht="16.5" x14ac:dyDescent="0.25">
      <c r="F484" s="22"/>
      <c r="G484" s="22"/>
      <c r="H484" s="22"/>
      <c r="I484" s="22"/>
      <c r="J484" s="22"/>
      <c r="K484" s="22"/>
      <c r="L484" s="22"/>
      <c r="M484" s="22"/>
      <c r="N484" s="22"/>
      <c r="O484" s="22"/>
      <c r="P484" s="22"/>
      <c r="Q484" s="22"/>
      <c r="R484" s="22"/>
      <c r="S484" s="22"/>
      <c r="T484" s="22"/>
      <c r="U484" s="22"/>
      <c r="V484" s="22"/>
      <c r="W484" s="29"/>
      <c r="X484" s="29"/>
      <c r="Y484" s="29"/>
      <c r="Z484" s="29"/>
      <c r="AA484" s="29"/>
      <c r="AB484" s="29"/>
      <c r="AC484" s="29"/>
      <c r="AD484" s="29"/>
      <c r="AE484" s="29"/>
    </row>
    <row r="485" spans="6:31" ht="16.5" x14ac:dyDescent="0.25">
      <c r="F485" s="22"/>
      <c r="G485" s="22"/>
      <c r="H485" s="22"/>
      <c r="I485" s="22"/>
      <c r="J485" s="22"/>
      <c r="K485" s="22"/>
      <c r="L485" s="22"/>
      <c r="M485" s="22"/>
      <c r="N485" s="22"/>
      <c r="O485" s="22"/>
      <c r="P485" s="22"/>
      <c r="Q485" s="22"/>
      <c r="R485" s="22"/>
      <c r="S485" s="22"/>
      <c r="T485" s="22"/>
      <c r="U485" s="22"/>
      <c r="V485" s="22"/>
      <c r="W485" s="29"/>
      <c r="X485" s="29"/>
      <c r="Y485" s="29"/>
      <c r="Z485" s="29"/>
      <c r="AA485" s="29"/>
      <c r="AB485" s="29"/>
      <c r="AC485" s="29"/>
      <c r="AD485" s="29"/>
      <c r="AE485" s="29"/>
    </row>
    <row r="486" spans="6:31" ht="16.5" x14ac:dyDescent="0.25">
      <c r="F486" s="22"/>
      <c r="G486" s="22"/>
      <c r="H486" s="22"/>
      <c r="I486" s="22"/>
      <c r="J486" s="22"/>
      <c r="K486" s="22"/>
      <c r="L486" s="22"/>
      <c r="M486" s="22"/>
      <c r="N486" s="22"/>
      <c r="O486" s="22"/>
      <c r="P486" s="22"/>
      <c r="Q486" s="22"/>
      <c r="R486" s="22"/>
      <c r="S486" s="22"/>
      <c r="T486" s="22"/>
      <c r="U486" s="22"/>
      <c r="V486" s="22"/>
      <c r="W486" s="29"/>
      <c r="X486" s="29"/>
      <c r="Y486" s="29"/>
      <c r="Z486" s="29"/>
      <c r="AA486" s="29"/>
      <c r="AB486" s="29"/>
      <c r="AC486" s="29"/>
      <c r="AD486" s="29"/>
      <c r="AE486" s="29"/>
    </row>
    <row r="487" spans="6:31" ht="16.5" x14ac:dyDescent="0.25">
      <c r="F487" s="22"/>
      <c r="G487" s="22"/>
      <c r="H487" s="22"/>
      <c r="I487" s="22"/>
      <c r="J487" s="22"/>
      <c r="K487" s="22"/>
      <c r="L487" s="22"/>
      <c r="M487" s="22"/>
      <c r="N487" s="22"/>
      <c r="O487" s="22"/>
      <c r="P487" s="22"/>
      <c r="Q487" s="22"/>
      <c r="R487" s="22"/>
      <c r="S487" s="22"/>
      <c r="T487" s="22"/>
      <c r="U487" s="22"/>
      <c r="V487" s="22"/>
      <c r="W487" s="29"/>
      <c r="X487" s="29"/>
      <c r="Y487" s="29"/>
      <c r="Z487" s="29"/>
      <c r="AA487" s="29"/>
      <c r="AB487" s="29"/>
      <c r="AC487" s="29"/>
      <c r="AD487" s="29"/>
      <c r="AE487" s="29"/>
    </row>
    <row r="488" spans="6:31" ht="16.5" x14ac:dyDescent="0.25">
      <c r="F488" s="22"/>
      <c r="G488" s="22"/>
      <c r="H488" s="22"/>
      <c r="I488" s="22"/>
      <c r="J488" s="22"/>
      <c r="K488" s="22"/>
      <c r="L488" s="22"/>
      <c r="M488" s="22"/>
      <c r="N488" s="22"/>
      <c r="O488" s="22"/>
      <c r="P488" s="22"/>
      <c r="Q488" s="22"/>
      <c r="R488" s="22"/>
      <c r="S488" s="22"/>
      <c r="T488" s="22"/>
      <c r="U488" s="22"/>
      <c r="V488" s="22"/>
      <c r="W488" s="29"/>
      <c r="X488" s="29"/>
      <c r="Y488" s="29"/>
      <c r="Z488" s="29"/>
      <c r="AA488" s="29"/>
      <c r="AB488" s="29"/>
      <c r="AC488" s="29"/>
      <c r="AD488" s="29"/>
      <c r="AE488" s="29"/>
    </row>
    <row r="489" spans="6:31" ht="16.5" x14ac:dyDescent="0.25">
      <c r="F489" s="22"/>
      <c r="G489" s="22"/>
      <c r="H489" s="22"/>
      <c r="I489" s="22"/>
      <c r="J489" s="22"/>
      <c r="K489" s="22"/>
      <c r="L489" s="22"/>
      <c r="M489" s="22"/>
      <c r="N489" s="22"/>
      <c r="O489" s="22"/>
      <c r="P489" s="22"/>
      <c r="Q489" s="22"/>
      <c r="R489" s="22"/>
      <c r="S489" s="22"/>
      <c r="T489" s="22"/>
      <c r="U489" s="22"/>
      <c r="V489" s="22"/>
      <c r="W489" s="29"/>
      <c r="X489" s="29"/>
      <c r="Y489" s="29"/>
      <c r="Z489" s="29"/>
      <c r="AA489" s="29"/>
      <c r="AB489" s="29"/>
      <c r="AC489" s="29"/>
      <c r="AD489" s="29"/>
      <c r="AE489" s="29"/>
    </row>
    <row r="490" spans="6:31" ht="16.5" x14ac:dyDescent="0.25">
      <c r="F490" s="22"/>
      <c r="G490" s="22"/>
      <c r="H490" s="22"/>
      <c r="I490" s="22"/>
      <c r="J490" s="22"/>
      <c r="K490" s="22"/>
      <c r="L490" s="22"/>
      <c r="M490" s="22"/>
      <c r="N490" s="22"/>
      <c r="O490" s="22"/>
      <c r="P490" s="22"/>
      <c r="Q490" s="22"/>
      <c r="R490" s="22"/>
      <c r="S490" s="22"/>
      <c r="T490" s="22"/>
      <c r="U490" s="22"/>
      <c r="V490" s="22"/>
      <c r="W490" s="29"/>
      <c r="X490" s="29"/>
      <c r="Y490" s="29"/>
      <c r="Z490" s="29"/>
      <c r="AA490" s="29"/>
      <c r="AB490" s="29"/>
      <c r="AC490" s="29"/>
      <c r="AD490" s="29"/>
      <c r="AE490" s="29"/>
    </row>
    <row r="491" spans="6:31" ht="16.5" x14ac:dyDescent="0.25">
      <c r="F491" s="22"/>
      <c r="G491" s="22"/>
      <c r="H491" s="22"/>
      <c r="I491" s="22"/>
      <c r="J491" s="22"/>
      <c r="K491" s="22"/>
      <c r="L491" s="22"/>
      <c r="M491" s="22"/>
      <c r="N491" s="22"/>
      <c r="O491" s="22"/>
      <c r="P491" s="22"/>
      <c r="Q491" s="22"/>
      <c r="R491" s="22"/>
      <c r="S491" s="22"/>
      <c r="T491" s="22"/>
      <c r="U491" s="22"/>
      <c r="V491" s="22"/>
      <c r="W491" s="29"/>
      <c r="X491" s="29"/>
      <c r="Y491" s="29"/>
      <c r="Z491" s="29"/>
      <c r="AA491" s="29"/>
      <c r="AB491" s="29"/>
      <c r="AC491" s="29"/>
      <c r="AD491" s="29"/>
      <c r="AE491" s="29"/>
    </row>
    <row r="492" spans="6:31" ht="16.5" x14ac:dyDescent="0.25">
      <c r="F492" s="22"/>
      <c r="G492" s="22"/>
      <c r="H492" s="22"/>
      <c r="I492" s="22"/>
      <c r="J492" s="22"/>
      <c r="K492" s="22"/>
      <c r="L492" s="22"/>
      <c r="M492" s="22"/>
      <c r="N492" s="22"/>
      <c r="O492" s="22"/>
      <c r="P492" s="22"/>
      <c r="Q492" s="22"/>
      <c r="R492" s="22"/>
      <c r="S492" s="22"/>
      <c r="T492" s="22"/>
      <c r="U492" s="22"/>
      <c r="V492" s="22"/>
      <c r="W492" s="29"/>
      <c r="X492" s="29"/>
      <c r="Y492" s="29"/>
      <c r="Z492" s="29"/>
      <c r="AA492" s="29"/>
      <c r="AB492" s="29"/>
      <c r="AC492" s="29"/>
      <c r="AD492" s="29"/>
      <c r="AE492" s="29"/>
    </row>
    <row r="493" spans="6:31" ht="16.5" x14ac:dyDescent="0.25">
      <c r="F493" s="22"/>
      <c r="G493" s="22"/>
      <c r="H493" s="22"/>
      <c r="I493" s="22"/>
      <c r="J493" s="22"/>
      <c r="K493" s="22"/>
      <c r="L493" s="22"/>
      <c r="M493" s="22"/>
      <c r="N493" s="22"/>
      <c r="O493" s="22"/>
      <c r="P493" s="22"/>
      <c r="Q493" s="22"/>
      <c r="R493" s="22"/>
      <c r="S493" s="22"/>
      <c r="T493" s="22"/>
      <c r="U493" s="22"/>
      <c r="V493" s="22"/>
      <c r="W493" s="29"/>
      <c r="X493" s="29"/>
      <c r="Y493" s="29"/>
      <c r="Z493" s="29"/>
      <c r="AA493" s="29"/>
      <c r="AB493" s="29"/>
      <c r="AC493" s="29"/>
      <c r="AD493" s="29"/>
      <c r="AE493" s="29"/>
    </row>
    <row r="494" spans="6:31" ht="16.5" x14ac:dyDescent="0.25">
      <c r="F494" s="22"/>
      <c r="G494" s="22"/>
      <c r="H494" s="22"/>
      <c r="I494" s="22"/>
      <c r="J494" s="22"/>
      <c r="K494" s="22"/>
      <c r="L494" s="22"/>
      <c r="M494" s="22"/>
      <c r="N494" s="22"/>
      <c r="O494" s="22"/>
      <c r="P494" s="22"/>
      <c r="Q494" s="22"/>
      <c r="R494" s="22"/>
      <c r="S494" s="22"/>
      <c r="T494" s="22"/>
      <c r="U494" s="22"/>
      <c r="V494" s="22"/>
      <c r="W494" s="29"/>
      <c r="X494" s="29"/>
      <c r="Y494" s="29"/>
      <c r="Z494" s="29"/>
      <c r="AA494" s="29"/>
      <c r="AB494" s="29"/>
      <c r="AC494" s="29"/>
      <c r="AD494" s="29"/>
      <c r="AE494" s="29"/>
    </row>
    <row r="495" spans="6:31" ht="16.5" x14ac:dyDescent="0.25">
      <c r="F495" s="22"/>
      <c r="G495" s="22"/>
      <c r="H495" s="22"/>
      <c r="I495" s="22"/>
      <c r="J495" s="22"/>
      <c r="K495" s="22"/>
      <c r="L495" s="22"/>
      <c r="M495" s="22"/>
      <c r="N495" s="22"/>
      <c r="O495" s="22"/>
      <c r="P495" s="22"/>
      <c r="Q495" s="22"/>
      <c r="R495" s="22"/>
      <c r="S495" s="22"/>
      <c r="T495" s="22"/>
      <c r="U495" s="22"/>
      <c r="V495" s="22"/>
      <c r="W495" s="29"/>
      <c r="X495" s="29"/>
      <c r="Y495" s="29"/>
      <c r="Z495" s="29"/>
      <c r="AA495" s="29"/>
      <c r="AB495" s="29"/>
      <c r="AC495" s="29"/>
      <c r="AD495" s="29"/>
      <c r="AE495" s="29"/>
    </row>
    <row r="496" spans="6:31" ht="16.5" x14ac:dyDescent="0.25">
      <c r="F496" s="22"/>
      <c r="G496" s="22"/>
      <c r="H496" s="22"/>
      <c r="I496" s="22"/>
      <c r="J496" s="22"/>
      <c r="K496" s="22"/>
      <c r="L496" s="22"/>
      <c r="M496" s="22"/>
      <c r="N496" s="22"/>
      <c r="O496" s="22"/>
      <c r="P496" s="22"/>
      <c r="Q496" s="22"/>
      <c r="R496" s="22"/>
      <c r="S496" s="22"/>
      <c r="T496" s="22"/>
      <c r="U496" s="22"/>
      <c r="V496" s="22"/>
      <c r="W496" s="29"/>
      <c r="X496" s="29"/>
      <c r="Y496" s="29"/>
      <c r="Z496" s="29"/>
      <c r="AA496" s="29"/>
      <c r="AB496" s="29"/>
      <c r="AC496" s="29"/>
      <c r="AD496" s="29"/>
      <c r="AE496" s="29"/>
    </row>
    <row r="497" spans="6:31" ht="16.5" x14ac:dyDescent="0.25">
      <c r="F497" s="22"/>
      <c r="G497" s="22"/>
      <c r="H497" s="22"/>
      <c r="I497" s="22"/>
      <c r="J497" s="22"/>
      <c r="K497" s="22"/>
      <c r="L497" s="22"/>
      <c r="M497" s="22"/>
      <c r="N497" s="22"/>
      <c r="O497" s="22"/>
      <c r="P497" s="22"/>
      <c r="Q497" s="22"/>
      <c r="R497" s="22"/>
      <c r="S497" s="22"/>
      <c r="T497" s="22"/>
      <c r="U497" s="22"/>
      <c r="V497" s="22"/>
      <c r="W497" s="29"/>
      <c r="X497" s="29"/>
      <c r="Y497" s="29"/>
      <c r="Z497" s="29"/>
      <c r="AA497" s="29"/>
      <c r="AB497" s="29"/>
      <c r="AC497" s="29"/>
      <c r="AD497" s="29"/>
      <c r="AE497" s="29"/>
    </row>
    <row r="498" spans="6:31" ht="16.5" x14ac:dyDescent="0.25">
      <c r="F498" s="22"/>
      <c r="G498" s="22"/>
      <c r="H498" s="22"/>
      <c r="I498" s="22"/>
      <c r="J498" s="22"/>
      <c r="K498" s="22"/>
      <c r="L498" s="22"/>
      <c r="M498" s="22"/>
      <c r="N498" s="22"/>
      <c r="O498" s="22"/>
      <c r="P498" s="22"/>
      <c r="Q498" s="22"/>
      <c r="R498" s="22"/>
      <c r="S498" s="22"/>
      <c r="T498" s="22"/>
      <c r="U498" s="22"/>
      <c r="V498" s="22"/>
      <c r="W498" s="29"/>
      <c r="X498" s="29"/>
      <c r="Y498" s="29"/>
      <c r="Z498" s="29"/>
      <c r="AA498" s="29"/>
      <c r="AB498" s="29"/>
      <c r="AC498" s="29"/>
      <c r="AD498" s="29"/>
      <c r="AE498" s="29"/>
    </row>
    <row r="499" spans="6:31" ht="16.5" x14ac:dyDescent="0.25">
      <c r="F499" s="22"/>
      <c r="G499" s="22"/>
      <c r="H499" s="22"/>
      <c r="I499" s="22"/>
      <c r="J499" s="22"/>
      <c r="K499" s="22"/>
      <c r="L499" s="22"/>
      <c r="M499" s="22"/>
      <c r="N499" s="22"/>
      <c r="O499" s="22"/>
      <c r="P499" s="22"/>
      <c r="Q499" s="22"/>
      <c r="R499" s="22"/>
      <c r="S499" s="22"/>
      <c r="T499" s="22"/>
      <c r="U499" s="22"/>
      <c r="V499" s="22"/>
      <c r="W499" s="29"/>
      <c r="X499" s="29"/>
      <c r="Y499" s="29"/>
      <c r="Z499" s="29"/>
      <c r="AA499" s="29"/>
      <c r="AB499" s="29"/>
      <c r="AC499" s="29"/>
      <c r="AD499" s="29"/>
      <c r="AE499" s="29"/>
    </row>
    <row r="500" spans="6:31" ht="16.5" x14ac:dyDescent="0.25">
      <c r="F500" s="22"/>
      <c r="G500" s="22"/>
      <c r="H500" s="22"/>
      <c r="I500" s="22"/>
      <c r="J500" s="22"/>
      <c r="K500" s="22"/>
      <c r="L500" s="22"/>
      <c r="M500" s="22"/>
      <c r="N500" s="22"/>
      <c r="O500" s="22"/>
      <c r="P500" s="22"/>
      <c r="Q500" s="22"/>
      <c r="R500" s="22"/>
      <c r="S500" s="22"/>
      <c r="T500" s="22"/>
      <c r="U500" s="22"/>
      <c r="V500" s="22"/>
      <c r="W500" s="29"/>
      <c r="X500" s="29"/>
      <c r="Y500" s="29"/>
      <c r="Z500" s="29"/>
      <c r="AA500" s="29"/>
      <c r="AB500" s="29"/>
      <c r="AC500" s="29"/>
      <c r="AD500" s="29"/>
      <c r="AE500" s="29"/>
    </row>
    <row r="501" spans="6:31" ht="16.5" x14ac:dyDescent="0.25">
      <c r="F501" s="22"/>
      <c r="G501" s="22"/>
      <c r="H501" s="22"/>
      <c r="I501" s="22"/>
      <c r="J501" s="22"/>
      <c r="K501" s="22"/>
      <c r="L501" s="22"/>
      <c r="M501" s="22"/>
      <c r="N501" s="22"/>
      <c r="O501" s="22"/>
      <c r="P501" s="22"/>
      <c r="Q501" s="22"/>
      <c r="R501" s="22"/>
      <c r="S501" s="22"/>
      <c r="T501" s="22"/>
      <c r="U501" s="22"/>
      <c r="V501" s="22"/>
      <c r="W501" s="29"/>
      <c r="X501" s="29"/>
      <c r="Y501" s="29"/>
      <c r="Z501" s="29"/>
      <c r="AA501" s="29"/>
      <c r="AB501" s="29"/>
      <c r="AC501" s="29"/>
      <c r="AD501" s="29"/>
      <c r="AE501" s="29"/>
    </row>
    <row r="502" spans="6:31" ht="16.5" x14ac:dyDescent="0.25">
      <c r="F502" s="22"/>
      <c r="G502" s="22"/>
      <c r="H502" s="22"/>
      <c r="I502" s="22"/>
      <c r="J502" s="22"/>
      <c r="K502" s="22"/>
      <c r="L502" s="22"/>
      <c r="M502" s="22"/>
      <c r="N502" s="22"/>
      <c r="O502" s="22"/>
      <c r="P502" s="22"/>
      <c r="Q502" s="22"/>
      <c r="R502" s="22"/>
      <c r="S502" s="22"/>
      <c r="T502" s="22"/>
      <c r="U502" s="22"/>
      <c r="V502" s="22"/>
      <c r="W502" s="29"/>
      <c r="X502" s="29"/>
      <c r="Y502" s="29"/>
      <c r="Z502" s="29"/>
      <c r="AA502" s="29"/>
      <c r="AB502" s="29"/>
      <c r="AC502" s="29"/>
      <c r="AD502" s="29"/>
      <c r="AE502" s="29"/>
    </row>
    <row r="503" spans="6:31" ht="16.5" x14ac:dyDescent="0.25">
      <c r="F503" s="22"/>
      <c r="G503" s="22"/>
      <c r="H503" s="22"/>
      <c r="I503" s="22"/>
      <c r="J503" s="22"/>
      <c r="K503" s="22"/>
      <c r="L503" s="22"/>
      <c r="M503" s="22"/>
      <c r="N503" s="22"/>
      <c r="O503" s="22"/>
      <c r="P503" s="22"/>
      <c r="Q503" s="22"/>
      <c r="R503" s="22"/>
      <c r="S503" s="22"/>
      <c r="T503" s="22"/>
      <c r="U503" s="22"/>
      <c r="V503" s="22"/>
      <c r="W503" s="29"/>
      <c r="X503" s="29"/>
      <c r="Y503" s="29"/>
      <c r="Z503" s="29"/>
      <c r="AA503" s="29"/>
      <c r="AB503" s="29"/>
      <c r="AC503" s="29"/>
      <c r="AD503" s="29"/>
      <c r="AE503" s="29"/>
    </row>
    <row r="504" spans="6:31" ht="16.5" x14ac:dyDescent="0.25">
      <c r="F504" s="22"/>
      <c r="G504" s="22"/>
      <c r="H504" s="22"/>
      <c r="I504" s="22"/>
      <c r="J504" s="22"/>
      <c r="K504" s="22"/>
      <c r="L504" s="22"/>
      <c r="M504" s="22"/>
      <c r="N504" s="22"/>
      <c r="O504" s="22"/>
      <c r="P504" s="22"/>
      <c r="Q504" s="22"/>
      <c r="R504" s="22"/>
      <c r="S504" s="22"/>
      <c r="T504" s="22"/>
      <c r="U504" s="22"/>
      <c r="V504" s="22"/>
      <c r="W504" s="29"/>
      <c r="X504" s="29"/>
      <c r="Y504" s="29"/>
      <c r="Z504" s="29"/>
      <c r="AA504" s="29"/>
      <c r="AB504" s="29"/>
      <c r="AC504" s="29"/>
      <c r="AD504" s="29"/>
      <c r="AE504" s="29"/>
    </row>
    <row r="505" spans="6:31" ht="16.5" x14ac:dyDescent="0.25">
      <c r="F505" s="22"/>
      <c r="G505" s="22"/>
      <c r="H505" s="22"/>
      <c r="I505" s="22"/>
      <c r="J505" s="22"/>
      <c r="K505" s="22"/>
      <c r="L505" s="22"/>
      <c r="M505" s="22"/>
      <c r="N505" s="22"/>
      <c r="O505" s="22"/>
      <c r="P505" s="22"/>
      <c r="Q505" s="22"/>
      <c r="R505" s="22"/>
      <c r="S505" s="22"/>
      <c r="T505" s="22"/>
      <c r="U505" s="22"/>
      <c r="V505" s="22"/>
      <c r="W505" s="29"/>
      <c r="X505" s="29"/>
      <c r="Y505" s="29"/>
      <c r="Z505" s="29"/>
      <c r="AA505" s="29"/>
      <c r="AB505" s="29"/>
      <c r="AC505" s="29"/>
      <c r="AD505" s="29"/>
      <c r="AE505" s="29"/>
    </row>
    <row r="506" spans="6:31" ht="16.5" x14ac:dyDescent="0.25">
      <c r="F506" s="22"/>
      <c r="G506" s="22"/>
      <c r="H506" s="22"/>
      <c r="I506" s="22"/>
      <c r="J506" s="22"/>
      <c r="K506" s="22"/>
      <c r="L506" s="22"/>
      <c r="M506" s="22"/>
      <c r="N506" s="22"/>
      <c r="O506" s="22"/>
      <c r="P506" s="22"/>
      <c r="Q506" s="22"/>
      <c r="R506" s="22"/>
      <c r="S506" s="22"/>
      <c r="T506" s="22"/>
      <c r="U506" s="22"/>
      <c r="V506" s="22"/>
      <c r="W506" s="29"/>
      <c r="X506" s="29"/>
      <c r="Y506" s="29"/>
      <c r="Z506" s="29"/>
      <c r="AA506" s="29"/>
      <c r="AB506" s="29"/>
      <c r="AC506" s="29"/>
      <c r="AD506" s="29"/>
      <c r="AE506" s="29"/>
    </row>
    <row r="507" spans="6:31" ht="16.5" x14ac:dyDescent="0.25">
      <c r="F507" s="22"/>
      <c r="G507" s="22"/>
      <c r="H507" s="22"/>
      <c r="I507" s="22"/>
      <c r="J507" s="22"/>
      <c r="K507" s="22"/>
      <c r="L507" s="22"/>
      <c r="M507" s="22"/>
      <c r="N507" s="22"/>
      <c r="O507" s="22"/>
      <c r="P507" s="22"/>
      <c r="Q507" s="22"/>
      <c r="R507" s="22"/>
      <c r="S507" s="22"/>
      <c r="T507" s="22"/>
      <c r="U507" s="22"/>
      <c r="V507" s="22"/>
      <c r="W507" s="29"/>
      <c r="X507" s="29"/>
      <c r="Y507" s="29"/>
      <c r="Z507" s="29"/>
      <c r="AA507" s="29"/>
      <c r="AB507" s="29"/>
      <c r="AC507" s="29"/>
      <c r="AD507" s="29"/>
      <c r="AE507" s="29"/>
    </row>
    <row r="508" spans="6:31" ht="16.5" x14ac:dyDescent="0.25">
      <c r="F508" s="22"/>
      <c r="G508" s="22"/>
      <c r="H508" s="22"/>
      <c r="I508" s="22"/>
      <c r="J508" s="22"/>
      <c r="K508" s="22"/>
      <c r="L508" s="22"/>
      <c r="M508" s="22"/>
      <c r="N508" s="22"/>
      <c r="O508" s="22"/>
      <c r="P508" s="22"/>
      <c r="Q508" s="22"/>
      <c r="R508" s="22"/>
      <c r="S508" s="22"/>
      <c r="T508" s="22"/>
      <c r="U508" s="22"/>
      <c r="V508" s="22"/>
      <c r="W508" s="29"/>
      <c r="X508" s="29"/>
      <c r="Y508" s="29"/>
      <c r="Z508" s="29"/>
      <c r="AA508" s="29"/>
      <c r="AB508" s="29"/>
      <c r="AC508" s="29"/>
      <c r="AD508" s="29"/>
      <c r="AE508" s="29"/>
    </row>
    <row r="509" spans="6:31" ht="16.5" x14ac:dyDescent="0.25">
      <c r="F509" s="22"/>
      <c r="G509" s="22"/>
      <c r="H509" s="22"/>
      <c r="I509" s="22"/>
      <c r="J509" s="22"/>
      <c r="K509" s="22"/>
      <c r="L509" s="22"/>
      <c r="M509" s="22"/>
      <c r="N509" s="22"/>
      <c r="O509" s="22"/>
      <c r="P509" s="22"/>
      <c r="Q509" s="22"/>
      <c r="R509" s="22"/>
      <c r="S509" s="22"/>
      <c r="T509" s="22"/>
      <c r="U509" s="22"/>
      <c r="V509" s="22"/>
      <c r="W509" s="29"/>
      <c r="X509" s="29"/>
      <c r="Y509" s="29"/>
      <c r="Z509" s="29"/>
      <c r="AA509" s="29"/>
      <c r="AB509" s="29"/>
      <c r="AC509" s="29"/>
      <c r="AD509" s="29"/>
      <c r="AE509" s="29"/>
    </row>
    <row r="510" spans="6:31" ht="16.5" x14ac:dyDescent="0.25">
      <c r="F510" s="22"/>
      <c r="G510" s="22"/>
      <c r="H510" s="22"/>
      <c r="I510" s="22"/>
      <c r="J510" s="22"/>
      <c r="K510" s="22"/>
      <c r="L510" s="22"/>
      <c r="M510" s="22"/>
      <c r="N510" s="22"/>
      <c r="O510" s="22"/>
      <c r="P510" s="22"/>
      <c r="Q510" s="22"/>
      <c r="R510" s="22"/>
      <c r="S510" s="22"/>
      <c r="T510" s="22"/>
      <c r="U510" s="22"/>
      <c r="V510" s="22"/>
      <c r="W510" s="29"/>
      <c r="X510" s="29"/>
      <c r="Y510" s="29"/>
      <c r="Z510" s="29"/>
      <c r="AA510" s="29"/>
      <c r="AB510" s="29"/>
      <c r="AC510" s="29"/>
      <c r="AD510" s="29"/>
      <c r="AE510" s="29"/>
    </row>
    <row r="511" spans="6:31" ht="16.5" x14ac:dyDescent="0.25">
      <c r="F511" s="22"/>
      <c r="G511" s="22"/>
      <c r="H511" s="22"/>
      <c r="I511" s="22"/>
      <c r="J511" s="22"/>
      <c r="K511" s="22"/>
      <c r="L511" s="22"/>
      <c r="M511" s="22"/>
      <c r="N511" s="22"/>
      <c r="O511" s="22"/>
      <c r="P511" s="22"/>
      <c r="Q511" s="22"/>
      <c r="R511" s="22"/>
      <c r="S511" s="22"/>
      <c r="T511" s="22"/>
      <c r="U511" s="22"/>
      <c r="V511" s="22"/>
      <c r="W511" s="29"/>
      <c r="X511" s="29"/>
      <c r="Y511" s="29"/>
      <c r="Z511" s="29"/>
      <c r="AA511" s="29"/>
      <c r="AB511" s="29"/>
      <c r="AC511" s="29"/>
      <c r="AD511" s="29"/>
      <c r="AE511" s="29"/>
    </row>
    <row r="512" spans="6:31" ht="16.5" x14ac:dyDescent="0.25">
      <c r="F512" s="22"/>
      <c r="G512" s="22"/>
      <c r="H512" s="22"/>
      <c r="I512" s="22"/>
      <c r="J512" s="22"/>
      <c r="K512" s="22"/>
      <c r="L512" s="22"/>
      <c r="M512" s="22"/>
      <c r="N512" s="22"/>
      <c r="O512" s="22"/>
      <c r="P512" s="22"/>
      <c r="Q512" s="22"/>
      <c r="R512" s="22"/>
      <c r="S512" s="22"/>
      <c r="T512" s="22"/>
      <c r="U512" s="22"/>
      <c r="V512" s="22"/>
      <c r="W512" s="29"/>
      <c r="X512" s="29"/>
      <c r="Y512" s="29"/>
      <c r="Z512" s="29"/>
      <c r="AA512" s="29"/>
      <c r="AB512" s="29"/>
      <c r="AC512" s="29"/>
      <c r="AD512" s="29"/>
      <c r="AE512" s="29"/>
    </row>
    <row r="513" spans="6:31" ht="16.5" x14ac:dyDescent="0.25">
      <c r="F513" s="22"/>
      <c r="G513" s="22"/>
      <c r="H513" s="22"/>
      <c r="I513" s="22"/>
      <c r="J513" s="22"/>
      <c r="K513" s="22"/>
      <c r="L513" s="22"/>
      <c r="M513" s="22"/>
      <c r="N513" s="22"/>
      <c r="O513" s="22"/>
      <c r="P513" s="22"/>
      <c r="Q513" s="22"/>
      <c r="R513" s="22"/>
      <c r="S513" s="22"/>
      <c r="T513" s="22"/>
      <c r="U513" s="22"/>
      <c r="V513" s="22"/>
      <c r="W513" s="29"/>
      <c r="X513" s="29"/>
      <c r="Y513" s="29"/>
      <c r="Z513" s="29"/>
      <c r="AA513" s="29"/>
      <c r="AB513" s="29"/>
      <c r="AC513" s="29"/>
      <c r="AD513" s="29"/>
      <c r="AE513" s="29"/>
    </row>
    <row r="514" spans="6:31" ht="16.5" x14ac:dyDescent="0.25">
      <c r="F514" s="22"/>
      <c r="G514" s="22"/>
      <c r="H514" s="22"/>
      <c r="I514" s="22"/>
      <c r="J514" s="22"/>
      <c r="K514" s="22"/>
      <c r="L514" s="22"/>
      <c r="M514" s="22"/>
      <c r="N514" s="22"/>
      <c r="O514" s="22"/>
      <c r="P514" s="22"/>
      <c r="Q514" s="22"/>
      <c r="R514" s="22"/>
      <c r="S514" s="22"/>
      <c r="T514" s="22"/>
      <c r="U514" s="22"/>
      <c r="V514" s="22"/>
      <c r="W514" s="29"/>
      <c r="X514" s="29"/>
      <c r="Y514" s="29"/>
      <c r="Z514" s="29"/>
      <c r="AA514" s="29"/>
      <c r="AB514" s="29"/>
      <c r="AC514" s="29"/>
      <c r="AD514" s="29"/>
      <c r="AE514" s="29"/>
    </row>
    <row r="515" spans="6:31" ht="16.5" x14ac:dyDescent="0.25">
      <c r="F515" s="22"/>
      <c r="G515" s="22"/>
      <c r="H515" s="22"/>
      <c r="I515" s="22"/>
      <c r="J515" s="22"/>
      <c r="K515" s="22"/>
      <c r="L515" s="22"/>
      <c r="M515" s="22"/>
      <c r="N515" s="22"/>
      <c r="O515" s="22"/>
      <c r="P515" s="22"/>
      <c r="Q515" s="22"/>
      <c r="R515" s="22"/>
      <c r="S515" s="22"/>
      <c r="T515" s="22"/>
      <c r="U515" s="22"/>
      <c r="V515" s="22"/>
      <c r="W515" s="29"/>
      <c r="X515" s="29"/>
      <c r="Y515" s="29"/>
      <c r="Z515" s="29"/>
      <c r="AA515" s="29"/>
      <c r="AB515" s="29"/>
      <c r="AC515" s="29"/>
      <c r="AD515" s="29"/>
      <c r="AE515" s="29"/>
    </row>
    <row r="516" spans="6:31" ht="16.5" x14ac:dyDescent="0.25">
      <c r="F516" s="22"/>
      <c r="G516" s="22"/>
      <c r="H516" s="22"/>
      <c r="I516" s="22"/>
      <c r="J516" s="22"/>
      <c r="K516" s="22"/>
      <c r="L516" s="22"/>
      <c r="M516" s="22"/>
      <c r="N516" s="22"/>
      <c r="O516" s="22"/>
      <c r="P516" s="22"/>
      <c r="Q516" s="22"/>
      <c r="R516" s="22"/>
      <c r="S516" s="22"/>
      <c r="T516" s="22"/>
      <c r="U516" s="22"/>
      <c r="V516" s="22"/>
      <c r="W516" s="29"/>
      <c r="X516" s="29"/>
      <c r="Y516" s="29"/>
      <c r="Z516" s="29"/>
      <c r="AA516" s="29"/>
      <c r="AB516" s="29"/>
      <c r="AC516" s="29"/>
      <c r="AD516" s="29"/>
      <c r="AE516" s="29"/>
    </row>
    <row r="517" spans="6:31" ht="16.5" x14ac:dyDescent="0.25">
      <c r="F517" s="22"/>
      <c r="G517" s="22"/>
      <c r="H517" s="22"/>
      <c r="I517" s="22"/>
      <c r="J517" s="22"/>
      <c r="K517" s="22"/>
      <c r="L517" s="22"/>
      <c r="M517" s="22"/>
      <c r="N517" s="22"/>
      <c r="O517" s="22"/>
      <c r="P517" s="22"/>
      <c r="Q517" s="22"/>
      <c r="R517" s="22"/>
      <c r="S517" s="22"/>
      <c r="T517" s="22"/>
      <c r="U517" s="22"/>
      <c r="V517" s="22"/>
      <c r="W517" s="29"/>
      <c r="X517" s="29"/>
      <c r="Y517" s="29"/>
      <c r="Z517" s="29"/>
      <c r="AA517" s="29"/>
      <c r="AB517" s="29"/>
      <c r="AC517" s="29"/>
      <c r="AD517" s="29"/>
      <c r="AE517" s="29"/>
    </row>
    <row r="518" spans="6:31" ht="16.5" x14ac:dyDescent="0.25">
      <c r="F518" s="22"/>
      <c r="G518" s="22"/>
      <c r="H518" s="22"/>
      <c r="I518" s="22"/>
      <c r="J518" s="22"/>
      <c r="K518" s="22"/>
      <c r="L518" s="22"/>
      <c r="M518" s="22"/>
      <c r="N518" s="22"/>
      <c r="O518" s="22"/>
      <c r="P518" s="22"/>
      <c r="Q518" s="22"/>
      <c r="R518" s="22"/>
      <c r="S518" s="22"/>
      <c r="T518" s="22"/>
      <c r="U518" s="22"/>
      <c r="V518" s="22"/>
      <c r="W518" s="29"/>
      <c r="X518" s="29"/>
      <c r="Y518" s="29"/>
      <c r="Z518" s="29"/>
      <c r="AA518" s="29"/>
      <c r="AB518" s="29"/>
      <c r="AC518" s="29"/>
      <c r="AD518" s="29"/>
      <c r="AE518" s="29"/>
    </row>
    <row r="519" spans="6:31" ht="16.5" x14ac:dyDescent="0.25">
      <c r="F519" s="22"/>
      <c r="G519" s="22"/>
      <c r="H519" s="22"/>
      <c r="I519" s="22"/>
      <c r="J519" s="22"/>
      <c r="K519" s="22"/>
      <c r="L519" s="22"/>
      <c r="M519" s="22"/>
      <c r="N519" s="22"/>
      <c r="O519" s="22"/>
      <c r="P519" s="22"/>
      <c r="Q519" s="22"/>
      <c r="R519" s="22"/>
      <c r="S519" s="22"/>
      <c r="T519" s="22"/>
      <c r="U519" s="22"/>
      <c r="V519" s="22"/>
      <c r="W519" s="29"/>
      <c r="X519" s="29"/>
      <c r="Y519" s="29"/>
      <c r="Z519" s="29"/>
      <c r="AA519" s="29"/>
      <c r="AB519" s="29"/>
      <c r="AC519" s="29"/>
      <c r="AD519" s="29"/>
      <c r="AE519" s="29"/>
    </row>
    <row r="520" spans="6:31" ht="16.5" x14ac:dyDescent="0.25">
      <c r="F520" s="22"/>
      <c r="G520" s="22"/>
      <c r="H520" s="22"/>
      <c r="I520" s="22"/>
      <c r="J520" s="22"/>
      <c r="K520" s="22"/>
      <c r="L520" s="22"/>
      <c r="M520" s="22"/>
      <c r="N520" s="22"/>
      <c r="O520" s="22"/>
      <c r="P520" s="22"/>
      <c r="Q520" s="22"/>
      <c r="R520" s="22"/>
      <c r="S520" s="22"/>
      <c r="T520" s="22"/>
      <c r="U520" s="22"/>
      <c r="V520" s="22"/>
      <c r="W520" s="29"/>
      <c r="X520" s="29"/>
      <c r="Y520" s="29"/>
      <c r="Z520" s="29"/>
      <c r="AA520" s="29"/>
      <c r="AB520" s="29"/>
      <c r="AC520" s="29"/>
      <c r="AD520" s="29"/>
      <c r="AE520" s="29"/>
    </row>
    <row r="521" spans="6:31" ht="16.5" x14ac:dyDescent="0.25">
      <c r="F521" s="22"/>
      <c r="G521" s="22"/>
      <c r="H521" s="22"/>
      <c r="I521" s="22"/>
      <c r="J521" s="22"/>
      <c r="K521" s="22"/>
      <c r="L521" s="22"/>
      <c r="M521" s="22"/>
      <c r="N521" s="22"/>
      <c r="O521" s="22"/>
      <c r="P521" s="22"/>
      <c r="Q521" s="22"/>
      <c r="R521" s="22"/>
      <c r="S521" s="22"/>
      <c r="T521" s="22"/>
      <c r="U521" s="22"/>
      <c r="V521" s="22"/>
      <c r="W521" s="29"/>
      <c r="X521" s="29"/>
      <c r="Y521" s="29"/>
      <c r="Z521" s="29"/>
      <c r="AA521" s="29"/>
      <c r="AB521" s="29"/>
      <c r="AC521" s="29"/>
      <c r="AD521" s="29"/>
      <c r="AE521" s="29"/>
    </row>
    <row r="522" spans="6:31" ht="16.5" x14ac:dyDescent="0.25">
      <c r="F522" s="22"/>
      <c r="G522" s="22"/>
      <c r="H522" s="22"/>
      <c r="I522" s="22"/>
      <c r="J522" s="22"/>
      <c r="K522" s="22"/>
      <c r="L522" s="22"/>
      <c r="M522" s="22"/>
      <c r="N522" s="22"/>
      <c r="O522" s="22"/>
      <c r="P522" s="22"/>
      <c r="Q522" s="22"/>
      <c r="R522" s="22"/>
      <c r="S522" s="22"/>
      <c r="T522" s="22"/>
      <c r="U522" s="22"/>
      <c r="V522" s="22"/>
      <c r="W522" s="29"/>
      <c r="X522" s="29"/>
      <c r="Y522" s="29"/>
      <c r="Z522" s="29"/>
      <c r="AA522" s="29"/>
      <c r="AB522" s="29"/>
      <c r="AC522" s="29"/>
      <c r="AD522" s="29"/>
      <c r="AE522" s="29"/>
    </row>
    <row r="523" spans="6:31" ht="16.5" x14ac:dyDescent="0.25">
      <c r="F523" s="22"/>
      <c r="G523" s="22"/>
      <c r="H523" s="22"/>
      <c r="I523" s="22"/>
      <c r="J523" s="22"/>
      <c r="K523" s="22"/>
      <c r="L523" s="22"/>
      <c r="M523" s="22"/>
      <c r="N523" s="22"/>
      <c r="O523" s="22"/>
      <c r="P523" s="22"/>
      <c r="Q523" s="22"/>
      <c r="R523" s="22"/>
      <c r="S523" s="22"/>
      <c r="T523" s="22"/>
      <c r="U523" s="22"/>
      <c r="V523" s="22"/>
      <c r="W523" s="29"/>
      <c r="X523" s="29"/>
      <c r="Y523" s="29"/>
      <c r="Z523" s="29"/>
      <c r="AA523" s="29"/>
      <c r="AB523" s="29"/>
      <c r="AC523" s="29"/>
      <c r="AD523" s="29"/>
      <c r="AE523" s="29"/>
    </row>
    <row r="524" spans="6:31" ht="16.5" x14ac:dyDescent="0.25">
      <c r="F524" s="22"/>
      <c r="G524" s="22"/>
      <c r="H524" s="22"/>
      <c r="I524" s="22"/>
      <c r="J524" s="22"/>
      <c r="K524" s="22"/>
      <c r="L524" s="22"/>
      <c r="M524" s="22"/>
      <c r="N524" s="22"/>
      <c r="O524" s="22"/>
      <c r="P524" s="22"/>
      <c r="Q524" s="22"/>
      <c r="R524" s="22"/>
      <c r="S524" s="22"/>
      <c r="T524" s="22"/>
      <c r="U524" s="22"/>
      <c r="V524" s="22"/>
      <c r="W524" s="29"/>
      <c r="X524" s="29"/>
      <c r="Y524" s="29"/>
      <c r="Z524" s="29"/>
      <c r="AA524" s="29"/>
      <c r="AB524" s="29"/>
      <c r="AC524" s="29"/>
      <c r="AD524" s="29"/>
      <c r="AE524" s="29"/>
    </row>
    <row r="525" spans="6:31" ht="16.5" x14ac:dyDescent="0.25">
      <c r="F525" s="22"/>
      <c r="G525" s="22"/>
      <c r="H525" s="22"/>
      <c r="I525" s="22"/>
      <c r="J525" s="22"/>
      <c r="K525" s="22"/>
      <c r="L525" s="22"/>
      <c r="M525" s="22"/>
      <c r="N525" s="22"/>
      <c r="O525" s="22"/>
      <c r="P525" s="22"/>
      <c r="Q525" s="22"/>
      <c r="R525" s="22"/>
      <c r="S525" s="22"/>
      <c r="T525" s="22"/>
      <c r="U525" s="22"/>
      <c r="V525" s="22"/>
      <c r="W525" s="29"/>
      <c r="X525" s="29"/>
      <c r="Y525" s="29"/>
      <c r="Z525" s="29"/>
      <c r="AA525" s="29"/>
      <c r="AB525" s="29"/>
      <c r="AC525" s="29"/>
      <c r="AD525" s="29"/>
      <c r="AE525" s="29"/>
    </row>
    <row r="526" spans="6:31" ht="16.5" x14ac:dyDescent="0.25">
      <c r="F526" s="22"/>
      <c r="G526" s="22"/>
      <c r="H526" s="22"/>
      <c r="I526" s="22"/>
      <c r="J526" s="22"/>
      <c r="K526" s="22"/>
      <c r="L526" s="22"/>
      <c r="M526" s="22"/>
      <c r="N526" s="22"/>
      <c r="O526" s="22"/>
      <c r="P526" s="22"/>
      <c r="Q526" s="22"/>
      <c r="R526" s="22"/>
      <c r="S526" s="22"/>
      <c r="T526" s="22"/>
      <c r="U526" s="22"/>
      <c r="V526" s="22"/>
      <c r="W526" s="29"/>
      <c r="X526" s="29"/>
      <c r="Y526" s="29"/>
      <c r="Z526" s="29"/>
      <c r="AA526" s="29"/>
      <c r="AB526" s="29"/>
      <c r="AC526" s="29"/>
      <c r="AD526" s="29"/>
      <c r="AE526" s="29"/>
    </row>
    <row r="527" spans="6:31" ht="16.5" x14ac:dyDescent="0.25">
      <c r="F527" s="22"/>
      <c r="G527" s="22"/>
      <c r="H527" s="22"/>
      <c r="I527" s="22"/>
      <c r="J527" s="22"/>
      <c r="K527" s="22"/>
      <c r="L527" s="22"/>
      <c r="M527" s="22"/>
      <c r="N527" s="22"/>
      <c r="O527" s="22"/>
      <c r="P527" s="22"/>
      <c r="Q527" s="22"/>
      <c r="R527" s="22"/>
      <c r="S527" s="22"/>
      <c r="T527" s="22"/>
      <c r="U527" s="22"/>
      <c r="V527" s="22"/>
      <c r="W527" s="29"/>
      <c r="X527" s="29"/>
      <c r="Y527" s="29"/>
      <c r="Z527" s="29"/>
      <c r="AA527" s="29"/>
      <c r="AB527" s="29"/>
      <c r="AC527" s="29"/>
      <c r="AD527" s="29"/>
      <c r="AE527" s="29"/>
    </row>
    <row r="528" spans="6:31" ht="16.5" x14ac:dyDescent="0.25">
      <c r="F528" s="22"/>
      <c r="G528" s="22"/>
      <c r="H528" s="22"/>
      <c r="I528" s="22"/>
      <c r="J528" s="22"/>
      <c r="K528" s="22"/>
      <c r="L528" s="22"/>
      <c r="M528" s="22"/>
      <c r="N528" s="22"/>
      <c r="O528" s="22"/>
      <c r="P528" s="22"/>
      <c r="Q528" s="22"/>
      <c r="R528" s="22"/>
      <c r="S528" s="22"/>
      <c r="T528" s="22"/>
      <c r="U528" s="22"/>
      <c r="V528" s="22"/>
      <c r="W528" s="29"/>
      <c r="X528" s="29"/>
      <c r="Y528" s="29"/>
      <c r="Z528" s="29"/>
      <c r="AA528" s="29"/>
      <c r="AB528" s="29"/>
      <c r="AC528" s="29"/>
      <c r="AD528" s="29"/>
      <c r="AE528" s="29"/>
    </row>
    <row r="529" spans="6:31" ht="16.5" x14ac:dyDescent="0.25">
      <c r="F529" s="22"/>
      <c r="G529" s="22"/>
      <c r="H529" s="22"/>
      <c r="I529" s="22"/>
      <c r="J529" s="22"/>
      <c r="K529" s="22"/>
      <c r="L529" s="22"/>
      <c r="M529" s="22"/>
      <c r="N529" s="22"/>
      <c r="O529" s="22"/>
      <c r="P529" s="22"/>
      <c r="Q529" s="22"/>
      <c r="R529" s="22"/>
      <c r="S529" s="22"/>
      <c r="T529" s="22"/>
      <c r="U529" s="22"/>
      <c r="V529" s="22"/>
      <c r="W529" s="29"/>
      <c r="X529" s="29"/>
      <c r="Y529" s="29"/>
      <c r="Z529" s="29"/>
      <c r="AA529" s="29"/>
      <c r="AB529" s="29"/>
      <c r="AC529" s="29"/>
      <c r="AD529" s="29"/>
      <c r="AE529" s="29"/>
    </row>
    <row r="530" spans="6:31" ht="16.5" x14ac:dyDescent="0.25">
      <c r="F530" s="22"/>
      <c r="G530" s="22"/>
      <c r="H530" s="22"/>
      <c r="I530" s="22"/>
      <c r="J530" s="22"/>
      <c r="K530" s="22"/>
      <c r="L530" s="22"/>
      <c r="M530" s="22"/>
      <c r="N530" s="22"/>
      <c r="O530" s="22"/>
      <c r="P530" s="22"/>
      <c r="Q530" s="22"/>
      <c r="R530" s="22"/>
      <c r="S530" s="22"/>
      <c r="T530" s="22"/>
      <c r="U530" s="22"/>
      <c r="V530" s="22"/>
      <c r="W530" s="29"/>
      <c r="X530" s="29"/>
      <c r="Y530" s="29"/>
      <c r="Z530" s="29"/>
      <c r="AA530" s="29"/>
      <c r="AB530" s="29"/>
      <c r="AC530" s="29"/>
      <c r="AD530" s="29"/>
      <c r="AE530" s="29"/>
    </row>
    <row r="531" spans="6:31" ht="16.5" x14ac:dyDescent="0.25">
      <c r="F531" s="22"/>
      <c r="G531" s="22"/>
      <c r="H531" s="22"/>
      <c r="I531" s="22"/>
      <c r="J531" s="22"/>
      <c r="K531" s="22"/>
      <c r="L531" s="22"/>
      <c r="M531" s="22"/>
      <c r="N531" s="22"/>
      <c r="O531" s="22"/>
      <c r="P531" s="22"/>
      <c r="Q531" s="22"/>
      <c r="R531" s="22"/>
      <c r="S531" s="22"/>
      <c r="T531" s="22"/>
      <c r="U531" s="22"/>
      <c r="V531" s="22"/>
      <c r="W531" s="29"/>
      <c r="X531" s="29"/>
      <c r="Y531" s="29"/>
      <c r="Z531" s="29"/>
      <c r="AA531" s="29"/>
      <c r="AB531" s="29"/>
      <c r="AC531" s="29"/>
      <c r="AD531" s="29"/>
      <c r="AE531" s="29"/>
    </row>
    <row r="532" spans="6:31" ht="16.5" x14ac:dyDescent="0.25">
      <c r="F532" s="22"/>
      <c r="G532" s="22"/>
      <c r="H532" s="22"/>
      <c r="I532" s="22"/>
      <c r="J532" s="22"/>
      <c r="K532" s="22"/>
      <c r="L532" s="22"/>
      <c r="M532" s="22"/>
      <c r="N532" s="22"/>
      <c r="O532" s="22"/>
      <c r="P532" s="22"/>
      <c r="Q532" s="22"/>
      <c r="R532" s="22"/>
      <c r="S532" s="22"/>
      <c r="T532" s="22"/>
      <c r="U532" s="22"/>
      <c r="V532" s="22"/>
      <c r="W532" s="29"/>
      <c r="X532" s="29"/>
      <c r="Y532" s="29"/>
      <c r="Z532" s="29"/>
      <c r="AA532" s="29"/>
      <c r="AB532" s="29"/>
      <c r="AC532" s="29"/>
      <c r="AD532" s="29"/>
      <c r="AE532" s="29"/>
    </row>
    <row r="533" spans="6:31" ht="16.5" x14ac:dyDescent="0.25">
      <c r="F533" s="22"/>
      <c r="G533" s="22"/>
      <c r="H533" s="22"/>
      <c r="I533" s="22"/>
      <c r="J533" s="22"/>
      <c r="K533" s="22"/>
      <c r="L533" s="22"/>
      <c r="M533" s="22"/>
      <c r="N533" s="22"/>
      <c r="O533" s="22"/>
      <c r="P533" s="22"/>
      <c r="Q533" s="22"/>
      <c r="R533" s="22"/>
      <c r="S533" s="22"/>
      <c r="T533" s="22"/>
      <c r="U533" s="22"/>
      <c r="V533" s="22"/>
      <c r="W533" s="29"/>
      <c r="X533" s="29"/>
      <c r="Y533" s="29"/>
      <c r="Z533" s="29"/>
      <c r="AA533" s="29"/>
      <c r="AB533" s="29"/>
      <c r="AC533" s="29"/>
      <c r="AD533" s="29"/>
      <c r="AE533" s="29"/>
    </row>
    <row r="534" spans="6:31" ht="16.5" x14ac:dyDescent="0.25">
      <c r="F534" s="22"/>
      <c r="G534" s="22"/>
      <c r="H534" s="22"/>
      <c r="I534" s="22"/>
      <c r="J534" s="22"/>
      <c r="K534" s="22"/>
      <c r="L534" s="22"/>
      <c r="M534" s="22"/>
      <c r="N534" s="22"/>
      <c r="O534" s="22"/>
      <c r="P534" s="22"/>
      <c r="Q534" s="22"/>
      <c r="R534" s="22"/>
      <c r="S534" s="22"/>
      <c r="T534" s="22"/>
      <c r="U534" s="22"/>
      <c r="V534" s="22"/>
      <c r="W534" s="29"/>
      <c r="X534" s="29"/>
      <c r="Y534" s="29"/>
      <c r="Z534" s="29"/>
      <c r="AA534" s="29"/>
      <c r="AB534" s="29"/>
      <c r="AC534" s="29"/>
      <c r="AD534" s="29"/>
      <c r="AE534" s="29"/>
    </row>
    <row r="535" spans="6:31" ht="16.5" x14ac:dyDescent="0.25">
      <c r="F535" s="22"/>
      <c r="G535" s="22"/>
      <c r="H535" s="22"/>
      <c r="I535" s="22"/>
      <c r="J535" s="22"/>
      <c r="K535" s="22"/>
      <c r="L535" s="22"/>
      <c r="M535" s="22"/>
      <c r="N535" s="22"/>
      <c r="O535" s="22"/>
      <c r="P535" s="22"/>
      <c r="Q535" s="22"/>
      <c r="R535" s="22"/>
      <c r="S535" s="22"/>
      <c r="T535" s="22"/>
      <c r="U535" s="22"/>
      <c r="V535" s="22"/>
      <c r="W535" s="29"/>
      <c r="X535" s="29"/>
      <c r="Y535" s="29"/>
      <c r="Z535" s="29"/>
      <c r="AA535" s="29"/>
      <c r="AB535" s="29"/>
      <c r="AC535" s="29"/>
      <c r="AD535" s="29"/>
      <c r="AE535" s="29"/>
    </row>
    <row r="536" spans="6:31" ht="16.5" x14ac:dyDescent="0.25">
      <c r="F536" s="22"/>
      <c r="G536" s="22"/>
      <c r="H536" s="22"/>
      <c r="I536" s="22"/>
      <c r="J536" s="22"/>
      <c r="K536" s="22"/>
      <c r="L536" s="22"/>
      <c r="M536" s="22"/>
      <c r="N536" s="22"/>
      <c r="O536" s="22"/>
      <c r="P536" s="22"/>
      <c r="Q536" s="22"/>
      <c r="R536" s="22"/>
      <c r="S536" s="22"/>
      <c r="T536" s="22"/>
      <c r="U536" s="22"/>
      <c r="V536" s="22"/>
      <c r="W536" s="29"/>
      <c r="X536" s="29"/>
      <c r="Y536" s="29"/>
      <c r="Z536" s="29"/>
      <c r="AA536" s="29"/>
      <c r="AB536" s="29"/>
      <c r="AC536" s="29"/>
      <c r="AD536" s="29"/>
      <c r="AE536" s="29"/>
    </row>
    <row r="537" spans="6:31" ht="16.5" x14ac:dyDescent="0.25">
      <c r="F537" s="22"/>
      <c r="G537" s="22"/>
      <c r="H537" s="22"/>
      <c r="I537" s="22"/>
      <c r="J537" s="22"/>
      <c r="K537" s="22"/>
      <c r="L537" s="22"/>
      <c r="M537" s="22"/>
      <c r="N537" s="22"/>
      <c r="O537" s="22"/>
      <c r="P537" s="22"/>
      <c r="Q537" s="22"/>
      <c r="R537" s="22"/>
      <c r="S537" s="22"/>
      <c r="T537" s="22"/>
      <c r="U537" s="22"/>
      <c r="V537" s="22"/>
      <c r="W537" s="29"/>
      <c r="X537" s="29"/>
      <c r="Y537" s="29"/>
      <c r="Z537" s="29"/>
      <c r="AA537" s="29"/>
      <c r="AB537" s="29"/>
      <c r="AC537" s="29"/>
      <c r="AD537" s="29"/>
      <c r="AE537" s="29"/>
    </row>
    <row r="538" spans="6:31" ht="16.5" x14ac:dyDescent="0.25">
      <c r="F538" s="22"/>
      <c r="G538" s="22"/>
      <c r="H538" s="22"/>
      <c r="I538" s="22"/>
      <c r="J538" s="22"/>
      <c r="K538" s="22"/>
      <c r="L538" s="22"/>
      <c r="M538" s="22"/>
      <c r="N538" s="22"/>
      <c r="O538" s="22"/>
      <c r="P538" s="22"/>
      <c r="Q538" s="22"/>
      <c r="R538" s="22"/>
      <c r="S538" s="22"/>
      <c r="T538" s="22"/>
      <c r="U538" s="22"/>
      <c r="V538" s="22"/>
      <c r="W538" s="29"/>
      <c r="X538" s="29"/>
      <c r="Y538" s="29"/>
      <c r="Z538" s="29"/>
      <c r="AA538" s="29"/>
      <c r="AB538" s="29"/>
      <c r="AC538" s="29"/>
      <c r="AD538" s="29"/>
      <c r="AE538" s="29"/>
    </row>
    <row r="539" spans="6:31" ht="16.5" x14ac:dyDescent="0.25">
      <c r="F539" s="22"/>
      <c r="G539" s="22"/>
      <c r="H539" s="22"/>
      <c r="I539" s="22"/>
      <c r="J539" s="22"/>
      <c r="K539" s="22"/>
      <c r="L539" s="22"/>
      <c r="M539" s="22"/>
      <c r="N539" s="22"/>
      <c r="O539" s="22"/>
      <c r="P539" s="22"/>
      <c r="Q539" s="22"/>
      <c r="R539" s="22"/>
      <c r="S539" s="22"/>
      <c r="T539" s="22"/>
      <c r="U539" s="22"/>
      <c r="V539" s="22"/>
      <c r="W539" s="29"/>
      <c r="X539" s="29"/>
      <c r="Y539" s="29"/>
      <c r="Z539" s="29"/>
      <c r="AA539" s="29"/>
      <c r="AB539" s="29"/>
      <c r="AC539" s="29"/>
      <c r="AD539" s="29"/>
      <c r="AE539" s="29"/>
    </row>
    <row r="540" spans="6:31" ht="16.5" x14ac:dyDescent="0.25">
      <c r="F540" s="22"/>
      <c r="G540" s="22"/>
      <c r="H540" s="22"/>
      <c r="I540" s="22"/>
      <c r="J540" s="22"/>
      <c r="K540" s="22"/>
      <c r="L540" s="22"/>
      <c r="M540" s="22"/>
      <c r="N540" s="22"/>
      <c r="O540" s="22"/>
      <c r="P540" s="22"/>
      <c r="Q540" s="22"/>
      <c r="R540" s="22"/>
      <c r="S540" s="22"/>
      <c r="T540" s="22"/>
      <c r="U540" s="22"/>
      <c r="V540" s="22"/>
      <c r="W540" s="29"/>
      <c r="X540" s="29"/>
      <c r="Y540" s="29"/>
      <c r="Z540" s="29"/>
      <c r="AA540" s="29"/>
      <c r="AB540" s="29"/>
      <c r="AC540" s="29"/>
      <c r="AD540" s="29"/>
      <c r="AE540" s="29"/>
    </row>
    <row r="541" spans="6:31" ht="16.5" x14ac:dyDescent="0.25">
      <c r="F541" s="22"/>
      <c r="G541" s="22"/>
      <c r="H541" s="22"/>
      <c r="I541" s="22"/>
      <c r="J541" s="22"/>
      <c r="K541" s="22"/>
      <c r="L541" s="22"/>
      <c r="M541" s="22"/>
      <c r="N541" s="22"/>
      <c r="O541" s="22"/>
      <c r="P541" s="22"/>
      <c r="Q541" s="22"/>
      <c r="R541" s="22"/>
      <c r="S541" s="22"/>
      <c r="T541" s="22"/>
      <c r="U541" s="22"/>
      <c r="V541" s="22"/>
      <c r="W541" s="29"/>
      <c r="X541" s="29"/>
      <c r="Y541" s="29"/>
      <c r="Z541" s="29"/>
      <c r="AA541" s="29"/>
      <c r="AB541" s="29"/>
      <c r="AC541" s="29"/>
      <c r="AD541" s="29"/>
      <c r="AE541" s="29"/>
    </row>
    <row r="542" spans="6:31" ht="16.5" x14ac:dyDescent="0.25">
      <c r="F542" s="22"/>
      <c r="G542" s="22"/>
      <c r="H542" s="22"/>
      <c r="I542" s="22"/>
      <c r="J542" s="22"/>
      <c r="K542" s="22"/>
      <c r="L542" s="22"/>
      <c r="M542" s="22"/>
      <c r="N542" s="22"/>
      <c r="O542" s="22"/>
      <c r="P542" s="22"/>
      <c r="Q542" s="22"/>
      <c r="R542" s="22"/>
      <c r="S542" s="22"/>
      <c r="T542" s="22"/>
      <c r="U542" s="22"/>
      <c r="V542" s="22"/>
      <c r="W542" s="29"/>
      <c r="X542" s="29"/>
      <c r="Y542" s="29"/>
      <c r="Z542" s="29"/>
      <c r="AA542" s="29"/>
      <c r="AB542" s="29"/>
      <c r="AC542" s="29"/>
      <c r="AD542" s="29"/>
      <c r="AE542" s="29"/>
    </row>
    <row r="543" spans="6:31" ht="16.5" x14ac:dyDescent="0.25">
      <c r="F543" s="22"/>
      <c r="G543" s="22"/>
      <c r="H543" s="22"/>
      <c r="I543" s="22"/>
      <c r="J543" s="22"/>
      <c r="K543" s="22"/>
      <c r="L543" s="22"/>
      <c r="M543" s="22"/>
      <c r="N543" s="22"/>
      <c r="O543" s="22"/>
      <c r="P543" s="22"/>
      <c r="Q543" s="22"/>
      <c r="R543" s="22"/>
      <c r="S543" s="22"/>
      <c r="T543" s="22"/>
      <c r="U543" s="22"/>
      <c r="V543" s="22"/>
      <c r="W543" s="29"/>
      <c r="X543" s="29"/>
      <c r="Y543" s="29"/>
      <c r="Z543" s="29"/>
      <c r="AA543" s="29"/>
      <c r="AB543" s="29"/>
      <c r="AC543" s="29"/>
      <c r="AD543" s="29"/>
      <c r="AE543" s="29"/>
    </row>
    <row r="544" spans="6:31" ht="16.5" x14ac:dyDescent="0.25">
      <c r="F544" s="22"/>
      <c r="G544" s="22"/>
      <c r="H544" s="22"/>
      <c r="I544" s="22"/>
      <c r="J544" s="22"/>
      <c r="K544" s="22"/>
      <c r="L544" s="22"/>
      <c r="M544" s="22"/>
      <c r="N544" s="22"/>
      <c r="O544" s="22"/>
      <c r="P544" s="22"/>
      <c r="Q544" s="22"/>
      <c r="R544" s="22"/>
      <c r="S544" s="22"/>
      <c r="T544" s="22"/>
      <c r="U544" s="22"/>
      <c r="V544" s="22"/>
      <c r="W544" s="29"/>
      <c r="X544" s="29"/>
      <c r="Y544" s="29"/>
      <c r="Z544" s="29"/>
      <c r="AA544" s="29"/>
      <c r="AB544" s="29"/>
      <c r="AC544" s="29"/>
      <c r="AD544" s="29"/>
      <c r="AE544" s="29"/>
    </row>
    <row r="545" spans="6:31" ht="16.5" x14ac:dyDescent="0.25">
      <c r="F545" s="22"/>
      <c r="G545" s="22"/>
      <c r="H545" s="22"/>
      <c r="I545" s="22"/>
      <c r="J545" s="22"/>
      <c r="K545" s="22"/>
      <c r="L545" s="22"/>
      <c r="M545" s="22"/>
      <c r="N545" s="22"/>
      <c r="O545" s="22"/>
      <c r="P545" s="22"/>
      <c r="Q545" s="22"/>
      <c r="R545" s="22"/>
      <c r="S545" s="22"/>
      <c r="T545" s="22"/>
      <c r="U545" s="22"/>
      <c r="V545" s="22"/>
      <c r="W545" s="29"/>
      <c r="X545" s="29"/>
      <c r="Y545" s="29"/>
      <c r="Z545" s="29"/>
      <c r="AA545" s="29"/>
      <c r="AB545" s="29"/>
      <c r="AC545" s="29"/>
      <c r="AD545" s="29"/>
      <c r="AE545" s="29"/>
    </row>
    <row r="546" spans="6:31" ht="16.5" x14ac:dyDescent="0.25">
      <c r="F546" s="22"/>
      <c r="G546" s="22"/>
      <c r="H546" s="22"/>
      <c r="I546" s="22"/>
      <c r="J546" s="22"/>
      <c r="K546" s="22"/>
      <c r="L546" s="22"/>
      <c r="M546" s="22"/>
      <c r="N546" s="22"/>
      <c r="O546" s="22"/>
      <c r="P546" s="22"/>
      <c r="Q546" s="22"/>
      <c r="R546" s="22"/>
      <c r="S546" s="22"/>
      <c r="T546" s="22"/>
      <c r="U546" s="22"/>
      <c r="V546" s="22"/>
      <c r="W546" s="29"/>
      <c r="X546" s="29"/>
      <c r="Y546" s="29"/>
      <c r="Z546" s="29"/>
      <c r="AA546" s="29"/>
      <c r="AB546" s="29"/>
      <c r="AC546" s="29"/>
      <c r="AD546" s="29"/>
      <c r="AE546" s="29"/>
    </row>
    <row r="547" spans="6:31" ht="16.5" x14ac:dyDescent="0.25">
      <c r="F547" s="22"/>
      <c r="G547" s="22"/>
      <c r="H547" s="22"/>
      <c r="I547" s="22"/>
      <c r="J547" s="22"/>
      <c r="K547" s="22"/>
      <c r="L547" s="22"/>
      <c r="M547" s="22"/>
      <c r="N547" s="22"/>
      <c r="O547" s="22"/>
      <c r="P547" s="22"/>
      <c r="Q547" s="22"/>
      <c r="R547" s="22"/>
      <c r="S547" s="22"/>
      <c r="T547" s="22"/>
      <c r="U547" s="22"/>
      <c r="V547" s="22"/>
      <c r="W547" s="29"/>
      <c r="X547" s="29"/>
      <c r="Y547" s="29"/>
      <c r="Z547" s="29"/>
      <c r="AA547" s="29"/>
      <c r="AB547" s="29"/>
      <c r="AC547" s="29"/>
      <c r="AD547" s="29"/>
      <c r="AE547" s="29"/>
    </row>
    <row r="548" spans="6:31" ht="16.5" x14ac:dyDescent="0.25">
      <c r="F548" s="22"/>
      <c r="G548" s="22"/>
      <c r="H548" s="22"/>
      <c r="I548" s="22"/>
      <c r="J548" s="22"/>
      <c r="K548" s="22"/>
      <c r="L548" s="22"/>
      <c r="M548" s="22"/>
      <c r="N548" s="22"/>
      <c r="O548" s="22"/>
      <c r="P548" s="22"/>
      <c r="Q548" s="22"/>
      <c r="R548" s="22"/>
      <c r="S548" s="22"/>
      <c r="T548" s="22"/>
      <c r="U548" s="22"/>
      <c r="V548" s="22"/>
      <c r="W548" s="29"/>
      <c r="X548" s="29"/>
      <c r="Y548" s="29"/>
      <c r="Z548" s="29"/>
      <c r="AA548" s="29"/>
      <c r="AB548" s="29"/>
      <c r="AC548" s="29"/>
      <c r="AD548" s="29"/>
      <c r="AE548" s="29"/>
    </row>
    <row r="549" spans="6:31" ht="16.5" x14ac:dyDescent="0.25">
      <c r="F549" s="22"/>
      <c r="G549" s="22"/>
      <c r="H549" s="22"/>
      <c r="I549" s="22"/>
      <c r="J549" s="22"/>
      <c r="K549" s="22"/>
      <c r="L549" s="22"/>
      <c r="M549" s="22"/>
      <c r="N549" s="22"/>
      <c r="O549" s="22"/>
      <c r="P549" s="22"/>
      <c r="Q549" s="22"/>
      <c r="R549" s="22"/>
      <c r="S549" s="22"/>
      <c r="T549" s="22"/>
      <c r="U549" s="22"/>
      <c r="V549" s="22"/>
      <c r="W549" s="29"/>
      <c r="X549" s="29"/>
      <c r="Y549" s="29"/>
      <c r="Z549" s="29"/>
      <c r="AA549" s="29"/>
      <c r="AB549" s="29"/>
      <c r="AC549" s="29"/>
      <c r="AD549" s="29"/>
      <c r="AE549" s="29"/>
    </row>
    <row r="550" spans="6:31" ht="16.5" x14ac:dyDescent="0.25">
      <c r="F550" s="22"/>
      <c r="G550" s="22"/>
      <c r="H550" s="22"/>
      <c r="I550" s="22"/>
      <c r="J550" s="22"/>
      <c r="K550" s="22"/>
      <c r="L550" s="22"/>
      <c r="M550" s="22"/>
      <c r="N550" s="22"/>
      <c r="O550" s="22"/>
      <c r="P550" s="22"/>
      <c r="Q550" s="22"/>
      <c r="R550" s="22"/>
      <c r="S550" s="22"/>
      <c r="T550" s="22"/>
      <c r="U550" s="22"/>
      <c r="V550" s="22"/>
      <c r="W550" s="29"/>
      <c r="X550" s="29"/>
      <c r="Y550" s="29"/>
      <c r="Z550" s="29"/>
      <c r="AA550" s="29"/>
      <c r="AB550" s="29"/>
      <c r="AC550" s="29"/>
      <c r="AD550" s="29"/>
      <c r="AE550" s="29"/>
    </row>
    <row r="551" spans="6:31" ht="16.5" x14ac:dyDescent="0.25">
      <c r="F551" s="22"/>
      <c r="G551" s="22"/>
      <c r="H551" s="22"/>
      <c r="I551" s="22"/>
      <c r="J551" s="22"/>
      <c r="K551" s="22"/>
      <c r="L551" s="22"/>
      <c r="M551" s="22"/>
      <c r="N551" s="22"/>
      <c r="O551" s="22"/>
      <c r="P551" s="22"/>
      <c r="Q551" s="22"/>
      <c r="R551" s="22"/>
      <c r="S551" s="22"/>
      <c r="T551" s="22"/>
      <c r="U551" s="22"/>
      <c r="V551" s="22"/>
      <c r="W551" s="29"/>
      <c r="X551" s="29"/>
      <c r="Y551" s="29"/>
      <c r="Z551" s="29"/>
      <c r="AA551" s="29"/>
      <c r="AB551" s="29"/>
      <c r="AC551" s="29"/>
      <c r="AD551" s="29"/>
      <c r="AE551" s="29"/>
    </row>
    <row r="552" spans="6:31" ht="16.5" x14ac:dyDescent="0.25">
      <c r="F552" s="22"/>
      <c r="G552" s="22"/>
      <c r="H552" s="22"/>
      <c r="I552" s="22"/>
      <c r="J552" s="22"/>
      <c r="K552" s="22"/>
      <c r="L552" s="22"/>
      <c r="M552" s="22"/>
      <c r="N552" s="22"/>
      <c r="O552" s="22"/>
      <c r="P552" s="22"/>
      <c r="Q552" s="22"/>
      <c r="R552" s="22"/>
      <c r="S552" s="22"/>
      <c r="T552" s="22"/>
      <c r="U552" s="22"/>
      <c r="V552" s="22"/>
      <c r="W552" s="29"/>
      <c r="X552" s="29"/>
      <c r="Y552" s="29"/>
      <c r="Z552" s="29"/>
      <c r="AA552" s="29"/>
      <c r="AB552" s="29"/>
      <c r="AC552" s="29"/>
      <c r="AD552" s="29"/>
      <c r="AE552" s="29"/>
    </row>
    <row r="553" spans="6:31" ht="16.5" x14ac:dyDescent="0.25">
      <c r="F553" s="22"/>
      <c r="G553" s="22"/>
      <c r="H553" s="22"/>
      <c r="I553" s="22"/>
      <c r="J553" s="22"/>
      <c r="K553" s="22"/>
      <c r="L553" s="22"/>
      <c r="M553" s="22"/>
      <c r="N553" s="22"/>
      <c r="O553" s="22"/>
      <c r="P553" s="22"/>
      <c r="Q553" s="22"/>
      <c r="R553" s="22"/>
      <c r="S553" s="22"/>
      <c r="T553" s="22"/>
      <c r="U553" s="22"/>
      <c r="V553" s="22"/>
      <c r="W553" s="29"/>
      <c r="X553" s="29"/>
      <c r="Y553" s="29"/>
      <c r="Z553" s="29"/>
      <c r="AA553" s="29"/>
      <c r="AB553" s="29"/>
      <c r="AC553" s="29"/>
      <c r="AD553" s="29"/>
      <c r="AE553" s="29"/>
    </row>
    <row r="554" spans="6:31" ht="16.5" x14ac:dyDescent="0.25">
      <c r="F554" s="22"/>
      <c r="G554" s="22"/>
      <c r="H554" s="22"/>
      <c r="I554" s="22"/>
      <c r="J554" s="22"/>
      <c r="K554" s="22"/>
      <c r="L554" s="22"/>
      <c r="M554" s="22"/>
      <c r="N554" s="22"/>
      <c r="O554" s="22"/>
      <c r="P554" s="22"/>
      <c r="Q554" s="22"/>
      <c r="R554" s="22"/>
      <c r="S554" s="22"/>
      <c r="T554" s="22"/>
      <c r="U554" s="22"/>
      <c r="V554" s="22"/>
      <c r="W554" s="29"/>
      <c r="X554" s="29"/>
      <c r="Y554" s="29"/>
      <c r="Z554" s="29"/>
      <c r="AA554" s="29"/>
      <c r="AB554" s="29"/>
      <c r="AC554" s="29"/>
      <c r="AD554" s="29"/>
      <c r="AE554" s="29"/>
    </row>
    <row r="555" spans="6:31" ht="16.5" x14ac:dyDescent="0.25">
      <c r="F555" s="22"/>
      <c r="G555" s="22"/>
      <c r="H555" s="22"/>
      <c r="I555" s="22"/>
      <c r="J555" s="22"/>
      <c r="K555" s="22"/>
      <c r="L555" s="22"/>
      <c r="M555" s="22"/>
      <c r="N555" s="22"/>
      <c r="O555" s="22"/>
      <c r="P555" s="22"/>
      <c r="Q555" s="22"/>
      <c r="R555" s="22"/>
      <c r="S555" s="22"/>
      <c r="T555" s="22"/>
      <c r="U555" s="22"/>
      <c r="V555" s="22"/>
      <c r="W555" s="29"/>
      <c r="X555" s="29"/>
      <c r="Y555" s="29"/>
      <c r="Z555" s="29"/>
      <c r="AA555" s="29"/>
      <c r="AB555" s="29"/>
      <c r="AC555" s="29"/>
      <c r="AD555" s="29"/>
      <c r="AE555" s="29"/>
    </row>
    <row r="556" spans="6:31" ht="16.5" x14ac:dyDescent="0.25">
      <c r="F556" s="22"/>
      <c r="G556" s="22"/>
      <c r="H556" s="22"/>
      <c r="I556" s="22"/>
      <c r="J556" s="22"/>
      <c r="K556" s="22"/>
      <c r="L556" s="22"/>
      <c r="M556" s="22"/>
      <c r="N556" s="22"/>
      <c r="O556" s="22"/>
      <c r="P556" s="22"/>
      <c r="Q556" s="22"/>
      <c r="R556" s="22"/>
      <c r="S556" s="22"/>
      <c r="T556" s="22"/>
      <c r="U556" s="22"/>
      <c r="V556" s="22"/>
      <c r="W556" s="29"/>
      <c r="X556" s="29"/>
      <c r="Y556" s="29"/>
      <c r="Z556" s="29"/>
      <c r="AA556" s="29"/>
      <c r="AB556" s="29"/>
      <c r="AC556" s="29"/>
      <c r="AD556" s="29"/>
      <c r="AE556" s="29"/>
    </row>
    <row r="557" spans="6:31" ht="16.5" x14ac:dyDescent="0.25">
      <c r="F557" s="22"/>
      <c r="G557" s="22"/>
      <c r="H557" s="22"/>
      <c r="I557" s="22"/>
      <c r="J557" s="22"/>
      <c r="K557" s="22"/>
      <c r="L557" s="22"/>
      <c r="M557" s="22"/>
      <c r="N557" s="22"/>
      <c r="O557" s="22"/>
      <c r="P557" s="22"/>
      <c r="Q557" s="22"/>
      <c r="R557" s="22"/>
      <c r="S557" s="22"/>
      <c r="T557" s="22"/>
      <c r="U557" s="22"/>
      <c r="V557" s="22"/>
      <c r="W557" s="29"/>
      <c r="X557" s="29"/>
      <c r="Y557" s="29"/>
      <c r="Z557" s="29"/>
      <c r="AA557" s="29"/>
      <c r="AB557" s="29"/>
      <c r="AC557" s="29"/>
      <c r="AD557" s="29"/>
      <c r="AE557" s="29"/>
    </row>
    <row r="558" spans="6:31" ht="16.5" x14ac:dyDescent="0.25">
      <c r="F558" s="22"/>
      <c r="G558" s="22"/>
      <c r="H558" s="22"/>
      <c r="I558" s="22"/>
      <c r="J558" s="22"/>
      <c r="K558" s="22"/>
      <c r="L558" s="22"/>
      <c r="M558" s="22"/>
      <c r="N558" s="22"/>
      <c r="O558" s="22"/>
      <c r="P558" s="22"/>
      <c r="Q558" s="22"/>
      <c r="R558" s="22"/>
      <c r="S558" s="22"/>
      <c r="T558" s="22"/>
      <c r="U558" s="22"/>
      <c r="V558" s="22"/>
      <c r="W558" s="29"/>
      <c r="X558" s="29"/>
      <c r="Y558" s="29"/>
      <c r="Z558" s="29"/>
      <c r="AA558" s="29"/>
      <c r="AB558" s="29"/>
      <c r="AC558" s="29"/>
      <c r="AD558" s="29"/>
      <c r="AE558" s="29"/>
    </row>
    <row r="559" spans="6:31" ht="16.5" x14ac:dyDescent="0.25">
      <c r="F559" s="22"/>
      <c r="G559" s="22"/>
      <c r="H559" s="22"/>
      <c r="I559" s="22"/>
      <c r="J559" s="22"/>
      <c r="K559" s="22"/>
      <c r="L559" s="22"/>
      <c r="M559" s="22"/>
      <c r="N559" s="22"/>
      <c r="O559" s="22"/>
      <c r="P559" s="22"/>
      <c r="Q559" s="22"/>
      <c r="R559" s="22"/>
      <c r="S559" s="22"/>
      <c r="T559" s="22"/>
      <c r="U559" s="22"/>
      <c r="V559" s="22"/>
      <c r="W559" s="29"/>
      <c r="X559" s="29"/>
      <c r="Y559" s="29"/>
      <c r="Z559" s="29"/>
      <c r="AA559" s="29"/>
      <c r="AB559" s="29"/>
      <c r="AC559" s="29"/>
      <c r="AD559" s="29"/>
      <c r="AE559" s="29"/>
    </row>
    <row r="560" spans="6:31" ht="16.5" x14ac:dyDescent="0.25">
      <c r="F560" s="22"/>
      <c r="G560" s="22"/>
      <c r="H560" s="22"/>
      <c r="I560" s="22"/>
      <c r="J560" s="22"/>
      <c r="K560" s="22"/>
      <c r="L560" s="22"/>
      <c r="M560" s="22"/>
      <c r="N560" s="22"/>
      <c r="O560" s="22"/>
      <c r="P560" s="22"/>
      <c r="Q560" s="22"/>
      <c r="R560" s="22"/>
      <c r="S560" s="22"/>
      <c r="T560" s="22"/>
      <c r="U560" s="22"/>
      <c r="V560" s="22"/>
      <c r="W560" s="29"/>
      <c r="X560" s="29"/>
      <c r="Y560" s="29"/>
      <c r="Z560" s="29"/>
      <c r="AA560" s="29"/>
      <c r="AB560" s="29"/>
      <c r="AC560" s="29"/>
      <c r="AD560" s="29"/>
      <c r="AE560" s="29"/>
    </row>
    <row r="561" spans="6:31" ht="16.5" x14ac:dyDescent="0.25">
      <c r="F561" s="22"/>
      <c r="G561" s="22"/>
      <c r="H561" s="22"/>
      <c r="I561" s="22"/>
      <c r="J561" s="22"/>
      <c r="K561" s="22"/>
      <c r="L561" s="22"/>
      <c r="M561" s="22"/>
      <c r="N561" s="22"/>
      <c r="O561" s="22"/>
      <c r="P561" s="22"/>
      <c r="Q561" s="22"/>
      <c r="R561" s="22"/>
      <c r="S561" s="22"/>
      <c r="T561" s="22"/>
      <c r="U561" s="22"/>
      <c r="V561" s="22"/>
      <c r="W561" s="29"/>
      <c r="X561" s="29"/>
      <c r="Y561" s="29"/>
      <c r="Z561" s="29"/>
      <c r="AA561" s="29"/>
      <c r="AB561" s="29"/>
      <c r="AC561" s="29"/>
      <c r="AD561" s="29"/>
      <c r="AE561" s="29"/>
    </row>
    <row r="562" spans="6:31" ht="16.5" x14ac:dyDescent="0.25">
      <c r="F562" s="22"/>
      <c r="G562" s="22"/>
      <c r="H562" s="22"/>
      <c r="I562" s="22"/>
      <c r="J562" s="22"/>
      <c r="K562" s="22"/>
      <c r="L562" s="22"/>
      <c r="M562" s="22"/>
      <c r="N562" s="22"/>
      <c r="O562" s="22"/>
      <c r="P562" s="22"/>
      <c r="Q562" s="22"/>
      <c r="R562" s="22"/>
      <c r="S562" s="22"/>
      <c r="T562" s="22"/>
      <c r="U562" s="22"/>
      <c r="V562" s="22"/>
      <c r="W562" s="29"/>
      <c r="X562" s="29"/>
      <c r="Y562" s="29"/>
      <c r="Z562" s="29"/>
      <c r="AA562" s="29"/>
      <c r="AB562" s="29"/>
      <c r="AC562" s="29"/>
      <c r="AD562" s="29"/>
      <c r="AE562" s="29"/>
    </row>
    <row r="563" spans="6:31" ht="16.5" x14ac:dyDescent="0.25">
      <c r="F563" s="22"/>
      <c r="G563" s="22"/>
      <c r="H563" s="22"/>
      <c r="I563" s="22"/>
      <c r="J563" s="22"/>
      <c r="K563" s="22"/>
      <c r="L563" s="22"/>
      <c r="M563" s="22"/>
      <c r="N563" s="22"/>
      <c r="O563" s="22"/>
      <c r="P563" s="22"/>
      <c r="Q563" s="22"/>
      <c r="R563" s="22"/>
      <c r="S563" s="22"/>
      <c r="T563" s="22"/>
      <c r="U563" s="22"/>
      <c r="V563" s="22"/>
      <c r="W563" s="29"/>
      <c r="X563" s="29"/>
      <c r="Y563" s="29"/>
      <c r="Z563" s="29"/>
      <c r="AA563" s="29"/>
      <c r="AB563" s="29"/>
      <c r="AC563" s="29"/>
      <c r="AD563" s="29"/>
      <c r="AE563" s="29"/>
    </row>
    <row r="564" spans="6:31" ht="16.5" x14ac:dyDescent="0.25">
      <c r="F564" s="22"/>
      <c r="G564" s="22"/>
      <c r="H564" s="22"/>
      <c r="I564" s="22"/>
      <c r="J564" s="22"/>
      <c r="K564" s="22"/>
      <c r="L564" s="22"/>
      <c r="M564" s="22"/>
      <c r="N564" s="22"/>
      <c r="O564" s="22"/>
      <c r="P564" s="22"/>
      <c r="Q564" s="22"/>
      <c r="R564" s="22"/>
      <c r="S564" s="22"/>
      <c r="T564" s="22"/>
      <c r="U564" s="22"/>
      <c r="V564" s="22"/>
      <c r="W564" s="29"/>
      <c r="X564" s="29"/>
      <c r="Y564" s="29"/>
      <c r="Z564" s="29"/>
      <c r="AA564" s="29"/>
      <c r="AB564" s="29"/>
      <c r="AC564" s="29"/>
      <c r="AD564" s="29"/>
      <c r="AE564" s="29"/>
    </row>
    <row r="565" spans="6:31" ht="16.5" x14ac:dyDescent="0.25">
      <c r="F565" s="22"/>
      <c r="G565" s="22"/>
      <c r="H565" s="22"/>
      <c r="I565" s="22"/>
      <c r="J565" s="22"/>
      <c r="K565" s="22"/>
      <c r="L565" s="22"/>
      <c r="M565" s="22"/>
      <c r="N565" s="22"/>
      <c r="O565" s="22"/>
      <c r="P565" s="22"/>
      <c r="Q565" s="22"/>
      <c r="R565" s="22"/>
      <c r="S565" s="22"/>
      <c r="T565" s="22"/>
      <c r="U565" s="22"/>
      <c r="V565" s="22"/>
      <c r="W565" s="29"/>
      <c r="X565" s="29"/>
      <c r="Y565" s="29"/>
      <c r="Z565" s="29"/>
      <c r="AA565" s="29"/>
      <c r="AB565" s="29"/>
      <c r="AC565" s="29"/>
      <c r="AD565" s="29"/>
      <c r="AE565" s="29"/>
    </row>
    <row r="566" spans="6:31" ht="16.5" x14ac:dyDescent="0.25">
      <c r="F566" s="22"/>
      <c r="G566" s="22"/>
      <c r="H566" s="22"/>
      <c r="I566" s="22"/>
      <c r="J566" s="22"/>
      <c r="K566" s="22"/>
      <c r="L566" s="22"/>
      <c r="M566" s="22"/>
      <c r="N566" s="22"/>
      <c r="O566" s="22"/>
      <c r="P566" s="22"/>
      <c r="Q566" s="22"/>
      <c r="R566" s="22"/>
      <c r="S566" s="22"/>
      <c r="T566" s="22"/>
      <c r="U566" s="22"/>
      <c r="V566" s="22"/>
      <c r="W566" s="29"/>
      <c r="X566" s="29"/>
      <c r="Y566" s="29"/>
      <c r="Z566" s="29"/>
      <c r="AA566" s="29"/>
      <c r="AB566" s="29"/>
      <c r="AC566" s="29"/>
      <c r="AD566" s="29"/>
      <c r="AE566" s="29"/>
    </row>
    <row r="567" spans="6:31" ht="16.5" x14ac:dyDescent="0.25">
      <c r="F567" s="22"/>
      <c r="G567" s="22"/>
      <c r="H567" s="22"/>
      <c r="I567" s="22"/>
      <c r="J567" s="22"/>
      <c r="K567" s="22"/>
      <c r="L567" s="22"/>
      <c r="M567" s="22"/>
      <c r="N567" s="22"/>
      <c r="O567" s="22"/>
      <c r="P567" s="22"/>
      <c r="Q567" s="22"/>
      <c r="R567" s="22"/>
      <c r="S567" s="22"/>
      <c r="T567" s="22"/>
      <c r="U567" s="22"/>
      <c r="V567" s="22"/>
      <c r="W567" s="29"/>
      <c r="X567" s="29"/>
      <c r="Y567" s="29"/>
      <c r="Z567" s="29"/>
      <c r="AA567" s="29"/>
      <c r="AB567" s="29"/>
      <c r="AC567" s="29"/>
      <c r="AD567" s="29"/>
      <c r="AE567" s="29"/>
    </row>
    <row r="568" spans="6:31" ht="16.5" x14ac:dyDescent="0.25">
      <c r="F568" s="22"/>
      <c r="G568" s="22"/>
      <c r="H568" s="22"/>
      <c r="I568" s="22"/>
      <c r="J568" s="22"/>
      <c r="K568" s="22"/>
      <c r="L568" s="22"/>
      <c r="M568" s="22"/>
      <c r="N568" s="22"/>
      <c r="O568" s="22"/>
      <c r="P568" s="22"/>
      <c r="Q568" s="22"/>
      <c r="R568" s="22"/>
      <c r="S568" s="22"/>
      <c r="T568" s="22"/>
      <c r="U568" s="22"/>
      <c r="V568" s="22"/>
      <c r="W568" s="29"/>
      <c r="X568" s="29"/>
      <c r="Y568" s="29"/>
      <c r="Z568" s="29"/>
      <c r="AA568" s="29"/>
      <c r="AB568" s="29"/>
      <c r="AC568" s="29"/>
      <c r="AD568" s="29"/>
      <c r="AE568" s="29"/>
    </row>
    <row r="569" spans="6:31" ht="16.5" x14ac:dyDescent="0.25">
      <c r="F569" s="22"/>
      <c r="G569" s="22"/>
      <c r="H569" s="22"/>
      <c r="I569" s="22"/>
      <c r="J569" s="22"/>
      <c r="K569" s="22"/>
      <c r="L569" s="22"/>
      <c r="M569" s="22"/>
      <c r="N569" s="22"/>
      <c r="O569" s="22"/>
      <c r="P569" s="22"/>
      <c r="Q569" s="22"/>
      <c r="R569" s="22"/>
      <c r="S569" s="22"/>
      <c r="T569" s="22"/>
      <c r="U569" s="22"/>
      <c r="V569" s="22"/>
      <c r="W569" s="29"/>
      <c r="X569" s="29"/>
      <c r="Y569" s="29"/>
      <c r="Z569" s="29"/>
      <c r="AA569" s="29"/>
      <c r="AB569" s="29"/>
      <c r="AC569" s="29"/>
      <c r="AD569" s="29"/>
      <c r="AE569" s="29"/>
    </row>
    <row r="570" spans="6:31" ht="16.5" x14ac:dyDescent="0.25">
      <c r="F570" s="22"/>
      <c r="G570" s="22"/>
      <c r="H570" s="22"/>
      <c r="I570" s="22"/>
      <c r="J570" s="22"/>
      <c r="K570" s="22"/>
      <c r="L570" s="22"/>
      <c r="M570" s="22"/>
      <c r="N570" s="22"/>
      <c r="O570" s="22"/>
      <c r="P570" s="22"/>
      <c r="Q570" s="22"/>
      <c r="R570" s="22"/>
      <c r="S570" s="22"/>
      <c r="T570" s="22"/>
      <c r="U570" s="22"/>
      <c r="V570" s="22"/>
      <c r="W570" s="29"/>
      <c r="X570" s="29"/>
      <c r="Y570" s="29"/>
      <c r="Z570" s="29"/>
      <c r="AA570" s="29"/>
      <c r="AB570" s="29"/>
      <c r="AC570" s="29"/>
      <c r="AD570" s="29"/>
      <c r="AE570" s="29"/>
    </row>
    <row r="571" spans="6:31" ht="16.5" x14ac:dyDescent="0.25">
      <c r="F571" s="22"/>
      <c r="G571" s="22"/>
      <c r="H571" s="22"/>
      <c r="I571" s="22"/>
      <c r="J571" s="22"/>
      <c r="K571" s="22"/>
      <c r="L571" s="22"/>
      <c r="M571" s="22"/>
      <c r="N571" s="22"/>
      <c r="O571" s="22"/>
      <c r="P571" s="22"/>
      <c r="Q571" s="22"/>
      <c r="R571" s="22"/>
      <c r="S571" s="22"/>
      <c r="T571" s="22"/>
      <c r="U571" s="22"/>
      <c r="V571" s="22"/>
      <c r="W571" s="29"/>
      <c r="X571" s="29"/>
      <c r="Y571" s="29"/>
      <c r="Z571" s="29"/>
      <c r="AA571" s="29"/>
      <c r="AB571" s="29"/>
      <c r="AC571" s="29"/>
      <c r="AD571" s="29"/>
      <c r="AE571" s="29"/>
    </row>
    <row r="572" spans="6:31" ht="16.5" x14ac:dyDescent="0.25">
      <c r="F572" s="22"/>
      <c r="G572" s="22"/>
      <c r="H572" s="22"/>
      <c r="I572" s="22"/>
      <c r="J572" s="22"/>
      <c r="K572" s="22"/>
      <c r="L572" s="22"/>
      <c r="M572" s="22"/>
      <c r="N572" s="22"/>
      <c r="O572" s="22"/>
      <c r="P572" s="22"/>
      <c r="Q572" s="22"/>
      <c r="R572" s="22"/>
      <c r="S572" s="22"/>
      <c r="T572" s="22"/>
      <c r="U572" s="22"/>
      <c r="V572" s="22"/>
      <c r="W572" s="29"/>
      <c r="X572" s="29"/>
      <c r="Y572" s="29"/>
      <c r="Z572" s="29"/>
      <c r="AA572" s="29"/>
      <c r="AB572" s="29"/>
      <c r="AC572" s="29"/>
      <c r="AD572" s="29"/>
      <c r="AE572" s="29"/>
    </row>
    <row r="573" spans="6:31" ht="16.5" x14ac:dyDescent="0.25">
      <c r="F573" s="22"/>
      <c r="G573" s="22"/>
      <c r="H573" s="22"/>
      <c r="I573" s="22"/>
      <c r="J573" s="22"/>
      <c r="K573" s="22"/>
      <c r="L573" s="22"/>
      <c r="M573" s="22"/>
      <c r="N573" s="22"/>
      <c r="O573" s="22"/>
      <c r="P573" s="22"/>
      <c r="Q573" s="22"/>
      <c r="R573" s="22"/>
      <c r="S573" s="22"/>
      <c r="T573" s="22"/>
      <c r="U573" s="22"/>
      <c r="V573" s="22"/>
      <c r="W573" s="29"/>
      <c r="X573" s="29"/>
      <c r="Y573" s="29"/>
      <c r="Z573" s="29"/>
      <c r="AA573" s="29"/>
      <c r="AB573" s="29"/>
      <c r="AC573" s="29"/>
      <c r="AD573" s="29"/>
      <c r="AE573" s="29"/>
    </row>
    <row r="574" spans="6:31" ht="16.5" x14ac:dyDescent="0.25">
      <c r="F574" s="22"/>
      <c r="G574" s="22"/>
      <c r="H574" s="22"/>
      <c r="I574" s="22"/>
      <c r="J574" s="22"/>
      <c r="K574" s="22"/>
      <c r="L574" s="22"/>
      <c r="M574" s="22"/>
      <c r="N574" s="22"/>
      <c r="O574" s="22"/>
      <c r="P574" s="22"/>
      <c r="Q574" s="22"/>
      <c r="R574" s="22"/>
      <c r="S574" s="22"/>
      <c r="T574" s="22"/>
      <c r="U574" s="22"/>
      <c r="V574" s="22"/>
      <c r="W574" s="29"/>
      <c r="X574" s="29"/>
      <c r="Y574" s="29"/>
      <c r="Z574" s="29"/>
      <c r="AA574" s="29"/>
      <c r="AB574" s="29"/>
      <c r="AC574" s="29"/>
      <c r="AD574" s="29"/>
      <c r="AE574" s="29"/>
    </row>
    <row r="575" spans="6:31" ht="16.5" x14ac:dyDescent="0.25">
      <c r="F575" s="22"/>
      <c r="G575" s="22"/>
      <c r="H575" s="22"/>
      <c r="I575" s="22"/>
      <c r="J575" s="22"/>
      <c r="K575" s="22"/>
      <c r="L575" s="22"/>
      <c r="M575" s="22"/>
      <c r="N575" s="22"/>
      <c r="O575" s="22"/>
      <c r="P575" s="22"/>
      <c r="Q575" s="22"/>
      <c r="R575" s="22"/>
      <c r="S575" s="22"/>
      <c r="T575" s="22"/>
      <c r="U575" s="22"/>
      <c r="V575" s="22"/>
      <c r="W575" s="29"/>
      <c r="X575" s="29"/>
      <c r="Y575" s="29"/>
      <c r="Z575" s="29"/>
      <c r="AA575" s="29"/>
      <c r="AB575" s="29"/>
      <c r="AC575" s="29"/>
      <c r="AD575" s="29"/>
      <c r="AE575" s="29"/>
    </row>
    <row r="576" spans="6:31" ht="16.5" x14ac:dyDescent="0.25">
      <c r="F576" s="22"/>
      <c r="G576" s="22"/>
      <c r="H576" s="22"/>
      <c r="I576" s="22"/>
      <c r="J576" s="22"/>
      <c r="K576" s="22"/>
      <c r="L576" s="22"/>
      <c r="M576" s="22"/>
      <c r="N576" s="22"/>
      <c r="O576" s="22"/>
      <c r="P576" s="22"/>
      <c r="Q576" s="22"/>
      <c r="R576" s="22"/>
      <c r="S576" s="22"/>
      <c r="T576" s="22"/>
      <c r="U576" s="22"/>
      <c r="V576" s="22"/>
      <c r="W576" s="29"/>
      <c r="X576" s="29"/>
      <c r="Y576" s="29"/>
      <c r="Z576" s="29"/>
      <c r="AA576" s="29"/>
      <c r="AB576" s="29"/>
      <c r="AC576" s="29"/>
      <c r="AD576" s="29"/>
      <c r="AE576" s="29"/>
    </row>
    <row r="577" spans="6:31" ht="16.5" x14ac:dyDescent="0.25">
      <c r="F577" s="22"/>
      <c r="G577" s="22"/>
      <c r="H577" s="22"/>
      <c r="I577" s="22"/>
      <c r="J577" s="22"/>
      <c r="K577" s="22"/>
      <c r="L577" s="22"/>
      <c r="M577" s="22"/>
      <c r="N577" s="22"/>
      <c r="O577" s="22"/>
      <c r="P577" s="22"/>
      <c r="Q577" s="22"/>
      <c r="R577" s="22"/>
      <c r="S577" s="22"/>
      <c r="T577" s="22"/>
      <c r="U577" s="22"/>
      <c r="V577" s="22"/>
      <c r="W577" s="29"/>
      <c r="X577" s="29"/>
      <c r="Y577" s="29"/>
      <c r="Z577" s="29"/>
      <c r="AA577" s="29"/>
      <c r="AB577" s="29"/>
      <c r="AC577" s="29"/>
      <c r="AD577" s="29"/>
      <c r="AE577" s="29"/>
    </row>
    <row r="578" spans="6:31" ht="16.5" x14ac:dyDescent="0.25">
      <c r="F578" s="22"/>
      <c r="G578" s="22"/>
      <c r="H578" s="22"/>
      <c r="I578" s="22"/>
      <c r="J578" s="22"/>
      <c r="K578" s="22"/>
      <c r="L578" s="22"/>
      <c r="M578" s="22"/>
      <c r="N578" s="22"/>
      <c r="O578" s="22"/>
      <c r="P578" s="22"/>
      <c r="Q578" s="22"/>
      <c r="R578" s="22"/>
      <c r="S578" s="22"/>
      <c r="T578" s="22"/>
      <c r="U578" s="22"/>
      <c r="V578" s="22"/>
      <c r="W578" s="29"/>
      <c r="X578" s="29"/>
      <c r="Y578" s="29"/>
      <c r="Z578" s="29"/>
      <c r="AA578" s="29"/>
      <c r="AB578" s="29"/>
      <c r="AC578" s="29"/>
      <c r="AD578" s="29"/>
      <c r="AE578" s="29"/>
    </row>
    <row r="579" spans="6:31" ht="16.5" x14ac:dyDescent="0.25">
      <c r="F579" s="22"/>
      <c r="G579" s="22"/>
      <c r="H579" s="22"/>
      <c r="I579" s="22"/>
      <c r="J579" s="22"/>
      <c r="K579" s="22"/>
      <c r="L579" s="22"/>
      <c r="M579" s="22"/>
      <c r="N579" s="22"/>
      <c r="O579" s="22"/>
      <c r="P579" s="22"/>
      <c r="Q579" s="22"/>
      <c r="R579" s="22"/>
      <c r="S579" s="22"/>
      <c r="T579" s="22"/>
      <c r="U579" s="22"/>
      <c r="V579" s="22"/>
      <c r="W579" s="29"/>
      <c r="X579" s="29"/>
      <c r="Y579" s="29"/>
      <c r="Z579" s="29"/>
      <c r="AA579" s="29"/>
      <c r="AB579" s="29"/>
      <c r="AC579" s="29"/>
      <c r="AD579" s="29"/>
      <c r="AE579" s="29"/>
    </row>
    <row r="580" spans="6:31" ht="16.5" x14ac:dyDescent="0.25">
      <c r="F580" s="22"/>
      <c r="G580" s="22"/>
      <c r="H580" s="22"/>
      <c r="I580" s="22"/>
      <c r="J580" s="22"/>
      <c r="K580" s="22"/>
      <c r="L580" s="22"/>
      <c r="M580" s="22"/>
      <c r="N580" s="22"/>
      <c r="O580" s="22"/>
      <c r="P580" s="22"/>
      <c r="Q580" s="22"/>
      <c r="R580" s="22"/>
      <c r="S580" s="22"/>
      <c r="T580" s="22"/>
      <c r="U580" s="22"/>
      <c r="V580" s="22"/>
      <c r="W580" s="29"/>
      <c r="X580" s="29"/>
      <c r="Y580" s="29"/>
      <c r="Z580" s="29"/>
      <c r="AA580" s="29"/>
      <c r="AB580" s="29"/>
      <c r="AC580" s="29"/>
      <c r="AD580" s="29"/>
      <c r="AE580" s="29"/>
    </row>
    <row r="581" spans="6:31" ht="16.5" x14ac:dyDescent="0.25">
      <c r="F581" s="22"/>
      <c r="G581" s="22"/>
      <c r="H581" s="22"/>
      <c r="I581" s="22"/>
      <c r="J581" s="22"/>
      <c r="K581" s="22"/>
      <c r="L581" s="22"/>
      <c r="M581" s="22"/>
      <c r="N581" s="22"/>
      <c r="O581" s="22"/>
      <c r="P581" s="22"/>
      <c r="Q581" s="22"/>
      <c r="R581" s="22"/>
      <c r="S581" s="22"/>
      <c r="T581" s="22"/>
      <c r="U581" s="22"/>
      <c r="V581" s="22"/>
      <c r="W581" s="29"/>
      <c r="X581" s="29"/>
      <c r="Y581" s="29"/>
      <c r="Z581" s="29"/>
      <c r="AA581" s="29"/>
      <c r="AB581" s="29"/>
      <c r="AC581" s="29"/>
      <c r="AD581" s="29"/>
      <c r="AE581" s="29"/>
    </row>
    <row r="582" spans="6:31" ht="16.5" x14ac:dyDescent="0.25">
      <c r="F582" s="22"/>
      <c r="G582" s="22"/>
      <c r="H582" s="22"/>
      <c r="I582" s="22"/>
      <c r="J582" s="22"/>
      <c r="K582" s="22"/>
      <c r="L582" s="22"/>
      <c r="M582" s="22"/>
      <c r="N582" s="22"/>
      <c r="O582" s="22"/>
      <c r="P582" s="22"/>
      <c r="Q582" s="22"/>
      <c r="R582" s="22"/>
      <c r="S582" s="22"/>
      <c r="T582" s="22"/>
      <c r="U582" s="22"/>
      <c r="V582" s="22"/>
      <c r="W582" s="29"/>
      <c r="X582" s="29"/>
      <c r="Y582" s="29"/>
      <c r="Z582" s="29"/>
      <c r="AA582" s="29"/>
      <c r="AB582" s="29"/>
      <c r="AC582" s="29"/>
      <c r="AD582" s="29"/>
      <c r="AE582" s="29"/>
    </row>
    <row r="583" spans="6:31" ht="16.5" x14ac:dyDescent="0.25">
      <c r="F583" s="22"/>
      <c r="G583" s="22"/>
      <c r="H583" s="22"/>
      <c r="I583" s="22"/>
      <c r="J583" s="22"/>
      <c r="K583" s="22"/>
      <c r="L583" s="22"/>
      <c r="M583" s="22"/>
      <c r="N583" s="22"/>
      <c r="O583" s="22"/>
      <c r="P583" s="22"/>
      <c r="Q583" s="22"/>
      <c r="R583" s="22"/>
      <c r="S583" s="22"/>
      <c r="T583" s="22"/>
      <c r="U583" s="22"/>
      <c r="V583" s="22"/>
      <c r="W583" s="29"/>
      <c r="X583" s="29"/>
      <c r="Y583" s="29"/>
      <c r="Z583" s="29"/>
      <c r="AA583" s="29"/>
      <c r="AB583" s="29"/>
      <c r="AC583" s="29"/>
      <c r="AD583" s="29"/>
      <c r="AE583" s="29"/>
    </row>
    <row r="584" spans="6:31" ht="16.5" x14ac:dyDescent="0.25">
      <c r="F584" s="22"/>
      <c r="G584" s="22"/>
      <c r="H584" s="22"/>
      <c r="I584" s="22"/>
      <c r="J584" s="22"/>
      <c r="K584" s="22"/>
      <c r="L584" s="22"/>
      <c r="M584" s="22"/>
      <c r="N584" s="22"/>
      <c r="O584" s="22"/>
      <c r="P584" s="22"/>
      <c r="Q584" s="22"/>
      <c r="R584" s="22"/>
      <c r="S584" s="22"/>
      <c r="T584" s="22"/>
      <c r="U584" s="22"/>
      <c r="V584" s="22"/>
      <c r="W584" s="29"/>
      <c r="X584" s="29"/>
      <c r="Y584" s="29"/>
      <c r="Z584" s="29"/>
      <c r="AA584" s="29"/>
      <c r="AB584" s="29"/>
      <c r="AC584" s="29"/>
      <c r="AD584" s="29"/>
      <c r="AE584" s="29"/>
    </row>
    <row r="585" spans="6:31" ht="16.5" x14ac:dyDescent="0.25">
      <c r="F585" s="22"/>
      <c r="G585" s="22"/>
      <c r="H585" s="22"/>
      <c r="I585" s="22"/>
      <c r="J585" s="22"/>
      <c r="K585" s="22"/>
      <c r="L585" s="22"/>
      <c r="M585" s="22"/>
      <c r="N585" s="22"/>
      <c r="O585" s="22"/>
      <c r="P585" s="22"/>
      <c r="Q585" s="22"/>
      <c r="R585" s="22"/>
      <c r="S585" s="22"/>
      <c r="T585" s="22"/>
      <c r="U585" s="22"/>
      <c r="V585" s="22"/>
      <c r="W585" s="29"/>
      <c r="X585" s="29"/>
      <c r="Y585" s="29"/>
      <c r="Z585" s="29"/>
      <c r="AA585" s="29"/>
      <c r="AB585" s="29"/>
      <c r="AC585" s="29"/>
      <c r="AD585" s="29"/>
      <c r="AE585" s="29"/>
    </row>
    <row r="586" spans="6:31" ht="16.5" x14ac:dyDescent="0.25">
      <c r="F586" s="22"/>
      <c r="G586" s="22"/>
      <c r="H586" s="22"/>
      <c r="I586" s="22"/>
      <c r="J586" s="22"/>
      <c r="K586" s="22"/>
      <c r="L586" s="22"/>
      <c r="M586" s="22"/>
      <c r="N586" s="22"/>
      <c r="O586" s="22"/>
      <c r="P586" s="22"/>
      <c r="Q586" s="22"/>
      <c r="R586" s="22"/>
      <c r="S586" s="22"/>
      <c r="T586" s="22"/>
      <c r="U586" s="22"/>
      <c r="V586" s="22"/>
      <c r="W586" s="29"/>
      <c r="X586" s="29"/>
      <c r="Y586" s="29"/>
      <c r="Z586" s="29"/>
      <c r="AA586" s="29"/>
      <c r="AB586" s="29"/>
      <c r="AC586" s="29"/>
      <c r="AD586" s="29"/>
      <c r="AE586" s="29"/>
    </row>
    <row r="587" spans="6:31" ht="16.5" x14ac:dyDescent="0.25">
      <c r="F587" s="22"/>
      <c r="G587" s="22"/>
      <c r="H587" s="22"/>
      <c r="I587" s="22"/>
      <c r="J587" s="22"/>
      <c r="K587" s="22"/>
      <c r="L587" s="22"/>
      <c r="M587" s="22"/>
      <c r="N587" s="22"/>
      <c r="O587" s="22"/>
      <c r="P587" s="22"/>
      <c r="Q587" s="22"/>
      <c r="R587" s="22"/>
      <c r="S587" s="22"/>
      <c r="T587" s="22"/>
      <c r="U587" s="22"/>
      <c r="V587" s="22"/>
      <c r="W587" s="29"/>
      <c r="X587" s="29"/>
      <c r="Y587" s="29"/>
      <c r="Z587" s="29"/>
      <c r="AA587" s="29"/>
      <c r="AB587" s="29"/>
      <c r="AC587" s="29"/>
      <c r="AD587" s="29"/>
      <c r="AE587" s="29"/>
    </row>
    <row r="588" spans="6:31" ht="16.5" x14ac:dyDescent="0.25">
      <c r="F588" s="22"/>
      <c r="G588" s="22"/>
      <c r="H588" s="22"/>
      <c r="I588" s="22"/>
      <c r="J588" s="22"/>
      <c r="K588" s="22"/>
      <c r="L588" s="22"/>
      <c r="M588" s="22"/>
      <c r="N588" s="22"/>
      <c r="O588" s="22"/>
      <c r="P588" s="22"/>
      <c r="Q588" s="22"/>
      <c r="R588" s="22"/>
      <c r="S588" s="22"/>
      <c r="T588" s="22"/>
      <c r="U588" s="22"/>
      <c r="V588" s="22"/>
      <c r="W588" s="29"/>
      <c r="X588" s="29"/>
      <c r="Y588" s="29"/>
      <c r="Z588" s="29"/>
      <c r="AA588" s="29"/>
      <c r="AB588" s="29"/>
      <c r="AC588" s="29"/>
      <c r="AD588" s="29"/>
      <c r="AE588" s="29"/>
    </row>
    <row r="589" spans="6:31" ht="16.5" x14ac:dyDescent="0.25">
      <c r="F589" s="22"/>
      <c r="G589" s="22"/>
      <c r="H589" s="22"/>
      <c r="I589" s="22"/>
      <c r="J589" s="22"/>
      <c r="K589" s="22"/>
      <c r="L589" s="22"/>
      <c r="M589" s="22"/>
      <c r="N589" s="22"/>
      <c r="O589" s="22"/>
      <c r="P589" s="22"/>
      <c r="Q589" s="22"/>
      <c r="R589" s="22"/>
      <c r="S589" s="22"/>
      <c r="T589" s="22"/>
      <c r="U589" s="22"/>
      <c r="V589" s="22"/>
      <c r="W589" s="29"/>
      <c r="X589" s="29"/>
      <c r="Y589" s="29"/>
      <c r="Z589" s="29"/>
      <c r="AA589" s="29"/>
      <c r="AB589" s="29"/>
      <c r="AC589" s="29"/>
      <c r="AD589" s="29"/>
      <c r="AE589" s="29"/>
    </row>
    <row r="590" spans="6:31" ht="16.5" x14ac:dyDescent="0.25">
      <c r="F590" s="22"/>
      <c r="G590" s="22"/>
      <c r="H590" s="22"/>
      <c r="I590" s="22"/>
      <c r="J590" s="22"/>
      <c r="K590" s="22"/>
      <c r="L590" s="22"/>
      <c r="M590" s="22"/>
      <c r="N590" s="22"/>
      <c r="O590" s="22"/>
      <c r="P590" s="22"/>
      <c r="Q590" s="22"/>
      <c r="R590" s="22"/>
      <c r="S590" s="22"/>
      <c r="T590" s="22"/>
      <c r="U590" s="22"/>
      <c r="V590" s="22"/>
      <c r="W590" s="29"/>
      <c r="X590" s="29"/>
      <c r="Y590" s="29"/>
      <c r="Z590" s="29"/>
      <c r="AA590" s="29"/>
      <c r="AB590" s="29"/>
      <c r="AC590" s="29"/>
      <c r="AD590" s="29"/>
      <c r="AE590" s="29"/>
    </row>
    <row r="591" spans="6:31" ht="16.5" x14ac:dyDescent="0.25">
      <c r="F591" s="22"/>
      <c r="G591" s="22"/>
      <c r="H591" s="22"/>
      <c r="I591" s="22"/>
      <c r="J591" s="22"/>
      <c r="K591" s="22"/>
      <c r="L591" s="22"/>
      <c r="M591" s="22"/>
      <c r="N591" s="22"/>
      <c r="O591" s="22"/>
      <c r="P591" s="22"/>
      <c r="Q591" s="22"/>
      <c r="R591" s="22"/>
      <c r="S591" s="22"/>
      <c r="T591" s="22"/>
      <c r="U591" s="22"/>
      <c r="V591" s="22"/>
      <c r="W591" s="29"/>
      <c r="X591" s="29"/>
      <c r="Y591" s="29"/>
      <c r="Z591" s="29"/>
      <c r="AA591" s="29"/>
      <c r="AB591" s="29"/>
      <c r="AC591" s="29"/>
      <c r="AD591" s="29"/>
      <c r="AE591" s="29"/>
    </row>
    <row r="592" spans="6:31" ht="16.5" x14ac:dyDescent="0.25">
      <c r="F592" s="22"/>
      <c r="G592" s="22"/>
      <c r="H592" s="22"/>
      <c r="I592" s="22"/>
      <c r="J592" s="22"/>
      <c r="K592" s="22"/>
      <c r="L592" s="22"/>
      <c r="M592" s="22"/>
      <c r="N592" s="22"/>
      <c r="O592" s="22"/>
      <c r="P592" s="22"/>
      <c r="Q592" s="22"/>
      <c r="R592" s="22"/>
      <c r="S592" s="22"/>
      <c r="T592" s="22"/>
      <c r="U592" s="22"/>
      <c r="V592" s="22"/>
      <c r="W592" s="29"/>
      <c r="X592" s="29"/>
      <c r="Y592" s="29"/>
      <c r="Z592" s="29"/>
      <c r="AA592" s="29"/>
      <c r="AB592" s="29"/>
      <c r="AC592" s="29"/>
      <c r="AD592" s="29"/>
      <c r="AE592" s="29"/>
    </row>
    <row r="593" spans="6:31" ht="16.5" x14ac:dyDescent="0.25">
      <c r="F593" s="22"/>
      <c r="G593" s="22"/>
      <c r="H593" s="22"/>
      <c r="I593" s="22"/>
      <c r="J593" s="22"/>
      <c r="K593" s="22"/>
      <c r="L593" s="22"/>
      <c r="M593" s="22"/>
      <c r="N593" s="22"/>
      <c r="O593" s="22"/>
      <c r="P593" s="22"/>
      <c r="Q593" s="22"/>
      <c r="R593" s="22"/>
      <c r="S593" s="22"/>
      <c r="T593" s="22"/>
      <c r="U593" s="22"/>
      <c r="V593" s="22"/>
      <c r="W593" s="29"/>
      <c r="X593" s="29"/>
      <c r="Y593" s="29"/>
      <c r="Z593" s="29"/>
      <c r="AA593" s="29"/>
      <c r="AB593" s="29"/>
      <c r="AC593" s="29"/>
      <c r="AD593" s="29"/>
      <c r="AE593" s="29"/>
    </row>
    <row r="594" spans="6:31" ht="16.5" x14ac:dyDescent="0.25">
      <c r="F594" s="22"/>
      <c r="G594" s="22"/>
      <c r="H594" s="22"/>
      <c r="I594" s="22"/>
      <c r="J594" s="22"/>
      <c r="K594" s="22"/>
      <c r="L594" s="22"/>
      <c r="M594" s="22"/>
      <c r="N594" s="22"/>
      <c r="O594" s="22"/>
      <c r="P594" s="22"/>
      <c r="Q594" s="22"/>
      <c r="R594" s="22"/>
      <c r="S594" s="22"/>
      <c r="T594" s="22"/>
      <c r="U594" s="22"/>
      <c r="V594" s="22"/>
      <c r="W594" s="29"/>
      <c r="X594" s="29"/>
      <c r="Y594" s="29"/>
      <c r="Z594" s="29"/>
      <c r="AA594" s="29"/>
      <c r="AB594" s="29"/>
      <c r="AC594" s="29"/>
      <c r="AD594" s="29"/>
      <c r="AE594" s="29"/>
    </row>
    <row r="595" spans="6:31" ht="16.5" x14ac:dyDescent="0.25">
      <c r="F595" s="22"/>
      <c r="G595" s="22"/>
      <c r="H595" s="22"/>
      <c r="I595" s="22"/>
      <c r="J595" s="22"/>
      <c r="K595" s="22"/>
      <c r="L595" s="22"/>
      <c r="M595" s="22"/>
      <c r="N595" s="22"/>
      <c r="O595" s="22"/>
      <c r="P595" s="22"/>
      <c r="Q595" s="22"/>
      <c r="R595" s="22"/>
      <c r="S595" s="22"/>
      <c r="T595" s="22"/>
      <c r="U595" s="22"/>
      <c r="V595" s="22"/>
      <c r="W595" s="29"/>
      <c r="X595" s="29"/>
      <c r="Y595" s="29"/>
      <c r="Z595" s="29"/>
      <c r="AA595" s="29"/>
      <c r="AB595" s="29"/>
      <c r="AC595" s="29"/>
      <c r="AD595" s="29"/>
      <c r="AE595" s="29"/>
    </row>
    <row r="596" spans="6:31" ht="16.5" x14ac:dyDescent="0.25">
      <c r="F596" s="22"/>
      <c r="G596" s="22"/>
      <c r="H596" s="22"/>
      <c r="I596" s="22"/>
      <c r="J596" s="22"/>
      <c r="K596" s="22"/>
      <c r="L596" s="22"/>
      <c r="M596" s="22"/>
      <c r="N596" s="22"/>
      <c r="O596" s="22"/>
      <c r="P596" s="22"/>
      <c r="Q596" s="22"/>
      <c r="R596" s="22"/>
      <c r="S596" s="22"/>
      <c r="T596" s="22"/>
      <c r="U596" s="22"/>
      <c r="V596" s="22"/>
      <c r="W596" s="29"/>
      <c r="X596" s="29"/>
      <c r="Y596" s="29"/>
      <c r="Z596" s="29"/>
      <c r="AA596" s="29"/>
      <c r="AB596" s="29"/>
      <c r="AC596" s="29"/>
      <c r="AD596" s="29"/>
      <c r="AE596" s="29"/>
    </row>
    <row r="597" spans="6:31" ht="16.5" x14ac:dyDescent="0.25">
      <c r="F597" s="22"/>
      <c r="G597" s="22"/>
      <c r="H597" s="22"/>
      <c r="I597" s="22"/>
      <c r="J597" s="22"/>
      <c r="K597" s="22"/>
      <c r="L597" s="22"/>
      <c r="M597" s="22"/>
      <c r="N597" s="22"/>
      <c r="O597" s="22"/>
      <c r="P597" s="22"/>
      <c r="Q597" s="22"/>
      <c r="R597" s="22"/>
      <c r="S597" s="22"/>
      <c r="T597" s="22"/>
      <c r="U597" s="22"/>
      <c r="V597" s="22"/>
      <c r="W597" s="29"/>
      <c r="X597" s="29"/>
      <c r="Y597" s="29"/>
      <c r="Z597" s="29"/>
      <c r="AA597" s="29"/>
      <c r="AB597" s="29"/>
      <c r="AC597" s="29"/>
      <c r="AD597" s="29"/>
      <c r="AE597" s="29"/>
    </row>
    <row r="598" spans="6:31" ht="16.5" x14ac:dyDescent="0.25">
      <c r="F598" s="22"/>
      <c r="G598" s="22"/>
      <c r="H598" s="22"/>
      <c r="I598" s="22"/>
      <c r="J598" s="22"/>
      <c r="K598" s="22"/>
      <c r="L598" s="22"/>
      <c r="M598" s="22"/>
      <c r="N598" s="22"/>
      <c r="O598" s="22"/>
      <c r="P598" s="22"/>
      <c r="Q598" s="22"/>
      <c r="R598" s="22"/>
      <c r="S598" s="22"/>
      <c r="T598" s="22"/>
      <c r="U598" s="22"/>
      <c r="V598" s="22"/>
      <c r="W598" s="29"/>
      <c r="X598" s="29"/>
      <c r="Y598" s="29"/>
      <c r="Z598" s="29"/>
      <c r="AA598" s="29"/>
      <c r="AB598" s="29"/>
      <c r="AC598" s="29"/>
      <c r="AD598" s="29"/>
      <c r="AE598" s="29"/>
    </row>
    <row r="599" spans="6:31" ht="16.5" x14ac:dyDescent="0.25">
      <c r="F599" s="22"/>
      <c r="G599" s="22"/>
      <c r="H599" s="22"/>
      <c r="I599" s="22"/>
      <c r="J599" s="22"/>
      <c r="K599" s="22"/>
      <c r="L599" s="22"/>
      <c r="M599" s="22"/>
      <c r="N599" s="22"/>
      <c r="O599" s="22"/>
      <c r="P599" s="22"/>
      <c r="Q599" s="22"/>
      <c r="R599" s="22"/>
      <c r="S599" s="22"/>
      <c r="T599" s="22"/>
      <c r="U599" s="22"/>
      <c r="V599" s="22"/>
      <c r="W599" s="29"/>
      <c r="X599" s="29"/>
      <c r="Y599" s="29"/>
      <c r="Z599" s="29"/>
      <c r="AA599" s="29"/>
      <c r="AB599" s="29"/>
      <c r="AC599" s="29"/>
      <c r="AD599" s="29"/>
      <c r="AE599" s="29"/>
    </row>
    <row r="600" spans="6:31" ht="16.5" x14ac:dyDescent="0.25">
      <c r="F600" s="22"/>
      <c r="G600" s="22"/>
      <c r="H600" s="22"/>
      <c r="I600" s="22"/>
      <c r="J600" s="22"/>
      <c r="K600" s="22"/>
      <c r="L600" s="22"/>
      <c r="M600" s="22"/>
      <c r="N600" s="22"/>
      <c r="O600" s="22"/>
      <c r="P600" s="22"/>
      <c r="Q600" s="22"/>
      <c r="R600" s="22"/>
      <c r="S600" s="22"/>
      <c r="T600" s="22"/>
      <c r="U600" s="22"/>
      <c r="V600" s="22"/>
      <c r="W600" s="29"/>
      <c r="X600" s="29"/>
      <c r="Y600" s="29"/>
      <c r="Z600" s="29"/>
      <c r="AA600" s="29"/>
      <c r="AB600" s="29"/>
      <c r="AC600" s="29"/>
      <c r="AD600" s="29"/>
      <c r="AE600" s="29"/>
    </row>
    <row r="601" spans="6:31" ht="16.5" x14ac:dyDescent="0.25">
      <c r="F601" s="22"/>
      <c r="G601" s="22"/>
      <c r="H601" s="22"/>
      <c r="I601" s="22"/>
      <c r="J601" s="22"/>
      <c r="K601" s="22"/>
      <c r="L601" s="22"/>
      <c r="M601" s="22"/>
      <c r="N601" s="22"/>
      <c r="O601" s="22"/>
      <c r="P601" s="22"/>
      <c r="Q601" s="22"/>
      <c r="R601" s="22"/>
      <c r="S601" s="22"/>
      <c r="T601" s="22"/>
      <c r="U601" s="22"/>
      <c r="V601" s="22"/>
      <c r="W601" s="29"/>
      <c r="X601" s="29"/>
      <c r="Y601" s="29"/>
      <c r="Z601" s="29"/>
      <c r="AA601" s="29"/>
      <c r="AB601" s="29"/>
      <c r="AC601" s="29"/>
      <c r="AD601" s="29"/>
      <c r="AE601" s="29"/>
    </row>
    <row r="602" spans="6:31" ht="16.5" x14ac:dyDescent="0.25">
      <c r="F602" s="22"/>
      <c r="G602" s="22"/>
      <c r="H602" s="22"/>
      <c r="I602" s="22"/>
      <c r="J602" s="22"/>
      <c r="K602" s="22"/>
      <c r="L602" s="22"/>
      <c r="M602" s="22"/>
      <c r="N602" s="22"/>
      <c r="O602" s="22"/>
      <c r="P602" s="22"/>
      <c r="Q602" s="22"/>
      <c r="R602" s="22"/>
      <c r="S602" s="22"/>
      <c r="T602" s="22"/>
      <c r="U602" s="22"/>
      <c r="V602" s="22"/>
      <c r="W602" s="29"/>
      <c r="X602" s="29"/>
      <c r="Y602" s="29"/>
      <c r="Z602" s="29"/>
      <c r="AA602" s="29"/>
      <c r="AB602" s="29"/>
      <c r="AC602" s="29"/>
      <c r="AD602" s="29"/>
      <c r="AE602" s="29"/>
    </row>
    <row r="603" spans="6:31" ht="16.5" x14ac:dyDescent="0.25">
      <c r="F603" s="22"/>
      <c r="G603" s="22"/>
      <c r="H603" s="22"/>
      <c r="I603" s="22"/>
      <c r="J603" s="22"/>
      <c r="K603" s="22"/>
      <c r="L603" s="22"/>
      <c r="M603" s="22"/>
      <c r="N603" s="22"/>
      <c r="O603" s="22"/>
      <c r="P603" s="22"/>
      <c r="Q603" s="22"/>
      <c r="R603" s="22"/>
      <c r="S603" s="22"/>
      <c r="T603" s="22"/>
      <c r="U603" s="22"/>
      <c r="V603" s="22"/>
      <c r="W603" s="29"/>
      <c r="X603" s="29"/>
      <c r="Y603" s="29"/>
      <c r="Z603" s="29"/>
      <c r="AA603" s="29"/>
      <c r="AB603" s="29"/>
      <c r="AC603" s="29"/>
      <c r="AD603" s="29"/>
      <c r="AE603" s="29"/>
    </row>
    <row r="604" spans="6:31" ht="16.5" x14ac:dyDescent="0.25">
      <c r="F604" s="22"/>
      <c r="G604" s="22"/>
      <c r="H604" s="22"/>
      <c r="I604" s="22"/>
      <c r="J604" s="22"/>
      <c r="K604" s="22"/>
      <c r="L604" s="22"/>
      <c r="M604" s="22"/>
      <c r="N604" s="22"/>
      <c r="O604" s="22"/>
      <c r="P604" s="22"/>
      <c r="Q604" s="22"/>
      <c r="R604" s="22"/>
      <c r="S604" s="22"/>
      <c r="T604" s="22"/>
      <c r="U604" s="22"/>
      <c r="V604" s="22"/>
      <c r="W604" s="29"/>
      <c r="X604" s="29"/>
      <c r="Y604" s="29"/>
      <c r="Z604" s="29"/>
      <c r="AA604" s="29"/>
      <c r="AB604" s="29"/>
      <c r="AC604" s="29"/>
      <c r="AD604" s="29"/>
      <c r="AE604" s="29"/>
    </row>
    <row r="605" spans="6:31" ht="16.5" x14ac:dyDescent="0.25">
      <c r="F605" s="22"/>
      <c r="G605" s="22"/>
      <c r="H605" s="22"/>
      <c r="I605" s="22"/>
      <c r="J605" s="22"/>
      <c r="K605" s="22"/>
      <c r="L605" s="22"/>
      <c r="M605" s="22"/>
      <c r="N605" s="22"/>
      <c r="O605" s="22"/>
      <c r="P605" s="22"/>
      <c r="Q605" s="22"/>
      <c r="R605" s="22"/>
      <c r="S605" s="22"/>
      <c r="T605" s="22"/>
      <c r="U605" s="22"/>
      <c r="V605" s="22"/>
      <c r="W605" s="29"/>
      <c r="X605" s="29"/>
      <c r="Y605" s="29"/>
      <c r="Z605" s="29"/>
      <c r="AA605" s="29"/>
      <c r="AB605" s="29"/>
      <c r="AC605" s="29"/>
      <c r="AD605" s="29"/>
      <c r="AE605" s="29"/>
    </row>
    <row r="606" spans="6:31" ht="16.5" x14ac:dyDescent="0.25">
      <c r="F606" s="22"/>
      <c r="G606" s="22"/>
      <c r="H606" s="22"/>
      <c r="I606" s="22"/>
      <c r="J606" s="22"/>
      <c r="K606" s="22"/>
      <c r="L606" s="22"/>
      <c r="M606" s="22"/>
      <c r="N606" s="22"/>
      <c r="O606" s="22"/>
      <c r="P606" s="22"/>
      <c r="Q606" s="22"/>
      <c r="R606" s="22"/>
      <c r="S606" s="22"/>
      <c r="T606" s="22"/>
      <c r="U606" s="22"/>
      <c r="V606" s="22"/>
      <c r="W606" s="29"/>
      <c r="X606" s="29"/>
      <c r="Y606" s="29"/>
      <c r="Z606" s="29"/>
      <c r="AA606" s="29"/>
      <c r="AB606" s="29"/>
      <c r="AC606" s="29"/>
      <c r="AD606" s="29"/>
      <c r="AE606" s="29"/>
    </row>
    <row r="607" spans="6:31" ht="16.5" x14ac:dyDescent="0.25">
      <c r="F607" s="22"/>
      <c r="G607" s="22"/>
      <c r="H607" s="22"/>
      <c r="I607" s="22"/>
      <c r="J607" s="22"/>
      <c r="K607" s="22"/>
      <c r="L607" s="22"/>
      <c r="M607" s="22"/>
      <c r="N607" s="22"/>
      <c r="O607" s="22"/>
      <c r="P607" s="22"/>
      <c r="Q607" s="22"/>
      <c r="R607" s="22"/>
      <c r="S607" s="22"/>
      <c r="T607" s="22"/>
      <c r="U607" s="22"/>
      <c r="V607" s="22"/>
      <c r="W607" s="29"/>
      <c r="X607" s="29"/>
      <c r="Y607" s="29"/>
      <c r="Z607" s="29"/>
      <c r="AA607" s="29"/>
      <c r="AB607" s="29"/>
      <c r="AC607" s="29"/>
      <c r="AD607" s="29"/>
      <c r="AE607" s="29"/>
    </row>
    <row r="608" spans="6:31" ht="16.5" x14ac:dyDescent="0.25">
      <c r="F608" s="22"/>
      <c r="G608" s="22"/>
      <c r="H608" s="22"/>
      <c r="I608" s="22"/>
      <c r="J608" s="22"/>
      <c r="K608" s="22"/>
      <c r="L608" s="22"/>
      <c r="M608" s="22"/>
      <c r="N608" s="22"/>
      <c r="O608" s="22"/>
      <c r="P608" s="22"/>
      <c r="Q608" s="22"/>
      <c r="R608" s="22"/>
      <c r="S608" s="22"/>
      <c r="T608" s="22"/>
      <c r="U608" s="22"/>
      <c r="V608" s="22"/>
      <c r="W608" s="29"/>
      <c r="X608" s="29"/>
      <c r="Y608" s="29"/>
      <c r="Z608" s="29"/>
      <c r="AA608" s="29"/>
      <c r="AB608" s="29"/>
      <c r="AC608" s="29"/>
      <c r="AD608" s="29"/>
      <c r="AE608" s="29"/>
    </row>
    <row r="609" spans="6:31" ht="16.5" x14ac:dyDescent="0.25">
      <c r="F609" s="22"/>
      <c r="G609" s="22"/>
      <c r="H609" s="22"/>
      <c r="I609" s="22"/>
      <c r="J609" s="22"/>
      <c r="K609" s="22"/>
      <c r="L609" s="22"/>
      <c r="M609" s="22"/>
      <c r="N609" s="22"/>
      <c r="O609" s="22"/>
      <c r="P609" s="22"/>
      <c r="Q609" s="22"/>
      <c r="R609" s="22"/>
      <c r="S609" s="22"/>
      <c r="T609" s="22"/>
      <c r="U609" s="22"/>
      <c r="V609" s="22"/>
      <c r="W609" s="29"/>
      <c r="X609" s="29"/>
      <c r="Y609" s="29"/>
      <c r="Z609" s="29"/>
      <c r="AA609" s="29"/>
      <c r="AB609" s="29"/>
      <c r="AC609" s="29"/>
      <c r="AD609" s="29"/>
      <c r="AE609" s="29"/>
    </row>
    <row r="610" spans="6:31" ht="16.5" x14ac:dyDescent="0.25">
      <c r="F610" s="22"/>
      <c r="G610" s="22"/>
      <c r="H610" s="22"/>
      <c r="I610" s="22"/>
      <c r="J610" s="22"/>
      <c r="K610" s="22"/>
      <c r="L610" s="22"/>
      <c r="M610" s="22"/>
      <c r="N610" s="22"/>
      <c r="O610" s="22"/>
      <c r="P610" s="22"/>
      <c r="Q610" s="22"/>
      <c r="R610" s="22"/>
      <c r="S610" s="22"/>
      <c r="T610" s="22"/>
      <c r="U610" s="22"/>
      <c r="V610" s="22"/>
      <c r="W610" s="29"/>
      <c r="X610" s="29"/>
      <c r="Y610" s="29"/>
      <c r="Z610" s="29"/>
      <c r="AA610" s="29"/>
      <c r="AB610" s="29"/>
      <c r="AC610" s="29"/>
      <c r="AD610" s="29"/>
      <c r="AE610" s="29"/>
    </row>
    <row r="611" spans="6:31" ht="16.5" x14ac:dyDescent="0.25">
      <c r="F611" s="22"/>
      <c r="G611" s="22"/>
      <c r="H611" s="22"/>
      <c r="I611" s="22"/>
      <c r="J611" s="22"/>
      <c r="K611" s="22"/>
      <c r="L611" s="22"/>
      <c r="M611" s="22"/>
      <c r="N611" s="22"/>
      <c r="O611" s="22"/>
      <c r="P611" s="22"/>
      <c r="Q611" s="22"/>
      <c r="R611" s="22"/>
      <c r="S611" s="22"/>
      <c r="T611" s="22"/>
      <c r="U611" s="22"/>
      <c r="V611" s="22"/>
      <c r="W611" s="29"/>
      <c r="X611" s="29"/>
      <c r="Y611" s="29"/>
      <c r="Z611" s="29"/>
      <c r="AA611" s="29"/>
      <c r="AB611" s="29"/>
      <c r="AC611" s="29"/>
      <c r="AD611" s="29"/>
      <c r="AE611" s="29"/>
    </row>
    <row r="612" spans="6:31" ht="16.5" x14ac:dyDescent="0.25">
      <c r="F612" s="22"/>
      <c r="G612" s="22"/>
      <c r="H612" s="22"/>
      <c r="I612" s="22"/>
      <c r="J612" s="22"/>
      <c r="K612" s="22"/>
      <c r="L612" s="22"/>
      <c r="M612" s="22"/>
      <c r="N612" s="22"/>
      <c r="O612" s="22"/>
      <c r="P612" s="22"/>
      <c r="Q612" s="22"/>
      <c r="R612" s="22"/>
      <c r="S612" s="22"/>
      <c r="T612" s="22"/>
      <c r="U612" s="22"/>
      <c r="V612" s="22"/>
      <c r="W612" s="29"/>
      <c r="X612" s="29"/>
      <c r="Y612" s="29"/>
      <c r="Z612" s="29"/>
      <c r="AA612" s="29"/>
      <c r="AB612" s="29"/>
      <c r="AC612" s="29"/>
      <c r="AD612" s="29"/>
      <c r="AE612" s="29"/>
    </row>
    <row r="613" spans="6:31" ht="16.5" x14ac:dyDescent="0.25">
      <c r="F613" s="22"/>
      <c r="G613" s="22"/>
      <c r="H613" s="22"/>
      <c r="I613" s="22"/>
      <c r="J613" s="22"/>
      <c r="K613" s="22"/>
      <c r="L613" s="22"/>
      <c r="M613" s="22"/>
      <c r="N613" s="22"/>
      <c r="O613" s="22"/>
      <c r="P613" s="22"/>
      <c r="Q613" s="22"/>
      <c r="R613" s="22"/>
      <c r="S613" s="22"/>
      <c r="T613" s="22"/>
      <c r="U613" s="22"/>
      <c r="V613" s="22"/>
      <c r="W613" s="29"/>
      <c r="X613" s="29"/>
      <c r="Y613" s="29"/>
      <c r="Z613" s="29"/>
      <c r="AA613" s="29"/>
      <c r="AB613" s="29"/>
      <c r="AC613" s="29"/>
      <c r="AD613" s="29"/>
      <c r="AE613" s="29"/>
    </row>
    <row r="614" spans="6:31" ht="16.5" x14ac:dyDescent="0.25">
      <c r="F614" s="22"/>
      <c r="G614" s="22"/>
      <c r="H614" s="22"/>
      <c r="I614" s="22"/>
      <c r="J614" s="22"/>
      <c r="K614" s="22"/>
      <c r="L614" s="22"/>
      <c r="M614" s="22"/>
      <c r="N614" s="22"/>
      <c r="O614" s="22"/>
      <c r="P614" s="22"/>
      <c r="Q614" s="22"/>
      <c r="R614" s="22"/>
      <c r="S614" s="22"/>
      <c r="T614" s="22"/>
      <c r="U614" s="22"/>
      <c r="V614" s="22"/>
      <c r="W614" s="29"/>
      <c r="X614" s="29"/>
      <c r="Y614" s="29"/>
      <c r="Z614" s="29"/>
      <c r="AA614" s="29"/>
      <c r="AB614" s="29"/>
      <c r="AC614" s="29"/>
      <c r="AD614" s="29"/>
      <c r="AE614" s="29"/>
    </row>
    <row r="615" spans="6:31" ht="16.5" x14ac:dyDescent="0.25">
      <c r="F615" s="22"/>
      <c r="G615" s="22"/>
      <c r="H615" s="22"/>
      <c r="I615" s="22"/>
      <c r="J615" s="22"/>
      <c r="K615" s="22"/>
      <c r="L615" s="22"/>
      <c r="M615" s="22"/>
      <c r="N615" s="22"/>
      <c r="O615" s="22"/>
      <c r="P615" s="22"/>
      <c r="Q615" s="22"/>
      <c r="R615" s="22"/>
      <c r="S615" s="22"/>
      <c r="T615" s="22"/>
      <c r="U615" s="22"/>
      <c r="V615" s="22"/>
      <c r="W615" s="29"/>
      <c r="X615" s="29"/>
      <c r="Y615" s="29"/>
      <c r="Z615" s="29"/>
      <c r="AA615" s="29"/>
      <c r="AB615" s="29"/>
      <c r="AC615" s="29"/>
      <c r="AD615" s="29"/>
      <c r="AE615" s="29"/>
    </row>
    <row r="616" spans="6:31" ht="16.5" x14ac:dyDescent="0.25">
      <c r="F616" s="22"/>
      <c r="G616" s="22"/>
      <c r="H616" s="22"/>
      <c r="I616" s="22"/>
      <c r="J616" s="22"/>
      <c r="K616" s="22"/>
      <c r="L616" s="22"/>
      <c r="M616" s="22"/>
      <c r="N616" s="22"/>
      <c r="O616" s="22"/>
      <c r="P616" s="22"/>
      <c r="Q616" s="22"/>
      <c r="R616" s="22"/>
      <c r="S616" s="22"/>
      <c r="T616" s="22"/>
      <c r="U616" s="22"/>
      <c r="V616" s="22"/>
      <c r="W616" s="29"/>
      <c r="X616" s="29"/>
      <c r="Y616" s="29"/>
      <c r="Z616" s="29"/>
      <c r="AA616" s="29"/>
      <c r="AB616" s="29"/>
      <c r="AC616" s="29"/>
      <c r="AD616" s="29"/>
      <c r="AE616" s="29"/>
    </row>
    <row r="617" spans="6:31" ht="16.5" x14ac:dyDescent="0.25">
      <c r="F617" s="22"/>
      <c r="G617" s="22"/>
      <c r="H617" s="22"/>
      <c r="I617" s="22"/>
      <c r="J617" s="22"/>
      <c r="K617" s="22"/>
      <c r="L617" s="22"/>
      <c r="M617" s="22"/>
      <c r="N617" s="22"/>
      <c r="O617" s="22"/>
      <c r="P617" s="22"/>
      <c r="Q617" s="22"/>
      <c r="R617" s="22"/>
      <c r="S617" s="22"/>
      <c r="T617" s="22"/>
      <c r="U617" s="22"/>
      <c r="V617" s="22"/>
      <c r="W617" s="29"/>
      <c r="X617" s="29"/>
      <c r="Y617" s="29"/>
      <c r="Z617" s="29"/>
      <c r="AA617" s="29"/>
      <c r="AB617" s="29"/>
      <c r="AC617" s="29"/>
      <c r="AD617" s="29"/>
      <c r="AE617" s="29"/>
    </row>
    <row r="618" spans="6:31" ht="16.5" x14ac:dyDescent="0.25">
      <c r="F618" s="22"/>
      <c r="G618" s="22"/>
      <c r="H618" s="22"/>
      <c r="I618" s="22"/>
      <c r="J618" s="22"/>
      <c r="K618" s="22"/>
      <c r="L618" s="22"/>
      <c r="M618" s="22"/>
      <c r="N618" s="22"/>
      <c r="O618" s="22"/>
      <c r="P618" s="22"/>
      <c r="Q618" s="22"/>
      <c r="R618" s="22"/>
      <c r="S618" s="22"/>
      <c r="T618" s="22"/>
      <c r="U618" s="22"/>
      <c r="V618" s="22"/>
      <c r="W618" s="29"/>
      <c r="X618" s="29"/>
      <c r="Y618" s="29"/>
      <c r="Z618" s="29"/>
      <c r="AA618" s="29"/>
      <c r="AB618" s="29"/>
      <c r="AC618" s="29"/>
      <c r="AD618" s="29"/>
      <c r="AE618" s="29"/>
    </row>
    <row r="619" spans="6:31" ht="16.5" x14ac:dyDescent="0.25">
      <c r="F619" s="22"/>
      <c r="G619" s="22"/>
      <c r="H619" s="22"/>
      <c r="I619" s="22"/>
      <c r="J619" s="22"/>
      <c r="K619" s="22"/>
      <c r="L619" s="22"/>
      <c r="M619" s="22"/>
      <c r="N619" s="22"/>
      <c r="O619" s="22"/>
      <c r="P619" s="22"/>
      <c r="Q619" s="22"/>
      <c r="R619" s="22"/>
      <c r="S619" s="22"/>
      <c r="T619" s="22"/>
      <c r="U619" s="22"/>
      <c r="V619" s="22"/>
      <c r="W619" s="29"/>
      <c r="X619" s="29"/>
      <c r="Y619" s="29"/>
      <c r="Z619" s="29"/>
      <c r="AA619" s="29"/>
      <c r="AB619" s="29"/>
      <c r="AC619" s="29"/>
      <c r="AD619" s="29"/>
      <c r="AE619" s="29"/>
    </row>
    <row r="620" spans="6:31" ht="16.5" x14ac:dyDescent="0.25">
      <c r="F620" s="22"/>
      <c r="G620" s="22"/>
      <c r="H620" s="22"/>
      <c r="I620" s="22"/>
      <c r="J620" s="22"/>
      <c r="K620" s="22"/>
      <c r="L620" s="22"/>
      <c r="M620" s="22"/>
      <c r="N620" s="22"/>
      <c r="O620" s="22"/>
      <c r="P620" s="22"/>
      <c r="Q620" s="22"/>
      <c r="R620" s="22"/>
      <c r="S620" s="22"/>
      <c r="T620" s="22"/>
      <c r="U620" s="22"/>
      <c r="V620" s="22"/>
      <c r="W620" s="29"/>
      <c r="X620" s="29"/>
      <c r="Y620" s="29"/>
      <c r="Z620" s="29"/>
      <c r="AA620" s="29"/>
      <c r="AB620" s="29"/>
      <c r="AC620" s="29"/>
      <c r="AD620" s="29"/>
      <c r="AE620" s="29"/>
    </row>
    <row r="621" spans="6:31" ht="16.5" x14ac:dyDescent="0.25">
      <c r="F621" s="22"/>
      <c r="G621" s="22"/>
      <c r="H621" s="22"/>
      <c r="I621" s="22"/>
      <c r="J621" s="22"/>
      <c r="K621" s="22"/>
      <c r="L621" s="22"/>
      <c r="M621" s="22"/>
      <c r="N621" s="22"/>
      <c r="O621" s="22"/>
      <c r="P621" s="22"/>
      <c r="Q621" s="22"/>
      <c r="R621" s="22"/>
      <c r="S621" s="22"/>
      <c r="T621" s="22"/>
      <c r="U621" s="22"/>
      <c r="V621" s="22"/>
      <c r="W621" s="29"/>
      <c r="X621" s="29"/>
      <c r="Y621" s="29"/>
      <c r="Z621" s="29"/>
      <c r="AA621" s="29"/>
      <c r="AB621" s="29"/>
      <c r="AC621" s="29"/>
      <c r="AD621" s="29"/>
      <c r="AE621" s="29"/>
    </row>
    <row r="622" spans="6:31" ht="16.5" x14ac:dyDescent="0.25">
      <c r="F622" s="22"/>
      <c r="G622" s="22"/>
      <c r="H622" s="22"/>
      <c r="I622" s="22"/>
      <c r="J622" s="22"/>
      <c r="K622" s="22"/>
      <c r="L622" s="22"/>
      <c r="M622" s="22"/>
      <c r="N622" s="22"/>
      <c r="O622" s="22"/>
      <c r="P622" s="22"/>
      <c r="Q622" s="22"/>
      <c r="R622" s="22"/>
      <c r="S622" s="22"/>
      <c r="T622" s="22"/>
      <c r="U622" s="22"/>
      <c r="V622" s="22"/>
      <c r="W622" s="29"/>
      <c r="X622" s="29"/>
      <c r="Y622" s="29"/>
      <c r="Z622" s="29"/>
      <c r="AA622" s="29"/>
      <c r="AB622" s="29"/>
      <c r="AC622" s="29"/>
      <c r="AD622" s="29"/>
      <c r="AE622" s="29"/>
    </row>
    <row r="623" spans="6:31" ht="16.5" x14ac:dyDescent="0.25">
      <c r="F623" s="22"/>
      <c r="G623" s="22"/>
      <c r="H623" s="22"/>
      <c r="I623" s="22"/>
      <c r="J623" s="22"/>
      <c r="K623" s="22"/>
      <c r="L623" s="22"/>
      <c r="M623" s="22"/>
      <c r="N623" s="22"/>
      <c r="O623" s="22"/>
      <c r="P623" s="22"/>
      <c r="Q623" s="22"/>
      <c r="R623" s="22"/>
      <c r="S623" s="22"/>
      <c r="T623" s="22"/>
      <c r="U623" s="22"/>
      <c r="V623" s="22"/>
      <c r="W623" s="29"/>
      <c r="X623" s="29"/>
      <c r="Y623" s="29"/>
      <c r="Z623" s="29"/>
      <c r="AA623" s="29"/>
      <c r="AB623" s="29"/>
      <c r="AC623" s="29"/>
      <c r="AD623" s="29"/>
      <c r="AE623" s="29"/>
    </row>
    <row r="624" spans="6:31" ht="16.5" x14ac:dyDescent="0.25">
      <c r="F624" s="22"/>
      <c r="G624" s="22"/>
      <c r="H624" s="22"/>
      <c r="I624" s="22"/>
      <c r="J624" s="22"/>
      <c r="K624" s="22"/>
      <c r="L624" s="22"/>
      <c r="M624" s="22"/>
      <c r="N624" s="22"/>
      <c r="O624" s="22"/>
      <c r="P624" s="22"/>
      <c r="Q624" s="22"/>
      <c r="R624" s="22"/>
      <c r="S624" s="22"/>
      <c r="T624" s="22"/>
      <c r="U624" s="22"/>
      <c r="V624" s="22"/>
      <c r="W624" s="29"/>
      <c r="X624" s="29"/>
      <c r="Y624" s="29"/>
      <c r="Z624" s="29"/>
      <c r="AA624" s="29"/>
      <c r="AB624" s="29"/>
      <c r="AC624" s="29"/>
      <c r="AD624" s="29"/>
      <c r="AE624" s="29"/>
    </row>
    <row r="625" spans="6:31" ht="16.5" x14ac:dyDescent="0.25">
      <c r="F625" s="22"/>
      <c r="G625" s="22"/>
      <c r="H625" s="22"/>
      <c r="I625" s="22"/>
      <c r="J625" s="22"/>
      <c r="K625" s="22"/>
      <c r="L625" s="22"/>
      <c r="M625" s="22"/>
      <c r="N625" s="22"/>
      <c r="O625" s="22"/>
      <c r="P625" s="22"/>
      <c r="Q625" s="22"/>
      <c r="R625" s="22"/>
      <c r="S625" s="22"/>
      <c r="T625" s="22"/>
      <c r="U625" s="22"/>
      <c r="V625" s="22"/>
      <c r="W625" s="29"/>
      <c r="X625" s="29"/>
      <c r="Y625" s="29"/>
      <c r="Z625" s="29"/>
      <c r="AA625" s="29"/>
      <c r="AB625" s="29"/>
      <c r="AC625" s="29"/>
      <c r="AD625" s="29"/>
      <c r="AE625" s="29"/>
    </row>
    <row r="626" spans="6:31" ht="16.5" x14ac:dyDescent="0.25">
      <c r="F626" s="22"/>
      <c r="G626" s="22"/>
      <c r="H626" s="22"/>
      <c r="I626" s="22"/>
      <c r="J626" s="22"/>
      <c r="K626" s="22"/>
      <c r="L626" s="22"/>
      <c r="M626" s="22"/>
      <c r="N626" s="22"/>
      <c r="O626" s="22"/>
      <c r="P626" s="22"/>
      <c r="Q626" s="22"/>
      <c r="R626" s="22"/>
      <c r="S626" s="22"/>
      <c r="T626" s="22"/>
      <c r="U626" s="22"/>
      <c r="V626" s="22"/>
      <c r="W626" s="29"/>
      <c r="X626" s="29"/>
      <c r="Y626" s="29"/>
      <c r="Z626" s="29"/>
      <c r="AA626" s="29"/>
      <c r="AB626" s="29"/>
      <c r="AC626" s="29"/>
      <c r="AD626" s="29"/>
      <c r="AE626" s="29"/>
    </row>
    <row r="627" spans="6:31" ht="16.5" x14ac:dyDescent="0.25">
      <c r="F627" s="22"/>
      <c r="G627" s="22"/>
      <c r="H627" s="22"/>
      <c r="I627" s="22"/>
      <c r="J627" s="22"/>
      <c r="K627" s="22"/>
      <c r="L627" s="22"/>
      <c r="M627" s="22"/>
      <c r="N627" s="22"/>
      <c r="O627" s="22"/>
      <c r="P627" s="22"/>
      <c r="Q627" s="22"/>
      <c r="R627" s="22"/>
      <c r="S627" s="22"/>
      <c r="T627" s="22"/>
      <c r="U627" s="22"/>
      <c r="V627" s="22"/>
      <c r="W627" s="29"/>
      <c r="X627" s="29"/>
      <c r="Y627" s="29"/>
      <c r="Z627" s="29"/>
      <c r="AA627" s="29"/>
      <c r="AB627" s="29"/>
      <c r="AC627" s="29"/>
      <c r="AD627" s="29"/>
      <c r="AE627" s="29"/>
    </row>
    <row r="628" spans="6:31" ht="16.5" x14ac:dyDescent="0.25">
      <c r="F628" s="22"/>
      <c r="G628" s="22"/>
      <c r="H628" s="22"/>
      <c r="I628" s="22"/>
      <c r="J628" s="22"/>
      <c r="K628" s="22"/>
      <c r="L628" s="22"/>
      <c r="M628" s="22"/>
      <c r="N628" s="22"/>
      <c r="O628" s="22"/>
      <c r="P628" s="22"/>
      <c r="Q628" s="22"/>
      <c r="R628" s="22"/>
      <c r="S628" s="22"/>
      <c r="T628" s="22"/>
      <c r="U628" s="22"/>
      <c r="V628" s="22"/>
      <c r="W628" s="29"/>
      <c r="X628" s="29"/>
      <c r="Y628" s="29"/>
      <c r="Z628" s="29"/>
      <c r="AA628" s="29"/>
      <c r="AB628" s="29"/>
      <c r="AC628" s="29"/>
      <c r="AD628" s="29"/>
      <c r="AE628" s="29"/>
    </row>
    <row r="629" spans="6:31" ht="16.5" x14ac:dyDescent="0.25">
      <c r="F629" s="22"/>
      <c r="G629" s="22"/>
      <c r="H629" s="22"/>
      <c r="I629" s="22"/>
      <c r="J629" s="22"/>
      <c r="K629" s="22"/>
      <c r="L629" s="22"/>
      <c r="M629" s="22"/>
      <c r="N629" s="22"/>
      <c r="O629" s="22"/>
      <c r="P629" s="22"/>
      <c r="Q629" s="22"/>
      <c r="R629" s="22"/>
      <c r="S629" s="22"/>
      <c r="T629" s="22"/>
      <c r="U629" s="22"/>
      <c r="V629" s="22"/>
      <c r="W629" s="29"/>
      <c r="X629" s="29"/>
      <c r="Y629" s="29"/>
      <c r="Z629" s="29"/>
      <c r="AA629" s="29"/>
      <c r="AB629" s="29"/>
      <c r="AC629" s="29"/>
      <c r="AD629" s="29"/>
      <c r="AE629" s="29"/>
    </row>
    <row r="630" spans="6:31" ht="16.5" x14ac:dyDescent="0.25">
      <c r="F630" s="22"/>
      <c r="G630" s="22"/>
      <c r="H630" s="22"/>
      <c r="I630" s="22"/>
      <c r="J630" s="22"/>
      <c r="K630" s="22"/>
      <c r="L630" s="22"/>
      <c r="M630" s="22"/>
      <c r="N630" s="22"/>
      <c r="O630" s="22"/>
      <c r="P630" s="22"/>
      <c r="Q630" s="22"/>
      <c r="R630" s="22"/>
      <c r="S630" s="22"/>
      <c r="T630" s="22"/>
      <c r="U630" s="22"/>
      <c r="V630" s="22"/>
      <c r="W630" s="29"/>
      <c r="X630" s="29"/>
      <c r="Y630" s="29"/>
      <c r="Z630" s="29"/>
      <c r="AA630" s="29"/>
      <c r="AB630" s="29"/>
      <c r="AC630" s="29"/>
      <c r="AD630" s="29"/>
      <c r="AE630" s="29"/>
    </row>
    <row r="631" spans="6:31" ht="16.5" x14ac:dyDescent="0.25">
      <c r="F631" s="22"/>
      <c r="G631" s="22"/>
      <c r="H631" s="22"/>
      <c r="I631" s="22"/>
      <c r="J631" s="22"/>
      <c r="K631" s="22"/>
      <c r="L631" s="22"/>
      <c r="M631" s="22"/>
      <c r="N631" s="22"/>
      <c r="O631" s="22"/>
      <c r="P631" s="22"/>
      <c r="Q631" s="22"/>
      <c r="R631" s="22"/>
      <c r="S631" s="22"/>
      <c r="T631" s="22"/>
      <c r="U631" s="22"/>
      <c r="V631" s="22"/>
      <c r="W631" s="29"/>
      <c r="X631" s="29"/>
      <c r="Y631" s="29"/>
      <c r="Z631" s="29"/>
      <c r="AA631" s="29"/>
      <c r="AB631" s="29"/>
      <c r="AC631" s="29"/>
      <c r="AD631" s="29"/>
      <c r="AE631" s="29"/>
    </row>
    <row r="632" spans="6:31" ht="16.5" x14ac:dyDescent="0.25">
      <c r="F632" s="22"/>
      <c r="G632" s="22"/>
      <c r="H632" s="22"/>
      <c r="I632" s="22"/>
      <c r="J632" s="22"/>
      <c r="K632" s="22"/>
      <c r="L632" s="22"/>
      <c r="M632" s="22"/>
      <c r="N632" s="22"/>
      <c r="O632" s="22"/>
      <c r="P632" s="22"/>
      <c r="Q632" s="22"/>
      <c r="R632" s="22"/>
      <c r="S632" s="22"/>
      <c r="T632" s="22"/>
      <c r="U632" s="22"/>
      <c r="V632" s="22"/>
      <c r="W632" s="29"/>
      <c r="X632" s="29"/>
      <c r="Y632" s="29"/>
      <c r="Z632" s="29"/>
      <c r="AA632" s="29"/>
      <c r="AB632" s="29"/>
      <c r="AC632" s="29"/>
      <c r="AD632" s="29"/>
      <c r="AE632" s="29"/>
    </row>
    <row r="633" spans="6:31" ht="16.5" x14ac:dyDescent="0.25">
      <c r="F633" s="22"/>
      <c r="G633" s="22"/>
      <c r="H633" s="22"/>
      <c r="I633" s="22"/>
      <c r="J633" s="22"/>
      <c r="K633" s="22"/>
      <c r="L633" s="22"/>
      <c r="M633" s="22"/>
      <c r="N633" s="22"/>
      <c r="O633" s="22"/>
      <c r="P633" s="22"/>
      <c r="Q633" s="22"/>
      <c r="R633" s="22"/>
      <c r="S633" s="22"/>
      <c r="T633" s="22"/>
      <c r="U633" s="22"/>
      <c r="V633" s="22"/>
      <c r="W633" s="29"/>
      <c r="X633" s="29"/>
      <c r="Y633" s="29"/>
      <c r="Z633" s="29"/>
      <c r="AA633" s="29"/>
      <c r="AB633" s="29"/>
      <c r="AC633" s="29"/>
      <c r="AD633" s="29"/>
      <c r="AE633" s="29"/>
    </row>
    <row r="634" spans="6:31" ht="16.5" x14ac:dyDescent="0.25">
      <c r="F634" s="22"/>
      <c r="G634" s="22"/>
      <c r="H634" s="22"/>
      <c r="I634" s="22"/>
      <c r="J634" s="22"/>
      <c r="K634" s="22"/>
      <c r="L634" s="22"/>
      <c r="M634" s="22"/>
      <c r="N634" s="22"/>
      <c r="O634" s="22"/>
      <c r="P634" s="22"/>
      <c r="Q634" s="22"/>
      <c r="R634" s="22"/>
      <c r="S634" s="22"/>
      <c r="T634" s="22"/>
      <c r="U634" s="22"/>
      <c r="V634" s="22"/>
      <c r="W634" s="29"/>
      <c r="X634" s="29"/>
      <c r="Y634" s="29"/>
      <c r="Z634" s="29"/>
      <c r="AA634" s="29"/>
      <c r="AB634" s="29"/>
      <c r="AC634" s="29"/>
      <c r="AD634" s="29"/>
      <c r="AE634" s="29"/>
    </row>
    <row r="635" spans="6:31" ht="16.5" x14ac:dyDescent="0.25">
      <c r="F635" s="22"/>
      <c r="G635" s="22"/>
      <c r="H635" s="22"/>
      <c r="I635" s="22"/>
      <c r="J635" s="22"/>
      <c r="K635" s="22"/>
      <c r="L635" s="22"/>
      <c r="M635" s="22"/>
      <c r="N635" s="22"/>
      <c r="O635" s="22"/>
      <c r="P635" s="22"/>
      <c r="Q635" s="22"/>
      <c r="R635" s="22"/>
      <c r="S635" s="22"/>
      <c r="T635" s="22"/>
      <c r="U635" s="22"/>
      <c r="V635" s="22"/>
      <c r="W635" s="29"/>
      <c r="X635" s="29"/>
      <c r="Y635" s="29"/>
      <c r="Z635" s="29"/>
      <c r="AA635" s="29"/>
      <c r="AB635" s="29"/>
      <c r="AC635" s="29"/>
      <c r="AD635" s="29"/>
      <c r="AE635" s="29"/>
    </row>
    <row r="636" spans="6:31" ht="16.5" x14ac:dyDescent="0.25">
      <c r="F636" s="22"/>
      <c r="G636" s="22"/>
      <c r="H636" s="22"/>
      <c r="I636" s="22"/>
      <c r="J636" s="22"/>
      <c r="K636" s="22"/>
      <c r="L636" s="22"/>
      <c r="M636" s="22"/>
      <c r="N636" s="22"/>
      <c r="O636" s="22"/>
      <c r="P636" s="22"/>
      <c r="Q636" s="22"/>
      <c r="R636" s="22"/>
      <c r="S636" s="22"/>
      <c r="T636" s="22"/>
      <c r="U636" s="22"/>
      <c r="V636" s="22"/>
      <c r="W636" s="29"/>
      <c r="X636" s="29"/>
      <c r="Y636" s="29"/>
      <c r="Z636" s="29"/>
      <c r="AA636" s="29"/>
      <c r="AB636" s="29"/>
      <c r="AC636" s="29"/>
      <c r="AD636" s="29"/>
      <c r="AE636" s="29"/>
    </row>
    <row r="637" spans="6:31" ht="16.5" x14ac:dyDescent="0.25">
      <c r="F637" s="22"/>
      <c r="G637" s="22"/>
      <c r="H637" s="22"/>
      <c r="I637" s="22"/>
      <c r="J637" s="22"/>
      <c r="K637" s="22"/>
      <c r="L637" s="22"/>
      <c r="M637" s="22"/>
      <c r="N637" s="22"/>
      <c r="O637" s="22"/>
      <c r="P637" s="22"/>
      <c r="Q637" s="22"/>
      <c r="R637" s="22"/>
      <c r="S637" s="22"/>
      <c r="T637" s="22"/>
      <c r="U637" s="22"/>
      <c r="V637" s="22"/>
      <c r="W637" s="29"/>
      <c r="X637" s="29"/>
      <c r="Y637" s="29"/>
      <c r="Z637" s="29"/>
      <c r="AA637" s="29"/>
      <c r="AB637" s="29"/>
      <c r="AC637" s="29"/>
      <c r="AD637" s="29"/>
      <c r="AE637" s="29"/>
    </row>
    <row r="638" spans="6:31" ht="16.5" x14ac:dyDescent="0.25">
      <c r="F638" s="22"/>
      <c r="G638" s="22"/>
      <c r="H638" s="22"/>
      <c r="I638" s="22"/>
      <c r="J638" s="22"/>
      <c r="K638" s="22"/>
      <c r="L638" s="22"/>
      <c r="M638" s="22"/>
      <c r="N638" s="22"/>
      <c r="O638" s="22"/>
      <c r="P638" s="22"/>
      <c r="Q638" s="22"/>
      <c r="R638" s="22"/>
      <c r="S638" s="22"/>
      <c r="T638" s="22"/>
      <c r="U638" s="22"/>
      <c r="V638" s="22"/>
      <c r="W638" s="29"/>
      <c r="X638" s="29"/>
      <c r="Y638" s="29"/>
      <c r="Z638" s="29"/>
      <c r="AA638" s="29"/>
      <c r="AB638" s="29"/>
      <c r="AC638" s="29"/>
      <c r="AD638" s="29"/>
      <c r="AE638" s="29"/>
    </row>
    <row r="639" spans="6:31" ht="16.5" x14ac:dyDescent="0.25">
      <c r="F639" s="22"/>
      <c r="G639" s="22"/>
      <c r="H639" s="22"/>
      <c r="I639" s="22"/>
      <c r="J639" s="22"/>
      <c r="K639" s="22"/>
      <c r="L639" s="22"/>
      <c r="M639" s="22"/>
      <c r="N639" s="22"/>
      <c r="O639" s="22"/>
      <c r="P639" s="22"/>
      <c r="Q639" s="22"/>
      <c r="R639" s="22"/>
      <c r="S639" s="22"/>
      <c r="T639" s="22"/>
      <c r="U639" s="22"/>
      <c r="V639" s="22"/>
      <c r="W639" s="29"/>
      <c r="X639" s="29"/>
      <c r="Y639" s="29"/>
      <c r="Z639" s="29"/>
      <c r="AA639" s="29"/>
      <c r="AB639" s="29"/>
      <c r="AC639" s="29"/>
      <c r="AD639" s="29"/>
      <c r="AE639" s="29"/>
    </row>
    <row r="640" spans="6:31" ht="16.5" x14ac:dyDescent="0.25">
      <c r="F640" s="22"/>
      <c r="G640" s="22"/>
      <c r="H640" s="22"/>
      <c r="I640" s="22"/>
      <c r="J640" s="22"/>
      <c r="K640" s="22"/>
      <c r="L640" s="22"/>
      <c r="M640" s="22"/>
      <c r="N640" s="22"/>
      <c r="O640" s="22"/>
      <c r="P640" s="22"/>
      <c r="Q640" s="22"/>
      <c r="R640" s="22"/>
      <c r="S640" s="22"/>
      <c r="T640" s="22"/>
      <c r="U640" s="22"/>
      <c r="V640" s="22"/>
      <c r="W640" s="29"/>
      <c r="X640" s="29"/>
      <c r="Y640" s="29"/>
      <c r="Z640" s="29"/>
      <c r="AA640" s="29"/>
      <c r="AB640" s="29"/>
      <c r="AC640" s="29"/>
      <c r="AD640" s="29"/>
      <c r="AE640" s="29"/>
    </row>
    <row r="641" spans="6:31" ht="16.5" x14ac:dyDescent="0.25">
      <c r="F641" s="22"/>
      <c r="G641" s="22"/>
      <c r="H641" s="22"/>
      <c r="I641" s="22"/>
      <c r="J641" s="22"/>
      <c r="K641" s="22"/>
      <c r="L641" s="22"/>
      <c r="M641" s="22"/>
      <c r="N641" s="22"/>
      <c r="O641" s="22"/>
      <c r="P641" s="22"/>
      <c r="Q641" s="22"/>
      <c r="R641" s="22"/>
      <c r="S641" s="22"/>
      <c r="T641" s="22"/>
      <c r="U641" s="22"/>
      <c r="V641" s="22"/>
      <c r="W641" s="29"/>
      <c r="X641" s="29"/>
      <c r="Y641" s="29"/>
      <c r="Z641" s="29"/>
      <c r="AA641" s="29"/>
      <c r="AB641" s="29"/>
      <c r="AC641" s="29"/>
      <c r="AD641" s="29"/>
      <c r="AE641" s="29"/>
    </row>
    <row r="642" spans="6:31" ht="16.5" x14ac:dyDescent="0.25">
      <c r="F642" s="22"/>
      <c r="G642" s="22"/>
      <c r="H642" s="22"/>
      <c r="I642" s="22"/>
      <c r="J642" s="22"/>
      <c r="K642" s="22"/>
      <c r="L642" s="22"/>
      <c r="M642" s="22"/>
      <c r="N642" s="22"/>
      <c r="O642" s="22"/>
      <c r="P642" s="22"/>
      <c r="Q642" s="22"/>
      <c r="R642" s="22"/>
      <c r="S642" s="22"/>
      <c r="T642" s="22"/>
      <c r="U642" s="22"/>
      <c r="V642" s="22"/>
      <c r="W642" s="29"/>
      <c r="X642" s="29"/>
      <c r="Y642" s="29"/>
      <c r="Z642" s="29"/>
      <c r="AA642" s="29"/>
      <c r="AB642" s="29"/>
      <c r="AC642" s="29"/>
      <c r="AD642" s="29"/>
      <c r="AE642" s="29"/>
    </row>
    <row r="643" spans="6:31" ht="16.5" x14ac:dyDescent="0.25">
      <c r="F643" s="22"/>
      <c r="G643" s="22"/>
      <c r="H643" s="22"/>
      <c r="I643" s="22"/>
      <c r="J643" s="22"/>
      <c r="K643" s="22"/>
      <c r="L643" s="22"/>
      <c r="M643" s="22"/>
      <c r="N643" s="22"/>
      <c r="O643" s="22"/>
      <c r="P643" s="22"/>
      <c r="Q643" s="22"/>
      <c r="R643" s="22"/>
      <c r="S643" s="22"/>
      <c r="T643" s="22"/>
      <c r="U643" s="22"/>
      <c r="V643" s="22"/>
      <c r="W643" s="29"/>
      <c r="X643" s="29"/>
      <c r="Y643" s="29"/>
      <c r="Z643" s="29"/>
      <c r="AA643" s="29"/>
      <c r="AB643" s="29"/>
      <c r="AC643" s="29"/>
      <c r="AD643" s="29"/>
      <c r="AE643" s="29"/>
    </row>
    <row r="644" spans="6:31" ht="16.5" x14ac:dyDescent="0.25">
      <c r="F644" s="22"/>
      <c r="G644" s="22"/>
      <c r="H644" s="22"/>
      <c r="I644" s="22"/>
      <c r="J644" s="22"/>
      <c r="K644" s="22"/>
      <c r="L644" s="22"/>
      <c r="M644" s="22"/>
      <c r="N644" s="22"/>
      <c r="O644" s="22"/>
      <c r="P644" s="22"/>
      <c r="Q644" s="22"/>
      <c r="R644" s="22"/>
      <c r="S644" s="22"/>
      <c r="T644" s="22"/>
      <c r="U644" s="22"/>
      <c r="V644" s="22"/>
      <c r="W644" s="29"/>
      <c r="X644" s="29"/>
      <c r="Y644" s="29"/>
      <c r="Z644" s="29"/>
      <c r="AA644" s="29"/>
      <c r="AB644" s="29"/>
      <c r="AC644" s="29"/>
      <c r="AD644" s="29"/>
      <c r="AE644" s="29"/>
    </row>
    <row r="645" spans="6:31" ht="16.5" x14ac:dyDescent="0.25">
      <c r="F645" s="22"/>
      <c r="G645" s="22"/>
      <c r="H645" s="22"/>
      <c r="I645" s="22"/>
      <c r="J645" s="22"/>
      <c r="K645" s="22"/>
      <c r="L645" s="22"/>
      <c r="M645" s="22"/>
      <c r="N645" s="22"/>
      <c r="O645" s="22"/>
      <c r="P645" s="22"/>
      <c r="Q645" s="22"/>
      <c r="R645" s="22"/>
      <c r="S645" s="22"/>
      <c r="T645" s="22"/>
      <c r="U645" s="22"/>
      <c r="V645" s="22"/>
      <c r="W645" s="29"/>
      <c r="X645" s="29"/>
      <c r="Y645" s="29"/>
      <c r="Z645" s="29"/>
      <c r="AA645" s="29"/>
      <c r="AB645" s="29"/>
      <c r="AC645" s="29"/>
      <c r="AD645" s="29"/>
      <c r="AE645" s="29"/>
    </row>
    <row r="646" spans="6:31" ht="16.5" x14ac:dyDescent="0.25">
      <c r="F646" s="22"/>
      <c r="G646" s="22"/>
      <c r="H646" s="22"/>
      <c r="I646" s="22"/>
      <c r="J646" s="22"/>
      <c r="K646" s="22"/>
      <c r="L646" s="22"/>
      <c r="M646" s="22"/>
      <c r="N646" s="22"/>
      <c r="O646" s="22"/>
      <c r="P646" s="22"/>
      <c r="Q646" s="22"/>
      <c r="R646" s="22"/>
      <c r="S646" s="22"/>
      <c r="T646" s="22"/>
      <c r="U646" s="22"/>
      <c r="V646" s="22"/>
      <c r="W646" s="29"/>
      <c r="X646" s="29"/>
      <c r="Y646" s="29"/>
      <c r="Z646" s="29"/>
      <c r="AA646" s="29"/>
      <c r="AB646" s="29"/>
      <c r="AC646" s="29"/>
      <c r="AD646" s="29"/>
      <c r="AE646" s="29"/>
    </row>
    <row r="647" spans="6:31" ht="16.5" x14ac:dyDescent="0.25">
      <c r="F647" s="22"/>
      <c r="G647" s="22"/>
      <c r="H647" s="22"/>
      <c r="I647" s="22"/>
      <c r="J647" s="22"/>
      <c r="K647" s="22"/>
      <c r="L647" s="22"/>
      <c r="M647" s="22"/>
      <c r="N647" s="22"/>
      <c r="O647" s="22"/>
      <c r="P647" s="22"/>
      <c r="Q647" s="22"/>
      <c r="R647" s="22"/>
      <c r="S647" s="22"/>
      <c r="T647" s="22"/>
      <c r="U647" s="22"/>
      <c r="V647" s="22"/>
      <c r="W647" s="29"/>
      <c r="X647" s="29"/>
      <c r="Y647" s="29"/>
      <c r="Z647" s="29"/>
      <c r="AA647" s="29"/>
      <c r="AB647" s="29"/>
      <c r="AC647" s="29"/>
      <c r="AD647" s="29"/>
      <c r="AE647" s="29"/>
    </row>
    <row r="648" spans="6:31" ht="16.5" x14ac:dyDescent="0.25">
      <c r="F648" s="22"/>
      <c r="G648" s="22"/>
      <c r="H648" s="22"/>
      <c r="I648" s="22"/>
      <c r="J648" s="22"/>
      <c r="K648" s="22"/>
      <c r="L648" s="22"/>
      <c r="M648" s="22"/>
      <c r="N648" s="22"/>
      <c r="O648" s="22"/>
      <c r="P648" s="22"/>
      <c r="Q648" s="22"/>
      <c r="R648" s="22"/>
      <c r="S648" s="22"/>
      <c r="T648" s="22"/>
      <c r="U648" s="22"/>
      <c r="V648" s="22"/>
      <c r="W648" s="29"/>
      <c r="X648" s="29"/>
      <c r="Y648" s="29"/>
      <c r="Z648" s="29"/>
      <c r="AA648" s="29"/>
      <c r="AB648" s="29"/>
      <c r="AC648" s="29"/>
      <c r="AD648" s="29"/>
      <c r="AE648" s="29"/>
    </row>
    <row r="649" spans="6:31" ht="16.5" x14ac:dyDescent="0.25">
      <c r="F649" s="22"/>
      <c r="G649" s="22"/>
      <c r="H649" s="22"/>
      <c r="I649" s="22"/>
      <c r="J649" s="22"/>
      <c r="K649" s="22"/>
      <c r="L649" s="22"/>
      <c r="M649" s="22"/>
      <c r="N649" s="22"/>
      <c r="O649" s="22"/>
      <c r="P649" s="22"/>
      <c r="Q649" s="22"/>
      <c r="R649" s="22"/>
      <c r="S649" s="22"/>
      <c r="T649" s="22"/>
      <c r="U649" s="22"/>
      <c r="V649" s="22"/>
      <c r="W649" s="29"/>
      <c r="X649" s="29"/>
      <c r="Y649" s="29"/>
      <c r="Z649" s="29"/>
      <c r="AA649" s="29"/>
      <c r="AB649" s="29"/>
      <c r="AC649" s="29"/>
      <c r="AD649" s="29"/>
      <c r="AE649" s="29"/>
    </row>
    <row r="650" spans="6:31" ht="16.5" x14ac:dyDescent="0.25">
      <c r="F650" s="22"/>
      <c r="G650" s="22"/>
      <c r="H650" s="22"/>
      <c r="I650" s="22"/>
      <c r="J650" s="22"/>
      <c r="K650" s="22"/>
      <c r="L650" s="22"/>
      <c r="M650" s="22"/>
      <c r="N650" s="22"/>
      <c r="O650" s="22"/>
      <c r="P650" s="22"/>
      <c r="Q650" s="22"/>
      <c r="R650" s="22"/>
      <c r="S650" s="22"/>
      <c r="T650" s="22"/>
      <c r="U650" s="22"/>
      <c r="V650" s="22"/>
      <c r="W650" s="29"/>
      <c r="X650" s="29"/>
      <c r="Y650" s="29"/>
      <c r="Z650" s="29"/>
      <c r="AA650" s="29"/>
      <c r="AB650" s="29"/>
      <c r="AC650" s="29"/>
      <c r="AD650" s="29"/>
      <c r="AE650" s="29"/>
    </row>
    <row r="651" spans="6:31" ht="16.5" x14ac:dyDescent="0.25">
      <c r="F651" s="22"/>
      <c r="G651" s="22"/>
      <c r="H651" s="22"/>
      <c r="I651" s="22"/>
      <c r="J651" s="22"/>
      <c r="K651" s="22"/>
      <c r="L651" s="22"/>
      <c r="M651" s="22"/>
      <c r="N651" s="22"/>
      <c r="O651" s="22"/>
      <c r="P651" s="22"/>
      <c r="Q651" s="22"/>
      <c r="R651" s="22"/>
      <c r="S651" s="22"/>
      <c r="T651" s="22"/>
      <c r="U651" s="22"/>
      <c r="V651" s="22"/>
      <c r="W651" s="29"/>
      <c r="X651" s="29"/>
      <c r="Y651" s="29"/>
      <c r="Z651" s="29"/>
      <c r="AA651" s="29"/>
      <c r="AB651" s="29"/>
      <c r="AC651" s="29"/>
      <c r="AD651" s="29"/>
      <c r="AE651" s="29"/>
    </row>
    <row r="652" spans="6:31" ht="16.5" x14ac:dyDescent="0.25">
      <c r="F652" s="22"/>
      <c r="G652" s="22"/>
      <c r="H652" s="22"/>
      <c r="I652" s="22"/>
      <c r="J652" s="22"/>
      <c r="K652" s="22"/>
      <c r="L652" s="22"/>
      <c r="M652" s="22"/>
      <c r="N652" s="22"/>
      <c r="O652" s="22"/>
      <c r="P652" s="22"/>
      <c r="Q652" s="22"/>
      <c r="R652" s="22"/>
      <c r="S652" s="22"/>
      <c r="T652" s="22"/>
      <c r="U652" s="22"/>
      <c r="V652" s="22"/>
      <c r="W652" s="29"/>
      <c r="X652" s="29"/>
      <c r="Y652" s="29"/>
      <c r="Z652" s="29"/>
      <c r="AA652" s="29"/>
      <c r="AB652" s="29"/>
      <c r="AC652" s="29"/>
      <c r="AD652" s="29"/>
      <c r="AE652" s="29"/>
    </row>
    <row r="653" spans="6:31" ht="16.5" x14ac:dyDescent="0.25">
      <c r="F653" s="22"/>
      <c r="G653" s="22"/>
      <c r="H653" s="22"/>
      <c r="I653" s="22"/>
      <c r="J653" s="22"/>
      <c r="K653" s="22"/>
      <c r="L653" s="22"/>
      <c r="M653" s="22"/>
      <c r="N653" s="22"/>
      <c r="O653" s="22"/>
      <c r="P653" s="22"/>
      <c r="Q653" s="22"/>
      <c r="R653" s="22"/>
      <c r="S653" s="22"/>
      <c r="T653" s="22"/>
      <c r="U653" s="22"/>
      <c r="V653" s="22"/>
      <c r="W653" s="29"/>
      <c r="X653" s="29"/>
      <c r="Y653" s="29"/>
      <c r="Z653" s="29"/>
      <c r="AA653" s="29"/>
      <c r="AB653" s="29"/>
      <c r="AC653" s="29"/>
      <c r="AD653" s="29"/>
      <c r="AE653" s="29"/>
    </row>
    <row r="654" spans="6:31" ht="16.5" x14ac:dyDescent="0.25">
      <c r="F654" s="22"/>
      <c r="G654" s="22"/>
      <c r="H654" s="22"/>
      <c r="I654" s="22"/>
      <c r="J654" s="22"/>
      <c r="K654" s="22"/>
      <c r="L654" s="22"/>
      <c r="M654" s="22"/>
      <c r="N654" s="22"/>
      <c r="O654" s="22"/>
      <c r="P654" s="22"/>
      <c r="Q654" s="22"/>
      <c r="R654" s="22"/>
      <c r="S654" s="22"/>
      <c r="T654" s="22"/>
      <c r="U654" s="22"/>
      <c r="V654" s="22"/>
      <c r="W654" s="29"/>
      <c r="X654" s="29"/>
      <c r="Y654" s="29"/>
      <c r="Z654" s="29"/>
      <c r="AA654" s="29"/>
      <c r="AB654" s="29"/>
      <c r="AC654" s="29"/>
      <c r="AD654" s="29"/>
      <c r="AE654" s="29"/>
    </row>
    <row r="655" spans="6:31" ht="16.5" x14ac:dyDescent="0.25">
      <c r="F655" s="22"/>
      <c r="G655" s="22"/>
      <c r="H655" s="22"/>
      <c r="I655" s="22"/>
      <c r="J655" s="22"/>
      <c r="K655" s="22"/>
      <c r="L655" s="22"/>
      <c r="M655" s="22"/>
      <c r="N655" s="22"/>
      <c r="O655" s="22"/>
      <c r="P655" s="22"/>
      <c r="Q655" s="22"/>
      <c r="R655" s="22"/>
      <c r="S655" s="22"/>
      <c r="T655" s="22"/>
      <c r="U655" s="22"/>
      <c r="V655" s="22"/>
      <c r="W655" s="29"/>
      <c r="X655" s="29"/>
      <c r="Y655" s="29"/>
      <c r="Z655" s="29"/>
      <c r="AA655" s="29"/>
      <c r="AB655" s="29"/>
      <c r="AC655" s="29"/>
      <c r="AD655" s="29"/>
      <c r="AE655" s="29"/>
    </row>
    <row r="656" spans="6:31" ht="16.5" x14ac:dyDescent="0.25">
      <c r="F656" s="22"/>
      <c r="G656" s="22"/>
      <c r="H656" s="22"/>
      <c r="I656" s="22"/>
      <c r="J656" s="22"/>
      <c r="K656" s="22"/>
      <c r="L656" s="22"/>
      <c r="M656" s="22"/>
      <c r="N656" s="22"/>
      <c r="O656" s="22"/>
      <c r="P656" s="22"/>
      <c r="Q656" s="22"/>
      <c r="R656" s="22"/>
      <c r="S656" s="22"/>
      <c r="T656" s="22"/>
      <c r="U656" s="22"/>
      <c r="V656" s="22"/>
      <c r="W656" s="29"/>
      <c r="X656" s="29"/>
      <c r="Y656" s="29"/>
      <c r="Z656" s="29"/>
      <c r="AA656" s="29"/>
      <c r="AB656" s="29"/>
      <c r="AC656" s="29"/>
      <c r="AD656" s="29"/>
      <c r="AE656" s="29"/>
    </row>
    <row r="657" spans="6:31" ht="16.5" x14ac:dyDescent="0.25">
      <c r="F657" s="22"/>
      <c r="G657" s="22"/>
      <c r="H657" s="22"/>
      <c r="I657" s="22"/>
      <c r="J657" s="22"/>
      <c r="K657" s="22"/>
      <c r="L657" s="22"/>
      <c r="M657" s="22"/>
      <c r="N657" s="22"/>
      <c r="O657" s="22"/>
      <c r="P657" s="22"/>
      <c r="Q657" s="22"/>
      <c r="R657" s="22"/>
      <c r="S657" s="22"/>
      <c r="T657" s="22"/>
      <c r="U657" s="22"/>
      <c r="V657" s="22"/>
      <c r="W657" s="29"/>
      <c r="X657" s="29"/>
      <c r="Y657" s="29"/>
      <c r="Z657" s="29"/>
      <c r="AA657" s="29"/>
      <c r="AB657" s="29"/>
      <c r="AC657" s="29"/>
      <c r="AD657" s="29"/>
      <c r="AE657" s="29"/>
    </row>
    <row r="658" spans="6:31" ht="16.5" x14ac:dyDescent="0.25">
      <c r="F658" s="22"/>
      <c r="G658" s="22"/>
      <c r="H658" s="22"/>
      <c r="I658" s="22"/>
      <c r="J658" s="22"/>
      <c r="K658" s="22"/>
      <c r="L658" s="22"/>
      <c r="M658" s="22"/>
      <c r="N658" s="22"/>
      <c r="O658" s="22"/>
      <c r="P658" s="22"/>
      <c r="Q658" s="22"/>
      <c r="R658" s="22"/>
      <c r="S658" s="22"/>
      <c r="T658" s="22"/>
      <c r="U658" s="22"/>
      <c r="V658" s="22"/>
      <c r="W658" s="29"/>
      <c r="X658" s="29"/>
      <c r="Y658" s="29"/>
      <c r="Z658" s="29"/>
      <c r="AA658" s="29"/>
      <c r="AB658" s="29"/>
      <c r="AC658" s="29"/>
      <c r="AD658" s="29"/>
      <c r="AE658" s="29"/>
    </row>
    <row r="659" spans="6:31" ht="16.5" x14ac:dyDescent="0.25">
      <c r="F659" s="22"/>
      <c r="G659" s="22"/>
      <c r="H659" s="22"/>
      <c r="I659" s="22"/>
      <c r="J659" s="22"/>
      <c r="K659" s="22"/>
      <c r="L659" s="22"/>
      <c r="M659" s="22"/>
      <c r="N659" s="22"/>
      <c r="O659" s="22"/>
      <c r="P659" s="22"/>
      <c r="Q659" s="22"/>
      <c r="R659" s="22"/>
      <c r="S659" s="22"/>
      <c r="T659" s="22"/>
      <c r="U659" s="22"/>
      <c r="V659" s="22"/>
      <c r="W659" s="29"/>
      <c r="X659" s="29"/>
      <c r="Y659" s="29"/>
      <c r="Z659" s="29"/>
      <c r="AA659" s="29"/>
      <c r="AB659" s="29"/>
      <c r="AC659" s="29"/>
      <c r="AD659" s="29"/>
      <c r="AE659" s="29"/>
    </row>
    <row r="660" spans="6:31" ht="16.5" x14ac:dyDescent="0.25">
      <c r="F660" s="22"/>
      <c r="G660" s="22"/>
      <c r="H660" s="22"/>
      <c r="I660" s="22"/>
      <c r="J660" s="22"/>
      <c r="K660" s="22"/>
      <c r="L660" s="22"/>
      <c r="M660" s="22"/>
      <c r="N660" s="22"/>
      <c r="O660" s="22"/>
      <c r="P660" s="22"/>
      <c r="Q660" s="22"/>
      <c r="R660" s="22"/>
      <c r="S660" s="22"/>
      <c r="T660" s="22"/>
      <c r="U660" s="22"/>
      <c r="V660" s="22"/>
      <c r="W660" s="29"/>
      <c r="X660" s="29"/>
      <c r="Y660" s="29"/>
      <c r="Z660" s="29"/>
      <c r="AA660" s="29"/>
      <c r="AB660" s="29"/>
      <c r="AC660" s="29"/>
      <c r="AD660" s="29"/>
      <c r="AE660" s="29"/>
    </row>
    <row r="661" spans="6:31" ht="16.5" x14ac:dyDescent="0.25">
      <c r="F661" s="22"/>
      <c r="G661" s="22"/>
      <c r="H661" s="22"/>
      <c r="I661" s="22"/>
      <c r="J661" s="22"/>
      <c r="K661" s="22"/>
      <c r="L661" s="22"/>
      <c r="M661" s="22"/>
      <c r="N661" s="22"/>
      <c r="O661" s="22"/>
      <c r="P661" s="22"/>
      <c r="Q661" s="22"/>
      <c r="R661" s="22"/>
      <c r="S661" s="22"/>
      <c r="T661" s="22"/>
      <c r="U661" s="22"/>
      <c r="V661" s="22"/>
      <c r="W661" s="29"/>
      <c r="X661" s="29"/>
      <c r="Y661" s="29"/>
      <c r="Z661" s="29"/>
      <c r="AA661" s="29"/>
      <c r="AB661" s="29"/>
      <c r="AC661" s="29"/>
      <c r="AD661" s="29"/>
      <c r="AE661" s="29"/>
    </row>
    <row r="662" spans="6:31" ht="16.5" x14ac:dyDescent="0.25">
      <c r="F662" s="22"/>
      <c r="G662" s="22"/>
      <c r="H662" s="22"/>
      <c r="I662" s="22"/>
      <c r="J662" s="22"/>
      <c r="K662" s="22"/>
      <c r="L662" s="22"/>
      <c r="M662" s="22"/>
      <c r="N662" s="22"/>
      <c r="O662" s="22"/>
      <c r="P662" s="22"/>
      <c r="Q662" s="22"/>
      <c r="R662" s="22"/>
      <c r="S662" s="22"/>
      <c r="T662" s="22"/>
      <c r="U662" s="22"/>
      <c r="V662" s="22"/>
      <c r="W662" s="29"/>
      <c r="X662" s="29"/>
      <c r="Y662" s="29"/>
      <c r="Z662" s="29"/>
      <c r="AA662" s="29"/>
      <c r="AB662" s="29"/>
      <c r="AC662" s="29"/>
      <c r="AD662" s="29"/>
      <c r="AE662" s="29"/>
    </row>
    <row r="663" spans="6:31" ht="16.5" x14ac:dyDescent="0.25">
      <c r="F663" s="22"/>
      <c r="G663" s="22"/>
      <c r="H663" s="22"/>
      <c r="I663" s="22"/>
      <c r="J663" s="22"/>
      <c r="K663" s="22"/>
      <c r="L663" s="22"/>
      <c r="M663" s="22"/>
      <c r="N663" s="22"/>
      <c r="O663" s="22"/>
      <c r="P663" s="22"/>
      <c r="Q663" s="22"/>
      <c r="R663" s="22"/>
      <c r="S663" s="22"/>
      <c r="T663" s="22"/>
      <c r="U663" s="22"/>
      <c r="V663" s="22"/>
      <c r="W663" s="29"/>
      <c r="X663" s="29"/>
      <c r="Y663" s="29"/>
      <c r="Z663" s="29"/>
      <c r="AA663" s="29"/>
      <c r="AB663" s="29"/>
      <c r="AC663" s="29"/>
      <c r="AD663" s="29"/>
      <c r="AE663" s="29"/>
    </row>
    <row r="664" spans="6:31" ht="16.5" x14ac:dyDescent="0.25">
      <c r="F664" s="22"/>
      <c r="G664" s="22"/>
      <c r="H664" s="22"/>
      <c r="I664" s="22"/>
      <c r="J664" s="22"/>
      <c r="K664" s="22"/>
      <c r="L664" s="22"/>
      <c r="M664" s="22"/>
      <c r="N664" s="22"/>
      <c r="O664" s="22"/>
      <c r="P664" s="22"/>
      <c r="Q664" s="22"/>
      <c r="R664" s="22"/>
      <c r="S664" s="22"/>
      <c r="T664" s="22"/>
      <c r="U664" s="22"/>
      <c r="V664" s="22"/>
      <c r="W664" s="29"/>
      <c r="X664" s="29"/>
      <c r="Y664" s="29"/>
      <c r="Z664" s="29"/>
      <c r="AA664" s="29"/>
      <c r="AB664" s="29"/>
      <c r="AC664" s="29"/>
      <c r="AD664" s="29"/>
      <c r="AE664" s="29"/>
    </row>
    <row r="665" spans="6:31" ht="16.5" x14ac:dyDescent="0.25">
      <c r="F665" s="22"/>
      <c r="G665" s="22"/>
      <c r="H665" s="22"/>
      <c r="I665" s="22"/>
      <c r="J665" s="22"/>
      <c r="K665" s="22"/>
      <c r="L665" s="22"/>
      <c r="M665" s="22"/>
      <c r="N665" s="22"/>
      <c r="O665" s="22"/>
      <c r="P665" s="22"/>
      <c r="Q665" s="22"/>
      <c r="R665" s="22"/>
      <c r="S665" s="22"/>
      <c r="T665" s="22"/>
      <c r="U665" s="22"/>
      <c r="V665" s="22"/>
      <c r="W665" s="29"/>
      <c r="X665" s="29"/>
      <c r="Y665" s="29"/>
      <c r="Z665" s="29"/>
      <c r="AA665" s="29"/>
      <c r="AB665" s="29"/>
      <c r="AC665" s="29"/>
      <c r="AD665" s="29"/>
      <c r="AE665" s="29"/>
    </row>
    <row r="666" spans="6:31" ht="16.5" x14ac:dyDescent="0.25">
      <c r="F666" s="22"/>
      <c r="G666" s="22"/>
      <c r="H666" s="22"/>
      <c r="I666" s="22"/>
      <c r="J666" s="22"/>
      <c r="K666" s="22"/>
      <c r="L666" s="22"/>
      <c r="M666" s="22"/>
      <c r="N666" s="22"/>
      <c r="O666" s="22"/>
      <c r="P666" s="22"/>
      <c r="Q666" s="22"/>
      <c r="R666" s="22"/>
      <c r="S666" s="22"/>
      <c r="T666" s="22"/>
      <c r="U666" s="22"/>
      <c r="V666" s="22"/>
      <c r="W666" s="29"/>
      <c r="X666" s="29"/>
      <c r="Y666" s="29"/>
      <c r="Z666" s="29"/>
      <c r="AA666" s="29"/>
      <c r="AB666" s="29"/>
      <c r="AC666" s="29"/>
      <c r="AD666" s="29"/>
      <c r="AE666" s="29"/>
    </row>
    <row r="667" spans="6:31" ht="16.5" x14ac:dyDescent="0.25">
      <c r="F667" s="22"/>
      <c r="G667" s="22"/>
      <c r="H667" s="22"/>
      <c r="I667" s="22"/>
      <c r="J667" s="22"/>
      <c r="K667" s="22"/>
      <c r="L667" s="22"/>
      <c r="M667" s="22"/>
      <c r="N667" s="22"/>
      <c r="O667" s="22"/>
      <c r="P667" s="22"/>
      <c r="Q667" s="22"/>
      <c r="R667" s="22"/>
      <c r="S667" s="22"/>
      <c r="T667" s="22"/>
      <c r="U667" s="22"/>
      <c r="V667" s="22"/>
      <c r="W667" s="29"/>
      <c r="X667" s="29"/>
      <c r="Y667" s="29"/>
      <c r="Z667" s="29"/>
      <c r="AA667" s="29"/>
      <c r="AB667" s="29"/>
      <c r="AC667" s="29"/>
      <c r="AD667" s="29"/>
      <c r="AE667" s="29"/>
    </row>
    <row r="668" spans="6:31" ht="16.5" x14ac:dyDescent="0.25">
      <c r="F668" s="22"/>
      <c r="G668" s="22"/>
      <c r="H668" s="22"/>
      <c r="I668" s="22"/>
      <c r="J668" s="22"/>
      <c r="K668" s="22"/>
      <c r="L668" s="22"/>
      <c r="M668" s="22"/>
      <c r="N668" s="22"/>
      <c r="O668" s="22"/>
      <c r="P668" s="22"/>
      <c r="Q668" s="22"/>
      <c r="R668" s="22"/>
      <c r="S668" s="22"/>
      <c r="T668" s="22"/>
      <c r="U668" s="22"/>
      <c r="V668" s="22"/>
      <c r="W668" s="29"/>
      <c r="X668" s="29"/>
      <c r="Y668" s="29"/>
      <c r="Z668" s="29"/>
      <c r="AA668" s="29"/>
      <c r="AB668" s="29"/>
      <c r="AC668" s="29"/>
      <c r="AD668" s="29"/>
      <c r="AE668" s="29"/>
    </row>
    <row r="669" spans="6:31" ht="16.5" x14ac:dyDescent="0.25">
      <c r="F669" s="22"/>
      <c r="G669" s="22"/>
      <c r="H669" s="22"/>
      <c r="I669" s="22"/>
      <c r="J669" s="22"/>
      <c r="K669" s="22"/>
      <c r="L669" s="22"/>
      <c r="M669" s="22"/>
      <c r="N669" s="22"/>
      <c r="O669" s="22"/>
      <c r="P669" s="22"/>
      <c r="Q669" s="22"/>
      <c r="R669" s="22"/>
      <c r="S669" s="22"/>
      <c r="T669" s="22"/>
      <c r="U669" s="22"/>
      <c r="V669" s="22"/>
      <c r="W669" s="29"/>
      <c r="X669" s="29"/>
      <c r="Y669" s="29"/>
      <c r="Z669" s="29"/>
      <c r="AA669" s="29"/>
      <c r="AB669" s="29"/>
      <c r="AC669" s="29"/>
      <c r="AD669" s="29"/>
      <c r="AE669" s="29"/>
    </row>
    <row r="670" spans="6:31" ht="16.5" x14ac:dyDescent="0.25">
      <c r="F670" s="22"/>
      <c r="G670" s="22"/>
      <c r="H670" s="22"/>
      <c r="I670" s="22"/>
      <c r="J670" s="22"/>
      <c r="K670" s="22"/>
      <c r="L670" s="22"/>
      <c r="M670" s="22"/>
      <c r="N670" s="22"/>
      <c r="O670" s="22"/>
      <c r="P670" s="22"/>
      <c r="Q670" s="22"/>
      <c r="R670" s="22"/>
      <c r="S670" s="22"/>
      <c r="T670" s="22"/>
      <c r="U670" s="22"/>
      <c r="V670" s="22"/>
      <c r="W670" s="29"/>
      <c r="X670" s="29"/>
      <c r="Y670" s="29"/>
      <c r="Z670" s="29"/>
      <c r="AA670" s="29"/>
      <c r="AB670" s="29"/>
      <c r="AC670" s="29"/>
      <c r="AD670" s="29"/>
      <c r="AE670" s="29"/>
    </row>
    <row r="671" spans="6:31" ht="16.5" x14ac:dyDescent="0.25">
      <c r="F671" s="22"/>
      <c r="G671" s="22"/>
      <c r="H671" s="22"/>
      <c r="I671" s="22"/>
      <c r="J671" s="22"/>
      <c r="K671" s="22"/>
      <c r="L671" s="22"/>
      <c r="M671" s="22"/>
      <c r="N671" s="22"/>
      <c r="O671" s="22"/>
      <c r="P671" s="22"/>
      <c r="Q671" s="22"/>
      <c r="R671" s="22"/>
      <c r="S671" s="22"/>
      <c r="T671" s="22"/>
      <c r="U671" s="22"/>
      <c r="V671" s="22"/>
      <c r="W671" s="29"/>
      <c r="X671" s="29"/>
      <c r="Y671" s="29"/>
      <c r="Z671" s="29"/>
      <c r="AA671" s="29"/>
      <c r="AB671" s="29"/>
      <c r="AC671" s="29"/>
      <c r="AD671" s="29"/>
      <c r="AE671" s="29"/>
    </row>
    <row r="672" spans="6:31" ht="16.5" x14ac:dyDescent="0.25">
      <c r="F672" s="22"/>
      <c r="G672" s="22"/>
      <c r="H672" s="22"/>
      <c r="I672" s="22"/>
      <c r="J672" s="22"/>
      <c r="K672" s="22"/>
      <c r="L672" s="22"/>
      <c r="M672" s="22"/>
      <c r="N672" s="22"/>
      <c r="O672" s="22"/>
      <c r="P672" s="22"/>
      <c r="Q672" s="22"/>
      <c r="R672" s="22"/>
      <c r="S672" s="22"/>
      <c r="T672" s="22"/>
      <c r="U672" s="22"/>
      <c r="V672" s="22"/>
      <c r="W672" s="29"/>
      <c r="X672" s="29"/>
      <c r="Y672" s="29"/>
      <c r="Z672" s="29"/>
      <c r="AA672" s="29"/>
      <c r="AB672" s="29"/>
      <c r="AC672" s="29"/>
      <c r="AD672" s="29"/>
      <c r="AE672" s="29"/>
    </row>
    <row r="673" spans="6:31" ht="16.5" x14ac:dyDescent="0.25">
      <c r="F673" s="22"/>
      <c r="G673" s="22"/>
      <c r="H673" s="22"/>
      <c r="I673" s="22"/>
      <c r="J673" s="22"/>
      <c r="K673" s="22"/>
      <c r="L673" s="22"/>
      <c r="M673" s="22"/>
      <c r="N673" s="22"/>
      <c r="O673" s="22"/>
      <c r="P673" s="22"/>
      <c r="Q673" s="22"/>
      <c r="R673" s="22"/>
      <c r="S673" s="22"/>
      <c r="T673" s="22"/>
      <c r="U673" s="22"/>
      <c r="V673" s="22"/>
      <c r="W673" s="29"/>
      <c r="X673" s="29"/>
      <c r="Y673" s="29"/>
      <c r="Z673" s="29"/>
      <c r="AA673" s="29"/>
      <c r="AB673" s="29"/>
      <c r="AC673" s="29"/>
      <c r="AD673" s="29"/>
      <c r="AE673" s="29"/>
    </row>
    <row r="674" spans="6:31" ht="16.5" x14ac:dyDescent="0.25">
      <c r="F674" s="22"/>
      <c r="G674" s="22"/>
      <c r="H674" s="22"/>
      <c r="I674" s="22"/>
      <c r="J674" s="22"/>
      <c r="K674" s="22"/>
      <c r="L674" s="22"/>
      <c r="M674" s="22"/>
      <c r="N674" s="22"/>
      <c r="O674" s="22"/>
      <c r="P674" s="22"/>
      <c r="Q674" s="22"/>
      <c r="R674" s="22"/>
      <c r="S674" s="22"/>
      <c r="T674" s="22"/>
      <c r="U674" s="22"/>
      <c r="V674" s="22"/>
      <c r="W674" s="29"/>
      <c r="X674" s="29"/>
      <c r="Y674" s="29"/>
      <c r="Z674" s="29"/>
      <c r="AA674" s="29"/>
      <c r="AB674" s="29"/>
      <c r="AC674" s="29"/>
      <c r="AD674" s="29"/>
      <c r="AE674" s="29"/>
    </row>
    <row r="675" spans="6:31" ht="16.5" x14ac:dyDescent="0.25">
      <c r="F675" s="22"/>
      <c r="G675" s="22"/>
      <c r="H675" s="22"/>
      <c r="I675" s="22"/>
      <c r="J675" s="22"/>
      <c r="K675" s="22"/>
      <c r="L675" s="22"/>
      <c r="M675" s="22"/>
      <c r="N675" s="22"/>
      <c r="O675" s="22"/>
      <c r="P675" s="22"/>
      <c r="Q675" s="22"/>
      <c r="R675" s="22"/>
      <c r="S675" s="22"/>
      <c r="T675" s="22"/>
      <c r="U675" s="22"/>
      <c r="V675" s="22"/>
      <c r="W675" s="29"/>
      <c r="X675" s="29"/>
      <c r="Y675" s="29"/>
      <c r="Z675" s="29"/>
      <c r="AA675" s="29"/>
      <c r="AB675" s="29"/>
      <c r="AC675" s="29"/>
      <c r="AD675" s="29"/>
      <c r="AE675" s="29"/>
    </row>
    <row r="676" spans="6:31" ht="16.5" x14ac:dyDescent="0.25">
      <c r="F676" s="22"/>
      <c r="G676" s="22"/>
      <c r="H676" s="22"/>
      <c r="I676" s="22"/>
      <c r="J676" s="22"/>
      <c r="K676" s="22"/>
      <c r="L676" s="22"/>
      <c r="M676" s="22"/>
      <c r="N676" s="22"/>
      <c r="O676" s="22"/>
      <c r="P676" s="22"/>
      <c r="Q676" s="22"/>
      <c r="R676" s="22"/>
      <c r="S676" s="22"/>
      <c r="T676" s="22"/>
      <c r="U676" s="22"/>
      <c r="V676" s="22"/>
      <c r="W676" s="29"/>
      <c r="X676" s="29"/>
      <c r="Y676" s="29"/>
      <c r="Z676" s="29"/>
      <c r="AA676" s="29"/>
      <c r="AB676" s="29"/>
      <c r="AC676" s="29"/>
      <c r="AD676" s="29"/>
      <c r="AE676" s="29"/>
    </row>
    <row r="677" spans="6:31" ht="16.5" x14ac:dyDescent="0.25">
      <c r="F677" s="22"/>
      <c r="G677" s="22"/>
      <c r="H677" s="22"/>
      <c r="I677" s="22"/>
      <c r="J677" s="22"/>
      <c r="K677" s="22"/>
      <c r="L677" s="22"/>
      <c r="M677" s="22"/>
      <c r="N677" s="22"/>
      <c r="O677" s="22"/>
      <c r="P677" s="22"/>
      <c r="Q677" s="22"/>
      <c r="R677" s="22"/>
      <c r="S677" s="22"/>
      <c r="T677" s="22"/>
      <c r="U677" s="22"/>
      <c r="V677" s="22"/>
      <c r="W677" s="29"/>
      <c r="X677" s="29"/>
      <c r="Y677" s="29"/>
      <c r="Z677" s="29"/>
      <c r="AA677" s="29"/>
      <c r="AB677" s="29"/>
      <c r="AC677" s="29"/>
      <c r="AD677" s="29"/>
      <c r="AE677" s="29"/>
    </row>
    <row r="678" spans="6:31" ht="16.5" x14ac:dyDescent="0.25">
      <c r="F678" s="22"/>
      <c r="G678" s="22"/>
      <c r="H678" s="22"/>
      <c r="I678" s="22"/>
      <c r="J678" s="22"/>
      <c r="K678" s="22"/>
      <c r="L678" s="22"/>
      <c r="M678" s="22"/>
      <c r="N678" s="22"/>
      <c r="O678" s="22"/>
      <c r="P678" s="22"/>
      <c r="Q678" s="22"/>
      <c r="R678" s="22"/>
      <c r="S678" s="22"/>
      <c r="T678" s="22"/>
      <c r="U678" s="22"/>
      <c r="V678" s="22"/>
      <c r="W678" s="29"/>
      <c r="X678" s="29"/>
      <c r="Y678" s="29"/>
      <c r="Z678" s="29"/>
      <c r="AA678" s="29"/>
      <c r="AB678" s="29"/>
      <c r="AC678" s="29"/>
      <c r="AD678" s="29"/>
      <c r="AE678" s="29"/>
    </row>
    <row r="679" spans="6:31" ht="16.5" x14ac:dyDescent="0.25">
      <c r="F679" s="22"/>
      <c r="G679" s="22"/>
      <c r="H679" s="22"/>
      <c r="I679" s="22"/>
      <c r="J679" s="22"/>
      <c r="K679" s="22"/>
      <c r="L679" s="22"/>
      <c r="M679" s="22"/>
      <c r="N679" s="22"/>
      <c r="O679" s="22"/>
      <c r="P679" s="22"/>
      <c r="Q679" s="22"/>
      <c r="R679" s="22"/>
      <c r="S679" s="22"/>
      <c r="T679" s="22"/>
      <c r="U679" s="22"/>
      <c r="V679" s="22"/>
      <c r="W679" s="29"/>
      <c r="X679" s="29"/>
      <c r="Y679" s="29"/>
      <c r="Z679" s="29"/>
      <c r="AA679" s="29"/>
      <c r="AB679" s="29"/>
      <c r="AC679" s="29"/>
      <c r="AD679" s="29"/>
      <c r="AE679" s="29"/>
    </row>
    <row r="680" spans="6:31" ht="16.5" x14ac:dyDescent="0.25">
      <c r="F680" s="22"/>
      <c r="G680" s="22"/>
      <c r="H680" s="22"/>
      <c r="I680" s="22"/>
      <c r="J680" s="22"/>
      <c r="K680" s="22"/>
      <c r="L680" s="22"/>
      <c r="M680" s="22"/>
      <c r="N680" s="22"/>
      <c r="O680" s="22"/>
      <c r="P680" s="22"/>
      <c r="Q680" s="22"/>
      <c r="R680" s="22"/>
      <c r="S680" s="22"/>
      <c r="T680" s="22"/>
      <c r="U680" s="22"/>
      <c r="V680" s="22"/>
      <c r="W680" s="29"/>
      <c r="X680" s="29"/>
      <c r="Y680" s="29"/>
      <c r="Z680" s="29"/>
      <c r="AA680" s="29"/>
      <c r="AB680" s="29"/>
      <c r="AC680" s="29"/>
      <c r="AD680" s="29"/>
      <c r="AE680" s="29"/>
    </row>
    <row r="681" spans="6:31" ht="16.5" x14ac:dyDescent="0.25">
      <c r="F681" s="22"/>
      <c r="G681" s="22"/>
      <c r="H681" s="22"/>
      <c r="I681" s="22"/>
      <c r="J681" s="22"/>
      <c r="K681" s="22"/>
      <c r="L681" s="22"/>
      <c r="M681" s="22"/>
      <c r="N681" s="22"/>
      <c r="O681" s="22"/>
      <c r="P681" s="22"/>
      <c r="Q681" s="22"/>
      <c r="R681" s="22"/>
      <c r="S681" s="22"/>
      <c r="T681" s="22"/>
      <c r="U681" s="22"/>
      <c r="V681" s="22"/>
      <c r="W681" s="29"/>
      <c r="X681" s="29"/>
      <c r="Y681" s="29"/>
      <c r="Z681" s="29"/>
      <c r="AA681" s="29"/>
      <c r="AB681" s="29"/>
      <c r="AC681" s="29"/>
      <c r="AD681" s="29"/>
      <c r="AE681" s="29"/>
    </row>
    <row r="682" spans="6:31" ht="16.5" x14ac:dyDescent="0.25">
      <c r="F682" s="22"/>
      <c r="G682" s="22"/>
      <c r="H682" s="22"/>
      <c r="I682" s="22"/>
      <c r="J682" s="22"/>
      <c r="K682" s="22"/>
      <c r="L682" s="22"/>
      <c r="M682" s="22"/>
      <c r="N682" s="22"/>
      <c r="O682" s="22"/>
      <c r="P682" s="22"/>
      <c r="Q682" s="22"/>
      <c r="R682" s="22"/>
      <c r="S682" s="22"/>
      <c r="T682" s="22"/>
      <c r="U682" s="22"/>
      <c r="V682" s="22"/>
      <c r="W682" s="29"/>
      <c r="X682" s="29"/>
      <c r="Y682" s="29"/>
      <c r="Z682" s="29"/>
      <c r="AA682" s="29"/>
      <c r="AB682" s="29"/>
      <c r="AC682" s="29"/>
      <c r="AD682" s="29"/>
      <c r="AE682" s="29"/>
    </row>
    <row r="683" spans="6:31" ht="16.5" x14ac:dyDescent="0.25">
      <c r="F683" s="22"/>
      <c r="G683" s="22"/>
      <c r="H683" s="22"/>
      <c r="I683" s="22"/>
      <c r="J683" s="22"/>
      <c r="K683" s="22"/>
      <c r="L683" s="22"/>
      <c r="M683" s="22"/>
      <c r="N683" s="22"/>
      <c r="O683" s="22"/>
      <c r="P683" s="22"/>
      <c r="Q683" s="22"/>
      <c r="R683" s="22"/>
      <c r="S683" s="22"/>
      <c r="T683" s="22"/>
      <c r="U683" s="22"/>
      <c r="V683" s="22"/>
      <c r="W683" s="29"/>
      <c r="X683" s="29"/>
      <c r="Y683" s="29"/>
      <c r="Z683" s="29"/>
      <c r="AA683" s="29"/>
      <c r="AB683" s="29"/>
      <c r="AC683" s="29"/>
      <c r="AD683" s="29"/>
      <c r="AE683" s="29"/>
    </row>
    <row r="684" spans="6:31" ht="16.5" x14ac:dyDescent="0.25">
      <c r="F684" s="22"/>
      <c r="G684" s="22"/>
      <c r="H684" s="22"/>
      <c r="I684" s="22"/>
      <c r="J684" s="22"/>
      <c r="K684" s="22"/>
      <c r="L684" s="22"/>
      <c r="M684" s="22"/>
      <c r="N684" s="22"/>
      <c r="O684" s="22"/>
      <c r="P684" s="22"/>
      <c r="Q684" s="22"/>
      <c r="R684" s="22"/>
      <c r="S684" s="22"/>
      <c r="T684" s="22"/>
      <c r="U684" s="22"/>
      <c r="V684" s="22"/>
      <c r="W684" s="29"/>
      <c r="X684" s="29"/>
      <c r="Y684" s="29"/>
      <c r="Z684" s="29"/>
      <c r="AA684" s="29"/>
      <c r="AB684" s="29"/>
      <c r="AC684" s="29"/>
      <c r="AD684" s="29"/>
      <c r="AE684" s="29"/>
    </row>
    <row r="685" spans="6:31" ht="16.5" x14ac:dyDescent="0.25">
      <c r="F685" s="22"/>
      <c r="G685" s="22"/>
      <c r="H685" s="22"/>
      <c r="I685" s="22"/>
      <c r="J685" s="22"/>
      <c r="K685" s="22"/>
      <c r="L685" s="22"/>
      <c r="M685" s="22"/>
      <c r="N685" s="22"/>
      <c r="O685" s="22"/>
      <c r="P685" s="22"/>
      <c r="Q685" s="22"/>
      <c r="R685" s="22"/>
      <c r="S685" s="22"/>
      <c r="T685" s="22"/>
      <c r="U685" s="22"/>
      <c r="V685" s="22"/>
      <c r="W685" s="29"/>
      <c r="X685" s="29"/>
      <c r="Y685" s="29"/>
      <c r="Z685" s="29"/>
      <c r="AA685" s="29"/>
      <c r="AB685" s="29"/>
      <c r="AC685" s="29"/>
      <c r="AD685" s="29"/>
      <c r="AE685" s="29"/>
    </row>
    <row r="686" spans="6:31" ht="16.5" x14ac:dyDescent="0.25">
      <c r="F686" s="22"/>
      <c r="G686" s="22"/>
      <c r="H686" s="22"/>
      <c r="I686" s="22"/>
      <c r="J686" s="22"/>
      <c r="K686" s="22"/>
      <c r="L686" s="22"/>
      <c r="M686" s="22"/>
      <c r="N686" s="22"/>
      <c r="O686" s="22"/>
      <c r="P686" s="22"/>
      <c r="Q686" s="22"/>
      <c r="R686" s="22"/>
      <c r="S686" s="22"/>
      <c r="T686" s="22"/>
      <c r="U686" s="22"/>
      <c r="V686" s="22"/>
      <c r="W686" s="29"/>
      <c r="X686" s="29"/>
      <c r="Y686" s="29"/>
      <c r="Z686" s="29"/>
      <c r="AA686" s="29"/>
      <c r="AB686" s="29"/>
      <c r="AC686" s="29"/>
      <c r="AD686" s="29"/>
      <c r="AE686" s="29"/>
    </row>
    <row r="687" spans="6:31" ht="16.5" x14ac:dyDescent="0.25">
      <c r="F687" s="22"/>
      <c r="G687" s="22"/>
      <c r="H687" s="22"/>
      <c r="I687" s="22"/>
      <c r="J687" s="22"/>
      <c r="K687" s="22"/>
      <c r="L687" s="22"/>
      <c r="M687" s="22"/>
      <c r="N687" s="22"/>
      <c r="O687" s="22"/>
      <c r="P687" s="22"/>
      <c r="Q687" s="22"/>
      <c r="R687" s="22"/>
      <c r="S687" s="22"/>
      <c r="T687" s="22"/>
      <c r="U687" s="22"/>
      <c r="V687" s="22"/>
      <c r="W687" s="29"/>
      <c r="X687" s="29"/>
      <c r="Y687" s="29"/>
      <c r="Z687" s="29"/>
      <c r="AA687" s="29"/>
      <c r="AB687" s="29"/>
      <c r="AC687" s="29"/>
      <c r="AD687" s="29"/>
      <c r="AE687" s="29"/>
    </row>
    <row r="688" spans="6:31" ht="16.5" x14ac:dyDescent="0.25">
      <c r="F688" s="22"/>
      <c r="G688" s="22"/>
      <c r="H688" s="22"/>
      <c r="I688" s="22"/>
      <c r="J688" s="22"/>
      <c r="K688" s="22"/>
      <c r="L688" s="22"/>
      <c r="M688" s="22"/>
      <c r="N688" s="22"/>
      <c r="O688" s="22"/>
      <c r="P688" s="22"/>
      <c r="Q688" s="22"/>
      <c r="R688" s="22"/>
      <c r="S688" s="22"/>
      <c r="T688" s="22"/>
      <c r="U688" s="22"/>
      <c r="V688" s="22"/>
      <c r="W688" s="29"/>
      <c r="X688" s="29"/>
      <c r="Y688" s="29"/>
      <c r="Z688" s="29"/>
      <c r="AA688" s="29"/>
      <c r="AB688" s="29"/>
      <c r="AC688" s="29"/>
      <c r="AD688" s="29"/>
      <c r="AE688" s="29"/>
    </row>
    <row r="689" spans="6:31" ht="16.5" x14ac:dyDescent="0.25">
      <c r="F689" s="22"/>
      <c r="G689" s="22"/>
      <c r="H689" s="22"/>
      <c r="I689" s="22"/>
      <c r="J689" s="22"/>
      <c r="K689" s="22"/>
      <c r="L689" s="22"/>
      <c r="M689" s="22"/>
      <c r="N689" s="22"/>
      <c r="O689" s="22"/>
      <c r="P689" s="22"/>
      <c r="Q689" s="22"/>
      <c r="R689" s="22"/>
      <c r="S689" s="22"/>
      <c r="T689" s="22"/>
      <c r="U689" s="22"/>
      <c r="V689" s="22"/>
      <c r="W689" s="29"/>
      <c r="X689" s="29"/>
      <c r="Y689" s="29"/>
      <c r="Z689" s="29"/>
      <c r="AA689" s="29"/>
      <c r="AB689" s="29"/>
      <c r="AC689" s="29"/>
      <c r="AD689" s="29"/>
      <c r="AE689" s="29"/>
    </row>
    <row r="690" spans="6:31" ht="16.5" x14ac:dyDescent="0.25">
      <c r="F690" s="22"/>
      <c r="G690" s="22"/>
      <c r="H690" s="22"/>
      <c r="I690" s="22"/>
      <c r="J690" s="22"/>
      <c r="K690" s="22"/>
      <c r="L690" s="22"/>
      <c r="M690" s="22"/>
      <c r="N690" s="22"/>
      <c r="O690" s="22"/>
      <c r="P690" s="22"/>
      <c r="Q690" s="22"/>
      <c r="R690" s="22"/>
      <c r="S690" s="22"/>
      <c r="T690" s="22"/>
      <c r="U690" s="22"/>
      <c r="V690" s="22"/>
      <c r="W690" s="29"/>
      <c r="X690" s="29"/>
      <c r="Y690" s="29"/>
      <c r="Z690" s="29"/>
      <c r="AA690" s="29"/>
      <c r="AB690" s="29"/>
      <c r="AC690" s="29"/>
      <c r="AD690" s="29"/>
      <c r="AE690" s="29"/>
    </row>
    <row r="691" spans="6:31" ht="16.5" x14ac:dyDescent="0.25">
      <c r="F691" s="22"/>
      <c r="G691" s="22"/>
      <c r="H691" s="22"/>
      <c r="I691" s="22"/>
      <c r="J691" s="22"/>
      <c r="K691" s="22"/>
      <c r="L691" s="22"/>
      <c r="M691" s="22"/>
      <c r="N691" s="22"/>
      <c r="O691" s="22"/>
      <c r="P691" s="22"/>
      <c r="Q691" s="22"/>
      <c r="R691" s="22"/>
      <c r="S691" s="22"/>
      <c r="T691" s="22"/>
      <c r="U691" s="22"/>
      <c r="V691" s="22"/>
      <c r="W691" s="29"/>
      <c r="X691" s="29"/>
      <c r="Y691" s="29"/>
      <c r="Z691" s="29"/>
      <c r="AA691" s="29"/>
      <c r="AB691" s="29"/>
      <c r="AC691" s="29"/>
      <c r="AD691" s="29"/>
      <c r="AE691" s="29"/>
    </row>
    <row r="692" spans="6:31" ht="16.5" x14ac:dyDescent="0.25">
      <c r="F692" s="22"/>
      <c r="G692" s="22"/>
      <c r="H692" s="22"/>
      <c r="I692" s="22"/>
      <c r="J692" s="22"/>
      <c r="K692" s="22"/>
      <c r="L692" s="22"/>
      <c r="M692" s="22"/>
      <c r="N692" s="22"/>
      <c r="O692" s="22"/>
      <c r="P692" s="22"/>
      <c r="Q692" s="22"/>
      <c r="R692" s="22"/>
      <c r="S692" s="22"/>
      <c r="T692" s="22"/>
      <c r="U692" s="22"/>
      <c r="V692" s="22"/>
      <c r="W692" s="29"/>
      <c r="X692" s="29"/>
      <c r="Y692" s="29"/>
      <c r="Z692" s="29"/>
      <c r="AA692" s="29"/>
      <c r="AB692" s="29"/>
      <c r="AC692" s="29"/>
      <c r="AD692" s="29"/>
      <c r="AE692" s="29"/>
    </row>
    <row r="693" spans="6:31" ht="16.5" x14ac:dyDescent="0.25">
      <c r="F693" s="22"/>
      <c r="G693" s="22"/>
      <c r="H693" s="22"/>
      <c r="I693" s="22"/>
      <c r="J693" s="22"/>
      <c r="K693" s="22"/>
      <c r="L693" s="22"/>
      <c r="M693" s="22"/>
      <c r="N693" s="22"/>
      <c r="O693" s="22"/>
      <c r="P693" s="22"/>
      <c r="Q693" s="22"/>
      <c r="R693" s="22"/>
      <c r="S693" s="22"/>
      <c r="T693" s="22"/>
      <c r="U693" s="22"/>
      <c r="V693" s="22"/>
      <c r="W693" s="29"/>
      <c r="X693" s="29"/>
      <c r="Y693" s="29"/>
      <c r="Z693" s="29"/>
      <c r="AA693" s="29"/>
      <c r="AB693" s="29"/>
      <c r="AC693" s="29"/>
      <c r="AD693" s="29"/>
      <c r="AE693" s="29"/>
    </row>
    <row r="694" spans="6:31" ht="16.5" x14ac:dyDescent="0.25">
      <c r="F694" s="22"/>
      <c r="G694" s="22"/>
      <c r="H694" s="22"/>
      <c r="I694" s="22"/>
      <c r="J694" s="22"/>
      <c r="K694" s="22"/>
      <c r="L694" s="22"/>
      <c r="M694" s="22"/>
      <c r="N694" s="22"/>
      <c r="O694" s="22"/>
      <c r="P694" s="22"/>
      <c r="Q694" s="22"/>
      <c r="R694" s="22"/>
      <c r="S694" s="22"/>
      <c r="T694" s="22"/>
      <c r="U694" s="22"/>
      <c r="V694" s="22"/>
      <c r="W694" s="29"/>
      <c r="X694" s="29"/>
      <c r="Y694" s="29"/>
      <c r="Z694" s="29"/>
      <c r="AA694" s="29"/>
      <c r="AB694" s="29"/>
      <c r="AC694" s="29"/>
      <c r="AD694" s="29"/>
      <c r="AE694" s="29"/>
    </row>
    <row r="695" spans="6:31" ht="16.5" x14ac:dyDescent="0.25">
      <c r="F695" s="22"/>
      <c r="G695" s="22"/>
      <c r="H695" s="22"/>
      <c r="I695" s="22"/>
      <c r="J695" s="22"/>
      <c r="K695" s="22"/>
      <c r="L695" s="22"/>
      <c r="M695" s="22"/>
      <c r="N695" s="22"/>
      <c r="O695" s="22"/>
      <c r="P695" s="22"/>
      <c r="Q695" s="22"/>
      <c r="R695" s="22"/>
      <c r="S695" s="22"/>
      <c r="T695" s="22"/>
      <c r="U695" s="22"/>
      <c r="V695" s="22"/>
      <c r="W695" s="29"/>
      <c r="X695" s="29"/>
      <c r="Y695" s="29"/>
      <c r="Z695" s="29"/>
      <c r="AA695" s="29"/>
      <c r="AB695" s="29"/>
      <c r="AC695" s="29"/>
      <c r="AD695" s="29"/>
      <c r="AE695" s="29"/>
    </row>
    <row r="696" spans="6:31" ht="16.5" x14ac:dyDescent="0.25">
      <c r="F696" s="22"/>
      <c r="G696" s="22"/>
      <c r="H696" s="22"/>
      <c r="I696" s="22"/>
      <c r="J696" s="22"/>
      <c r="K696" s="22"/>
      <c r="L696" s="22"/>
      <c r="M696" s="22"/>
      <c r="N696" s="22"/>
      <c r="O696" s="22"/>
      <c r="P696" s="22"/>
      <c r="Q696" s="22"/>
      <c r="R696" s="22"/>
      <c r="S696" s="22"/>
      <c r="T696" s="22"/>
      <c r="U696" s="22"/>
      <c r="V696" s="22"/>
      <c r="W696" s="29"/>
      <c r="X696" s="29"/>
      <c r="Y696" s="29"/>
      <c r="Z696" s="29"/>
      <c r="AA696" s="29"/>
      <c r="AB696" s="29"/>
      <c r="AC696" s="29"/>
      <c r="AD696" s="29"/>
      <c r="AE696" s="29"/>
    </row>
    <row r="697" spans="6:31" ht="16.5" x14ac:dyDescent="0.25">
      <c r="F697" s="22"/>
      <c r="G697" s="22"/>
      <c r="H697" s="22"/>
      <c r="I697" s="22"/>
      <c r="J697" s="22"/>
      <c r="K697" s="22"/>
      <c r="L697" s="22"/>
      <c r="M697" s="22"/>
      <c r="N697" s="22"/>
      <c r="O697" s="22"/>
      <c r="P697" s="22"/>
      <c r="Q697" s="22"/>
      <c r="R697" s="22"/>
      <c r="S697" s="22"/>
      <c r="T697" s="22"/>
      <c r="U697" s="22"/>
      <c r="V697" s="22"/>
      <c r="W697" s="29"/>
      <c r="X697" s="29"/>
      <c r="Y697" s="29"/>
      <c r="Z697" s="29"/>
      <c r="AA697" s="29"/>
      <c r="AB697" s="29"/>
      <c r="AC697" s="29"/>
      <c r="AD697" s="29"/>
      <c r="AE697" s="29"/>
    </row>
    <row r="698" spans="6:31" ht="16.5" x14ac:dyDescent="0.25">
      <c r="F698" s="22"/>
      <c r="G698" s="22"/>
      <c r="H698" s="22"/>
      <c r="I698" s="22"/>
      <c r="J698" s="22"/>
      <c r="K698" s="22"/>
      <c r="L698" s="22"/>
      <c r="M698" s="22"/>
      <c r="N698" s="22"/>
      <c r="O698" s="22"/>
      <c r="P698" s="22"/>
      <c r="Q698" s="22"/>
      <c r="R698" s="22"/>
      <c r="S698" s="22"/>
      <c r="T698" s="22"/>
      <c r="U698" s="22"/>
      <c r="V698" s="22"/>
      <c r="W698" s="29"/>
      <c r="X698" s="29"/>
      <c r="Y698" s="29"/>
      <c r="Z698" s="29"/>
      <c r="AA698" s="29"/>
      <c r="AB698" s="29"/>
      <c r="AC698" s="29"/>
      <c r="AD698" s="29"/>
      <c r="AE698" s="29"/>
    </row>
    <row r="699" spans="6:31" ht="16.5" x14ac:dyDescent="0.25">
      <c r="F699" s="22"/>
      <c r="G699" s="22"/>
      <c r="H699" s="22"/>
      <c r="I699" s="22"/>
      <c r="J699" s="22"/>
      <c r="K699" s="22"/>
      <c r="L699" s="22"/>
      <c r="M699" s="22"/>
      <c r="N699" s="22"/>
      <c r="O699" s="22"/>
      <c r="P699" s="22"/>
      <c r="Q699" s="22"/>
      <c r="R699" s="22"/>
      <c r="S699" s="22"/>
      <c r="T699" s="22"/>
      <c r="U699" s="22"/>
      <c r="V699" s="22"/>
      <c r="W699" s="29"/>
      <c r="X699" s="29"/>
      <c r="Y699" s="29"/>
      <c r="Z699" s="29"/>
      <c r="AA699" s="29"/>
      <c r="AB699" s="29"/>
      <c r="AC699" s="29"/>
      <c r="AD699" s="29"/>
      <c r="AE699" s="29"/>
    </row>
    <row r="700" spans="6:31" ht="16.5" x14ac:dyDescent="0.25">
      <c r="F700" s="22"/>
      <c r="G700" s="22"/>
      <c r="H700" s="22"/>
      <c r="I700" s="22"/>
      <c r="J700" s="22"/>
      <c r="K700" s="22"/>
      <c r="L700" s="22"/>
      <c r="M700" s="22"/>
      <c r="N700" s="22"/>
      <c r="O700" s="22"/>
      <c r="P700" s="22"/>
      <c r="Q700" s="22"/>
      <c r="R700" s="22"/>
      <c r="S700" s="22"/>
      <c r="T700" s="22"/>
      <c r="U700" s="22"/>
      <c r="V700" s="22"/>
      <c r="W700" s="29"/>
      <c r="X700" s="29"/>
      <c r="Y700" s="29"/>
      <c r="Z700" s="29"/>
      <c r="AA700" s="29"/>
      <c r="AB700" s="29"/>
      <c r="AC700" s="29"/>
      <c r="AD700" s="29"/>
      <c r="AE700" s="29"/>
    </row>
    <row r="701" spans="6:31" ht="16.5" x14ac:dyDescent="0.25">
      <c r="F701" s="22"/>
      <c r="G701" s="22"/>
      <c r="H701" s="22"/>
      <c r="I701" s="22"/>
      <c r="J701" s="22"/>
      <c r="K701" s="22"/>
      <c r="L701" s="22"/>
      <c r="M701" s="22"/>
      <c r="N701" s="22"/>
      <c r="O701" s="22"/>
      <c r="P701" s="22"/>
      <c r="Q701" s="22"/>
      <c r="R701" s="22"/>
      <c r="S701" s="22"/>
      <c r="T701" s="22"/>
      <c r="U701" s="22"/>
      <c r="V701" s="22"/>
      <c r="W701" s="29"/>
      <c r="X701" s="29"/>
      <c r="Y701" s="29"/>
      <c r="Z701" s="29"/>
      <c r="AA701" s="29"/>
      <c r="AB701" s="29"/>
      <c r="AC701" s="29"/>
      <c r="AD701" s="29"/>
      <c r="AE701" s="29"/>
    </row>
    <row r="702" spans="6:31" ht="16.5" x14ac:dyDescent="0.25">
      <c r="F702" s="22"/>
      <c r="G702" s="22"/>
      <c r="H702" s="22"/>
      <c r="I702" s="22"/>
      <c r="J702" s="22"/>
      <c r="K702" s="22"/>
      <c r="L702" s="22"/>
      <c r="M702" s="22"/>
      <c r="N702" s="22"/>
      <c r="O702" s="22"/>
      <c r="P702" s="22"/>
      <c r="Q702" s="22"/>
      <c r="R702" s="22"/>
      <c r="S702" s="22"/>
      <c r="T702" s="22"/>
      <c r="U702" s="22"/>
      <c r="V702" s="22"/>
      <c r="W702" s="29"/>
      <c r="X702" s="29"/>
      <c r="Y702" s="29"/>
      <c r="Z702" s="29"/>
      <c r="AA702" s="29"/>
      <c r="AB702" s="29"/>
      <c r="AC702" s="29"/>
      <c r="AD702" s="29"/>
      <c r="AE702" s="29"/>
    </row>
    <row r="703" spans="6:31" ht="16.5" x14ac:dyDescent="0.25">
      <c r="F703" s="22"/>
      <c r="G703" s="22"/>
      <c r="H703" s="22"/>
      <c r="I703" s="22"/>
      <c r="J703" s="22"/>
      <c r="K703" s="22"/>
      <c r="L703" s="22"/>
      <c r="M703" s="22"/>
      <c r="N703" s="22"/>
      <c r="O703" s="22"/>
      <c r="P703" s="22"/>
      <c r="Q703" s="22"/>
      <c r="R703" s="22"/>
      <c r="S703" s="22"/>
      <c r="T703" s="22"/>
      <c r="U703" s="22"/>
      <c r="V703" s="22"/>
      <c r="W703" s="29"/>
      <c r="X703" s="29"/>
      <c r="Y703" s="29"/>
      <c r="Z703" s="29"/>
      <c r="AA703" s="29"/>
      <c r="AB703" s="29"/>
      <c r="AC703" s="29"/>
      <c r="AD703" s="29"/>
      <c r="AE703" s="29"/>
    </row>
    <row r="704" spans="6:31" ht="16.5" x14ac:dyDescent="0.25">
      <c r="F704" s="22"/>
      <c r="G704" s="22"/>
      <c r="H704" s="22"/>
      <c r="I704" s="22"/>
      <c r="J704" s="22"/>
      <c r="K704" s="22"/>
      <c r="L704" s="22"/>
      <c r="M704" s="22"/>
      <c r="N704" s="22"/>
      <c r="O704" s="22"/>
      <c r="P704" s="22"/>
      <c r="Q704" s="22"/>
      <c r="R704" s="22"/>
      <c r="S704" s="22"/>
      <c r="T704" s="22"/>
      <c r="U704" s="22"/>
      <c r="V704" s="22"/>
      <c r="W704" s="29"/>
      <c r="X704" s="29"/>
      <c r="Y704" s="29"/>
      <c r="Z704" s="29"/>
      <c r="AA704" s="29"/>
      <c r="AB704" s="29"/>
      <c r="AC704" s="29"/>
      <c r="AD704" s="29"/>
      <c r="AE704" s="29"/>
    </row>
    <row r="705" spans="6:31" ht="16.5" x14ac:dyDescent="0.25">
      <c r="F705" s="22"/>
      <c r="G705" s="22"/>
      <c r="H705" s="22"/>
      <c r="I705" s="22"/>
      <c r="J705" s="22"/>
      <c r="K705" s="22"/>
      <c r="L705" s="22"/>
      <c r="M705" s="22"/>
      <c r="N705" s="22"/>
      <c r="O705" s="22"/>
      <c r="P705" s="22"/>
      <c r="Q705" s="22"/>
      <c r="R705" s="22"/>
      <c r="S705" s="22"/>
      <c r="T705" s="22"/>
      <c r="U705" s="22"/>
      <c r="V705" s="22"/>
      <c r="W705" s="29"/>
      <c r="X705" s="29"/>
      <c r="Y705" s="29"/>
      <c r="Z705" s="29"/>
      <c r="AA705" s="29"/>
      <c r="AB705" s="29"/>
      <c r="AC705" s="29"/>
      <c r="AD705" s="29"/>
      <c r="AE705" s="29"/>
    </row>
    <row r="706" spans="6:31" ht="16.5" x14ac:dyDescent="0.25">
      <c r="F706" s="22"/>
      <c r="G706" s="22"/>
      <c r="H706" s="22"/>
      <c r="I706" s="22"/>
      <c r="J706" s="22"/>
      <c r="K706" s="22"/>
      <c r="L706" s="22"/>
      <c r="M706" s="22"/>
      <c r="N706" s="22"/>
      <c r="O706" s="22"/>
      <c r="P706" s="22"/>
      <c r="Q706" s="22"/>
      <c r="R706" s="22"/>
      <c r="S706" s="22"/>
      <c r="T706" s="22"/>
      <c r="U706" s="22"/>
      <c r="V706" s="22"/>
      <c r="W706" s="29"/>
      <c r="X706" s="29"/>
      <c r="Y706" s="29"/>
      <c r="Z706" s="29"/>
      <c r="AA706" s="29"/>
      <c r="AB706" s="29"/>
      <c r="AC706" s="29"/>
      <c r="AD706" s="29"/>
      <c r="AE706" s="29"/>
    </row>
    <row r="707" spans="6:31" ht="16.5" x14ac:dyDescent="0.25">
      <c r="F707" s="22"/>
      <c r="G707" s="22"/>
      <c r="H707" s="22"/>
      <c r="I707" s="22"/>
      <c r="J707" s="22"/>
      <c r="K707" s="22"/>
      <c r="L707" s="22"/>
      <c r="M707" s="22"/>
      <c r="N707" s="22"/>
      <c r="O707" s="22"/>
      <c r="P707" s="22"/>
      <c r="Q707" s="22"/>
      <c r="R707" s="22"/>
      <c r="S707" s="22"/>
      <c r="T707" s="22"/>
      <c r="U707" s="22"/>
      <c r="V707" s="22"/>
      <c r="W707" s="29"/>
      <c r="X707" s="29"/>
      <c r="Y707" s="29"/>
      <c r="Z707" s="29"/>
      <c r="AA707" s="29"/>
      <c r="AB707" s="29"/>
      <c r="AC707" s="29"/>
      <c r="AD707" s="29"/>
      <c r="AE707" s="29"/>
    </row>
    <row r="708" spans="6:31" ht="16.5" x14ac:dyDescent="0.25">
      <c r="F708" s="22"/>
      <c r="G708" s="22"/>
      <c r="H708" s="22"/>
      <c r="I708" s="22"/>
      <c r="J708" s="22"/>
      <c r="K708" s="22"/>
      <c r="L708" s="22"/>
      <c r="M708" s="22"/>
      <c r="N708" s="22"/>
      <c r="O708" s="22"/>
      <c r="P708" s="22"/>
      <c r="Q708" s="22"/>
      <c r="R708" s="22"/>
      <c r="S708" s="22"/>
      <c r="T708" s="22"/>
      <c r="U708" s="22"/>
      <c r="V708" s="22"/>
      <c r="W708" s="29"/>
      <c r="X708" s="29"/>
      <c r="Y708" s="29"/>
      <c r="Z708" s="29"/>
      <c r="AA708" s="29"/>
      <c r="AB708" s="29"/>
      <c r="AC708" s="29"/>
      <c r="AD708" s="29"/>
      <c r="AE708" s="29"/>
    </row>
    <row r="709" spans="6:31" ht="16.5" x14ac:dyDescent="0.25">
      <c r="F709" s="22"/>
      <c r="G709" s="22"/>
      <c r="H709" s="22"/>
      <c r="I709" s="22"/>
      <c r="J709" s="22"/>
      <c r="K709" s="22"/>
      <c r="L709" s="22"/>
      <c r="M709" s="22"/>
      <c r="N709" s="22"/>
      <c r="O709" s="22"/>
      <c r="P709" s="22"/>
      <c r="Q709" s="22"/>
      <c r="R709" s="22"/>
      <c r="S709" s="22"/>
      <c r="T709" s="22"/>
      <c r="U709" s="22"/>
      <c r="V709" s="22"/>
      <c r="W709" s="29"/>
      <c r="X709" s="29"/>
      <c r="Y709" s="29"/>
      <c r="Z709" s="29"/>
      <c r="AA709" s="29"/>
      <c r="AB709" s="29"/>
      <c r="AC709" s="29"/>
      <c r="AD709" s="29"/>
      <c r="AE709" s="29"/>
    </row>
    <row r="710" spans="6:31" ht="16.5" x14ac:dyDescent="0.25">
      <c r="F710" s="22"/>
      <c r="G710" s="22"/>
      <c r="H710" s="22"/>
      <c r="I710" s="22"/>
      <c r="J710" s="22"/>
      <c r="K710" s="22"/>
      <c r="L710" s="22"/>
      <c r="M710" s="22"/>
      <c r="N710" s="22"/>
      <c r="O710" s="22"/>
      <c r="P710" s="22"/>
      <c r="Q710" s="22"/>
      <c r="R710" s="22"/>
      <c r="S710" s="22"/>
      <c r="T710" s="22"/>
      <c r="U710" s="22"/>
      <c r="V710" s="22"/>
      <c r="W710" s="29"/>
      <c r="X710" s="29"/>
      <c r="Y710" s="29"/>
      <c r="Z710" s="29"/>
      <c r="AA710" s="29"/>
      <c r="AB710" s="29"/>
      <c r="AC710" s="29"/>
      <c r="AD710" s="29"/>
      <c r="AE710" s="29"/>
    </row>
    <row r="711" spans="6:31" ht="16.5" x14ac:dyDescent="0.25">
      <c r="F711" s="22"/>
      <c r="G711" s="22"/>
      <c r="H711" s="22"/>
      <c r="I711" s="22"/>
      <c r="J711" s="22"/>
      <c r="K711" s="22"/>
      <c r="L711" s="22"/>
      <c r="M711" s="22"/>
      <c r="N711" s="22"/>
      <c r="O711" s="22"/>
      <c r="P711" s="22"/>
      <c r="Q711" s="22"/>
      <c r="R711" s="22"/>
      <c r="S711" s="22"/>
      <c r="T711" s="22"/>
      <c r="U711" s="22"/>
      <c r="V711" s="22"/>
      <c r="W711" s="29"/>
      <c r="X711" s="29"/>
      <c r="Y711" s="29"/>
      <c r="Z711" s="29"/>
      <c r="AA711" s="29"/>
      <c r="AB711" s="29"/>
      <c r="AC711" s="29"/>
      <c r="AD711" s="29"/>
      <c r="AE711" s="29"/>
    </row>
    <row r="712" spans="6:31" ht="16.5" x14ac:dyDescent="0.25">
      <c r="F712" s="22"/>
      <c r="G712" s="22"/>
      <c r="H712" s="22"/>
      <c r="I712" s="22"/>
      <c r="J712" s="22"/>
      <c r="K712" s="22"/>
      <c r="L712" s="22"/>
      <c r="M712" s="22"/>
      <c r="N712" s="22"/>
      <c r="O712" s="22"/>
      <c r="P712" s="22"/>
      <c r="Q712" s="22"/>
      <c r="R712" s="22"/>
      <c r="S712" s="22"/>
      <c r="T712" s="22"/>
      <c r="U712" s="22"/>
      <c r="V712" s="22"/>
      <c r="W712" s="29"/>
      <c r="X712" s="29"/>
      <c r="Y712" s="29"/>
      <c r="Z712" s="29"/>
      <c r="AA712" s="29"/>
      <c r="AB712" s="29"/>
      <c r="AC712" s="29"/>
      <c r="AD712" s="29"/>
      <c r="AE712" s="29"/>
    </row>
    <row r="713" spans="6:31" ht="16.5" x14ac:dyDescent="0.25">
      <c r="F713" s="22"/>
      <c r="G713" s="22"/>
      <c r="H713" s="22"/>
      <c r="I713" s="22"/>
      <c r="J713" s="22"/>
      <c r="K713" s="22"/>
      <c r="L713" s="22"/>
      <c r="M713" s="22"/>
      <c r="N713" s="22"/>
      <c r="O713" s="22"/>
      <c r="P713" s="22"/>
      <c r="Q713" s="22"/>
      <c r="R713" s="22"/>
      <c r="S713" s="22"/>
      <c r="T713" s="22"/>
      <c r="U713" s="22"/>
      <c r="V713" s="22"/>
      <c r="W713" s="29"/>
      <c r="X713" s="29"/>
      <c r="Y713" s="29"/>
      <c r="Z713" s="29"/>
      <c r="AA713" s="29"/>
      <c r="AB713" s="29"/>
      <c r="AC713" s="29"/>
      <c r="AD713" s="29"/>
      <c r="AE713" s="29"/>
    </row>
    <row r="714" spans="6:31" ht="16.5" x14ac:dyDescent="0.25">
      <c r="F714" s="22"/>
      <c r="G714" s="22"/>
      <c r="H714" s="22"/>
      <c r="I714" s="22"/>
      <c r="J714" s="22"/>
      <c r="K714" s="22"/>
      <c r="L714" s="22"/>
      <c r="M714" s="22"/>
      <c r="N714" s="22"/>
      <c r="O714" s="22"/>
      <c r="P714" s="22"/>
      <c r="Q714" s="22"/>
      <c r="R714" s="22"/>
      <c r="S714" s="22"/>
      <c r="T714" s="22"/>
      <c r="U714" s="22"/>
      <c r="V714" s="22"/>
      <c r="W714" s="29"/>
      <c r="X714" s="29"/>
      <c r="Y714" s="29"/>
      <c r="Z714" s="29"/>
      <c r="AA714" s="29"/>
      <c r="AB714" s="29"/>
      <c r="AC714" s="29"/>
      <c r="AD714" s="29"/>
      <c r="AE714" s="29"/>
    </row>
    <row r="715" spans="6:31" ht="16.5" x14ac:dyDescent="0.25">
      <c r="F715" s="22"/>
      <c r="G715" s="22"/>
      <c r="H715" s="22"/>
      <c r="I715" s="22"/>
      <c r="J715" s="22"/>
      <c r="K715" s="22"/>
      <c r="L715" s="22"/>
      <c r="M715" s="22"/>
      <c r="N715" s="22"/>
      <c r="O715" s="22"/>
      <c r="P715" s="22"/>
      <c r="Q715" s="22"/>
      <c r="R715" s="22"/>
      <c r="S715" s="22"/>
      <c r="T715" s="22"/>
      <c r="U715" s="22"/>
      <c r="V715" s="22"/>
      <c r="W715" s="29"/>
      <c r="X715" s="29"/>
      <c r="Y715" s="29"/>
      <c r="Z715" s="29"/>
      <c r="AA715" s="29"/>
      <c r="AB715" s="29"/>
      <c r="AC715" s="29"/>
      <c r="AD715" s="29"/>
      <c r="AE715" s="29"/>
    </row>
    <row r="716" spans="6:31" ht="16.5" x14ac:dyDescent="0.25">
      <c r="F716" s="22"/>
      <c r="G716" s="22"/>
      <c r="H716" s="22"/>
      <c r="I716" s="22"/>
      <c r="J716" s="22"/>
      <c r="K716" s="22"/>
      <c r="L716" s="22"/>
      <c r="M716" s="22"/>
      <c r="N716" s="22"/>
      <c r="O716" s="22"/>
      <c r="P716" s="22"/>
      <c r="Q716" s="22"/>
      <c r="R716" s="22"/>
      <c r="S716" s="22"/>
      <c r="T716" s="22"/>
      <c r="U716" s="22"/>
      <c r="V716" s="22"/>
      <c r="W716" s="29"/>
      <c r="X716" s="29"/>
      <c r="Y716" s="29"/>
      <c r="Z716" s="29"/>
      <c r="AA716" s="29"/>
      <c r="AB716" s="29"/>
      <c r="AC716" s="29"/>
      <c r="AD716" s="29"/>
      <c r="AE716" s="29"/>
    </row>
    <row r="717" spans="6:31" ht="16.5" x14ac:dyDescent="0.25">
      <c r="F717" s="22"/>
      <c r="G717" s="22"/>
      <c r="H717" s="22"/>
      <c r="I717" s="22"/>
      <c r="J717" s="22"/>
      <c r="K717" s="22"/>
      <c r="L717" s="22"/>
      <c r="M717" s="22"/>
      <c r="N717" s="22"/>
      <c r="O717" s="22"/>
      <c r="P717" s="22"/>
      <c r="Q717" s="22"/>
      <c r="R717" s="22"/>
      <c r="S717" s="22"/>
      <c r="T717" s="22"/>
      <c r="U717" s="22"/>
      <c r="V717" s="22"/>
      <c r="W717" s="29"/>
      <c r="X717" s="29"/>
      <c r="Y717" s="29"/>
      <c r="Z717" s="29"/>
      <c r="AA717" s="29"/>
      <c r="AB717" s="29"/>
      <c r="AC717" s="29"/>
      <c r="AD717" s="29"/>
      <c r="AE717" s="29"/>
    </row>
    <row r="718" spans="6:31" ht="16.5" x14ac:dyDescent="0.25">
      <c r="F718" s="22"/>
      <c r="G718" s="22"/>
      <c r="H718" s="22"/>
      <c r="I718" s="22"/>
      <c r="J718" s="22"/>
      <c r="K718" s="22"/>
      <c r="L718" s="22"/>
      <c r="M718" s="22"/>
      <c r="N718" s="22"/>
      <c r="O718" s="22"/>
      <c r="P718" s="22"/>
      <c r="Q718" s="22"/>
      <c r="R718" s="22"/>
      <c r="S718" s="22"/>
      <c r="T718" s="22"/>
      <c r="U718" s="22"/>
      <c r="V718" s="22"/>
      <c r="W718" s="29"/>
      <c r="X718" s="29"/>
      <c r="Y718" s="29"/>
      <c r="Z718" s="29"/>
      <c r="AA718" s="29"/>
      <c r="AB718" s="29"/>
      <c r="AC718" s="29"/>
      <c r="AD718" s="29"/>
      <c r="AE718" s="29"/>
    </row>
    <row r="719" spans="6:31" ht="16.5" x14ac:dyDescent="0.25">
      <c r="F719" s="22"/>
      <c r="G719" s="22"/>
      <c r="H719" s="22"/>
      <c r="I719" s="22"/>
      <c r="J719" s="22"/>
      <c r="K719" s="22"/>
      <c r="L719" s="22"/>
      <c r="M719" s="22"/>
      <c r="N719" s="22"/>
      <c r="O719" s="22"/>
      <c r="P719" s="22"/>
      <c r="Q719" s="22"/>
      <c r="R719" s="22"/>
      <c r="S719" s="22"/>
      <c r="T719" s="22"/>
      <c r="U719" s="22"/>
      <c r="V719" s="22"/>
      <c r="W719" s="29"/>
      <c r="X719" s="29"/>
      <c r="Y719" s="29"/>
      <c r="Z719" s="29"/>
      <c r="AA719" s="29"/>
      <c r="AB719" s="29"/>
      <c r="AC719" s="29"/>
      <c r="AD719" s="29"/>
      <c r="AE719" s="29"/>
    </row>
    <row r="720" spans="6:31" ht="16.5" x14ac:dyDescent="0.25">
      <c r="F720" s="22"/>
      <c r="G720" s="22"/>
      <c r="H720" s="22"/>
      <c r="I720" s="22"/>
      <c r="J720" s="22"/>
      <c r="K720" s="22"/>
      <c r="L720" s="22"/>
      <c r="M720" s="22"/>
      <c r="N720" s="22"/>
      <c r="O720" s="22"/>
      <c r="P720" s="22"/>
      <c r="Q720" s="22"/>
      <c r="R720" s="22"/>
      <c r="S720" s="22"/>
      <c r="T720" s="22"/>
      <c r="U720" s="22"/>
      <c r="V720" s="22"/>
      <c r="W720" s="29"/>
      <c r="X720" s="29"/>
      <c r="Y720" s="29"/>
      <c r="Z720" s="29"/>
      <c r="AA720" s="29"/>
      <c r="AB720" s="29"/>
      <c r="AC720" s="29"/>
      <c r="AD720" s="29"/>
      <c r="AE720" s="29"/>
    </row>
    <row r="721" spans="6:31" ht="16.5" x14ac:dyDescent="0.25">
      <c r="F721" s="22"/>
      <c r="G721" s="22"/>
      <c r="H721" s="22"/>
      <c r="I721" s="22"/>
      <c r="J721" s="22"/>
      <c r="K721" s="22"/>
      <c r="L721" s="22"/>
      <c r="M721" s="22"/>
      <c r="N721" s="22"/>
      <c r="O721" s="22"/>
      <c r="P721" s="22"/>
      <c r="Q721" s="22"/>
      <c r="R721" s="22"/>
      <c r="S721" s="22"/>
      <c r="T721" s="22"/>
      <c r="U721" s="22"/>
      <c r="V721" s="22"/>
      <c r="W721" s="29"/>
      <c r="X721" s="29"/>
      <c r="Y721" s="29"/>
      <c r="Z721" s="29"/>
      <c r="AA721" s="29"/>
      <c r="AB721" s="29"/>
      <c r="AC721" s="29"/>
      <c r="AD721" s="29"/>
      <c r="AE721" s="29"/>
    </row>
    <row r="722" spans="6:31" ht="16.5" x14ac:dyDescent="0.25">
      <c r="F722" s="22"/>
      <c r="G722" s="22"/>
      <c r="H722" s="22"/>
      <c r="I722" s="22"/>
      <c r="J722" s="22"/>
      <c r="K722" s="22"/>
      <c r="L722" s="22"/>
      <c r="M722" s="22"/>
      <c r="N722" s="22"/>
      <c r="O722" s="22"/>
      <c r="P722" s="22"/>
      <c r="Q722" s="22"/>
      <c r="R722" s="22"/>
      <c r="S722" s="22"/>
      <c r="T722" s="22"/>
      <c r="U722" s="22"/>
      <c r="V722" s="22"/>
      <c r="W722" s="29"/>
      <c r="X722" s="29"/>
      <c r="Y722" s="29"/>
      <c r="Z722" s="29"/>
      <c r="AA722" s="29"/>
      <c r="AB722" s="29"/>
      <c r="AC722" s="29"/>
      <c r="AD722" s="29"/>
      <c r="AE722" s="29"/>
    </row>
    <row r="723" spans="6:31" ht="16.5" x14ac:dyDescent="0.25">
      <c r="F723" s="22"/>
      <c r="G723" s="22"/>
      <c r="H723" s="22"/>
      <c r="I723" s="22"/>
      <c r="J723" s="22"/>
      <c r="K723" s="22"/>
      <c r="L723" s="22"/>
      <c r="M723" s="22"/>
      <c r="N723" s="22"/>
      <c r="O723" s="22"/>
      <c r="P723" s="22"/>
      <c r="Q723" s="22"/>
      <c r="R723" s="22"/>
      <c r="S723" s="22"/>
      <c r="T723" s="22"/>
      <c r="U723" s="22"/>
      <c r="V723" s="22"/>
      <c r="W723" s="29"/>
      <c r="X723" s="29"/>
      <c r="Y723" s="29"/>
      <c r="Z723" s="29"/>
      <c r="AA723" s="29"/>
      <c r="AB723" s="29"/>
      <c r="AC723" s="29"/>
      <c r="AD723" s="29"/>
      <c r="AE723" s="29"/>
    </row>
    <row r="724" spans="6:31" ht="16.5" x14ac:dyDescent="0.25">
      <c r="F724" s="22"/>
      <c r="G724" s="22"/>
      <c r="H724" s="22"/>
      <c r="I724" s="22"/>
      <c r="J724" s="22"/>
      <c r="K724" s="22"/>
      <c r="L724" s="22"/>
      <c r="M724" s="22"/>
      <c r="N724" s="22"/>
      <c r="O724" s="22"/>
      <c r="P724" s="22"/>
      <c r="Q724" s="22"/>
      <c r="R724" s="22"/>
      <c r="S724" s="22"/>
      <c r="T724" s="22"/>
      <c r="U724" s="22"/>
      <c r="V724" s="22"/>
      <c r="W724" s="29"/>
      <c r="X724" s="29"/>
      <c r="Y724" s="29"/>
      <c r="Z724" s="29"/>
      <c r="AA724" s="29"/>
      <c r="AB724" s="29"/>
      <c r="AC724" s="29"/>
      <c r="AD724" s="29"/>
      <c r="AE724" s="29"/>
    </row>
    <row r="725" spans="6:31" ht="16.5" x14ac:dyDescent="0.25">
      <c r="F725" s="22"/>
      <c r="G725" s="22"/>
      <c r="H725" s="22"/>
      <c r="I725" s="22"/>
      <c r="J725" s="22"/>
      <c r="K725" s="22"/>
      <c r="L725" s="22"/>
      <c r="M725" s="22"/>
      <c r="N725" s="22"/>
      <c r="O725" s="22"/>
      <c r="P725" s="22"/>
      <c r="Q725" s="22"/>
      <c r="R725" s="22"/>
      <c r="S725" s="22"/>
      <c r="T725" s="22"/>
      <c r="U725" s="22"/>
      <c r="V725" s="22"/>
      <c r="W725" s="29"/>
      <c r="X725" s="29"/>
      <c r="Y725" s="29"/>
      <c r="Z725" s="29"/>
      <c r="AA725" s="29"/>
      <c r="AB725" s="29"/>
      <c r="AC725" s="29"/>
      <c r="AD725" s="29"/>
      <c r="AE725" s="29"/>
    </row>
    <row r="726" spans="6:31" ht="16.5" x14ac:dyDescent="0.25">
      <c r="F726" s="22"/>
      <c r="G726" s="22"/>
      <c r="H726" s="22"/>
      <c r="I726" s="22"/>
      <c r="J726" s="22"/>
      <c r="K726" s="22"/>
      <c r="L726" s="22"/>
      <c r="M726" s="22"/>
      <c r="N726" s="22"/>
      <c r="O726" s="22"/>
      <c r="P726" s="22"/>
      <c r="Q726" s="22"/>
      <c r="R726" s="22"/>
      <c r="S726" s="22"/>
      <c r="T726" s="22"/>
      <c r="U726" s="22"/>
      <c r="V726" s="22"/>
      <c r="W726" s="29"/>
      <c r="X726" s="29"/>
      <c r="Y726" s="29"/>
      <c r="Z726" s="29"/>
      <c r="AA726" s="29"/>
      <c r="AB726" s="29"/>
      <c r="AC726" s="29"/>
      <c r="AD726" s="29"/>
      <c r="AE726" s="29"/>
    </row>
    <row r="727" spans="6:31" ht="16.5" x14ac:dyDescent="0.25">
      <c r="F727" s="22"/>
      <c r="G727" s="22"/>
      <c r="H727" s="22"/>
      <c r="I727" s="22"/>
      <c r="J727" s="22"/>
      <c r="K727" s="22"/>
      <c r="L727" s="22"/>
      <c r="M727" s="22"/>
      <c r="N727" s="22"/>
      <c r="O727" s="22"/>
      <c r="P727" s="22"/>
      <c r="Q727" s="22"/>
      <c r="R727" s="22"/>
      <c r="S727" s="22"/>
      <c r="T727" s="22"/>
      <c r="U727" s="22"/>
      <c r="V727" s="22"/>
      <c r="W727" s="29"/>
      <c r="X727" s="29"/>
      <c r="Y727" s="29"/>
      <c r="Z727" s="29"/>
      <c r="AA727" s="29"/>
      <c r="AB727" s="29"/>
      <c r="AC727" s="29"/>
      <c r="AD727" s="29"/>
      <c r="AE727" s="29"/>
    </row>
    <row r="728" spans="6:31" ht="16.5" x14ac:dyDescent="0.25">
      <c r="F728" s="22"/>
      <c r="G728" s="22"/>
      <c r="H728" s="22"/>
      <c r="I728" s="22"/>
      <c r="J728" s="22"/>
      <c r="K728" s="22"/>
      <c r="L728" s="22"/>
      <c r="M728" s="22"/>
      <c r="N728" s="22"/>
      <c r="O728" s="22"/>
      <c r="P728" s="22"/>
      <c r="Q728" s="22"/>
      <c r="R728" s="22"/>
      <c r="S728" s="22"/>
      <c r="T728" s="22"/>
      <c r="U728" s="22"/>
      <c r="V728" s="22"/>
      <c r="W728" s="29"/>
      <c r="X728" s="29"/>
      <c r="Y728" s="29"/>
      <c r="Z728" s="29"/>
      <c r="AA728" s="29"/>
      <c r="AB728" s="29"/>
      <c r="AC728" s="29"/>
      <c r="AD728" s="29"/>
      <c r="AE728" s="29"/>
    </row>
    <row r="729" spans="6:31" ht="16.5" x14ac:dyDescent="0.25">
      <c r="F729" s="22"/>
      <c r="G729" s="22"/>
      <c r="H729" s="22"/>
      <c r="I729" s="22"/>
      <c r="J729" s="22"/>
      <c r="K729" s="22"/>
      <c r="L729" s="22"/>
      <c r="M729" s="22"/>
      <c r="N729" s="22"/>
      <c r="O729" s="22"/>
      <c r="P729" s="22"/>
      <c r="Q729" s="22"/>
      <c r="R729" s="22"/>
      <c r="S729" s="22"/>
      <c r="T729" s="22"/>
      <c r="U729" s="22"/>
      <c r="V729" s="22"/>
      <c r="W729" s="29"/>
      <c r="X729" s="29"/>
      <c r="Y729" s="29"/>
      <c r="Z729" s="29"/>
      <c r="AA729" s="29"/>
      <c r="AB729" s="29"/>
      <c r="AC729" s="29"/>
      <c r="AD729" s="29"/>
      <c r="AE729" s="29"/>
    </row>
    <row r="730" spans="6:31" ht="16.5" x14ac:dyDescent="0.25">
      <c r="F730" s="22"/>
      <c r="G730" s="22"/>
      <c r="H730" s="22"/>
      <c r="I730" s="22"/>
      <c r="J730" s="22"/>
      <c r="K730" s="22"/>
      <c r="L730" s="22"/>
      <c r="M730" s="22"/>
      <c r="N730" s="22"/>
      <c r="O730" s="22"/>
      <c r="P730" s="22"/>
      <c r="Q730" s="22"/>
      <c r="R730" s="22"/>
      <c r="S730" s="22"/>
      <c r="T730" s="22"/>
      <c r="U730" s="22"/>
      <c r="V730" s="22"/>
      <c r="W730" s="29"/>
      <c r="X730" s="29"/>
      <c r="Y730" s="29"/>
      <c r="Z730" s="29"/>
      <c r="AA730" s="29"/>
      <c r="AB730" s="29"/>
      <c r="AC730" s="29"/>
      <c r="AD730" s="29"/>
      <c r="AE730" s="29"/>
    </row>
    <row r="731" spans="6:31" ht="16.5" x14ac:dyDescent="0.25">
      <c r="F731" s="22"/>
      <c r="G731" s="22"/>
      <c r="H731" s="22"/>
      <c r="I731" s="22"/>
      <c r="J731" s="22"/>
      <c r="K731" s="22"/>
      <c r="L731" s="22"/>
      <c r="M731" s="22"/>
      <c r="N731" s="22"/>
      <c r="O731" s="22"/>
      <c r="P731" s="22"/>
      <c r="Q731" s="22"/>
      <c r="R731" s="22"/>
      <c r="S731" s="22"/>
      <c r="T731" s="22"/>
      <c r="U731" s="22"/>
      <c r="V731" s="22"/>
      <c r="W731" s="29"/>
      <c r="X731" s="29"/>
      <c r="Y731" s="29"/>
      <c r="Z731" s="29"/>
      <c r="AA731" s="29"/>
      <c r="AB731" s="29"/>
      <c r="AC731" s="29"/>
      <c r="AD731" s="29"/>
      <c r="AE731" s="29"/>
    </row>
    <row r="732" spans="6:31" ht="16.5" x14ac:dyDescent="0.25">
      <c r="F732" s="22"/>
      <c r="G732" s="22"/>
      <c r="H732" s="22"/>
      <c r="I732" s="22"/>
      <c r="J732" s="22"/>
      <c r="K732" s="22"/>
      <c r="L732" s="22"/>
      <c r="M732" s="22"/>
      <c r="N732" s="22"/>
      <c r="O732" s="22"/>
      <c r="P732" s="22"/>
      <c r="Q732" s="22"/>
      <c r="R732" s="22"/>
      <c r="S732" s="22"/>
      <c r="T732" s="22"/>
      <c r="U732" s="22"/>
      <c r="V732" s="22"/>
      <c r="W732" s="29"/>
      <c r="X732" s="29"/>
      <c r="Y732" s="29"/>
      <c r="Z732" s="29"/>
      <c r="AA732" s="29"/>
      <c r="AB732" s="29"/>
      <c r="AC732" s="29"/>
      <c r="AD732" s="29"/>
      <c r="AE732" s="29"/>
    </row>
    <row r="733" spans="6:31" ht="16.5" x14ac:dyDescent="0.25">
      <c r="F733" s="22"/>
      <c r="G733" s="22"/>
      <c r="H733" s="22"/>
      <c r="I733" s="22"/>
      <c r="J733" s="22"/>
      <c r="K733" s="22"/>
      <c r="L733" s="22"/>
      <c r="M733" s="22"/>
      <c r="N733" s="22"/>
      <c r="O733" s="22"/>
      <c r="P733" s="22"/>
      <c r="Q733" s="22"/>
      <c r="R733" s="22"/>
      <c r="S733" s="22"/>
      <c r="T733" s="22"/>
      <c r="U733" s="22"/>
      <c r="V733" s="22"/>
      <c r="W733" s="29"/>
      <c r="X733" s="29"/>
      <c r="Y733" s="29"/>
      <c r="Z733" s="29"/>
      <c r="AA733" s="29"/>
      <c r="AB733" s="29"/>
      <c r="AC733" s="29"/>
      <c r="AD733" s="29"/>
      <c r="AE733" s="29"/>
    </row>
    <row r="734" spans="6:31" ht="16.5" x14ac:dyDescent="0.25">
      <c r="F734" s="22"/>
      <c r="G734" s="22"/>
      <c r="H734" s="22"/>
      <c r="I734" s="22"/>
      <c r="J734" s="22"/>
      <c r="K734" s="22"/>
      <c r="L734" s="22"/>
      <c r="M734" s="22"/>
      <c r="N734" s="22"/>
      <c r="O734" s="22"/>
      <c r="P734" s="22"/>
      <c r="Q734" s="22"/>
      <c r="R734" s="22"/>
      <c r="S734" s="22"/>
      <c r="T734" s="22"/>
      <c r="U734" s="22"/>
      <c r="V734" s="22"/>
      <c r="W734" s="29"/>
      <c r="X734" s="29"/>
      <c r="Y734" s="29"/>
      <c r="Z734" s="29"/>
      <c r="AA734" s="29"/>
      <c r="AB734" s="29"/>
      <c r="AC734" s="29"/>
      <c r="AD734" s="29"/>
      <c r="AE734" s="29"/>
    </row>
    <row r="735" spans="6:31" ht="16.5" x14ac:dyDescent="0.25">
      <c r="F735" s="22"/>
      <c r="G735" s="22"/>
      <c r="H735" s="22"/>
      <c r="I735" s="22"/>
      <c r="J735" s="22"/>
      <c r="K735" s="22"/>
      <c r="L735" s="22"/>
      <c r="M735" s="22"/>
      <c r="N735" s="22"/>
      <c r="O735" s="22"/>
      <c r="P735" s="22"/>
      <c r="Q735" s="22"/>
      <c r="R735" s="22"/>
      <c r="S735" s="22"/>
      <c r="T735" s="22"/>
      <c r="U735" s="22"/>
      <c r="V735" s="22"/>
      <c r="W735" s="29"/>
      <c r="X735" s="29"/>
      <c r="Y735" s="29"/>
      <c r="Z735" s="29"/>
      <c r="AA735" s="29"/>
      <c r="AB735" s="29"/>
      <c r="AC735" s="29"/>
      <c r="AD735" s="29"/>
      <c r="AE735" s="29"/>
    </row>
    <row r="736" spans="6:31" ht="16.5" x14ac:dyDescent="0.25">
      <c r="F736" s="22"/>
      <c r="G736" s="22"/>
      <c r="H736" s="22"/>
      <c r="I736" s="22"/>
      <c r="J736" s="22"/>
      <c r="K736" s="22"/>
      <c r="L736" s="22"/>
      <c r="M736" s="22"/>
      <c r="N736" s="22"/>
      <c r="O736" s="22"/>
      <c r="P736" s="22"/>
      <c r="Q736" s="22"/>
      <c r="R736" s="22"/>
      <c r="S736" s="22"/>
      <c r="T736" s="22"/>
      <c r="U736" s="22"/>
      <c r="V736" s="22"/>
      <c r="W736" s="29"/>
      <c r="X736" s="29"/>
      <c r="Y736" s="29"/>
      <c r="Z736" s="29"/>
      <c r="AA736" s="29"/>
      <c r="AB736" s="29"/>
      <c r="AC736" s="29"/>
      <c r="AD736" s="29"/>
      <c r="AE736" s="29"/>
    </row>
    <row r="737" spans="6:31" ht="16.5" x14ac:dyDescent="0.25">
      <c r="F737" s="22"/>
      <c r="G737" s="22"/>
      <c r="H737" s="22"/>
      <c r="I737" s="22"/>
      <c r="J737" s="22"/>
      <c r="K737" s="22"/>
      <c r="L737" s="22"/>
      <c r="M737" s="22"/>
      <c r="N737" s="22"/>
      <c r="O737" s="22"/>
      <c r="P737" s="22"/>
      <c r="Q737" s="22"/>
      <c r="R737" s="22"/>
      <c r="S737" s="22"/>
      <c r="T737" s="22"/>
      <c r="U737" s="22"/>
      <c r="V737" s="22"/>
      <c r="W737" s="29"/>
      <c r="X737" s="29"/>
      <c r="Y737" s="29"/>
      <c r="Z737" s="29"/>
      <c r="AA737" s="29"/>
      <c r="AB737" s="29"/>
      <c r="AC737" s="29"/>
      <c r="AD737" s="29"/>
      <c r="AE737" s="29"/>
    </row>
    <row r="738" spans="6:31" ht="16.5" x14ac:dyDescent="0.25">
      <c r="F738" s="22"/>
      <c r="G738" s="22"/>
      <c r="H738" s="22"/>
      <c r="I738" s="22"/>
      <c r="J738" s="22"/>
      <c r="K738" s="22"/>
      <c r="L738" s="22"/>
      <c r="M738" s="22"/>
      <c r="N738" s="22"/>
      <c r="O738" s="22"/>
      <c r="P738" s="22"/>
      <c r="Q738" s="22"/>
      <c r="R738" s="22"/>
      <c r="S738" s="22"/>
      <c r="T738" s="22"/>
      <c r="U738" s="22"/>
      <c r="V738" s="22"/>
      <c r="W738" s="29"/>
      <c r="X738" s="29"/>
      <c r="Y738" s="29"/>
      <c r="Z738" s="29"/>
      <c r="AA738" s="29"/>
      <c r="AB738" s="29"/>
      <c r="AC738" s="29"/>
      <c r="AD738" s="29"/>
      <c r="AE738" s="29"/>
    </row>
    <row r="739" spans="6:31" ht="16.5" x14ac:dyDescent="0.25">
      <c r="F739" s="22"/>
      <c r="G739" s="22"/>
      <c r="H739" s="22"/>
      <c r="I739" s="22"/>
      <c r="J739" s="22"/>
      <c r="K739" s="22"/>
      <c r="L739" s="22"/>
      <c r="M739" s="22"/>
      <c r="N739" s="22"/>
      <c r="O739" s="22"/>
      <c r="P739" s="22"/>
      <c r="Q739" s="22"/>
      <c r="R739" s="22"/>
      <c r="S739" s="22"/>
      <c r="T739" s="22"/>
      <c r="U739" s="22"/>
      <c r="V739" s="22"/>
      <c r="W739" s="29"/>
      <c r="X739" s="29"/>
      <c r="Y739" s="29"/>
      <c r="Z739" s="29"/>
      <c r="AA739" s="29"/>
      <c r="AB739" s="29"/>
      <c r="AC739" s="29"/>
      <c r="AD739" s="29"/>
      <c r="AE739" s="29"/>
    </row>
    <row r="740" spans="6:31" ht="16.5" x14ac:dyDescent="0.25">
      <c r="F740" s="22"/>
      <c r="G740" s="22"/>
      <c r="H740" s="22"/>
      <c r="I740" s="22"/>
      <c r="J740" s="22"/>
      <c r="K740" s="22"/>
      <c r="L740" s="22"/>
      <c r="M740" s="22"/>
      <c r="N740" s="22"/>
      <c r="O740" s="22"/>
      <c r="P740" s="22"/>
      <c r="Q740" s="22"/>
      <c r="R740" s="22"/>
      <c r="S740" s="22"/>
      <c r="T740" s="22"/>
      <c r="U740" s="22"/>
      <c r="V740" s="22"/>
      <c r="W740" s="29"/>
      <c r="X740" s="29"/>
      <c r="Y740" s="29"/>
      <c r="Z740" s="29"/>
      <c r="AA740" s="29"/>
      <c r="AB740" s="29"/>
      <c r="AC740" s="29"/>
      <c r="AD740" s="29"/>
      <c r="AE740" s="29"/>
    </row>
    <row r="741" spans="6:31" ht="16.5" x14ac:dyDescent="0.25">
      <c r="F741" s="22"/>
      <c r="G741" s="22"/>
      <c r="H741" s="22"/>
      <c r="I741" s="22"/>
      <c r="J741" s="22"/>
      <c r="K741" s="22"/>
      <c r="L741" s="22"/>
      <c r="M741" s="22"/>
      <c r="N741" s="22"/>
      <c r="O741" s="22"/>
      <c r="P741" s="22"/>
      <c r="Q741" s="22"/>
      <c r="R741" s="22"/>
      <c r="S741" s="22"/>
      <c r="T741" s="22"/>
      <c r="U741" s="22"/>
      <c r="V741" s="22"/>
      <c r="W741" s="29"/>
      <c r="X741" s="29"/>
      <c r="Y741" s="29"/>
      <c r="Z741" s="29"/>
      <c r="AA741" s="29"/>
      <c r="AB741" s="29"/>
      <c r="AC741" s="29"/>
      <c r="AD741" s="29"/>
      <c r="AE741" s="29"/>
    </row>
    <row r="742" spans="6:31" ht="16.5" x14ac:dyDescent="0.25">
      <c r="F742" s="22"/>
      <c r="G742" s="22"/>
      <c r="H742" s="22"/>
      <c r="I742" s="22"/>
      <c r="J742" s="22"/>
      <c r="K742" s="22"/>
      <c r="L742" s="22"/>
      <c r="M742" s="22"/>
      <c r="N742" s="22"/>
      <c r="O742" s="22"/>
      <c r="P742" s="22"/>
      <c r="Q742" s="22"/>
      <c r="R742" s="22"/>
      <c r="S742" s="22"/>
      <c r="T742" s="22"/>
      <c r="U742" s="22"/>
      <c r="V742" s="22"/>
      <c r="W742" s="29"/>
      <c r="X742" s="29"/>
      <c r="Y742" s="29"/>
      <c r="Z742" s="29"/>
      <c r="AA742" s="29"/>
      <c r="AB742" s="29"/>
      <c r="AC742" s="29"/>
      <c r="AD742" s="29"/>
      <c r="AE742" s="29"/>
    </row>
    <row r="743" spans="6:31" ht="16.5" x14ac:dyDescent="0.25">
      <c r="F743" s="22"/>
      <c r="G743" s="22"/>
      <c r="H743" s="22"/>
      <c r="I743" s="22"/>
      <c r="J743" s="22"/>
      <c r="K743" s="22"/>
      <c r="L743" s="22"/>
      <c r="M743" s="22"/>
      <c r="N743" s="22"/>
      <c r="O743" s="22"/>
      <c r="P743" s="22"/>
      <c r="Q743" s="22"/>
      <c r="R743" s="22"/>
      <c r="S743" s="22"/>
      <c r="T743" s="22"/>
      <c r="U743" s="22"/>
      <c r="V743" s="22"/>
      <c r="W743" s="29"/>
      <c r="X743" s="29"/>
      <c r="Y743" s="29"/>
      <c r="Z743" s="29"/>
      <c r="AA743" s="29"/>
      <c r="AB743" s="29"/>
      <c r="AC743" s="29"/>
      <c r="AD743" s="29"/>
      <c r="AE743" s="29"/>
    </row>
    <row r="744" spans="6:31" ht="16.5" x14ac:dyDescent="0.25">
      <c r="F744" s="22"/>
      <c r="G744" s="22"/>
      <c r="H744" s="22"/>
      <c r="I744" s="22"/>
      <c r="J744" s="22"/>
      <c r="K744" s="22"/>
      <c r="L744" s="22"/>
      <c r="M744" s="22"/>
      <c r="N744" s="22"/>
      <c r="O744" s="22"/>
      <c r="P744" s="22"/>
      <c r="Q744" s="22"/>
      <c r="R744" s="22"/>
      <c r="S744" s="22"/>
      <c r="T744" s="22"/>
      <c r="U744" s="22"/>
      <c r="V744" s="22"/>
      <c r="W744" s="29"/>
      <c r="X744" s="29"/>
      <c r="Y744" s="29"/>
      <c r="Z744" s="29"/>
      <c r="AA744" s="29"/>
      <c r="AB744" s="29"/>
      <c r="AC744" s="29"/>
      <c r="AD744" s="29"/>
      <c r="AE744" s="29"/>
    </row>
    <row r="745" spans="6:31" ht="16.5" x14ac:dyDescent="0.25">
      <c r="F745" s="22"/>
      <c r="G745" s="22"/>
      <c r="H745" s="22"/>
      <c r="I745" s="22"/>
      <c r="J745" s="22"/>
      <c r="K745" s="22"/>
      <c r="L745" s="22"/>
      <c r="M745" s="22"/>
      <c r="N745" s="22"/>
      <c r="O745" s="22"/>
      <c r="P745" s="22"/>
      <c r="Q745" s="22"/>
      <c r="R745" s="22"/>
      <c r="S745" s="22"/>
      <c r="T745" s="22"/>
      <c r="U745" s="22"/>
      <c r="V745" s="22"/>
      <c r="W745" s="29"/>
      <c r="X745" s="29"/>
      <c r="Y745" s="29"/>
      <c r="Z745" s="29"/>
      <c r="AA745" s="29"/>
      <c r="AB745" s="29"/>
      <c r="AC745" s="29"/>
      <c r="AD745" s="29"/>
      <c r="AE745" s="29"/>
    </row>
    <row r="746" spans="6:31" ht="16.5" x14ac:dyDescent="0.25">
      <c r="F746" s="22"/>
      <c r="G746" s="22"/>
      <c r="H746" s="22"/>
      <c r="I746" s="22"/>
      <c r="J746" s="22"/>
      <c r="K746" s="22"/>
      <c r="L746" s="22"/>
      <c r="M746" s="22"/>
      <c r="N746" s="22"/>
      <c r="O746" s="22"/>
      <c r="P746" s="22"/>
      <c r="Q746" s="22"/>
      <c r="R746" s="22"/>
      <c r="S746" s="22"/>
      <c r="T746" s="22"/>
      <c r="U746" s="22"/>
      <c r="V746" s="22"/>
      <c r="W746" s="29"/>
      <c r="X746" s="29"/>
      <c r="Y746" s="29"/>
      <c r="Z746" s="29"/>
      <c r="AA746" s="29"/>
      <c r="AB746" s="29"/>
      <c r="AC746" s="29"/>
      <c r="AD746" s="29"/>
      <c r="AE746" s="29"/>
    </row>
    <row r="747" spans="6:31" ht="16.5" x14ac:dyDescent="0.25">
      <c r="F747" s="22"/>
      <c r="G747" s="22"/>
      <c r="H747" s="22"/>
      <c r="I747" s="22"/>
      <c r="J747" s="22"/>
      <c r="K747" s="22"/>
      <c r="L747" s="22"/>
      <c r="M747" s="22"/>
      <c r="N747" s="22"/>
      <c r="O747" s="22"/>
      <c r="P747" s="22"/>
      <c r="Q747" s="22"/>
      <c r="R747" s="22"/>
      <c r="S747" s="22"/>
      <c r="T747" s="22"/>
      <c r="U747" s="22"/>
      <c r="V747" s="22"/>
      <c r="W747" s="29"/>
      <c r="X747" s="29"/>
      <c r="Y747" s="29"/>
      <c r="Z747" s="29"/>
      <c r="AA747" s="29"/>
      <c r="AB747" s="29"/>
      <c r="AC747" s="29"/>
      <c r="AD747" s="29"/>
      <c r="AE747" s="29"/>
    </row>
    <row r="748" spans="6:31" ht="16.5" x14ac:dyDescent="0.25">
      <c r="F748" s="22"/>
      <c r="G748" s="22"/>
      <c r="H748" s="22"/>
      <c r="I748" s="22"/>
      <c r="J748" s="22"/>
      <c r="K748" s="22"/>
      <c r="L748" s="22"/>
      <c r="M748" s="22"/>
      <c r="N748" s="22"/>
      <c r="O748" s="22"/>
      <c r="P748" s="22"/>
      <c r="Q748" s="22"/>
      <c r="R748" s="22"/>
      <c r="S748" s="22"/>
      <c r="T748" s="22"/>
      <c r="U748" s="22"/>
      <c r="V748" s="22"/>
      <c r="W748" s="29"/>
      <c r="X748" s="29"/>
      <c r="Y748" s="29"/>
      <c r="Z748" s="29"/>
      <c r="AA748" s="29"/>
      <c r="AB748" s="29"/>
      <c r="AC748" s="29"/>
      <c r="AD748" s="29"/>
      <c r="AE748" s="29"/>
    </row>
    <row r="749" spans="6:31" ht="16.5" x14ac:dyDescent="0.25">
      <c r="F749" s="22"/>
      <c r="G749" s="22"/>
      <c r="H749" s="22"/>
      <c r="I749" s="22"/>
      <c r="J749" s="22"/>
      <c r="K749" s="22"/>
      <c r="L749" s="22"/>
      <c r="M749" s="22"/>
      <c r="N749" s="22"/>
      <c r="O749" s="22"/>
      <c r="P749" s="22"/>
      <c r="Q749" s="22"/>
      <c r="R749" s="22"/>
      <c r="S749" s="22"/>
      <c r="T749" s="22"/>
      <c r="U749" s="22"/>
      <c r="V749" s="22"/>
      <c r="W749" s="29"/>
      <c r="X749" s="29"/>
      <c r="Y749" s="29"/>
      <c r="Z749" s="29"/>
      <c r="AA749" s="29"/>
      <c r="AB749" s="29"/>
      <c r="AC749" s="29"/>
      <c r="AD749" s="29"/>
      <c r="AE749" s="29"/>
    </row>
    <row r="750" spans="6:31" ht="16.5" x14ac:dyDescent="0.25">
      <c r="F750" s="22"/>
      <c r="G750" s="22"/>
      <c r="H750" s="22"/>
      <c r="I750" s="22"/>
      <c r="J750" s="22"/>
      <c r="K750" s="22"/>
      <c r="L750" s="22"/>
      <c r="M750" s="22"/>
      <c r="N750" s="22"/>
      <c r="O750" s="22"/>
      <c r="P750" s="22"/>
      <c r="Q750" s="22"/>
      <c r="R750" s="22"/>
      <c r="S750" s="22"/>
      <c r="T750" s="22"/>
      <c r="U750" s="22"/>
      <c r="V750" s="22"/>
      <c r="W750" s="29"/>
      <c r="X750" s="29"/>
      <c r="Y750" s="29"/>
      <c r="Z750" s="29"/>
      <c r="AA750" s="29"/>
      <c r="AB750" s="29"/>
      <c r="AC750" s="29"/>
      <c r="AD750" s="29"/>
      <c r="AE750" s="29"/>
    </row>
    <row r="751" spans="6:31" ht="16.5" x14ac:dyDescent="0.25">
      <c r="F751" s="22"/>
      <c r="G751" s="22"/>
      <c r="H751" s="22"/>
      <c r="I751" s="22"/>
      <c r="J751" s="22"/>
      <c r="K751" s="22"/>
      <c r="L751" s="22"/>
      <c r="M751" s="22"/>
      <c r="N751" s="22"/>
      <c r="O751" s="22"/>
      <c r="P751" s="22"/>
      <c r="Q751" s="22"/>
      <c r="R751" s="22"/>
      <c r="S751" s="22"/>
      <c r="T751" s="22"/>
      <c r="U751" s="22"/>
      <c r="V751" s="22"/>
      <c r="W751" s="29"/>
      <c r="X751" s="29"/>
      <c r="Y751" s="29"/>
      <c r="Z751" s="29"/>
      <c r="AA751" s="29"/>
      <c r="AB751" s="29"/>
      <c r="AC751" s="29"/>
      <c r="AD751" s="29"/>
      <c r="AE751" s="29"/>
    </row>
    <row r="752" spans="6:31" ht="16.5" x14ac:dyDescent="0.25">
      <c r="F752" s="22"/>
      <c r="G752" s="22"/>
      <c r="H752" s="22"/>
      <c r="I752" s="22"/>
      <c r="J752" s="22"/>
      <c r="K752" s="22"/>
      <c r="L752" s="22"/>
      <c r="M752" s="22"/>
      <c r="N752" s="22"/>
      <c r="O752" s="22"/>
      <c r="P752" s="22"/>
      <c r="Q752" s="22"/>
      <c r="R752" s="22"/>
      <c r="S752" s="22"/>
      <c r="T752" s="22"/>
      <c r="U752" s="22"/>
      <c r="V752" s="22"/>
      <c r="W752" s="29"/>
      <c r="X752" s="29"/>
      <c r="Y752" s="29"/>
      <c r="Z752" s="29"/>
      <c r="AA752" s="29"/>
      <c r="AB752" s="29"/>
      <c r="AC752" s="29"/>
      <c r="AD752" s="29"/>
      <c r="AE752" s="29"/>
    </row>
    <row r="753" spans="6:31" ht="16.5" x14ac:dyDescent="0.25">
      <c r="F753" s="22"/>
      <c r="G753" s="22"/>
      <c r="H753" s="22"/>
      <c r="I753" s="22"/>
      <c r="J753" s="22"/>
      <c r="K753" s="22"/>
      <c r="L753" s="22"/>
      <c r="M753" s="22"/>
      <c r="N753" s="22"/>
      <c r="O753" s="22"/>
      <c r="P753" s="22"/>
      <c r="Q753" s="22"/>
      <c r="R753" s="22"/>
      <c r="S753" s="22"/>
      <c r="T753" s="22"/>
      <c r="U753" s="22"/>
      <c r="V753" s="22"/>
      <c r="W753" s="29"/>
      <c r="X753" s="29"/>
      <c r="Y753" s="29"/>
      <c r="Z753" s="29"/>
      <c r="AA753" s="29"/>
      <c r="AB753" s="29"/>
      <c r="AC753" s="29"/>
      <c r="AD753" s="29"/>
      <c r="AE753" s="29"/>
    </row>
    <row r="754" spans="6:31" ht="16.5" x14ac:dyDescent="0.25">
      <c r="F754" s="22"/>
      <c r="G754" s="22"/>
      <c r="H754" s="22"/>
      <c r="I754" s="22"/>
      <c r="J754" s="22"/>
      <c r="K754" s="22"/>
      <c r="L754" s="22"/>
      <c r="M754" s="22"/>
      <c r="N754" s="22"/>
      <c r="O754" s="22"/>
      <c r="P754" s="22"/>
      <c r="Q754" s="22"/>
      <c r="R754" s="22"/>
      <c r="S754" s="22"/>
      <c r="T754" s="22"/>
      <c r="U754" s="22"/>
      <c r="V754" s="22"/>
      <c r="W754" s="29"/>
      <c r="X754" s="29"/>
      <c r="Y754" s="29"/>
      <c r="Z754" s="29"/>
      <c r="AA754" s="29"/>
      <c r="AB754" s="29"/>
      <c r="AC754" s="29"/>
      <c r="AD754" s="29"/>
      <c r="AE754" s="29"/>
    </row>
    <row r="755" spans="6:31" ht="16.5" x14ac:dyDescent="0.25">
      <c r="F755" s="22"/>
      <c r="G755" s="22"/>
      <c r="H755" s="22"/>
      <c r="I755" s="22"/>
      <c r="J755" s="22"/>
      <c r="K755" s="22"/>
      <c r="L755" s="22"/>
      <c r="M755" s="22"/>
      <c r="N755" s="22"/>
      <c r="O755" s="22"/>
      <c r="P755" s="22"/>
      <c r="Q755" s="22"/>
      <c r="R755" s="22"/>
      <c r="S755" s="22"/>
      <c r="T755" s="22"/>
      <c r="U755" s="22"/>
      <c r="V755" s="22"/>
      <c r="W755" s="29"/>
      <c r="X755" s="29"/>
      <c r="Y755" s="29"/>
      <c r="Z755" s="29"/>
      <c r="AA755" s="29"/>
      <c r="AB755" s="29"/>
      <c r="AC755" s="29"/>
      <c r="AD755" s="29"/>
      <c r="AE755" s="29"/>
    </row>
    <row r="756" spans="6:31" ht="16.5" x14ac:dyDescent="0.25">
      <c r="F756" s="22"/>
      <c r="G756" s="22"/>
      <c r="H756" s="22"/>
      <c r="I756" s="22"/>
      <c r="J756" s="22"/>
      <c r="K756" s="22"/>
      <c r="L756" s="22"/>
      <c r="M756" s="22"/>
      <c r="N756" s="22"/>
      <c r="O756" s="22"/>
      <c r="P756" s="22"/>
      <c r="Q756" s="22"/>
      <c r="R756" s="22"/>
      <c r="S756" s="22"/>
      <c r="T756" s="22"/>
      <c r="U756" s="22"/>
      <c r="V756" s="22"/>
      <c r="W756" s="29"/>
      <c r="X756" s="29"/>
      <c r="Y756" s="29"/>
      <c r="Z756" s="29"/>
      <c r="AA756" s="29"/>
      <c r="AB756" s="29"/>
      <c r="AC756" s="29"/>
      <c r="AD756" s="29"/>
      <c r="AE756" s="29"/>
    </row>
    <row r="757" spans="6:31" ht="16.5" x14ac:dyDescent="0.25">
      <c r="F757" s="22"/>
      <c r="G757" s="22"/>
      <c r="H757" s="22"/>
      <c r="I757" s="22"/>
      <c r="J757" s="22"/>
      <c r="K757" s="22"/>
      <c r="L757" s="22"/>
      <c r="M757" s="22"/>
      <c r="N757" s="22"/>
      <c r="O757" s="22"/>
      <c r="P757" s="22"/>
      <c r="Q757" s="22"/>
      <c r="R757" s="22"/>
      <c r="S757" s="22"/>
      <c r="T757" s="22"/>
      <c r="U757" s="22"/>
      <c r="V757" s="22"/>
      <c r="W757" s="29"/>
      <c r="X757" s="29"/>
      <c r="Y757" s="29"/>
      <c r="Z757" s="29"/>
      <c r="AA757" s="29"/>
      <c r="AB757" s="29"/>
      <c r="AC757" s="29"/>
      <c r="AD757" s="29"/>
      <c r="AE757" s="29"/>
    </row>
    <row r="758" spans="6:31" ht="16.5" x14ac:dyDescent="0.25">
      <c r="F758" s="22"/>
      <c r="G758" s="22"/>
      <c r="H758" s="22"/>
      <c r="I758" s="22"/>
      <c r="J758" s="22"/>
      <c r="K758" s="22"/>
      <c r="L758" s="22"/>
      <c r="M758" s="22"/>
      <c r="N758" s="22"/>
      <c r="O758" s="22"/>
      <c r="P758" s="22"/>
      <c r="Q758" s="22"/>
      <c r="R758" s="22"/>
      <c r="S758" s="22"/>
      <c r="T758" s="22"/>
      <c r="U758" s="22"/>
      <c r="V758" s="22"/>
      <c r="W758" s="29"/>
      <c r="X758" s="29"/>
      <c r="Y758" s="29"/>
      <c r="Z758" s="29"/>
      <c r="AA758" s="29"/>
      <c r="AB758" s="29"/>
      <c r="AC758" s="29"/>
      <c r="AD758" s="29"/>
      <c r="AE758" s="29"/>
    </row>
    <row r="759" spans="6:31" ht="16.5" x14ac:dyDescent="0.25">
      <c r="F759" s="22"/>
      <c r="G759" s="22"/>
      <c r="H759" s="22"/>
      <c r="I759" s="22"/>
      <c r="J759" s="22"/>
      <c r="K759" s="22"/>
      <c r="L759" s="22"/>
      <c r="M759" s="22"/>
      <c r="N759" s="22"/>
      <c r="O759" s="22"/>
      <c r="P759" s="22"/>
      <c r="Q759" s="22"/>
      <c r="R759" s="22"/>
      <c r="S759" s="22"/>
      <c r="T759" s="22"/>
      <c r="U759" s="22"/>
      <c r="V759" s="22"/>
      <c r="W759" s="29"/>
      <c r="X759" s="29"/>
      <c r="Y759" s="29"/>
      <c r="Z759" s="29"/>
      <c r="AA759" s="29"/>
      <c r="AB759" s="29"/>
      <c r="AC759" s="29"/>
      <c r="AD759" s="29"/>
      <c r="AE759" s="29"/>
    </row>
    <row r="760" spans="6:31" ht="16.5" x14ac:dyDescent="0.25">
      <c r="F760" s="22"/>
      <c r="G760" s="22"/>
      <c r="H760" s="22"/>
      <c r="I760" s="22"/>
      <c r="J760" s="22"/>
      <c r="K760" s="22"/>
      <c r="L760" s="22"/>
      <c r="M760" s="22"/>
      <c r="N760" s="22"/>
      <c r="O760" s="22"/>
      <c r="P760" s="22"/>
      <c r="Q760" s="22"/>
      <c r="R760" s="22"/>
      <c r="S760" s="22"/>
      <c r="T760" s="22"/>
      <c r="U760" s="22"/>
      <c r="V760" s="22"/>
      <c r="W760" s="29"/>
      <c r="X760" s="29"/>
      <c r="Y760" s="29"/>
      <c r="Z760" s="29"/>
      <c r="AA760" s="29"/>
      <c r="AB760" s="29"/>
      <c r="AC760" s="29"/>
      <c r="AD760" s="29"/>
      <c r="AE760" s="29"/>
    </row>
    <row r="761" spans="6:31" ht="16.5" x14ac:dyDescent="0.25">
      <c r="F761" s="22"/>
      <c r="G761" s="22"/>
      <c r="H761" s="22"/>
      <c r="I761" s="22"/>
      <c r="J761" s="22"/>
      <c r="K761" s="22"/>
      <c r="L761" s="22"/>
      <c r="M761" s="22"/>
      <c r="N761" s="22"/>
      <c r="O761" s="22"/>
      <c r="P761" s="22"/>
      <c r="Q761" s="22"/>
      <c r="R761" s="22"/>
      <c r="S761" s="22"/>
      <c r="T761" s="22"/>
      <c r="U761" s="22"/>
      <c r="V761" s="22"/>
      <c r="W761" s="29"/>
      <c r="X761" s="29"/>
      <c r="Y761" s="29"/>
      <c r="Z761" s="29"/>
      <c r="AA761" s="29"/>
      <c r="AB761" s="29"/>
      <c r="AC761" s="29"/>
      <c r="AD761" s="29"/>
      <c r="AE761" s="29"/>
    </row>
    <row r="762" spans="6:31" ht="16.5" x14ac:dyDescent="0.25">
      <c r="F762" s="22"/>
      <c r="G762" s="22"/>
      <c r="H762" s="22"/>
      <c r="I762" s="22"/>
      <c r="J762" s="22"/>
      <c r="K762" s="22"/>
      <c r="L762" s="22"/>
      <c r="M762" s="22"/>
      <c r="N762" s="22"/>
      <c r="O762" s="22"/>
      <c r="P762" s="22"/>
      <c r="Q762" s="22"/>
      <c r="R762" s="22"/>
      <c r="S762" s="22"/>
      <c r="T762" s="22"/>
      <c r="U762" s="22"/>
      <c r="V762" s="22"/>
      <c r="W762" s="29"/>
      <c r="X762" s="29"/>
      <c r="Y762" s="29"/>
      <c r="Z762" s="29"/>
      <c r="AA762" s="29"/>
      <c r="AB762" s="29"/>
      <c r="AC762" s="29"/>
      <c r="AD762" s="29"/>
      <c r="AE762" s="29"/>
    </row>
    <row r="763" spans="6:31" ht="16.5" x14ac:dyDescent="0.25">
      <c r="F763" s="22"/>
      <c r="G763" s="22"/>
      <c r="H763" s="22"/>
      <c r="I763" s="22"/>
      <c r="J763" s="22"/>
      <c r="K763" s="22"/>
      <c r="L763" s="22"/>
      <c r="M763" s="22"/>
      <c r="N763" s="22"/>
      <c r="O763" s="22"/>
      <c r="P763" s="22"/>
      <c r="Q763" s="22"/>
      <c r="R763" s="22"/>
      <c r="S763" s="22"/>
      <c r="T763" s="22"/>
      <c r="U763" s="22"/>
      <c r="V763" s="22"/>
      <c r="W763" s="29"/>
      <c r="X763" s="29"/>
      <c r="Y763" s="29"/>
      <c r="Z763" s="29"/>
      <c r="AA763" s="29"/>
      <c r="AB763" s="29"/>
      <c r="AC763" s="29"/>
      <c r="AD763" s="29"/>
      <c r="AE763" s="29"/>
    </row>
    <row r="764" spans="6:31" ht="16.5" x14ac:dyDescent="0.25">
      <c r="F764" s="22"/>
      <c r="G764" s="22"/>
      <c r="H764" s="22"/>
      <c r="I764" s="22"/>
      <c r="J764" s="22"/>
      <c r="K764" s="22"/>
      <c r="L764" s="22"/>
      <c r="M764" s="22"/>
      <c r="N764" s="22"/>
      <c r="O764" s="22"/>
      <c r="P764" s="22"/>
      <c r="Q764" s="22"/>
      <c r="R764" s="22"/>
      <c r="S764" s="22"/>
      <c r="T764" s="22"/>
      <c r="U764" s="22"/>
      <c r="V764" s="22"/>
      <c r="W764" s="29"/>
      <c r="X764" s="29"/>
      <c r="Y764" s="29"/>
      <c r="Z764" s="29"/>
      <c r="AA764" s="29"/>
      <c r="AB764" s="29"/>
      <c r="AC764" s="29"/>
      <c r="AD764" s="29"/>
      <c r="AE764" s="29"/>
    </row>
    <row r="765" spans="6:31" ht="16.5" x14ac:dyDescent="0.25">
      <c r="F765" s="22"/>
      <c r="G765" s="22"/>
      <c r="H765" s="22"/>
      <c r="I765" s="22"/>
      <c r="J765" s="22"/>
      <c r="K765" s="22"/>
      <c r="L765" s="22"/>
      <c r="M765" s="22"/>
      <c r="N765" s="22"/>
      <c r="O765" s="22"/>
      <c r="P765" s="22"/>
      <c r="Q765" s="22"/>
      <c r="R765" s="22"/>
      <c r="S765" s="22"/>
      <c r="T765" s="22"/>
      <c r="U765" s="22"/>
      <c r="V765" s="22"/>
      <c r="W765" s="29"/>
      <c r="X765" s="29"/>
      <c r="Y765" s="29"/>
      <c r="Z765" s="29"/>
      <c r="AA765" s="29"/>
      <c r="AB765" s="29"/>
      <c r="AC765" s="29"/>
      <c r="AD765" s="29"/>
      <c r="AE765" s="29"/>
    </row>
    <row r="766" spans="6:31" ht="16.5" x14ac:dyDescent="0.25">
      <c r="F766" s="22"/>
      <c r="G766" s="22"/>
      <c r="H766" s="22"/>
      <c r="I766" s="22"/>
      <c r="J766" s="22"/>
      <c r="K766" s="22"/>
      <c r="L766" s="22"/>
      <c r="M766" s="22"/>
      <c r="N766" s="22"/>
      <c r="O766" s="22"/>
      <c r="P766" s="22"/>
      <c r="Q766" s="22"/>
      <c r="R766" s="22"/>
      <c r="S766" s="22"/>
      <c r="T766" s="22"/>
      <c r="U766" s="22"/>
      <c r="V766" s="22"/>
      <c r="W766" s="29"/>
      <c r="X766" s="29"/>
      <c r="Y766" s="29"/>
      <c r="Z766" s="29"/>
      <c r="AA766" s="29"/>
      <c r="AB766" s="29"/>
      <c r="AC766" s="29"/>
      <c r="AD766" s="29"/>
      <c r="AE766" s="29"/>
    </row>
    <row r="767" spans="6:31" ht="16.5" x14ac:dyDescent="0.25">
      <c r="F767" s="22"/>
      <c r="G767" s="22"/>
      <c r="H767" s="22"/>
      <c r="I767" s="22"/>
      <c r="J767" s="22"/>
      <c r="K767" s="22"/>
      <c r="L767" s="22"/>
      <c r="M767" s="22"/>
      <c r="N767" s="22"/>
      <c r="O767" s="22"/>
      <c r="P767" s="22"/>
      <c r="Q767" s="22"/>
      <c r="R767" s="22"/>
      <c r="S767" s="22"/>
      <c r="T767" s="22"/>
      <c r="U767" s="22"/>
      <c r="V767" s="22"/>
      <c r="W767" s="29"/>
      <c r="X767" s="29"/>
      <c r="Y767" s="29"/>
      <c r="Z767" s="29"/>
      <c r="AA767" s="29"/>
      <c r="AB767" s="29"/>
      <c r="AC767" s="29"/>
      <c r="AD767" s="29"/>
      <c r="AE767" s="29"/>
    </row>
    <row r="768" spans="6:31" ht="16.5" x14ac:dyDescent="0.25">
      <c r="F768" s="22"/>
      <c r="G768" s="22"/>
      <c r="H768" s="22"/>
      <c r="I768" s="22"/>
      <c r="J768" s="22"/>
      <c r="K768" s="22"/>
      <c r="L768" s="22"/>
      <c r="M768" s="22"/>
      <c r="N768" s="22"/>
      <c r="O768" s="22"/>
      <c r="P768" s="22"/>
      <c r="Q768" s="22"/>
      <c r="R768" s="22"/>
      <c r="S768" s="22"/>
      <c r="T768" s="22"/>
      <c r="U768" s="22"/>
      <c r="V768" s="22"/>
      <c r="W768" s="29"/>
      <c r="X768" s="29"/>
      <c r="Y768" s="29"/>
      <c r="Z768" s="29"/>
      <c r="AA768" s="29"/>
      <c r="AB768" s="29"/>
      <c r="AC768" s="29"/>
      <c r="AD768" s="29"/>
      <c r="AE768" s="29"/>
    </row>
    <row r="769" spans="6:31" ht="16.5" x14ac:dyDescent="0.25">
      <c r="F769" s="22"/>
      <c r="G769" s="22"/>
      <c r="H769" s="22"/>
      <c r="I769" s="22"/>
      <c r="J769" s="22"/>
      <c r="K769" s="22"/>
      <c r="L769" s="22"/>
      <c r="M769" s="22"/>
      <c r="N769" s="22"/>
      <c r="O769" s="22"/>
      <c r="P769" s="22"/>
      <c r="Q769" s="22"/>
      <c r="R769" s="22"/>
      <c r="S769" s="22"/>
      <c r="T769" s="22"/>
      <c r="U769" s="22"/>
      <c r="V769" s="22"/>
      <c r="W769" s="29"/>
      <c r="X769" s="29"/>
      <c r="Y769" s="29"/>
      <c r="Z769" s="29"/>
      <c r="AA769" s="29"/>
      <c r="AB769" s="29"/>
      <c r="AC769" s="29"/>
      <c r="AD769" s="29"/>
      <c r="AE769" s="29"/>
    </row>
    <row r="770" spans="6:31" ht="16.5" x14ac:dyDescent="0.25">
      <c r="F770" s="22"/>
      <c r="G770" s="22"/>
      <c r="H770" s="22"/>
      <c r="I770" s="22"/>
      <c r="J770" s="22"/>
      <c r="K770" s="22"/>
      <c r="L770" s="22"/>
      <c r="M770" s="22"/>
      <c r="N770" s="22"/>
      <c r="O770" s="22"/>
      <c r="P770" s="22"/>
      <c r="Q770" s="22"/>
      <c r="R770" s="22"/>
      <c r="S770" s="22"/>
      <c r="T770" s="22"/>
      <c r="U770" s="22"/>
      <c r="V770" s="22"/>
      <c r="W770" s="29"/>
      <c r="X770" s="29"/>
      <c r="Y770" s="29"/>
      <c r="Z770" s="29"/>
      <c r="AA770" s="29"/>
      <c r="AB770" s="29"/>
      <c r="AC770" s="29"/>
      <c r="AD770" s="29"/>
      <c r="AE770" s="29"/>
    </row>
    <row r="771" spans="6:31" ht="16.5" x14ac:dyDescent="0.25">
      <c r="F771" s="22"/>
      <c r="G771" s="22"/>
      <c r="H771" s="22"/>
      <c r="I771" s="22"/>
      <c r="J771" s="22"/>
      <c r="K771" s="22"/>
      <c r="L771" s="22"/>
      <c r="M771" s="22"/>
      <c r="N771" s="22"/>
      <c r="O771" s="22"/>
      <c r="P771" s="22"/>
      <c r="Q771" s="22"/>
      <c r="R771" s="22"/>
      <c r="S771" s="22"/>
      <c r="T771" s="22"/>
      <c r="U771" s="22"/>
      <c r="V771" s="22"/>
      <c r="W771" s="29"/>
      <c r="X771" s="29"/>
      <c r="Y771" s="29"/>
      <c r="Z771" s="29"/>
      <c r="AA771" s="29"/>
      <c r="AB771" s="29"/>
      <c r="AC771" s="29"/>
      <c r="AD771" s="29"/>
      <c r="AE771" s="29"/>
    </row>
    <row r="772" spans="6:31" ht="16.5" x14ac:dyDescent="0.25">
      <c r="F772" s="22"/>
      <c r="G772" s="22"/>
      <c r="H772" s="22"/>
      <c r="I772" s="22"/>
      <c r="J772" s="22"/>
      <c r="K772" s="22"/>
      <c r="L772" s="22"/>
      <c r="M772" s="22"/>
      <c r="N772" s="22"/>
      <c r="O772" s="22"/>
      <c r="P772" s="22"/>
      <c r="Q772" s="22"/>
      <c r="R772" s="22"/>
      <c r="S772" s="22"/>
      <c r="T772" s="22"/>
      <c r="U772" s="22"/>
      <c r="V772" s="22"/>
      <c r="W772" s="29"/>
      <c r="X772" s="29"/>
      <c r="Y772" s="29"/>
      <c r="Z772" s="29"/>
      <c r="AA772" s="29"/>
      <c r="AB772" s="29"/>
      <c r="AC772" s="29"/>
      <c r="AD772" s="29"/>
      <c r="AE772" s="29"/>
    </row>
    <row r="773" spans="6:31" ht="16.5" x14ac:dyDescent="0.25">
      <c r="F773" s="22"/>
      <c r="G773" s="22"/>
      <c r="H773" s="22"/>
      <c r="I773" s="22"/>
      <c r="J773" s="22"/>
      <c r="K773" s="22"/>
      <c r="L773" s="22"/>
      <c r="M773" s="22"/>
      <c r="N773" s="22"/>
      <c r="O773" s="22"/>
      <c r="P773" s="22"/>
      <c r="Q773" s="22"/>
      <c r="R773" s="22"/>
      <c r="S773" s="22"/>
      <c r="T773" s="22"/>
      <c r="U773" s="22"/>
      <c r="V773" s="22"/>
      <c r="W773" s="29"/>
      <c r="X773" s="29"/>
      <c r="Y773" s="29"/>
      <c r="Z773" s="29"/>
      <c r="AA773" s="29"/>
      <c r="AB773" s="29"/>
      <c r="AC773" s="29"/>
      <c r="AD773" s="29"/>
      <c r="AE773" s="29"/>
    </row>
    <row r="774" spans="6:31" ht="16.5" x14ac:dyDescent="0.25">
      <c r="F774" s="22"/>
      <c r="G774" s="22"/>
      <c r="H774" s="22"/>
      <c r="I774" s="22"/>
      <c r="J774" s="22"/>
      <c r="K774" s="22"/>
      <c r="L774" s="22"/>
      <c r="M774" s="22"/>
      <c r="N774" s="22"/>
      <c r="O774" s="22"/>
      <c r="P774" s="22"/>
      <c r="Q774" s="22"/>
      <c r="R774" s="22"/>
      <c r="S774" s="22"/>
      <c r="T774" s="22"/>
      <c r="U774" s="22"/>
      <c r="V774" s="22"/>
      <c r="W774" s="29"/>
      <c r="X774" s="29"/>
      <c r="Y774" s="29"/>
      <c r="Z774" s="29"/>
      <c r="AA774" s="29"/>
      <c r="AB774" s="29"/>
      <c r="AC774" s="29"/>
      <c r="AD774" s="29"/>
      <c r="AE774" s="29"/>
    </row>
    <row r="775" spans="6:31" ht="16.5" x14ac:dyDescent="0.25">
      <c r="F775" s="22"/>
      <c r="G775" s="22"/>
      <c r="H775" s="22"/>
      <c r="I775" s="22"/>
      <c r="J775" s="22"/>
      <c r="K775" s="22"/>
      <c r="L775" s="22"/>
      <c r="M775" s="22"/>
      <c r="N775" s="22"/>
      <c r="O775" s="22"/>
      <c r="P775" s="22"/>
      <c r="Q775" s="22"/>
      <c r="R775" s="22"/>
      <c r="S775" s="22"/>
      <c r="T775" s="22"/>
      <c r="U775" s="22"/>
      <c r="V775" s="22"/>
      <c r="W775" s="29"/>
      <c r="X775" s="29"/>
      <c r="Y775" s="29"/>
      <c r="Z775" s="29"/>
      <c r="AA775" s="29"/>
      <c r="AB775" s="29"/>
      <c r="AC775" s="29"/>
      <c r="AD775" s="29"/>
      <c r="AE775" s="29"/>
    </row>
    <row r="776" spans="6:31" ht="16.5" x14ac:dyDescent="0.25">
      <c r="F776" s="22"/>
      <c r="G776" s="22"/>
      <c r="H776" s="22"/>
      <c r="I776" s="22"/>
      <c r="J776" s="22"/>
      <c r="K776" s="22"/>
      <c r="L776" s="22"/>
      <c r="M776" s="22"/>
      <c r="N776" s="22"/>
      <c r="O776" s="22"/>
      <c r="P776" s="22"/>
      <c r="Q776" s="22"/>
      <c r="R776" s="22"/>
      <c r="S776" s="22"/>
      <c r="T776" s="22"/>
      <c r="U776" s="22"/>
      <c r="V776" s="22"/>
      <c r="W776" s="29"/>
      <c r="X776" s="29"/>
      <c r="Y776" s="29"/>
      <c r="Z776" s="29"/>
      <c r="AA776" s="29"/>
      <c r="AB776" s="29"/>
      <c r="AC776" s="29"/>
      <c r="AD776" s="29"/>
      <c r="AE776" s="29"/>
    </row>
    <row r="777" spans="6:31" ht="16.5" x14ac:dyDescent="0.25">
      <c r="F777" s="22"/>
      <c r="G777" s="22"/>
      <c r="H777" s="22"/>
      <c r="I777" s="22"/>
      <c r="J777" s="22"/>
      <c r="K777" s="22"/>
      <c r="L777" s="22"/>
      <c r="M777" s="22"/>
      <c r="N777" s="22"/>
      <c r="O777" s="22"/>
      <c r="P777" s="22"/>
      <c r="Q777" s="22"/>
      <c r="R777" s="22"/>
      <c r="S777" s="22"/>
      <c r="T777" s="22"/>
      <c r="U777" s="22"/>
      <c r="V777" s="22"/>
      <c r="W777" s="29"/>
      <c r="X777" s="29"/>
      <c r="Y777" s="29"/>
      <c r="Z777" s="29"/>
      <c r="AA777" s="29"/>
      <c r="AB777" s="29"/>
      <c r="AC777" s="29"/>
      <c r="AD777" s="29"/>
      <c r="AE777" s="29"/>
    </row>
    <row r="778" spans="6:31" ht="16.5" x14ac:dyDescent="0.25">
      <c r="F778" s="22"/>
      <c r="G778" s="22"/>
      <c r="H778" s="22"/>
      <c r="I778" s="22"/>
      <c r="J778" s="22"/>
      <c r="K778" s="22"/>
      <c r="L778" s="22"/>
      <c r="M778" s="22"/>
      <c r="N778" s="22"/>
      <c r="O778" s="22"/>
      <c r="P778" s="22"/>
      <c r="Q778" s="22"/>
      <c r="R778" s="22"/>
      <c r="S778" s="22"/>
      <c r="T778" s="22"/>
      <c r="U778" s="22"/>
      <c r="V778" s="22"/>
      <c r="W778" s="29"/>
      <c r="X778" s="29"/>
      <c r="Y778" s="29"/>
      <c r="Z778" s="29"/>
      <c r="AA778" s="29"/>
      <c r="AB778" s="29"/>
      <c r="AC778" s="29"/>
      <c r="AD778" s="29"/>
      <c r="AE778" s="29"/>
    </row>
    <row r="779" spans="6:31" ht="16.5" x14ac:dyDescent="0.25">
      <c r="F779" s="22"/>
      <c r="G779" s="22"/>
      <c r="H779" s="22"/>
      <c r="I779" s="22"/>
      <c r="J779" s="22"/>
      <c r="K779" s="22"/>
      <c r="L779" s="22"/>
      <c r="M779" s="22"/>
      <c r="N779" s="22"/>
      <c r="O779" s="22"/>
      <c r="P779" s="22"/>
      <c r="Q779" s="22"/>
      <c r="R779" s="22"/>
      <c r="S779" s="22"/>
      <c r="T779" s="22"/>
      <c r="U779" s="22"/>
      <c r="V779" s="22"/>
      <c r="W779" s="29"/>
      <c r="X779" s="29"/>
      <c r="Y779" s="29"/>
      <c r="Z779" s="29"/>
      <c r="AA779" s="29"/>
      <c r="AB779" s="29"/>
      <c r="AC779" s="29"/>
      <c r="AD779" s="29"/>
      <c r="AE779" s="29"/>
    </row>
    <row r="780" spans="6:31" ht="16.5" x14ac:dyDescent="0.25">
      <c r="F780" s="22"/>
      <c r="G780" s="22"/>
      <c r="H780" s="22"/>
      <c r="I780" s="22"/>
      <c r="J780" s="22"/>
      <c r="K780" s="22"/>
      <c r="L780" s="22"/>
      <c r="M780" s="22"/>
      <c r="N780" s="22"/>
      <c r="O780" s="22"/>
      <c r="P780" s="22"/>
      <c r="Q780" s="22"/>
      <c r="R780" s="22"/>
      <c r="S780" s="22"/>
      <c r="T780" s="22"/>
      <c r="U780" s="22"/>
      <c r="V780" s="22"/>
      <c r="W780" s="29"/>
      <c r="X780" s="29"/>
      <c r="Y780" s="29"/>
      <c r="Z780" s="29"/>
      <c r="AA780" s="29"/>
      <c r="AB780" s="29"/>
      <c r="AC780" s="29"/>
      <c r="AD780" s="29"/>
      <c r="AE780" s="29"/>
    </row>
    <row r="781" spans="6:31" ht="16.5" x14ac:dyDescent="0.25">
      <c r="F781" s="22"/>
      <c r="G781" s="22"/>
      <c r="H781" s="22"/>
      <c r="I781" s="22"/>
      <c r="J781" s="22"/>
      <c r="K781" s="22"/>
      <c r="L781" s="22"/>
      <c r="M781" s="22"/>
      <c r="N781" s="22"/>
      <c r="O781" s="22"/>
      <c r="P781" s="22"/>
      <c r="Q781" s="22"/>
      <c r="R781" s="22"/>
      <c r="S781" s="22"/>
      <c r="T781" s="22"/>
      <c r="U781" s="22"/>
      <c r="V781" s="22"/>
      <c r="W781" s="29"/>
      <c r="X781" s="29"/>
      <c r="Y781" s="29"/>
      <c r="Z781" s="29"/>
      <c r="AA781" s="29"/>
      <c r="AB781" s="29"/>
      <c r="AC781" s="29"/>
      <c r="AD781" s="29"/>
      <c r="AE781" s="29"/>
    </row>
    <row r="782" spans="6:31" ht="16.5" x14ac:dyDescent="0.25">
      <c r="F782" s="22"/>
      <c r="G782" s="22"/>
      <c r="H782" s="22"/>
      <c r="I782" s="22"/>
      <c r="J782" s="22"/>
      <c r="K782" s="22"/>
      <c r="L782" s="22"/>
      <c r="M782" s="22"/>
      <c r="N782" s="22"/>
      <c r="O782" s="22"/>
      <c r="P782" s="22"/>
      <c r="Q782" s="22"/>
      <c r="R782" s="22"/>
      <c r="S782" s="22"/>
      <c r="T782" s="22"/>
      <c r="U782" s="22"/>
      <c r="V782" s="22"/>
      <c r="W782" s="29"/>
      <c r="X782" s="29"/>
      <c r="Y782" s="29"/>
      <c r="Z782" s="29"/>
      <c r="AA782" s="29"/>
      <c r="AB782" s="29"/>
      <c r="AC782" s="29"/>
      <c r="AD782" s="29"/>
      <c r="AE782" s="29"/>
    </row>
    <row r="783" spans="6:31" ht="16.5" x14ac:dyDescent="0.25">
      <c r="F783" s="22"/>
      <c r="G783" s="22"/>
      <c r="H783" s="22"/>
      <c r="I783" s="22"/>
      <c r="J783" s="22"/>
      <c r="K783" s="22"/>
      <c r="L783" s="22"/>
      <c r="M783" s="22"/>
      <c r="N783" s="22"/>
      <c r="O783" s="22"/>
      <c r="P783" s="22"/>
      <c r="Q783" s="22"/>
      <c r="R783" s="22"/>
      <c r="S783" s="22"/>
      <c r="T783" s="22"/>
      <c r="U783" s="22"/>
      <c r="V783" s="22"/>
      <c r="W783" s="29"/>
      <c r="X783" s="29"/>
      <c r="Y783" s="29"/>
      <c r="Z783" s="29"/>
      <c r="AA783" s="29"/>
      <c r="AB783" s="29"/>
      <c r="AC783" s="29"/>
      <c r="AD783" s="29"/>
      <c r="AE783" s="29"/>
    </row>
    <row r="784" spans="6:31" ht="16.5" x14ac:dyDescent="0.25">
      <c r="F784" s="22"/>
      <c r="G784" s="22"/>
      <c r="H784" s="22"/>
      <c r="I784" s="22"/>
      <c r="J784" s="22"/>
      <c r="K784" s="22"/>
      <c r="L784" s="22"/>
      <c r="M784" s="22"/>
      <c r="N784" s="22"/>
      <c r="O784" s="22"/>
      <c r="P784" s="22"/>
      <c r="Q784" s="22"/>
      <c r="R784" s="22"/>
      <c r="S784" s="22"/>
      <c r="T784" s="22"/>
      <c r="U784" s="22"/>
      <c r="V784" s="22"/>
      <c r="W784" s="29"/>
      <c r="X784" s="29"/>
      <c r="Y784" s="29"/>
      <c r="Z784" s="29"/>
      <c r="AA784" s="29"/>
      <c r="AB784" s="29"/>
      <c r="AC784" s="29"/>
      <c r="AD784" s="29"/>
      <c r="AE784" s="29"/>
    </row>
    <row r="785" spans="6:31" ht="16.5" x14ac:dyDescent="0.25">
      <c r="F785" s="22"/>
      <c r="G785" s="22"/>
      <c r="H785" s="22"/>
      <c r="I785" s="22"/>
      <c r="J785" s="22"/>
      <c r="K785" s="22"/>
      <c r="L785" s="22"/>
      <c r="M785" s="22"/>
      <c r="N785" s="22"/>
      <c r="O785" s="22"/>
      <c r="P785" s="22"/>
      <c r="Q785" s="22"/>
      <c r="R785" s="22"/>
      <c r="S785" s="22"/>
      <c r="T785" s="22"/>
      <c r="U785" s="22"/>
      <c r="V785" s="22"/>
      <c r="W785" s="29"/>
      <c r="X785" s="29"/>
      <c r="Y785" s="29"/>
      <c r="Z785" s="29"/>
      <c r="AA785" s="29"/>
      <c r="AB785" s="29"/>
      <c r="AC785" s="29"/>
      <c r="AD785" s="29"/>
      <c r="AE785" s="29"/>
    </row>
    <row r="786" spans="6:31" ht="16.5" x14ac:dyDescent="0.25">
      <c r="F786" s="22"/>
      <c r="G786" s="22"/>
      <c r="H786" s="22"/>
      <c r="I786" s="22"/>
      <c r="J786" s="22"/>
      <c r="K786" s="22"/>
      <c r="L786" s="22"/>
      <c r="M786" s="22"/>
      <c r="N786" s="22"/>
      <c r="O786" s="22"/>
      <c r="P786" s="22"/>
      <c r="Q786" s="22"/>
      <c r="R786" s="22"/>
      <c r="S786" s="22"/>
      <c r="T786" s="22"/>
      <c r="U786" s="22"/>
      <c r="V786" s="22"/>
      <c r="W786" s="29"/>
      <c r="X786" s="29"/>
      <c r="Y786" s="29"/>
      <c r="Z786" s="29"/>
      <c r="AA786" s="29"/>
      <c r="AB786" s="29"/>
      <c r="AC786" s="29"/>
      <c r="AD786" s="29"/>
      <c r="AE786" s="29"/>
    </row>
    <row r="787" spans="6:31" ht="16.5" x14ac:dyDescent="0.25">
      <c r="F787" s="22"/>
      <c r="G787" s="22"/>
      <c r="H787" s="22"/>
      <c r="I787" s="22"/>
      <c r="J787" s="22"/>
      <c r="K787" s="22"/>
      <c r="L787" s="22"/>
      <c r="M787" s="22"/>
      <c r="N787" s="22"/>
      <c r="O787" s="22"/>
      <c r="P787" s="22"/>
      <c r="Q787" s="22"/>
      <c r="R787" s="22"/>
      <c r="S787" s="22"/>
      <c r="T787" s="22"/>
      <c r="U787" s="22"/>
      <c r="V787" s="22"/>
      <c r="W787" s="29"/>
      <c r="X787" s="29"/>
      <c r="Y787" s="29"/>
      <c r="Z787" s="29"/>
      <c r="AA787" s="29"/>
      <c r="AB787" s="29"/>
      <c r="AC787" s="29"/>
      <c r="AD787" s="29"/>
      <c r="AE787" s="29"/>
    </row>
    <row r="788" spans="6:31" ht="16.5" x14ac:dyDescent="0.25">
      <c r="F788" s="22"/>
      <c r="G788" s="22"/>
      <c r="H788" s="22"/>
      <c r="I788" s="22"/>
      <c r="J788" s="22"/>
      <c r="K788" s="22"/>
      <c r="L788" s="22"/>
      <c r="M788" s="22"/>
      <c r="N788" s="22"/>
      <c r="O788" s="22"/>
      <c r="P788" s="22"/>
      <c r="Q788" s="22"/>
      <c r="R788" s="22"/>
      <c r="S788" s="22"/>
      <c r="T788" s="22"/>
      <c r="U788" s="22"/>
      <c r="V788" s="22"/>
      <c r="W788" s="29"/>
      <c r="X788" s="29"/>
      <c r="Y788" s="29"/>
      <c r="Z788" s="29"/>
      <c r="AA788" s="29"/>
      <c r="AB788" s="29"/>
      <c r="AC788" s="29"/>
      <c r="AD788" s="29"/>
      <c r="AE788" s="29"/>
    </row>
    <row r="789" spans="6:31" ht="16.5" x14ac:dyDescent="0.25">
      <c r="F789" s="22"/>
      <c r="G789" s="22"/>
      <c r="H789" s="22"/>
      <c r="I789" s="22"/>
      <c r="J789" s="22"/>
      <c r="K789" s="22"/>
      <c r="L789" s="22"/>
      <c r="M789" s="22"/>
      <c r="N789" s="22"/>
      <c r="O789" s="22"/>
      <c r="P789" s="22"/>
      <c r="Q789" s="22"/>
      <c r="R789" s="22"/>
      <c r="S789" s="22"/>
      <c r="T789" s="22"/>
      <c r="U789" s="22"/>
      <c r="V789" s="22"/>
      <c r="W789" s="29"/>
      <c r="X789" s="29"/>
      <c r="Y789" s="29"/>
      <c r="Z789" s="29"/>
      <c r="AA789" s="29"/>
      <c r="AB789" s="29"/>
      <c r="AC789" s="29"/>
      <c r="AD789" s="29"/>
      <c r="AE789" s="29"/>
    </row>
    <row r="790" spans="6:31" ht="16.5" x14ac:dyDescent="0.25">
      <c r="F790" s="22"/>
      <c r="G790" s="22"/>
      <c r="H790" s="22"/>
      <c r="I790" s="22"/>
      <c r="J790" s="22"/>
      <c r="K790" s="22"/>
      <c r="L790" s="22"/>
      <c r="M790" s="22"/>
      <c r="N790" s="22"/>
      <c r="O790" s="22"/>
      <c r="P790" s="22"/>
      <c r="Q790" s="22"/>
      <c r="R790" s="22"/>
      <c r="S790" s="22"/>
      <c r="T790" s="22"/>
      <c r="U790" s="22"/>
      <c r="V790" s="22"/>
      <c r="W790" s="29"/>
      <c r="X790" s="29"/>
      <c r="Y790" s="29"/>
      <c r="Z790" s="29"/>
      <c r="AA790" s="29"/>
      <c r="AB790" s="29"/>
      <c r="AC790" s="29"/>
      <c r="AD790" s="29"/>
      <c r="AE790" s="29"/>
    </row>
    <row r="791" spans="6:31" ht="16.5" x14ac:dyDescent="0.25">
      <c r="F791" s="22"/>
      <c r="G791" s="22"/>
      <c r="H791" s="22"/>
      <c r="I791" s="22"/>
      <c r="J791" s="22"/>
      <c r="K791" s="22"/>
      <c r="L791" s="22"/>
      <c r="M791" s="22"/>
      <c r="N791" s="22"/>
      <c r="O791" s="22"/>
      <c r="P791" s="22"/>
      <c r="Q791" s="22"/>
      <c r="R791" s="22"/>
      <c r="S791" s="22"/>
      <c r="T791" s="22"/>
      <c r="U791" s="22"/>
      <c r="V791" s="22"/>
      <c r="W791" s="29"/>
      <c r="X791" s="29"/>
      <c r="Y791" s="29"/>
      <c r="Z791" s="29"/>
      <c r="AA791" s="29"/>
      <c r="AB791" s="29"/>
      <c r="AC791" s="29"/>
      <c r="AD791" s="29"/>
      <c r="AE791" s="29"/>
    </row>
    <row r="792" spans="6:31" ht="16.5" x14ac:dyDescent="0.25">
      <c r="F792" s="22"/>
      <c r="G792" s="22"/>
      <c r="H792" s="22"/>
      <c r="I792" s="22"/>
      <c r="J792" s="22"/>
      <c r="K792" s="22"/>
      <c r="L792" s="22"/>
      <c r="M792" s="22"/>
      <c r="N792" s="22"/>
      <c r="O792" s="22"/>
      <c r="P792" s="22"/>
      <c r="Q792" s="22"/>
      <c r="R792" s="22"/>
      <c r="S792" s="22"/>
      <c r="T792" s="22"/>
      <c r="U792" s="22"/>
      <c r="V792" s="22"/>
      <c r="W792" s="29"/>
      <c r="X792" s="29"/>
      <c r="Y792" s="29"/>
      <c r="Z792" s="29"/>
      <c r="AA792" s="29"/>
      <c r="AB792" s="29"/>
      <c r="AC792" s="29"/>
      <c r="AD792" s="29"/>
      <c r="AE792" s="29"/>
    </row>
    <row r="793" spans="6:31" ht="16.5" x14ac:dyDescent="0.25">
      <c r="F793" s="22"/>
      <c r="G793" s="22"/>
      <c r="H793" s="22"/>
      <c r="I793" s="22"/>
      <c r="J793" s="22"/>
      <c r="K793" s="22"/>
      <c r="L793" s="22"/>
      <c r="M793" s="22"/>
      <c r="N793" s="22"/>
      <c r="O793" s="22"/>
      <c r="P793" s="22"/>
      <c r="Q793" s="22"/>
      <c r="R793" s="22"/>
      <c r="S793" s="22"/>
      <c r="T793" s="22"/>
      <c r="U793" s="22"/>
      <c r="V793" s="22"/>
      <c r="W793" s="29"/>
      <c r="X793" s="29"/>
      <c r="Y793" s="29"/>
      <c r="Z793" s="29"/>
      <c r="AA793" s="29"/>
      <c r="AB793" s="29"/>
      <c r="AC793" s="29"/>
      <c r="AD793" s="29"/>
      <c r="AE793" s="29"/>
    </row>
    <row r="794" spans="6:31" ht="16.5" x14ac:dyDescent="0.25">
      <c r="F794" s="22"/>
      <c r="G794" s="22"/>
      <c r="H794" s="22"/>
      <c r="I794" s="22"/>
      <c r="J794" s="22"/>
      <c r="K794" s="22"/>
      <c r="L794" s="22"/>
      <c r="M794" s="22"/>
      <c r="N794" s="22"/>
      <c r="O794" s="22"/>
      <c r="P794" s="22"/>
      <c r="Q794" s="22"/>
      <c r="R794" s="22"/>
      <c r="S794" s="22"/>
      <c r="T794" s="22"/>
      <c r="U794" s="22"/>
      <c r="V794" s="22"/>
      <c r="W794" s="29"/>
      <c r="X794" s="29"/>
      <c r="Y794" s="29"/>
      <c r="Z794" s="29"/>
      <c r="AA794" s="29"/>
      <c r="AB794" s="29"/>
      <c r="AC794" s="29"/>
      <c r="AD794" s="29"/>
      <c r="AE794" s="29"/>
    </row>
    <row r="795" spans="6:31" ht="16.5" x14ac:dyDescent="0.25">
      <c r="F795" s="22"/>
      <c r="G795" s="22"/>
      <c r="H795" s="22"/>
      <c r="I795" s="22"/>
      <c r="J795" s="22"/>
      <c r="K795" s="22"/>
      <c r="L795" s="22"/>
      <c r="M795" s="22"/>
      <c r="N795" s="22"/>
      <c r="O795" s="22"/>
      <c r="P795" s="22"/>
      <c r="Q795" s="22"/>
      <c r="R795" s="22"/>
      <c r="S795" s="22"/>
      <c r="T795" s="22"/>
      <c r="U795" s="22"/>
      <c r="V795" s="22"/>
      <c r="W795" s="29"/>
      <c r="X795" s="29"/>
      <c r="Y795" s="29"/>
      <c r="Z795" s="29"/>
      <c r="AA795" s="29"/>
      <c r="AB795" s="29"/>
      <c r="AC795" s="29"/>
      <c r="AD795" s="29"/>
      <c r="AE795" s="29"/>
    </row>
    <row r="796" spans="6:31" ht="16.5" x14ac:dyDescent="0.25">
      <c r="F796" s="22"/>
      <c r="G796" s="22"/>
      <c r="H796" s="22"/>
      <c r="I796" s="22"/>
      <c r="J796" s="22"/>
      <c r="K796" s="22"/>
      <c r="L796" s="22"/>
      <c r="M796" s="22"/>
      <c r="N796" s="22"/>
      <c r="O796" s="22"/>
      <c r="P796" s="22"/>
      <c r="Q796" s="22"/>
      <c r="R796" s="22"/>
      <c r="S796" s="22"/>
      <c r="T796" s="22"/>
      <c r="U796" s="22"/>
      <c r="V796" s="22"/>
      <c r="W796" s="29"/>
      <c r="X796" s="29"/>
      <c r="Y796" s="29"/>
      <c r="Z796" s="29"/>
      <c r="AA796" s="29"/>
      <c r="AB796" s="29"/>
      <c r="AC796" s="29"/>
      <c r="AD796" s="29"/>
      <c r="AE796" s="29"/>
    </row>
    <row r="797" spans="6:31" ht="16.5" x14ac:dyDescent="0.25">
      <c r="F797" s="22"/>
      <c r="G797" s="22"/>
      <c r="H797" s="22"/>
      <c r="I797" s="22"/>
      <c r="J797" s="22"/>
      <c r="K797" s="22"/>
      <c r="L797" s="22"/>
      <c r="M797" s="22"/>
      <c r="N797" s="22"/>
      <c r="O797" s="22"/>
      <c r="P797" s="22"/>
      <c r="Q797" s="22"/>
      <c r="R797" s="22"/>
      <c r="S797" s="22"/>
      <c r="T797" s="22"/>
      <c r="U797" s="22"/>
      <c r="V797" s="22"/>
      <c r="W797" s="29"/>
      <c r="X797" s="29"/>
      <c r="Y797" s="29"/>
      <c r="Z797" s="29"/>
      <c r="AA797" s="29"/>
      <c r="AB797" s="29"/>
      <c r="AC797" s="29"/>
      <c r="AD797" s="29"/>
      <c r="AE797" s="29"/>
    </row>
    <row r="798" spans="6:31" ht="16.5" x14ac:dyDescent="0.25">
      <c r="F798" s="22"/>
      <c r="G798" s="22"/>
      <c r="H798" s="22"/>
      <c r="I798" s="22"/>
      <c r="J798" s="22"/>
      <c r="K798" s="22"/>
      <c r="L798" s="22"/>
      <c r="M798" s="22"/>
      <c r="N798" s="22"/>
      <c r="O798" s="22"/>
      <c r="P798" s="22"/>
      <c r="Q798" s="22"/>
      <c r="R798" s="22"/>
      <c r="S798" s="22"/>
      <c r="T798" s="22"/>
      <c r="U798" s="22"/>
      <c r="V798" s="22"/>
      <c r="W798" s="29"/>
      <c r="X798" s="29"/>
      <c r="Y798" s="29"/>
      <c r="Z798" s="29"/>
      <c r="AA798" s="29"/>
      <c r="AB798" s="29"/>
      <c r="AC798" s="29"/>
      <c r="AD798" s="29"/>
      <c r="AE798" s="29"/>
    </row>
    <row r="799" spans="6:31" ht="16.5" x14ac:dyDescent="0.25">
      <c r="F799" s="22"/>
      <c r="G799" s="22"/>
      <c r="H799" s="22"/>
      <c r="I799" s="22"/>
      <c r="J799" s="22"/>
      <c r="K799" s="22"/>
      <c r="L799" s="22"/>
      <c r="M799" s="22"/>
      <c r="N799" s="22"/>
      <c r="O799" s="22"/>
      <c r="P799" s="22"/>
      <c r="Q799" s="22"/>
      <c r="R799" s="22"/>
      <c r="S799" s="22"/>
      <c r="T799" s="22"/>
      <c r="U799" s="22"/>
      <c r="V799" s="22"/>
      <c r="W799" s="29"/>
      <c r="X799" s="29"/>
      <c r="Y799" s="29"/>
      <c r="Z799" s="29"/>
      <c r="AA799" s="29"/>
      <c r="AB799" s="29"/>
      <c r="AC799" s="29"/>
      <c r="AD799" s="29"/>
      <c r="AE799" s="29"/>
    </row>
    <row r="800" spans="6:31" ht="16.5" x14ac:dyDescent="0.25">
      <c r="F800" s="22"/>
      <c r="G800" s="22"/>
      <c r="H800" s="22"/>
      <c r="I800" s="22"/>
      <c r="J800" s="22"/>
      <c r="K800" s="22"/>
      <c r="L800" s="22"/>
      <c r="M800" s="22"/>
      <c r="N800" s="22"/>
      <c r="O800" s="22"/>
      <c r="P800" s="22"/>
      <c r="Q800" s="22"/>
      <c r="R800" s="22"/>
      <c r="S800" s="22"/>
      <c r="T800" s="22"/>
      <c r="U800" s="22"/>
      <c r="V800" s="22"/>
      <c r="W800" s="29"/>
      <c r="X800" s="29"/>
      <c r="Y800" s="29"/>
      <c r="Z800" s="29"/>
      <c r="AA800" s="29"/>
      <c r="AB800" s="29"/>
      <c r="AC800" s="29"/>
      <c r="AD800" s="29"/>
      <c r="AE800" s="29"/>
    </row>
    <row r="801" spans="6:31" ht="16.5" x14ac:dyDescent="0.25">
      <c r="F801" s="22"/>
      <c r="G801" s="22"/>
      <c r="H801" s="22"/>
      <c r="I801" s="22"/>
      <c r="J801" s="22"/>
      <c r="K801" s="22"/>
      <c r="L801" s="22"/>
      <c r="M801" s="22"/>
      <c r="N801" s="22"/>
      <c r="O801" s="22"/>
      <c r="P801" s="22"/>
      <c r="Q801" s="22"/>
      <c r="R801" s="22"/>
      <c r="S801" s="22"/>
      <c r="T801" s="22"/>
      <c r="U801" s="22"/>
      <c r="V801" s="22"/>
      <c r="W801" s="29"/>
      <c r="X801" s="29"/>
      <c r="Y801" s="29"/>
      <c r="Z801" s="29"/>
      <c r="AA801" s="29"/>
      <c r="AB801" s="29"/>
      <c r="AC801" s="29"/>
      <c r="AD801" s="29"/>
      <c r="AE801" s="29"/>
    </row>
    <row r="802" spans="6:31" ht="16.5" x14ac:dyDescent="0.25">
      <c r="F802" s="22"/>
      <c r="G802" s="22"/>
      <c r="H802" s="22"/>
      <c r="I802" s="22"/>
      <c r="J802" s="22"/>
      <c r="K802" s="22"/>
      <c r="L802" s="22"/>
      <c r="M802" s="22"/>
      <c r="N802" s="22"/>
      <c r="O802" s="22"/>
      <c r="P802" s="22"/>
      <c r="Q802" s="22"/>
      <c r="R802" s="22"/>
      <c r="S802" s="22"/>
      <c r="T802" s="22"/>
      <c r="U802" s="22"/>
      <c r="V802" s="22"/>
      <c r="W802" s="29"/>
      <c r="X802" s="29"/>
      <c r="Y802" s="29"/>
      <c r="Z802" s="29"/>
      <c r="AA802" s="29"/>
      <c r="AB802" s="29"/>
      <c r="AC802" s="29"/>
      <c r="AD802" s="29"/>
      <c r="AE802" s="29"/>
    </row>
    <row r="803" spans="6:31" ht="16.5" x14ac:dyDescent="0.25">
      <c r="F803" s="22"/>
      <c r="G803" s="22"/>
      <c r="H803" s="22"/>
      <c r="I803" s="22"/>
      <c r="J803" s="22"/>
      <c r="K803" s="22"/>
      <c r="L803" s="22"/>
      <c r="M803" s="22"/>
      <c r="N803" s="22"/>
      <c r="O803" s="22"/>
      <c r="P803" s="22"/>
      <c r="Q803" s="22"/>
      <c r="R803" s="22"/>
      <c r="S803" s="22"/>
      <c r="T803" s="22"/>
      <c r="U803" s="22"/>
      <c r="V803" s="22"/>
      <c r="W803" s="29"/>
      <c r="X803" s="29"/>
      <c r="Y803" s="29"/>
      <c r="Z803" s="29"/>
      <c r="AA803" s="29"/>
      <c r="AB803" s="29"/>
      <c r="AC803" s="29"/>
      <c r="AD803" s="29"/>
      <c r="AE803" s="29"/>
    </row>
    <row r="804" spans="6:31" ht="16.5" x14ac:dyDescent="0.25">
      <c r="F804" s="22"/>
      <c r="G804" s="22"/>
      <c r="H804" s="22"/>
      <c r="I804" s="22"/>
      <c r="J804" s="22"/>
      <c r="K804" s="22"/>
      <c r="L804" s="22"/>
      <c r="M804" s="22"/>
      <c r="N804" s="22"/>
      <c r="O804" s="22"/>
      <c r="P804" s="22"/>
      <c r="Q804" s="22"/>
      <c r="R804" s="22"/>
      <c r="S804" s="22"/>
      <c r="T804" s="22"/>
      <c r="U804" s="22"/>
      <c r="V804" s="22"/>
      <c r="W804" s="29"/>
      <c r="X804" s="29"/>
      <c r="Y804" s="29"/>
      <c r="Z804" s="29"/>
      <c r="AA804" s="29"/>
      <c r="AB804" s="29"/>
      <c r="AC804" s="29"/>
      <c r="AD804" s="29"/>
      <c r="AE804" s="29"/>
    </row>
    <row r="805" spans="6:31" ht="16.5" x14ac:dyDescent="0.25">
      <c r="F805" s="22"/>
      <c r="G805" s="22"/>
      <c r="H805" s="22"/>
      <c r="I805" s="22"/>
      <c r="J805" s="22"/>
      <c r="K805" s="22"/>
      <c r="L805" s="22"/>
      <c r="M805" s="22"/>
      <c r="N805" s="22"/>
      <c r="O805" s="22"/>
      <c r="P805" s="22"/>
      <c r="Q805" s="22"/>
      <c r="R805" s="22"/>
      <c r="S805" s="22"/>
      <c r="T805" s="22"/>
      <c r="U805" s="22"/>
      <c r="V805" s="22"/>
      <c r="W805" s="29"/>
      <c r="X805" s="29"/>
      <c r="Y805" s="29"/>
      <c r="Z805" s="29"/>
      <c r="AA805" s="29"/>
      <c r="AB805" s="29"/>
      <c r="AC805" s="29"/>
      <c r="AD805" s="29"/>
      <c r="AE805" s="29"/>
    </row>
    <row r="806" spans="6:31" ht="16.5" x14ac:dyDescent="0.25">
      <c r="F806" s="22"/>
      <c r="G806" s="22"/>
      <c r="H806" s="22"/>
      <c r="I806" s="22"/>
      <c r="J806" s="22"/>
      <c r="K806" s="22"/>
      <c r="L806" s="22"/>
      <c r="M806" s="22"/>
      <c r="N806" s="22"/>
      <c r="O806" s="22"/>
      <c r="P806" s="22"/>
      <c r="Q806" s="22"/>
      <c r="R806" s="22"/>
      <c r="S806" s="22"/>
      <c r="T806" s="22"/>
      <c r="U806" s="22"/>
      <c r="V806" s="22"/>
      <c r="W806" s="29"/>
      <c r="X806" s="29"/>
      <c r="Y806" s="29"/>
      <c r="Z806" s="29"/>
      <c r="AA806" s="29"/>
      <c r="AB806" s="29"/>
      <c r="AC806" s="29"/>
      <c r="AD806" s="29"/>
      <c r="AE806" s="29"/>
    </row>
    <row r="807" spans="6:31" ht="16.5" x14ac:dyDescent="0.25">
      <c r="F807" s="22"/>
      <c r="G807" s="22"/>
      <c r="H807" s="22"/>
      <c r="I807" s="22"/>
      <c r="J807" s="22"/>
      <c r="K807" s="22"/>
      <c r="L807" s="22"/>
      <c r="M807" s="22"/>
      <c r="N807" s="22"/>
      <c r="O807" s="22"/>
      <c r="P807" s="22"/>
      <c r="Q807" s="22"/>
      <c r="R807" s="22"/>
      <c r="S807" s="22"/>
      <c r="T807" s="22"/>
      <c r="U807" s="22"/>
      <c r="V807" s="22"/>
      <c r="W807" s="29"/>
      <c r="X807" s="29"/>
      <c r="Y807" s="29"/>
      <c r="Z807" s="29"/>
      <c r="AA807" s="29"/>
      <c r="AB807" s="29"/>
      <c r="AC807" s="29"/>
      <c r="AD807" s="29"/>
      <c r="AE807" s="29"/>
    </row>
    <row r="808" spans="6:31" ht="16.5" x14ac:dyDescent="0.25">
      <c r="F808" s="22"/>
      <c r="G808" s="22"/>
      <c r="H808" s="22"/>
      <c r="I808" s="22"/>
      <c r="J808" s="22"/>
      <c r="K808" s="22"/>
      <c r="L808" s="22"/>
      <c r="M808" s="22"/>
      <c r="N808" s="22"/>
      <c r="O808" s="22"/>
      <c r="P808" s="22"/>
      <c r="Q808" s="22"/>
      <c r="R808" s="22"/>
      <c r="S808" s="22"/>
      <c r="T808" s="22"/>
      <c r="U808" s="22"/>
      <c r="V808" s="22"/>
      <c r="W808" s="29"/>
      <c r="X808" s="29"/>
      <c r="Y808" s="29"/>
      <c r="Z808" s="29"/>
      <c r="AA808" s="29"/>
      <c r="AB808" s="29"/>
      <c r="AC808" s="29"/>
      <c r="AD808" s="29"/>
      <c r="AE808" s="29"/>
    </row>
    <row r="809" spans="6:31" ht="16.5" x14ac:dyDescent="0.25">
      <c r="F809" s="22"/>
      <c r="G809" s="22"/>
      <c r="H809" s="22"/>
      <c r="I809" s="22"/>
      <c r="J809" s="22"/>
      <c r="K809" s="22"/>
      <c r="L809" s="22"/>
      <c r="M809" s="22"/>
      <c r="N809" s="22"/>
      <c r="O809" s="22"/>
      <c r="P809" s="22"/>
      <c r="Q809" s="22"/>
      <c r="R809" s="22"/>
      <c r="S809" s="22"/>
      <c r="T809" s="22"/>
      <c r="U809" s="22"/>
      <c r="V809" s="22"/>
      <c r="W809" s="29"/>
      <c r="X809" s="29"/>
      <c r="Y809" s="29"/>
      <c r="Z809" s="29"/>
      <c r="AA809" s="29"/>
      <c r="AB809" s="29"/>
      <c r="AC809" s="29"/>
      <c r="AD809" s="29"/>
      <c r="AE809" s="29"/>
    </row>
    <row r="810" spans="6:31" ht="16.5" x14ac:dyDescent="0.25">
      <c r="F810" s="22"/>
      <c r="G810" s="22"/>
      <c r="H810" s="22"/>
      <c r="I810" s="22"/>
      <c r="J810" s="22"/>
      <c r="K810" s="22"/>
      <c r="L810" s="22"/>
      <c r="M810" s="22"/>
      <c r="N810" s="22"/>
      <c r="O810" s="22"/>
      <c r="P810" s="22"/>
      <c r="Q810" s="22"/>
      <c r="R810" s="22"/>
      <c r="S810" s="22"/>
      <c r="T810" s="22"/>
      <c r="U810" s="22"/>
      <c r="V810" s="22"/>
      <c r="W810" s="29"/>
      <c r="X810" s="29"/>
      <c r="Y810" s="29"/>
      <c r="Z810" s="29"/>
      <c r="AA810" s="29"/>
      <c r="AB810" s="29"/>
      <c r="AC810" s="29"/>
      <c r="AD810" s="29"/>
      <c r="AE810" s="29"/>
    </row>
    <row r="811" spans="6:31" ht="16.5" x14ac:dyDescent="0.25">
      <c r="F811" s="22"/>
      <c r="G811" s="22"/>
      <c r="H811" s="22"/>
      <c r="I811" s="22"/>
      <c r="J811" s="22"/>
      <c r="K811" s="22"/>
      <c r="L811" s="22"/>
      <c r="M811" s="22"/>
      <c r="N811" s="22"/>
      <c r="O811" s="22"/>
      <c r="P811" s="22"/>
      <c r="Q811" s="22"/>
      <c r="R811" s="22"/>
      <c r="S811" s="22"/>
      <c r="T811" s="22"/>
      <c r="U811" s="22"/>
      <c r="V811" s="22"/>
      <c r="W811" s="29"/>
      <c r="X811" s="29"/>
      <c r="Y811" s="29"/>
      <c r="Z811" s="29"/>
      <c r="AA811" s="29"/>
      <c r="AB811" s="29"/>
      <c r="AC811" s="29"/>
      <c r="AD811" s="29"/>
      <c r="AE811" s="29"/>
    </row>
    <row r="812" spans="6:31" ht="16.5" x14ac:dyDescent="0.25">
      <c r="F812" s="22"/>
      <c r="G812" s="22"/>
      <c r="H812" s="22"/>
      <c r="I812" s="22"/>
      <c r="J812" s="22"/>
      <c r="K812" s="22"/>
      <c r="L812" s="22"/>
      <c r="M812" s="22"/>
      <c r="N812" s="22"/>
      <c r="O812" s="22"/>
      <c r="P812" s="22"/>
      <c r="Q812" s="22"/>
      <c r="R812" s="22"/>
      <c r="S812" s="22"/>
      <c r="T812" s="22"/>
      <c r="U812" s="22"/>
      <c r="V812" s="22"/>
      <c r="W812" s="29"/>
      <c r="X812" s="29"/>
      <c r="Y812" s="29"/>
      <c r="Z812" s="29"/>
      <c r="AA812" s="29"/>
      <c r="AB812" s="29"/>
      <c r="AC812" s="29"/>
      <c r="AD812" s="29"/>
      <c r="AE812" s="29"/>
    </row>
    <row r="813" spans="6:31" ht="16.5" x14ac:dyDescent="0.25">
      <c r="F813" s="22"/>
      <c r="G813" s="22"/>
      <c r="H813" s="22"/>
      <c r="I813" s="22"/>
      <c r="J813" s="22"/>
      <c r="K813" s="22"/>
      <c r="L813" s="22"/>
      <c r="M813" s="22"/>
      <c r="N813" s="22"/>
      <c r="O813" s="22"/>
      <c r="P813" s="22"/>
      <c r="Q813" s="22"/>
      <c r="R813" s="22"/>
      <c r="S813" s="22"/>
      <c r="T813" s="22"/>
      <c r="U813" s="22"/>
      <c r="V813" s="22"/>
      <c r="W813" s="29"/>
      <c r="X813" s="29"/>
      <c r="Y813" s="29"/>
      <c r="Z813" s="29"/>
      <c r="AA813" s="29"/>
      <c r="AB813" s="29"/>
      <c r="AC813" s="29"/>
      <c r="AD813" s="29"/>
      <c r="AE813" s="29"/>
    </row>
    <row r="814" spans="6:31" ht="16.5" x14ac:dyDescent="0.25">
      <c r="F814" s="22"/>
      <c r="G814" s="22"/>
      <c r="H814" s="22"/>
      <c r="I814" s="22"/>
      <c r="J814" s="22"/>
      <c r="K814" s="22"/>
      <c r="L814" s="22"/>
      <c r="M814" s="22"/>
      <c r="N814" s="22"/>
      <c r="O814" s="22"/>
      <c r="P814" s="22"/>
      <c r="Q814" s="22"/>
      <c r="R814" s="22"/>
      <c r="S814" s="22"/>
      <c r="T814" s="22"/>
      <c r="U814" s="22"/>
      <c r="V814" s="22"/>
      <c r="W814" s="29"/>
      <c r="X814" s="29"/>
      <c r="Y814" s="29"/>
      <c r="Z814" s="29"/>
      <c r="AA814" s="29"/>
      <c r="AB814" s="29"/>
      <c r="AC814" s="29"/>
      <c r="AD814" s="29"/>
      <c r="AE814" s="29"/>
    </row>
    <row r="815" spans="6:31" ht="16.5" x14ac:dyDescent="0.25">
      <c r="F815" s="22"/>
      <c r="G815" s="22"/>
      <c r="H815" s="22"/>
      <c r="I815" s="22"/>
      <c r="J815" s="22"/>
      <c r="K815" s="22"/>
      <c r="L815" s="22"/>
      <c r="M815" s="22"/>
      <c r="N815" s="22"/>
      <c r="O815" s="22"/>
      <c r="P815" s="22"/>
      <c r="Q815" s="22"/>
      <c r="R815" s="22"/>
      <c r="S815" s="22"/>
      <c r="T815" s="22"/>
      <c r="U815" s="22"/>
      <c r="V815" s="22"/>
      <c r="W815" s="29"/>
      <c r="X815" s="29"/>
      <c r="Y815" s="29"/>
      <c r="Z815" s="29"/>
      <c r="AA815" s="29"/>
      <c r="AB815" s="29"/>
      <c r="AC815" s="29"/>
      <c r="AD815" s="29"/>
      <c r="AE815" s="29"/>
    </row>
    <row r="816" spans="6:31" ht="16.5" x14ac:dyDescent="0.25">
      <c r="F816" s="22"/>
      <c r="G816" s="22"/>
      <c r="H816" s="22"/>
      <c r="I816" s="22"/>
      <c r="J816" s="22"/>
      <c r="K816" s="22"/>
      <c r="L816" s="22"/>
      <c r="M816" s="22"/>
      <c r="N816" s="22"/>
      <c r="O816" s="22"/>
      <c r="P816" s="22"/>
      <c r="Q816" s="22"/>
      <c r="R816" s="22"/>
      <c r="S816" s="22"/>
      <c r="T816" s="22"/>
      <c r="U816" s="22"/>
      <c r="V816" s="22"/>
      <c r="W816" s="29"/>
      <c r="X816" s="29"/>
      <c r="Y816" s="29"/>
      <c r="Z816" s="29"/>
      <c r="AA816" s="29"/>
      <c r="AB816" s="29"/>
      <c r="AC816" s="29"/>
      <c r="AD816" s="29"/>
      <c r="AE816" s="29"/>
    </row>
    <row r="817" spans="6:31" ht="16.5" x14ac:dyDescent="0.25">
      <c r="F817" s="22"/>
      <c r="G817" s="22"/>
      <c r="H817" s="22"/>
      <c r="I817" s="22"/>
      <c r="J817" s="22"/>
      <c r="K817" s="22"/>
      <c r="L817" s="22"/>
      <c r="M817" s="22"/>
      <c r="N817" s="22"/>
      <c r="O817" s="22"/>
      <c r="P817" s="22"/>
      <c r="Q817" s="22"/>
      <c r="R817" s="22"/>
      <c r="S817" s="22"/>
      <c r="T817" s="22"/>
      <c r="U817" s="22"/>
      <c r="V817" s="22"/>
      <c r="W817" s="29"/>
      <c r="X817" s="29"/>
      <c r="Y817" s="29"/>
      <c r="Z817" s="29"/>
      <c r="AA817" s="29"/>
      <c r="AB817" s="29"/>
      <c r="AC817" s="29"/>
      <c r="AD817" s="29"/>
      <c r="AE817" s="29"/>
    </row>
    <row r="818" spans="6:31" ht="16.5" x14ac:dyDescent="0.25">
      <c r="F818" s="22"/>
      <c r="G818" s="22"/>
      <c r="H818" s="22"/>
      <c r="I818" s="22"/>
      <c r="J818" s="22"/>
      <c r="K818" s="22"/>
      <c r="L818" s="22"/>
      <c r="M818" s="22"/>
      <c r="N818" s="22"/>
      <c r="O818" s="22"/>
      <c r="P818" s="22"/>
      <c r="Q818" s="22"/>
      <c r="R818" s="22"/>
      <c r="S818" s="22"/>
      <c r="T818" s="22"/>
      <c r="U818" s="22"/>
      <c r="V818" s="22"/>
      <c r="W818" s="29"/>
      <c r="X818" s="29"/>
      <c r="Y818" s="29"/>
      <c r="Z818" s="29"/>
      <c r="AA818" s="29"/>
      <c r="AB818" s="29"/>
      <c r="AC818" s="29"/>
      <c r="AD818" s="29"/>
      <c r="AE818" s="29"/>
    </row>
    <row r="819" spans="6:31" ht="16.5" x14ac:dyDescent="0.25">
      <c r="F819" s="22"/>
      <c r="G819" s="22"/>
      <c r="H819" s="22"/>
      <c r="I819" s="22"/>
      <c r="J819" s="22"/>
      <c r="K819" s="22"/>
      <c r="L819" s="22"/>
      <c r="M819" s="22"/>
      <c r="N819" s="22"/>
      <c r="O819" s="22"/>
      <c r="P819" s="22"/>
      <c r="Q819" s="22"/>
      <c r="R819" s="22"/>
      <c r="S819" s="22"/>
      <c r="T819" s="22"/>
      <c r="U819" s="22"/>
      <c r="V819" s="22"/>
      <c r="W819" s="29"/>
      <c r="X819" s="29"/>
      <c r="Y819" s="29"/>
      <c r="Z819" s="29"/>
      <c r="AA819" s="29"/>
      <c r="AB819" s="29"/>
      <c r="AC819" s="29"/>
      <c r="AD819" s="29"/>
      <c r="AE819" s="29"/>
    </row>
    <row r="820" spans="6:31" ht="16.5" x14ac:dyDescent="0.25">
      <c r="F820" s="22"/>
      <c r="G820" s="22"/>
      <c r="H820" s="22"/>
      <c r="I820" s="22"/>
      <c r="J820" s="22"/>
      <c r="K820" s="22"/>
      <c r="L820" s="22"/>
      <c r="M820" s="22"/>
      <c r="N820" s="22"/>
      <c r="O820" s="22"/>
      <c r="P820" s="22"/>
      <c r="Q820" s="22"/>
      <c r="R820" s="22"/>
      <c r="S820" s="22"/>
      <c r="T820" s="22"/>
      <c r="U820" s="22"/>
      <c r="V820" s="22"/>
      <c r="W820" s="29"/>
      <c r="X820" s="29"/>
      <c r="Y820" s="29"/>
      <c r="Z820" s="29"/>
      <c r="AA820" s="29"/>
      <c r="AB820" s="29"/>
      <c r="AC820" s="29"/>
      <c r="AD820" s="29"/>
      <c r="AE820" s="29"/>
    </row>
    <row r="821" spans="6:31" ht="16.5" x14ac:dyDescent="0.25">
      <c r="F821" s="22"/>
      <c r="G821" s="22"/>
      <c r="H821" s="22"/>
      <c r="I821" s="22"/>
      <c r="J821" s="22"/>
      <c r="K821" s="22"/>
      <c r="L821" s="22"/>
      <c r="M821" s="22"/>
      <c r="N821" s="22"/>
      <c r="O821" s="22"/>
      <c r="P821" s="22"/>
      <c r="Q821" s="22"/>
      <c r="R821" s="22"/>
      <c r="S821" s="22"/>
      <c r="T821" s="22"/>
      <c r="U821" s="22"/>
      <c r="V821" s="22"/>
      <c r="W821" s="29"/>
      <c r="X821" s="29"/>
      <c r="Y821" s="29"/>
      <c r="Z821" s="29"/>
      <c r="AA821" s="29"/>
      <c r="AB821" s="29"/>
      <c r="AC821" s="29"/>
      <c r="AD821" s="29"/>
      <c r="AE821" s="29"/>
    </row>
    <row r="822" spans="6:31" ht="16.5" x14ac:dyDescent="0.25">
      <c r="F822" s="22"/>
      <c r="G822" s="22"/>
      <c r="H822" s="22"/>
      <c r="I822" s="22"/>
      <c r="J822" s="22"/>
      <c r="K822" s="22"/>
      <c r="L822" s="22"/>
      <c r="M822" s="22"/>
      <c r="N822" s="22"/>
      <c r="O822" s="22"/>
      <c r="P822" s="22"/>
      <c r="Q822" s="22"/>
      <c r="R822" s="22"/>
      <c r="S822" s="22"/>
      <c r="T822" s="22"/>
      <c r="U822" s="22"/>
      <c r="V822" s="22"/>
      <c r="W822" s="29"/>
      <c r="X822" s="29"/>
      <c r="Y822" s="29"/>
      <c r="Z822" s="29"/>
      <c r="AA822" s="29"/>
      <c r="AB822" s="29"/>
      <c r="AC822" s="29"/>
      <c r="AD822" s="29"/>
      <c r="AE822" s="29"/>
    </row>
    <row r="823" spans="6:31" ht="16.5" x14ac:dyDescent="0.25">
      <c r="F823" s="22"/>
      <c r="G823" s="22"/>
      <c r="H823" s="22"/>
      <c r="I823" s="22"/>
      <c r="J823" s="22"/>
      <c r="K823" s="22"/>
      <c r="L823" s="22"/>
      <c r="M823" s="22"/>
      <c r="N823" s="22"/>
      <c r="O823" s="22"/>
      <c r="P823" s="22"/>
      <c r="Q823" s="22"/>
      <c r="R823" s="22"/>
      <c r="S823" s="22"/>
      <c r="T823" s="22"/>
      <c r="U823" s="22"/>
      <c r="V823" s="22"/>
      <c r="W823" s="29"/>
      <c r="X823" s="29"/>
      <c r="Y823" s="29"/>
      <c r="Z823" s="29"/>
      <c r="AA823" s="29"/>
      <c r="AB823" s="29"/>
      <c r="AC823" s="29"/>
      <c r="AD823" s="29"/>
      <c r="AE823" s="29"/>
    </row>
    <row r="824" spans="6:31" ht="16.5" x14ac:dyDescent="0.25">
      <c r="F824" s="22"/>
      <c r="G824" s="22"/>
      <c r="H824" s="22"/>
      <c r="I824" s="22"/>
      <c r="J824" s="22"/>
      <c r="K824" s="22"/>
      <c r="L824" s="22"/>
      <c r="M824" s="22"/>
      <c r="N824" s="22"/>
      <c r="O824" s="22"/>
      <c r="P824" s="22"/>
      <c r="Q824" s="22"/>
      <c r="R824" s="22"/>
      <c r="S824" s="22"/>
      <c r="T824" s="22"/>
      <c r="U824" s="22"/>
      <c r="V824" s="22"/>
      <c r="W824" s="29"/>
      <c r="X824" s="29"/>
      <c r="Y824" s="29"/>
      <c r="Z824" s="29"/>
      <c r="AA824" s="29"/>
      <c r="AB824" s="29"/>
      <c r="AC824" s="29"/>
      <c r="AD824" s="29"/>
      <c r="AE824" s="29"/>
    </row>
    <row r="825" spans="6:31" ht="16.5" x14ac:dyDescent="0.25">
      <c r="F825" s="22"/>
      <c r="G825" s="22"/>
      <c r="H825" s="22"/>
      <c r="I825" s="22"/>
      <c r="J825" s="22"/>
      <c r="K825" s="22"/>
      <c r="L825" s="22"/>
      <c r="M825" s="22"/>
      <c r="N825" s="22"/>
      <c r="O825" s="22"/>
      <c r="P825" s="22"/>
      <c r="Q825" s="22"/>
      <c r="R825" s="22"/>
      <c r="S825" s="22"/>
      <c r="T825" s="22"/>
      <c r="U825" s="22"/>
      <c r="V825" s="22"/>
      <c r="W825" s="29"/>
      <c r="X825" s="29"/>
      <c r="Y825" s="29"/>
      <c r="Z825" s="29"/>
      <c r="AA825" s="29"/>
      <c r="AB825" s="29"/>
      <c r="AC825" s="29"/>
      <c r="AD825" s="29"/>
      <c r="AE825" s="29"/>
    </row>
    <row r="826" spans="6:31" ht="16.5" x14ac:dyDescent="0.25">
      <c r="F826" s="22"/>
      <c r="G826" s="22"/>
      <c r="H826" s="22"/>
      <c r="I826" s="22"/>
      <c r="J826" s="22"/>
      <c r="K826" s="22"/>
      <c r="L826" s="22"/>
      <c r="M826" s="22"/>
      <c r="N826" s="22"/>
      <c r="O826" s="22"/>
      <c r="P826" s="22"/>
      <c r="Q826" s="22"/>
      <c r="R826" s="22"/>
      <c r="S826" s="22"/>
      <c r="T826" s="22"/>
      <c r="U826" s="22"/>
      <c r="V826" s="22"/>
      <c r="W826" s="29"/>
      <c r="X826" s="29"/>
      <c r="Y826" s="29"/>
      <c r="Z826" s="29"/>
      <c r="AA826" s="29"/>
      <c r="AB826" s="29"/>
      <c r="AC826" s="29"/>
      <c r="AD826" s="29"/>
      <c r="AE826" s="29"/>
    </row>
    <row r="827" spans="6:31" ht="16.5" x14ac:dyDescent="0.25">
      <c r="F827" s="22"/>
      <c r="G827" s="22"/>
      <c r="H827" s="22"/>
      <c r="I827" s="22"/>
      <c r="J827" s="22"/>
      <c r="K827" s="22"/>
      <c r="L827" s="22"/>
      <c r="M827" s="22"/>
      <c r="N827" s="22"/>
      <c r="O827" s="22"/>
      <c r="P827" s="22"/>
      <c r="Q827" s="22"/>
      <c r="R827" s="22"/>
      <c r="S827" s="22"/>
      <c r="T827" s="22"/>
      <c r="U827" s="22"/>
      <c r="V827" s="22"/>
      <c r="W827" s="29"/>
      <c r="X827" s="29"/>
      <c r="Y827" s="29"/>
      <c r="Z827" s="29"/>
      <c r="AA827" s="29"/>
      <c r="AB827" s="29"/>
      <c r="AC827" s="29"/>
      <c r="AD827" s="29"/>
      <c r="AE827" s="29"/>
    </row>
    <row r="828" spans="6:31" ht="16.5" x14ac:dyDescent="0.25">
      <c r="F828" s="22"/>
      <c r="G828" s="22"/>
      <c r="H828" s="22"/>
      <c r="I828" s="22"/>
      <c r="J828" s="22"/>
      <c r="K828" s="22"/>
      <c r="L828" s="22"/>
      <c r="M828" s="22"/>
      <c r="N828" s="22"/>
      <c r="O828" s="22"/>
      <c r="P828" s="22"/>
      <c r="Q828" s="22"/>
      <c r="R828" s="22"/>
      <c r="S828" s="22"/>
      <c r="T828" s="22"/>
      <c r="U828" s="22"/>
      <c r="V828" s="22"/>
      <c r="W828" s="29"/>
      <c r="X828" s="29"/>
      <c r="Y828" s="29"/>
      <c r="Z828" s="29"/>
      <c r="AA828" s="29"/>
      <c r="AB828" s="29"/>
      <c r="AC828" s="29"/>
      <c r="AD828" s="29"/>
      <c r="AE828" s="29"/>
    </row>
    <row r="829" spans="6:31" ht="16.5" x14ac:dyDescent="0.25">
      <c r="F829" s="22"/>
      <c r="G829" s="22"/>
      <c r="H829" s="22"/>
      <c r="I829" s="22"/>
      <c r="J829" s="22"/>
      <c r="K829" s="22"/>
      <c r="L829" s="22"/>
      <c r="M829" s="22"/>
      <c r="N829" s="22"/>
      <c r="O829" s="22"/>
      <c r="P829" s="22"/>
      <c r="Q829" s="22"/>
      <c r="R829" s="22"/>
      <c r="S829" s="22"/>
      <c r="T829" s="22"/>
      <c r="U829" s="22"/>
      <c r="V829" s="22"/>
      <c r="W829" s="29"/>
      <c r="X829" s="29"/>
      <c r="Y829" s="29"/>
      <c r="Z829" s="29"/>
      <c r="AA829" s="29"/>
      <c r="AB829" s="29"/>
      <c r="AC829" s="29"/>
      <c r="AD829" s="29"/>
      <c r="AE829" s="29"/>
    </row>
    <row r="830" spans="6:31" ht="16.5" x14ac:dyDescent="0.25">
      <c r="F830" s="22"/>
      <c r="G830" s="22"/>
      <c r="H830" s="22"/>
      <c r="I830" s="22"/>
      <c r="J830" s="22"/>
      <c r="K830" s="22"/>
      <c r="L830" s="22"/>
      <c r="M830" s="22"/>
      <c r="N830" s="22"/>
      <c r="O830" s="22"/>
      <c r="P830" s="22"/>
      <c r="Q830" s="22"/>
      <c r="R830" s="22"/>
      <c r="S830" s="22"/>
      <c r="T830" s="22"/>
      <c r="U830" s="22"/>
      <c r="V830" s="22"/>
      <c r="W830" s="29"/>
      <c r="X830" s="29"/>
      <c r="Y830" s="29"/>
      <c r="Z830" s="29"/>
      <c r="AA830" s="29"/>
      <c r="AB830" s="29"/>
      <c r="AC830" s="29"/>
      <c r="AD830" s="29"/>
      <c r="AE830" s="29"/>
    </row>
    <row r="831" spans="6:31" ht="16.5" x14ac:dyDescent="0.25">
      <c r="F831" s="22"/>
      <c r="G831" s="22"/>
      <c r="H831" s="22"/>
      <c r="I831" s="22"/>
      <c r="J831" s="22"/>
      <c r="K831" s="22"/>
      <c r="L831" s="22"/>
      <c r="M831" s="22"/>
      <c r="N831" s="22"/>
      <c r="O831" s="22"/>
      <c r="P831" s="22"/>
      <c r="Q831" s="22"/>
      <c r="R831" s="22"/>
      <c r="S831" s="22"/>
      <c r="T831" s="22"/>
      <c r="U831" s="22"/>
      <c r="V831" s="22"/>
      <c r="W831" s="29"/>
      <c r="X831" s="29"/>
      <c r="Y831" s="29"/>
      <c r="Z831" s="29"/>
      <c r="AA831" s="29"/>
      <c r="AB831" s="29"/>
      <c r="AC831" s="29"/>
      <c r="AD831" s="29"/>
      <c r="AE831" s="29"/>
    </row>
    <row r="832" spans="6:31" ht="16.5" x14ac:dyDescent="0.25">
      <c r="F832" s="22"/>
      <c r="G832" s="22"/>
      <c r="H832" s="22"/>
      <c r="I832" s="22"/>
      <c r="J832" s="22"/>
      <c r="K832" s="22"/>
      <c r="L832" s="22"/>
      <c r="M832" s="22"/>
      <c r="N832" s="22"/>
      <c r="O832" s="22"/>
      <c r="P832" s="22"/>
      <c r="Q832" s="22"/>
      <c r="R832" s="22"/>
      <c r="S832" s="22"/>
      <c r="T832" s="22"/>
      <c r="U832" s="22"/>
      <c r="V832" s="22"/>
      <c r="W832" s="29"/>
      <c r="X832" s="29"/>
      <c r="Y832" s="29"/>
      <c r="Z832" s="29"/>
      <c r="AA832" s="29"/>
      <c r="AB832" s="29"/>
      <c r="AC832" s="29"/>
      <c r="AD832" s="29"/>
      <c r="AE832" s="29"/>
    </row>
    <row r="833" spans="6:31" ht="16.5" x14ac:dyDescent="0.25">
      <c r="F833" s="22"/>
      <c r="G833" s="22"/>
      <c r="H833" s="22"/>
      <c r="I833" s="22"/>
      <c r="J833" s="22"/>
      <c r="K833" s="22"/>
      <c r="L833" s="22"/>
      <c r="M833" s="22"/>
      <c r="N833" s="22"/>
      <c r="O833" s="22"/>
      <c r="P833" s="22"/>
      <c r="Q833" s="22"/>
      <c r="R833" s="22"/>
      <c r="S833" s="22"/>
      <c r="T833" s="22"/>
      <c r="U833" s="22"/>
      <c r="V833" s="22"/>
      <c r="W833" s="29"/>
      <c r="X833" s="29"/>
      <c r="Y833" s="29"/>
      <c r="Z833" s="29"/>
      <c r="AA833" s="29"/>
      <c r="AB833" s="29"/>
      <c r="AC833" s="29"/>
      <c r="AD833" s="29"/>
      <c r="AE833" s="29"/>
    </row>
    <row r="834" spans="6:31" ht="16.5" x14ac:dyDescent="0.25">
      <c r="F834" s="22"/>
      <c r="G834" s="22"/>
      <c r="H834" s="22"/>
      <c r="I834" s="22"/>
      <c r="J834" s="22"/>
      <c r="K834" s="22"/>
      <c r="L834" s="22"/>
      <c r="M834" s="22"/>
      <c r="N834" s="22"/>
      <c r="O834" s="22"/>
      <c r="P834" s="22"/>
      <c r="Q834" s="22"/>
      <c r="R834" s="22"/>
      <c r="S834" s="22"/>
      <c r="T834" s="22"/>
      <c r="U834" s="22"/>
      <c r="V834" s="22"/>
      <c r="W834" s="29"/>
      <c r="X834" s="29"/>
      <c r="Y834" s="29"/>
      <c r="Z834" s="29"/>
      <c r="AA834" s="29"/>
      <c r="AB834" s="29"/>
      <c r="AC834" s="29"/>
      <c r="AD834" s="29"/>
      <c r="AE834" s="29"/>
    </row>
    <row r="835" spans="6:31" ht="16.5" x14ac:dyDescent="0.25">
      <c r="F835" s="22"/>
      <c r="G835" s="22"/>
      <c r="H835" s="22"/>
      <c r="I835" s="22"/>
      <c r="J835" s="22"/>
      <c r="K835" s="22"/>
      <c r="L835" s="22"/>
      <c r="M835" s="22"/>
      <c r="N835" s="22"/>
      <c r="O835" s="22"/>
      <c r="P835" s="22"/>
      <c r="Q835" s="22"/>
      <c r="R835" s="22"/>
      <c r="S835" s="22"/>
      <c r="T835" s="22"/>
      <c r="U835" s="22"/>
      <c r="V835" s="22"/>
      <c r="W835" s="29"/>
      <c r="X835" s="29"/>
      <c r="Y835" s="29"/>
      <c r="Z835" s="29"/>
      <c r="AA835" s="29"/>
      <c r="AB835" s="29"/>
      <c r="AC835" s="29"/>
      <c r="AD835" s="29"/>
      <c r="AE835" s="29"/>
    </row>
    <row r="836" spans="6:31" ht="16.5" x14ac:dyDescent="0.25">
      <c r="F836" s="22"/>
      <c r="G836" s="22"/>
      <c r="H836" s="22"/>
      <c r="I836" s="22"/>
      <c r="J836" s="22"/>
      <c r="K836" s="22"/>
      <c r="L836" s="22"/>
      <c r="M836" s="22"/>
      <c r="N836" s="22"/>
      <c r="O836" s="22"/>
      <c r="P836" s="22"/>
      <c r="Q836" s="22"/>
      <c r="R836" s="22"/>
      <c r="S836" s="22"/>
      <c r="T836" s="22"/>
      <c r="U836" s="22"/>
      <c r="V836" s="22"/>
      <c r="W836" s="29"/>
      <c r="X836" s="29"/>
      <c r="Y836" s="29"/>
      <c r="Z836" s="29"/>
      <c r="AA836" s="29"/>
      <c r="AB836" s="29"/>
      <c r="AC836" s="29"/>
      <c r="AD836" s="29"/>
      <c r="AE836" s="29"/>
    </row>
    <row r="837" spans="6:31" ht="16.5" x14ac:dyDescent="0.25">
      <c r="F837" s="22"/>
      <c r="G837" s="22"/>
      <c r="H837" s="22"/>
      <c r="I837" s="22"/>
      <c r="J837" s="22"/>
      <c r="K837" s="22"/>
      <c r="L837" s="22"/>
      <c r="M837" s="22"/>
      <c r="N837" s="22"/>
      <c r="O837" s="22"/>
      <c r="P837" s="22"/>
      <c r="Q837" s="22"/>
      <c r="R837" s="22"/>
      <c r="S837" s="22"/>
      <c r="T837" s="22"/>
      <c r="U837" s="22"/>
      <c r="V837" s="22"/>
      <c r="W837" s="29"/>
      <c r="X837" s="29"/>
      <c r="Y837" s="29"/>
      <c r="Z837" s="29"/>
      <c r="AA837" s="29"/>
      <c r="AB837" s="29"/>
      <c r="AC837" s="29"/>
      <c r="AD837" s="29"/>
      <c r="AE837" s="29"/>
    </row>
    <row r="838" spans="6:31" ht="16.5" x14ac:dyDescent="0.25">
      <c r="N838" s="22"/>
      <c r="O838" s="22"/>
      <c r="P838" s="22"/>
      <c r="Q838" s="22"/>
      <c r="R838" s="22"/>
      <c r="S838" s="22"/>
      <c r="T838" s="22"/>
      <c r="U838" s="22"/>
      <c r="V838" s="22"/>
      <c r="W838" s="29"/>
      <c r="X838" s="29"/>
      <c r="Y838" s="29"/>
      <c r="Z838" s="29"/>
      <c r="AA838" s="29"/>
      <c r="AB838" s="29"/>
      <c r="AC838" s="29"/>
      <c r="AD838" s="29"/>
      <c r="AE838" s="29"/>
    </row>
    <row r="839" spans="6:31" ht="16.5" x14ac:dyDescent="0.25">
      <c r="N839" s="22"/>
      <c r="O839" s="22"/>
      <c r="P839" s="22"/>
      <c r="Q839" s="22"/>
      <c r="R839" s="22"/>
      <c r="S839" s="22"/>
      <c r="T839" s="22"/>
      <c r="U839" s="22"/>
      <c r="V839" s="22"/>
      <c r="W839" s="29"/>
      <c r="X839" s="29"/>
      <c r="Y839" s="29"/>
      <c r="Z839" s="29"/>
      <c r="AA839" s="29"/>
      <c r="AB839" s="29"/>
      <c r="AC839" s="29"/>
      <c r="AD839" s="29"/>
      <c r="AE839" s="29"/>
    </row>
    <row r="840" spans="6:31" ht="16.5" x14ac:dyDescent="0.25">
      <c r="N840" s="22"/>
      <c r="O840" s="22"/>
      <c r="P840" s="22"/>
      <c r="Q840" s="22"/>
      <c r="R840" s="22"/>
      <c r="S840" s="22"/>
      <c r="T840" s="22"/>
      <c r="U840" s="22"/>
      <c r="V840" s="22"/>
      <c r="W840" s="29"/>
      <c r="X840" s="29"/>
    </row>
    <row r="841" spans="6:31" ht="16.5" x14ac:dyDescent="0.25">
      <c r="N841" s="22"/>
      <c r="O841" s="22"/>
      <c r="P841" s="22"/>
      <c r="Q841" s="22"/>
      <c r="R841" s="22"/>
      <c r="S841" s="22"/>
      <c r="T841" s="22"/>
      <c r="U841" s="22"/>
      <c r="V841" s="22"/>
      <c r="W841" s="29"/>
      <c r="X841" s="29"/>
    </row>
    <row r="842" spans="6:31" ht="16.5" x14ac:dyDescent="0.25">
      <c r="N842" s="22"/>
      <c r="O842" s="22"/>
      <c r="P842" s="22"/>
      <c r="Q842" s="22"/>
      <c r="R842" s="22"/>
      <c r="S842" s="22"/>
      <c r="T842" s="22"/>
      <c r="U842" s="22"/>
      <c r="V842" s="22"/>
      <c r="W842" s="29"/>
      <c r="X842" s="29"/>
    </row>
    <row r="843" spans="6:31" ht="16.5" x14ac:dyDescent="0.25">
      <c r="N843" s="22"/>
      <c r="O843" s="22"/>
      <c r="P843" s="22"/>
      <c r="Q843" s="22"/>
      <c r="R843" s="22"/>
      <c r="S843" s="22"/>
      <c r="T843" s="22"/>
      <c r="U843" s="22"/>
      <c r="V843" s="22"/>
      <c r="W843" s="29"/>
      <c r="X843" s="29"/>
    </row>
  </sheetData>
  <pageMargins left="0" right="0" top="0" bottom="0" header="0" footer="0"/>
  <pageSetup orientation="portrait" r:id="rId2"/>
  <drawing r:id="rId3"/>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584B0-DDAE-4019-8C79-C8A184F5F18C}">
  <sheetPr codeName="Sheet5">
    <tabColor theme="1" tint="0.49995422223578601"/>
  </sheetPr>
  <dimension ref="A1:BT3671"/>
  <sheetViews>
    <sheetView showGridLines="0" showRuler="0" view="pageLayout" topLeftCell="A10" zoomScaleNormal="100" workbookViewId="0">
      <selection activeCell="C16" sqref="C16"/>
    </sheetView>
  </sheetViews>
  <sheetFormatPr defaultColWidth="13.85546875" defaultRowHeight="14.25" x14ac:dyDescent="0.2"/>
  <cols>
    <col min="1" max="1" width="2.140625" style="11" customWidth="1"/>
    <col min="2" max="2" width="12.42578125" style="11" customWidth="1"/>
    <col min="3" max="3" width="7.42578125" style="11" customWidth="1"/>
    <col min="4" max="4" width="6.85546875" style="11" customWidth="1"/>
    <col min="5" max="5" width="4.85546875" style="11" customWidth="1"/>
    <col min="6" max="6" width="7.5703125" style="12" customWidth="1"/>
    <col min="7" max="8" width="10.85546875" style="12" customWidth="1"/>
    <col min="9" max="9" width="9.85546875" style="12" customWidth="1"/>
    <col min="10" max="17" width="13.85546875" style="12"/>
    <col min="18" max="16384" width="13.85546875" style="11"/>
  </cols>
  <sheetData>
    <row r="1" spans="1:18" ht="24.6" customHeight="1" x14ac:dyDescent="0.2">
      <c r="B1" s="8" t="s">
        <v>21</v>
      </c>
      <c r="C1" s="9"/>
      <c r="D1" s="10"/>
      <c r="G1" s="81"/>
      <c r="H1" s="81"/>
      <c r="I1" s="81"/>
      <c r="J1" s="81"/>
    </row>
    <row r="2" spans="1:18" ht="15" customHeight="1" x14ac:dyDescent="0.2">
      <c r="B2" s="13" t="s">
        <v>22</v>
      </c>
      <c r="C2" s="9"/>
      <c r="D2" s="10"/>
      <c r="F2" s="65" t="s">
        <v>53</v>
      </c>
      <c r="G2" s="65"/>
      <c r="H2" s="65"/>
      <c r="I2" s="65"/>
    </row>
    <row r="3" spans="1:18" ht="12.2" customHeight="1" x14ac:dyDescent="0.2">
      <c r="B3" s="10"/>
      <c r="C3" s="10"/>
      <c r="D3" s="10"/>
      <c r="F3" s="66" t="s">
        <v>54</v>
      </c>
      <c r="G3" s="66"/>
      <c r="H3" s="66"/>
      <c r="I3" s="66"/>
      <c r="J3" s="11"/>
      <c r="K3" s="14"/>
      <c r="L3" s="14"/>
      <c r="M3" s="14"/>
      <c r="N3" s="15"/>
      <c r="O3" s="15"/>
      <c r="P3" s="15"/>
      <c r="Q3" s="15"/>
      <c r="R3" s="16"/>
    </row>
    <row r="4" spans="1:18" ht="12.2" customHeight="1" x14ac:dyDescent="0.2">
      <c r="B4" s="10"/>
      <c r="C4" s="10"/>
      <c r="D4" s="10"/>
      <c r="F4" s="79" t="s">
        <v>55</v>
      </c>
      <c r="G4" s="79"/>
      <c r="H4" s="79"/>
      <c r="I4" s="79"/>
      <c r="J4" s="11"/>
      <c r="K4" s="14"/>
      <c r="L4" s="14"/>
      <c r="M4" s="14"/>
      <c r="N4" s="15"/>
      <c r="O4" s="15"/>
      <c r="P4" s="15"/>
      <c r="Q4" s="15"/>
      <c r="R4" s="16"/>
    </row>
    <row r="5" spans="1:18" ht="12.2" customHeight="1" x14ac:dyDescent="0.2">
      <c r="B5" s="10"/>
      <c r="C5" s="10"/>
      <c r="D5" s="10"/>
      <c r="F5" s="79"/>
      <c r="G5" s="79"/>
      <c r="H5" s="79"/>
      <c r="I5" s="79"/>
      <c r="J5" s="11"/>
      <c r="K5" s="14"/>
      <c r="L5" s="14"/>
      <c r="M5" s="14"/>
      <c r="N5" s="15"/>
      <c r="O5" s="15"/>
      <c r="P5" s="15"/>
      <c r="Q5" s="15"/>
      <c r="R5" s="16"/>
    </row>
    <row r="6" spans="1:18" ht="12.2" customHeight="1" x14ac:dyDescent="0.2">
      <c r="B6" s="10"/>
      <c r="C6" s="10"/>
      <c r="D6" s="10"/>
      <c r="G6" s="11"/>
      <c r="J6" s="11"/>
      <c r="K6" s="14"/>
      <c r="L6" s="14"/>
      <c r="M6" s="14"/>
      <c r="N6" s="15"/>
      <c r="O6" s="15"/>
      <c r="P6" s="15"/>
      <c r="Q6" s="15"/>
      <c r="R6" s="16"/>
    </row>
    <row r="7" spans="1:18" ht="13.7" customHeight="1" x14ac:dyDescent="0.2">
      <c r="B7" s="17" t="s">
        <v>23</v>
      </c>
      <c r="C7" s="18" t="str">
        <f>COVER!C17</f>
        <v>ENTER CLIENT NAME HERE</v>
      </c>
      <c r="D7" s="19"/>
      <c r="E7" s="48"/>
      <c r="F7" s="49"/>
      <c r="G7" s="22"/>
    </row>
    <row r="8" spans="1:18" ht="13.7" customHeight="1" x14ac:dyDescent="0.2">
      <c r="B8" s="17" t="s">
        <v>24</v>
      </c>
      <c r="C8" s="17" t="str">
        <f>COVER!C19</f>
        <v>Atlanta, Chicago, Dallas/Ft. Worth, Los Angeles, New York, Seattle/Tacoma</v>
      </c>
      <c r="D8" s="19"/>
      <c r="E8" s="15"/>
      <c r="F8" s="49"/>
      <c r="G8" s="15"/>
      <c r="H8" s="15"/>
      <c r="I8" s="15"/>
      <c r="J8" s="15"/>
    </row>
    <row r="9" spans="1:18" ht="13.7" customHeight="1" x14ac:dyDescent="0.2">
      <c r="B9" s="17" t="s">
        <v>25</v>
      </c>
      <c r="C9" s="17" t="str">
        <f>COVER!C18</f>
        <v>Experian &gt; Experian Household Segments &gt; Lifestyles - Standard &gt; Domestic Travel</v>
      </c>
      <c r="D9" s="19"/>
      <c r="E9" s="12"/>
      <c r="F9" s="49"/>
      <c r="G9" s="15"/>
      <c r="H9" s="15"/>
      <c r="I9" s="15"/>
      <c r="J9" s="15"/>
    </row>
    <row r="10" spans="1:18" s="12" customFormat="1" x14ac:dyDescent="0.2">
      <c r="B10" s="17" t="s">
        <v>26</v>
      </c>
      <c r="C10" s="17" t="str">
        <f>COVER!C20</f>
        <v>February 2026</v>
      </c>
      <c r="D10" s="9"/>
      <c r="E10" s="50"/>
      <c r="H10" s="15"/>
      <c r="I10" s="15"/>
      <c r="J10" s="15"/>
    </row>
    <row r="11" spans="1:18" s="12" customFormat="1" ht="15" x14ac:dyDescent="0.25">
      <c r="B11" s="27" t="s">
        <v>27</v>
      </c>
      <c r="C11" s="25"/>
      <c r="E11" s="28"/>
      <c r="I11" s="51"/>
      <c r="J11" s="51"/>
    </row>
    <row r="12" spans="1:18" s="12" customFormat="1" ht="15" x14ac:dyDescent="0.25">
      <c r="B12" s="27"/>
      <c r="C12" s="25"/>
      <c r="E12" s="28"/>
      <c r="I12" s="51"/>
      <c r="J12" s="51"/>
    </row>
    <row r="13" spans="1:18" s="12" customFormat="1" ht="15" x14ac:dyDescent="0.25">
      <c r="B13" s="27"/>
      <c r="C13" s="25"/>
      <c r="E13" s="28"/>
      <c r="I13" s="51"/>
      <c r="J13" s="51"/>
    </row>
    <row r="14" spans="1:18" s="12" customFormat="1" ht="15" x14ac:dyDescent="0.25">
      <c r="B14" s="34"/>
      <c r="E14" s="28"/>
      <c r="I14" s="35"/>
      <c r="J14" s="51"/>
    </row>
    <row r="15" spans="1:18" s="12" customFormat="1" x14ac:dyDescent="0.2">
      <c r="B15" s="67" t="s">
        <v>51</v>
      </c>
      <c r="C15"/>
      <c r="D15"/>
      <c r="E15"/>
      <c r="F15"/>
      <c r="G15"/>
      <c r="H15"/>
      <c r="I15"/>
      <c r="J15"/>
      <c r="K15"/>
      <c r="L15"/>
      <c r="M15"/>
      <c r="N15"/>
      <c r="O15"/>
      <c r="P15"/>
    </row>
    <row r="16" spans="1:18" s="12" customFormat="1" x14ac:dyDescent="0.2">
      <c r="A16" s="11"/>
      <c r="B16" t="s">
        <v>56</v>
      </c>
      <c r="C16" s="40">
        <v>9.2255317632167724E-2</v>
      </c>
      <c r="D16"/>
      <c r="E16"/>
      <c r="F16"/>
      <c r="G16"/>
      <c r="H16"/>
      <c r="I16"/>
      <c r="J16"/>
      <c r="K16"/>
      <c r="L16"/>
      <c r="M16"/>
      <c r="N16"/>
      <c r="O16"/>
      <c r="P16"/>
    </row>
    <row r="17" spans="1:72" s="12" customFormat="1" x14ac:dyDescent="0.2">
      <c r="A17" s="11"/>
      <c r="B17" t="s">
        <v>48</v>
      </c>
      <c r="C17" s="40">
        <v>0.20816250548610868</v>
      </c>
      <c r="D17"/>
      <c r="E17"/>
      <c r="F17"/>
      <c r="G17"/>
      <c r="H17"/>
      <c r="I17"/>
      <c r="J17"/>
      <c r="K17"/>
      <c r="L17"/>
      <c r="M17"/>
      <c r="N17"/>
      <c r="O17"/>
      <c r="P17"/>
    </row>
    <row r="18" spans="1:72" x14ac:dyDescent="0.2">
      <c r="B18" t="s">
        <v>49</v>
      </c>
      <c r="C18" s="40">
        <v>0.12645027620664304</v>
      </c>
      <c r="D18"/>
      <c r="E18"/>
      <c r="F18"/>
      <c r="G18"/>
      <c r="H18"/>
      <c r="I18"/>
      <c r="J18"/>
      <c r="K18"/>
      <c r="L18"/>
      <c r="M18"/>
      <c r="N18"/>
      <c r="O18"/>
      <c r="P18"/>
    </row>
    <row r="19" spans="1:72" x14ac:dyDescent="0.2">
      <c r="B19" t="s">
        <v>52</v>
      </c>
      <c r="C19" s="40">
        <v>0.33807269828667358</v>
      </c>
      <c r="D19"/>
      <c r="E19"/>
      <c r="F19"/>
      <c r="G19"/>
      <c r="H19"/>
      <c r="I19"/>
      <c r="J19"/>
      <c r="K19"/>
      <c r="L19"/>
      <c r="M19"/>
      <c r="N19"/>
      <c r="O19"/>
      <c r="P19"/>
    </row>
    <row r="20" spans="1:72" x14ac:dyDescent="0.2">
      <c r="B20" t="s">
        <v>45</v>
      </c>
      <c r="C20" s="40">
        <v>6.4942335325798337E-2</v>
      </c>
      <c r="D20"/>
      <c r="E20"/>
      <c r="F20"/>
      <c r="G20"/>
      <c r="H20"/>
      <c r="I20"/>
      <c r="J20"/>
      <c r="K20"/>
      <c r="L20"/>
      <c r="M20"/>
      <c r="N20"/>
      <c r="O20"/>
      <c r="P20"/>
    </row>
    <row r="21" spans="1:72" x14ac:dyDescent="0.2">
      <c r="B21" t="s">
        <v>50</v>
      </c>
      <c r="C21" s="40">
        <v>0.17011686706260862</v>
      </c>
      <c r="D21"/>
      <c r="E21"/>
      <c r="F21"/>
      <c r="G21"/>
      <c r="H21"/>
      <c r="I21"/>
      <c r="J21"/>
      <c r="K21"/>
      <c r="L21"/>
      <c r="M21"/>
      <c r="N21"/>
      <c r="O21"/>
      <c r="P21"/>
      <c r="Q21" s="24"/>
    </row>
    <row r="22" spans="1:72" x14ac:dyDescent="0.2">
      <c r="B22" s="80"/>
      <c r="C22" s="80"/>
      <c r="D22"/>
      <c r="E22"/>
      <c r="F22"/>
      <c r="G22"/>
      <c r="H22"/>
      <c r="I22"/>
      <c r="J22"/>
      <c r="K22"/>
      <c r="L22"/>
      <c r="M22"/>
      <c r="N22"/>
      <c r="O22"/>
      <c r="P22"/>
      <c r="Q22" s="24"/>
    </row>
    <row r="23" spans="1:72" x14ac:dyDescent="0.2">
      <c r="B23" s="80"/>
      <c r="C23" s="80"/>
      <c r="D23"/>
      <c r="E23"/>
      <c r="F23"/>
      <c r="G23"/>
      <c r="H23"/>
      <c r="I23"/>
      <c r="J23"/>
      <c r="K23"/>
      <c r="L23"/>
      <c r="M23"/>
      <c r="N23"/>
      <c r="O23"/>
      <c r="P23"/>
    </row>
    <row r="24" spans="1:72" ht="15" x14ac:dyDescent="0.25">
      <c r="B24" s="80"/>
      <c r="C24" s="80"/>
      <c r="D24"/>
      <c r="E24"/>
      <c r="F24"/>
      <c r="G24"/>
      <c r="H24"/>
      <c r="I24"/>
      <c r="J24"/>
      <c r="K24"/>
      <c r="L24"/>
      <c r="M24"/>
      <c r="N24"/>
      <c r="O24"/>
      <c r="P24"/>
      <c r="Q24" s="29"/>
      <c r="R24" s="29"/>
      <c r="S24" s="29"/>
      <c r="T24" s="29"/>
      <c r="U24" s="29"/>
      <c r="V24" s="29"/>
      <c r="W24" s="29"/>
      <c r="X24" s="29"/>
      <c r="Y24" s="29"/>
      <c r="Z24" s="29"/>
      <c r="AA24" s="29"/>
      <c r="AB24" s="29"/>
      <c r="AC24" s="29"/>
      <c r="AD24" s="29"/>
      <c r="AE24" s="29"/>
      <c r="AF24" s="29"/>
      <c r="AG24" s="29"/>
      <c r="AH24" s="29"/>
      <c r="AI24" s="29"/>
      <c r="AJ24" s="29"/>
      <c r="AK24" s="29"/>
      <c r="AL24" s="29"/>
      <c r="AM24" s="29"/>
      <c r="AN24" s="29"/>
      <c r="AO24" s="29"/>
      <c r="AP24" s="29"/>
      <c r="AQ24" s="29"/>
      <c r="AR24" s="29"/>
      <c r="AS24" s="29"/>
      <c r="AT24" s="29"/>
      <c r="AU24" s="29"/>
      <c r="AV24" s="29"/>
      <c r="AW24" s="29"/>
      <c r="AX24" s="29"/>
      <c r="AY24" s="29"/>
      <c r="AZ24" s="29"/>
      <c r="BA24" s="29"/>
      <c r="BB24" s="29"/>
      <c r="BC24" s="29"/>
      <c r="BD24" s="29"/>
      <c r="BE24" s="29"/>
      <c r="BF24" s="29"/>
      <c r="BG24" s="29"/>
      <c r="BH24" s="29"/>
      <c r="BI24" s="29"/>
      <c r="BJ24" s="29"/>
      <c r="BK24" s="29"/>
      <c r="BL24" s="29"/>
      <c r="BM24" s="29"/>
      <c r="BN24" s="29"/>
      <c r="BO24" s="29"/>
      <c r="BP24" s="29"/>
      <c r="BQ24" s="29"/>
      <c r="BR24" s="29"/>
      <c r="BS24" s="29"/>
      <c r="BT24" s="29"/>
    </row>
    <row r="25" spans="1:72" ht="15" x14ac:dyDescent="0.25">
      <c r="B25" s="80"/>
      <c r="C25" s="80"/>
      <c r="D25"/>
      <c r="E25"/>
      <c r="F25"/>
      <c r="G25"/>
      <c r="H25"/>
      <c r="I25"/>
      <c r="J25"/>
      <c r="K25"/>
      <c r="L25"/>
      <c r="M25"/>
      <c r="N25"/>
      <c r="O25"/>
      <c r="P25"/>
      <c r="Q25" s="29"/>
      <c r="R25" s="29"/>
      <c r="S25" s="29"/>
      <c r="T25" s="29"/>
      <c r="U25" s="29"/>
      <c r="V25" s="29"/>
      <c r="W25" s="29"/>
      <c r="X25" s="29"/>
      <c r="Y25" s="29"/>
      <c r="Z25" s="29"/>
      <c r="AA25" s="29"/>
      <c r="AB25" s="29"/>
      <c r="AC25" s="29"/>
      <c r="AD25" s="29"/>
      <c r="AE25" s="29"/>
      <c r="AF25" s="29"/>
      <c r="AG25" s="29"/>
      <c r="AH25" s="29"/>
      <c r="AI25" s="29"/>
      <c r="AJ25" s="29"/>
      <c r="AK25" s="29"/>
      <c r="AL25" s="29"/>
      <c r="AM25" s="29"/>
      <c r="AN25" s="29"/>
      <c r="AO25" s="29"/>
      <c r="AP25" s="29"/>
      <c r="AQ25" s="29"/>
      <c r="AR25" s="29"/>
      <c r="AS25" s="29"/>
      <c r="AT25" s="29"/>
      <c r="AU25" s="29"/>
      <c r="AV25" s="29"/>
      <c r="AW25" s="29"/>
      <c r="AX25" s="29"/>
      <c r="AY25" s="29"/>
      <c r="AZ25" s="29"/>
      <c r="BA25" s="29"/>
      <c r="BB25" s="29"/>
      <c r="BC25" s="29"/>
      <c r="BD25" s="29"/>
      <c r="BE25" s="29"/>
      <c r="BF25" s="29"/>
      <c r="BG25" s="29"/>
      <c r="BH25" s="29"/>
      <c r="BI25" s="29"/>
      <c r="BJ25" s="29"/>
      <c r="BK25" s="29"/>
      <c r="BL25" s="29"/>
      <c r="BM25" s="29"/>
      <c r="BN25" s="29"/>
      <c r="BO25" s="29"/>
      <c r="BP25" s="29"/>
      <c r="BQ25" s="29"/>
      <c r="BR25" s="29"/>
      <c r="BS25" s="29"/>
      <c r="BT25" s="29"/>
    </row>
    <row r="26" spans="1:72" ht="15" x14ac:dyDescent="0.25">
      <c r="B26"/>
      <c r="C26"/>
      <c r="D26"/>
      <c r="E26"/>
      <c r="F26"/>
      <c r="G26"/>
      <c r="H26"/>
      <c r="I26"/>
      <c r="J26"/>
      <c r="K26"/>
      <c r="L26"/>
      <c r="M26"/>
      <c r="N26"/>
      <c r="O26"/>
      <c r="P26"/>
      <c r="Q26" s="29"/>
      <c r="R26" s="29"/>
      <c r="S26" s="29"/>
      <c r="T26" s="29"/>
      <c r="U26" s="29"/>
      <c r="V26" s="29"/>
      <c r="W26" s="29"/>
      <c r="X26" s="29"/>
      <c r="Y26" s="29"/>
      <c r="Z26" s="29"/>
      <c r="AA26" s="29"/>
      <c r="AB26" s="29"/>
      <c r="AC26" s="29"/>
      <c r="AD26" s="29"/>
      <c r="AE26" s="29"/>
      <c r="AF26" s="29"/>
      <c r="AG26" s="29"/>
      <c r="AH26" s="29"/>
      <c r="AI26" s="29"/>
      <c r="AJ26" s="29"/>
      <c r="AK26" s="29"/>
      <c r="AL26" s="29"/>
      <c r="AM26" s="29"/>
      <c r="AN26" s="29"/>
      <c r="AO26" s="29"/>
      <c r="AP26" s="29"/>
      <c r="AQ26" s="29"/>
      <c r="AR26" s="29"/>
      <c r="AS26" s="29"/>
      <c r="AT26" s="29"/>
      <c r="AU26" s="29"/>
      <c r="AV26" s="29"/>
      <c r="AW26" s="29"/>
      <c r="AX26" s="29"/>
      <c r="AY26" s="29"/>
      <c r="AZ26" s="29"/>
      <c r="BA26" s="29"/>
      <c r="BB26" s="29"/>
      <c r="BC26" s="29"/>
      <c r="BD26" s="29"/>
      <c r="BE26" s="29"/>
      <c r="BF26" s="29"/>
      <c r="BG26" s="29"/>
      <c r="BH26" s="29"/>
      <c r="BI26" s="29"/>
      <c r="BJ26" s="29"/>
      <c r="BK26" s="29"/>
      <c r="BL26" s="29"/>
      <c r="BM26" s="29"/>
      <c r="BN26" s="29"/>
      <c r="BO26" s="29"/>
      <c r="BP26" s="29"/>
      <c r="BQ26" s="29"/>
      <c r="BR26" s="29"/>
      <c r="BS26" s="29"/>
      <c r="BT26" s="29"/>
    </row>
    <row r="27" spans="1:72" ht="15" x14ac:dyDescent="0.25">
      <c r="B27"/>
      <c r="C27"/>
      <c r="D27"/>
      <c r="E27"/>
      <c r="F27"/>
      <c r="G27"/>
      <c r="H27"/>
      <c r="I27"/>
      <c r="J27"/>
      <c r="K27"/>
      <c r="L27"/>
      <c r="M27"/>
      <c r="N27"/>
      <c r="O27"/>
      <c r="P27"/>
      <c r="Q27" s="29"/>
      <c r="R27" s="29"/>
      <c r="S27" s="29"/>
      <c r="T27" s="29"/>
      <c r="U27" s="29"/>
      <c r="V27" s="29"/>
      <c r="W27" s="29"/>
      <c r="X27" s="29"/>
      <c r="Y27" s="29"/>
      <c r="Z27" s="29"/>
      <c r="AA27" s="29"/>
      <c r="AB27" s="29"/>
      <c r="AC27" s="29"/>
      <c r="AD27" s="29"/>
      <c r="AE27" s="29"/>
      <c r="AF27" s="29"/>
      <c r="AG27" s="29"/>
    </row>
    <row r="28" spans="1:72" ht="15" x14ac:dyDescent="0.25">
      <c r="B28"/>
      <c r="C28"/>
      <c r="D28"/>
      <c r="E28"/>
      <c r="F28"/>
      <c r="G28"/>
      <c r="H28"/>
      <c r="I28"/>
      <c r="J28"/>
      <c r="K28"/>
      <c r="L28"/>
      <c r="M28"/>
      <c r="N28"/>
      <c r="O28"/>
      <c r="P28"/>
      <c r="Q28" s="29"/>
      <c r="R28" s="29"/>
      <c r="S28" s="29"/>
      <c r="T28" s="29"/>
      <c r="U28" s="29"/>
      <c r="V28" s="29"/>
      <c r="W28" s="29"/>
      <c r="X28" s="29"/>
      <c r="Y28" s="29"/>
      <c r="Z28" s="29"/>
      <c r="AA28" s="29"/>
      <c r="AB28" s="29"/>
      <c r="AC28" s="29"/>
      <c r="AD28" s="29"/>
      <c r="AE28" s="29"/>
      <c r="AF28" s="29"/>
      <c r="AG28" s="29"/>
    </row>
    <row r="29" spans="1:72" ht="15" x14ac:dyDescent="0.25">
      <c r="B29"/>
      <c r="C29"/>
      <c r="D29"/>
      <c r="E29"/>
      <c r="F29"/>
      <c r="G29"/>
      <c r="H29"/>
      <c r="I29"/>
      <c r="J29"/>
      <c r="K29"/>
      <c r="L29"/>
      <c r="M29"/>
      <c r="N29"/>
      <c r="O29"/>
      <c r="P29"/>
      <c r="Q29" s="29"/>
      <c r="R29" s="29"/>
      <c r="S29" s="29"/>
      <c r="T29" s="29"/>
      <c r="U29" s="29"/>
      <c r="V29" s="29"/>
      <c r="W29" s="29"/>
      <c r="X29" s="29"/>
      <c r="Y29" s="29"/>
      <c r="Z29" s="29"/>
      <c r="AA29" s="29"/>
      <c r="AB29" s="29"/>
      <c r="AC29" s="29"/>
      <c r="AD29" s="29"/>
      <c r="AE29" s="29"/>
      <c r="AF29" s="29"/>
      <c r="AG29" s="29"/>
    </row>
    <row r="30" spans="1:72" ht="15" x14ac:dyDescent="0.25">
      <c r="B30"/>
      <c r="C30"/>
      <c r="D30"/>
      <c r="E30"/>
      <c r="F30"/>
      <c r="G30"/>
      <c r="H30"/>
      <c r="I30"/>
      <c r="J30"/>
      <c r="K30"/>
      <c r="L30"/>
      <c r="M30"/>
      <c r="N30"/>
      <c r="O30"/>
      <c r="P30"/>
      <c r="Q30" s="29"/>
      <c r="R30" s="29"/>
      <c r="S30" s="29"/>
      <c r="T30" s="29"/>
      <c r="U30" s="29"/>
      <c r="V30" s="29"/>
      <c r="W30" s="29"/>
      <c r="X30" s="29"/>
      <c r="Y30" s="29"/>
      <c r="Z30" s="29"/>
      <c r="AA30" s="29"/>
      <c r="AB30" s="29"/>
      <c r="AC30" s="29"/>
      <c r="AD30" s="29"/>
      <c r="AE30" s="29"/>
      <c r="AF30" s="29"/>
      <c r="AG30" s="29"/>
    </row>
    <row r="31" spans="1:72" ht="15" x14ac:dyDescent="0.25">
      <c r="B31"/>
      <c r="C31"/>
      <c r="D31"/>
      <c r="E31"/>
      <c r="F31"/>
      <c r="G31"/>
      <c r="H31"/>
      <c r="I31"/>
      <c r="J31"/>
      <c r="K31"/>
      <c r="L31"/>
      <c r="M31"/>
      <c r="N31"/>
      <c r="O31"/>
      <c r="P31"/>
      <c r="Q31" s="29"/>
      <c r="R31" s="29"/>
      <c r="S31" s="29"/>
      <c r="T31" s="29"/>
      <c r="U31" s="29"/>
      <c r="V31" s="29"/>
      <c r="W31" s="29"/>
      <c r="X31" s="29"/>
      <c r="Y31" s="29"/>
      <c r="Z31" s="29"/>
      <c r="AA31" s="29"/>
      <c r="AB31" s="29"/>
      <c r="AC31" s="29"/>
      <c r="AD31" s="29"/>
      <c r="AE31" s="29"/>
      <c r="AF31" s="29"/>
      <c r="AG31" s="29"/>
    </row>
    <row r="32" spans="1:72" ht="15" x14ac:dyDescent="0.25">
      <c r="B32"/>
      <c r="C32"/>
      <c r="D32"/>
      <c r="E32"/>
      <c r="F32"/>
      <c r="G32"/>
      <c r="H32"/>
      <c r="I32"/>
      <c r="J32"/>
      <c r="K32"/>
      <c r="L32"/>
      <c r="M32"/>
      <c r="N32"/>
      <c r="O32"/>
      <c r="P32"/>
      <c r="Q32" s="29"/>
      <c r="R32" s="29"/>
      <c r="S32" s="29"/>
      <c r="T32" s="29"/>
      <c r="U32" s="29"/>
      <c r="V32" s="29"/>
      <c r="W32" s="29"/>
      <c r="X32" s="29"/>
      <c r="Y32" s="29"/>
      <c r="Z32" s="29"/>
      <c r="AA32" s="29"/>
      <c r="AB32" s="29"/>
      <c r="AC32" s="29"/>
      <c r="AD32" s="29"/>
      <c r="AE32" s="29"/>
      <c r="AF32" s="29"/>
      <c r="AG32" s="29"/>
    </row>
    <row r="33" spans="2:33" ht="15" x14ac:dyDescent="0.25">
      <c r="B33"/>
      <c r="C33"/>
      <c r="D33"/>
      <c r="E33"/>
      <c r="F33"/>
      <c r="G33"/>
      <c r="H33"/>
      <c r="I33"/>
      <c r="J33"/>
      <c r="K33"/>
      <c r="L33"/>
      <c r="M33"/>
      <c r="N33"/>
      <c r="O33"/>
      <c r="P33"/>
      <c r="Q33" s="29"/>
      <c r="R33" s="29"/>
      <c r="S33" s="29"/>
      <c r="T33" s="29"/>
      <c r="U33" s="29"/>
      <c r="V33" s="29"/>
      <c r="W33" s="29"/>
      <c r="X33" s="29"/>
      <c r="Y33" s="29"/>
      <c r="Z33" s="29"/>
      <c r="AA33" s="29"/>
      <c r="AB33" s="29"/>
      <c r="AC33" s="29"/>
      <c r="AD33" s="29"/>
      <c r="AE33" s="29"/>
      <c r="AF33" s="29"/>
      <c r="AG33" s="29"/>
    </row>
    <row r="34" spans="2:33" ht="15" x14ac:dyDescent="0.25">
      <c r="B34"/>
      <c r="C34"/>
      <c r="D34"/>
      <c r="E34"/>
      <c r="F34"/>
      <c r="G34"/>
      <c r="H34"/>
      <c r="I34"/>
      <c r="J34"/>
      <c r="K34"/>
      <c r="L34"/>
      <c r="M34"/>
      <c r="N34"/>
      <c r="O34"/>
      <c r="P34"/>
      <c r="Q34" s="29"/>
      <c r="R34" s="29"/>
      <c r="S34" s="29"/>
      <c r="T34" s="29"/>
      <c r="U34" s="29"/>
      <c r="V34" s="29"/>
      <c r="W34" s="29"/>
      <c r="X34" s="29"/>
      <c r="Y34" s="29"/>
      <c r="Z34" s="29"/>
      <c r="AA34" s="29"/>
      <c r="AB34" s="29"/>
      <c r="AC34" s="29"/>
      <c r="AD34" s="29"/>
      <c r="AE34" s="29"/>
      <c r="AF34" s="29"/>
      <c r="AG34" s="29"/>
    </row>
    <row r="35" spans="2:33" ht="15" x14ac:dyDescent="0.25">
      <c r="B35"/>
      <c r="C35"/>
      <c r="D35"/>
      <c r="E35"/>
      <c r="F35"/>
      <c r="G35"/>
      <c r="H35"/>
      <c r="I35"/>
      <c r="J35"/>
      <c r="K35"/>
      <c r="L35"/>
      <c r="M35"/>
      <c r="N35"/>
      <c r="O35"/>
      <c r="P35"/>
      <c r="Q35" s="29"/>
      <c r="R35" s="29"/>
      <c r="S35" s="29"/>
      <c r="T35" s="29"/>
      <c r="U35" s="29"/>
      <c r="V35" s="29"/>
      <c r="W35" s="29"/>
      <c r="X35" s="29"/>
      <c r="Y35" s="29"/>
      <c r="Z35" s="29"/>
      <c r="AA35" s="29"/>
      <c r="AB35" s="29"/>
      <c r="AC35" s="29"/>
      <c r="AD35" s="29"/>
      <c r="AE35" s="29"/>
      <c r="AF35" s="29"/>
      <c r="AG35" s="29"/>
    </row>
    <row r="36" spans="2:33" ht="15" x14ac:dyDescent="0.25">
      <c r="B36"/>
      <c r="C36"/>
      <c r="D36"/>
      <c r="E36"/>
      <c r="F36"/>
      <c r="G36"/>
      <c r="H36"/>
      <c r="I36"/>
      <c r="J36"/>
      <c r="K36"/>
      <c r="L36"/>
      <c r="M36"/>
      <c r="N36"/>
      <c r="O36"/>
      <c r="P36"/>
      <c r="Q36" s="29"/>
      <c r="R36" s="29"/>
      <c r="S36" s="29"/>
      <c r="T36" s="29"/>
      <c r="U36" s="29"/>
      <c r="V36" s="29"/>
      <c r="W36" s="29"/>
      <c r="X36" s="29"/>
      <c r="Y36" s="29"/>
      <c r="Z36" s="29"/>
      <c r="AA36" s="29"/>
      <c r="AB36" s="29"/>
      <c r="AC36" s="29"/>
      <c r="AD36" s="29"/>
      <c r="AE36" s="29"/>
      <c r="AF36" s="29"/>
      <c r="AG36" s="29"/>
    </row>
    <row r="37" spans="2:33" ht="15" x14ac:dyDescent="0.25">
      <c r="B37"/>
      <c r="C37"/>
      <c r="D37"/>
      <c r="E37"/>
      <c r="F37"/>
      <c r="G37"/>
      <c r="H37"/>
      <c r="I37"/>
      <c r="J37"/>
      <c r="K37"/>
      <c r="L37"/>
      <c r="M37"/>
      <c r="N37"/>
      <c r="O37"/>
      <c r="P37"/>
      <c r="Q37" s="29"/>
      <c r="R37" s="29"/>
      <c r="S37" s="29"/>
      <c r="T37" s="29"/>
      <c r="U37" s="29"/>
      <c r="V37" s="29"/>
      <c r="W37" s="29"/>
      <c r="X37" s="29"/>
      <c r="Y37" s="29"/>
      <c r="Z37" s="29"/>
      <c r="AA37" s="29"/>
      <c r="AB37" s="29"/>
      <c r="AC37" s="29"/>
      <c r="AD37" s="29"/>
      <c r="AE37" s="29"/>
      <c r="AF37" s="29"/>
      <c r="AG37" s="29"/>
    </row>
    <row r="38" spans="2:33" ht="15" x14ac:dyDescent="0.25">
      <c r="B38"/>
      <c r="C38"/>
      <c r="D38"/>
      <c r="E38"/>
      <c r="F38"/>
      <c r="G38"/>
      <c r="H38"/>
      <c r="I38"/>
      <c r="J38"/>
      <c r="K38"/>
      <c r="L38"/>
      <c r="M38"/>
      <c r="N38"/>
      <c r="O38"/>
      <c r="P38"/>
      <c r="Q38" s="29"/>
      <c r="R38" s="29"/>
      <c r="S38" s="29"/>
      <c r="T38" s="29"/>
      <c r="U38" s="29"/>
      <c r="V38" s="29"/>
      <c r="W38" s="29"/>
      <c r="X38" s="29"/>
      <c r="Y38" s="29"/>
      <c r="Z38" s="29"/>
      <c r="AA38" s="29"/>
      <c r="AB38" s="29"/>
      <c r="AC38" s="29"/>
      <c r="AD38" s="29"/>
      <c r="AE38" s="29"/>
      <c r="AF38" s="29"/>
      <c r="AG38" s="29"/>
    </row>
    <row r="39" spans="2:33" ht="15" x14ac:dyDescent="0.25">
      <c r="B39"/>
      <c r="C39"/>
      <c r="D39"/>
      <c r="E39"/>
      <c r="F39"/>
      <c r="G39"/>
      <c r="H39"/>
      <c r="I39"/>
      <c r="J39"/>
      <c r="K39"/>
      <c r="L39"/>
      <c r="M39"/>
      <c r="N39"/>
      <c r="O39"/>
      <c r="P39"/>
      <c r="Q39" s="29"/>
      <c r="R39" s="29"/>
      <c r="S39" s="29"/>
      <c r="T39" s="29"/>
      <c r="U39" s="29"/>
      <c r="V39" s="29"/>
      <c r="W39" s="29"/>
      <c r="X39" s="29"/>
      <c r="Y39" s="29"/>
      <c r="Z39" s="29"/>
      <c r="AA39" s="29"/>
      <c r="AB39" s="29"/>
      <c r="AC39" s="29"/>
      <c r="AD39" s="29"/>
      <c r="AE39" s="29"/>
      <c r="AF39" s="29"/>
      <c r="AG39" s="29"/>
    </row>
    <row r="40" spans="2:33" ht="15" x14ac:dyDescent="0.25">
      <c r="B40"/>
      <c r="C40"/>
      <c r="D40"/>
      <c r="E40"/>
      <c r="F40"/>
      <c r="G40"/>
      <c r="H40"/>
      <c r="I40"/>
      <c r="J40"/>
      <c r="K40"/>
      <c r="L40"/>
      <c r="M40"/>
      <c r="N40"/>
      <c r="O40"/>
      <c r="P40"/>
      <c r="Q40" s="29"/>
      <c r="R40" s="29"/>
      <c r="S40" s="29"/>
      <c r="T40" s="29"/>
      <c r="U40" s="29"/>
      <c r="V40" s="29"/>
      <c r="W40" s="29"/>
      <c r="X40" s="29"/>
      <c r="Y40" s="29"/>
      <c r="Z40" s="29"/>
      <c r="AA40" s="29"/>
      <c r="AB40" s="29"/>
      <c r="AC40" s="29"/>
      <c r="AD40" s="29"/>
      <c r="AE40" s="29"/>
      <c r="AF40" s="29"/>
      <c r="AG40" s="29"/>
    </row>
    <row r="41" spans="2:33" ht="15" x14ac:dyDescent="0.25">
      <c r="B41"/>
      <c r="C41"/>
      <c r="D41"/>
      <c r="E41"/>
      <c r="F41"/>
      <c r="G41"/>
      <c r="H41"/>
      <c r="I41"/>
      <c r="J41"/>
      <c r="K41"/>
      <c r="L41"/>
      <c r="M41"/>
      <c r="N41"/>
      <c r="O41"/>
      <c r="P41"/>
      <c r="Q41" s="29"/>
      <c r="R41" s="29"/>
      <c r="S41" s="29"/>
      <c r="T41" s="29"/>
      <c r="U41" s="29"/>
      <c r="V41" s="29"/>
      <c r="W41" s="29"/>
      <c r="X41" s="29"/>
      <c r="Y41" s="29"/>
      <c r="Z41" s="29"/>
      <c r="AA41" s="29"/>
      <c r="AB41" s="29"/>
      <c r="AC41" s="29"/>
      <c r="AD41" s="29"/>
      <c r="AE41" s="29"/>
      <c r="AF41" s="29"/>
      <c r="AG41" s="29"/>
    </row>
    <row r="42" spans="2:33" ht="15" x14ac:dyDescent="0.25">
      <c r="B42"/>
      <c r="C42"/>
      <c r="D42"/>
      <c r="E42"/>
      <c r="F42"/>
      <c r="G42"/>
      <c r="H42"/>
      <c r="I42"/>
      <c r="J42"/>
      <c r="K42"/>
      <c r="L42"/>
      <c r="M42"/>
      <c r="N42"/>
      <c r="O42"/>
      <c r="P42"/>
      <c r="Q42" s="29"/>
      <c r="R42" s="29"/>
      <c r="S42" s="29"/>
      <c r="T42" s="29"/>
      <c r="U42" s="29"/>
      <c r="V42" s="29"/>
      <c r="W42" s="29"/>
      <c r="X42" s="29"/>
      <c r="Y42" s="29"/>
      <c r="Z42" s="29"/>
      <c r="AA42" s="29"/>
      <c r="AB42" s="29"/>
      <c r="AC42" s="29"/>
      <c r="AD42" s="29"/>
      <c r="AE42" s="29"/>
      <c r="AF42" s="29"/>
      <c r="AG42" s="29"/>
    </row>
    <row r="43" spans="2:33" ht="15" x14ac:dyDescent="0.25">
      <c r="B43"/>
      <c r="C43"/>
      <c r="D43"/>
      <c r="E43"/>
      <c r="F43"/>
      <c r="G43"/>
      <c r="H43"/>
      <c r="I43"/>
      <c r="J43"/>
      <c r="K43"/>
      <c r="L43"/>
      <c r="M43"/>
      <c r="N43"/>
      <c r="O43"/>
      <c r="P43"/>
      <c r="Q43" s="29"/>
      <c r="R43" s="29"/>
      <c r="S43" s="29"/>
      <c r="T43" s="29"/>
      <c r="U43" s="29"/>
      <c r="V43" s="29"/>
      <c r="W43" s="29"/>
      <c r="X43" s="29"/>
      <c r="Y43" s="29"/>
      <c r="Z43" s="29"/>
      <c r="AA43" s="29"/>
      <c r="AB43" s="29"/>
      <c r="AC43" s="29"/>
      <c r="AD43" s="29"/>
      <c r="AE43" s="29"/>
      <c r="AF43" s="29"/>
      <c r="AG43" s="29"/>
    </row>
    <row r="44" spans="2:33" ht="15" x14ac:dyDescent="0.25">
      <c r="B44"/>
      <c r="C44"/>
      <c r="D44"/>
      <c r="E44"/>
      <c r="F44"/>
      <c r="G44"/>
      <c r="H44"/>
      <c r="I44"/>
      <c r="J44"/>
      <c r="K44"/>
      <c r="L44"/>
      <c r="M44"/>
      <c r="N44"/>
      <c r="O44"/>
      <c r="P44"/>
      <c r="Q44" s="29"/>
      <c r="R44" s="29"/>
      <c r="S44" s="29"/>
      <c r="T44" s="29"/>
      <c r="U44" s="29"/>
      <c r="V44" s="29"/>
      <c r="W44" s="29"/>
      <c r="X44" s="29"/>
      <c r="Y44" s="29"/>
      <c r="Z44" s="29"/>
      <c r="AA44" s="29"/>
      <c r="AB44" s="29"/>
      <c r="AC44" s="29"/>
      <c r="AD44" s="29"/>
      <c r="AE44" s="29"/>
      <c r="AF44" s="29"/>
      <c r="AG44" s="29"/>
    </row>
    <row r="45" spans="2:33" ht="15" x14ac:dyDescent="0.25">
      <c r="B45"/>
      <c r="C45"/>
      <c r="D45"/>
      <c r="E45"/>
      <c r="F45"/>
      <c r="G45"/>
      <c r="H45"/>
      <c r="I45"/>
      <c r="J45"/>
      <c r="K45"/>
      <c r="L45"/>
      <c r="M45"/>
      <c r="N45"/>
      <c r="O45"/>
      <c r="P45"/>
      <c r="Q45" s="29"/>
      <c r="R45" s="29"/>
      <c r="S45" s="29"/>
      <c r="T45" s="29"/>
      <c r="U45" s="29"/>
      <c r="V45" s="29"/>
      <c r="W45" s="29"/>
      <c r="X45" s="29"/>
      <c r="Y45" s="29"/>
      <c r="Z45" s="29"/>
      <c r="AA45" s="29"/>
      <c r="AB45" s="29"/>
      <c r="AC45" s="29"/>
      <c r="AD45" s="29"/>
      <c r="AE45" s="29"/>
      <c r="AF45" s="29"/>
      <c r="AG45" s="29"/>
    </row>
    <row r="46" spans="2:33" ht="15" x14ac:dyDescent="0.25">
      <c r="B46"/>
      <c r="C46"/>
      <c r="D46"/>
      <c r="E46"/>
      <c r="F46"/>
      <c r="G46"/>
      <c r="H46"/>
      <c r="I46"/>
      <c r="J46"/>
      <c r="K46"/>
      <c r="L46"/>
      <c r="M46"/>
      <c r="N46"/>
      <c r="O46"/>
      <c r="P46"/>
      <c r="Q46" s="29"/>
      <c r="R46" s="29"/>
      <c r="S46" s="29"/>
      <c r="T46" s="29"/>
      <c r="U46" s="29"/>
      <c r="V46" s="29"/>
      <c r="W46" s="29"/>
      <c r="X46" s="29"/>
      <c r="Y46" s="29"/>
      <c r="Z46" s="29"/>
      <c r="AA46" s="29"/>
      <c r="AB46" s="29"/>
      <c r="AC46" s="29"/>
      <c r="AD46" s="29"/>
      <c r="AE46" s="29"/>
      <c r="AF46" s="29"/>
      <c r="AG46" s="29"/>
    </row>
    <row r="47" spans="2:33" ht="15" x14ac:dyDescent="0.25">
      <c r="B47"/>
      <c r="C47"/>
      <c r="D47"/>
      <c r="E47"/>
      <c r="F47"/>
      <c r="G47"/>
      <c r="H47"/>
      <c r="I47"/>
      <c r="J47"/>
      <c r="K47"/>
      <c r="L47"/>
      <c r="M47"/>
      <c r="N47"/>
      <c r="O47"/>
      <c r="P47"/>
      <c r="Q47" s="29"/>
      <c r="R47" s="29"/>
      <c r="S47" s="29"/>
      <c r="T47" s="29"/>
      <c r="U47" s="29"/>
      <c r="V47" s="29"/>
      <c r="W47" s="29"/>
      <c r="X47" s="29"/>
      <c r="Y47" s="29"/>
      <c r="Z47" s="29"/>
      <c r="AA47" s="29"/>
      <c r="AB47" s="29"/>
      <c r="AC47" s="29"/>
      <c r="AD47" s="29"/>
      <c r="AE47" s="29"/>
      <c r="AF47" s="29"/>
      <c r="AG47" s="29"/>
    </row>
    <row r="48" spans="2:33" ht="15" x14ac:dyDescent="0.25">
      <c r="B48"/>
      <c r="C48"/>
      <c r="D48"/>
      <c r="E48"/>
      <c r="F48"/>
      <c r="G48"/>
      <c r="H48"/>
      <c r="I48"/>
      <c r="J48"/>
      <c r="K48"/>
      <c r="L48"/>
      <c r="M48"/>
      <c r="N48"/>
      <c r="O48"/>
      <c r="P48"/>
      <c r="Q48" s="29"/>
      <c r="R48" s="29"/>
      <c r="S48" s="29"/>
      <c r="T48" s="29"/>
      <c r="U48" s="29"/>
      <c r="V48" s="29"/>
      <c r="W48" s="29"/>
      <c r="X48" s="29"/>
      <c r="Y48" s="29"/>
      <c r="Z48" s="29"/>
      <c r="AA48" s="29"/>
      <c r="AB48" s="29"/>
      <c r="AC48" s="29"/>
      <c r="AD48" s="29"/>
      <c r="AE48" s="29"/>
      <c r="AF48" s="29"/>
      <c r="AG48" s="29"/>
    </row>
    <row r="49" spans="2:33" ht="15" x14ac:dyDescent="0.25">
      <c r="B49"/>
      <c r="C49"/>
      <c r="D49"/>
      <c r="E49"/>
      <c r="F49"/>
      <c r="G49"/>
      <c r="H49"/>
      <c r="I49"/>
      <c r="J49"/>
      <c r="K49"/>
      <c r="L49"/>
      <c r="M49"/>
      <c r="N49"/>
      <c r="O49"/>
      <c r="P49"/>
      <c r="Q49" s="29"/>
      <c r="R49" s="29"/>
      <c r="S49" s="29"/>
      <c r="T49" s="29"/>
      <c r="U49" s="29"/>
      <c r="V49" s="29"/>
      <c r="W49" s="29"/>
      <c r="X49" s="29"/>
      <c r="Y49" s="29"/>
      <c r="Z49" s="29"/>
      <c r="AA49" s="29"/>
      <c r="AB49" s="29"/>
      <c r="AC49" s="29"/>
      <c r="AD49" s="29"/>
      <c r="AE49" s="29"/>
      <c r="AF49" s="29"/>
      <c r="AG49" s="29"/>
    </row>
    <row r="50" spans="2:33" ht="15" x14ac:dyDescent="0.25">
      <c r="B50"/>
      <c r="C50"/>
      <c r="D50"/>
      <c r="E50"/>
      <c r="F50"/>
      <c r="G50"/>
      <c r="H50"/>
      <c r="I50"/>
      <c r="J50"/>
      <c r="K50"/>
      <c r="L50"/>
      <c r="M50"/>
      <c r="N50"/>
      <c r="O50"/>
      <c r="P50"/>
      <c r="Q50" s="29"/>
      <c r="R50" s="29"/>
      <c r="S50" s="29"/>
      <c r="T50" s="29"/>
      <c r="U50" s="29"/>
      <c r="V50" s="29"/>
      <c r="W50" s="29"/>
      <c r="X50" s="29"/>
      <c r="Y50" s="29"/>
      <c r="Z50" s="29"/>
      <c r="AA50" s="29"/>
      <c r="AB50" s="29"/>
      <c r="AC50" s="29"/>
      <c r="AD50" s="29"/>
      <c r="AE50" s="29"/>
      <c r="AF50" s="29"/>
      <c r="AG50" s="29"/>
    </row>
    <row r="51" spans="2:33" ht="15" x14ac:dyDescent="0.25">
      <c r="B51"/>
      <c r="C51"/>
      <c r="D51"/>
      <c r="E51"/>
      <c r="F51"/>
      <c r="G51"/>
      <c r="H51"/>
      <c r="I51"/>
      <c r="J51"/>
      <c r="K51"/>
      <c r="L51"/>
      <c r="M51"/>
      <c r="N51"/>
      <c r="O51"/>
      <c r="P51"/>
      <c r="Q51" s="29"/>
      <c r="R51" s="29"/>
      <c r="S51" s="29"/>
      <c r="T51" s="29"/>
      <c r="U51" s="29"/>
      <c r="V51" s="29"/>
      <c r="W51" s="29"/>
      <c r="X51" s="29"/>
      <c r="Y51" s="29"/>
      <c r="Z51" s="29"/>
      <c r="AA51" s="29"/>
      <c r="AB51" s="29"/>
      <c r="AC51" s="29"/>
      <c r="AD51" s="29"/>
      <c r="AE51" s="29"/>
      <c r="AF51" s="29"/>
      <c r="AG51" s="29"/>
    </row>
    <row r="52" spans="2:33" ht="15" x14ac:dyDescent="0.25">
      <c r="B52"/>
      <c r="C52"/>
      <c r="D52"/>
      <c r="E52"/>
      <c r="F52"/>
      <c r="G52"/>
      <c r="H52"/>
      <c r="I52"/>
      <c r="J52"/>
      <c r="K52"/>
      <c r="L52"/>
      <c r="M52"/>
      <c r="N52"/>
      <c r="O52"/>
      <c r="P52"/>
      <c r="Q52" s="29"/>
      <c r="R52" s="29"/>
      <c r="S52" s="29"/>
      <c r="T52" s="29"/>
      <c r="U52" s="29"/>
      <c r="V52" s="29"/>
      <c r="W52" s="29"/>
      <c r="X52" s="29"/>
      <c r="Y52" s="29"/>
      <c r="Z52" s="29"/>
      <c r="AA52" s="29"/>
      <c r="AB52" s="29"/>
      <c r="AC52" s="29"/>
      <c r="AD52" s="29"/>
      <c r="AE52" s="29"/>
      <c r="AF52" s="29"/>
      <c r="AG52" s="29"/>
    </row>
    <row r="53" spans="2:33" ht="15" x14ac:dyDescent="0.25">
      <c r="B53"/>
      <c r="C53"/>
      <c r="D53"/>
      <c r="E53"/>
      <c r="F53"/>
      <c r="G53"/>
      <c r="H53"/>
      <c r="I53"/>
      <c r="J53"/>
      <c r="K53"/>
      <c r="L53"/>
      <c r="M53"/>
      <c r="N53"/>
      <c r="O53"/>
      <c r="P53"/>
      <c r="Q53" s="29"/>
      <c r="R53" s="29"/>
      <c r="S53" s="29"/>
      <c r="T53" s="29"/>
      <c r="U53" s="29"/>
      <c r="V53" s="29"/>
      <c r="W53" s="29"/>
      <c r="X53" s="29"/>
      <c r="Y53" s="29"/>
      <c r="Z53" s="29"/>
      <c r="AA53" s="29"/>
      <c r="AB53" s="29"/>
      <c r="AC53" s="29"/>
      <c r="AD53" s="29"/>
      <c r="AE53" s="29"/>
      <c r="AF53" s="29"/>
      <c r="AG53" s="29"/>
    </row>
    <row r="54" spans="2:33" ht="15" x14ac:dyDescent="0.25">
      <c r="B54"/>
      <c r="C54"/>
      <c r="D54"/>
      <c r="E54"/>
      <c r="F54"/>
      <c r="G54"/>
      <c r="H54"/>
      <c r="I54"/>
      <c r="J54"/>
      <c r="K54"/>
      <c r="L54"/>
      <c r="M54"/>
      <c r="N54"/>
      <c r="O54"/>
      <c r="P54"/>
      <c r="Q54" s="29"/>
      <c r="R54" s="29"/>
      <c r="S54" s="29"/>
      <c r="T54" s="29"/>
      <c r="U54" s="29"/>
      <c r="V54" s="29"/>
      <c r="W54" s="29"/>
      <c r="X54" s="29"/>
      <c r="Y54" s="29"/>
      <c r="Z54" s="29"/>
      <c r="AA54" s="29"/>
      <c r="AB54" s="29"/>
      <c r="AC54" s="29"/>
      <c r="AD54" s="29"/>
      <c r="AE54" s="29"/>
      <c r="AF54" s="29"/>
      <c r="AG54" s="29"/>
    </row>
    <row r="55" spans="2:33" ht="15" x14ac:dyDescent="0.25">
      <c r="B55"/>
      <c r="C55"/>
      <c r="D55"/>
      <c r="E55"/>
      <c r="F55"/>
      <c r="G55"/>
      <c r="H55"/>
      <c r="I55"/>
      <c r="J55"/>
      <c r="K55"/>
      <c r="L55"/>
      <c r="M55"/>
      <c r="N55"/>
      <c r="O55"/>
      <c r="P55"/>
      <c r="Q55" s="29"/>
      <c r="R55" s="29"/>
      <c r="S55" s="29"/>
      <c r="T55" s="29"/>
      <c r="U55" s="29"/>
      <c r="V55" s="29"/>
      <c r="W55" s="29"/>
      <c r="X55" s="29"/>
      <c r="Y55" s="29"/>
      <c r="Z55" s="29"/>
      <c r="AA55" s="29"/>
      <c r="AB55" s="29"/>
      <c r="AC55" s="29"/>
      <c r="AD55" s="29"/>
      <c r="AE55" s="29"/>
      <c r="AF55" s="29"/>
      <c r="AG55" s="29"/>
    </row>
    <row r="56" spans="2:33" ht="15" x14ac:dyDescent="0.25">
      <c r="B56"/>
      <c r="C56"/>
      <c r="D56"/>
      <c r="E56"/>
      <c r="F56"/>
      <c r="G56"/>
      <c r="H56"/>
      <c r="I56"/>
      <c r="J56"/>
      <c r="K56"/>
      <c r="L56"/>
      <c r="M56"/>
      <c r="N56"/>
      <c r="O56"/>
      <c r="P56"/>
      <c r="Q56" s="29"/>
      <c r="R56" s="29"/>
      <c r="S56" s="29"/>
      <c r="T56" s="29"/>
      <c r="U56" s="29"/>
      <c r="V56" s="29"/>
      <c r="W56" s="29"/>
      <c r="X56" s="29"/>
      <c r="Y56" s="29"/>
      <c r="Z56" s="29"/>
      <c r="AA56" s="29"/>
      <c r="AB56" s="29"/>
      <c r="AC56" s="29"/>
      <c r="AD56" s="29"/>
      <c r="AE56" s="29"/>
      <c r="AF56" s="29"/>
      <c r="AG56" s="29"/>
    </row>
    <row r="57" spans="2:33" ht="15" x14ac:dyDescent="0.25">
      <c r="B57"/>
      <c r="C57"/>
      <c r="D57"/>
      <c r="E57"/>
      <c r="F57"/>
      <c r="G57"/>
      <c r="H57"/>
      <c r="I57"/>
      <c r="J57"/>
      <c r="K57"/>
      <c r="L57"/>
      <c r="M57"/>
      <c r="N57"/>
      <c r="O57"/>
      <c r="P57"/>
      <c r="Q57" s="29"/>
      <c r="R57" s="29"/>
      <c r="S57" s="29"/>
      <c r="T57" s="29"/>
      <c r="U57" s="29"/>
      <c r="V57" s="29"/>
      <c r="W57" s="29"/>
      <c r="X57" s="29"/>
      <c r="Y57" s="29"/>
      <c r="Z57" s="29"/>
      <c r="AA57" s="29"/>
      <c r="AB57" s="29"/>
      <c r="AC57" s="29"/>
      <c r="AD57" s="29"/>
      <c r="AE57" s="29"/>
      <c r="AF57" s="29"/>
      <c r="AG57" s="29"/>
    </row>
    <row r="58" spans="2:33" ht="15" x14ac:dyDescent="0.25">
      <c r="B58"/>
      <c r="C58"/>
      <c r="D58"/>
      <c r="E58"/>
      <c r="F58"/>
      <c r="G58"/>
      <c r="H58"/>
      <c r="I58"/>
      <c r="J58"/>
      <c r="K58"/>
      <c r="L58"/>
      <c r="M58"/>
      <c r="N58"/>
      <c r="O58"/>
      <c r="P58"/>
      <c r="Q58" s="29"/>
      <c r="R58" s="29"/>
      <c r="S58" s="29"/>
      <c r="T58" s="29"/>
      <c r="U58" s="29"/>
      <c r="V58" s="29"/>
      <c r="W58" s="29"/>
      <c r="X58" s="29"/>
      <c r="Y58" s="29"/>
      <c r="Z58" s="29"/>
      <c r="AA58" s="29"/>
      <c r="AB58" s="29"/>
      <c r="AC58" s="29"/>
      <c r="AD58" s="29"/>
      <c r="AE58" s="29"/>
      <c r="AF58" s="29"/>
      <c r="AG58" s="29"/>
    </row>
    <row r="59" spans="2:33" ht="15" x14ac:dyDescent="0.25">
      <c r="B59"/>
      <c r="C59"/>
      <c r="D59"/>
      <c r="E59"/>
      <c r="F59"/>
      <c r="G59"/>
      <c r="H59"/>
      <c r="I59"/>
      <c r="J59"/>
      <c r="K59"/>
      <c r="L59"/>
      <c r="M59"/>
      <c r="N59"/>
      <c r="O59"/>
      <c r="P59"/>
      <c r="Q59" s="29"/>
      <c r="R59" s="29"/>
      <c r="S59" s="29"/>
      <c r="T59" s="29"/>
      <c r="U59" s="29"/>
      <c r="V59" s="29"/>
      <c r="W59" s="29"/>
      <c r="X59" s="29"/>
      <c r="Y59" s="29"/>
      <c r="Z59" s="29"/>
      <c r="AA59" s="29"/>
      <c r="AB59" s="29"/>
      <c r="AC59" s="29"/>
      <c r="AD59" s="29"/>
      <c r="AE59" s="29"/>
      <c r="AF59" s="29"/>
      <c r="AG59" s="29"/>
    </row>
    <row r="60" spans="2:33" ht="15" x14ac:dyDescent="0.25">
      <c r="B60"/>
      <c r="C60"/>
      <c r="D60"/>
      <c r="E60"/>
      <c r="F60"/>
      <c r="G60"/>
      <c r="H60"/>
      <c r="I60"/>
      <c r="J60"/>
      <c r="K60"/>
      <c r="L60"/>
      <c r="M60"/>
      <c r="N60"/>
      <c r="O60"/>
      <c r="P60"/>
      <c r="Q60" s="29"/>
      <c r="R60" s="29"/>
      <c r="S60" s="29"/>
      <c r="T60" s="29"/>
      <c r="U60" s="29"/>
      <c r="V60" s="29"/>
      <c r="W60" s="29"/>
      <c r="X60" s="29"/>
      <c r="Y60" s="29"/>
      <c r="Z60" s="29"/>
      <c r="AA60" s="29"/>
      <c r="AB60" s="29"/>
      <c r="AC60" s="29"/>
      <c r="AD60" s="29"/>
      <c r="AE60" s="29"/>
      <c r="AF60" s="29"/>
      <c r="AG60" s="29"/>
    </row>
    <row r="61" spans="2:33" ht="15" x14ac:dyDescent="0.25">
      <c r="B61"/>
      <c r="C61"/>
      <c r="D61"/>
      <c r="E61"/>
      <c r="F61"/>
      <c r="G61"/>
      <c r="H61"/>
      <c r="I61"/>
      <c r="J61"/>
      <c r="K61"/>
      <c r="L61"/>
      <c r="M61"/>
      <c r="N61"/>
      <c r="O61"/>
      <c r="P61"/>
      <c r="Q61" s="29"/>
      <c r="R61" s="29"/>
      <c r="S61" s="29"/>
      <c r="T61" s="29"/>
      <c r="U61" s="29"/>
      <c r="V61" s="29"/>
      <c r="W61" s="29"/>
      <c r="X61" s="29"/>
      <c r="Y61" s="29"/>
      <c r="Z61" s="29"/>
      <c r="AA61" s="29"/>
      <c r="AB61" s="29"/>
      <c r="AC61" s="29"/>
      <c r="AD61" s="29"/>
      <c r="AE61" s="29"/>
      <c r="AF61" s="29"/>
      <c r="AG61" s="29"/>
    </row>
    <row r="62" spans="2:33" ht="15" x14ac:dyDescent="0.25">
      <c r="B62"/>
      <c r="C62"/>
      <c r="D62"/>
      <c r="E62"/>
      <c r="F62"/>
      <c r="G62"/>
      <c r="H62"/>
      <c r="I62"/>
      <c r="J62"/>
      <c r="K62"/>
      <c r="L62"/>
      <c r="M62"/>
      <c r="N62"/>
      <c r="O62"/>
      <c r="P62"/>
      <c r="Q62" s="29"/>
      <c r="R62" s="29"/>
      <c r="S62" s="29"/>
      <c r="T62" s="29"/>
      <c r="U62" s="29"/>
      <c r="V62" s="29"/>
      <c r="W62" s="29"/>
      <c r="X62" s="29"/>
      <c r="Y62" s="29"/>
      <c r="Z62" s="29"/>
      <c r="AA62" s="29"/>
      <c r="AB62" s="29"/>
      <c r="AC62" s="29"/>
      <c r="AD62" s="29"/>
      <c r="AE62" s="29"/>
      <c r="AF62" s="29"/>
      <c r="AG62" s="29"/>
    </row>
    <row r="63" spans="2:33" ht="15" x14ac:dyDescent="0.25">
      <c r="B63"/>
      <c r="C63"/>
      <c r="D63"/>
      <c r="E63"/>
      <c r="F63"/>
      <c r="G63"/>
      <c r="H63"/>
      <c r="I63"/>
      <c r="J63"/>
      <c r="K63"/>
      <c r="L63"/>
      <c r="M63"/>
      <c r="N63"/>
      <c r="O63"/>
      <c r="P63"/>
      <c r="Q63" s="29"/>
      <c r="R63" s="29"/>
      <c r="S63" s="29"/>
      <c r="T63" s="29"/>
      <c r="U63" s="29"/>
      <c r="V63" s="29"/>
      <c r="W63" s="29"/>
      <c r="X63" s="29"/>
      <c r="Y63" s="29"/>
      <c r="Z63" s="29"/>
      <c r="AA63" s="29"/>
      <c r="AB63" s="29"/>
      <c r="AC63" s="29"/>
      <c r="AD63" s="29"/>
      <c r="AE63" s="29"/>
      <c r="AF63" s="29"/>
      <c r="AG63" s="29"/>
    </row>
    <row r="64" spans="2:33" ht="15" x14ac:dyDescent="0.25">
      <c r="B64"/>
      <c r="C64"/>
      <c r="D64"/>
      <c r="E64"/>
      <c r="F64"/>
      <c r="G64"/>
      <c r="H64"/>
      <c r="I64"/>
      <c r="J64"/>
      <c r="K64"/>
      <c r="L64"/>
      <c r="M64"/>
      <c r="N64"/>
      <c r="O64"/>
      <c r="P64"/>
      <c r="Q64" s="29"/>
      <c r="R64" s="29"/>
      <c r="S64" s="29"/>
      <c r="T64" s="29"/>
      <c r="U64" s="29"/>
      <c r="V64" s="29"/>
      <c r="W64" s="29"/>
      <c r="X64" s="29"/>
      <c r="Y64" s="29"/>
      <c r="Z64" s="29"/>
      <c r="AA64" s="29"/>
      <c r="AB64" s="29"/>
      <c r="AC64" s="29"/>
      <c r="AD64" s="29"/>
      <c r="AE64" s="29"/>
      <c r="AF64" s="29"/>
      <c r="AG64" s="29"/>
    </row>
    <row r="65" spans="2:33" ht="15" x14ac:dyDescent="0.25">
      <c r="B65"/>
      <c r="C65"/>
      <c r="D65"/>
      <c r="E65"/>
      <c r="F65"/>
      <c r="G65"/>
      <c r="H65"/>
      <c r="I65"/>
      <c r="J65"/>
      <c r="K65"/>
      <c r="L65"/>
      <c r="M65"/>
      <c r="N65"/>
      <c r="O65"/>
      <c r="P65"/>
      <c r="Q65" s="29"/>
      <c r="R65" s="29"/>
      <c r="S65" s="29"/>
      <c r="T65" s="29"/>
      <c r="U65" s="29"/>
      <c r="V65" s="29"/>
      <c r="W65" s="29"/>
      <c r="X65" s="29"/>
      <c r="Y65" s="29"/>
      <c r="Z65" s="29"/>
      <c r="AA65" s="29"/>
      <c r="AB65" s="29"/>
      <c r="AC65" s="29"/>
      <c r="AD65" s="29"/>
      <c r="AE65" s="29"/>
      <c r="AF65" s="29"/>
      <c r="AG65" s="29"/>
    </row>
    <row r="66" spans="2:33" ht="15" x14ac:dyDescent="0.25">
      <c r="B66"/>
      <c r="C66"/>
      <c r="D66"/>
      <c r="E66"/>
      <c r="F66"/>
      <c r="G66"/>
      <c r="H66"/>
      <c r="I66"/>
      <c r="J66"/>
      <c r="K66"/>
      <c r="L66"/>
      <c r="M66"/>
      <c r="N66"/>
      <c r="O66"/>
      <c r="P66"/>
      <c r="Q66" s="29"/>
      <c r="R66" s="29"/>
      <c r="S66" s="29"/>
      <c r="T66" s="29"/>
      <c r="U66" s="29"/>
      <c r="V66" s="29"/>
      <c r="W66" s="29"/>
      <c r="X66" s="29"/>
      <c r="Y66" s="29"/>
      <c r="Z66" s="29"/>
      <c r="AA66" s="29"/>
      <c r="AB66" s="29"/>
      <c r="AC66" s="29"/>
      <c r="AD66" s="29"/>
      <c r="AE66" s="29"/>
      <c r="AF66" s="29"/>
      <c r="AG66" s="29"/>
    </row>
    <row r="67" spans="2:33" ht="15" x14ac:dyDescent="0.25">
      <c r="B67"/>
      <c r="C67"/>
      <c r="D67"/>
      <c r="E67"/>
      <c r="F67"/>
      <c r="G67"/>
      <c r="H67"/>
      <c r="I67"/>
      <c r="J67"/>
      <c r="K67"/>
      <c r="L67"/>
      <c r="M67"/>
      <c r="N67"/>
      <c r="O67"/>
      <c r="P67"/>
      <c r="Q67" s="29"/>
      <c r="R67" s="29"/>
      <c r="S67" s="29"/>
      <c r="T67" s="29"/>
      <c r="U67" s="29"/>
      <c r="V67" s="29"/>
      <c r="W67" s="29"/>
      <c r="X67" s="29"/>
      <c r="Y67" s="29"/>
      <c r="Z67" s="29"/>
      <c r="AA67" s="29"/>
      <c r="AB67" s="29"/>
      <c r="AC67" s="29"/>
      <c r="AD67" s="29"/>
      <c r="AE67" s="29"/>
      <c r="AF67" s="29"/>
      <c r="AG67" s="29"/>
    </row>
    <row r="68" spans="2:33" ht="15" x14ac:dyDescent="0.25">
      <c r="B68"/>
      <c r="C68"/>
      <c r="D68"/>
      <c r="E68"/>
      <c r="F68"/>
      <c r="G68"/>
      <c r="H68"/>
      <c r="I68"/>
      <c r="J68"/>
      <c r="K68"/>
      <c r="L68"/>
      <c r="M68"/>
      <c r="N68"/>
      <c r="O68"/>
      <c r="P68"/>
      <c r="Q68" s="29"/>
      <c r="R68" s="29"/>
      <c r="S68" s="29"/>
      <c r="T68" s="29"/>
      <c r="U68" s="29"/>
      <c r="V68" s="29"/>
      <c r="W68" s="29"/>
      <c r="X68" s="29"/>
      <c r="Y68" s="29"/>
      <c r="Z68" s="29"/>
      <c r="AA68" s="29"/>
      <c r="AB68" s="29"/>
      <c r="AC68" s="29"/>
      <c r="AD68" s="29"/>
      <c r="AE68" s="29"/>
      <c r="AF68" s="29"/>
      <c r="AG68" s="29"/>
    </row>
    <row r="69" spans="2:33" ht="15" x14ac:dyDescent="0.25">
      <c r="B69"/>
      <c r="C69"/>
      <c r="D69"/>
      <c r="E69"/>
      <c r="F69"/>
      <c r="G69"/>
      <c r="H69"/>
      <c r="I69"/>
      <c r="J69"/>
      <c r="K69"/>
      <c r="L69"/>
      <c r="M69"/>
      <c r="N69"/>
      <c r="O69"/>
      <c r="P69"/>
      <c r="Q69" s="29"/>
      <c r="R69" s="29"/>
      <c r="S69" s="29"/>
      <c r="T69" s="29"/>
      <c r="U69" s="29"/>
      <c r="V69" s="29"/>
      <c r="W69" s="29"/>
      <c r="X69" s="29"/>
      <c r="Y69" s="29"/>
      <c r="Z69" s="29"/>
      <c r="AA69" s="29"/>
      <c r="AB69" s="29"/>
      <c r="AC69" s="29"/>
      <c r="AD69" s="29"/>
      <c r="AE69" s="29"/>
      <c r="AF69" s="29"/>
      <c r="AG69" s="29"/>
    </row>
    <row r="70" spans="2:33" ht="15" x14ac:dyDescent="0.25">
      <c r="B70"/>
      <c r="C70"/>
      <c r="D70"/>
      <c r="E70"/>
      <c r="F70"/>
      <c r="G70"/>
      <c r="H70"/>
      <c r="I70"/>
      <c r="J70"/>
      <c r="K70"/>
      <c r="L70"/>
      <c r="M70"/>
      <c r="N70"/>
      <c r="O70"/>
      <c r="P70"/>
      <c r="Q70" s="29"/>
      <c r="R70" s="29"/>
      <c r="S70" s="29"/>
      <c r="T70" s="29"/>
      <c r="U70" s="29"/>
      <c r="V70" s="29"/>
      <c r="W70" s="29"/>
      <c r="X70" s="29"/>
      <c r="Y70" s="29"/>
      <c r="Z70" s="29"/>
      <c r="AA70" s="29"/>
      <c r="AB70" s="29"/>
      <c r="AC70" s="29"/>
      <c r="AD70" s="29"/>
      <c r="AE70" s="29"/>
      <c r="AF70" s="29"/>
      <c r="AG70" s="29"/>
    </row>
    <row r="71" spans="2:33" ht="15" x14ac:dyDescent="0.25">
      <c r="B71"/>
      <c r="C71"/>
      <c r="D71"/>
      <c r="E71"/>
      <c r="F71"/>
      <c r="G71"/>
      <c r="H71"/>
      <c r="I71"/>
      <c r="J71"/>
      <c r="K71"/>
      <c r="L71"/>
      <c r="M71"/>
      <c r="N71"/>
      <c r="O71"/>
      <c r="P71"/>
      <c r="Q71" s="29"/>
      <c r="R71" s="29"/>
      <c r="S71" s="29"/>
      <c r="T71" s="29"/>
      <c r="U71" s="29"/>
      <c r="V71" s="29"/>
      <c r="W71" s="29"/>
      <c r="X71" s="29"/>
      <c r="Y71" s="29"/>
      <c r="Z71" s="29"/>
      <c r="AA71" s="29"/>
      <c r="AB71" s="29"/>
      <c r="AC71" s="29"/>
      <c r="AD71" s="29"/>
      <c r="AE71" s="29"/>
      <c r="AF71" s="29"/>
      <c r="AG71" s="29"/>
    </row>
    <row r="72" spans="2:33" ht="15" x14ac:dyDescent="0.25">
      <c r="B72"/>
      <c r="C72"/>
      <c r="D72"/>
      <c r="E72"/>
      <c r="F72"/>
      <c r="G72"/>
      <c r="H72"/>
      <c r="I72"/>
      <c r="J72"/>
      <c r="K72"/>
      <c r="L72"/>
      <c r="M72"/>
      <c r="N72"/>
      <c r="O72"/>
      <c r="P72"/>
      <c r="Q72" s="29"/>
      <c r="R72" s="29"/>
      <c r="S72" s="29"/>
      <c r="T72" s="29"/>
      <c r="U72" s="29"/>
      <c r="V72" s="29"/>
      <c r="W72" s="29"/>
      <c r="X72" s="29"/>
      <c r="Y72" s="29"/>
      <c r="Z72" s="29"/>
      <c r="AA72" s="29"/>
      <c r="AB72" s="29"/>
      <c r="AC72" s="29"/>
      <c r="AD72" s="29"/>
      <c r="AE72" s="29"/>
      <c r="AF72" s="29"/>
      <c r="AG72" s="29"/>
    </row>
    <row r="73" spans="2:33" ht="15" x14ac:dyDescent="0.25">
      <c r="B73"/>
      <c r="C73"/>
      <c r="D73"/>
      <c r="E73"/>
      <c r="F73"/>
      <c r="G73"/>
      <c r="H73"/>
      <c r="I73"/>
      <c r="J73"/>
      <c r="K73"/>
      <c r="L73"/>
      <c r="M73"/>
      <c r="N73"/>
      <c r="O73"/>
      <c r="P73"/>
      <c r="Q73" s="29"/>
      <c r="R73" s="29"/>
      <c r="S73" s="29"/>
      <c r="T73" s="29"/>
      <c r="U73" s="29"/>
      <c r="V73" s="29"/>
      <c r="W73" s="29"/>
      <c r="X73" s="29"/>
      <c r="Y73" s="29"/>
      <c r="Z73" s="29"/>
      <c r="AA73" s="29"/>
      <c r="AB73" s="29"/>
      <c r="AC73" s="29"/>
      <c r="AD73" s="29"/>
      <c r="AE73" s="29"/>
      <c r="AF73" s="29"/>
      <c r="AG73" s="29"/>
    </row>
    <row r="74" spans="2:33" ht="15" x14ac:dyDescent="0.25">
      <c r="B74"/>
      <c r="C74"/>
      <c r="D74"/>
      <c r="E74"/>
      <c r="F74"/>
      <c r="G74"/>
      <c r="H74"/>
      <c r="I74"/>
      <c r="J74"/>
      <c r="K74"/>
      <c r="L74"/>
      <c r="M74"/>
      <c r="N74"/>
      <c r="O74"/>
      <c r="P74"/>
      <c r="Q74" s="29"/>
      <c r="R74" s="29"/>
      <c r="S74" s="29"/>
      <c r="T74" s="29"/>
      <c r="U74" s="29"/>
      <c r="V74" s="29"/>
      <c r="W74" s="29"/>
      <c r="X74" s="29"/>
      <c r="Y74" s="29"/>
      <c r="Z74" s="29"/>
      <c r="AA74" s="29"/>
      <c r="AB74" s="29"/>
      <c r="AC74" s="29"/>
      <c r="AD74" s="29"/>
      <c r="AE74" s="29"/>
      <c r="AF74" s="29"/>
      <c r="AG74" s="29"/>
    </row>
    <row r="75" spans="2:33" ht="15" x14ac:dyDescent="0.25">
      <c r="B75"/>
      <c r="C75"/>
      <c r="D75"/>
      <c r="E75"/>
      <c r="F75"/>
      <c r="G75"/>
      <c r="H75"/>
      <c r="I75"/>
      <c r="J75"/>
      <c r="K75"/>
      <c r="L75"/>
      <c r="M75"/>
      <c r="N75"/>
      <c r="O75"/>
      <c r="P75"/>
      <c r="Q75" s="29"/>
      <c r="R75" s="29"/>
      <c r="S75" s="29"/>
      <c r="T75" s="29"/>
      <c r="U75" s="29"/>
      <c r="V75" s="29"/>
      <c r="W75" s="29"/>
      <c r="X75" s="29"/>
      <c r="Y75" s="29"/>
      <c r="Z75" s="29"/>
      <c r="AA75" s="29"/>
      <c r="AB75" s="29"/>
      <c r="AC75" s="29"/>
      <c r="AD75" s="29"/>
      <c r="AE75" s="29"/>
      <c r="AF75" s="29"/>
      <c r="AG75" s="29"/>
    </row>
    <row r="76" spans="2:33" ht="15" x14ac:dyDescent="0.25">
      <c r="B76"/>
      <c r="C76"/>
      <c r="D76"/>
      <c r="E76"/>
      <c r="F76"/>
      <c r="G76"/>
      <c r="H76"/>
      <c r="I76"/>
      <c r="J76"/>
      <c r="K76"/>
      <c r="L76"/>
      <c r="M76"/>
      <c r="N76"/>
      <c r="O76"/>
      <c r="P76"/>
      <c r="Q76" s="29"/>
      <c r="R76" s="29"/>
      <c r="S76" s="29"/>
      <c r="T76" s="29"/>
      <c r="U76" s="29"/>
      <c r="V76" s="29"/>
      <c r="W76" s="29"/>
      <c r="X76" s="29"/>
      <c r="Y76" s="29"/>
      <c r="Z76" s="29"/>
      <c r="AA76" s="29"/>
      <c r="AB76" s="29"/>
      <c r="AC76" s="29"/>
      <c r="AD76" s="29"/>
      <c r="AE76" s="29"/>
      <c r="AF76" s="29"/>
      <c r="AG76" s="29"/>
    </row>
    <row r="77" spans="2:33" ht="15" x14ac:dyDescent="0.25">
      <c r="B77"/>
      <c r="C77"/>
      <c r="D77"/>
      <c r="E77"/>
      <c r="F77"/>
      <c r="G77"/>
      <c r="H77"/>
      <c r="I77"/>
      <c r="J77"/>
      <c r="K77"/>
      <c r="L77"/>
      <c r="M77"/>
      <c r="N77"/>
      <c r="O77"/>
      <c r="P77"/>
      <c r="Q77" s="29"/>
      <c r="R77" s="29"/>
      <c r="S77" s="29"/>
      <c r="T77" s="29"/>
      <c r="U77" s="29"/>
      <c r="V77" s="29"/>
      <c r="W77" s="29"/>
      <c r="X77" s="29"/>
      <c r="Y77" s="29"/>
      <c r="Z77" s="29"/>
      <c r="AA77" s="29"/>
      <c r="AB77" s="29"/>
      <c r="AC77" s="29"/>
      <c r="AD77" s="29"/>
      <c r="AE77" s="29"/>
      <c r="AF77" s="29"/>
      <c r="AG77" s="29"/>
    </row>
    <row r="78" spans="2:33" ht="15" x14ac:dyDescent="0.25">
      <c r="B78"/>
      <c r="C78"/>
      <c r="D78"/>
      <c r="E78"/>
      <c r="F78"/>
      <c r="G78"/>
      <c r="H78"/>
      <c r="I78"/>
      <c r="J78"/>
      <c r="K78"/>
      <c r="L78"/>
      <c r="M78"/>
      <c r="N78"/>
      <c r="O78"/>
      <c r="P78"/>
      <c r="Q78" s="29"/>
      <c r="R78" s="29"/>
      <c r="S78" s="29"/>
      <c r="T78" s="29"/>
      <c r="U78" s="29"/>
      <c r="V78" s="29"/>
      <c r="W78" s="29"/>
      <c r="X78" s="29"/>
      <c r="Y78" s="29"/>
      <c r="Z78" s="29"/>
    </row>
    <row r="79" spans="2:33" ht="15" x14ac:dyDescent="0.25">
      <c r="B79"/>
      <c r="C79"/>
      <c r="D79"/>
      <c r="E79"/>
      <c r="F79"/>
      <c r="G79"/>
      <c r="H79"/>
      <c r="I79"/>
      <c r="J79"/>
      <c r="K79"/>
      <c r="L79"/>
      <c r="M79"/>
      <c r="N79"/>
      <c r="O79"/>
      <c r="P79"/>
      <c r="Q79" s="29"/>
      <c r="R79" s="29"/>
      <c r="S79" s="29"/>
      <c r="T79" s="29"/>
      <c r="U79" s="29"/>
      <c r="V79" s="29"/>
      <c r="W79" s="29"/>
      <c r="X79" s="29"/>
      <c r="Y79" s="29"/>
      <c r="Z79" s="29"/>
    </row>
    <row r="80" spans="2:33" ht="15" x14ac:dyDescent="0.25">
      <c r="B80"/>
      <c r="C80"/>
      <c r="D80"/>
      <c r="E80"/>
      <c r="F80"/>
      <c r="G80"/>
      <c r="H80"/>
      <c r="I80"/>
      <c r="J80"/>
      <c r="K80"/>
      <c r="L80"/>
      <c r="M80"/>
      <c r="N80"/>
      <c r="O80"/>
      <c r="P80"/>
      <c r="Q80" s="29"/>
      <c r="R80" s="29"/>
      <c r="S80" s="29"/>
      <c r="T80" s="29"/>
      <c r="U80" s="29"/>
      <c r="V80" s="29"/>
      <c r="W80" s="29"/>
      <c r="X80" s="29"/>
      <c r="Y80" s="29"/>
      <c r="Z80" s="29"/>
    </row>
    <row r="81" spans="2:26" ht="15" x14ac:dyDescent="0.25">
      <c r="B81"/>
      <c r="C81"/>
      <c r="D81"/>
      <c r="E81"/>
      <c r="F81"/>
      <c r="G81"/>
      <c r="H81"/>
      <c r="I81"/>
      <c r="J81"/>
      <c r="K81"/>
      <c r="L81"/>
      <c r="M81"/>
      <c r="N81"/>
      <c r="O81"/>
      <c r="P81"/>
      <c r="Q81" s="29"/>
      <c r="R81" s="29"/>
      <c r="S81" s="29"/>
      <c r="T81" s="29"/>
      <c r="U81" s="29"/>
      <c r="V81" s="29"/>
      <c r="W81" s="29"/>
      <c r="X81" s="29"/>
      <c r="Y81" s="29"/>
      <c r="Z81" s="29"/>
    </row>
    <row r="82" spans="2:26" ht="15" x14ac:dyDescent="0.25">
      <c r="B82"/>
      <c r="C82"/>
      <c r="D82"/>
      <c r="E82"/>
      <c r="F82"/>
      <c r="G82"/>
      <c r="H82"/>
      <c r="I82"/>
      <c r="J82"/>
      <c r="K82"/>
      <c r="L82"/>
      <c r="M82"/>
      <c r="N82"/>
      <c r="O82"/>
      <c r="P82"/>
      <c r="Q82" s="29"/>
      <c r="R82" s="29"/>
      <c r="S82" s="29"/>
      <c r="T82" s="29"/>
      <c r="U82" s="29"/>
      <c r="V82" s="29"/>
      <c r="W82" s="29"/>
      <c r="X82" s="29"/>
      <c r="Y82" s="29"/>
      <c r="Z82" s="29"/>
    </row>
    <row r="83" spans="2:26" ht="15" x14ac:dyDescent="0.25">
      <c r="B83"/>
      <c r="C83"/>
      <c r="D83"/>
      <c r="E83"/>
      <c r="F83"/>
      <c r="G83"/>
      <c r="H83"/>
      <c r="I83"/>
      <c r="J83"/>
      <c r="K83"/>
      <c r="L83"/>
      <c r="M83"/>
      <c r="N83"/>
      <c r="O83"/>
      <c r="P83"/>
      <c r="Q83" s="29"/>
      <c r="R83" s="29"/>
      <c r="S83" s="29"/>
      <c r="T83" s="29"/>
      <c r="U83" s="29"/>
      <c r="V83" s="29"/>
      <c r="W83" s="29"/>
      <c r="X83" s="29"/>
      <c r="Y83" s="29"/>
      <c r="Z83" s="29"/>
    </row>
    <row r="84" spans="2:26" ht="15" x14ac:dyDescent="0.25">
      <c r="B84"/>
      <c r="C84"/>
      <c r="D84"/>
      <c r="E84"/>
      <c r="F84"/>
      <c r="G84"/>
      <c r="H84"/>
      <c r="I84"/>
      <c r="J84"/>
      <c r="K84"/>
      <c r="L84"/>
      <c r="M84"/>
      <c r="N84"/>
      <c r="O84"/>
      <c r="P84"/>
      <c r="Q84" s="29"/>
      <c r="R84" s="29"/>
      <c r="S84" s="29"/>
      <c r="T84" s="29"/>
      <c r="U84" s="29"/>
      <c r="V84" s="29"/>
      <c r="W84" s="29"/>
      <c r="X84" s="29"/>
      <c r="Y84" s="29"/>
      <c r="Z84" s="29"/>
    </row>
    <row r="85" spans="2:26" ht="15" x14ac:dyDescent="0.25">
      <c r="B85"/>
      <c r="C85"/>
      <c r="D85"/>
      <c r="E85"/>
      <c r="F85"/>
      <c r="G85"/>
      <c r="H85"/>
      <c r="I85"/>
      <c r="J85"/>
      <c r="K85"/>
      <c r="L85"/>
      <c r="M85"/>
      <c r="N85"/>
      <c r="O85"/>
      <c r="P85"/>
      <c r="Q85" s="29"/>
      <c r="R85" s="29"/>
      <c r="S85" s="29"/>
      <c r="T85" s="29"/>
      <c r="U85" s="29"/>
      <c r="V85" s="29"/>
      <c r="W85" s="29"/>
      <c r="X85" s="29"/>
      <c r="Y85" s="29"/>
      <c r="Z85" s="29"/>
    </row>
    <row r="86" spans="2:26" ht="15" x14ac:dyDescent="0.25">
      <c r="B86"/>
      <c r="C86"/>
      <c r="D86"/>
      <c r="E86"/>
      <c r="F86"/>
      <c r="G86"/>
      <c r="H86"/>
      <c r="I86"/>
      <c r="J86"/>
      <c r="K86"/>
      <c r="L86"/>
      <c r="M86"/>
      <c r="N86"/>
      <c r="O86"/>
      <c r="P86"/>
      <c r="Q86" s="29"/>
      <c r="R86" s="29"/>
      <c r="S86" s="29"/>
      <c r="T86" s="29"/>
      <c r="U86" s="29"/>
      <c r="V86" s="29"/>
      <c r="W86" s="29"/>
      <c r="X86" s="29"/>
      <c r="Y86" s="29"/>
      <c r="Z86" s="29"/>
    </row>
    <row r="87" spans="2:26" ht="15" x14ac:dyDescent="0.25">
      <c r="B87"/>
      <c r="C87"/>
      <c r="D87"/>
      <c r="E87"/>
      <c r="F87"/>
      <c r="G87"/>
      <c r="H87"/>
      <c r="I87"/>
      <c r="J87"/>
      <c r="K87"/>
      <c r="L87"/>
      <c r="M87"/>
      <c r="N87"/>
      <c r="O87"/>
      <c r="P87"/>
      <c r="Q87" s="29"/>
      <c r="R87" s="29"/>
      <c r="S87" s="29"/>
      <c r="T87" s="29"/>
      <c r="U87" s="29"/>
      <c r="V87" s="29"/>
      <c r="W87" s="29"/>
      <c r="X87" s="29"/>
      <c r="Y87" s="29"/>
      <c r="Z87" s="29"/>
    </row>
    <row r="88" spans="2:26" ht="15" x14ac:dyDescent="0.25">
      <c r="B88"/>
      <c r="C88"/>
      <c r="D88"/>
      <c r="E88"/>
      <c r="F88"/>
      <c r="G88"/>
      <c r="H88"/>
      <c r="I88"/>
      <c r="J88"/>
      <c r="K88"/>
      <c r="L88"/>
      <c r="M88"/>
      <c r="N88"/>
      <c r="O88"/>
      <c r="P88"/>
      <c r="Q88" s="29"/>
      <c r="R88" s="29"/>
      <c r="S88" s="29"/>
      <c r="T88" s="29"/>
      <c r="U88" s="29"/>
      <c r="V88" s="29"/>
      <c r="W88" s="29"/>
      <c r="X88" s="29"/>
      <c r="Y88" s="29"/>
      <c r="Z88" s="29"/>
    </row>
    <row r="89" spans="2:26" ht="15" x14ac:dyDescent="0.25">
      <c r="B89"/>
      <c r="C89"/>
      <c r="D89"/>
      <c r="E89"/>
      <c r="F89"/>
      <c r="G89"/>
      <c r="H89"/>
      <c r="I89"/>
      <c r="J89"/>
      <c r="K89"/>
      <c r="L89"/>
      <c r="M89"/>
      <c r="N89"/>
      <c r="O89"/>
      <c r="P89"/>
      <c r="Q89" s="29"/>
      <c r="R89" s="29"/>
      <c r="S89" s="29"/>
      <c r="T89" s="29"/>
      <c r="U89" s="29"/>
      <c r="V89" s="29"/>
      <c r="W89" s="29"/>
      <c r="X89" s="29"/>
      <c r="Y89" s="29"/>
      <c r="Z89" s="29"/>
    </row>
    <row r="90" spans="2:26" ht="15" x14ac:dyDescent="0.25">
      <c r="B90"/>
      <c r="C90"/>
      <c r="D90"/>
      <c r="E90"/>
      <c r="F90"/>
      <c r="G90"/>
      <c r="H90"/>
      <c r="I90"/>
      <c r="J90"/>
      <c r="K90"/>
      <c r="L90"/>
      <c r="M90"/>
      <c r="N90"/>
      <c r="O90"/>
      <c r="P90"/>
      <c r="Q90" s="29"/>
      <c r="R90" s="29"/>
      <c r="S90" s="29"/>
      <c r="T90" s="29"/>
      <c r="U90" s="29"/>
      <c r="V90" s="29"/>
      <c r="W90" s="29"/>
      <c r="X90" s="29"/>
      <c r="Y90" s="29"/>
      <c r="Z90" s="29"/>
    </row>
    <row r="91" spans="2:26" ht="15" x14ac:dyDescent="0.25">
      <c r="B91"/>
      <c r="C91"/>
      <c r="D91"/>
      <c r="E91"/>
      <c r="F91"/>
      <c r="G91"/>
      <c r="H91"/>
      <c r="I91"/>
      <c r="J91"/>
      <c r="K91"/>
      <c r="L91"/>
      <c r="M91"/>
      <c r="N91"/>
      <c r="O91"/>
      <c r="P91"/>
      <c r="Q91" s="29"/>
      <c r="R91" s="29"/>
      <c r="S91" s="29"/>
      <c r="T91" s="29"/>
      <c r="U91" s="29"/>
      <c r="V91" s="29"/>
      <c r="W91" s="29"/>
      <c r="X91" s="29"/>
      <c r="Y91" s="29"/>
      <c r="Z91" s="29"/>
    </row>
    <row r="92" spans="2:26" ht="15" x14ac:dyDescent="0.25">
      <c r="B92"/>
      <c r="C92"/>
      <c r="D92"/>
      <c r="E92"/>
      <c r="F92"/>
      <c r="G92"/>
      <c r="H92"/>
      <c r="I92"/>
      <c r="J92"/>
      <c r="K92"/>
      <c r="L92"/>
      <c r="M92"/>
      <c r="N92"/>
      <c r="O92"/>
      <c r="P92"/>
      <c r="Q92" s="29"/>
      <c r="R92" s="29"/>
      <c r="S92" s="29"/>
      <c r="T92" s="29"/>
      <c r="U92" s="29"/>
      <c r="V92" s="29"/>
      <c r="W92" s="29"/>
      <c r="X92" s="29"/>
      <c r="Y92" s="29"/>
      <c r="Z92" s="29"/>
    </row>
    <row r="93" spans="2:26" ht="15" x14ac:dyDescent="0.25">
      <c r="B93"/>
      <c r="C93"/>
      <c r="D93"/>
      <c r="E93"/>
      <c r="F93"/>
      <c r="G93"/>
      <c r="H93"/>
      <c r="I93"/>
      <c r="J93"/>
      <c r="K93"/>
      <c r="L93"/>
      <c r="M93"/>
      <c r="N93"/>
      <c r="O93"/>
      <c r="P93"/>
      <c r="Q93" s="29"/>
      <c r="R93" s="29"/>
      <c r="S93" s="29"/>
      <c r="T93" s="29"/>
      <c r="U93" s="29"/>
      <c r="V93" s="29"/>
      <c r="W93" s="29"/>
      <c r="X93" s="29"/>
      <c r="Y93" s="29"/>
      <c r="Z93" s="29"/>
    </row>
    <row r="94" spans="2:26" ht="15" x14ac:dyDescent="0.25">
      <c r="B94"/>
      <c r="C94"/>
      <c r="D94"/>
      <c r="E94"/>
      <c r="F94"/>
      <c r="G94"/>
      <c r="H94"/>
      <c r="I94"/>
      <c r="J94"/>
      <c r="K94"/>
      <c r="L94"/>
      <c r="M94"/>
      <c r="N94"/>
      <c r="O94"/>
      <c r="P94"/>
      <c r="Q94" s="29"/>
      <c r="R94" s="29"/>
      <c r="S94" s="29"/>
      <c r="T94" s="29"/>
      <c r="U94" s="29"/>
      <c r="V94" s="29"/>
      <c r="W94" s="29"/>
      <c r="X94" s="29"/>
      <c r="Y94" s="29"/>
      <c r="Z94" s="29"/>
    </row>
    <row r="95" spans="2:26" ht="15" x14ac:dyDescent="0.25">
      <c r="B95"/>
      <c r="C95"/>
      <c r="D95"/>
      <c r="E95"/>
      <c r="F95"/>
      <c r="G95"/>
      <c r="H95"/>
      <c r="I95"/>
      <c r="J95"/>
      <c r="K95"/>
      <c r="L95"/>
      <c r="M95"/>
      <c r="N95"/>
      <c r="O95"/>
      <c r="P95"/>
      <c r="Q95" s="29"/>
      <c r="R95" s="29"/>
      <c r="S95" s="29"/>
      <c r="T95" s="29"/>
      <c r="U95" s="29"/>
      <c r="V95" s="29"/>
      <c r="W95" s="29"/>
      <c r="X95" s="29"/>
      <c r="Y95" s="29"/>
      <c r="Z95" s="29"/>
    </row>
    <row r="96" spans="2:26" ht="15" x14ac:dyDescent="0.25">
      <c r="B96"/>
      <c r="C96"/>
      <c r="D96"/>
      <c r="E96"/>
      <c r="F96"/>
      <c r="G96"/>
      <c r="H96"/>
      <c r="I96"/>
      <c r="J96"/>
      <c r="K96"/>
      <c r="L96"/>
      <c r="M96"/>
      <c r="N96"/>
      <c r="O96"/>
      <c r="P96"/>
      <c r="Q96" s="29"/>
      <c r="R96" s="29"/>
      <c r="S96" s="29"/>
      <c r="T96" s="29"/>
      <c r="U96" s="29"/>
      <c r="V96" s="29"/>
      <c r="W96" s="29"/>
      <c r="X96" s="29"/>
      <c r="Y96" s="29"/>
      <c r="Z96" s="29"/>
    </row>
    <row r="97" spans="2:26" ht="15" x14ac:dyDescent="0.25">
      <c r="B97"/>
      <c r="C97"/>
      <c r="D97"/>
      <c r="E97"/>
      <c r="F97"/>
      <c r="G97"/>
      <c r="H97"/>
      <c r="I97"/>
      <c r="J97"/>
      <c r="K97"/>
      <c r="L97"/>
      <c r="M97"/>
      <c r="N97"/>
      <c r="O97"/>
      <c r="P97"/>
      <c r="Q97" s="29"/>
      <c r="R97" s="29"/>
      <c r="S97" s="29"/>
      <c r="T97" s="29"/>
      <c r="U97" s="29"/>
      <c r="V97" s="29"/>
      <c r="W97" s="29"/>
      <c r="X97" s="29"/>
      <c r="Y97" s="29"/>
      <c r="Z97" s="29"/>
    </row>
    <row r="98" spans="2:26" ht="15" x14ac:dyDescent="0.25">
      <c r="B98"/>
      <c r="C98"/>
      <c r="D98"/>
      <c r="E98"/>
      <c r="F98"/>
      <c r="G98"/>
      <c r="H98"/>
      <c r="I98"/>
      <c r="J98"/>
      <c r="K98"/>
      <c r="L98"/>
      <c r="M98"/>
      <c r="N98"/>
      <c r="O98"/>
      <c r="P98"/>
      <c r="Q98" s="29"/>
      <c r="R98" s="29"/>
      <c r="S98" s="29"/>
      <c r="T98" s="29"/>
      <c r="U98" s="29"/>
      <c r="V98" s="29"/>
      <c r="W98" s="29"/>
      <c r="X98" s="29"/>
      <c r="Y98" s="29"/>
      <c r="Z98" s="29"/>
    </row>
    <row r="99" spans="2:26" ht="15" x14ac:dyDescent="0.25">
      <c r="B99"/>
      <c r="C99"/>
      <c r="D99"/>
      <c r="E99"/>
      <c r="F99"/>
      <c r="G99"/>
      <c r="H99"/>
      <c r="I99"/>
      <c r="J99"/>
      <c r="K99"/>
      <c r="L99"/>
      <c r="M99"/>
      <c r="N99"/>
      <c r="O99"/>
      <c r="P99"/>
      <c r="Q99" s="29"/>
      <c r="R99" s="29"/>
      <c r="S99" s="29"/>
      <c r="T99" s="29"/>
      <c r="U99" s="29"/>
      <c r="V99" s="29"/>
      <c r="W99" s="29"/>
      <c r="X99" s="29"/>
      <c r="Y99" s="29"/>
      <c r="Z99" s="29"/>
    </row>
    <row r="100" spans="2:26" ht="15" x14ac:dyDescent="0.25">
      <c r="B100"/>
      <c r="C100"/>
      <c r="D100"/>
      <c r="E100"/>
      <c r="F100"/>
      <c r="G100"/>
      <c r="H100"/>
      <c r="I100"/>
      <c r="J100"/>
      <c r="K100"/>
      <c r="L100"/>
      <c r="M100"/>
      <c r="N100"/>
      <c r="O100"/>
      <c r="P100"/>
      <c r="Q100" s="29"/>
      <c r="R100" s="29"/>
      <c r="S100" s="29"/>
      <c r="T100" s="29"/>
      <c r="U100" s="29"/>
      <c r="V100" s="29"/>
      <c r="W100" s="29"/>
      <c r="X100" s="29"/>
      <c r="Y100" s="29"/>
      <c r="Z100" s="29"/>
    </row>
    <row r="101" spans="2:26" ht="15" x14ac:dyDescent="0.25">
      <c r="B101"/>
      <c r="C101"/>
      <c r="D101"/>
      <c r="E101"/>
      <c r="F101"/>
      <c r="G101"/>
      <c r="H101"/>
      <c r="I101"/>
      <c r="J101"/>
      <c r="K101"/>
      <c r="L101"/>
      <c r="M101"/>
      <c r="N101"/>
      <c r="O101"/>
      <c r="P101"/>
      <c r="Q101" s="29"/>
      <c r="R101" s="29"/>
      <c r="S101" s="29"/>
      <c r="T101" s="29"/>
      <c r="U101" s="29"/>
      <c r="V101" s="29"/>
      <c r="W101" s="29"/>
      <c r="X101" s="29"/>
      <c r="Y101" s="29"/>
      <c r="Z101" s="29"/>
    </row>
    <row r="102" spans="2:26" ht="15" x14ac:dyDescent="0.25">
      <c r="B102"/>
      <c r="C102"/>
      <c r="D102"/>
      <c r="E102"/>
      <c r="F102"/>
      <c r="G102"/>
      <c r="H102"/>
      <c r="I102"/>
      <c r="J102"/>
      <c r="K102"/>
      <c r="L102"/>
      <c r="M102"/>
      <c r="N102"/>
      <c r="O102"/>
      <c r="P102"/>
      <c r="Q102" s="29"/>
      <c r="R102" s="29"/>
      <c r="S102" s="29"/>
      <c r="T102" s="29"/>
      <c r="U102" s="29"/>
      <c r="V102" s="29"/>
      <c r="W102" s="29"/>
      <c r="X102" s="29"/>
      <c r="Y102" s="29"/>
      <c r="Z102" s="29"/>
    </row>
    <row r="103" spans="2:26" ht="15" x14ac:dyDescent="0.25">
      <c r="B103"/>
      <c r="C103"/>
      <c r="D103"/>
      <c r="E103"/>
      <c r="F103"/>
      <c r="G103"/>
      <c r="H103"/>
      <c r="I103"/>
      <c r="J103"/>
      <c r="K103"/>
      <c r="L103"/>
      <c r="M103"/>
      <c r="N103"/>
      <c r="O103"/>
      <c r="P103"/>
      <c r="Q103" s="29"/>
      <c r="R103" s="29"/>
      <c r="S103" s="29"/>
      <c r="T103" s="29"/>
      <c r="U103" s="29"/>
      <c r="V103" s="29"/>
      <c r="W103" s="29"/>
      <c r="X103" s="29"/>
      <c r="Y103" s="29"/>
      <c r="Z103" s="29"/>
    </row>
    <row r="104" spans="2:26" ht="15" x14ac:dyDescent="0.25">
      <c r="B104"/>
      <c r="C104"/>
      <c r="D104"/>
      <c r="E104"/>
      <c r="F104"/>
      <c r="G104"/>
      <c r="H104"/>
      <c r="I104"/>
      <c r="J104"/>
      <c r="K104"/>
      <c r="L104"/>
      <c r="M104"/>
      <c r="N104"/>
      <c r="O104"/>
      <c r="P104"/>
      <c r="Q104" s="29"/>
      <c r="R104" s="29"/>
      <c r="S104" s="29"/>
      <c r="T104" s="29"/>
      <c r="U104" s="29"/>
      <c r="V104" s="29"/>
      <c r="W104" s="29"/>
      <c r="X104" s="29"/>
      <c r="Y104" s="29"/>
      <c r="Z104" s="29"/>
    </row>
    <row r="105" spans="2:26" ht="15" x14ac:dyDescent="0.25">
      <c r="B105"/>
      <c r="C105"/>
      <c r="D105"/>
      <c r="E105"/>
      <c r="F105"/>
      <c r="G105"/>
      <c r="H105"/>
      <c r="I105"/>
      <c r="J105"/>
      <c r="K105"/>
      <c r="L105"/>
      <c r="M105"/>
      <c r="N105"/>
      <c r="O105"/>
      <c r="P105"/>
      <c r="Q105" s="29"/>
      <c r="R105" s="29"/>
      <c r="S105" s="29"/>
      <c r="T105" s="29"/>
      <c r="U105" s="29"/>
      <c r="V105" s="29"/>
      <c r="W105" s="29"/>
      <c r="X105" s="29"/>
      <c r="Y105" s="29"/>
      <c r="Z105" s="29"/>
    </row>
    <row r="106" spans="2:26" ht="15" x14ac:dyDescent="0.25">
      <c r="B106"/>
      <c r="C106"/>
      <c r="D106"/>
      <c r="E106"/>
      <c r="F106"/>
      <c r="G106"/>
      <c r="H106"/>
      <c r="I106"/>
      <c r="J106"/>
      <c r="K106"/>
      <c r="L106"/>
      <c r="M106"/>
      <c r="N106"/>
      <c r="O106"/>
      <c r="P106"/>
      <c r="Q106" s="29"/>
      <c r="R106" s="29"/>
      <c r="S106" s="29"/>
      <c r="T106" s="29"/>
      <c r="U106" s="29"/>
      <c r="V106" s="29"/>
      <c r="W106" s="29"/>
      <c r="X106" s="29"/>
      <c r="Y106" s="29"/>
      <c r="Z106" s="29"/>
    </row>
    <row r="107" spans="2:26" ht="15" x14ac:dyDescent="0.25">
      <c r="B107"/>
      <c r="C107"/>
      <c r="D107"/>
      <c r="E107"/>
      <c r="F107"/>
      <c r="G107"/>
      <c r="H107"/>
      <c r="I107"/>
      <c r="J107"/>
      <c r="K107"/>
      <c r="L107"/>
      <c r="M107"/>
      <c r="N107"/>
      <c r="O107"/>
      <c r="P107"/>
      <c r="Q107" s="29"/>
      <c r="R107" s="29"/>
      <c r="S107" s="29"/>
      <c r="T107" s="29"/>
      <c r="U107" s="29"/>
      <c r="V107" s="29"/>
      <c r="W107" s="29"/>
      <c r="X107" s="29"/>
      <c r="Y107" s="29"/>
      <c r="Z107" s="29"/>
    </row>
    <row r="108" spans="2:26" ht="15" x14ac:dyDescent="0.25">
      <c r="B108"/>
      <c r="C108"/>
      <c r="D108"/>
      <c r="E108"/>
      <c r="F108"/>
      <c r="G108"/>
      <c r="H108"/>
      <c r="I108"/>
      <c r="J108"/>
      <c r="K108"/>
      <c r="L108"/>
      <c r="M108"/>
      <c r="N108"/>
      <c r="O108"/>
      <c r="P108"/>
      <c r="Q108" s="29"/>
      <c r="R108" s="29"/>
      <c r="S108" s="29"/>
      <c r="T108" s="29"/>
      <c r="U108" s="29"/>
      <c r="V108" s="29"/>
      <c r="W108" s="29"/>
      <c r="X108" s="29"/>
      <c r="Y108" s="29"/>
      <c r="Z108" s="29"/>
    </row>
    <row r="109" spans="2:26" ht="15" x14ac:dyDescent="0.25">
      <c r="B109"/>
      <c r="C109"/>
      <c r="D109"/>
      <c r="E109"/>
      <c r="F109"/>
      <c r="G109"/>
      <c r="H109"/>
      <c r="I109"/>
      <c r="J109"/>
      <c r="K109"/>
      <c r="L109"/>
      <c r="M109"/>
      <c r="N109"/>
      <c r="O109"/>
      <c r="P109"/>
      <c r="Q109" s="29"/>
      <c r="R109" s="29"/>
      <c r="S109" s="29"/>
      <c r="T109" s="29"/>
      <c r="U109" s="29"/>
      <c r="V109" s="29"/>
      <c r="W109" s="29"/>
      <c r="X109" s="29"/>
      <c r="Y109" s="29"/>
      <c r="Z109" s="29"/>
    </row>
    <row r="110" spans="2:26" ht="15" x14ac:dyDescent="0.25">
      <c r="B110"/>
      <c r="C110"/>
      <c r="D110"/>
      <c r="E110"/>
      <c r="F110"/>
      <c r="G110"/>
      <c r="H110"/>
      <c r="I110"/>
      <c r="J110"/>
      <c r="K110"/>
      <c r="L110"/>
      <c r="M110"/>
      <c r="N110"/>
      <c r="O110"/>
      <c r="P110"/>
      <c r="Q110" s="29"/>
      <c r="R110" s="29"/>
      <c r="S110" s="29"/>
      <c r="T110" s="29"/>
      <c r="U110" s="29"/>
      <c r="V110" s="29"/>
      <c r="W110" s="29"/>
      <c r="X110" s="29"/>
      <c r="Y110" s="29"/>
      <c r="Z110" s="29"/>
    </row>
    <row r="111" spans="2:26" ht="15" x14ac:dyDescent="0.25">
      <c r="B111"/>
      <c r="C111"/>
      <c r="D111"/>
      <c r="E111"/>
      <c r="F111"/>
      <c r="G111"/>
      <c r="H111"/>
      <c r="I111"/>
      <c r="J111"/>
      <c r="K111"/>
      <c r="L111"/>
      <c r="M111"/>
      <c r="N111"/>
      <c r="O111"/>
      <c r="P111"/>
      <c r="Q111" s="29"/>
      <c r="R111" s="29"/>
      <c r="S111" s="29"/>
      <c r="T111" s="29"/>
      <c r="U111" s="29"/>
      <c r="V111" s="29"/>
      <c r="W111" s="29"/>
      <c r="X111" s="29"/>
      <c r="Y111" s="29"/>
      <c r="Z111" s="29"/>
    </row>
    <row r="112" spans="2:26" ht="15" x14ac:dyDescent="0.25">
      <c r="B112"/>
      <c r="C112"/>
      <c r="D112"/>
      <c r="E112"/>
      <c r="F112"/>
      <c r="G112"/>
      <c r="H112"/>
      <c r="I112"/>
      <c r="J112"/>
      <c r="K112"/>
      <c r="L112"/>
      <c r="M112"/>
      <c r="N112"/>
      <c r="O112"/>
      <c r="P112"/>
      <c r="Q112" s="29"/>
      <c r="R112" s="29"/>
      <c r="S112" s="29"/>
      <c r="T112" s="29"/>
      <c r="U112" s="29"/>
      <c r="V112" s="29"/>
      <c r="W112" s="29"/>
      <c r="X112" s="29"/>
      <c r="Y112" s="29"/>
      <c r="Z112" s="29"/>
    </row>
    <row r="113" spans="2:26" ht="15" x14ac:dyDescent="0.25">
      <c r="B113"/>
      <c r="C113"/>
      <c r="D113"/>
      <c r="E113"/>
      <c r="F113"/>
      <c r="G113"/>
      <c r="H113"/>
      <c r="I113"/>
      <c r="J113"/>
      <c r="K113"/>
      <c r="L113"/>
      <c r="M113"/>
      <c r="N113"/>
      <c r="O113"/>
      <c r="P113"/>
      <c r="Q113" s="29"/>
      <c r="R113" s="29"/>
      <c r="S113" s="29"/>
      <c r="T113" s="29"/>
      <c r="U113" s="29"/>
      <c r="V113" s="29"/>
      <c r="W113" s="29"/>
      <c r="X113" s="29"/>
      <c r="Y113" s="29"/>
      <c r="Z113" s="29"/>
    </row>
    <row r="114" spans="2:26" ht="15" x14ac:dyDescent="0.25">
      <c r="B114"/>
      <c r="C114"/>
      <c r="D114"/>
      <c r="E114"/>
      <c r="F114"/>
      <c r="G114"/>
      <c r="H114"/>
      <c r="I114"/>
      <c r="J114"/>
      <c r="K114"/>
      <c r="L114"/>
      <c r="M114"/>
      <c r="N114"/>
      <c r="O114"/>
      <c r="P114"/>
      <c r="Q114" s="29"/>
      <c r="R114" s="29"/>
      <c r="S114" s="29"/>
      <c r="T114" s="29"/>
      <c r="U114" s="29"/>
      <c r="V114" s="29"/>
      <c r="W114" s="29"/>
      <c r="X114" s="29"/>
      <c r="Y114" s="29"/>
      <c r="Z114" s="29"/>
    </row>
    <row r="115" spans="2:26" ht="15" x14ac:dyDescent="0.25">
      <c r="B115"/>
      <c r="C115"/>
      <c r="D115"/>
      <c r="E115"/>
      <c r="F115"/>
      <c r="G115"/>
      <c r="H115"/>
      <c r="I115"/>
      <c r="J115"/>
      <c r="K115"/>
      <c r="L115"/>
      <c r="M115"/>
      <c r="N115"/>
      <c r="O115"/>
      <c r="P115"/>
      <c r="Q115" s="29"/>
      <c r="R115" s="29"/>
      <c r="S115" s="29"/>
      <c r="T115" s="29"/>
      <c r="U115" s="29"/>
      <c r="V115" s="29"/>
      <c r="W115" s="29"/>
      <c r="X115" s="29"/>
      <c r="Y115" s="29"/>
      <c r="Z115" s="29"/>
    </row>
    <row r="116" spans="2:26" ht="15" x14ac:dyDescent="0.25">
      <c r="B116"/>
      <c r="C116"/>
      <c r="D116"/>
      <c r="E116"/>
      <c r="F116"/>
      <c r="G116"/>
      <c r="H116"/>
      <c r="I116"/>
      <c r="J116"/>
      <c r="K116"/>
      <c r="L116"/>
      <c r="M116"/>
      <c r="N116"/>
      <c r="O116"/>
      <c r="P116"/>
      <c r="Q116" s="29"/>
      <c r="R116" s="29"/>
      <c r="S116" s="29"/>
      <c r="T116" s="29"/>
      <c r="U116" s="29"/>
      <c r="V116" s="29"/>
      <c r="W116" s="29"/>
      <c r="X116" s="29"/>
      <c r="Y116" s="29"/>
      <c r="Z116" s="29"/>
    </row>
    <row r="117" spans="2:26" ht="15" x14ac:dyDescent="0.25">
      <c r="B117"/>
      <c r="C117"/>
      <c r="D117"/>
      <c r="E117"/>
      <c r="F117"/>
      <c r="G117"/>
      <c r="H117"/>
      <c r="I117"/>
      <c r="J117"/>
      <c r="K117"/>
      <c r="L117"/>
      <c r="M117"/>
      <c r="N117"/>
      <c r="O117"/>
      <c r="P117"/>
      <c r="Q117" s="29"/>
      <c r="R117" s="29"/>
      <c r="S117" s="29"/>
      <c r="T117" s="29"/>
      <c r="U117" s="29"/>
      <c r="V117" s="29"/>
      <c r="W117" s="29"/>
      <c r="X117" s="29"/>
      <c r="Y117" s="29"/>
      <c r="Z117" s="29"/>
    </row>
    <row r="118" spans="2:26" ht="15" x14ac:dyDescent="0.25">
      <c r="B118"/>
      <c r="C118"/>
      <c r="D118"/>
      <c r="E118"/>
      <c r="F118"/>
      <c r="G118"/>
      <c r="H118"/>
      <c r="I118"/>
      <c r="J118"/>
      <c r="K118"/>
      <c r="L118"/>
      <c r="M118"/>
      <c r="N118"/>
      <c r="O118"/>
      <c r="P118"/>
      <c r="Q118" s="29"/>
      <c r="R118" s="29"/>
      <c r="S118" s="29"/>
      <c r="T118" s="29"/>
      <c r="U118" s="29"/>
      <c r="V118" s="29"/>
      <c r="W118" s="29"/>
      <c r="X118" s="29"/>
      <c r="Y118" s="29"/>
      <c r="Z118" s="29"/>
    </row>
    <row r="119" spans="2:26" ht="15" x14ac:dyDescent="0.25">
      <c r="B119"/>
      <c r="C119"/>
      <c r="D119"/>
      <c r="E119"/>
      <c r="F119"/>
      <c r="G119"/>
      <c r="H119"/>
      <c r="I119"/>
      <c r="J119"/>
      <c r="K119"/>
      <c r="L119"/>
      <c r="M119"/>
      <c r="N119"/>
      <c r="O119"/>
      <c r="P119"/>
      <c r="Q119" s="29"/>
      <c r="R119" s="29"/>
      <c r="S119" s="29"/>
      <c r="T119" s="29"/>
      <c r="U119" s="29"/>
      <c r="V119" s="29"/>
      <c r="W119" s="29"/>
      <c r="X119" s="29"/>
      <c r="Y119" s="29"/>
      <c r="Z119" s="29"/>
    </row>
    <row r="120" spans="2:26" ht="15" x14ac:dyDescent="0.25">
      <c r="B120"/>
      <c r="C120"/>
      <c r="D120"/>
      <c r="E120"/>
      <c r="F120"/>
      <c r="G120"/>
      <c r="H120"/>
      <c r="I120"/>
      <c r="J120"/>
      <c r="K120"/>
      <c r="L120"/>
      <c r="M120"/>
      <c r="N120"/>
      <c r="O120"/>
      <c r="P120"/>
      <c r="Q120" s="29"/>
      <c r="R120" s="29"/>
      <c r="S120" s="29"/>
      <c r="T120" s="29"/>
      <c r="U120" s="29"/>
      <c r="V120" s="29"/>
      <c r="W120" s="29"/>
      <c r="X120" s="29"/>
      <c r="Y120" s="29"/>
      <c r="Z120" s="29"/>
    </row>
    <row r="121" spans="2:26" ht="15" x14ac:dyDescent="0.25">
      <c r="B121"/>
      <c r="C121"/>
      <c r="D121"/>
      <c r="E121"/>
      <c r="F121"/>
      <c r="G121"/>
      <c r="H121"/>
      <c r="I121"/>
      <c r="J121"/>
      <c r="K121"/>
      <c r="L121"/>
      <c r="M121"/>
      <c r="N121"/>
      <c r="O121"/>
      <c r="P121"/>
      <c r="Q121" s="29"/>
      <c r="R121" s="29"/>
      <c r="S121" s="29"/>
      <c r="T121" s="29"/>
      <c r="U121" s="29"/>
      <c r="V121" s="29"/>
      <c r="W121" s="29"/>
      <c r="X121" s="29"/>
      <c r="Y121" s="29"/>
      <c r="Z121" s="29"/>
    </row>
    <row r="122" spans="2:26" ht="15" x14ac:dyDescent="0.25">
      <c r="B122"/>
      <c r="C122"/>
      <c r="D122"/>
      <c r="E122"/>
      <c r="F122"/>
      <c r="G122"/>
      <c r="H122"/>
      <c r="I122"/>
      <c r="J122"/>
      <c r="K122"/>
      <c r="L122"/>
      <c r="M122"/>
      <c r="N122"/>
      <c r="O122"/>
      <c r="P122"/>
      <c r="Q122" s="29"/>
      <c r="R122" s="29"/>
      <c r="S122" s="29"/>
      <c r="T122" s="29"/>
      <c r="U122" s="29"/>
      <c r="V122" s="29"/>
      <c r="W122" s="29"/>
      <c r="X122" s="29"/>
      <c r="Y122" s="29"/>
      <c r="Z122" s="29"/>
    </row>
    <row r="123" spans="2:26" ht="15" x14ac:dyDescent="0.25">
      <c r="B123"/>
      <c r="C123"/>
      <c r="D123"/>
      <c r="E123"/>
      <c r="F123"/>
      <c r="G123"/>
      <c r="H123"/>
      <c r="I123"/>
      <c r="J123"/>
      <c r="K123"/>
      <c r="L123"/>
      <c r="M123"/>
      <c r="N123"/>
      <c r="O123"/>
      <c r="P123"/>
      <c r="Q123" s="29"/>
      <c r="R123" s="29"/>
      <c r="S123" s="29"/>
      <c r="T123" s="29"/>
      <c r="U123" s="29"/>
      <c r="V123" s="29"/>
      <c r="W123" s="29"/>
      <c r="X123" s="29"/>
      <c r="Y123" s="29"/>
      <c r="Z123" s="29"/>
    </row>
    <row r="124" spans="2:26" ht="15" x14ac:dyDescent="0.25">
      <c r="B124"/>
      <c r="C124"/>
      <c r="D124"/>
      <c r="E124"/>
      <c r="F124"/>
      <c r="G124"/>
      <c r="H124"/>
      <c r="I124"/>
      <c r="J124"/>
      <c r="K124"/>
      <c r="L124"/>
      <c r="M124"/>
      <c r="N124"/>
      <c r="O124"/>
      <c r="P124"/>
      <c r="Q124" s="29"/>
      <c r="R124" s="29"/>
      <c r="S124" s="29"/>
      <c r="T124" s="29"/>
      <c r="U124" s="29"/>
      <c r="V124" s="29"/>
      <c r="W124" s="29"/>
      <c r="X124" s="29"/>
      <c r="Y124" s="29"/>
      <c r="Z124" s="29"/>
    </row>
    <row r="125" spans="2:26" ht="15" x14ac:dyDescent="0.25">
      <c r="B125"/>
      <c r="C125"/>
      <c r="D125"/>
      <c r="E125"/>
      <c r="F125"/>
      <c r="G125"/>
      <c r="H125"/>
      <c r="I125"/>
      <c r="J125"/>
      <c r="K125"/>
      <c r="L125"/>
      <c r="M125"/>
      <c r="N125"/>
      <c r="O125"/>
      <c r="P125"/>
      <c r="Q125" s="29"/>
      <c r="R125" s="29"/>
      <c r="S125" s="29"/>
      <c r="T125" s="29"/>
      <c r="U125" s="29"/>
      <c r="V125" s="29"/>
      <c r="W125" s="29"/>
      <c r="X125" s="29"/>
      <c r="Y125" s="29"/>
      <c r="Z125" s="29"/>
    </row>
    <row r="126" spans="2:26" ht="15" x14ac:dyDescent="0.25">
      <c r="B126"/>
      <c r="C126"/>
      <c r="D126"/>
      <c r="E126"/>
      <c r="F126"/>
      <c r="G126"/>
      <c r="H126"/>
      <c r="I126"/>
      <c r="J126"/>
      <c r="K126"/>
      <c r="L126"/>
      <c r="M126"/>
      <c r="N126"/>
      <c r="O126"/>
      <c r="P126"/>
      <c r="Q126" s="29"/>
      <c r="R126" s="29"/>
      <c r="S126" s="29"/>
      <c r="T126" s="29"/>
      <c r="U126" s="29"/>
      <c r="V126" s="29"/>
      <c r="W126" s="29"/>
      <c r="X126" s="29"/>
      <c r="Y126" s="29"/>
      <c r="Z126" s="29"/>
    </row>
    <row r="127" spans="2:26" ht="15" x14ac:dyDescent="0.25">
      <c r="B127"/>
      <c r="C127"/>
      <c r="D127"/>
      <c r="E127"/>
      <c r="F127"/>
      <c r="G127"/>
      <c r="H127"/>
      <c r="I127"/>
      <c r="J127"/>
      <c r="K127"/>
      <c r="L127"/>
      <c r="M127"/>
      <c r="N127"/>
      <c r="O127"/>
      <c r="P127"/>
      <c r="Q127" s="29"/>
      <c r="R127" s="29"/>
      <c r="S127" s="29"/>
      <c r="T127" s="29"/>
      <c r="U127" s="29"/>
      <c r="V127" s="29"/>
      <c r="W127" s="29"/>
      <c r="X127" s="29"/>
      <c r="Y127" s="29"/>
      <c r="Z127" s="29"/>
    </row>
    <row r="128" spans="2:26" ht="15" x14ac:dyDescent="0.25">
      <c r="B128"/>
      <c r="C128"/>
      <c r="D128"/>
      <c r="E128"/>
      <c r="F128"/>
      <c r="G128"/>
      <c r="H128"/>
      <c r="I128"/>
      <c r="J128"/>
      <c r="K128"/>
      <c r="L128"/>
      <c r="M128"/>
      <c r="N128"/>
      <c r="O128"/>
      <c r="P128"/>
      <c r="Q128" s="29"/>
      <c r="R128" s="29"/>
      <c r="S128" s="29"/>
      <c r="T128" s="29"/>
      <c r="U128" s="29"/>
      <c r="V128" s="29"/>
      <c r="W128" s="29"/>
      <c r="X128" s="29"/>
      <c r="Y128" s="29"/>
      <c r="Z128" s="29"/>
    </row>
    <row r="129" spans="2:26" ht="15" x14ac:dyDescent="0.25">
      <c r="B129"/>
      <c r="C129"/>
      <c r="D129"/>
      <c r="E129"/>
      <c r="F129"/>
      <c r="G129"/>
      <c r="H129"/>
      <c r="I129"/>
      <c r="J129"/>
      <c r="K129"/>
      <c r="L129"/>
      <c r="M129"/>
      <c r="N129"/>
      <c r="O129"/>
      <c r="P129"/>
      <c r="Q129" s="29"/>
      <c r="R129" s="29"/>
      <c r="S129" s="29"/>
      <c r="T129" s="29"/>
      <c r="U129" s="29"/>
      <c r="V129" s="29"/>
      <c r="W129" s="29"/>
      <c r="X129" s="29"/>
      <c r="Y129" s="29"/>
      <c r="Z129" s="29"/>
    </row>
    <row r="130" spans="2:26" ht="15" x14ac:dyDescent="0.25">
      <c r="B130"/>
      <c r="C130"/>
      <c r="D130"/>
      <c r="E130"/>
      <c r="F130"/>
      <c r="G130"/>
      <c r="H130"/>
      <c r="I130"/>
      <c r="J130"/>
      <c r="K130"/>
      <c r="L130"/>
      <c r="M130"/>
      <c r="N130"/>
      <c r="O130"/>
      <c r="P130"/>
      <c r="Q130" s="29"/>
      <c r="R130" s="29"/>
      <c r="S130" s="29"/>
      <c r="T130" s="29"/>
      <c r="U130" s="29"/>
      <c r="V130" s="29"/>
      <c r="W130" s="29"/>
      <c r="X130" s="29"/>
      <c r="Y130" s="29"/>
      <c r="Z130" s="29"/>
    </row>
    <row r="131" spans="2:26" ht="15" x14ac:dyDescent="0.25">
      <c r="B131"/>
      <c r="C131"/>
      <c r="D131"/>
      <c r="E131"/>
      <c r="F131"/>
      <c r="G131"/>
      <c r="H131"/>
      <c r="I131"/>
      <c r="J131"/>
      <c r="K131"/>
      <c r="L131"/>
      <c r="M131"/>
      <c r="N131"/>
      <c r="O131"/>
      <c r="P131"/>
      <c r="Q131" s="29"/>
      <c r="R131" s="29"/>
      <c r="S131" s="29"/>
      <c r="T131" s="29"/>
      <c r="U131" s="29"/>
      <c r="V131" s="29"/>
      <c r="W131" s="29"/>
      <c r="X131" s="29"/>
      <c r="Y131" s="29"/>
      <c r="Z131" s="29"/>
    </row>
    <row r="132" spans="2:26" ht="15" x14ac:dyDescent="0.25">
      <c r="B132"/>
      <c r="C132"/>
      <c r="D132"/>
      <c r="E132"/>
      <c r="F132"/>
      <c r="G132"/>
      <c r="H132"/>
      <c r="I132"/>
      <c r="J132"/>
      <c r="K132"/>
      <c r="L132"/>
      <c r="M132"/>
      <c r="N132"/>
      <c r="O132"/>
      <c r="P132"/>
      <c r="Q132" s="29"/>
      <c r="R132" s="29"/>
      <c r="S132" s="29"/>
      <c r="T132" s="29"/>
      <c r="U132" s="29"/>
      <c r="V132" s="29"/>
      <c r="W132" s="29"/>
      <c r="X132" s="29"/>
      <c r="Y132" s="29"/>
      <c r="Z132" s="29"/>
    </row>
    <row r="133" spans="2:26" ht="15" x14ac:dyDescent="0.25">
      <c r="B133"/>
      <c r="C133"/>
      <c r="D133"/>
      <c r="E133"/>
      <c r="F133"/>
      <c r="G133"/>
      <c r="H133"/>
      <c r="I133"/>
      <c r="J133"/>
      <c r="K133"/>
      <c r="L133"/>
      <c r="M133"/>
      <c r="N133"/>
      <c r="O133"/>
      <c r="P133"/>
      <c r="Q133" s="29"/>
      <c r="R133" s="29"/>
      <c r="S133" s="29"/>
      <c r="T133" s="29"/>
      <c r="U133" s="29"/>
      <c r="V133" s="29"/>
      <c r="W133" s="29"/>
      <c r="X133" s="29"/>
      <c r="Y133" s="29"/>
      <c r="Z133" s="29"/>
    </row>
    <row r="134" spans="2:26" ht="15" x14ac:dyDescent="0.25">
      <c r="B134"/>
      <c r="C134"/>
      <c r="D134"/>
      <c r="E134"/>
      <c r="F134"/>
      <c r="G134"/>
      <c r="H134"/>
      <c r="I134"/>
      <c r="J134"/>
      <c r="K134"/>
      <c r="L134"/>
      <c r="M134"/>
      <c r="N134"/>
      <c r="O134"/>
      <c r="P134"/>
      <c r="Q134" s="29"/>
      <c r="R134" s="29"/>
      <c r="S134" s="29"/>
      <c r="T134" s="29"/>
      <c r="U134" s="29"/>
      <c r="V134" s="29"/>
      <c r="W134" s="29"/>
      <c r="X134" s="29"/>
      <c r="Y134" s="29"/>
      <c r="Z134" s="29"/>
    </row>
    <row r="135" spans="2:26" ht="15" x14ac:dyDescent="0.25">
      <c r="B135"/>
      <c r="C135"/>
      <c r="D135"/>
      <c r="E135"/>
      <c r="F135"/>
      <c r="G135"/>
      <c r="H135"/>
      <c r="I135"/>
      <c r="J135"/>
      <c r="K135"/>
      <c r="L135"/>
      <c r="M135"/>
      <c r="N135"/>
      <c r="O135"/>
      <c r="P135"/>
      <c r="Q135" s="29"/>
      <c r="R135" s="29"/>
      <c r="S135" s="29"/>
      <c r="T135" s="29"/>
      <c r="U135" s="29"/>
      <c r="V135" s="29"/>
      <c r="W135" s="29"/>
      <c r="X135" s="29"/>
      <c r="Y135" s="29"/>
      <c r="Z135" s="29"/>
    </row>
    <row r="136" spans="2:26" ht="15" x14ac:dyDescent="0.25">
      <c r="B136"/>
      <c r="C136"/>
      <c r="D136"/>
      <c r="E136"/>
      <c r="F136"/>
      <c r="G136"/>
      <c r="H136"/>
      <c r="I136"/>
      <c r="J136"/>
      <c r="K136"/>
      <c r="L136"/>
      <c r="M136"/>
      <c r="N136"/>
      <c r="O136"/>
      <c r="P136"/>
      <c r="Q136" s="29"/>
      <c r="R136" s="29"/>
      <c r="S136" s="29"/>
      <c r="T136" s="29"/>
      <c r="U136" s="29"/>
      <c r="V136" s="29"/>
      <c r="W136" s="29"/>
      <c r="X136" s="29"/>
      <c r="Y136" s="29"/>
      <c r="Z136" s="29"/>
    </row>
    <row r="137" spans="2:26" ht="15" x14ac:dyDescent="0.25">
      <c r="B137"/>
      <c r="C137"/>
      <c r="D137"/>
      <c r="E137"/>
      <c r="F137"/>
      <c r="G137"/>
      <c r="H137"/>
      <c r="I137"/>
      <c r="J137"/>
      <c r="K137"/>
      <c r="L137"/>
      <c r="M137"/>
      <c r="N137"/>
      <c r="O137"/>
      <c r="P137"/>
      <c r="Q137" s="29"/>
      <c r="R137" s="29"/>
      <c r="S137" s="29"/>
      <c r="T137" s="29"/>
      <c r="U137" s="29"/>
      <c r="V137" s="29"/>
      <c r="W137" s="29"/>
      <c r="X137" s="29"/>
      <c r="Y137" s="29"/>
      <c r="Z137" s="29"/>
    </row>
    <row r="138" spans="2:26" ht="15" x14ac:dyDescent="0.25">
      <c r="B138"/>
      <c r="C138"/>
      <c r="D138"/>
      <c r="E138"/>
      <c r="F138"/>
      <c r="G138"/>
      <c r="H138"/>
      <c r="I138"/>
      <c r="J138"/>
      <c r="K138"/>
      <c r="L138"/>
      <c r="M138"/>
      <c r="N138"/>
      <c r="O138"/>
      <c r="P138"/>
      <c r="Q138" s="29"/>
      <c r="R138" s="29"/>
      <c r="S138" s="29"/>
      <c r="T138" s="29"/>
      <c r="U138" s="29"/>
      <c r="V138" s="29"/>
      <c r="W138" s="29"/>
      <c r="X138" s="29"/>
      <c r="Y138" s="29"/>
      <c r="Z138" s="29"/>
    </row>
    <row r="139" spans="2:26" ht="15" x14ac:dyDescent="0.25">
      <c r="B139"/>
      <c r="C139"/>
      <c r="D139"/>
      <c r="E139"/>
      <c r="F139"/>
      <c r="G139"/>
      <c r="H139"/>
      <c r="I139"/>
      <c r="J139"/>
      <c r="K139"/>
      <c r="L139"/>
      <c r="M139"/>
      <c r="N139"/>
      <c r="O139"/>
      <c r="P139"/>
      <c r="Q139" s="29"/>
      <c r="R139" s="29"/>
      <c r="S139" s="29"/>
      <c r="T139" s="29"/>
      <c r="U139" s="29"/>
      <c r="V139" s="29"/>
      <c r="W139" s="29"/>
      <c r="X139" s="29"/>
      <c r="Y139" s="29"/>
      <c r="Z139" s="29"/>
    </row>
    <row r="140" spans="2:26" ht="15" x14ac:dyDescent="0.25">
      <c r="B140"/>
      <c r="C140"/>
      <c r="D140"/>
      <c r="E140"/>
      <c r="F140"/>
      <c r="G140"/>
      <c r="H140"/>
      <c r="I140"/>
      <c r="J140"/>
      <c r="K140"/>
      <c r="L140"/>
      <c r="M140"/>
      <c r="N140"/>
      <c r="O140"/>
      <c r="P140"/>
      <c r="Q140" s="29"/>
      <c r="R140" s="29"/>
      <c r="S140" s="29"/>
      <c r="T140" s="29"/>
      <c r="U140" s="29"/>
      <c r="V140" s="29"/>
      <c r="W140" s="29"/>
      <c r="X140" s="29"/>
      <c r="Y140" s="29"/>
      <c r="Z140" s="29"/>
    </row>
    <row r="141" spans="2:26" ht="15" x14ac:dyDescent="0.25">
      <c r="B141"/>
      <c r="C141"/>
      <c r="D141"/>
      <c r="E141"/>
      <c r="F141"/>
      <c r="G141"/>
      <c r="H141"/>
      <c r="I141"/>
      <c r="J141"/>
      <c r="K141"/>
      <c r="L141"/>
      <c r="M141"/>
      <c r="N141"/>
      <c r="O141"/>
      <c r="P141"/>
      <c r="Q141" s="29"/>
      <c r="R141" s="29"/>
      <c r="S141" s="29"/>
      <c r="T141" s="29"/>
      <c r="U141" s="29"/>
      <c r="V141" s="29"/>
      <c r="W141" s="29"/>
      <c r="X141" s="29"/>
      <c r="Y141" s="29"/>
      <c r="Z141" s="29"/>
    </row>
    <row r="142" spans="2:26" ht="15" x14ac:dyDescent="0.25">
      <c r="B142"/>
      <c r="C142"/>
      <c r="D142"/>
      <c r="E142"/>
      <c r="F142"/>
      <c r="G142"/>
      <c r="H142"/>
      <c r="I142"/>
      <c r="J142"/>
      <c r="K142"/>
      <c r="L142"/>
      <c r="M142"/>
      <c r="N142"/>
      <c r="O142"/>
      <c r="P142"/>
      <c r="Q142" s="29"/>
      <c r="R142" s="29"/>
      <c r="S142" s="29"/>
      <c r="T142" s="29"/>
      <c r="U142" s="29"/>
      <c r="V142" s="29"/>
      <c r="W142" s="29"/>
      <c r="X142" s="29"/>
      <c r="Y142" s="29"/>
      <c r="Z142" s="29"/>
    </row>
    <row r="143" spans="2:26" ht="15" x14ac:dyDescent="0.25">
      <c r="B143"/>
      <c r="C143"/>
      <c r="D143"/>
      <c r="E143"/>
      <c r="F143"/>
      <c r="G143"/>
      <c r="H143"/>
      <c r="I143"/>
      <c r="J143"/>
      <c r="K143"/>
      <c r="L143"/>
      <c r="M143"/>
      <c r="N143"/>
      <c r="O143"/>
      <c r="P143"/>
      <c r="Q143" s="29"/>
      <c r="R143" s="29"/>
      <c r="S143" s="29"/>
      <c r="T143" s="29"/>
      <c r="U143" s="29"/>
      <c r="V143" s="29"/>
      <c r="W143" s="29"/>
      <c r="X143" s="29"/>
      <c r="Y143" s="29"/>
      <c r="Z143" s="29"/>
    </row>
    <row r="144" spans="2:26" ht="15" x14ac:dyDescent="0.25">
      <c r="B144"/>
      <c r="C144"/>
      <c r="D144"/>
      <c r="E144"/>
      <c r="F144"/>
      <c r="G144"/>
      <c r="H144"/>
      <c r="I144"/>
      <c r="J144"/>
      <c r="K144"/>
      <c r="L144"/>
      <c r="M144"/>
      <c r="N144"/>
      <c r="O144"/>
      <c r="P144"/>
      <c r="Q144" s="29"/>
      <c r="R144" s="29"/>
      <c r="S144" s="29"/>
      <c r="T144" s="29"/>
      <c r="U144" s="29"/>
      <c r="V144" s="29"/>
      <c r="W144" s="29"/>
      <c r="X144" s="29"/>
      <c r="Y144" s="29"/>
      <c r="Z144" s="29"/>
    </row>
    <row r="145" spans="2:26" ht="15" x14ac:dyDescent="0.25">
      <c r="B145"/>
      <c r="C145"/>
      <c r="D145"/>
      <c r="E145"/>
      <c r="F145"/>
      <c r="G145"/>
      <c r="H145"/>
      <c r="I145"/>
      <c r="J145"/>
      <c r="K145"/>
      <c r="L145"/>
      <c r="M145"/>
      <c r="N145"/>
      <c r="O145"/>
      <c r="P145"/>
      <c r="Q145" s="29"/>
      <c r="R145" s="29"/>
      <c r="S145" s="29"/>
      <c r="T145" s="29"/>
      <c r="U145" s="29"/>
      <c r="V145" s="29"/>
      <c r="W145" s="29"/>
      <c r="X145" s="29"/>
      <c r="Y145" s="29"/>
      <c r="Z145" s="29"/>
    </row>
    <row r="146" spans="2:26" ht="15" x14ac:dyDescent="0.25">
      <c r="B146"/>
      <c r="C146"/>
      <c r="D146"/>
      <c r="E146"/>
      <c r="F146"/>
      <c r="G146"/>
      <c r="H146"/>
      <c r="I146"/>
      <c r="J146"/>
      <c r="K146"/>
      <c r="L146"/>
      <c r="M146"/>
      <c r="N146"/>
      <c r="O146"/>
      <c r="P146"/>
      <c r="Q146" s="29"/>
      <c r="R146" s="29"/>
      <c r="S146" s="29"/>
      <c r="T146" s="29"/>
      <c r="U146" s="29"/>
      <c r="V146" s="29"/>
      <c r="W146" s="29"/>
      <c r="X146" s="29"/>
      <c r="Y146" s="29"/>
      <c r="Z146" s="29"/>
    </row>
    <row r="147" spans="2:26" ht="15" x14ac:dyDescent="0.25">
      <c r="B147"/>
      <c r="C147"/>
      <c r="D147"/>
      <c r="E147"/>
      <c r="F147"/>
      <c r="G147"/>
      <c r="H147"/>
      <c r="I147"/>
      <c r="J147"/>
      <c r="K147"/>
      <c r="L147"/>
      <c r="M147"/>
      <c r="N147"/>
      <c r="O147"/>
      <c r="P147"/>
      <c r="Q147" s="29"/>
      <c r="R147" s="29"/>
      <c r="S147" s="29"/>
      <c r="T147" s="29"/>
      <c r="U147" s="29"/>
      <c r="V147" s="29"/>
      <c r="W147" s="29"/>
      <c r="X147" s="29"/>
      <c r="Y147" s="29"/>
      <c r="Z147" s="29"/>
    </row>
    <row r="148" spans="2:26" ht="15" x14ac:dyDescent="0.25">
      <c r="B148"/>
      <c r="C148"/>
      <c r="D148"/>
      <c r="E148"/>
      <c r="F148"/>
      <c r="G148"/>
      <c r="H148"/>
      <c r="I148"/>
      <c r="J148"/>
      <c r="K148"/>
      <c r="L148"/>
      <c r="M148"/>
      <c r="N148"/>
      <c r="O148"/>
      <c r="P148"/>
      <c r="Q148" s="29"/>
      <c r="R148" s="29"/>
      <c r="S148" s="29"/>
      <c r="T148" s="29"/>
      <c r="U148" s="29"/>
      <c r="V148" s="29"/>
      <c r="W148" s="29"/>
      <c r="X148" s="29"/>
      <c r="Y148" s="29"/>
      <c r="Z148" s="29"/>
    </row>
    <row r="149" spans="2:26" ht="15" x14ac:dyDescent="0.25">
      <c r="B149"/>
      <c r="C149"/>
      <c r="D149"/>
      <c r="E149"/>
      <c r="F149"/>
      <c r="G149"/>
      <c r="H149"/>
      <c r="I149"/>
      <c r="J149"/>
      <c r="K149"/>
      <c r="L149"/>
      <c r="M149"/>
      <c r="N149"/>
      <c r="O149"/>
      <c r="P149"/>
      <c r="Q149" s="29"/>
      <c r="R149" s="29"/>
      <c r="S149" s="29"/>
      <c r="T149" s="29"/>
      <c r="U149" s="29"/>
      <c r="V149" s="29"/>
      <c r="W149" s="29"/>
      <c r="X149" s="29"/>
      <c r="Y149" s="29"/>
      <c r="Z149" s="29"/>
    </row>
    <row r="150" spans="2:26" ht="15" x14ac:dyDescent="0.25">
      <c r="B150"/>
      <c r="C150"/>
      <c r="D150"/>
      <c r="E150"/>
      <c r="F150"/>
      <c r="G150"/>
      <c r="H150"/>
      <c r="I150"/>
      <c r="J150"/>
      <c r="K150"/>
      <c r="L150"/>
      <c r="M150"/>
      <c r="N150"/>
      <c r="O150"/>
      <c r="P150"/>
      <c r="Q150" s="29"/>
      <c r="R150" s="29"/>
      <c r="S150" s="29"/>
      <c r="T150" s="29"/>
      <c r="U150" s="29"/>
      <c r="V150" s="29"/>
      <c r="W150" s="29"/>
      <c r="X150" s="29"/>
      <c r="Y150" s="29"/>
      <c r="Z150" s="29"/>
    </row>
    <row r="151" spans="2:26" ht="15" x14ac:dyDescent="0.25">
      <c r="B151"/>
      <c r="C151"/>
      <c r="D151"/>
      <c r="E151"/>
      <c r="F151"/>
      <c r="G151"/>
      <c r="H151"/>
      <c r="I151"/>
      <c r="J151"/>
      <c r="K151"/>
      <c r="L151"/>
      <c r="M151"/>
      <c r="N151"/>
      <c r="O151"/>
      <c r="P151"/>
      <c r="Q151" s="29"/>
      <c r="R151" s="29"/>
      <c r="S151" s="29"/>
      <c r="T151" s="29"/>
      <c r="U151" s="29"/>
      <c r="V151" s="29"/>
      <c r="W151" s="29"/>
      <c r="X151" s="29"/>
      <c r="Y151" s="29"/>
      <c r="Z151" s="29"/>
    </row>
    <row r="152" spans="2:26" ht="15" x14ac:dyDescent="0.25">
      <c r="B152"/>
      <c r="C152"/>
      <c r="D152"/>
      <c r="E152"/>
      <c r="F152"/>
      <c r="G152"/>
      <c r="H152"/>
      <c r="I152"/>
      <c r="J152"/>
      <c r="K152"/>
      <c r="L152"/>
      <c r="M152"/>
      <c r="N152"/>
      <c r="O152"/>
      <c r="P152"/>
      <c r="Q152" s="29"/>
      <c r="R152" s="29"/>
      <c r="S152" s="29"/>
      <c r="T152" s="29"/>
      <c r="U152" s="29"/>
      <c r="V152" s="29"/>
      <c r="W152" s="29"/>
      <c r="X152" s="29"/>
      <c r="Y152" s="29"/>
      <c r="Z152" s="29"/>
    </row>
    <row r="153" spans="2:26" ht="15" x14ac:dyDescent="0.25">
      <c r="B153"/>
      <c r="C153"/>
      <c r="D153"/>
      <c r="E153"/>
      <c r="F153"/>
      <c r="G153"/>
      <c r="H153"/>
      <c r="I153"/>
      <c r="J153"/>
      <c r="K153"/>
      <c r="L153"/>
      <c r="M153"/>
      <c r="N153"/>
      <c r="O153"/>
      <c r="P153"/>
      <c r="Q153" s="29"/>
      <c r="R153" s="29"/>
      <c r="S153" s="29"/>
      <c r="T153" s="29"/>
      <c r="U153" s="29"/>
      <c r="V153" s="29"/>
      <c r="W153" s="29"/>
      <c r="X153" s="29"/>
      <c r="Y153" s="29"/>
      <c r="Z153" s="29"/>
    </row>
    <row r="154" spans="2:26" ht="15" x14ac:dyDescent="0.25">
      <c r="B154"/>
      <c r="C154"/>
      <c r="D154"/>
      <c r="E154"/>
      <c r="F154"/>
      <c r="G154"/>
      <c r="H154"/>
      <c r="I154"/>
      <c r="J154"/>
      <c r="K154"/>
      <c r="L154"/>
      <c r="M154"/>
      <c r="N154"/>
      <c r="O154"/>
      <c r="P154"/>
      <c r="Q154" s="29"/>
      <c r="R154" s="29"/>
      <c r="S154" s="29"/>
      <c r="T154" s="29"/>
      <c r="U154" s="29"/>
      <c r="V154" s="29"/>
      <c r="W154" s="29"/>
      <c r="X154" s="29"/>
      <c r="Y154" s="29"/>
      <c r="Z154" s="29"/>
    </row>
    <row r="155" spans="2:26" ht="15" x14ac:dyDescent="0.25">
      <c r="B155"/>
      <c r="C155"/>
      <c r="D155"/>
      <c r="E155"/>
      <c r="F155"/>
      <c r="G155"/>
      <c r="H155"/>
      <c r="I155"/>
      <c r="J155"/>
      <c r="K155"/>
      <c r="L155"/>
      <c r="M155"/>
      <c r="N155"/>
      <c r="O155"/>
      <c r="P155"/>
      <c r="Q155" s="29"/>
      <c r="R155" s="29"/>
      <c r="S155" s="29"/>
      <c r="T155" s="29"/>
      <c r="U155" s="29"/>
      <c r="V155" s="29"/>
      <c r="W155" s="29"/>
      <c r="X155" s="29"/>
      <c r="Y155" s="29"/>
      <c r="Z155" s="29"/>
    </row>
    <row r="156" spans="2:26" ht="15" x14ac:dyDescent="0.25">
      <c r="B156"/>
      <c r="C156"/>
      <c r="D156"/>
      <c r="E156"/>
      <c r="F156"/>
      <c r="G156"/>
      <c r="H156"/>
      <c r="I156"/>
      <c r="J156"/>
      <c r="K156"/>
      <c r="L156"/>
      <c r="M156"/>
      <c r="N156"/>
      <c r="O156"/>
      <c r="P156"/>
      <c r="Q156" s="29"/>
      <c r="R156" s="29"/>
      <c r="S156" s="29"/>
      <c r="T156" s="29"/>
      <c r="U156" s="29"/>
      <c r="V156" s="29"/>
      <c r="W156" s="29"/>
      <c r="X156" s="29"/>
      <c r="Y156" s="29"/>
      <c r="Z156" s="29"/>
    </row>
    <row r="157" spans="2:26" ht="15" x14ac:dyDescent="0.25">
      <c r="B157"/>
      <c r="C157"/>
      <c r="D157"/>
      <c r="E157"/>
      <c r="F157"/>
      <c r="G157"/>
      <c r="H157"/>
      <c r="I157"/>
      <c r="J157"/>
      <c r="K157"/>
      <c r="L157"/>
      <c r="M157"/>
      <c r="N157"/>
      <c r="O157"/>
      <c r="P157"/>
      <c r="Q157" s="29"/>
      <c r="R157" s="29"/>
      <c r="S157" s="29"/>
      <c r="T157" s="29"/>
      <c r="U157" s="29"/>
      <c r="V157" s="29"/>
      <c r="W157" s="29"/>
      <c r="X157" s="29"/>
      <c r="Y157" s="29"/>
      <c r="Z157" s="29"/>
    </row>
    <row r="158" spans="2:26" ht="15" x14ac:dyDescent="0.25">
      <c r="B158"/>
      <c r="C158"/>
      <c r="D158"/>
      <c r="E158"/>
      <c r="F158"/>
      <c r="G158"/>
      <c r="H158"/>
      <c r="I158"/>
      <c r="J158"/>
      <c r="K158"/>
      <c r="L158"/>
      <c r="M158"/>
      <c r="N158"/>
      <c r="O158"/>
      <c r="P158"/>
      <c r="Q158" s="29"/>
      <c r="R158" s="29"/>
      <c r="S158" s="29"/>
      <c r="T158" s="29"/>
      <c r="U158" s="29"/>
      <c r="V158" s="29"/>
      <c r="W158" s="29"/>
      <c r="X158" s="29"/>
      <c r="Y158" s="29"/>
      <c r="Z158" s="29"/>
    </row>
    <row r="159" spans="2:26" ht="15" x14ac:dyDescent="0.25">
      <c r="B159"/>
      <c r="C159"/>
      <c r="D159"/>
      <c r="E159"/>
      <c r="F159"/>
      <c r="G159"/>
      <c r="H159"/>
      <c r="I159"/>
      <c r="J159"/>
      <c r="K159"/>
      <c r="L159"/>
      <c r="M159"/>
      <c r="N159"/>
      <c r="O159"/>
      <c r="P159"/>
      <c r="Q159" s="29"/>
      <c r="R159" s="29"/>
      <c r="S159" s="29"/>
      <c r="T159" s="29"/>
      <c r="U159" s="29"/>
      <c r="V159" s="29"/>
      <c r="W159" s="29"/>
      <c r="X159" s="29"/>
      <c r="Y159" s="29"/>
      <c r="Z159" s="29"/>
    </row>
    <row r="160" spans="2:26" ht="15" x14ac:dyDescent="0.25">
      <c r="B160"/>
      <c r="C160"/>
      <c r="D160"/>
      <c r="E160"/>
      <c r="F160"/>
      <c r="G160"/>
      <c r="H160"/>
      <c r="I160"/>
      <c r="J160"/>
      <c r="K160"/>
      <c r="L160"/>
      <c r="M160"/>
      <c r="N160"/>
      <c r="O160"/>
      <c r="P160"/>
      <c r="Q160" s="29"/>
      <c r="R160" s="29"/>
      <c r="S160" s="29"/>
      <c r="T160" s="29"/>
      <c r="U160" s="29"/>
      <c r="V160" s="29"/>
      <c r="W160" s="29"/>
      <c r="X160" s="29"/>
      <c r="Y160" s="29"/>
      <c r="Z160" s="29"/>
    </row>
    <row r="161" spans="2:26" ht="15" x14ac:dyDescent="0.25">
      <c r="B161"/>
      <c r="C161"/>
      <c r="D161"/>
      <c r="E161"/>
      <c r="F161"/>
      <c r="G161"/>
      <c r="H161"/>
      <c r="I161"/>
      <c r="J161"/>
      <c r="K161"/>
      <c r="L161"/>
      <c r="M161"/>
      <c r="N161"/>
      <c r="O161"/>
      <c r="P161"/>
      <c r="Q161" s="29"/>
      <c r="R161" s="29"/>
      <c r="S161" s="29"/>
      <c r="T161" s="29"/>
      <c r="U161" s="29"/>
      <c r="V161" s="29"/>
      <c r="W161" s="29"/>
      <c r="X161" s="29"/>
      <c r="Y161" s="29"/>
      <c r="Z161" s="29"/>
    </row>
    <row r="162" spans="2:26" ht="15" x14ac:dyDescent="0.25">
      <c r="B162"/>
      <c r="C162"/>
      <c r="D162"/>
      <c r="E162"/>
      <c r="F162"/>
      <c r="G162"/>
      <c r="H162"/>
      <c r="I162"/>
      <c r="J162"/>
      <c r="K162"/>
      <c r="L162"/>
      <c r="M162"/>
      <c r="N162"/>
      <c r="O162"/>
      <c r="P162"/>
      <c r="Q162" s="29"/>
      <c r="R162" s="29"/>
      <c r="S162" s="29"/>
      <c r="T162" s="29"/>
      <c r="U162" s="29"/>
      <c r="V162" s="29"/>
      <c r="W162" s="29"/>
      <c r="X162" s="29"/>
      <c r="Y162" s="29"/>
      <c r="Z162" s="29"/>
    </row>
    <row r="163" spans="2:26" x14ac:dyDescent="0.2">
      <c r="B163"/>
      <c r="C163"/>
      <c r="D163"/>
      <c r="E163"/>
      <c r="F163"/>
      <c r="G163"/>
      <c r="H163"/>
      <c r="I163"/>
      <c r="J163"/>
    </row>
    <row r="164" spans="2:26" x14ac:dyDescent="0.2">
      <c r="B164"/>
      <c r="C164"/>
      <c r="D164"/>
      <c r="E164"/>
      <c r="F164"/>
      <c r="G164"/>
      <c r="H164"/>
      <c r="I164"/>
      <c r="J164"/>
    </row>
    <row r="165" spans="2:26" x14ac:dyDescent="0.2">
      <c r="B165"/>
      <c r="C165"/>
      <c r="D165"/>
      <c r="E165"/>
      <c r="F165"/>
      <c r="G165"/>
      <c r="H165"/>
      <c r="I165"/>
      <c r="J165"/>
    </row>
    <row r="166" spans="2:26" x14ac:dyDescent="0.2">
      <c r="B166"/>
      <c r="C166"/>
      <c r="D166"/>
      <c r="E166"/>
      <c r="F166"/>
      <c r="G166"/>
      <c r="H166"/>
      <c r="I166"/>
      <c r="J166"/>
    </row>
    <row r="167" spans="2:26" x14ac:dyDescent="0.2">
      <c r="B167"/>
      <c r="C167"/>
      <c r="D167"/>
      <c r="E167"/>
      <c r="F167"/>
      <c r="G167"/>
      <c r="H167"/>
      <c r="I167"/>
      <c r="J167"/>
    </row>
    <row r="168" spans="2:26" x14ac:dyDescent="0.2">
      <c r="B168"/>
      <c r="C168"/>
      <c r="D168"/>
      <c r="E168"/>
      <c r="F168"/>
      <c r="G168"/>
      <c r="H168"/>
      <c r="I168"/>
      <c r="J168"/>
    </row>
    <row r="169" spans="2:26" x14ac:dyDescent="0.2">
      <c r="B169"/>
      <c r="C169"/>
      <c r="D169"/>
      <c r="E169"/>
      <c r="F169"/>
      <c r="G169"/>
      <c r="H169"/>
      <c r="I169"/>
      <c r="J169"/>
    </row>
    <row r="170" spans="2:26" x14ac:dyDescent="0.2">
      <c r="B170"/>
      <c r="C170"/>
      <c r="D170"/>
      <c r="E170"/>
      <c r="F170"/>
      <c r="G170"/>
      <c r="H170"/>
      <c r="I170"/>
      <c r="J170"/>
    </row>
    <row r="171" spans="2:26" x14ac:dyDescent="0.2">
      <c r="B171"/>
      <c r="C171"/>
      <c r="D171"/>
      <c r="E171"/>
      <c r="F171"/>
      <c r="G171"/>
      <c r="H171"/>
      <c r="I171"/>
      <c r="J171"/>
    </row>
    <row r="172" spans="2:26" x14ac:dyDescent="0.2">
      <c r="B172"/>
      <c r="C172"/>
      <c r="D172"/>
      <c r="E172"/>
      <c r="F172"/>
      <c r="G172"/>
      <c r="H172"/>
      <c r="I172"/>
      <c r="J172"/>
    </row>
    <row r="173" spans="2:26" x14ac:dyDescent="0.2">
      <c r="B173"/>
      <c r="C173"/>
      <c r="D173"/>
      <c r="E173"/>
      <c r="F173"/>
      <c r="G173"/>
      <c r="H173"/>
      <c r="I173"/>
      <c r="J173"/>
    </row>
    <row r="174" spans="2:26" x14ac:dyDescent="0.2">
      <c r="B174"/>
      <c r="C174"/>
      <c r="D174"/>
      <c r="E174"/>
      <c r="F174"/>
      <c r="G174"/>
      <c r="H174"/>
      <c r="I174"/>
      <c r="J174"/>
    </row>
    <row r="175" spans="2:26" x14ac:dyDescent="0.2">
      <c r="B175"/>
      <c r="C175"/>
      <c r="D175"/>
      <c r="E175"/>
      <c r="F175"/>
      <c r="G175"/>
      <c r="H175"/>
      <c r="I175"/>
      <c r="J175"/>
    </row>
    <row r="176" spans="2:26" x14ac:dyDescent="0.2">
      <c r="B176"/>
      <c r="C176"/>
      <c r="D176"/>
      <c r="E176"/>
      <c r="F176"/>
      <c r="G176"/>
      <c r="H176"/>
      <c r="I176"/>
      <c r="J176"/>
    </row>
    <row r="177" spans="2:10" x14ac:dyDescent="0.2">
      <c r="B177"/>
      <c r="C177"/>
      <c r="D177"/>
      <c r="E177"/>
      <c r="F177"/>
      <c r="G177"/>
      <c r="H177"/>
      <c r="I177"/>
      <c r="J177"/>
    </row>
    <row r="178" spans="2:10" x14ac:dyDescent="0.2">
      <c r="B178"/>
      <c r="C178"/>
      <c r="D178"/>
      <c r="E178"/>
      <c r="F178"/>
      <c r="G178"/>
      <c r="H178"/>
      <c r="I178"/>
      <c r="J178"/>
    </row>
    <row r="179" spans="2:10" x14ac:dyDescent="0.2">
      <c r="B179"/>
      <c r="C179"/>
      <c r="D179"/>
      <c r="E179"/>
      <c r="F179"/>
      <c r="G179"/>
      <c r="H179"/>
      <c r="I179"/>
      <c r="J179"/>
    </row>
    <row r="180" spans="2:10" x14ac:dyDescent="0.2">
      <c r="B180"/>
      <c r="C180"/>
      <c r="D180"/>
      <c r="E180"/>
      <c r="F180"/>
      <c r="G180"/>
      <c r="H180"/>
      <c r="I180"/>
      <c r="J180"/>
    </row>
    <row r="181" spans="2:10" x14ac:dyDescent="0.2">
      <c r="B181"/>
      <c r="C181"/>
      <c r="D181"/>
      <c r="E181"/>
      <c r="F181"/>
      <c r="G181"/>
      <c r="H181"/>
      <c r="I181"/>
      <c r="J181"/>
    </row>
    <row r="182" spans="2:10" x14ac:dyDescent="0.2">
      <c r="B182"/>
      <c r="C182"/>
      <c r="D182"/>
      <c r="E182"/>
      <c r="F182"/>
      <c r="G182"/>
      <c r="H182"/>
      <c r="I182"/>
      <c r="J182"/>
    </row>
    <row r="183" spans="2:10" x14ac:dyDescent="0.2">
      <c r="B183"/>
      <c r="C183"/>
      <c r="D183"/>
      <c r="E183"/>
      <c r="F183"/>
      <c r="G183"/>
      <c r="H183"/>
      <c r="I183"/>
      <c r="J183"/>
    </row>
    <row r="184" spans="2:10" x14ac:dyDescent="0.2">
      <c r="B184"/>
      <c r="C184"/>
      <c r="D184"/>
      <c r="E184"/>
      <c r="F184"/>
      <c r="G184"/>
      <c r="H184"/>
      <c r="I184"/>
      <c r="J184"/>
    </row>
    <row r="185" spans="2:10" x14ac:dyDescent="0.2">
      <c r="B185"/>
      <c r="C185"/>
      <c r="D185"/>
      <c r="E185"/>
      <c r="F185"/>
      <c r="G185"/>
      <c r="H185"/>
      <c r="I185"/>
      <c r="J185"/>
    </row>
    <row r="186" spans="2:10" x14ac:dyDescent="0.2">
      <c r="B186"/>
      <c r="C186"/>
      <c r="D186"/>
      <c r="E186"/>
      <c r="F186"/>
      <c r="G186"/>
      <c r="H186"/>
      <c r="I186"/>
      <c r="J186"/>
    </row>
    <row r="187" spans="2:10" x14ac:dyDescent="0.2">
      <c r="B187"/>
      <c r="C187"/>
      <c r="D187"/>
      <c r="E187"/>
      <c r="F187"/>
      <c r="G187"/>
      <c r="H187"/>
      <c r="I187"/>
      <c r="J187"/>
    </row>
    <row r="188" spans="2:10" x14ac:dyDescent="0.2">
      <c r="B188"/>
      <c r="C188"/>
      <c r="D188"/>
      <c r="E188"/>
      <c r="F188"/>
      <c r="G188"/>
      <c r="H188"/>
      <c r="I188"/>
      <c r="J188"/>
    </row>
    <row r="189" spans="2:10" x14ac:dyDescent="0.2">
      <c r="B189"/>
      <c r="C189"/>
      <c r="D189"/>
      <c r="E189"/>
      <c r="F189"/>
      <c r="G189"/>
      <c r="H189"/>
      <c r="I189"/>
      <c r="J189"/>
    </row>
    <row r="190" spans="2:10" x14ac:dyDescent="0.2">
      <c r="B190"/>
      <c r="C190"/>
      <c r="D190"/>
      <c r="E190"/>
      <c r="F190"/>
      <c r="G190"/>
      <c r="H190"/>
      <c r="I190"/>
      <c r="J190"/>
    </row>
    <row r="191" spans="2:10" x14ac:dyDescent="0.2">
      <c r="B191"/>
      <c r="C191"/>
      <c r="D191"/>
      <c r="E191"/>
      <c r="F191"/>
      <c r="G191"/>
      <c r="H191"/>
      <c r="I191"/>
      <c r="J191"/>
    </row>
    <row r="192" spans="2:10" x14ac:dyDescent="0.2">
      <c r="B192"/>
      <c r="C192"/>
      <c r="D192"/>
      <c r="E192"/>
      <c r="F192"/>
      <c r="G192"/>
      <c r="H192"/>
      <c r="I192"/>
      <c r="J192"/>
    </row>
    <row r="193" spans="2:10" x14ac:dyDescent="0.2">
      <c r="B193"/>
      <c r="C193"/>
      <c r="D193"/>
      <c r="E193"/>
      <c r="F193"/>
      <c r="G193"/>
      <c r="H193"/>
      <c r="I193"/>
      <c r="J193"/>
    </row>
    <row r="194" spans="2:10" x14ac:dyDescent="0.2">
      <c r="B194"/>
      <c r="C194"/>
      <c r="D194"/>
      <c r="E194"/>
      <c r="F194"/>
      <c r="G194"/>
      <c r="H194"/>
      <c r="I194"/>
      <c r="J194"/>
    </row>
    <row r="195" spans="2:10" x14ac:dyDescent="0.2">
      <c r="B195"/>
      <c r="C195"/>
      <c r="D195"/>
      <c r="E195"/>
      <c r="F195"/>
      <c r="G195"/>
      <c r="H195"/>
      <c r="I195"/>
      <c r="J195"/>
    </row>
    <row r="196" spans="2:10" x14ac:dyDescent="0.2">
      <c r="B196"/>
      <c r="C196"/>
      <c r="D196"/>
      <c r="E196"/>
      <c r="F196"/>
      <c r="G196"/>
      <c r="H196"/>
      <c r="I196"/>
      <c r="J196"/>
    </row>
    <row r="197" spans="2:10" x14ac:dyDescent="0.2">
      <c r="B197"/>
      <c r="C197"/>
      <c r="D197"/>
      <c r="E197"/>
      <c r="F197"/>
      <c r="G197"/>
      <c r="H197"/>
      <c r="I197"/>
      <c r="J197"/>
    </row>
    <row r="198" spans="2:10" x14ac:dyDescent="0.2">
      <c r="B198"/>
      <c r="C198"/>
      <c r="D198"/>
      <c r="E198"/>
      <c r="F198"/>
      <c r="G198"/>
      <c r="H198"/>
      <c r="I198"/>
      <c r="J198"/>
    </row>
    <row r="199" spans="2:10" x14ac:dyDescent="0.2">
      <c r="B199"/>
      <c r="C199"/>
      <c r="D199"/>
      <c r="E199"/>
      <c r="F199"/>
      <c r="G199"/>
      <c r="H199"/>
      <c r="I199"/>
      <c r="J199"/>
    </row>
    <row r="200" spans="2:10" x14ac:dyDescent="0.2">
      <c r="B200"/>
      <c r="C200"/>
      <c r="D200"/>
      <c r="E200"/>
      <c r="F200"/>
      <c r="G200"/>
      <c r="H200"/>
      <c r="I200"/>
      <c r="J200"/>
    </row>
    <row r="201" spans="2:10" x14ac:dyDescent="0.2">
      <c r="B201"/>
      <c r="C201"/>
      <c r="D201"/>
      <c r="E201"/>
      <c r="F201"/>
      <c r="G201"/>
      <c r="H201"/>
      <c r="I201"/>
      <c r="J201"/>
    </row>
    <row r="202" spans="2:10" x14ac:dyDescent="0.2">
      <c r="B202"/>
      <c r="C202"/>
      <c r="D202"/>
      <c r="E202"/>
      <c r="F202"/>
      <c r="G202"/>
      <c r="H202"/>
      <c r="I202"/>
      <c r="J202"/>
    </row>
    <row r="203" spans="2:10" x14ac:dyDescent="0.2">
      <c r="B203"/>
      <c r="C203"/>
      <c r="D203"/>
      <c r="E203"/>
      <c r="F203"/>
      <c r="G203"/>
      <c r="H203"/>
      <c r="I203"/>
      <c r="J203"/>
    </row>
    <row r="204" spans="2:10" x14ac:dyDescent="0.2">
      <c r="B204" s="32"/>
      <c r="C204" s="32"/>
    </row>
    <row r="205" spans="2:10" x14ac:dyDescent="0.2">
      <c r="B205" s="32"/>
      <c r="C205" s="32"/>
    </row>
    <row r="206" spans="2:10" x14ac:dyDescent="0.2">
      <c r="B206" s="32"/>
      <c r="C206" s="32"/>
    </row>
    <row r="207" spans="2:10" x14ac:dyDescent="0.2">
      <c r="B207" s="32"/>
      <c r="C207" s="32"/>
    </row>
    <row r="208" spans="2:10" x14ac:dyDescent="0.2">
      <c r="B208" s="32"/>
      <c r="C208" s="32"/>
    </row>
    <row r="209" spans="2:3" x14ac:dyDescent="0.2">
      <c r="B209" s="32"/>
      <c r="C209" s="32"/>
    </row>
    <row r="210" spans="2:3" x14ac:dyDescent="0.2">
      <c r="B210" s="32"/>
      <c r="C210" s="32"/>
    </row>
    <row r="211" spans="2:3" x14ac:dyDescent="0.2">
      <c r="B211" s="32"/>
      <c r="C211" s="32"/>
    </row>
    <row r="212" spans="2:3" x14ac:dyDescent="0.2">
      <c r="B212" s="32"/>
      <c r="C212" s="32"/>
    </row>
    <row r="213" spans="2:3" x14ac:dyDescent="0.2">
      <c r="B213" s="32"/>
      <c r="C213" s="32"/>
    </row>
    <row r="214" spans="2:3" x14ac:dyDescent="0.2">
      <c r="B214" s="32"/>
      <c r="C214" s="32"/>
    </row>
    <row r="215" spans="2:3" x14ac:dyDescent="0.2">
      <c r="B215" s="32"/>
      <c r="C215" s="32"/>
    </row>
    <row r="216" spans="2:3" x14ac:dyDescent="0.2">
      <c r="B216" s="32"/>
      <c r="C216" s="32"/>
    </row>
    <row r="217" spans="2:3" x14ac:dyDescent="0.2">
      <c r="B217" s="32"/>
      <c r="C217" s="32"/>
    </row>
    <row r="218" spans="2:3" x14ac:dyDescent="0.2">
      <c r="B218" s="32"/>
      <c r="C218" s="32"/>
    </row>
    <row r="219" spans="2:3" x14ac:dyDescent="0.2">
      <c r="B219" s="32"/>
      <c r="C219" s="32"/>
    </row>
    <row r="220" spans="2:3" x14ac:dyDescent="0.2">
      <c r="B220" s="32"/>
      <c r="C220" s="32"/>
    </row>
    <row r="221" spans="2:3" x14ac:dyDescent="0.2">
      <c r="B221" s="32"/>
      <c r="C221" s="32"/>
    </row>
    <row r="222" spans="2:3" x14ac:dyDescent="0.2">
      <c r="B222" s="32"/>
      <c r="C222" s="32"/>
    </row>
    <row r="223" spans="2:3" x14ac:dyDescent="0.2">
      <c r="B223" s="32"/>
      <c r="C223" s="32"/>
    </row>
    <row r="224" spans="2:3" x14ac:dyDescent="0.2">
      <c r="B224" s="32"/>
      <c r="C224" s="32"/>
    </row>
    <row r="225" spans="2:3" x14ac:dyDescent="0.2">
      <c r="B225" s="32"/>
      <c r="C225" s="32"/>
    </row>
    <row r="226" spans="2:3" x14ac:dyDescent="0.2">
      <c r="B226" s="32"/>
      <c r="C226" s="32"/>
    </row>
    <row r="227" spans="2:3" x14ac:dyDescent="0.2">
      <c r="B227" s="32"/>
      <c r="C227" s="32"/>
    </row>
    <row r="228" spans="2:3" x14ac:dyDescent="0.2">
      <c r="B228" s="32"/>
      <c r="C228" s="32"/>
    </row>
    <row r="229" spans="2:3" x14ac:dyDescent="0.2">
      <c r="B229" s="32"/>
      <c r="C229" s="32"/>
    </row>
    <row r="230" spans="2:3" x14ac:dyDescent="0.2">
      <c r="B230" s="32"/>
      <c r="C230" s="32"/>
    </row>
    <row r="231" spans="2:3" x14ac:dyDescent="0.2">
      <c r="B231" s="32"/>
      <c r="C231" s="32"/>
    </row>
    <row r="232" spans="2:3" x14ac:dyDescent="0.2">
      <c r="B232" s="32"/>
      <c r="C232" s="32"/>
    </row>
    <row r="233" spans="2:3" x14ac:dyDescent="0.2">
      <c r="B233" s="32"/>
      <c r="C233" s="32"/>
    </row>
    <row r="234" spans="2:3" x14ac:dyDescent="0.2">
      <c r="B234" s="32"/>
      <c r="C234" s="32"/>
    </row>
    <row r="235" spans="2:3" x14ac:dyDescent="0.2">
      <c r="B235" s="32"/>
      <c r="C235" s="32"/>
    </row>
    <row r="236" spans="2:3" x14ac:dyDescent="0.2">
      <c r="B236" s="32"/>
      <c r="C236" s="32"/>
    </row>
    <row r="237" spans="2:3" x14ac:dyDescent="0.2">
      <c r="B237" s="32"/>
      <c r="C237" s="32"/>
    </row>
    <row r="238" spans="2:3" x14ac:dyDescent="0.2">
      <c r="B238" s="32"/>
      <c r="C238" s="32"/>
    </row>
    <row r="239" spans="2:3" x14ac:dyDescent="0.2">
      <c r="B239" s="32"/>
      <c r="C239" s="32"/>
    </row>
    <row r="240" spans="2:3" x14ac:dyDescent="0.2">
      <c r="B240" s="32"/>
      <c r="C240" s="32"/>
    </row>
    <row r="241" spans="2:3" x14ac:dyDescent="0.2">
      <c r="B241" s="32"/>
      <c r="C241" s="32"/>
    </row>
    <row r="242" spans="2:3" x14ac:dyDescent="0.2">
      <c r="B242" s="32"/>
      <c r="C242" s="32"/>
    </row>
    <row r="243" spans="2:3" x14ac:dyDescent="0.2">
      <c r="B243" s="32"/>
      <c r="C243" s="32"/>
    </row>
    <row r="244" spans="2:3" x14ac:dyDescent="0.2">
      <c r="B244" s="32"/>
      <c r="C244" s="32"/>
    </row>
    <row r="245" spans="2:3" x14ac:dyDescent="0.2">
      <c r="B245" s="32"/>
      <c r="C245" s="32"/>
    </row>
    <row r="246" spans="2:3" x14ac:dyDescent="0.2">
      <c r="B246" s="32"/>
      <c r="C246" s="32"/>
    </row>
    <row r="247" spans="2:3" x14ac:dyDescent="0.2">
      <c r="B247" s="32"/>
      <c r="C247" s="32"/>
    </row>
    <row r="248" spans="2:3" x14ac:dyDescent="0.2">
      <c r="B248" s="32"/>
      <c r="C248" s="32"/>
    </row>
    <row r="249" spans="2:3" x14ac:dyDescent="0.2">
      <c r="B249" s="32"/>
      <c r="C249" s="32"/>
    </row>
    <row r="250" spans="2:3" x14ac:dyDescent="0.2">
      <c r="B250" s="32"/>
      <c r="C250" s="32"/>
    </row>
    <row r="251" spans="2:3" x14ac:dyDescent="0.2">
      <c r="B251" s="32"/>
      <c r="C251" s="32"/>
    </row>
    <row r="252" spans="2:3" x14ac:dyDescent="0.2">
      <c r="B252" s="32"/>
      <c r="C252" s="32"/>
    </row>
    <row r="253" spans="2:3" x14ac:dyDescent="0.2">
      <c r="B253" s="32"/>
      <c r="C253" s="32"/>
    </row>
    <row r="254" spans="2:3" x14ac:dyDescent="0.2">
      <c r="B254" s="32"/>
      <c r="C254" s="32"/>
    </row>
    <row r="255" spans="2:3" x14ac:dyDescent="0.2">
      <c r="B255" s="32"/>
      <c r="C255" s="32"/>
    </row>
    <row r="256" spans="2:3" x14ac:dyDescent="0.2">
      <c r="B256" s="32"/>
      <c r="C256" s="32"/>
    </row>
    <row r="257" spans="2:3" x14ac:dyDescent="0.2">
      <c r="B257" s="32"/>
      <c r="C257" s="32"/>
    </row>
    <row r="258" spans="2:3" x14ac:dyDescent="0.2">
      <c r="B258" s="32"/>
      <c r="C258" s="32"/>
    </row>
    <row r="259" spans="2:3" x14ac:dyDescent="0.2">
      <c r="B259" s="32"/>
      <c r="C259" s="32"/>
    </row>
    <row r="260" spans="2:3" x14ac:dyDescent="0.2">
      <c r="B260" s="32"/>
      <c r="C260" s="32"/>
    </row>
    <row r="261" spans="2:3" x14ac:dyDescent="0.2">
      <c r="B261" s="32"/>
      <c r="C261" s="32"/>
    </row>
    <row r="262" spans="2:3" x14ac:dyDescent="0.2">
      <c r="B262" s="32"/>
      <c r="C262" s="32"/>
    </row>
    <row r="263" spans="2:3" x14ac:dyDescent="0.2">
      <c r="B263" s="32"/>
      <c r="C263" s="32"/>
    </row>
    <row r="264" spans="2:3" x14ac:dyDescent="0.2">
      <c r="B264" s="32"/>
      <c r="C264" s="32"/>
    </row>
    <row r="265" spans="2:3" x14ac:dyDescent="0.2">
      <c r="B265" s="32"/>
      <c r="C265" s="32"/>
    </row>
    <row r="266" spans="2:3" x14ac:dyDescent="0.2">
      <c r="B266" s="32"/>
      <c r="C266" s="32"/>
    </row>
    <row r="267" spans="2:3" x14ac:dyDescent="0.2">
      <c r="B267" s="32"/>
      <c r="C267" s="32"/>
    </row>
    <row r="268" spans="2:3" x14ac:dyDescent="0.2">
      <c r="B268" s="32"/>
      <c r="C268" s="32"/>
    </row>
    <row r="269" spans="2:3" x14ac:dyDescent="0.2">
      <c r="B269" s="32"/>
      <c r="C269" s="32"/>
    </row>
    <row r="270" spans="2:3" x14ac:dyDescent="0.2">
      <c r="B270" s="32"/>
      <c r="C270" s="32"/>
    </row>
    <row r="271" spans="2:3" x14ac:dyDescent="0.2">
      <c r="B271" s="32"/>
      <c r="C271" s="32"/>
    </row>
    <row r="272" spans="2:3" x14ac:dyDescent="0.2">
      <c r="B272" s="32"/>
      <c r="C272" s="32"/>
    </row>
    <row r="273" spans="2:3" x14ac:dyDescent="0.2">
      <c r="B273" s="32"/>
      <c r="C273" s="32"/>
    </row>
    <row r="274" spans="2:3" x14ac:dyDescent="0.2">
      <c r="B274" s="32"/>
      <c r="C274" s="32"/>
    </row>
    <row r="275" spans="2:3" x14ac:dyDescent="0.2">
      <c r="B275" s="32"/>
      <c r="C275" s="32"/>
    </row>
    <row r="276" spans="2:3" x14ac:dyDescent="0.2">
      <c r="B276" s="32"/>
      <c r="C276" s="32"/>
    </row>
    <row r="277" spans="2:3" x14ac:dyDescent="0.2">
      <c r="B277" s="32"/>
      <c r="C277" s="32"/>
    </row>
    <row r="278" spans="2:3" x14ac:dyDescent="0.2">
      <c r="B278" s="32"/>
      <c r="C278" s="32"/>
    </row>
    <row r="279" spans="2:3" x14ac:dyDescent="0.2">
      <c r="B279" s="32"/>
      <c r="C279" s="32"/>
    </row>
    <row r="280" spans="2:3" x14ac:dyDescent="0.2">
      <c r="B280" s="32"/>
      <c r="C280" s="32"/>
    </row>
    <row r="281" spans="2:3" x14ac:dyDescent="0.2">
      <c r="B281" s="32"/>
      <c r="C281" s="32"/>
    </row>
    <row r="282" spans="2:3" x14ac:dyDescent="0.2">
      <c r="B282" s="32"/>
      <c r="C282" s="32"/>
    </row>
    <row r="283" spans="2:3" x14ac:dyDescent="0.2">
      <c r="B283" s="32"/>
      <c r="C283" s="32"/>
    </row>
    <row r="284" spans="2:3" x14ac:dyDescent="0.2">
      <c r="B284" s="32"/>
      <c r="C284" s="32"/>
    </row>
    <row r="285" spans="2:3" x14ac:dyDescent="0.2">
      <c r="B285" s="32"/>
      <c r="C285" s="32"/>
    </row>
    <row r="286" spans="2:3" x14ac:dyDescent="0.2">
      <c r="B286" s="32"/>
      <c r="C286" s="32"/>
    </row>
    <row r="287" spans="2:3" x14ac:dyDescent="0.2">
      <c r="B287" s="32"/>
      <c r="C287" s="32"/>
    </row>
    <row r="288" spans="2:3" x14ac:dyDescent="0.2">
      <c r="B288" s="32"/>
      <c r="C288" s="32"/>
    </row>
    <row r="289" spans="2:3" x14ac:dyDescent="0.2">
      <c r="B289" s="32"/>
      <c r="C289" s="32"/>
    </row>
    <row r="290" spans="2:3" x14ac:dyDescent="0.2">
      <c r="B290" s="32"/>
      <c r="C290" s="32"/>
    </row>
    <row r="291" spans="2:3" x14ac:dyDescent="0.2">
      <c r="B291" s="32"/>
      <c r="C291" s="32"/>
    </row>
    <row r="292" spans="2:3" x14ac:dyDescent="0.2">
      <c r="B292" s="32"/>
      <c r="C292" s="32"/>
    </row>
    <row r="293" spans="2:3" x14ac:dyDescent="0.2">
      <c r="B293" s="32"/>
      <c r="C293" s="32"/>
    </row>
    <row r="294" spans="2:3" x14ac:dyDescent="0.2">
      <c r="B294" s="32"/>
      <c r="C294" s="32"/>
    </row>
    <row r="295" spans="2:3" x14ac:dyDescent="0.2">
      <c r="B295" s="32"/>
      <c r="C295" s="32"/>
    </row>
    <row r="296" spans="2:3" x14ac:dyDescent="0.2">
      <c r="B296" s="32"/>
      <c r="C296" s="32"/>
    </row>
    <row r="297" spans="2:3" x14ac:dyDescent="0.2">
      <c r="B297" s="32"/>
      <c r="C297" s="32"/>
    </row>
    <row r="298" spans="2:3" x14ac:dyDescent="0.2">
      <c r="B298" s="32"/>
      <c r="C298" s="32"/>
    </row>
    <row r="299" spans="2:3" x14ac:dyDescent="0.2">
      <c r="B299" s="32"/>
      <c r="C299" s="32"/>
    </row>
    <row r="300" spans="2:3" x14ac:dyDescent="0.2">
      <c r="B300" s="32"/>
      <c r="C300" s="32"/>
    </row>
    <row r="301" spans="2:3" x14ac:dyDescent="0.2">
      <c r="B301" s="32"/>
      <c r="C301" s="32"/>
    </row>
    <row r="302" spans="2:3" x14ac:dyDescent="0.2">
      <c r="B302" s="32"/>
      <c r="C302" s="32"/>
    </row>
    <row r="303" spans="2:3" x14ac:dyDescent="0.2">
      <c r="B303" s="32"/>
      <c r="C303" s="32"/>
    </row>
    <row r="304" spans="2:3" x14ac:dyDescent="0.2">
      <c r="B304" s="32"/>
      <c r="C304" s="32"/>
    </row>
    <row r="305" spans="2:3" x14ac:dyDescent="0.2">
      <c r="B305" s="32"/>
      <c r="C305" s="32"/>
    </row>
    <row r="306" spans="2:3" x14ac:dyDescent="0.2">
      <c r="B306" s="32"/>
      <c r="C306" s="32"/>
    </row>
    <row r="307" spans="2:3" x14ac:dyDescent="0.2">
      <c r="B307" s="32"/>
      <c r="C307" s="32"/>
    </row>
    <row r="308" spans="2:3" x14ac:dyDescent="0.2">
      <c r="B308" s="32"/>
      <c r="C308" s="32"/>
    </row>
    <row r="309" spans="2:3" x14ac:dyDescent="0.2">
      <c r="B309" s="32"/>
      <c r="C309" s="32"/>
    </row>
    <row r="310" spans="2:3" x14ac:dyDescent="0.2">
      <c r="B310" s="32"/>
      <c r="C310" s="32"/>
    </row>
    <row r="311" spans="2:3" x14ac:dyDescent="0.2">
      <c r="B311" s="32"/>
      <c r="C311" s="32"/>
    </row>
    <row r="312" spans="2:3" x14ac:dyDescent="0.2">
      <c r="B312" s="32"/>
      <c r="C312" s="32"/>
    </row>
    <row r="313" spans="2:3" x14ac:dyDescent="0.2">
      <c r="B313" s="32"/>
      <c r="C313" s="32"/>
    </row>
    <row r="314" spans="2:3" x14ac:dyDescent="0.2">
      <c r="B314" s="32"/>
      <c r="C314" s="32"/>
    </row>
    <row r="315" spans="2:3" x14ac:dyDescent="0.2">
      <c r="B315" s="32"/>
      <c r="C315" s="32"/>
    </row>
    <row r="316" spans="2:3" x14ac:dyDescent="0.2">
      <c r="B316" s="32"/>
      <c r="C316" s="32"/>
    </row>
    <row r="317" spans="2:3" x14ac:dyDescent="0.2">
      <c r="B317" s="32"/>
      <c r="C317" s="32"/>
    </row>
    <row r="318" spans="2:3" x14ac:dyDescent="0.2">
      <c r="B318" s="32"/>
      <c r="C318" s="32"/>
    </row>
    <row r="319" spans="2:3" x14ac:dyDescent="0.2">
      <c r="B319" s="32"/>
      <c r="C319" s="32"/>
    </row>
    <row r="320" spans="2:3" x14ac:dyDescent="0.2">
      <c r="B320" s="32"/>
      <c r="C320" s="32"/>
    </row>
    <row r="321" spans="2:3" x14ac:dyDescent="0.2">
      <c r="B321" s="32"/>
      <c r="C321" s="32"/>
    </row>
    <row r="322" spans="2:3" x14ac:dyDescent="0.2">
      <c r="B322" s="32"/>
      <c r="C322" s="32"/>
    </row>
    <row r="323" spans="2:3" x14ac:dyDescent="0.2">
      <c r="B323" s="32"/>
      <c r="C323" s="32"/>
    </row>
    <row r="324" spans="2:3" x14ac:dyDescent="0.2">
      <c r="B324" s="32"/>
      <c r="C324" s="32"/>
    </row>
    <row r="325" spans="2:3" x14ac:dyDescent="0.2">
      <c r="B325" s="32"/>
      <c r="C325" s="32"/>
    </row>
    <row r="326" spans="2:3" x14ac:dyDescent="0.2">
      <c r="B326" s="32"/>
      <c r="C326" s="32"/>
    </row>
    <row r="327" spans="2:3" x14ac:dyDescent="0.2">
      <c r="B327" s="32"/>
      <c r="C327" s="32"/>
    </row>
    <row r="328" spans="2:3" x14ac:dyDescent="0.2">
      <c r="B328" s="32"/>
      <c r="C328" s="32"/>
    </row>
    <row r="329" spans="2:3" x14ac:dyDescent="0.2">
      <c r="B329" s="32"/>
      <c r="C329" s="32"/>
    </row>
    <row r="330" spans="2:3" x14ac:dyDescent="0.2">
      <c r="B330" s="32"/>
      <c r="C330" s="32"/>
    </row>
    <row r="331" spans="2:3" x14ac:dyDescent="0.2">
      <c r="B331" s="32"/>
      <c r="C331" s="32"/>
    </row>
    <row r="332" spans="2:3" x14ac:dyDescent="0.2">
      <c r="B332" s="32"/>
      <c r="C332" s="32"/>
    </row>
    <row r="333" spans="2:3" x14ac:dyDescent="0.2">
      <c r="B333" s="32"/>
      <c r="C333" s="32"/>
    </row>
    <row r="334" spans="2:3" x14ac:dyDescent="0.2">
      <c r="B334" s="32"/>
      <c r="C334" s="32"/>
    </row>
    <row r="335" spans="2:3" x14ac:dyDescent="0.2">
      <c r="B335" s="32"/>
      <c r="C335" s="32"/>
    </row>
    <row r="336" spans="2:3" x14ac:dyDescent="0.2">
      <c r="B336" s="32"/>
      <c r="C336" s="32"/>
    </row>
    <row r="337" spans="2:3" x14ac:dyDescent="0.2">
      <c r="B337" s="32"/>
      <c r="C337" s="32"/>
    </row>
    <row r="338" spans="2:3" x14ac:dyDescent="0.2">
      <c r="B338" s="32"/>
      <c r="C338" s="32"/>
    </row>
    <row r="339" spans="2:3" x14ac:dyDescent="0.2">
      <c r="B339" s="32"/>
      <c r="C339" s="32"/>
    </row>
    <row r="340" spans="2:3" x14ac:dyDescent="0.2">
      <c r="B340" s="32"/>
      <c r="C340" s="32"/>
    </row>
    <row r="341" spans="2:3" x14ac:dyDescent="0.2">
      <c r="B341" s="32"/>
      <c r="C341" s="32"/>
    </row>
    <row r="342" spans="2:3" x14ac:dyDescent="0.2">
      <c r="B342" s="32"/>
      <c r="C342" s="32"/>
    </row>
    <row r="343" spans="2:3" x14ac:dyDescent="0.2">
      <c r="B343" s="32"/>
      <c r="C343" s="32"/>
    </row>
    <row r="344" spans="2:3" x14ac:dyDescent="0.2">
      <c r="B344" s="32"/>
      <c r="C344" s="32"/>
    </row>
    <row r="345" spans="2:3" x14ac:dyDescent="0.2">
      <c r="B345" s="32"/>
      <c r="C345" s="32"/>
    </row>
    <row r="346" spans="2:3" x14ac:dyDescent="0.2">
      <c r="B346" s="32"/>
      <c r="C346" s="32"/>
    </row>
    <row r="347" spans="2:3" x14ac:dyDescent="0.2">
      <c r="B347" s="32"/>
      <c r="C347" s="32"/>
    </row>
    <row r="348" spans="2:3" x14ac:dyDescent="0.2">
      <c r="B348" s="32"/>
      <c r="C348" s="32"/>
    </row>
    <row r="349" spans="2:3" x14ac:dyDescent="0.2">
      <c r="B349" s="32"/>
      <c r="C349" s="32"/>
    </row>
    <row r="350" spans="2:3" x14ac:dyDescent="0.2">
      <c r="B350" s="32"/>
      <c r="C350" s="32"/>
    </row>
    <row r="351" spans="2:3" x14ac:dyDescent="0.2">
      <c r="B351" s="32"/>
      <c r="C351" s="32"/>
    </row>
    <row r="352" spans="2:3" x14ac:dyDescent="0.2">
      <c r="B352" s="32"/>
      <c r="C352" s="32"/>
    </row>
    <row r="353" spans="2:3" x14ac:dyDescent="0.2">
      <c r="B353" s="32"/>
      <c r="C353" s="32"/>
    </row>
    <row r="354" spans="2:3" x14ac:dyDescent="0.2">
      <c r="B354" s="32"/>
      <c r="C354" s="32"/>
    </row>
    <row r="355" spans="2:3" x14ac:dyDescent="0.2">
      <c r="B355" s="32"/>
      <c r="C355" s="32"/>
    </row>
    <row r="356" spans="2:3" x14ac:dyDescent="0.2">
      <c r="B356" s="32"/>
      <c r="C356" s="32"/>
    </row>
    <row r="357" spans="2:3" x14ac:dyDescent="0.2">
      <c r="B357" s="32"/>
      <c r="C357" s="32"/>
    </row>
    <row r="358" spans="2:3" x14ac:dyDescent="0.2">
      <c r="B358" s="32"/>
      <c r="C358" s="32"/>
    </row>
    <row r="359" spans="2:3" x14ac:dyDescent="0.2">
      <c r="B359" s="32"/>
      <c r="C359" s="32"/>
    </row>
    <row r="360" spans="2:3" x14ac:dyDescent="0.2">
      <c r="B360" s="32"/>
      <c r="C360" s="32"/>
    </row>
    <row r="361" spans="2:3" x14ac:dyDescent="0.2">
      <c r="B361" s="32"/>
      <c r="C361" s="32"/>
    </row>
    <row r="362" spans="2:3" x14ac:dyDescent="0.2">
      <c r="B362" s="32"/>
      <c r="C362" s="32"/>
    </row>
    <row r="363" spans="2:3" x14ac:dyDescent="0.2">
      <c r="B363" s="32"/>
      <c r="C363" s="32"/>
    </row>
    <row r="364" spans="2:3" x14ac:dyDescent="0.2">
      <c r="B364" s="32"/>
      <c r="C364" s="32"/>
    </row>
    <row r="365" spans="2:3" x14ac:dyDescent="0.2">
      <c r="B365" s="32"/>
      <c r="C365" s="32"/>
    </row>
    <row r="366" spans="2:3" x14ac:dyDescent="0.2">
      <c r="B366" s="32"/>
      <c r="C366" s="32"/>
    </row>
    <row r="367" spans="2:3" x14ac:dyDescent="0.2">
      <c r="B367" s="32"/>
      <c r="C367" s="32"/>
    </row>
    <row r="368" spans="2:3" x14ac:dyDescent="0.2">
      <c r="B368" s="32"/>
      <c r="C368" s="32"/>
    </row>
    <row r="369" spans="2:3" x14ac:dyDescent="0.2">
      <c r="B369" s="32"/>
      <c r="C369" s="32"/>
    </row>
    <row r="370" spans="2:3" x14ac:dyDescent="0.2">
      <c r="B370" s="32"/>
      <c r="C370" s="32"/>
    </row>
    <row r="371" spans="2:3" x14ac:dyDescent="0.2">
      <c r="B371" s="32"/>
      <c r="C371" s="32"/>
    </row>
    <row r="372" spans="2:3" x14ac:dyDescent="0.2">
      <c r="B372" s="32"/>
      <c r="C372" s="32"/>
    </row>
    <row r="373" spans="2:3" x14ac:dyDescent="0.2">
      <c r="B373" s="32"/>
      <c r="C373" s="32"/>
    </row>
    <row r="374" spans="2:3" x14ac:dyDescent="0.2">
      <c r="B374" s="32"/>
      <c r="C374" s="32"/>
    </row>
    <row r="375" spans="2:3" x14ac:dyDescent="0.2">
      <c r="B375" s="32"/>
      <c r="C375" s="32"/>
    </row>
    <row r="376" spans="2:3" x14ac:dyDescent="0.2">
      <c r="B376" s="32"/>
      <c r="C376" s="32"/>
    </row>
    <row r="377" spans="2:3" x14ac:dyDescent="0.2">
      <c r="B377" s="32"/>
      <c r="C377" s="32"/>
    </row>
    <row r="378" spans="2:3" x14ac:dyDescent="0.2">
      <c r="B378" s="32"/>
      <c r="C378" s="32"/>
    </row>
    <row r="379" spans="2:3" x14ac:dyDescent="0.2">
      <c r="B379" s="32"/>
      <c r="C379" s="32"/>
    </row>
    <row r="380" spans="2:3" x14ac:dyDescent="0.2">
      <c r="B380" s="32"/>
      <c r="C380" s="32"/>
    </row>
    <row r="381" spans="2:3" x14ac:dyDescent="0.2">
      <c r="B381" s="32"/>
      <c r="C381" s="32"/>
    </row>
    <row r="382" spans="2:3" x14ac:dyDescent="0.2">
      <c r="B382" s="32"/>
      <c r="C382" s="32"/>
    </row>
    <row r="383" spans="2:3" x14ac:dyDescent="0.2">
      <c r="B383" s="32"/>
      <c r="C383" s="32"/>
    </row>
    <row r="384" spans="2:3" x14ac:dyDescent="0.2">
      <c r="B384" s="32"/>
      <c r="C384" s="32"/>
    </row>
    <row r="385" spans="2:3" x14ac:dyDescent="0.2">
      <c r="B385" s="32"/>
      <c r="C385" s="32"/>
    </row>
    <row r="386" spans="2:3" x14ac:dyDescent="0.2">
      <c r="B386" s="32"/>
      <c r="C386" s="32"/>
    </row>
    <row r="387" spans="2:3" x14ac:dyDescent="0.2">
      <c r="B387" s="32"/>
      <c r="C387" s="32"/>
    </row>
    <row r="388" spans="2:3" x14ac:dyDescent="0.2">
      <c r="B388" s="32"/>
      <c r="C388" s="32"/>
    </row>
    <row r="389" spans="2:3" x14ac:dyDescent="0.2">
      <c r="B389" s="32"/>
      <c r="C389" s="32"/>
    </row>
    <row r="390" spans="2:3" x14ac:dyDescent="0.2">
      <c r="B390" s="32"/>
      <c r="C390" s="32"/>
    </row>
    <row r="391" spans="2:3" x14ac:dyDescent="0.2">
      <c r="B391" s="32"/>
      <c r="C391" s="32"/>
    </row>
    <row r="392" spans="2:3" x14ac:dyDescent="0.2">
      <c r="B392" s="32"/>
      <c r="C392" s="32"/>
    </row>
    <row r="393" spans="2:3" x14ac:dyDescent="0.2">
      <c r="B393" s="32"/>
      <c r="C393" s="32"/>
    </row>
    <row r="394" spans="2:3" x14ac:dyDescent="0.2">
      <c r="B394" s="32"/>
      <c r="C394" s="32"/>
    </row>
    <row r="395" spans="2:3" x14ac:dyDescent="0.2">
      <c r="B395" s="32"/>
      <c r="C395" s="32"/>
    </row>
    <row r="396" spans="2:3" x14ac:dyDescent="0.2">
      <c r="B396" s="32"/>
      <c r="C396" s="32"/>
    </row>
    <row r="397" spans="2:3" x14ac:dyDescent="0.2">
      <c r="B397" s="32"/>
      <c r="C397" s="32"/>
    </row>
    <row r="398" spans="2:3" x14ac:dyDescent="0.2">
      <c r="B398" s="32"/>
      <c r="C398" s="32"/>
    </row>
    <row r="399" spans="2:3" x14ac:dyDescent="0.2">
      <c r="B399" s="32"/>
      <c r="C399" s="32"/>
    </row>
    <row r="400" spans="2:3" x14ac:dyDescent="0.2">
      <c r="B400" s="32"/>
      <c r="C400" s="32"/>
    </row>
    <row r="401" spans="2:3" x14ac:dyDescent="0.2">
      <c r="B401" s="32"/>
      <c r="C401" s="32"/>
    </row>
    <row r="402" spans="2:3" x14ac:dyDescent="0.2">
      <c r="B402" s="32"/>
      <c r="C402" s="32"/>
    </row>
    <row r="403" spans="2:3" x14ac:dyDescent="0.2">
      <c r="B403" s="32"/>
      <c r="C403" s="32"/>
    </row>
    <row r="404" spans="2:3" x14ac:dyDescent="0.2">
      <c r="B404" s="32"/>
      <c r="C404" s="32"/>
    </row>
    <row r="405" spans="2:3" x14ac:dyDescent="0.2">
      <c r="B405" s="32"/>
      <c r="C405" s="32"/>
    </row>
    <row r="406" spans="2:3" x14ac:dyDescent="0.2">
      <c r="B406" s="32"/>
      <c r="C406" s="32"/>
    </row>
    <row r="407" spans="2:3" x14ac:dyDescent="0.2">
      <c r="B407" s="32"/>
      <c r="C407" s="32"/>
    </row>
    <row r="408" spans="2:3" x14ac:dyDescent="0.2">
      <c r="B408" s="32"/>
      <c r="C408" s="32"/>
    </row>
    <row r="409" spans="2:3" x14ac:dyDescent="0.2">
      <c r="B409" s="32"/>
      <c r="C409" s="32"/>
    </row>
    <row r="410" spans="2:3" x14ac:dyDescent="0.2">
      <c r="B410" s="32"/>
      <c r="C410" s="32"/>
    </row>
    <row r="411" spans="2:3" x14ac:dyDescent="0.2">
      <c r="B411" s="32"/>
      <c r="C411" s="32"/>
    </row>
    <row r="412" spans="2:3" x14ac:dyDescent="0.2">
      <c r="B412" s="32"/>
      <c r="C412" s="32"/>
    </row>
    <row r="413" spans="2:3" x14ac:dyDescent="0.2">
      <c r="B413" s="32"/>
      <c r="C413" s="32"/>
    </row>
    <row r="414" spans="2:3" x14ac:dyDescent="0.2">
      <c r="B414" s="32"/>
      <c r="C414" s="32"/>
    </row>
    <row r="415" spans="2:3" x14ac:dyDescent="0.2">
      <c r="B415" s="32"/>
      <c r="C415" s="32"/>
    </row>
    <row r="416" spans="2:3" x14ac:dyDescent="0.2">
      <c r="B416" s="32"/>
      <c r="C416" s="32"/>
    </row>
    <row r="417" spans="2:3" x14ac:dyDescent="0.2">
      <c r="B417" s="32"/>
      <c r="C417" s="32"/>
    </row>
    <row r="418" spans="2:3" x14ac:dyDescent="0.2">
      <c r="B418" s="32"/>
      <c r="C418" s="32"/>
    </row>
    <row r="419" spans="2:3" x14ac:dyDescent="0.2">
      <c r="B419" s="32"/>
      <c r="C419" s="32"/>
    </row>
    <row r="420" spans="2:3" x14ac:dyDescent="0.2">
      <c r="B420" s="32"/>
      <c r="C420" s="32"/>
    </row>
    <row r="421" spans="2:3" x14ac:dyDescent="0.2">
      <c r="B421" s="32"/>
      <c r="C421" s="32"/>
    </row>
    <row r="422" spans="2:3" x14ac:dyDescent="0.2">
      <c r="B422" s="32"/>
      <c r="C422" s="32"/>
    </row>
    <row r="423" spans="2:3" x14ac:dyDescent="0.2">
      <c r="B423" s="32"/>
      <c r="C423" s="32"/>
    </row>
    <row r="424" spans="2:3" x14ac:dyDescent="0.2">
      <c r="B424" s="32"/>
      <c r="C424" s="32"/>
    </row>
    <row r="425" spans="2:3" x14ac:dyDescent="0.2">
      <c r="B425" s="32"/>
      <c r="C425" s="32"/>
    </row>
    <row r="426" spans="2:3" x14ac:dyDescent="0.2">
      <c r="B426" s="32"/>
      <c r="C426" s="32"/>
    </row>
    <row r="427" spans="2:3" x14ac:dyDescent="0.2">
      <c r="B427" s="32"/>
      <c r="C427" s="32"/>
    </row>
    <row r="428" spans="2:3" x14ac:dyDescent="0.2">
      <c r="B428" s="32"/>
      <c r="C428" s="32"/>
    </row>
    <row r="429" spans="2:3" x14ac:dyDescent="0.2">
      <c r="B429" s="32"/>
      <c r="C429" s="32"/>
    </row>
    <row r="430" spans="2:3" x14ac:dyDescent="0.2">
      <c r="B430" s="32"/>
      <c r="C430" s="32"/>
    </row>
    <row r="431" spans="2:3" x14ac:dyDescent="0.2">
      <c r="B431" s="32"/>
      <c r="C431" s="32"/>
    </row>
    <row r="432" spans="2:3" x14ac:dyDescent="0.2">
      <c r="B432" s="32"/>
      <c r="C432" s="32"/>
    </row>
    <row r="433" spans="2:3" x14ac:dyDescent="0.2">
      <c r="B433" s="32"/>
      <c r="C433" s="32"/>
    </row>
    <row r="434" spans="2:3" x14ac:dyDescent="0.2">
      <c r="B434" s="32"/>
      <c r="C434" s="32"/>
    </row>
    <row r="435" spans="2:3" x14ac:dyDescent="0.2">
      <c r="B435" s="32"/>
      <c r="C435" s="32"/>
    </row>
    <row r="436" spans="2:3" x14ac:dyDescent="0.2">
      <c r="B436" s="32"/>
      <c r="C436" s="32"/>
    </row>
    <row r="437" spans="2:3" x14ac:dyDescent="0.2">
      <c r="B437" s="32"/>
      <c r="C437" s="32"/>
    </row>
    <row r="438" spans="2:3" x14ac:dyDescent="0.2">
      <c r="B438" s="32"/>
      <c r="C438" s="32"/>
    </row>
    <row r="439" spans="2:3" x14ac:dyDescent="0.2">
      <c r="B439" s="32"/>
      <c r="C439" s="32"/>
    </row>
    <row r="440" spans="2:3" x14ac:dyDescent="0.2">
      <c r="B440" s="32"/>
      <c r="C440" s="32"/>
    </row>
    <row r="441" spans="2:3" x14ac:dyDescent="0.2">
      <c r="B441" s="32"/>
      <c r="C441" s="32"/>
    </row>
    <row r="442" spans="2:3" x14ac:dyDescent="0.2">
      <c r="B442" s="32"/>
      <c r="C442" s="32"/>
    </row>
    <row r="443" spans="2:3" x14ac:dyDescent="0.2">
      <c r="B443" s="32"/>
      <c r="C443" s="32"/>
    </row>
    <row r="444" spans="2:3" x14ac:dyDescent="0.2">
      <c r="B444" s="32"/>
      <c r="C444" s="32"/>
    </row>
    <row r="445" spans="2:3" x14ac:dyDescent="0.2">
      <c r="B445" s="32"/>
      <c r="C445" s="32"/>
    </row>
    <row r="446" spans="2:3" x14ac:dyDescent="0.2">
      <c r="B446" s="32"/>
      <c r="C446" s="32"/>
    </row>
    <row r="447" spans="2:3" x14ac:dyDescent="0.2">
      <c r="B447" s="32"/>
      <c r="C447" s="32"/>
    </row>
    <row r="448" spans="2:3" x14ac:dyDescent="0.2">
      <c r="B448" s="32"/>
      <c r="C448" s="32"/>
    </row>
    <row r="449" spans="2:3" x14ac:dyDescent="0.2">
      <c r="B449" s="32"/>
      <c r="C449" s="32"/>
    </row>
    <row r="450" spans="2:3" x14ac:dyDescent="0.2">
      <c r="B450" s="32"/>
      <c r="C450" s="32"/>
    </row>
    <row r="451" spans="2:3" x14ac:dyDescent="0.2">
      <c r="B451" s="32"/>
      <c r="C451" s="32"/>
    </row>
    <row r="452" spans="2:3" x14ac:dyDescent="0.2">
      <c r="B452" s="32"/>
      <c r="C452" s="32"/>
    </row>
    <row r="453" spans="2:3" x14ac:dyDescent="0.2">
      <c r="B453" s="32"/>
      <c r="C453" s="32"/>
    </row>
    <row r="454" spans="2:3" x14ac:dyDescent="0.2">
      <c r="B454" s="32"/>
      <c r="C454" s="32"/>
    </row>
    <row r="455" spans="2:3" x14ac:dyDescent="0.2">
      <c r="B455" s="32"/>
      <c r="C455" s="32"/>
    </row>
    <row r="456" spans="2:3" x14ac:dyDescent="0.2">
      <c r="B456" s="32"/>
      <c r="C456" s="32"/>
    </row>
    <row r="457" spans="2:3" x14ac:dyDescent="0.2">
      <c r="B457" s="32"/>
      <c r="C457" s="32"/>
    </row>
    <row r="458" spans="2:3" x14ac:dyDescent="0.2">
      <c r="B458" s="32"/>
      <c r="C458" s="32"/>
    </row>
    <row r="459" spans="2:3" x14ac:dyDescent="0.2">
      <c r="B459" s="32"/>
      <c r="C459" s="32"/>
    </row>
    <row r="460" spans="2:3" x14ac:dyDescent="0.2">
      <c r="B460" s="32"/>
      <c r="C460" s="32"/>
    </row>
    <row r="461" spans="2:3" x14ac:dyDescent="0.2">
      <c r="B461" s="32"/>
      <c r="C461" s="32"/>
    </row>
    <row r="462" spans="2:3" x14ac:dyDescent="0.2">
      <c r="B462" s="32"/>
      <c r="C462" s="32"/>
    </row>
    <row r="463" spans="2:3" x14ac:dyDescent="0.2">
      <c r="B463" s="32"/>
      <c r="C463" s="32"/>
    </row>
    <row r="464" spans="2:3" x14ac:dyDescent="0.2">
      <c r="B464" s="32"/>
      <c r="C464" s="32"/>
    </row>
    <row r="465" spans="2:3" x14ac:dyDescent="0.2">
      <c r="B465" s="32"/>
      <c r="C465" s="32"/>
    </row>
    <row r="466" spans="2:3" x14ac:dyDescent="0.2">
      <c r="B466" s="32"/>
      <c r="C466" s="32"/>
    </row>
    <row r="467" spans="2:3" x14ac:dyDescent="0.2">
      <c r="B467" s="32"/>
      <c r="C467" s="32"/>
    </row>
    <row r="468" spans="2:3" x14ac:dyDescent="0.2">
      <c r="B468" s="32"/>
      <c r="C468" s="32"/>
    </row>
    <row r="469" spans="2:3" x14ac:dyDescent="0.2">
      <c r="B469" s="32"/>
      <c r="C469" s="32"/>
    </row>
    <row r="470" spans="2:3" x14ac:dyDescent="0.2">
      <c r="B470" s="32"/>
      <c r="C470" s="32"/>
    </row>
    <row r="471" spans="2:3" x14ac:dyDescent="0.2">
      <c r="B471" s="32"/>
      <c r="C471" s="32"/>
    </row>
    <row r="472" spans="2:3" x14ac:dyDescent="0.2">
      <c r="B472" s="32"/>
      <c r="C472" s="32"/>
    </row>
    <row r="473" spans="2:3" x14ac:dyDescent="0.2">
      <c r="B473" s="32"/>
      <c r="C473" s="32"/>
    </row>
    <row r="474" spans="2:3" x14ac:dyDescent="0.2">
      <c r="B474" s="32"/>
      <c r="C474" s="32"/>
    </row>
    <row r="475" spans="2:3" x14ac:dyDescent="0.2">
      <c r="B475" s="32"/>
      <c r="C475" s="32"/>
    </row>
    <row r="476" spans="2:3" x14ac:dyDescent="0.2">
      <c r="B476" s="32"/>
      <c r="C476" s="32"/>
    </row>
    <row r="477" spans="2:3" x14ac:dyDescent="0.2">
      <c r="B477" s="32"/>
      <c r="C477" s="32"/>
    </row>
    <row r="478" spans="2:3" x14ac:dyDescent="0.2">
      <c r="B478" s="32"/>
      <c r="C478" s="32"/>
    </row>
    <row r="479" spans="2:3" x14ac:dyDescent="0.2">
      <c r="B479" s="32"/>
      <c r="C479" s="32"/>
    </row>
    <row r="480" spans="2:3" x14ac:dyDescent="0.2">
      <c r="B480" s="32"/>
      <c r="C480" s="32"/>
    </row>
    <row r="481" spans="2:3" x14ac:dyDescent="0.2">
      <c r="B481" s="32"/>
      <c r="C481" s="32"/>
    </row>
    <row r="482" spans="2:3" x14ac:dyDescent="0.2">
      <c r="B482" s="32"/>
      <c r="C482" s="32"/>
    </row>
    <row r="483" spans="2:3" x14ac:dyDescent="0.2">
      <c r="B483" s="32"/>
      <c r="C483" s="32"/>
    </row>
    <row r="484" spans="2:3" x14ac:dyDescent="0.2">
      <c r="B484" s="32"/>
      <c r="C484" s="32"/>
    </row>
    <row r="485" spans="2:3" x14ac:dyDescent="0.2">
      <c r="B485" s="32"/>
      <c r="C485" s="32"/>
    </row>
    <row r="486" spans="2:3" x14ac:dyDescent="0.2">
      <c r="B486" s="32"/>
      <c r="C486" s="32"/>
    </row>
    <row r="487" spans="2:3" x14ac:dyDescent="0.2">
      <c r="B487" s="32"/>
      <c r="C487" s="32"/>
    </row>
    <row r="488" spans="2:3" x14ac:dyDescent="0.2">
      <c r="B488" s="32"/>
      <c r="C488" s="32"/>
    </row>
    <row r="489" spans="2:3" x14ac:dyDescent="0.2">
      <c r="B489" s="32"/>
      <c r="C489" s="32"/>
    </row>
    <row r="490" spans="2:3" x14ac:dyDescent="0.2">
      <c r="B490" s="32"/>
      <c r="C490" s="32"/>
    </row>
    <row r="491" spans="2:3" x14ac:dyDescent="0.2">
      <c r="B491" s="32"/>
      <c r="C491" s="32"/>
    </row>
    <row r="492" spans="2:3" x14ac:dyDescent="0.2">
      <c r="B492" s="32"/>
      <c r="C492" s="32"/>
    </row>
    <row r="493" spans="2:3" x14ac:dyDescent="0.2">
      <c r="B493" s="32"/>
      <c r="C493" s="32"/>
    </row>
    <row r="494" spans="2:3" x14ac:dyDescent="0.2">
      <c r="B494" s="32"/>
      <c r="C494" s="32"/>
    </row>
    <row r="495" spans="2:3" x14ac:dyDescent="0.2">
      <c r="B495" s="32"/>
      <c r="C495" s="32"/>
    </row>
    <row r="496" spans="2:3" x14ac:dyDescent="0.2">
      <c r="B496" s="32"/>
      <c r="C496" s="32"/>
    </row>
    <row r="497" spans="2:3" x14ac:dyDescent="0.2">
      <c r="B497" s="32"/>
      <c r="C497" s="32"/>
    </row>
    <row r="498" spans="2:3" x14ac:dyDescent="0.2">
      <c r="B498" s="32"/>
      <c r="C498" s="32"/>
    </row>
    <row r="499" spans="2:3" x14ac:dyDescent="0.2">
      <c r="B499" s="32"/>
      <c r="C499" s="32"/>
    </row>
    <row r="500" spans="2:3" x14ac:dyDescent="0.2">
      <c r="B500" s="32"/>
      <c r="C500" s="32"/>
    </row>
    <row r="501" spans="2:3" x14ac:dyDescent="0.2">
      <c r="B501" s="32"/>
      <c r="C501" s="32"/>
    </row>
    <row r="502" spans="2:3" x14ac:dyDescent="0.2">
      <c r="B502" s="32"/>
      <c r="C502" s="32"/>
    </row>
    <row r="503" spans="2:3" x14ac:dyDescent="0.2">
      <c r="B503" s="32"/>
      <c r="C503" s="32"/>
    </row>
    <row r="504" spans="2:3" x14ac:dyDescent="0.2">
      <c r="B504" s="32"/>
      <c r="C504" s="32"/>
    </row>
    <row r="505" spans="2:3" x14ac:dyDescent="0.2">
      <c r="B505" s="32"/>
      <c r="C505" s="32"/>
    </row>
    <row r="506" spans="2:3" x14ac:dyDescent="0.2">
      <c r="B506" s="32"/>
      <c r="C506" s="32"/>
    </row>
    <row r="507" spans="2:3" x14ac:dyDescent="0.2">
      <c r="B507" s="32"/>
      <c r="C507" s="32"/>
    </row>
    <row r="508" spans="2:3" x14ac:dyDescent="0.2">
      <c r="B508" s="32"/>
      <c r="C508" s="32"/>
    </row>
    <row r="509" spans="2:3" x14ac:dyDescent="0.2">
      <c r="B509" s="32"/>
      <c r="C509" s="32"/>
    </row>
    <row r="510" spans="2:3" x14ac:dyDescent="0.2">
      <c r="B510" s="32"/>
      <c r="C510" s="32"/>
    </row>
    <row r="511" spans="2:3" x14ac:dyDescent="0.2">
      <c r="B511" s="32"/>
      <c r="C511" s="32"/>
    </row>
    <row r="512" spans="2:3" x14ac:dyDescent="0.2">
      <c r="B512" s="32"/>
      <c r="C512" s="32"/>
    </row>
    <row r="513" spans="2:3" x14ac:dyDescent="0.2">
      <c r="B513" s="32"/>
      <c r="C513" s="32"/>
    </row>
    <row r="514" spans="2:3" x14ac:dyDescent="0.2">
      <c r="B514" s="32"/>
      <c r="C514" s="32"/>
    </row>
    <row r="515" spans="2:3" x14ac:dyDescent="0.2">
      <c r="B515" s="32"/>
      <c r="C515" s="32"/>
    </row>
    <row r="516" spans="2:3" x14ac:dyDescent="0.2">
      <c r="B516" s="32"/>
      <c r="C516" s="32"/>
    </row>
    <row r="517" spans="2:3" x14ac:dyDescent="0.2">
      <c r="B517" s="32"/>
      <c r="C517" s="32"/>
    </row>
    <row r="518" spans="2:3" x14ac:dyDescent="0.2">
      <c r="B518" s="32"/>
      <c r="C518" s="32"/>
    </row>
    <row r="519" spans="2:3" x14ac:dyDescent="0.2">
      <c r="B519" s="32"/>
      <c r="C519" s="32"/>
    </row>
    <row r="520" spans="2:3" x14ac:dyDescent="0.2">
      <c r="B520" s="32"/>
      <c r="C520" s="32"/>
    </row>
    <row r="521" spans="2:3" x14ac:dyDescent="0.2">
      <c r="B521" s="32"/>
      <c r="C521" s="32"/>
    </row>
    <row r="522" spans="2:3" x14ac:dyDescent="0.2">
      <c r="B522" s="32"/>
      <c r="C522" s="32"/>
    </row>
    <row r="523" spans="2:3" x14ac:dyDescent="0.2">
      <c r="B523" s="32"/>
      <c r="C523" s="32"/>
    </row>
    <row r="524" spans="2:3" x14ac:dyDescent="0.2">
      <c r="B524" s="32"/>
      <c r="C524" s="32"/>
    </row>
    <row r="525" spans="2:3" x14ac:dyDescent="0.2">
      <c r="B525" s="32"/>
      <c r="C525" s="32"/>
    </row>
    <row r="526" spans="2:3" x14ac:dyDescent="0.2">
      <c r="B526" s="32"/>
      <c r="C526" s="32"/>
    </row>
    <row r="527" spans="2:3" x14ac:dyDescent="0.2">
      <c r="B527" s="32"/>
      <c r="C527" s="32"/>
    </row>
    <row r="528" spans="2:3" x14ac:dyDescent="0.2">
      <c r="B528" s="32"/>
      <c r="C528" s="32"/>
    </row>
    <row r="529" spans="2:3" x14ac:dyDescent="0.2">
      <c r="B529" s="32"/>
      <c r="C529" s="32"/>
    </row>
    <row r="530" spans="2:3" x14ac:dyDescent="0.2">
      <c r="B530" s="32"/>
      <c r="C530" s="32"/>
    </row>
    <row r="531" spans="2:3" x14ac:dyDescent="0.2">
      <c r="B531" s="32"/>
      <c r="C531" s="32"/>
    </row>
    <row r="532" spans="2:3" x14ac:dyDescent="0.2">
      <c r="B532" s="32"/>
      <c r="C532" s="32"/>
    </row>
    <row r="533" spans="2:3" x14ac:dyDescent="0.2">
      <c r="B533" s="32"/>
      <c r="C533" s="32"/>
    </row>
    <row r="534" spans="2:3" x14ac:dyDescent="0.2">
      <c r="B534" s="32"/>
      <c r="C534" s="32"/>
    </row>
    <row r="535" spans="2:3" x14ac:dyDescent="0.2">
      <c r="B535" s="32"/>
      <c r="C535" s="32"/>
    </row>
    <row r="536" spans="2:3" x14ac:dyDescent="0.2">
      <c r="B536" s="32"/>
      <c r="C536" s="32"/>
    </row>
    <row r="537" spans="2:3" x14ac:dyDescent="0.2">
      <c r="B537" s="32"/>
      <c r="C537" s="32"/>
    </row>
    <row r="538" spans="2:3" x14ac:dyDescent="0.2">
      <c r="B538" s="32"/>
      <c r="C538" s="32"/>
    </row>
    <row r="539" spans="2:3" x14ac:dyDescent="0.2">
      <c r="B539" s="32"/>
      <c r="C539" s="32"/>
    </row>
    <row r="540" spans="2:3" x14ac:dyDescent="0.2">
      <c r="B540" s="32"/>
      <c r="C540" s="32"/>
    </row>
    <row r="541" spans="2:3" x14ac:dyDescent="0.2">
      <c r="B541" s="32"/>
      <c r="C541" s="32"/>
    </row>
    <row r="542" spans="2:3" x14ac:dyDescent="0.2">
      <c r="B542" s="32"/>
      <c r="C542" s="32"/>
    </row>
    <row r="543" spans="2:3" x14ac:dyDescent="0.2">
      <c r="B543" s="32"/>
      <c r="C543" s="32"/>
    </row>
    <row r="544" spans="2:3" x14ac:dyDescent="0.2">
      <c r="B544" s="32"/>
      <c r="C544" s="32"/>
    </row>
    <row r="545" spans="2:3" x14ac:dyDescent="0.2">
      <c r="B545" s="32"/>
      <c r="C545" s="32"/>
    </row>
    <row r="546" spans="2:3" x14ac:dyDescent="0.2">
      <c r="B546" s="32"/>
      <c r="C546" s="32"/>
    </row>
    <row r="547" spans="2:3" x14ac:dyDescent="0.2">
      <c r="B547" s="32"/>
      <c r="C547" s="32"/>
    </row>
    <row r="548" spans="2:3" x14ac:dyDescent="0.2">
      <c r="B548" s="32"/>
      <c r="C548" s="32"/>
    </row>
    <row r="549" spans="2:3" x14ac:dyDescent="0.2">
      <c r="B549" s="32"/>
      <c r="C549" s="32"/>
    </row>
    <row r="550" spans="2:3" x14ac:dyDescent="0.2">
      <c r="B550" s="32"/>
      <c r="C550" s="32"/>
    </row>
    <row r="551" spans="2:3" x14ac:dyDescent="0.2">
      <c r="B551" s="32"/>
      <c r="C551" s="32"/>
    </row>
    <row r="552" spans="2:3" x14ac:dyDescent="0.2">
      <c r="B552" s="32"/>
      <c r="C552" s="32"/>
    </row>
    <row r="553" spans="2:3" x14ac:dyDescent="0.2">
      <c r="B553" s="32"/>
      <c r="C553" s="32"/>
    </row>
    <row r="554" spans="2:3" x14ac:dyDescent="0.2">
      <c r="B554" s="32"/>
      <c r="C554" s="32"/>
    </row>
    <row r="555" spans="2:3" x14ac:dyDescent="0.2">
      <c r="B555" s="32"/>
      <c r="C555" s="32"/>
    </row>
    <row r="556" spans="2:3" x14ac:dyDescent="0.2">
      <c r="B556" s="32"/>
      <c r="C556" s="32"/>
    </row>
    <row r="557" spans="2:3" x14ac:dyDescent="0.2">
      <c r="B557" s="32"/>
      <c r="C557" s="32"/>
    </row>
    <row r="558" spans="2:3" x14ac:dyDescent="0.2">
      <c r="B558" s="32"/>
      <c r="C558" s="32"/>
    </row>
    <row r="559" spans="2:3" x14ac:dyDescent="0.2">
      <c r="B559" s="32"/>
      <c r="C559" s="32"/>
    </row>
    <row r="560" spans="2:3" x14ac:dyDescent="0.2">
      <c r="B560" s="32"/>
      <c r="C560" s="32"/>
    </row>
    <row r="561" spans="2:3" x14ac:dyDescent="0.2">
      <c r="B561" s="32"/>
      <c r="C561" s="32"/>
    </row>
    <row r="562" spans="2:3" x14ac:dyDescent="0.2">
      <c r="B562" s="32"/>
      <c r="C562" s="32"/>
    </row>
    <row r="563" spans="2:3" x14ac:dyDescent="0.2">
      <c r="B563" s="32"/>
      <c r="C563" s="32"/>
    </row>
    <row r="564" spans="2:3" x14ac:dyDescent="0.2">
      <c r="B564" s="32"/>
      <c r="C564" s="32"/>
    </row>
    <row r="565" spans="2:3" x14ac:dyDescent="0.2">
      <c r="B565" s="32"/>
      <c r="C565" s="32"/>
    </row>
    <row r="566" spans="2:3" x14ac:dyDescent="0.2">
      <c r="B566" s="32"/>
      <c r="C566" s="32"/>
    </row>
    <row r="567" spans="2:3" x14ac:dyDescent="0.2">
      <c r="B567" s="32"/>
      <c r="C567" s="32"/>
    </row>
    <row r="568" spans="2:3" x14ac:dyDescent="0.2">
      <c r="B568" s="32"/>
      <c r="C568" s="32"/>
    </row>
    <row r="569" spans="2:3" x14ac:dyDescent="0.2">
      <c r="B569" s="32"/>
      <c r="C569" s="32"/>
    </row>
    <row r="570" spans="2:3" x14ac:dyDescent="0.2">
      <c r="B570" s="32"/>
      <c r="C570" s="32"/>
    </row>
    <row r="571" spans="2:3" x14ac:dyDescent="0.2">
      <c r="B571" s="32"/>
      <c r="C571" s="32"/>
    </row>
    <row r="572" spans="2:3" x14ac:dyDescent="0.2">
      <c r="B572" s="32"/>
      <c r="C572" s="32"/>
    </row>
    <row r="573" spans="2:3" x14ac:dyDescent="0.2">
      <c r="B573" s="32"/>
      <c r="C573" s="32"/>
    </row>
    <row r="574" spans="2:3" x14ac:dyDescent="0.2">
      <c r="B574" s="32"/>
      <c r="C574" s="32"/>
    </row>
    <row r="575" spans="2:3" x14ac:dyDescent="0.2">
      <c r="B575" s="32"/>
      <c r="C575" s="32"/>
    </row>
    <row r="576" spans="2:3" x14ac:dyDescent="0.2">
      <c r="B576" s="32"/>
      <c r="C576" s="32"/>
    </row>
    <row r="577" spans="2:3" x14ac:dyDescent="0.2">
      <c r="B577" s="32"/>
      <c r="C577" s="32"/>
    </row>
    <row r="578" spans="2:3" x14ac:dyDescent="0.2">
      <c r="B578" s="32"/>
      <c r="C578" s="32"/>
    </row>
    <row r="579" spans="2:3" x14ac:dyDescent="0.2">
      <c r="B579" s="32"/>
      <c r="C579" s="32"/>
    </row>
    <row r="580" spans="2:3" x14ac:dyDescent="0.2">
      <c r="B580" s="32"/>
      <c r="C580" s="32"/>
    </row>
    <row r="581" spans="2:3" x14ac:dyDescent="0.2">
      <c r="B581" s="32"/>
      <c r="C581" s="32"/>
    </row>
    <row r="582" spans="2:3" x14ac:dyDescent="0.2">
      <c r="B582" s="32"/>
      <c r="C582" s="32"/>
    </row>
    <row r="583" spans="2:3" x14ac:dyDescent="0.2">
      <c r="B583" s="32"/>
      <c r="C583" s="32"/>
    </row>
    <row r="584" spans="2:3" x14ac:dyDescent="0.2">
      <c r="B584" s="32"/>
      <c r="C584" s="32"/>
    </row>
    <row r="585" spans="2:3" x14ac:dyDescent="0.2">
      <c r="B585" s="32"/>
      <c r="C585" s="32"/>
    </row>
    <row r="586" spans="2:3" x14ac:dyDescent="0.2">
      <c r="B586" s="32"/>
      <c r="C586" s="32"/>
    </row>
    <row r="587" spans="2:3" x14ac:dyDescent="0.2">
      <c r="B587" s="32"/>
      <c r="C587" s="32"/>
    </row>
    <row r="588" spans="2:3" x14ac:dyDescent="0.2">
      <c r="B588" s="32"/>
      <c r="C588" s="32"/>
    </row>
    <row r="589" spans="2:3" x14ac:dyDescent="0.2">
      <c r="B589" s="32"/>
      <c r="C589" s="32"/>
    </row>
    <row r="590" spans="2:3" x14ac:dyDescent="0.2">
      <c r="B590" s="32"/>
      <c r="C590" s="32"/>
    </row>
    <row r="591" spans="2:3" x14ac:dyDescent="0.2">
      <c r="B591" s="32"/>
      <c r="C591" s="32"/>
    </row>
    <row r="592" spans="2:3" x14ac:dyDescent="0.2">
      <c r="B592" s="32"/>
      <c r="C592" s="32"/>
    </row>
    <row r="593" spans="2:3" x14ac:dyDescent="0.2">
      <c r="B593" s="32"/>
      <c r="C593" s="32"/>
    </row>
    <row r="594" spans="2:3" x14ac:dyDescent="0.2">
      <c r="B594" s="32"/>
      <c r="C594" s="32"/>
    </row>
    <row r="595" spans="2:3" x14ac:dyDescent="0.2">
      <c r="B595" s="32"/>
      <c r="C595" s="32"/>
    </row>
    <row r="596" spans="2:3" x14ac:dyDescent="0.2">
      <c r="B596" s="32"/>
      <c r="C596" s="32"/>
    </row>
    <row r="597" spans="2:3" x14ac:dyDescent="0.2">
      <c r="B597" s="32"/>
      <c r="C597" s="32"/>
    </row>
    <row r="598" spans="2:3" x14ac:dyDescent="0.2">
      <c r="B598" s="32"/>
      <c r="C598" s="32"/>
    </row>
    <row r="599" spans="2:3" x14ac:dyDescent="0.2">
      <c r="B599" s="32"/>
      <c r="C599" s="32"/>
    </row>
    <row r="600" spans="2:3" x14ac:dyDescent="0.2">
      <c r="B600" s="32"/>
      <c r="C600" s="32"/>
    </row>
    <row r="601" spans="2:3" x14ac:dyDescent="0.2">
      <c r="B601" s="32"/>
      <c r="C601" s="32"/>
    </row>
    <row r="602" spans="2:3" x14ac:dyDescent="0.2">
      <c r="B602" s="32"/>
      <c r="C602" s="32"/>
    </row>
    <row r="603" spans="2:3" x14ac:dyDescent="0.2">
      <c r="B603" s="32"/>
      <c r="C603" s="32"/>
    </row>
    <row r="604" spans="2:3" x14ac:dyDescent="0.2">
      <c r="B604" s="32"/>
      <c r="C604" s="32"/>
    </row>
    <row r="605" spans="2:3" x14ac:dyDescent="0.2">
      <c r="B605" s="32"/>
      <c r="C605" s="32"/>
    </row>
    <row r="606" spans="2:3" x14ac:dyDescent="0.2">
      <c r="B606" s="32"/>
      <c r="C606" s="32"/>
    </row>
    <row r="607" spans="2:3" x14ac:dyDescent="0.2">
      <c r="B607" s="32"/>
      <c r="C607" s="32"/>
    </row>
    <row r="608" spans="2:3" x14ac:dyDescent="0.2">
      <c r="B608" s="32"/>
      <c r="C608" s="32"/>
    </row>
    <row r="609" spans="2:3" x14ac:dyDescent="0.2">
      <c r="B609" s="32"/>
      <c r="C609" s="32"/>
    </row>
    <row r="610" spans="2:3" x14ac:dyDescent="0.2">
      <c r="B610" s="32"/>
      <c r="C610" s="32"/>
    </row>
    <row r="611" spans="2:3" x14ac:dyDescent="0.2">
      <c r="B611" s="32"/>
      <c r="C611" s="32"/>
    </row>
    <row r="612" spans="2:3" x14ac:dyDescent="0.2">
      <c r="B612" s="32"/>
      <c r="C612" s="32"/>
    </row>
    <row r="613" spans="2:3" x14ac:dyDescent="0.2">
      <c r="B613" s="32"/>
      <c r="C613" s="32"/>
    </row>
    <row r="614" spans="2:3" x14ac:dyDescent="0.2">
      <c r="B614" s="32"/>
      <c r="C614" s="32"/>
    </row>
    <row r="615" spans="2:3" x14ac:dyDescent="0.2">
      <c r="B615" s="32"/>
      <c r="C615" s="32"/>
    </row>
    <row r="616" spans="2:3" x14ac:dyDescent="0.2">
      <c r="B616" s="32"/>
      <c r="C616" s="32"/>
    </row>
    <row r="617" spans="2:3" x14ac:dyDescent="0.2">
      <c r="B617" s="32"/>
      <c r="C617" s="32"/>
    </row>
    <row r="618" spans="2:3" x14ac:dyDescent="0.2">
      <c r="B618" s="32"/>
      <c r="C618" s="32"/>
    </row>
    <row r="619" spans="2:3" x14ac:dyDescent="0.2">
      <c r="B619" s="32"/>
      <c r="C619" s="32"/>
    </row>
    <row r="620" spans="2:3" x14ac:dyDescent="0.2">
      <c r="B620" s="32"/>
      <c r="C620" s="32"/>
    </row>
    <row r="621" spans="2:3" x14ac:dyDescent="0.2">
      <c r="B621" s="32"/>
      <c r="C621" s="32"/>
    </row>
    <row r="622" spans="2:3" x14ac:dyDescent="0.2">
      <c r="B622" s="32"/>
      <c r="C622" s="32"/>
    </row>
    <row r="623" spans="2:3" x14ac:dyDescent="0.2">
      <c r="B623" s="32"/>
      <c r="C623" s="32"/>
    </row>
    <row r="624" spans="2:3" x14ac:dyDescent="0.2">
      <c r="B624" s="32"/>
      <c r="C624" s="32"/>
    </row>
    <row r="625" spans="2:3" x14ac:dyDescent="0.2">
      <c r="B625" s="32"/>
      <c r="C625" s="32"/>
    </row>
    <row r="626" spans="2:3" x14ac:dyDescent="0.2">
      <c r="B626" s="32"/>
      <c r="C626" s="32"/>
    </row>
    <row r="627" spans="2:3" x14ac:dyDescent="0.2">
      <c r="B627" s="32"/>
      <c r="C627" s="32"/>
    </row>
    <row r="628" spans="2:3" x14ac:dyDescent="0.2">
      <c r="B628" s="32"/>
      <c r="C628" s="32"/>
    </row>
    <row r="629" spans="2:3" x14ac:dyDescent="0.2">
      <c r="B629" s="32"/>
      <c r="C629" s="32"/>
    </row>
    <row r="630" spans="2:3" x14ac:dyDescent="0.2">
      <c r="B630" s="32"/>
      <c r="C630" s="32"/>
    </row>
    <row r="631" spans="2:3" x14ac:dyDescent="0.2">
      <c r="B631" s="32"/>
      <c r="C631" s="32"/>
    </row>
    <row r="632" spans="2:3" x14ac:dyDescent="0.2">
      <c r="B632" s="32"/>
      <c r="C632" s="32"/>
    </row>
    <row r="633" spans="2:3" x14ac:dyDescent="0.2">
      <c r="B633" s="32"/>
      <c r="C633" s="32"/>
    </row>
    <row r="634" spans="2:3" x14ac:dyDescent="0.2">
      <c r="B634" s="32"/>
      <c r="C634" s="32"/>
    </row>
    <row r="635" spans="2:3" x14ac:dyDescent="0.2">
      <c r="B635" s="32"/>
      <c r="C635" s="32"/>
    </row>
    <row r="636" spans="2:3" x14ac:dyDescent="0.2">
      <c r="B636" s="32"/>
      <c r="C636" s="32"/>
    </row>
    <row r="637" spans="2:3" x14ac:dyDescent="0.2">
      <c r="B637" s="32"/>
      <c r="C637" s="32"/>
    </row>
    <row r="638" spans="2:3" x14ac:dyDescent="0.2">
      <c r="B638" s="32"/>
      <c r="C638" s="32"/>
    </row>
    <row r="639" spans="2:3" x14ac:dyDescent="0.2">
      <c r="B639" s="32"/>
      <c r="C639" s="32"/>
    </row>
    <row r="640" spans="2:3" x14ac:dyDescent="0.2">
      <c r="B640" s="32"/>
      <c r="C640" s="32"/>
    </row>
    <row r="641" spans="2:3" x14ac:dyDescent="0.2">
      <c r="B641" s="32"/>
      <c r="C641" s="32"/>
    </row>
    <row r="642" spans="2:3" x14ac:dyDescent="0.2">
      <c r="B642" s="32"/>
      <c r="C642" s="32"/>
    </row>
    <row r="643" spans="2:3" x14ac:dyDescent="0.2">
      <c r="B643" s="32"/>
      <c r="C643" s="32"/>
    </row>
    <row r="644" spans="2:3" x14ac:dyDescent="0.2">
      <c r="B644" s="32"/>
      <c r="C644" s="32"/>
    </row>
    <row r="645" spans="2:3" x14ac:dyDescent="0.2">
      <c r="B645" s="32"/>
      <c r="C645" s="32"/>
    </row>
    <row r="646" spans="2:3" x14ac:dyDescent="0.2">
      <c r="B646" s="32"/>
      <c r="C646" s="32"/>
    </row>
    <row r="647" spans="2:3" x14ac:dyDescent="0.2">
      <c r="B647" s="32"/>
      <c r="C647" s="32"/>
    </row>
    <row r="648" spans="2:3" x14ac:dyDescent="0.2">
      <c r="B648" s="32"/>
      <c r="C648" s="32"/>
    </row>
    <row r="649" spans="2:3" x14ac:dyDescent="0.2">
      <c r="B649" s="32"/>
      <c r="C649" s="32"/>
    </row>
    <row r="650" spans="2:3" x14ac:dyDescent="0.2">
      <c r="B650" s="32"/>
      <c r="C650" s="32"/>
    </row>
    <row r="651" spans="2:3" x14ac:dyDescent="0.2">
      <c r="B651" s="32"/>
      <c r="C651" s="32"/>
    </row>
    <row r="652" spans="2:3" x14ac:dyDescent="0.2">
      <c r="B652" s="32"/>
      <c r="C652" s="32"/>
    </row>
    <row r="653" spans="2:3" x14ac:dyDescent="0.2">
      <c r="B653" s="32"/>
      <c r="C653" s="32"/>
    </row>
    <row r="654" spans="2:3" x14ac:dyDescent="0.2">
      <c r="B654" s="32"/>
      <c r="C654" s="32"/>
    </row>
    <row r="655" spans="2:3" x14ac:dyDescent="0.2">
      <c r="B655" s="32"/>
      <c r="C655" s="32"/>
    </row>
    <row r="656" spans="2:3" x14ac:dyDescent="0.2">
      <c r="B656" s="32"/>
      <c r="C656" s="32"/>
    </row>
    <row r="657" spans="2:3" x14ac:dyDescent="0.2">
      <c r="B657" s="32"/>
      <c r="C657" s="32"/>
    </row>
    <row r="658" spans="2:3" x14ac:dyDescent="0.2">
      <c r="B658" s="32"/>
      <c r="C658" s="32"/>
    </row>
    <row r="659" spans="2:3" x14ac:dyDescent="0.2">
      <c r="B659" s="32"/>
      <c r="C659" s="32"/>
    </row>
    <row r="660" spans="2:3" x14ac:dyDescent="0.2">
      <c r="B660" s="32"/>
      <c r="C660" s="32"/>
    </row>
    <row r="661" spans="2:3" x14ac:dyDescent="0.2">
      <c r="B661" s="32"/>
      <c r="C661" s="32"/>
    </row>
    <row r="662" spans="2:3" x14ac:dyDescent="0.2">
      <c r="B662" s="32"/>
      <c r="C662" s="32"/>
    </row>
    <row r="663" spans="2:3" x14ac:dyDescent="0.2">
      <c r="B663" s="32"/>
      <c r="C663" s="32"/>
    </row>
    <row r="664" spans="2:3" x14ac:dyDescent="0.2">
      <c r="B664" s="32"/>
      <c r="C664" s="32"/>
    </row>
    <row r="665" spans="2:3" x14ac:dyDescent="0.2">
      <c r="B665" s="32"/>
      <c r="C665" s="32"/>
    </row>
    <row r="666" spans="2:3" x14ac:dyDescent="0.2">
      <c r="B666" s="32"/>
      <c r="C666" s="32"/>
    </row>
    <row r="667" spans="2:3" x14ac:dyDescent="0.2">
      <c r="B667" s="32"/>
      <c r="C667" s="32"/>
    </row>
    <row r="668" spans="2:3" x14ac:dyDescent="0.2">
      <c r="B668" s="32"/>
      <c r="C668" s="32"/>
    </row>
    <row r="669" spans="2:3" x14ac:dyDescent="0.2">
      <c r="B669" s="32"/>
      <c r="C669" s="32"/>
    </row>
    <row r="670" spans="2:3" x14ac:dyDescent="0.2">
      <c r="B670" s="32"/>
      <c r="C670" s="32"/>
    </row>
    <row r="671" spans="2:3" x14ac:dyDescent="0.2">
      <c r="B671" s="32"/>
      <c r="C671" s="32"/>
    </row>
    <row r="672" spans="2:3" x14ac:dyDescent="0.2">
      <c r="B672" s="32"/>
      <c r="C672" s="32"/>
    </row>
    <row r="673" spans="2:3" x14ac:dyDescent="0.2">
      <c r="B673" s="32"/>
      <c r="C673" s="32"/>
    </row>
    <row r="674" spans="2:3" x14ac:dyDescent="0.2">
      <c r="B674" s="32"/>
      <c r="C674" s="32"/>
    </row>
    <row r="675" spans="2:3" x14ac:dyDescent="0.2">
      <c r="B675" s="32"/>
      <c r="C675" s="32"/>
    </row>
    <row r="676" spans="2:3" x14ac:dyDescent="0.2">
      <c r="B676" s="32"/>
      <c r="C676" s="32"/>
    </row>
    <row r="677" spans="2:3" x14ac:dyDescent="0.2">
      <c r="B677" s="32"/>
      <c r="C677" s="32"/>
    </row>
    <row r="678" spans="2:3" x14ac:dyDescent="0.2">
      <c r="B678" s="32"/>
      <c r="C678" s="32"/>
    </row>
    <row r="679" spans="2:3" x14ac:dyDescent="0.2">
      <c r="B679" s="32"/>
      <c r="C679" s="32"/>
    </row>
    <row r="680" spans="2:3" x14ac:dyDescent="0.2">
      <c r="B680" s="32"/>
      <c r="C680" s="32"/>
    </row>
    <row r="681" spans="2:3" x14ac:dyDescent="0.2">
      <c r="B681" s="32"/>
      <c r="C681" s="32"/>
    </row>
    <row r="682" spans="2:3" x14ac:dyDescent="0.2">
      <c r="B682" s="32"/>
      <c r="C682" s="32"/>
    </row>
    <row r="683" spans="2:3" x14ac:dyDescent="0.2">
      <c r="B683" s="32"/>
      <c r="C683" s="32"/>
    </row>
    <row r="684" spans="2:3" x14ac:dyDescent="0.2">
      <c r="B684" s="32"/>
      <c r="C684" s="32"/>
    </row>
    <row r="685" spans="2:3" x14ac:dyDescent="0.2">
      <c r="B685" s="32"/>
      <c r="C685" s="32"/>
    </row>
    <row r="686" spans="2:3" x14ac:dyDescent="0.2">
      <c r="B686" s="32"/>
      <c r="C686" s="32"/>
    </row>
    <row r="687" spans="2:3" x14ac:dyDescent="0.2">
      <c r="B687" s="32"/>
      <c r="C687" s="32"/>
    </row>
    <row r="688" spans="2:3" x14ac:dyDescent="0.2">
      <c r="B688" s="32"/>
      <c r="C688" s="32"/>
    </row>
    <row r="689" spans="2:3" x14ac:dyDescent="0.2">
      <c r="B689" s="32"/>
      <c r="C689" s="32"/>
    </row>
    <row r="690" spans="2:3" x14ac:dyDescent="0.2">
      <c r="B690" s="32"/>
      <c r="C690" s="32"/>
    </row>
    <row r="691" spans="2:3" x14ac:dyDescent="0.2">
      <c r="B691" s="32"/>
      <c r="C691" s="32"/>
    </row>
    <row r="692" spans="2:3" x14ac:dyDescent="0.2">
      <c r="B692" s="32"/>
      <c r="C692" s="32"/>
    </row>
    <row r="693" spans="2:3" x14ac:dyDescent="0.2">
      <c r="B693" s="32"/>
      <c r="C693" s="32"/>
    </row>
    <row r="694" spans="2:3" x14ac:dyDescent="0.2">
      <c r="B694" s="32"/>
      <c r="C694" s="32"/>
    </row>
    <row r="695" spans="2:3" x14ac:dyDescent="0.2">
      <c r="B695" s="32"/>
      <c r="C695" s="32"/>
    </row>
    <row r="696" spans="2:3" x14ac:dyDescent="0.2">
      <c r="B696" s="32"/>
      <c r="C696" s="32"/>
    </row>
    <row r="697" spans="2:3" x14ac:dyDescent="0.2">
      <c r="B697" s="32"/>
      <c r="C697" s="32"/>
    </row>
    <row r="698" spans="2:3" x14ac:dyDescent="0.2">
      <c r="B698" s="32"/>
      <c r="C698" s="32"/>
    </row>
    <row r="699" spans="2:3" x14ac:dyDescent="0.2">
      <c r="B699" s="32"/>
      <c r="C699" s="32"/>
    </row>
    <row r="700" spans="2:3" x14ac:dyDescent="0.2">
      <c r="B700" s="32"/>
      <c r="C700" s="32"/>
    </row>
    <row r="701" spans="2:3" x14ac:dyDescent="0.2">
      <c r="B701" s="32"/>
      <c r="C701" s="32"/>
    </row>
    <row r="702" spans="2:3" x14ac:dyDescent="0.2">
      <c r="B702" s="32"/>
      <c r="C702" s="32"/>
    </row>
    <row r="703" spans="2:3" x14ac:dyDescent="0.2">
      <c r="B703" s="32"/>
      <c r="C703" s="32"/>
    </row>
    <row r="704" spans="2:3" x14ac:dyDescent="0.2">
      <c r="B704" s="32"/>
      <c r="C704" s="32"/>
    </row>
    <row r="705" spans="2:3" x14ac:dyDescent="0.2">
      <c r="B705" s="32"/>
      <c r="C705" s="32"/>
    </row>
    <row r="706" spans="2:3" x14ac:dyDescent="0.2">
      <c r="B706" s="32"/>
      <c r="C706" s="32"/>
    </row>
    <row r="707" spans="2:3" x14ac:dyDescent="0.2">
      <c r="B707" s="32"/>
      <c r="C707" s="32"/>
    </row>
    <row r="708" spans="2:3" x14ac:dyDescent="0.2">
      <c r="B708" s="32"/>
      <c r="C708" s="32"/>
    </row>
    <row r="709" spans="2:3" x14ac:dyDescent="0.2">
      <c r="B709" s="32"/>
      <c r="C709" s="32"/>
    </row>
    <row r="710" spans="2:3" x14ac:dyDescent="0.2">
      <c r="B710" s="32"/>
      <c r="C710" s="32"/>
    </row>
    <row r="711" spans="2:3" x14ac:dyDescent="0.2">
      <c r="B711" s="32"/>
      <c r="C711" s="32"/>
    </row>
    <row r="712" spans="2:3" x14ac:dyDescent="0.2">
      <c r="B712" s="32"/>
      <c r="C712" s="32"/>
    </row>
    <row r="713" spans="2:3" x14ac:dyDescent="0.2">
      <c r="B713" s="32"/>
      <c r="C713" s="32"/>
    </row>
    <row r="714" spans="2:3" x14ac:dyDescent="0.2">
      <c r="B714" s="32"/>
      <c r="C714" s="32"/>
    </row>
    <row r="715" spans="2:3" x14ac:dyDescent="0.2">
      <c r="B715" s="32"/>
      <c r="C715" s="32"/>
    </row>
    <row r="716" spans="2:3" x14ac:dyDescent="0.2">
      <c r="B716" s="32"/>
      <c r="C716" s="32"/>
    </row>
    <row r="717" spans="2:3" x14ac:dyDescent="0.2">
      <c r="B717" s="32"/>
      <c r="C717" s="32"/>
    </row>
    <row r="718" spans="2:3" x14ac:dyDescent="0.2">
      <c r="B718" s="32"/>
      <c r="C718" s="32"/>
    </row>
    <row r="719" spans="2:3" x14ac:dyDescent="0.2">
      <c r="B719" s="32"/>
      <c r="C719" s="32"/>
    </row>
    <row r="720" spans="2:3" x14ac:dyDescent="0.2">
      <c r="B720" s="32"/>
      <c r="C720" s="32"/>
    </row>
    <row r="721" spans="2:3" x14ac:dyDescent="0.2">
      <c r="B721" s="32"/>
      <c r="C721" s="32"/>
    </row>
    <row r="722" spans="2:3" x14ac:dyDescent="0.2">
      <c r="B722" s="32"/>
      <c r="C722" s="32"/>
    </row>
    <row r="723" spans="2:3" x14ac:dyDescent="0.2">
      <c r="B723" s="32"/>
      <c r="C723" s="32"/>
    </row>
    <row r="724" spans="2:3" x14ac:dyDescent="0.2">
      <c r="B724" s="32"/>
      <c r="C724" s="32"/>
    </row>
    <row r="725" spans="2:3" x14ac:dyDescent="0.2">
      <c r="B725" s="32"/>
      <c r="C725" s="32"/>
    </row>
    <row r="726" spans="2:3" x14ac:dyDescent="0.2">
      <c r="B726" s="32"/>
      <c r="C726" s="32"/>
    </row>
    <row r="727" spans="2:3" x14ac:dyDescent="0.2">
      <c r="B727" s="32"/>
      <c r="C727" s="32"/>
    </row>
    <row r="728" spans="2:3" x14ac:dyDescent="0.2">
      <c r="B728" s="32"/>
      <c r="C728" s="32"/>
    </row>
    <row r="729" spans="2:3" x14ac:dyDescent="0.2">
      <c r="B729" s="32"/>
      <c r="C729" s="32"/>
    </row>
    <row r="730" spans="2:3" x14ac:dyDescent="0.2">
      <c r="B730" s="32"/>
      <c r="C730" s="32"/>
    </row>
    <row r="731" spans="2:3" x14ac:dyDescent="0.2">
      <c r="B731" s="32"/>
      <c r="C731" s="32"/>
    </row>
    <row r="732" spans="2:3" x14ac:dyDescent="0.2">
      <c r="B732" s="32"/>
      <c r="C732" s="32"/>
    </row>
    <row r="733" spans="2:3" x14ac:dyDescent="0.2">
      <c r="B733" s="32"/>
      <c r="C733" s="32"/>
    </row>
    <row r="734" spans="2:3" x14ac:dyDescent="0.2">
      <c r="B734" s="32"/>
      <c r="C734" s="32"/>
    </row>
    <row r="735" spans="2:3" x14ac:dyDescent="0.2">
      <c r="B735" s="32"/>
      <c r="C735" s="32"/>
    </row>
    <row r="736" spans="2:3" x14ac:dyDescent="0.2">
      <c r="B736" s="32"/>
      <c r="C736" s="32"/>
    </row>
    <row r="737" spans="2:3" x14ac:dyDescent="0.2">
      <c r="B737" s="32"/>
      <c r="C737" s="32"/>
    </row>
    <row r="738" spans="2:3" x14ac:dyDescent="0.2">
      <c r="B738" s="32"/>
      <c r="C738" s="32"/>
    </row>
    <row r="739" spans="2:3" x14ac:dyDescent="0.2">
      <c r="B739" s="32"/>
      <c r="C739" s="32"/>
    </row>
    <row r="740" spans="2:3" x14ac:dyDescent="0.2">
      <c r="B740" s="32"/>
      <c r="C740" s="32"/>
    </row>
    <row r="741" spans="2:3" x14ac:dyDescent="0.2">
      <c r="B741" s="32"/>
      <c r="C741" s="32"/>
    </row>
    <row r="742" spans="2:3" x14ac:dyDescent="0.2">
      <c r="B742" s="32"/>
      <c r="C742" s="32"/>
    </row>
    <row r="743" spans="2:3" x14ac:dyDescent="0.2">
      <c r="B743" s="32"/>
      <c r="C743" s="32"/>
    </row>
    <row r="744" spans="2:3" x14ac:dyDescent="0.2">
      <c r="B744" s="32"/>
      <c r="C744" s="32"/>
    </row>
    <row r="745" spans="2:3" x14ac:dyDescent="0.2">
      <c r="B745" s="32"/>
      <c r="C745" s="32"/>
    </row>
    <row r="746" spans="2:3" x14ac:dyDescent="0.2">
      <c r="B746" s="32"/>
      <c r="C746" s="32"/>
    </row>
    <row r="747" spans="2:3" x14ac:dyDescent="0.2">
      <c r="B747" s="32"/>
      <c r="C747" s="32"/>
    </row>
    <row r="748" spans="2:3" x14ac:dyDescent="0.2">
      <c r="B748" s="32"/>
      <c r="C748" s="32"/>
    </row>
    <row r="749" spans="2:3" x14ac:dyDescent="0.2">
      <c r="B749" s="32"/>
      <c r="C749" s="32"/>
    </row>
    <row r="750" spans="2:3" x14ac:dyDescent="0.2">
      <c r="B750" s="32"/>
      <c r="C750" s="32"/>
    </row>
    <row r="751" spans="2:3" x14ac:dyDescent="0.2">
      <c r="B751" s="32"/>
      <c r="C751" s="32"/>
    </row>
    <row r="752" spans="2:3" x14ac:dyDescent="0.2">
      <c r="B752" s="32"/>
      <c r="C752" s="32"/>
    </row>
    <row r="753" spans="2:3" x14ac:dyDescent="0.2">
      <c r="B753" s="32"/>
      <c r="C753" s="32"/>
    </row>
    <row r="754" spans="2:3" x14ac:dyDescent="0.2">
      <c r="B754" s="32"/>
      <c r="C754" s="32"/>
    </row>
    <row r="755" spans="2:3" x14ac:dyDescent="0.2">
      <c r="B755" s="32"/>
      <c r="C755" s="32"/>
    </row>
    <row r="756" spans="2:3" x14ac:dyDescent="0.2">
      <c r="B756" s="32"/>
      <c r="C756" s="32"/>
    </row>
    <row r="757" spans="2:3" x14ac:dyDescent="0.2">
      <c r="B757" s="32"/>
      <c r="C757" s="32"/>
    </row>
    <row r="758" spans="2:3" x14ac:dyDescent="0.2">
      <c r="B758" s="32"/>
      <c r="C758" s="32"/>
    </row>
    <row r="759" spans="2:3" x14ac:dyDescent="0.2">
      <c r="B759" s="32"/>
      <c r="C759" s="32"/>
    </row>
    <row r="760" spans="2:3" x14ac:dyDescent="0.2">
      <c r="B760" s="32"/>
      <c r="C760" s="32"/>
    </row>
    <row r="761" spans="2:3" x14ac:dyDescent="0.2">
      <c r="B761" s="32"/>
      <c r="C761" s="32"/>
    </row>
    <row r="762" spans="2:3" x14ac:dyDescent="0.2">
      <c r="B762" s="32"/>
      <c r="C762" s="32"/>
    </row>
    <row r="763" spans="2:3" x14ac:dyDescent="0.2">
      <c r="B763" s="32"/>
      <c r="C763" s="32"/>
    </row>
    <row r="764" spans="2:3" x14ac:dyDescent="0.2">
      <c r="B764" s="32"/>
      <c r="C764" s="32"/>
    </row>
    <row r="765" spans="2:3" x14ac:dyDescent="0.2">
      <c r="B765" s="32"/>
      <c r="C765" s="32"/>
    </row>
    <row r="766" spans="2:3" x14ac:dyDescent="0.2">
      <c r="B766" s="32"/>
      <c r="C766" s="32"/>
    </row>
    <row r="767" spans="2:3" x14ac:dyDescent="0.2">
      <c r="B767" s="32"/>
      <c r="C767" s="32"/>
    </row>
    <row r="768" spans="2:3" x14ac:dyDescent="0.2">
      <c r="B768" s="32"/>
      <c r="C768" s="32"/>
    </row>
    <row r="769" spans="2:3" x14ac:dyDescent="0.2">
      <c r="B769" s="32"/>
      <c r="C769" s="32"/>
    </row>
    <row r="770" spans="2:3" x14ac:dyDescent="0.2">
      <c r="B770" s="32"/>
      <c r="C770" s="32"/>
    </row>
    <row r="771" spans="2:3" x14ac:dyDescent="0.2">
      <c r="B771" s="32"/>
      <c r="C771" s="32"/>
    </row>
    <row r="772" spans="2:3" x14ac:dyDescent="0.2">
      <c r="B772" s="32"/>
      <c r="C772" s="32"/>
    </row>
    <row r="773" spans="2:3" x14ac:dyDescent="0.2">
      <c r="B773" s="32"/>
      <c r="C773" s="32"/>
    </row>
    <row r="774" spans="2:3" x14ac:dyDescent="0.2">
      <c r="B774" s="32"/>
      <c r="C774" s="32"/>
    </row>
    <row r="775" spans="2:3" x14ac:dyDescent="0.2">
      <c r="B775" s="32"/>
      <c r="C775" s="32"/>
    </row>
    <row r="776" spans="2:3" x14ac:dyDescent="0.2">
      <c r="B776" s="32"/>
      <c r="C776" s="32"/>
    </row>
    <row r="777" spans="2:3" x14ac:dyDescent="0.2">
      <c r="B777" s="32"/>
      <c r="C777" s="32"/>
    </row>
    <row r="778" spans="2:3" x14ac:dyDescent="0.2">
      <c r="B778" s="32"/>
      <c r="C778" s="32"/>
    </row>
    <row r="779" spans="2:3" x14ac:dyDescent="0.2">
      <c r="B779" s="32"/>
      <c r="C779" s="32"/>
    </row>
    <row r="780" spans="2:3" x14ac:dyDescent="0.2">
      <c r="B780" s="32"/>
      <c r="C780" s="32"/>
    </row>
    <row r="781" spans="2:3" x14ac:dyDescent="0.2">
      <c r="B781" s="32"/>
      <c r="C781" s="32"/>
    </row>
    <row r="782" spans="2:3" x14ac:dyDescent="0.2">
      <c r="B782" s="32"/>
      <c r="C782" s="32"/>
    </row>
    <row r="783" spans="2:3" x14ac:dyDescent="0.2">
      <c r="B783" s="32"/>
      <c r="C783" s="32"/>
    </row>
    <row r="784" spans="2:3" x14ac:dyDescent="0.2">
      <c r="B784" s="32"/>
      <c r="C784" s="32"/>
    </row>
    <row r="785" spans="2:3" x14ac:dyDescent="0.2">
      <c r="B785" s="32"/>
      <c r="C785" s="32"/>
    </row>
    <row r="786" spans="2:3" x14ac:dyDescent="0.2">
      <c r="B786" s="32"/>
      <c r="C786" s="32"/>
    </row>
    <row r="787" spans="2:3" x14ac:dyDescent="0.2">
      <c r="B787" s="32"/>
      <c r="C787" s="32"/>
    </row>
    <row r="788" spans="2:3" x14ac:dyDescent="0.2">
      <c r="B788" s="32"/>
      <c r="C788" s="32"/>
    </row>
    <row r="789" spans="2:3" x14ac:dyDescent="0.2">
      <c r="B789" s="32"/>
      <c r="C789" s="32"/>
    </row>
    <row r="790" spans="2:3" x14ac:dyDescent="0.2">
      <c r="B790" s="32"/>
      <c r="C790" s="32"/>
    </row>
    <row r="791" spans="2:3" x14ac:dyDescent="0.2">
      <c r="B791" s="32"/>
      <c r="C791" s="32"/>
    </row>
    <row r="792" spans="2:3" x14ac:dyDescent="0.2">
      <c r="B792" s="32"/>
      <c r="C792" s="32"/>
    </row>
    <row r="793" spans="2:3" x14ac:dyDescent="0.2">
      <c r="B793" s="32"/>
      <c r="C793" s="32"/>
    </row>
    <row r="794" spans="2:3" x14ac:dyDescent="0.2">
      <c r="B794" s="32"/>
      <c r="C794" s="32"/>
    </row>
    <row r="795" spans="2:3" x14ac:dyDescent="0.2">
      <c r="B795" s="32"/>
      <c r="C795" s="32"/>
    </row>
    <row r="796" spans="2:3" x14ac:dyDescent="0.2">
      <c r="B796" s="32"/>
      <c r="C796" s="32"/>
    </row>
    <row r="797" spans="2:3" x14ac:dyDescent="0.2">
      <c r="B797" s="32"/>
      <c r="C797" s="32"/>
    </row>
    <row r="798" spans="2:3" x14ac:dyDescent="0.2">
      <c r="B798" s="32"/>
      <c r="C798" s="32"/>
    </row>
    <row r="799" spans="2:3" x14ac:dyDescent="0.2">
      <c r="B799" s="32"/>
      <c r="C799" s="32"/>
    </row>
    <row r="800" spans="2:3" x14ac:dyDescent="0.2">
      <c r="B800" s="32"/>
      <c r="C800" s="32"/>
    </row>
    <row r="801" spans="2:3" x14ac:dyDescent="0.2">
      <c r="B801" s="32"/>
      <c r="C801" s="32"/>
    </row>
    <row r="802" spans="2:3" x14ac:dyDescent="0.2">
      <c r="B802" s="32"/>
      <c r="C802" s="32"/>
    </row>
    <row r="803" spans="2:3" x14ac:dyDescent="0.2">
      <c r="B803" s="32"/>
      <c r="C803" s="32"/>
    </row>
    <row r="804" spans="2:3" x14ac:dyDescent="0.2">
      <c r="B804" s="32"/>
      <c r="C804" s="32"/>
    </row>
    <row r="805" spans="2:3" x14ac:dyDescent="0.2">
      <c r="B805" s="32"/>
      <c r="C805" s="32"/>
    </row>
    <row r="806" spans="2:3" x14ac:dyDescent="0.2">
      <c r="B806" s="32"/>
      <c r="C806" s="32"/>
    </row>
    <row r="807" spans="2:3" x14ac:dyDescent="0.2">
      <c r="B807" s="32"/>
      <c r="C807" s="32"/>
    </row>
    <row r="808" spans="2:3" x14ac:dyDescent="0.2">
      <c r="B808" s="32"/>
      <c r="C808" s="32"/>
    </row>
    <row r="809" spans="2:3" x14ac:dyDescent="0.2">
      <c r="B809" s="32"/>
      <c r="C809" s="32"/>
    </row>
    <row r="810" spans="2:3" x14ac:dyDescent="0.2">
      <c r="B810" s="32"/>
      <c r="C810" s="32"/>
    </row>
    <row r="811" spans="2:3" x14ac:dyDescent="0.2">
      <c r="B811" s="32"/>
      <c r="C811" s="32"/>
    </row>
    <row r="812" spans="2:3" x14ac:dyDescent="0.2">
      <c r="B812" s="32"/>
      <c r="C812" s="32"/>
    </row>
    <row r="813" spans="2:3" x14ac:dyDescent="0.2">
      <c r="B813" s="32"/>
      <c r="C813" s="32"/>
    </row>
    <row r="814" spans="2:3" x14ac:dyDescent="0.2">
      <c r="B814" s="32"/>
      <c r="C814" s="32"/>
    </row>
    <row r="815" spans="2:3" x14ac:dyDescent="0.2">
      <c r="B815" s="32"/>
      <c r="C815" s="32"/>
    </row>
    <row r="816" spans="2:3" x14ac:dyDescent="0.2">
      <c r="B816" s="32"/>
      <c r="C816" s="32"/>
    </row>
    <row r="817" spans="2:3" x14ac:dyDescent="0.2">
      <c r="B817" s="32"/>
      <c r="C817" s="32"/>
    </row>
    <row r="818" spans="2:3" x14ac:dyDescent="0.2">
      <c r="B818" s="32"/>
      <c r="C818" s="32"/>
    </row>
    <row r="819" spans="2:3" x14ac:dyDescent="0.2">
      <c r="B819" s="32"/>
      <c r="C819" s="32"/>
    </row>
    <row r="820" spans="2:3" x14ac:dyDescent="0.2">
      <c r="B820" s="32"/>
      <c r="C820" s="32"/>
    </row>
    <row r="821" spans="2:3" x14ac:dyDescent="0.2">
      <c r="B821" s="32"/>
      <c r="C821" s="32"/>
    </row>
    <row r="822" spans="2:3" x14ac:dyDescent="0.2">
      <c r="B822" s="32"/>
      <c r="C822" s="32"/>
    </row>
    <row r="823" spans="2:3" x14ac:dyDescent="0.2">
      <c r="B823" s="32"/>
      <c r="C823" s="32"/>
    </row>
    <row r="824" spans="2:3" x14ac:dyDescent="0.2">
      <c r="B824" s="32"/>
      <c r="C824" s="32"/>
    </row>
    <row r="825" spans="2:3" x14ac:dyDescent="0.2">
      <c r="B825" s="32"/>
      <c r="C825" s="32"/>
    </row>
    <row r="826" spans="2:3" x14ac:dyDescent="0.2">
      <c r="B826" s="32"/>
      <c r="C826" s="32"/>
    </row>
    <row r="827" spans="2:3" x14ac:dyDescent="0.2">
      <c r="B827" s="32"/>
      <c r="C827" s="32"/>
    </row>
    <row r="828" spans="2:3" x14ac:dyDescent="0.2">
      <c r="B828" s="32"/>
      <c r="C828" s="32"/>
    </row>
    <row r="829" spans="2:3" x14ac:dyDescent="0.2">
      <c r="B829" s="32"/>
      <c r="C829" s="32"/>
    </row>
    <row r="830" spans="2:3" x14ac:dyDescent="0.2">
      <c r="B830" s="32"/>
      <c r="C830" s="32"/>
    </row>
    <row r="831" spans="2:3" x14ac:dyDescent="0.2">
      <c r="B831" s="32"/>
      <c r="C831" s="32"/>
    </row>
    <row r="832" spans="2:3" x14ac:dyDescent="0.2">
      <c r="B832" s="32"/>
      <c r="C832" s="32"/>
    </row>
    <row r="833" spans="2:3" x14ac:dyDescent="0.2">
      <c r="B833" s="32"/>
      <c r="C833" s="32"/>
    </row>
    <row r="834" spans="2:3" x14ac:dyDescent="0.2">
      <c r="B834" s="32"/>
      <c r="C834" s="32"/>
    </row>
    <row r="835" spans="2:3" x14ac:dyDescent="0.2">
      <c r="B835" s="32"/>
      <c r="C835" s="32"/>
    </row>
    <row r="836" spans="2:3" x14ac:dyDescent="0.2">
      <c r="B836" s="32"/>
      <c r="C836" s="32"/>
    </row>
    <row r="837" spans="2:3" x14ac:dyDescent="0.2">
      <c r="B837" s="32"/>
      <c r="C837" s="32"/>
    </row>
    <row r="838" spans="2:3" x14ac:dyDescent="0.2">
      <c r="B838" s="32"/>
      <c r="C838" s="32"/>
    </row>
    <row r="839" spans="2:3" x14ac:dyDescent="0.2">
      <c r="B839" s="32"/>
      <c r="C839" s="32"/>
    </row>
    <row r="840" spans="2:3" x14ac:dyDescent="0.2">
      <c r="B840" s="32"/>
      <c r="C840" s="32"/>
    </row>
    <row r="841" spans="2:3" x14ac:dyDescent="0.2">
      <c r="B841" s="32"/>
      <c r="C841" s="32"/>
    </row>
    <row r="842" spans="2:3" x14ac:dyDescent="0.2">
      <c r="B842" s="32"/>
      <c r="C842" s="32"/>
    </row>
    <row r="843" spans="2:3" x14ac:dyDescent="0.2">
      <c r="B843" s="32"/>
      <c r="C843" s="32"/>
    </row>
    <row r="844" spans="2:3" x14ac:dyDescent="0.2">
      <c r="B844" s="32"/>
      <c r="C844" s="32"/>
    </row>
    <row r="845" spans="2:3" x14ac:dyDescent="0.2">
      <c r="B845" s="32"/>
      <c r="C845" s="32"/>
    </row>
    <row r="846" spans="2:3" x14ac:dyDescent="0.2">
      <c r="B846" s="32"/>
      <c r="C846" s="32"/>
    </row>
    <row r="847" spans="2:3" x14ac:dyDescent="0.2">
      <c r="B847" s="32"/>
      <c r="C847" s="32"/>
    </row>
    <row r="848" spans="2:3" x14ac:dyDescent="0.2">
      <c r="B848" s="32"/>
      <c r="C848" s="32"/>
    </row>
    <row r="849" spans="2:3" x14ac:dyDescent="0.2">
      <c r="B849" s="32"/>
      <c r="C849" s="32"/>
    </row>
    <row r="850" spans="2:3" x14ac:dyDescent="0.2">
      <c r="B850" s="32"/>
      <c r="C850" s="32"/>
    </row>
    <row r="851" spans="2:3" x14ac:dyDescent="0.2">
      <c r="B851" s="32"/>
      <c r="C851" s="32"/>
    </row>
    <row r="852" spans="2:3" x14ac:dyDescent="0.2">
      <c r="B852" s="32"/>
      <c r="C852" s="32"/>
    </row>
    <row r="853" spans="2:3" x14ac:dyDescent="0.2">
      <c r="B853" s="32"/>
      <c r="C853" s="32"/>
    </row>
    <row r="854" spans="2:3" x14ac:dyDescent="0.2">
      <c r="B854" s="32"/>
      <c r="C854" s="32"/>
    </row>
    <row r="855" spans="2:3" x14ac:dyDescent="0.2">
      <c r="B855" s="32"/>
      <c r="C855" s="32"/>
    </row>
    <row r="856" spans="2:3" x14ac:dyDescent="0.2">
      <c r="B856" s="32"/>
      <c r="C856" s="32"/>
    </row>
    <row r="857" spans="2:3" x14ac:dyDescent="0.2">
      <c r="B857" s="32"/>
      <c r="C857" s="32"/>
    </row>
    <row r="858" spans="2:3" x14ac:dyDescent="0.2">
      <c r="B858" s="32"/>
      <c r="C858" s="32"/>
    </row>
    <row r="859" spans="2:3" x14ac:dyDescent="0.2">
      <c r="B859" s="32"/>
      <c r="C859" s="32"/>
    </row>
    <row r="860" spans="2:3" x14ac:dyDescent="0.2">
      <c r="B860" s="32"/>
      <c r="C860" s="32"/>
    </row>
    <row r="861" spans="2:3" x14ac:dyDescent="0.2">
      <c r="B861" s="32"/>
      <c r="C861" s="32"/>
    </row>
    <row r="862" spans="2:3" x14ac:dyDescent="0.2">
      <c r="B862" s="32"/>
      <c r="C862" s="32"/>
    </row>
    <row r="863" spans="2:3" x14ac:dyDescent="0.2">
      <c r="B863" s="32"/>
      <c r="C863" s="32"/>
    </row>
    <row r="864" spans="2:3" x14ac:dyDescent="0.2">
      <c r="B864" s="32"/>
      <c r="C864" s="32"/>
    </row>
    <row r="865" spans="2:3" x14ac:dyDescent="0.2">
      <c r="B865" s="32"/>
      <c r="C865" s="32"/>
    </row>
    <row r="866" spans="2:3" x14ac:dyDescent="0.2">
      <c r="B866" s="32"/>
      <c r="C866" s="32"/>
    </row>
    <row r="867" spans="2:3" x14ac:dyDescent="0.2">
      <c r="B867" s="32"/>
      <c r="C867" s="32"/>
    </row>
    <row r="868" spans="2:3" x14ac:dyDescent="0.2">
      <c r="B868" s="32"/>
      <c r="C868" s="32"/>
    </row>
    <row r="869" spans="2:3" x14ac:dyDescent="0.2">
      <c r="B869" s="32"/>
      <c r="C869" s="32"/>
    </row>
    <row r="870" spans="2:3" x14ac:dyDescent="0.2">
      <c r="B870" s="32"/>
      <c r="C870" s="32"/>
    </row>
    <row r="871" spans="2:3" x14ac:dyDescent="0.2">
      <c r="B871" s="32"/>
      <c r="C871" s="32"/>
    </row>
    <row r="872" spans="2:3" x14ac:dyDescent="0.2">
      <c r="B872" s="32"/>
      <c r="C872" s="32"/>
    </row>
    <row r="873" spans="2:3" x14ac:dyDescent="0.2">
      <c r="B873" s="32"/>
      <c r="C873" s="32"/>
    </row>
    <row r="874" spans="2:3" x14ac:dyDescent="0.2">
      <c r="B874" s="32"/>
      <c r="C874" s="32"/>
    </row>
    <row r="875" spans="2:3" x14ac:dyDescent="0.2">
      <c r="B875" s="32"/>
      <c r="C875" s="32"/>
    </row>
    <row r="876" spans="2:3" x14ac:dyDescent="0.2">
      <c r="B876" s="32"/>
      <c r="C876" s="32"/>
    </row>
    <row r="877" spans="2:3" x14ac:dyDescent="0.2">
      <c r="B877" s="32"/>
      <c r="C877" s="32"/>
    </row>
    <row r="878" spans="2:3" x14ac:dyDescent="0.2">
      <c r="B878" s="32"/>
      <c r="C878" s="32"/>
    </row>
    <row r="879" spans="2:3" x14ac:dyDescent="0.2">
      <c r="B879" s="32"/>
      <c r="C879" s="32"/>
    </row>
    <row r="880" spans="2:3" x14ac:dyDescent="0.2">
      <c r="B880" s="32"/>
      <c r="C880" s="32"/>
    </row>
    <row r="881" spans="2:3" x14ac:dyDescent="0.2">
      <c r="B881" s="32"/>
      <c r="C881" s="32"/>
    </row>
    <row r="882" spans="2:3" x14ac:dyDescent="0.2">
      <c r="B882" s="32"/>
      <c r="C882" s="32"/>
    </row>
    <row r="883" spans="2:3" x14ac:dyDescent="0.2">
      <c r="B883" s="32"/>
      <c r="C883" s="32"/>
    </row>
    <row r="884" spans="2:3" x14ac:dyDescent="0.2">
      <c r="B884" s="32"/>
      <c r="C884" s="32"/>
    </row>
    <row r="885" spans="2:3" x14ac:dyDescent="0.2">
      <c r="B885" s="32"/>
      <c r="C885" s="32"/>
    </row>
    <row r="886" spans="2:3" x14ac:dyDescent="0.2">
      <c r="B886" s="32"/>
      <c r="C886" s="32"/>
    </row>
    <row r="887" spans="2:3" x14ac:dyDescent="0.2">
      <c r="B887" s="32"/>
      <c r="C887" s="32"/>
    </row>
    <row r="888" spans="2:3" x14ac:dyDescent="0.2">
      <c r="B888" s="32"/>
      <c r="C888" s="32"/>
    </row>
    <row r="889" spans="2:3" x14ac:dyDescent="0.2">
      <c r="B889" s="32"/>
      <c r="C889" s="32"/>
    </row>
    <row r="890" spans="2:3" x14ac:dyDescent="0.2">
      <c r="B890" s="32"/>
      <c r="C890" s="32"/>
    </row>
    <row r="891" spans="2:3" x14ac:dyDescent="0.2">
      <c r="B891" s="32"/>
      <c r="C891" s="32"/>
    </row>
    <row r="892" spans="2:3" x14ac:dyDescent="0.2">
      <c r="B892" s="32"/>
      <c r="C892" s="32"/>
    </row>
    <row r="893" spans="2:3" x14ac:dyDescent="0.2">
      <c r="B893" s="32"/>
      <c r="C893" s="32"/>
    </row>
    <row r="894" spans="2:3" x14ac:dyDescent="0.2">
      <c r="B894" s="32"/>
      <c r="C894" s="32"/>
    </row>
    <row r="895" spans="2:3" x14ac:dyDescent="0.2">
      <c r="B895" s="32"/>
      <c r="C895" s="32"/>
    </row>
    <row r="896" spans="2:3" x14ac:dyDescent="0.2">
      <c r="B896" s="32"/>
      <c r="C896" s="32"/>
    </row>
    <row r="897" spans="2:3" x14ac:dyDescent="0.2">
      <c r="B897" s="32"/>
      <c r="C897" s="32"/>
    </row>
    <row r="898" spans="2:3" x14ac:dyDescent="0.2">
      <c r="B898" s="32"/>
      <c r="C898" s="32"/>
    </row>
    <row r="899" spans="2:3" x14ac:dyDescent="0.2">
      <c r="B899" s="32"/>
      <c r="C899" s="32"/>
    </row>
    <row r="900" spans="2:3" x14ac:dyDescent="0.2">
      <c r="B900" s="32"/>
      <c r="C900" s="32"/>
    </row>
    <row r="901" spans="2:3" x14ac:dyDescent="0.2">
      <c r="B901" s="32"/>
      <c r="C901" s="32"/>
    </row>
    <row r="902" spans="2:3" x14ac:dyDescent="0.2">
      <c r="B902" s="32"/>
      <c r="C902" s="32"/>
    </row>
    <row r="903" spans="2:3" x14ac:dyDescent="0.2">
      <c r="B903" s="32"/>
      <c r="C903" s="32"/>
    </row>
    <row r="904" spans="2:3" x14ac:dyDescent="0.2">
      <c r="B904" s="32"/>
      <c r="C904" s="32"/>
    </row>
    <row r="905" spans="2:3" x14ac:dyDescent="0.2">
      <c r="B905" s="32"/>
      <c r="C905" s="32"/>
    </row>
    <row r="906" spans="2:3" x14ac:dyDescent="0.2">
      <c r="B906" s="32"/>
      <c r="C906" s="32"/>
    </row>
    <row r="907" spans="2:3" x14ac:dyDescent="0.2">
      <c r="B907" s="32"/>
      <c r="C907" s="32"/>
    </row>
    <row r="908" spans="2:3" x14ac:dyDescent="0.2">
      <c r="B908" s="32"/>
      <c r="C908" s="32"/>
    </row>
    <row r="909" spans="2:3" x14ac:dyDescent="0.2">
      <c r="B909" s="32"/>
      <c r="C909" s="32"/>
    </row>
    <row r="910" spans="2:3" x14ac:dyDescent="0.2">
      <c r="B910" s="32"/>
      <c r="C910" s="32"/>
    </row>
    <row r="911" spans="2:3" x14ac:dyDescent="0.2">
      <c r="B911" s="32"/>
      <c r="C911" s="32"/>
    </row>
    <row r="912" spans="2:3" x14ac:dyDescent="0.2">
      <c r="B912" s="32"/>
      <c r="C912" s="32"/>
    </row>
    <row r="913" spans="2:3" x14ac:dyDescent="0.2">
      <c r="B913" s="32"/>
      <c r="C913" s="32"/>
    </row>
    <row r="914" spans="2:3" x14ac:dyDescent="0.2">
      <c r="B914" s="32"/>
      <c r="C914" s="32"/>
    </row>
    <row r="915" spans="2:3" x14ac:dyDescent="0.2">
      <c r="B915" s="32"/>
      <c r="C915" s="32"/>
    </row>
    <row r="916" spans="2:3" x14ac:dyDescent="0.2">
      <c r="B916" s="32"/>
      <c r="C916" s="32"/>
    </row>
    <row r="917" spans="2:3" x14ac:dyDescent="0.2">
      <c r="B917" s="32"/>
      <c r="C917" s="32"/>
    </row>
    <row r="918" spans="2:3" x14ac:dyDescent="0.2">
      <c r="B918" s="32"/>
      <c r="C918" s="32"/>
    </row>
    <row r="919" spans="2:3" x14ac:dyDescent="0.2">
      <c r="B919" s="32"/>
      <c r="C919" s="32"/>
    </row>
    <row r="920" spans="2:3" x14ac:dyDescent="0.2">
      <c r="B920" s="32"/>
      <c r="C920" s="32"/>
    </row>
    <row r="921" spans="2:3" x14ac:dyDescent="0.2">
      <c r="B921" s="32"/>
      <c r="C921" s="32"/>
    </row>
    <row r="922" spans="2:3" x14ac:dyDescent="0.2">
      <c r="B922" s="32"/>
      <c r="C922" s="32"/>
    </row>
    <row r="923" spans="2:3" x14ac:dyDescent="0.2">
      <c r="B923" s="32"/>
      <c r="C923" s="32"/>
    </row>
    <row r="924" spans="2:3" x14ac:dyDescent="0.2">
      <c r="B924" s="32"/>
      <c r="C924" s="32"/>
    </row>
    <row r="925" spans="2:3" x14ac:dyDescent="0.2">
      <c r="B925" s="32"/>
      <c r="C925" s="32"/>
    </row>
    <row r="926" spans="2:3" x14ac:dyDescent="0.2">
      <c r="B926" s="32"/>
      <c r="C926" s="32"/>
    </row>
    <row r="927" spans="2:3" x14ac:dyDescent="0.2">
      <c r="B927" s="32"/>
      <c r="C927" s="32"/>
    </row>
    <row r="928" spans="2:3" x14ac:dyDescent="0.2">
      <c r="B928" s="32"/>
      <c r="C928" s="32"/>
    </row>
    <row r="929" spans="2:3" x14ac:dyDescent="0.2">
      <c r="B929" s="32"/>
      <c r="C929" s="32"/>
    </row>
    <row r="930" spans="2:3" x14ac:dyDescent="0.2">
      <c r="B930" s="32"/>
      <c r="C930" s="32"/>
    </row>
    <row r="931" spans="2:3" x14ac:dyDescent="0.2">
      <c r="B931" s="32"/>
      <c r="C931" s="32"/>
    </row>
    <row r="932" spans="2:3" x14ac:dyDescent="0.2">
      <c r="B932" s="32"/>
      <c r="C932" s="32"/>
    </row>
    <row r="933" spans="2:3" x14ac:dyDescent="0.2">
      <c r="B933" s="32"/>
      <c r="C933" s="32"/>
    </row>
    <row r="934" spans="2:3" x14ac:dyDescent="0.2">
      <c r="B934" s="32"/>
      <c r="C934" s="32"/>
    </row>
    <row r="935" spans="2:3" x14ac:dyDescent="0.2">
      <c r="B935" s="32"/>
      <c r="C935" s="32"/>
    </row>
    <row r="936" spans="2:3" x14ac:dyDescent="0.2">
      <c r="B936" s="32"/>
      <c r="C936" s="32"/>
    </row>
    <row r="937" spans="2:3" x14ac:dyDescent="0.2">
      <c r="B937" s="32"/>
      <c r="C937" s="32"/>
    </row>
    <row r="938" spans="2:3" x14ac:dyDescent="0.2">
      <c r="B938" s="32"/>
      <c r="C938" s="32"/>
    </row>
    <row r="939" spans="2:3" x14ac:dyDescent="0.2">
      <c r="B939" s="32"/>
      <c r="C939" s="32"/>
    </row>
    <row r="940" spans="2:3" x14ac:dyDescent="0.2">
      <c r="B940" s="32"/>
      <c r="C940" s="32"/>
    </row>
    <row r="941" spans="2:3" x14ac:dyDescent="0.2">
      <c r="B941" s="32"/>
      <c r="C941" s="32"/>
    </row>
    <row r="942" spans="2:3" x14ac:dyDescent="0.2">
      <c r="B942" s="32"/>
      <c r="C942" s="32"/>
    </row>
    <row r="943" spans="2:3" x14ac:dyDescent="0.2">
      <c r="B943" s="32"/>
      <c r="C943" s="32"/>
    </row>
    <row r="944" spans="2:3" x14ac:dyDescent="0.2">
      <c r="B944" s="32"/>
      <c r="C944" s="32"/>
    </row>
    <row r="945" spans="2:3" x14ac:dyDescent="0.2">
      <c r="B945" s="32"/>
      <c r="C945" s="32"/>
    </row>
    <row r="946" spans="2:3" x14ac:dyDescent="0.2">
      <c r="B946" s="32"/>
      <c r="C946" s="32"/>
    </row>
    <row r="947" spans="2:3" x14ac:dyDescent="0.2">
      <c r="B947" s="32"/>
      <c r="C947" s="32"/>
    </row>
    <row r="948" spans="2:3" x14ac:dyDescent="0.2">
      <c r="B948" s="32"/>
      <c r="C948" s="32"/>
    </row>
    <row r="949" spans="2:3" x14ac:dyDescent="0.2">
      <c r="B949" s="32"/>
      <c r="C949" s="32"/>
    </row>
    <row r="950" spans="2:3" x14ac:dyDescent="0.2">
      <c r="B950" s="32"/>
      <c r="C950" s="32"/>
    </row>
    <row r="951" spans="2:3" x14ac:dyDescent="0.2">
      <c r="B951" s="32"/>
      <c r="C951" s="32"/>
    </row>
    <row r="952" spans="2:3" x14ac:dyDescent="0.2">
      <c r="B952" s="32"/>
      <c r="C952" s="32"/>
    </row>
    <row r="953" spans="2:3" x14ac:dyDescent="0.2">
      <c r="B953" s="32"/>
      <c r="C953" s="32"/>
    </row>
    <row r="954" spans="2:3" x14ac:dyDescent="0.2">
      <c r="B954" s="32"/>
      <c r="C954" s="32"/>
    </row>
    <row r="955" spans="2:3" x14ac:dyDescent="0.2">
      <c r="B955" s="32"/>
      <c r="C955" s="32"/>
    </row>
    <row r="956" spans="2:3" x14ac:dyDescent="0.2">
      <c r="B956" s="32"/>
      <c r="C956" s="32"/>
    </row>
    <row r="957" spans="2:3" x14ac:dyDescent="0.2">
      <c r="B957" s="32"/>
      <c r="C957" s="32"/>
    </row>
    <row r="958" spans="2:3" x14ac:dyDescent="0.2">
      <c r="B958" s="32"/>
      <c r="C958" s="32"/>
    </row>
    <row r="959" spans="2:3" x14ac:dyDescent="0.2">
      <c r="B959" s="32"/>
      <c r="C959" s="32"/>
    </row>
    <row r="960" spans="2:3" x14ac:dyDescent="0.2">
      <c r="B960" s="32"/>
      <c r="C960" s="32"/>
    </row>
    <row r="961" spans="2:3" x14ac:dyDescent="0.2">
      <c r="B961" s="32"/>
      <c r="C961" s="32"/>
    </row>
    <row r="962" spans="2:3" x14ac:dyDescent="0.2">
      <c r="B962" s="32"/>
      <c r="C962" s="32"/>
    </row>
    <row r="963" spans="2:3" x14ac:dyDescent="0.2">
      <c r="B963" s="32"/>
      <c r="C963" s="32"/>
    </row>
    <row r="964" spans="2:3" x14ac:dyDescent="0.2">
      <c r="B964" s="32"/>
      <c r="C964" s="32"/>
    </row>
    <row r="965" spans="2:3" x14ac:dyDescent="0.2">
      <c r="B965" s="32"/>
      <c r="C965" s="32"/>
    </row>
    <row r="966" spans="2:3" x14ac:dyDescent="0.2">
      <c r="B966" s="32"/>
      <c r="C966" s="32"/>
    </row>
    <row r="967" spans="2:3" x14ac:dyDescent="0.2">
      <c r="B967" s="32"/>
      <c r="C967" s="32"/>
    </row>
    <row r="968" spans="2:3" x14ac:dyDescent="0.2">
      <c r="B968" s="32"/>
      <c r="C968" s="32"/>
    </row>
    <row r="969" spans="2:3" x14ac:dyDescent="0.2">
      <c r="B969" s="32"/>
      <c r="C969" s="32"/>
    </row>
    <row r="970" spans="2:3" x14ac:dyDescent="0.2">
      <c r="B970" s="32"/>
      <c r="C970" s="32"/>
    </row>
    <row r="971" spans="2:3" x14ac:dyDescent="0.2">
      <c r="B971" s="32"/>
      <c r="C971" s="32"/>
    </row>
    <row r="972" spans="2:3" x14ac:dyDescent="0.2">
      <c r="B972" s="32"/>
      <c r="C972" s="32"/>
    </row>
    <row r="973" spans="2:3" x14ac:dyDescent="0.2">
      <c r="B973" s="32"/>
      <c r="C973" s="32"/>
    </row>
    <row r="974" spans="2:3" x14ac:dyDescent="0.2">
      <c r="B974" s="32"/>
      <c r="C974" s="32"/>
    </row>
    <row r="975" spans="2:3" x14ac:dyDescent="0.2">
      <c r="B975" s="32"/>
      <c r="C975" s="32"/>
    </row>
    <row r="976" spans="2:3" x14ac:dyDescent="0.2">
      <c r="B976" s="32"/>
      <c r="C976" s="32"/>
    </row>
    <row r="977" spans="2:3" x14ac:dyDescent="0.2">
      <c r="B977" s="32"/>
      <c r="C977" s="32"/>
    </row>
    <row r="978" spans="2:3" x14ac:dyDescent="0.2">
      <c r="B978" s="32"/>
      <c r="C978" s="32"/>
    </row>
    <row r="979" spans="2:3" x14ac:dyDescent="0.2">
      <c r="B979" s="32"/>
      <c r="C979" s="32"/>
    </row>
    <row r="980" spans="2:3" x14ac:dyDescent="0.2">
      <c r="B980" s="32"/>
      <c r="C980" s="32"/>
    </row>
    <row r="981" spans="2:3" x14ac:dyDescent="0.2">
      <c r="B981" s="32"/>
      <c r="C981" s="32"/>
    </row>
    <row r="982" spans="2:3" x14ac:dyDescent="0.2">
      <c r="B982" s="32"/>
      <c r="C982" s="32"/>
    </row>
    <row r="983" spans="2:3" x14ac:dyDescent="0.2">
      <c r="B983" s="32"/>
      <c r="C983" s="32"/>
    </row>
    <row r="984" spans="2:3" x14ac:dyDescent="0.2">
      <c r="B984" s="32"/>
      <c r="C984" s="32"/>
    </row>
    <row r="985" spans="2:3" x14ac:dyDescent="0.2">
      <c r="B985" s="32"/>
      <c r="C985" s="32"/>
    </row>
    <row r="986" spans="2:3" x14ac:dyDescent="0.2">
      <c r="B986" s="32"/>
      <c r="C986" s="32"/>
    </row>
    <row r="987" spans="2:3" x14ac:dyDescent="0.2">
      <c r="B987" s="32"/>
      <c r="C987" s="32"/>
    </row>
    <row r="988" spans="2:3" x14ac:dyDescent="0.2">
      <c r="B988" s="32"/>
      <c r="C988" s="32"/>
    </row>
    <row r="989" spans="2:3" x14ac:dyDescent="0.2">
      <c r="B989" s="32"/>
      <c r="C989" s="32"/>
    </row>
    <row r="990" spans="2:3" x14ac:dyDescent="0.2">
      <c r="B990" s="32"/>
      <c r="C990" s="32"/>
    </row>
    <row r="991" spans="2:3" x14ac:dyDescent="0.2">
      <c r="B991" s="32"/>
      <c r="C991" s="32"/>
    </row>
    <row r="992" spans="2:3" x14ac:dyDescent="0.2">
      <c r="B992" s="32"/>
      <c r="C992" s="32"/>
    </row>
    <row r="993" spans="2:3" x14ac:dyDescent="0.2">
      <c r="B993" s="32"/>
      <c r="C993" s="32"/>
    </row>
    <row r="994" spans="2:3" x14ac:dyDescent="0.2">
      <c r="B994" s="32"/>
      <c r="C994" s="32"/>
    </row>
    <row r="995" spans="2:3" x14ac:dyDescent="0.2">
      <c r="B995" s="32"/>
      <c r="C995" s="32"/>
    </row>
    <row r="996" spans="2:3" x14ac:dyDescent="0.2">
      <c r="B996" s="32"/>
      <c r="C996" s="32"/>
    </row>
    <row r="997" spans="2:3" x14ac:dyDescent="0.2">
      <c r="B997" s="32"/>
      <c r="C997" s="32"/>
    </row>
    <row r="998" spans="2:3" x14ac:dyDescent="0.2">
      <c r="B998" s="32"/>
      <c r="C998" s="32"/>
    </row>
    <row r="999" spans="2:3" x14ac:dyDescent="0.2">
      <c r="B999" s="32"/>
      <c r="C999" s="32"/>
    </row>
    <row r="1000" spans="2:3" x14ac:dyDescent="0.2">
      <c r="B1000" s="32"/>
      <c r="C1000" s="32"/>
    </row>
    <row r="1001" spans="2:3" x14ac:dyDescent="0.2">
      <c r="B1001" s="32"/>
      <c r="C1001" s="32"/>
    </row>
    <row r="1002" spans="2:3" x14ac:dyDescent="0.2">
      <c r="B1002" s="32"/>
      <c r="C1002" s="32"/>
    </row>
    <row r="1003" spans="2:3" x14ac:dyDescent="0.2">
      <c r="B1003" s="32"/>
      <c r="C1003" s="32"/>
    </row>
    <row r="1004" spans="2:3" x14ac:dyDescent="0.2">
      <c r="B1004" s="32"/>
      <c r="C1004" s="32"/>
    </row>
    <row r="1005" spans="2:3" x14ac:dyDescent="0.2">
      <c r="B1005" s="32"/>
      <c r="C1005" s="32"/>
    </row>
    <row r="1006" spans="2:3" x14ac:dyDescent="0.2">
      <c r="B1006" s="32"/>
      <c r="C1006" s="32"/>
    </row>
    <row r="1007" spans="2:3" x14ac:dyDescent="0.2">
      <c r="B1007" s="32"/>
      <c r="C1007" s="32"/>
    </row>
    <row r="1008" spans="2:3" x14ac:dyDescent="0.2">
      <c r="B1008" s="32"/>
      <c r="C1008" s="32"/>
    </row>
    <row r="1009" spans="2:3" x14ac:dyDescent="0.2">
      <c r="B1009" s="32"/>
      <c r="C1009" s="32"/>
    </row>
    <row r="1010" spans="2:3" x14ac:dyDescent="0.2">
      <c r="B1010" s="32"/>
      <c r="C1010" s="32"/>
    </row>
    <row r="1011" spans="2:3" x14ac:dyDescent="0.2">
      <c r="B1011" s="32"/>
      <c r="C1011" s="32"/>
    </row>
    <row r="1012" spans="2:3" x14ac:dyDescent="0.2">
      <c r="B1012" s="32"/>
      <c r="C1012" s="32"/>
    </row>
    <row r="1013" spans="2:3" x14ac:dyDescent="0.2">
      <c r="B1013" s="32"/>
      <c r="C1013" s="32"/>
    </row>
    <row r="1014" spans="2:3" x14ac:dyDescent="0.2">
      <c r="B1014" s="32"/>
      <c r="C1014" s="32"/>
    </row>
    <row r="1015" spans="2:3" x14ac:dyDescent="0.2">
      <c r="B1015" s="32"/>
      <c r="C1015" s="32"/>
    </row>
    <row r="1016" spans="2:3" x14ac:dyDescent="0.2">
      <c r="B1016" s="32"/>
      <c r="C1016" s="32"/>
    </row>
    <row r="1017" spans="2:3" x14ac:dyDescent="0.2">
      <c r="B1017" s="32"/>
      <c r="C1017" s="32"/>
    </row>
    <row r="1018" spans="2:3" x14ac:dyDescent="0.2">
      <c r="B1018" s="32"/>
      <c r="C1018" s="32"/>
    </row>
    <row r="1019" spans="2:3" x14ac:dyDescent="0.2">
      <c r="B1019" s="32"/>
      <c r="C1019" s="32"/>
    </row>
    <row r="1020" spans="2:3" x14ac:dyDescent="0.2">
      <c r="B1020" s="32"/>
      <c r="C1020" s="32"/>
    </row>
    <row r="1021" spans="2:3" x14ac:dyDescent="0.2">
      <c r="B1021" s="32"/>
      <c r="C1021" s="32"/>
    </row>
    <row r="1022" spans="2:3" x14ac:dyDescent="0.2">
      <c r="B1022" s="32"/>
      <c r="C1022" s="32"/>
    </row>
    <row r="1023" spans="2:3" x14ac:dyDescent="0.2">
      <c r="B1023" s="32"/>
      <c r="C1023" s="32"/>
    </row>
    <row r="1024" spans="2:3" x14ac:dyDescent="0.2">
      <c r="B1024" s="32"/>
      <c r="C1024" s="32"/>
    </row>
    <row r="1025" spans="2:3" x14ac:dyDescent="0.2">
      <c r="B1025" s="32"/>
      <c r="C1025" s="32"/>
    </row>
    <row r="1026" spans="2:3" x14ac:dyDescent="0.2">
      <c r="B1026" s="32"/>
      <c r="C1026" s="32"/>
    </row>
    <row r="1027" spans="2:3" x14ac:dyDescent="0.2">
      <c r="B1027" s="32"/>
      <c r="C1027" s="32"/>
    </row>
    <row r="1028" spans="2:3" x14ac:dyDescent="0.2">
      <c r="B1028" s="32"/>
      <c r="C1028" s="32"/>
    </row>
    <row r="1029" spans="2:3" x14ac:dyDescent="0.2">
      <c r="B1029" s="32"/>
      <c r="C1029" s="32"/>
    </row>
    <row r="1030" spans="2:3" x14ac:dyDescent="0.2">
      <c r="B1030" s="32"/>
      <c r="C1030" s="32"/>
    </row>
    <row r="1031" spans="2:3" x14ac:dyDescent="0.2">
      <c r="B1031" s="32"/>
      <c r="C1031" s="32"/>
    </row>
    <row r="1032" spans="2:3" x14ac:dyDescent="0.2">
      <c r="B1032" s="32"/>
      <c r="C1032" s="32"/>
    </row>
    <row r="1033" spans="2:3" x14ac:dyDescent="0.2">
      <c r="B1033" s="32"/>
      <c r="C1033" s="32"/>
    </row>
    <row r="1034" spans="2:3" x14ac:dyDescent="0.2">
      <c r="B1034" s="32"/>
      <c r="C1034" s="32"/>
    </row>
    <row r="1035" spans="2:3" x14ac:dyDescent="0.2">
      <c r="B1035" s="32"/>
      <c r="C1035" s="32"/>
    </row>
    <row r="1036" spans="2:3" x14ac:dyDescent="0.2">
      <c r="B1036" s="32"/>
      <c r="C1036" s="32"/>
    </row>
    <row r="1037" spans="2:3" x14ac:dyDescent="0.2">
      <c r="B1037" s="32"/>
      <c r="C1037" s="32"/>
    </row>
    <row r="1038" spans="2:3" x14ac:dyDescent="0.2">
      <c r="B1038" s="32"/>
      <c r="C1038" s="32"/>
    </row>
    <row r="1039" spans="2:3" x14ac:dyDescent="0.2">
      <c r="B1039" s="32"/>
      <c r="C1039" s="32"/>
    </row>
    <row r="1040" spans="2:3" x14ac:dyDescent="0.2">
      <c r="B1040" s="32"/>
      <c r="C1040" s="32"/>
    </row>
    <row r="1041" spans="2:3" x14ac:dyDescent="0.2">
      <c r="B1041" s="32"/>
      <c r="C1041" s="32"/>
    </row>
    <row r="1042" spans="2:3" x14ac:dyDescent="0.2">
      <c r="B1042" s="32"/>
      <c r="C1042" s="32"/>
    </row>
    <row r="1043" spans="2:3" x14ac:dyDescent="0.2">
      <c r="B1043" s="32"/>
      <c r="C1043" s="32"/>
    </row>
    <row r="1044" spans="2:3" x14ac:dyDescent="0.2">
      <c r="B1044" s="32"/>
      <c r="C1044" s="32"/>
    </row>
    <row r="1045" spans="2:3" x14ac:dyDescent="0.2">
      <c r="B1045" s="32"/>
      <c r="C1045" s="32"/>
    </row>
    <row r="1046" spans="2:3" x14ac:dyDescent="0.2">
      <c r="B1046" s="32"/>
      <c r="C1046" s="32"/>
    </row>
    <row r="1047" spans="2:3" x14ac:dyDescent="0.2">
      <c r="B1047" s="32"/>
      <c r="C1047" s="32"/>
    </row>
    <row r="1048" spans="2:3" x14ac:dyDescent="0.2">
      <c r="B1048" s="32"/>
      <c r="C1048" s="32"/>
    </row>
    <row r="1049" spans="2:3" x14ac:dyDescent="0.2">
      <c r="B1049" s="32"/>
      <c r="C1049" s="32"/>
    </row>
    <row r="1050" spans="2:3" x14ac:dyDescent="0.2">
      <c r="B1050" s="32"/>
      <c r="C1050" s="32"/>
    </row>
    <row r="1051" spans="2:3" x14ac:dyDescent="0.2">
      <c r="B1051" s="32"/>
      <c r="C1051" s="32"/>
    </row>
    <row r="1052" spans="2:3" x14ac:dyDescent="0.2">
      <c r="B1052" s="32"/>
      <c r="C1052" s="32"/>
    </row>
    <row r="1053" spans="2:3" x14ac:dyDescent="0.2">
      <c r="B1053" s="32"/>
      <c r="C1053" s="32"/>
    </row>
    <row r="1054" spans="2:3" x14ac:dyDescent="0.2">
      <c r="B1054" s="32"/>
      <c r="C1054" s="32"/>
    </row>
    <row r="1055" spans="2:3" x14ac:dyDescent="0.2">
      <c r="B1055" s="32"/>
      <c r="C1055" s="32"/>
    </row>
    <row r="1056" spans="2:3" x14ac:dyDescent="0.2">
      <c r="B1056" s="32"/>
      <c r="C1056" s="32"/>
    </row>
    <row r="1057" spans="2:3" x14ac:dyDescent="0.2">
      <c r="B1057" s="32"/>
      <c r="C1057" s="32"/>
    </row>
    <row r="1058" spans="2:3" x14ac:dyDescent="0.2">
      <c r="B1058" s="32"/>
      <c r="C1058" s="32"/>
    </row>
    <row r="1059" spans="2:3" x14ac:dyDescent="0.2">
      <c r="B1059" s="32"/>
      <c r="C1059" s="32"/>
    </row>
    <row r="1060" spans="2:3" x14ac:dyDescent="0.2">
      <c r="B1060" s="32"/>
      <c r="C1060" s="32"/>
    </row>
    <row r="1061" spans="2:3" x14ac:dyDescent="0.2">
      <c r="B1061" s="32"/>
      <c r="C1061" s="32"/>
    </row>
    <row r="1062" spans="2:3" x14ac:dyDescent="0.2">
      <c r="B1062" s="32"/>
      <c r="C1062" s="32"/>
    </row>
    <row r="1063" spans="2:3" x14ac:dyDescent="0.2">
      <c r="B1063" s="32"/>
      <c r="C1063" s="32"/>
    </row>
    <row r="1064" spans="2:3" x14ac:dyDescent="0.2">
      <c r="B1064" s="32"/>
      <c r="C1064" s="32"/>
    </row>
    <row r="1065" spans="2:3" x14ac:dyDescent="0.2">
      <c r="B1065" s="32"/>
      <c r="C1065" s="32"/>
    </row>
    <row r="1066" spans="2:3" x14ac:dyDescent="0.2">
      <c r="B1066" s="32"/>
      <c r="C1066" s="32"/>
    </row>
    <row r="1067" spans="2:3" x14ac:dyDescent="0.2">
      <c r="B1067" s="32"/>
      <c r="C1067" s="32"/>
    </row>
    <row r="1068" spans="2:3" x14ac:dyDescent="0.2">
      <c r="B1068" s="32"/>
      <c r="C1068" s="32"/>
    </row>
    <row r="1069" spans="2:3" x14ac:dyDescent="0.2">
      <c r="B1069" s="32"/>
      <c r="C1069" s="32"/>
    </row>
    <row r="1070" spans="2:3" x14ac:dyDescent="0.2">
      <c r="B1070" s="32"/>
      <c r="C1070" s="32"/>
    </row>
    <row r="1071" spans="2:3" x14ac:dyDescent="0.2">
      <c r="B1071" s="32"/>
      <c r="C1071" s="32"/>
    </row>
    <row r="1072" spans="2:3" x14ac:dyDescent="0.2">
      <c r="B1072" s="32"/>
      <c r="C1072" s="32"/>
    </row>
    <row r="1073" spans="2:3" x14ac:dyDescent="0.2">
      <c r="B1073" s="32"/>
      <c r="C1073" s="32"/>
    </row>
    <row r="1074" spans="2:3" x14ac:dyDescent="0.2">
      <c r="B1074" s="32"/>
      <c r="C1074" s="32"/>
    </row>
    <row r="1075" spans="2:3" x14ac:dyDescent="0.2">
      <c r="B1075" s="32"/>
      <c r="C1075" s="32"/>
    </row>
    <row r="1076" spans="2:3" x14ac:dyDescent="0.2">
      <c r="B1076" s="32"/>
      <c r="C1076" s="32"/>
    </row>
    <row r="1077" spans="2:3" x14ac:dyDescent="0.2">
      <c r="B1077" s="32"/>
      <c r="C1077" s="32"/>
    </row>
    <row r="1078" spans="2:3" x14ac:dyDescent="0.2">
      <c r="B1078" s="32"/>
      <c r="C1078" s="32"/>
    </row>
    <row r="1079" spans="2:3" x14ac:dyDescent="0.2">
      <c r="B1079" s="32"/>
      <c r="C1079" s="32"/>
    </row>
    <row r="1080" spans="2:3" x14ac:dyDescent="0.2">
      <c r="B1080" s="32"/>
      <c r="C1080" s="32"/>
    </row>
    <row r="1081" spans="2:3" x14ac:dyDescent="0.2">
      <c r="B1081" s="32"/>
      <c r="C1081" s="32"/>
    </row>
    <row r="1082" spans="2:3" x14ac:dyDescent="0.2">
      <c r="B1082" s="32"/>
      <c r="C1082" s="32"/>
    </row>
    <row r="1083" spans="2:3" x14ac:dyDescent="0.2">
      <c r="B1083" s="32"/>
      <c r="C1083" s="32"/>
    </row>
    <row r="1084" spans="2:3" x14ac:dyDescent="0.2">
      <c r="B1084" s="32"/>
      <c r="C1084" s="32"/>
    </row>
    <row r="1085" spans="2:3" x14ac:dyDescent="0.2">
      <c r="B1085" s="32"/>
      <c r="C1085" s="32"/>
    </row>
    <row r="1086" spans="2:3" x14ac:dyDescent="0.2">
      <c r="B1086" s="32"/>
      <c r="C1086" s="32"/>
    </row>
    <row r="1087" spans="2:3" x14ac:dyDescent="0.2">
      <c r="B1087" s="32"/>
      <c r="C1087" s="32"/>
    </row>
    <row r="1088" spans="2:3" x14ac:dyDescent="0.2">
      <c r="B1088" s="32"/>
      <c r="C1088" s="32"/>
    </row>
    <row r="1089" spans="2:3" x14ac:dyDescent="0.2">
      <c r="B1089" s="32"/>
      <c r="C1089" s="32"/>
    </row>
    <row r="1090" spans="2:3" x14ac:dyDescent="0.2">
      <c r="B1090" s="32"/>
      <c r="C1090" s="32"/>
    </row>
    <row r="1091" spans="2:3" x14ac:dyDescent="0.2">
      <c r="B1091" s="32"/>
      <c r="C1091" s="32"/>
    </row>
    <row r="1092" spans="2:3" x14ac:dyDescent="0.2">
      <c r="B1092" s="32"/>
      <c r="C1092" s="32"/>
    </row>
    <row r="1093" spans="2:3" x14ac:dyDescent="0.2">
      <c r="B1093" s="32"/>
      <c r="C1093" s="32"/>
    </row>
    <row r="1094" spans="2:3" x14ac:dyDescent="0.2">
      <c r="B1094" s="32"/>
      <c r="C1094" s="32"/>
    </row>
    <row r="1095" spans="2:3" x14ac:dyDescent="0.2">
      <c r="B1095" s="32"/>
      <c r="C1095" s="32"/>
    </row>
    <row r="1096" spans="2:3" x14ac:dyDescent="0.2">
      <c r="B1096" s="32"/>
      <c r="C1096" s="32"/>
    </row>
    <row r="1097" spans="2:3" x14ac:dyDescent="0.2">
      <c r="B1097" s="32"/>
      <c r="C1097" s="32"/>
    </row>
    <row r="1098" spans="2:3" x14ac:dyDescent="0.2">
      <c r="B1098" s="32"/>
      <c r="C1098" s="32"/>
    </row>
    <row r="1099" spans="2:3" x14ac:dyDescent="0.2">
      <c r="B1099" s="32"/>
      <c r="C1099" s="32"/>
    </row>
    <row r="1100" spans="2:3" x14ac:dyDescent="0.2">
      <c r="B1100" s="32"/>
      <c r="C1100" s="32"/>
    </row>
    <row r="1101" spans="2:3" x14ac:dyDescent="0.2">
      <c r="B1101" s="32"/>
      <c r="C1101" s="32"/>
    </row>
    <row r="1102" spans="2:3" x14ac:dyDescent="0.2">
      <c r="B1102" s="32"/>
      <c r="C1102" s="32"/>
    </row>
    <row r="1103" spans="2:3" x14ac:dyDescent="0.2">
      <c r="B1103" s="32"/>
      <c r="C1103" s="32"/>
    </row>
    <row r="1104" spans="2:3" x14ac:dyDescent="0.2">
      <c r="B1104" s="32"/>
      <c r="C1104" s="32"/>
    </row>
    <row r="1105" spans="2:3" x14ac:dyDescent="0.2">
      <c r="B1105" s="32"/>
      <c r="C1105" s="32"/>
    </row>
    <row r="1106" spans="2:3" x14ac:dyDescent="0.2">
      <c r="B1106" s="32"/>
      <c r="C1106" s="32"/>
    </row>
    <row r="1107" spans="2:3" x14ac:dyDescent="0.2">
      <c r="B1107" s="32"/>
      <c r="C1107" s="32"/>
    </row>
    <row r="1108" spans="2:3" x14ac:dyDescent="0.2">
      <c r="B1108" s="32"/>
      <c r="C1108" s="32"/>
    </row>
    <row r="1109" spans="2:3" x14ac:dyDescent="0.2">
      <c r="B1109" s="32"/>
      <c r="C1109" s="32"/>
    </row>
    <row r="1110" spans="2:3" x14ac:dyDescent="0.2">
      <c r="B1110" s="32"/>
      <c r="C1110" s="32"/>
    </row>
    <row r="1111" spans="2:3" x14ac:dyDescent="0.2">
      <c r="B1111" s="32"/>
      <c r="C1111" s="32"/>
    </row>
    <row r="1112" spans="2:3" x14ac:dyDescent="0.2">
      <c r="B1112" s="32"/>
      <c r="C1112" s="32"/>
    </row>
    <row r="1113" spans="2:3" x14ac:dyDescent="0.2">
      <c r="B1113" s="32"/>
      <c r="C1113" s="32"/>
    </row>
    <row r="1114" spans="2:3" x14ac:dyDescent="0.2">
      <c r="B1114" s="32"/>
      <c r="C1114" s="32"/>
    </row>
    <row r="1115" spans="2:3" x14ac:dyDescent="0.2">
      <c r="B1115" s="32"/>
      <c r="C1115" s="32"/>
    </row>
    <row r="1116" spans="2:3" x14ac:dyDescent="0.2">
      <c r="B1116" s="32"/>
      <c r="C1116" s="32"/>
    </row>
    <row r="1117" spans="2:3" x14ac:dyDescent="0.2">
      <c r="B1117" s="32"/>
      <c r="C1117" s="32"/>
    </row>
    <row r="1118" spans="2:3" x14ac:dyDescent="0.2">
      <c r="B1118" s="32"/>
      <c r="C1118" s="32"/>
    </row>
    <row r="1119" spans="2:3" x14ac:dyDescent="0.2">
      <c r="B1119" s="32"/>
      <c r="C1119" s="32"/>
    </row>
    <row r="1120" spans="2:3" x14ac:dyDescent="0.2">
      <c r="B1120" s="32"/>
      <c r="C1120" s="32"/>
    </row>
    <row r="1121" spans="2:3" x14ac:dyDescent="0.2">
      <c r="B1121" s="32"/>
      <c r="C1121" s="32"/>
    </row>
    <row r="1122" spans="2:3" x14ac:dyDescent="0.2">
      <c r="B1122" s="32"/>
      <c r="C1122" s="32"/>
    </row>
    <row r="1123" spans="2:3" x14ac:dyDescent="0.2">
      <c r="B1123" s="32"/>
      <c r="C1123" s="32"/>
    </row>
    <row r="1124" spans="2:3" x14ac:dyDescent="0.2">
      <c r="B1124" s="32"/>
      <c r="C1124" s="32"/>
    </row>
    <row r="1125" spans="2:3" x14ac:dyDescent="0.2">
      <c r="B1125" s="32"/>
      <c r="C1125" s="32"/>
    </row>
    <row r="1126" spans="2:3" x14ac:dyDescent="0.2">
      <c r="B1126" s="32"/>
      <c r="C1126" s="32"/>
    </row>
    <row r="1127" spans="2:3" x14ac:dyDescent="0.2">
      <c r="B1127" s="32"/>
      <c r="C1127" s="32"/>
    </row>
    <row r="1128" spans="2:3" x14ac:dyDescent="0.2">
      <c r="B1128" s="32"/>
      <c r="C1128" s="32"/>
    </row>
    <row r="1129" spans="2:3" x14ac:dyDescent="0.2">
      <c r="B1129" s="32"/>
      <c r="C1129" s="32"/>
    </row>
    <row r="1130" spans="2:3" x14ac:dyDescent="0.2">
      <c r="B1130" s="32"/>
      <c r="C1130" s="32"/>
    </row>
    <row r="1131" spans="2:3" x14ac:dyDescent="0.2">
      <c r="B1131" s="32"/>
      <c r="C1131" s="32"/>
    </row>
    <row r="1132" spans="2:3" x14ac:dyDescent="0.2">
      <c r="B1132" s="32"/>
      <c r="C1132" s="32"/>
    </row>
    <row r="1133" spans="2:3" x14ac:dyDescent="0.2">
      <c r="B1133" s="32"/>
      <c r="C1133" s="32"/>
    </row>
    <row r="1134" spans="2:3" x14ac:dyDescent="0.2">
      <c r="B1134" s="32"/>
      <c r="C1134" s="32"/>
    </row>
    <row r="1135" spans="2:3" x14ac:dyDescent="0.2">
      <c r="B1135" s="32"/>
      <c r="C1135" s="32"/>
    </row>
    <row r="1136" spans="2:3" x14ac:dyDescent="0.2">
      <c r="B1136" s="32"/>
      <c r="C1136" s="32"/>
    </row>
    <row r="1137" spans="2:3" x14ac:dyDescent="0.2">
      <c r="B1137" s="32"/>
      <c r="C1137" s="32"/>
    </row>
    <row r="1138" spans="2:3" x14ac:dyDescent="0.2">
      <c r="B1138" s="32"/>
      <c r="C1138" s="32"/>
    </row>
    <row r="1139" spans="2:3" x14ac:dyDescent="0.2">
      <c r="B1139" s="32"/>
      <c r="C1139" s="32"/>
    </row>
    <row r="1140" spans="2:3" x14ac:dyDescent="0.2">
      <c r="B1140" s="32"/>
      <c r="C1140" s="32"/>
    </row>
    <row r="1141" spans="2:3" x14ac:dyDescent="0.2">
      <c r="B1141" s="32"/>
      <c r="C1141" s="32"/>
    </row>
    <row r="1142" spans="2:3" x14ac:dyDescent="0.2">
      <c r="B1142" s="32"/>
      <c r="C1142" s="32"/>
    </row>
    <row r="1143" spans="2:3" x14ac:dyDescent="0.2">
      <c r="B1143" s="32"/>
      <c r="C1143" s="32"/>
    </row>
    <row r="1144" spans="2:3" x14ac:dyDescent="0.2">
      <c r="B1144" s="32"/>
      <c r="C1144" s="32"/>
    </row>
    <row r="1145" spans="2:3" x14ac:dyDescent="0.2">
      <c r="B1145" s="32"/>
      <c r="C1145" s="32"/>
    </row>
    <row r="1146" spans="2:3" x14ac:dyDescent="0.2">
      <c r="B1146" s="32"/>
      <c r="C1146" s="32"/>
    </row>
    <row r="1147" spans="2:3" x14ac:dyDescent="0.2">
      <c r="B1147" s="32"/>
      <c r="C1147" s="32"/>
    </row>
    <row r="1148" spans="2:3" x14ac:dyDescent="0.2">
      <c r="B1148" s="32"/>
      <c r="C1148" s="32"/>
    </row>
    <row r="1149" spans="2:3" x14ac:dyDescent="0.2">
      <c r="B1149" s="32"/>
      <c r="C1149" s="32"/>
    </row>
    <row r="1150" spans="2:3" x14ac:dyDescent="0.2">
      <c r="B1150" s="32"/>
      <c r="C1150" s="32"/>
    </row>
    <row r="1151" spans="2:3" x14ac:dyDescent="0.2">
      <c r="B1151" s="32"/>
      <c r="C1151" s="32"/>
    </row>
    <row r="1152" spans="2:3" x14ac:dyDescent="0.2">
      <c r="B1152" s="32"/>
      <c r="C1152" s="32"/>
    </row>
    <row r="1153" spans="2:3" x14ac:dyDescent="0.2">
      <c r="B1153" s="32"/>
      <c r="C1153" s="32"/>
    </row>
    <row r="1154" spans="2:3" x14ac:dyDescent="0.2">
      <c r="B1154" s="32"/>
      <c r="C1154" s="32"/>
    </row>
    <row r="1155" spans="2:3" x14ac:dyDescent="0.2">
      <c r="B1155" s="32"/>
      <c r="C1155" s="32"/>
    </row>
    <row r="1156" spans="2:3" x14ac:dyDescent="0.2">
      <c r="B1156" s="32"/>
      <c r="C1156" s="32"/>
    </row>
    <row r="1157" spans="2:3" x14ac:dyDescent="0.2">
      <c r="B1157" s="32"/>
      <c r="C1157" s="32"/>
    </row>
    <row r="1158" spans="2:3" x14ac:dyDescent="0.2">
      <c r="B1158" s="32"/>
      <c r="C1158" s="32"/>
    </row>
    <row r="1159" spans="2:3" x14ac:dyDescent="0.2">
      <c r="B1159" s="32"/>
      <c r="C1159" s="32"/>
    </row>
    <row r="1160" spans="2:3" x14ac:dyDescent="0.2">
      <c r="B1160" s="32"/>
      <c r="C1160" s="32"/>
    </row>
    <row r="1161" spans="2:3" x14ac:dyDescent="0.2">
      <c r="B1161" s="32"/>
      <c r="C1161" s="32"/>
    </row>
    <row r="1162" spans="2:3" x14ac:dyDescent="0.2">
      <c r="B1162" s="32"/>
      <c r="C1162" s="32"/>
    </row>
    <row r="1163" spans="2:3" x14ac:dyDescent="0.2">
      <c r="B1163" s="32"/>
      <c r="C1163" s="32"/>
    </row>
    <row r="1164" spans="2:3" x14ac:dyDescent="0.2">
      <c r="B1164" s="32"/>
      <c r="C1164" s="32"/>
    </row>
    <row r="1165" spans="2:3" x14ac:dyDescent="0.2">
      <c r="B1165" s="32"/>
      <c r="C1165" s="32"/>
    </row>
    <row r="1166" spans="2:3" x14ac:dyDescent="0.2">
      <c r="B1166" s="32"/>
      <c r="C1166" s="32"/>
    </row>
    <row r="1167" spans="2:3" x14ac:dyDescent="0.2">
      <c r="B1167" s="32"/>
      <c r="C1167" s="32"/>
    </row>
    <row r="1168" spans="2:3" x14ac:dyDescent="0.2">
      <c r="B1168" s="32"/>
      <c r="C1168" s="32"/>
    </row>
    <row r="1169" spans="2:3" x14ac:dyDescent="0.2">
      <c r="B1169" s="32"/>
      <c r="C1169" s="32"/>
    </row>
    <row r="1170" spans="2:3" x14ac:dyDescent="0.2">
      <c r="B1170" s="32"/>
      <c r="C1170" s="32"/>
    </row>
    <row r="1171" spans="2:3" x14ac:dyDescent="0.2">
      <c r="B1171" s="32"/>
      <c r="C1171" s="32"/>
    </row>
    <row r="1172" spans="2:3" x14ac:dyDescent="0.2">
      <c r="B1172" s="32"/>
      <c r="C1172" s="32"/>
    </row>
    <row r="1173" spans="2:3" x14ac:dyDescent="0.2">
      <c r="B1173" s="32"/>
      <c r="C1173" s="32"/>
    </row>
    <row r="1174" spans="2:3" x14ac:dyDescent="0.2">
      <c r="B1174" s="32"/>
      <c r="C1174" s="32"/>
    </row>
    <row r="1175" spans="2:3" x14ac:dyDescent="0.2">
      <c r="B1175" s="32"/>
      <c r="C1175" s="32"/>
    </row>
    <row r="1176" spans="2:3" x14ac:dyDescent="0.2">
      <c r="B1176" s="32"/>
      <c r="C1176" s="32"/>
    </row>
    <row r="1177" spans="2:3" x14ac:dyDescent="0.2">
      <c r="B1177" s="32"/>
      <c r="C1177" s="32"/>
    </row>
    <row r="1178" spans="2:3" x14ac:dyDescent="0.2">
      <c r="B1178" s="32"/>
      <c r="C1178" s="32"/>
    </row>
    <row r="1179" spans="2:3" x14ac:dyDescent="0.2">
      <c r="B1179" s="32"/>
      <c r="C1179" s="32"/>
    </row>
    <row r="1180" spans="2:3" x14ac:dyDescent="0.2">
      <c r="B1180" s="32"/>
      <c r="C1180" s="32"/>
    </row>
    <row r="1181" spans="2:3" x14ac:dyDescent="0.2">
      <c r="B1181" s="32"/>
      <c r="C1181" s="32"/>
    </row>
    <row r="1182" spans="2:3" x14ac:dyDescent="0.2">
      <c r="B1182" s="32"/>
      <c r="C1182" s="32"/>
    </row>
    <row r="1183" spans="2:3" x14ac:dyDescent="0.2">
      <c r="B1183" s="32"/>
      <c r="C1183" s="32"/>
    </row>
    <row r="1184" spans="2:3" x14ac:dyDescent="0.2">
      <c r="B1184" s="32"/>
      <c r="C1184" s="32"/>
    </row>
    <row r="1185" spans="2:3" x14ac:dyDescent="0.2">
      <c r="B1185" s="32"/>
      <c r="C1185" s="32"/>
    </row>
    <row r="1186" spans="2:3" x14ac:dyDescent="0.2">
      <c r="B1186" s="32"/>
      <c r="C1186" s="32"/>
    </row>
    <row r="1187" spans="2:3" x14ac:dyDescent="0.2">
      <c r="B1187" s="32"/>
      <c r="C1187" s="32"/>
    </row>
    <row r="1188" spans="2:3" x14ac:dyDescent="0.2">
      <c r="B1188" s="32"/>
      <c r="C1188" s="32"/>
    </row>
    <row r="1189" spans="2:3" x14ac:dyDescent="0.2">
      <c r="B1189" s="32"/>
      <c r="C1189" s="32"/>
    </row>
    <row r="1190" spans="2:3" x14ac:dyDescent="0.2">
      <c r="B1190" s="32"/>
      <c r="C1190" s="32"/>
    </row>
    <row r="1191" spans="2:3" x14ac:dyDescent="0.2">
      <c r="B1191" s="32"/>
      <c r="C1191" s="32"/>
    </row>
    <row r="1192" spans="2:3" x14ac:dyDescent="0.2">
      <c r="B1192" s="32"/>
      <c r="C1192" s="32"/>
    </row>
    <row r="1193" spans="2:3" x14ac:dyDescent="0.2">
      <c r="B1193" s="32"/>
      <c r="C1193" s="32"/>
    </row>
    <row r="1194" spans="2:3" x14ac:dyDescent="0.2">
      <c r="B1194" s="32"/>
      <c r="C1194" s="32"/>
    </row>
    <row r="1195" spans="2:3" x14ac:dyDescent="0.2">
      <c r="B1195" s="32"/>
      <c r="C1195" s="32"/>
    </row>
    <row r="1196" spans="2:3" x14ac:dyDescent="0.2">
      <c r="B1196" s="32"/>
      <c r="C1196" s="32"/>
    </row>
    <row r="1197" spans="2:3" x14ac:dyDescent="0.2">
      <c r="B1197" s="32"/>
      <c r="C1197" s="32"/>
    </row>
    <row r="1198" spans="2:3" x14ac:dyDescent="0.2">
      <c r="B1198" s="32"/>
      <c r="C1198" s="32"/>
    </row>
    <row r="1199" spans="2:3" x14ac:dyDescent="0.2">
      <c r="B1199" s="32"/>
      <c r="C1199" s="32"/>
    </row>
    <row r="1200" spans="2:3" x14ac:dyDescent="0.2">
      <c r="B1200" s="32"/>
      <c r="C1200" s="32"/>
    </row>
    <row r="1201" spans="2:3" x14ac:dyDescent="0.2">
      <c r="B1201" s="32"/>
      <c r="C1201" s="32"/>
    </row>
    <row r="1202" spans="2:3" x14ac:dyDescent="0.2">
      <c r="B1202" s="32"/>
      <c r="C1202" s="32"/>
    </row>
    <row r="1203" spans="2:3" x14ac:dyDescent="0.2">
      <c r="B1203" s="32"/>
      <c r="C1203" s="32"/>
    </row>
    <row r="1204" spans="2:3" x14ac:dyDescent="0.2">
      <c r="B1204" s="32"/>
      <c r="C1204" s="32"/>
    </row>
    <row r="1205" spans="2:3" x14ac:dyDescent="0.2">
      <c r="B1205" s="32"/>
      <c r="C1205" s="32"/>
    </row>
    <row r="1206" spans="2:3" x14ac:dyDescent="0.2">
      <c r="B1206" s="32"/>
      <c r="C1206" s="32"/>
    </row>
    <row r="1207" spans="2:3" x14ac:dyDescent="0.2">
      <c r="B1207" s="32"/>
      <c r="C1207" s="32"/>
    </row>
    <row r="1208" spans="2:3" x14ac:dyDescent="0.2">
      <c r="B1208" s="32"/>
      <c r="C1208" s="32"/>
    </row>
    <row r="1209" spans="2:3" x14ac:dyDescent="0.2">
      <c r="B1209" s="32"/>
      <c r="C1209" s="32"/>
    </row>
    <row r="1210" spans="2:3" x14ac:dyDescent="0.2">
      <c r="B1210" s="32"/>
      <c r="C1210" s="32"/>
    </row>
    <row r="1211" spans="2:3" x14ac:dyDescent="0.2">
      <c r="B1211" s="32"/>
      <c r="C1211" s="32"/>
    </row>
    <row r="1212" spans="2:3" x14ac:dyDescent="0.2">
      <c r="B1212" s="32"/>
      <c r="C1212" s="32"/>
    </row>
    <row r="1213" spans="2:3" x14ac:dyDescent="0.2">
      <c r="B1213" s="32"/>
      <c r="C1213" s="32"/>
    </row>
    <row r="1214" spans="2:3" x14ac:dyDescent="0.2">
      <c r="B1214" s="32"/>
      <c r="C1214" s="32"/>
    </row>
    <row r="1215" spans="2:3" x14ac:dyDescent="0.2">
      <c r="B1215" s="32"/>
      <c r="C1215" s="32"/>
    </row>
    <row r="1216" spans="2:3" x14ac:dyDescent="0.2">
      <c r="B1216" s="32"/>
      <c r="C1216" s="32"/>
    </row>
    <row r="1217" spans="2:3" x14ac:dyDescent="0.2">
      <c r="B1217" s="32"/>
      <c r="C1217" s="32"/>
    </row>
    <row r="1218" spans="2:3" x14ac:dyDescent="0.2">
      <c r="B1218" s="32"/>
      <c r="C1218" s="32"/>
    </row>
    <row r="1219" spans="2:3" x14ac:dyDescent="0.2">
      <c r="B1219" s="32"/>
      <c r="C1219" s="32"/>
    </row>
    <row r="1220" spans="2:3" x14ac:dyDescent="0.2">
      <c r="B1220" s="32"/>
      <c r="C1220" s="32"/>
    </row>
    <row r="1221" spans="2:3" x14ac:dyDescent="0.2">
      <c r="B1221" s="32"/>
      <c r="C1221" s="32"/>
    </row>
    <row r="1222" spans="2:3" x14ac:dyDescent="0.2">
      <c r="B1222" s="32"/>
      <c r="C1222" s="32"/>
    </row>
    <row r="1223" spans="2:3" x14ac:dyDescent="0.2">
      <c r="B1223" s="32"/>
      <c r="C1223" s="32"/>
    </row>
    <row r="1224" spans="2:3" x14ac:dyDescent="0.2">
      <c r="B1224" s="32"/>
      <c r="C1224" s="32"/>
    </row>
    <row r="1225" spans="2:3" x14ac:dyDescent="0.2">
      <c r="B1225" s="32"/>
      <c r="C1225" s="32"/>
    </row>
    <row r="1226" spans="2:3" x14ac:dyDescent="0.2">
      <c r="B1226" s="32"/>
      <c r="C1226" s="32"/>
    </row>
    <row r="1227" spans="2:3" x14ac:dyDescent="0.2">
      <c r="B1227" s="32"/>
      <c r="C1227" s="32"/>
    </row>
    <row r="1228" spans="2:3" x14ac:dyDescent="0.2">
      <c r="B1228" s="32"/>
      <c r="C1228" s="32"/>
    </row>
    <row r="1229" spans="2:3" x14ac:dyDescent="0.2">
      <c r="B1229" s="32"/>
      <c r="C1229" s="32"/>
    </row>
    <row r="1230" spans="2:3" x14ac:dyDescent="0.2">
      <c r="B1230" s="32"/>
      <c r="C1230" s="32"/>
    </row>
    <row r="1231" spans="2:3" x14ac:dyDescent="0.2">
      <c r="B1231" s="32"/>
      <c r="C1231" s="32"/>
    </row>
    <row r="1232" spans="2:3" x14ac:dyDescent="0.2">
      <c r="B1232" s="32"/>
      <c r="C1232" s="32"/>
    </row>
    <row r="1233" spans="2:3" x14ac:dyDescent="0.2">
      <c r="B1233" s="32"/>
      <c r="C1233" s="32"/>
    </row>
    <row r="1234" spans="2:3" x14ac:dyDescent="0.2">
      <c r="B1234" s="32"/>
      <c r="C1234" s="32"/>
    </row>
    <row r="1235" spans="2:3" x14ac:dyDescent="0.2">
      <c r="B1235" s="32"/>
      <c r="C1235" s="32"/>
    </row>
    <row r="1236" spans="2:3" x14ac:dyDescent="0.2">
      <c r="B1236" s="32"/>
      <c r="C1236" s="32"/>
    </row>
    <row r="1237" spans="2:3" x14ac:dyDescent="0.2">
      <c r="B1237" s="32"/>
      <c r="C1237" s="32"/>
    </row>
    <row r="1238" spans="2:3" x14ac:dyDescent="0.2">
      <c r="B1238" s="32"/>
      <c r="C1238" s="32"/>
    </row>
    <row r="1239" spans="2:3" x14ac:dyDescent="0.2">
      <c r="B1239" s="32"/>
      <c r="C1239" s="32"/>
    </row>
    <row r="1240" spans="2:3" x14ac:dyDescent="0.2">
      <c r="B1240" s="32"/>
      <c r="C1240" s="32"/>
    </row>
    <row r="1241" spans="2:3" x14ac:dyDescent="0.2">
      <c r="B1241" s="32"/>
      <c r="C1241" s="32"/>
    </row>
    <row r="1242" spans="2:3" x14ac:dyDescent="0.2">
      <c r="B1242" s="32"/>
      <c r="C1242" s="32"/>
    </row>
    <row r="1243" spans="2:3" x14ac:dyDescent="0.2">
      <c r="B1243" s="32"/>
      <c r="C1243" s="32"/>
    </row>
    <row r="1244" spans="2:3" x14ac:dyDescent="0.2">
      <c r="B1244" s="32"/>
      <c r="C1244" s="32"/>
    </row>
    <row r="1245" spans="2:3" x14ac:dyDescent="0.2">
      <c r="B1245" s="32"/>
      <c r="C1245" s="32"/>
    </row>
    <row r="1246" spans="2:3" x14ac:dyDescent="0.2">
      <c r="B1246" s="32"/>
      <c r="C1246" s="32"/>
    </row>
    <row r="1247" spans="2:3" x14ac:dyDescent="0.2">
      <c r="B1247" s="32"/>
      <c r="C1247" s="32"/>
    </row>
    <row r="1248" spans="2:3" x14ac:dyDescent="0.2">
      <c r="B1248" s="32"/>
      <c r="C1248" s="32"/>
    </row>
    <row r="1249" spans="2:3" x14ac:dyDescent="0.2">
      <c r="B1249" s="32"/>
      <c r="C1249" s="32"/>
    </row>
    <row r="1250" spans="2:3" x14ac:dyDescent="0.2">
      <c r="B1250" s="32"/>
      <c r="C1250" s="32"/>
    </row>
    <row r="1251" spans="2:3" x14ac:dyDescent="0.2">
      <c r="B1251" s="32"/>
      <c r="C1251" s="32"/>
    </row>
    <row r="1252" spans="2:3" x14ac:dyDescent="0.2">
      <c r="B1252" s="32"/>
      <c r="C1252" s="32"/>
    </row>
    <row r="1253" spans="2:3" x14ac:dyDescent="0.2">
      <c r="B1253" s="32"/>
      <c r="C1253" s="32"/>
    </row>
    <row r="1254" spans="2:3" x14ac:dyDescent="0.2">
      <c r="B1254" s="32"/>
      <c r="C1254" s="32"/>
    </row>
    <row r="1255" spans="2:3" x14ac:dyDescent="0.2">
      <c r="B1255" s="32"/>
      <c r="C1255" s="32"/>
    </row>
    <row r="1256" spans="2:3" x14ac:dyDescent="0.2">
      <c r="B1256" s="32"/>
      <c r="C1256" s="32"/>
    </row>
    <row r="1257" spans="2:3" x14ac:dyDescent="0.2">
      <c r="B1257" s="32"/>
      <c r="C1257" s="32"/>
    </row>
    <row r="1258" spans="2:3" x14ac:dyDescent="0.2">
      <c r="B1258" s="32"/>
      <c r="C1258" s="32"/>
    </row>
    <row r="1259" spans="2:3" x14ac:dyDescent="0.2">
      <c r="B1259" s="32"/>
      <c r="C1259" s="32"/>
    </row>
    <row r="1260" spans="2:3" x14ac:dyDescent="0.2">
      <c r="B1260" s="32"/>
      <c r="C1260" s="32"/>
    </row>
    <row r="1261" spans="2:3" x14ac:dyDescent="0.2">
      <c r="B1261" s="32"/>
      <c r="C1261" s="32"/>
    </row>
    <row r="1262" spans="2:3" x14ac:dyDescent="0.2">
      <c r="B1262" s="32"/>
      <c r="C1262" s="32"/>
    </row>
    <row r="1263" spans="2:3" x14ac:dyDescent="0.2">
      <c r="B1263" s="32"/>
      <c r="C1263" s="32"/>
    </row>
    <row r="1264" spans="2:3" x14ac:dyDescent="0.2">
      <c r="B1264" s="32"/>
      <c r="C1264" s="32"/>
    </row>
    <row r="1265" spans="2:3" x14ac:dyDescent="0.2">
      <c r="B1265" s="32"/>
      <c r="C1265" s="32"/>
    </row>
    <row r="1266" spans="2:3" x14ac:dyDescent="0.2">
      <c r="B1266" s="32"/>
      <c r="C1266" s="32"/>
    </row>
    <row r="1267" spans="2:3" x14ac:dyDescent="0.2">
      <c r="B1267" s="32"/>
      <c r="C1267" s="32"/>
    </row>
    <row r="1268" spans="2:3" x14ac:dyDescent="0.2">
      <c r="B1268" s="32"/>
      <c r="C1268" s="32"/>
    </row>
    <row r="1269" spans="2:3" x14ac:dyDescent="0.2">
      <c r="B1269" s="32"/>
      <c r="C1269" s="32"/>
    </row>
    <row r="1270" spans="2:3" x14ac:dyDescent="0.2">
      <c r="B1270" s="32"/>
      <c r="C1270" s="32"/>
    </row>
    <row r="1271" spans="2:3" x14ac:dyDescent="0.2">
      <c r="B1271" s="32"/>
      <c r="C1271" s="32"/>
    </row>
    <row r="1272" spans="2:3" x14ac:dyDescent="0.2">
      <c r="B1272" s="32"/>
      <c r="C1272" s="32"/>
    </row>
    <row r="1273" spans="2:3" x14ac:dyDescent="0.2">
      <c r="B1273" s="32"/>
      <c r="C1273" s="32"/>
    </row>
    <row r="1274" spans="2:3" x14ac:dyDescent="0.2">
      <c r="B1274" s="32"/>
      <c r="C1274" s="32"/>
    </row>
    <row r="1275" spans="2:3" x14ac:dyDescent="0.2">
      <c r="B1275" s="32"/>
      <c r="C1275" s="32"/>
    </row>
    <row r="1276" spans="2:3" x14ac:dyDescent="0.2">
      <c r="B1276" s="32"/>
      <c r="C1276" s="32"/>
    </row>
    <row r="1277" spans="2:3" x14ac:dyDescent="0.2">
      <c r="B1277" s="32"/>
      <c r="C1277" s="32"/>
    </row>
    <row r="1278" spans="2:3" x14ac:dyDescent="0.2">
      <c r="B1278" s="32"/>
      <c r="C1278" s="32"/>
    </row>
    <row r="1279" spans="2:3" x14ac:dyDescent="0.2">
      <c r="B1279" s="32"/>
      <c r="C1279" s="32"/>
    </row>
    <row r="1280" spans="2:3" x14ac:dyDescent="0.2">
      <c r="B1280" s="32"/>
      <c r="C1280" s="32"/>
    </row>
    <row r="1281" spans="2:3" x14ac:dyDescent="0.2">
      <c r="B1281" s="32"/>
      <c r="C1281" s="32"/>
    </row>
    <row r="1282" spans="2:3" x14ac:dyDescent="0.2">
      <c r="B1282" s="32"/>
      <c r="C1282" s="32"/>
    </row>
    <row r="1283" spans="2:3" x14ac:dyDescent="0.2">
      <c r="B1283" s="32"/>
      <c r="C1283" s="32"/>
    </row>
    <row r="1284" spans="2:3" x14ac:dyDescent="0.2">
      <c r="B1284" s="32"/>
      <c r="C1284" s="32"/>
    </row>
    <row r="1285" spans="2:3" x14ac:dyDescent="0.2">
      <c r="B1285" s="32"/>
      <c r="C1285" s="32"/>
    </row>
    <row r="1286" spans="2:3" x14ac:dyDescent="0.2">
      <c r="B1286" s="32"/>
      <c r="C1286" s="32"/>
    </row>
    <row r="1287" spans="2:3" x14ac:dyDescent="0.2">
      <c r="B1287" s="32"/>
      <c r="C1287" s="32"/>
    </row>
    <row r="1288" spans="2:3" x14ac:dyDescent="0.2">
      <c r="B1288" s="32"/>
      <c r="C1288" s="32"/>
    </row>
    <row r="1289" spans="2:3" x14ac:dyDescent="0.2">
      <c r="B1289" s="32"/>
      <c r="C1289" s="32"/>
    </row>
    <row r="1290" spans="2:3" x14ac:dyDescent="0.2">
      <c r="B1290" s="32"/>
      <c r="C1290" s="32"/>
    </row>
    <row r="1291" spans="2:3" x14ac:dyDescent="0.2">
      <c r="B1291" s="32"/>
      <c r="C1291" s="32"/>
    </row>
    <row r="1292" spans="2:3" x14ac:dyDescent="0.2">
      <c r="B1292" s="32"/>
      <c r="C1292" s="32"/>
    </row>
    <row r="1293" spans="2:3" x14ac:dyDescent="0.2">
      <c r="B1293" s="32"/>
      <c r="C1293" s="32"/>
    </row>
    <row r="1294" spans="2:3" x14ac:dyDescent="0.2">
      <c r="B1294" s="32"/>
      <c r="C1294" s="32"/>
    </row>
    <row r="1295" spans="2:3" x14ac:dyDescent="0.2">
      <c r="B1295" s="32"/>
      <c r="C1295" s="32"/>
    </row>
    <row r="1296" spans="2:3" x14ac:dyDescent="0.2">
      <c r="B1296" s="32"/>
      <c r="C1296" s="32"/>
    </row>
    <row r="1297" spans="2:3" x14ac:dyDescent="0.2">
      <c r="B1297" s="32"/>
      <c r="C1297" s="32"/>
    </row>
    <row r="1298" spans="2:3" x14ac:dyDescent="0.2">
      <c r="B1298" s="32"/>
      <c r="C1298" s="32"/>
    </row>
    <row r="1299" spans="2:3" x14ac:dyDescent="0.2">
      <c r="B1299" s="32"/>
      <c r="C1299" s="32"/>
    </row>
    <row r="1300" spans="2:3" x14ac:dyDescent="0.2">
      <c r="B1300" s="32"/>
      <c r="C1300" s="32"/>
    </row>
    <row r="1301" spans="2:3" x14ac:dyDescent="0.2">
      <c r="B1301" s="32"/>
      <c r="C1301" s="32"/>
    </row>
    <row r="1302" spans="2:3" x14ac:dyDescent="0.2">
      <c r="B1302" s="32"/>
      <c r="C1302" s="32"/>
    </row>
    <row r="1303" spans="2:3" x14ac:dyDescent="0.2">
      <c r="B1303" s="32"/>
      <c r="C1303" s="32"/>
    </row>
    <row r="1304" spans="2:3" x14ac:dyDescent="0.2">
      <c r="B1304" s="32"/>
      <c r="C1304" s="32"/>
    </row>
    <row r="1305" spans="2:3" x14ac:dyDescent="0.2">
      <c r="B1305" s="32"/>
      <c r="C1305" s="32"/>
    </row>
    <row r="1306" spans="2:3" x14ac:dyDescent="0.2">
      <c r="B1306" s="32"/>
      <c r="C1306" s="32"/>
    </row>
    <row r="1307" spans="2:3" x14ac:dyDescent="0.2">
      <c r="B1307" s="32"/>
      <c r="C1307" s="32"/>
    </row>
    <row r="1308" spans="2:3" x14ac:dyDescent="0.2">
      <c r="B1308" s="32"/>
      <c r="C1308" s="32"/>
    </row>
    <row r="1309" spans="2:3" x14ac:dyDescent="0.2">
      <c r="B1309" s="32"/>
      <c r="C1309" s="32"/>
    </row>
    <row r="1310" spans="2:3" x14ac:dyDescent="0.2">
      <c r="B1310" s="32"/>
      <c r="C1310" s="32"/>
    </row>
    <row r="1311" spans="2:3" x14ac:dyDescent="0.2">
      <c r="B1311" s="32"/>
      <c r="C1311" s="32"/>
    </row>
    <row r="1312" spans="2:3" x14ac:dyDescent="0.2">
      <c r="B1312" s="32"/>
      <c r="C1312" s="32"/>
    </row>
    <row r="1313" spans="2:3" x14ac:dyDescent="0.2">
      <c r="B1313" s="32"/>
      <c r="C1313" s="32"/>
    </row>
    <row r="1314" spans="2:3" x14ac:dyDescent="0.2">
      <c r="B1314" s="32"/>
      <c r="C1314" s="32"/>
    </row>
    <row r="1315" spans="2:3" x14ac:dyDescent="0.2">
      <c r="B1315" s="32"/>
      <c r="C1315" s="32"/>
    </row>
    <row r="1316" spans="2:3" x14ac:dyDescent="0.2">
      <c r="B1316" s="32"/>
      <c r="C1316" s="32"/>
    </row>
    <row r="1317" spans="2:3" x14ac:dyDescent="0.2">
      <c r="B1317" s="32"/>
      <c r="C1317" s="32"/>
    </row>
    <row r="1318" spans="2:3" x14ac:dyDescent="0.2">
      <c r="B1318" s="32"/>
      <c r="C1318" s="32"/>
    </row>
    <row r="1319" spans="2:3" x14ac:dyDescent="0.2">
      <c r="B1319" s="32"/>
      <c r="C1319" s="32"/>
    </row>
    <row r="1320" spans="2:3" x14ac:dyDescent="0.2">
      <c r="B1320" s="32"/>
      <c r="C1320" s="32"/>
    </row>
    <row r="1321" spans="2:3" x14ac:dyDescent="0.2">
      <c r="B1321" s="32"/>
      <c r="C1321" s="32"/>
    </row>
    <row r="1322" spans="2:3" x14ac:dyDescent="0.2">
      <c r="B1322" s="32"/>
      <c r="C1322" s="32"/>
    </row>
    <row r="1323" spans="2:3" x14ac:dyDescent="0.2">
      <c r="B1323" s="32"/>
      <c r="C1323" s="32"/>
    </row>
    <row r="1324" spans="2:3" x14ac:dyDescent="0.2">
      <c r="B1324" s="32"/>
      <c r="C1324" s="32"/>
    </row>
    <row r="1325" spans="2:3" x14ac:dyDescent="0.2">
      <c r="B1325" s="32"/>
      <c r="C1325" s="32"/>
    </row>
    <row r="1326" spans="2:3" x14ac:dyDescent="0.2">
      <c r="B1326" s="32"/>
      <c r="C1326" s="32"/>
    </row>
    <row r="1327" spans="2:3" x14ac:dyDescent="0.2">
      <c r="B1327" s="32"/>
      <c r="C1327" s="32"/>
    </row>
    <row r="1328" spans="2:3" x14ac:dyDescent="0.2">
      <c r="B1328" s="32"/>
      <c r="C1328" s="32"/>
    </row>
    <row r="1329" spans="2:3" x14ac:dyDescent="0.2">
      <c r="B1329" s="32"/>
      <c r="C1329" s="32"/>
    </row>
    <row r="1330" spans="2:3" x14ac:dyDescent="0.2">
      <c r="B1330" s="32"/>
      <c r="C1330" s="32"/>
    </row>
    <row r="1331" spans="2:3" x14ac:dyDescent="0.2">
      <c r="B1331" s="32"/>
      <c r="C1331" s="32"/>
    </row>
    <row r="1332" spans="2:3" x14ac:dyDescent="0.2">
      <c r="B1332" s="32"/>
      <c r="C1332" s="32"/>
    </row>
    <row r="1333" spans="2:3" x14ac:dyDescent="0.2">
      <c r="B1333" s="32"/>
      <c r="C1333" s="32"/>
    </row>
    <row r="1334" spans="2:3" x14ac:dyDescent="0.2">
      <c r="B1334" s="32"/>
      <c r="C1334" s="32"/>
    </row>
    <row r="1335" spans="2:3" x14ac:dyDescent="0.2">
      <c r="B1335" s="32"/>
      <c r="C1335" s="32"/>
    </row>
    <row r="1336" spans="2:3" x14ac:dyDescent="0.2">
      <c r="B1336" s="32"/>
      <c r="C1336" s="32"/>
    </row>
    <row r="1337" spans="2:3" x14ac:dyDescent="0.2">
      <c r="B1337" s="32"/>
      <c r="C1337" s="32"/>
    </row>
    <row r="1338" spans="2:3" x14ac:dyDescent="0.2">
      <c r="B1338" s="32"/>
      <c r="C1338" s="32"/>
    </row>
    <row r="1339" spans="2:3" x14ac:dyDescent="0.2">
      <c r="B1339" s="32"/>
      <c r="C1339" s="32"/>
    </row>
    <row r="1340" spans="2:3" x14ac:dyDescent="0.2">
      <c r="B1340" s="32"/>
      <c r="C1340" s="32"/>
    </row>
    <row r="1341" spans="2:3" x14ac:dyDescent="0.2">
      <c r="B1341" s="32"/>
      <c r="C1341" s="32"/>
    </row>
    <row r="1342" spans="2:3" x14ac:dyDescent="0.2">
      <c r="B1342" s="32"/>
      <c r="C1342" s="32"/>
    </row>
    <row r="1343" spans="2:3" x14ac:dyDescent="0.2">
      <c r="B1343" s="32"/>
      <c r="C1343" s="32"/>
    </row>
    <row r="1344" spans="2:3" x14ac:dyDescent="0.2">
      <c r="B1344" s="32"/>
      <c r="C1344" s="32"/>
    </row>
    <row r="1345" spans="2:3" x14ac:dyDescent="0.2">
      <c r="B1345" s="32"/>
      <c r="C1345" s="32"/>
    </row>
    <row r="1346" spans="2:3" x14ac:dyDescent="0.2">
      <c r="B1346" s="32"/>
      <c r="C1346" s="32"/>
    </row>
    <row r="1347" spans="2:3" x14ac:dyDescent="0.2">
      <c r="B1347" s="32"/>
      <c r="C1347" s="32"/>
    </row>
    <row r="1348" spans="2:3" x14ac:dyDescent="0.2">
      <c r="B1348" s="32"/>
      <c r="C1348" s="32"/>
    </row>
    <row r="1349" spans="2:3" x14ac:dyDescent="0.2">
      <c r="B1349" s="32"/>
      <c r="C1349" s="32"/>
    </row>
    <row r="1350" spans="2:3" x14ac:dyDescent="0.2">
      <c r="B1350" s="32"/>
      <c r="C1350" s="32"/>
    </row>
    <row r="1351" spans="2:3" x14ac:dyDescent="0.2">
      <c r="B1351" s="32"/>
      <c r="C1351" s="32"/>
    </row>
    <row r="1352" spans="2:3" x14ac:dyDescent="0.2">
      <c r="B1352" s="32"/>
      <c r="C1352" s="32"/>
    </row>
    <row r="1353" spans="2:3" x14ac:dyDescent="0.2">
      <c r="B1353" s="32"/>
      <c r="C1353" s="32"/>
    </row>
    <row r="1354" spans="2:3" x14ac:dyDescent="0.2">
      <c r="B1354" s="32"/>
      <c r="C1354" s="32"/>
    </row>
    <row r="1355" spans="2:3" x14ac:dyDescent="0.2">
      <c r="B1355" s="32"/>
      <c r="C1355" s="32"/>
    </row>
    <row r="1356" spans="2:3" x14ac:dyDescent="0.2">
      <c r="B1356" s="32"/>
      <c r="C1356" s="32"/>
    </row>
    <row r="1357" spans="2:3" x14ac:dyDescent="0.2">
      <c r="B1357" s="32"/>
      <c r="C1357" s="32"/>
    </row>
    <row r="1358" spans="2:3" x14ac:dyDescent="0.2">
      <c r="B1358" s="32"/>
      <c r="C1358" s="32"/>
    </row>
    <row r="1359" spans="2:3" x14ac:dyDescent="0.2">
      <c r="B1359" s="32"/>
      <c r="C1359" s="32"/>
    </row>
    <row r="1360" spans="2:3" x14ac:dyDescent="0.2">
      <c r="B1360" s="32"/>
      <c r="C1360" s="32"/>
    </row>
    <row r="1361" spans="2:3" x14ac:dyDescent="0.2">
      <c r="B1361" s="32"/>
      <c r="C1361" s="32"/>
    </row>
    <row r="1362" spans="2:3" x14ac:dyDescent="0.2">
      <c r="B1362" s="32"/>
      <c r="C1362" s="32"/>
    </row>
    <row r="1363" spans="2:3" x14ac:dyDescent="0.2">
      <c r="B1363" s="32"/>
      <c r="C1363" s="32"/>
    </row>
    <row r="1364" spans="2:3" x14ac:dyDescent="0.2">
      <c r="B1364" s="32"/>
      <c r="C1364" s="32"/>
    </row>
    <row r="1365" spans="2:3" x14ac:dyDescent="0.2">
      <c r="B1365" s="32"/>
      <c r="C1365" s="32"/>
    </row>
    <row r="1366" spans="2:3" x14ac:dyDescent="0.2">
      <c r="B1366" s="32"/>
      <c r="C1366" s="32"/>
    </row>
    <row r="1367" spans="2:3" x14ac:dyDescent="0.2">
      <c r="B1367" s="32"/>
      <c r="C1367" s="32"/>
    </row>
    <row r="1368" spans="2:3" x14ac:dyDescent="0.2">
      <c r="B1368" s="32"/>
      <c r="C1368" s="32"/>
    </row>
    <row r="1369" spans="2:3" x14ac:dyDescent="0.2">
      <c r="B1369" s="32"/>
      <c r="C1369" s="32"/>
    </row>
    <row r="1370" spans="2:3" x14ac:dyDescent="0.2">
      <c r="B1370" s="32"/>
      <c r="C1370" s="32"/>
    </row>
    <row r="1371" spans="2:3" x14ac:dyDescent="0.2">
      <c r="B1371" s="32"/>
      <c r="C1371" s="32"/>
    </row>
    <row r="1372" spans="2:3" x14ac:dyDescent="0.2">
      <c r="B1372" s="32"/>
      <c r="C1372" s="32"/>
    </row>
    <row r="1373" spans="2:3" x14ac:dyDescent="0.2">
      <c r="B1373" s="32"/>
      <c r="C1373" s="32"/>
    </row>
    <row r="1374" spans="2:3" x14ac:dyDescent="0.2">
      <c r="B1374" s="32"/>
      <c r="C1374" s="32"/>
    </row>
    <row r="1375" spans="2:3" x14ac:dyDescent="0.2">
      <c r="B1375" s="32"/>
      <c r="C1375" s="32"/>
    </row>
    <row r="1376" spans="2:3" x14ac:dyDescent="0.2">
      <c r="B1376" s="32"/>
      <c r="C1376" s="32"/>
    </row>
    <row r="1377" spans="2:3" x14ac:dyDescent="0.2">
      <c r="B1377" s="32"/>
      <c r="C1377" s="32"/>
    </row>
    <row r="1378" spans="2:3" x14ac:dyDescent="0.2">
      <c r="B1378" s="32"/>
      <c r="C1378" s="32"/>
    </row>
    <row r="1379" spans="2:3" x14ac:dyDescent="0.2">
      <c r="B1379" s="32"/>
      <c r="C1379" s="32"/>
    </row>
    <row r="1380" spans="2:3" x14ac:dyDescent="0.2">
      <c r="B1380" s="32"/>
      <c r="C1380" s="32"/>
    </row>
    <row r="1381" spans="2:3" x14ac:dyDescent="0.2">
      <c r="B1381" s="32"/>
      <c r="C1381" s="32"/>
    </row>
    <row r="1382" spans="2:3" x14ac:dyDescent="0.2">
      <c r="B1382" s="32"/>
      <c r="C1382" s="32"/>
    </row>
    <row r="1383" spans="2:3" x14ac:dyDescent="0.2">
      <c r="B1383" s="32"/>
      <c r="C1383" s="32"/>
    </row>
    <row r="1384" spans="2:3" x14ac:dyDescent="0.2">
      <c r="B1384" s="32"/>
      <c r="C1384" s="32"/>
    </row>
    <row r="1385" spans="2:3" x14ac:dyDescent="0.2">
      <c r="B1385" s="32"/>
      <c r="C1385" s="32"/>
    </row>
    <row r="1386" spans="2:3" x14ac:dyDescent="0.2">
      <c r="B1386" s="32"/>
      <c r="C1386" s="32"/>
    </row>
    <row r="1387" spans="2:3" x14ac:dyDescent="0.2">
      <c r="B1387" s="32"/>
      <c r="C1387" s="32"/>
    </row>
    <row r="1388" spans="2:3" x14ac:dyDescent="0.2">
      <c r="B1388" s="32"/>
      <c r="C1388" s="32"/>
    </row>
    <row r="1389" spans="2:3" x14ac:dyDescent="0.2">
      <c r="B1389" s="32"/>
      <c r="C1389" s="32"/>
    </row>
    <row r="1390" spans="2:3" x14ac:dyDescent="0.2">
      <c r="B1390" s="32"/>
      <c r="C1390" s="32"/>
    </row>
    <row r="1391" spans="2:3" x14ac:dyDescent="0.2">
      <c r="B1391" s="32"/>
      <c r="C1391" s="32"/>
    </row>
    <row r="1392" spans="2:3" x14ac:dyDescent="0.2">
      <c r="B1392" s="32"/>
      <c r="C1392" s="32"/>
    </row>
    <row r="1393" spans="2:3" x14ac:dyDescent="0.2">
      <c r="B1393" s="32"/>
      <c r="C1393" s="32"/>
    </row>
    <row r="1394" spans="2:3" x14ac:dyDescent="0.2">
      <c r="B1394" s="32"/>
      <c r="C1394" s="32"/>
    </row>
    <row r="1395" spans="2:3" x14ac:dyDescent="0.2">
      <c r="B1395" s="32"/>
      <c r="C1395" s="32"/>
    </row>
    <row r="1396" spans="2:3" x14ac:dyDescent="0.2">
      <c r="B1396" s="32"/>
      <c r="C1396" s="32"/>
    </row>
    <row r="1397" spans="2:3" x14ac:dyDescent="0.2">
      <c r="B1397" s="32"/>
      <c r="C1397" s="32"/>
    </row>
    <row r="1398" spans="2:3" x14ac:dyDescent="0.2">
      <c r="B1398" s="32"/>
      <c r="C1398" s="32"/>
    </row>
    <row r="1399" spans="2:3" x14ac:dyDescent="0.2">
      <c r="B1399" s="32"/>
      <c r="C1399" s="32"/>
    </row>
    <row r="1400" spans="2:3" x14ac:dyDescent="0.2">
      <c r="B1400" s="32"/>
      <c r="C1400" s="32"/>
    </row>
    <row r="1401" spans="2:3" x14ac:dyDescent="0.2">
      <c r="B1401" s="32"/>
      <c r="C1401" s="32"/>
    </row>
    <row r="1402" spans="2:3" x14ac:dyDescent="0.2">
      <c r="B1402" s="32"/>
      <c r="C1402" s="32"/>
    </row>
    <row r="1403" spans="2:3" x14ac:dyDescent="0.2">
      <c r="B1403" s="32"/>
      <c r="C1403" s="32"/>
    </row>
    <row r="1404" spans="2:3" x14ac:dyDescent="0.2">
      <c r="B1404" s="32"/>
      <c r="C1404" s="32"/>
    </row>
    <row r="1405" spans="2:3" x14ac:dyDescent="0.2">
      <c r="B1405" s="32"/>
      <c r="C1405" s="32"/>
    </row>
    <row r="1406" spans="2:3" x14ac:dyDescent="0.2">
      <c r="B1406" s="32"/>
      <c r="C1406" s="32"/>
    </row>
    <row r="1407" spans="2:3" x14ac:dyDescent="0.2">
      <c r="B1407" s="32"/>
      <c r="C1407" s="32"/>
    </row>
    <row r="1408" spans="2:3" x14ac:dyDescent="0.2">
      <c r="B1408" s="32"/>
      <c r="C1408" s="32"/>
    </row>
    <row r="1409" spans="2:3" x14ac:dyDescent="0.2">
      <c r="B1409" s="32"/>
      <c r="C1409" s="32"/>
    </row>
    <row r="1410" spans="2:3" x14ac:dyDescent="0.2">
      <c r="B1410" s="32"/>
      <c r="C1410" s="32"/>
    </row>
    <row r="1411" spans="2:3" x14ac:dyDescent="0.2">
      <c r="B1411" s="32"/>
      <c r="C1411" s="32"/>
    </row>
    <row r="1412" spans="2:3" x14ac:dyDescent="0.2">
      <c r="B1412" s="32"/>
      <c r="C1412" s="32"/>
    </row>
    <row r="1413" spans="2:3" x14ac:dyDescent="0.2">
      <c r="B1413" s="32"/>
      <c r="C1413" s="32"/>
    </row>
    <row r="1414" spans="2:3" x14ac:dyDescent="0.2">
      <c r="B1414" s="32"/>
      <c r="C1414" s="32"/>
    </row>
    <row r="1415" spans="2:3" x14ac:dyDescent="0.2">
      <c r="B1415" s="32"/>
      <c r="C1415" s="32"/>
    </row>
    <row r="1416" spans="2:3" x14ac:dyDescent="0.2">
      <c r="B1416" s="32"/>
      <c r="C1416" s="32"/>
    </row>
    <row r="1417" spans="2:3" x14ac:dyDescent="0.2">
      <c r="B1417" s="32"/>
      <c r="C1417" s="32"/>
    </row>
    <row r="1418" spans="2:3" x14ac:dyDescent="0.2">
      <c r="B1418" s="32"/>
      <c r="C1418" s="32"/>
    </row>
    <row r="1419" spans="2:3" x14ac:dyDescent="0.2">
      <c r="B1419" s="32"/>
      <c r="C1419" s="32"/>
    </row>
    <row r="1420" spans="2:3" x14ac:dyDescent="0.2">
      <c r="B1420" s="32"/>
      <c r="C1420" s="32"/>
    </row>
    <row r="1421" spans="2:3" x14ac:dyDescent="0.2">
      <c r="B1421" s="32"/>
      <c r="C1421" s="32"/>
    </row>
    <row r="1422" spans="2:3" x14ac:dyDescent="0.2">
      <c r="B1422" s="32"/>
      <c r="C1422" s="32"/>
    </row>
    <row r="1423" spans="2:3" x14ac:dyDescent="0.2">
      <c r="B1423" s="32"/>
      <c r="C1423" s="32"/>
    </row>
    <row r="1424" spans="2:3" x14ac:dyDescent="0.2">
      <c r="B1424" s="32"/>
      <c r="C1424" s="32"/>
    </row>
    <row r="1425" spans="2:3" x14ac:dyDescent="0.2">
      <c r="B1425" s="32"/>
      <c r="C1425" s="32"/>
    </row>
    <row r="1426" spans="2:3" x14ac:dyDescent="0.2">
      <c r="B1426" s="32"/>
      <c r="C1426" s="32"/>
    </row>
    <row r="1427" spans="2:3" x14ac:dyDescent="0.2">
      <c r="B1427" s="32"/>
      <c r="C1427" s="32"/>
    </row>
    <row r="1428" spans="2:3" x14ac:dyDescent="0.2">
      <c r="B1428" s="32"/>
      <c r="C1428" s="32"/>
    </row>
    <row r="1429" spans="2:3" x14ac:dyDescent="0.2">
      <c r="B1429" s="32"/>
      <c r="C1429" s="32"/>
    </row>
    <row r="1430" spans="2:3" x14ac:dyDescent="0.2">
      <c r="B1430" s="32"/>
      <c r="C1430" s="32"/>
    </row>
    <row r="1431" spans="2:3" x14ac:dyDescent="0.2">
      <c r="B1431" s="32"/>
      <c r="C1431" s="32"/>
    </row>
    <row r="1432" spans="2:3" x14ac:dyDescent="0.2">
      <c r="B1432" s="32"/>
      <c r="C1432" s="32"/>
    </row>
    <row r="1433" spans="2:3" x14ac:dyDescent="0.2">
      <c r="B1433" s="32"/>
      <c r="C1433" s="32"/>
    </row>
    <row r="1434" spans="2:3" x14ac:dyDescent="0.2">
      <c r="B1434" s="32"/>
      <c r="C1434" s="32"/>
    </row>
    <row r="1435" spans="2:3" x14ac:dyDescent="0.2">
      <c r="B1435" s="32"/>
      <c r="C1435" s="32"/>
    </row>
    <row r="1436" spans="2:3" x14ac:dyDescent="0.2">
      <c r="B1436" s="32"/>
      <c r="C1436" s="32"/>
    </row>
    <row r="1437" spans="2:3" x14ac:dyDescent="0.2">
      <c r="B1437" s="32"/>
      <c r="C1437" s="32"/>
    </row>
    <row r="1438" spans="2:3" x14ac:dyDescent="0.2">
      <c r="B1438" s="32"/>
      <c r="C1438" s="32"/>
    </row>
    <row r="1439" spans="2:3" x14ac:dyDescent="0.2">
      <c r="B1439" s="32"/>
      <c r="C1439" s="32"/>
    </row>
    <row r="1440" spans="2:3" x14ac:dyDescent="0.2">
      <c r="B1440" s="32"/>
      <c r="C1440" s="32"/>
    </row>
    <row r="1441" spans="2:3" x14ac:dyDescent="0.2">
      <c r="B1441" s="32"/>
      <c r="C1441" s="32"/>
    </row>
    <row r="1442" spans="2:3" x14ac:dyDescent="0.2">
      <c r="B1442" s="32"/>
      <c r="C1442" s="32"/>
    </row>
    <row r="1443" spans="2:3" x14ac:dyDescent="0.2">
      <c r="B1443" s="32"/>
      <c r="C1443" s="32"/>
    </row>
    <row r="1444" spans="2:3" x14ac:dyDescent="0.2">
      <c r="B1444" s="32"/>
      <c r="C1444" s="32"/>
    </row>
    <row r="1445" spans="2:3" x14ac:dyDescent="0.2">
      <c r="B1445" s="32"/>
      <c r="C1445" s="32"/>
    </row>
    <row r="1446" spans="2:3" x14ac:dyDescent="0.2">
      <c r="B1446" s="32"/>
      <c r="C1446" s="32"/>
    </row>
    <row r="1447" spans="2:3" x14ac:dyDescent="0.2">
      <c r="B1447" s="32"/>
      <c r="C1447" s="32"/>
    </row>
    <row r="1448" spans="2:3" x14ac:dyDescent="0.2">
      <c r="B1448" s="32"/>
      <c r="C1448" s="32"/>
    </row>
    <row r="1449" spans="2:3" x14ac:dyDescent="0.2">
      <c r="B1449" s="32"/>
      <c r="C1449" s="32"/>
    </row>
    <row r="1450" spans="2:3" x14ac:dyDescent="0.2">
      <c r="B1450" s="32"/>
      <c r="C1450" s="32"/>
    </row>
    <row r="1451" spans="2:3" x14ac:dyDescent="0.2">
      <c r="B1451" s="32"/>
      <c r="C1451" s="32"/>
    </row>
    <row r="1452" spans="2:3" x14ac:dyDescent="0.2">
      <c r="B1452" s="32"/>
      <c r="C1452" s="32"/>
    </row>
    <row r="1453" spans="2:3" x14ac:dyDescent="0.2">
      <c r="B1453" s="32"/>
      <c r="C1453" s="32"/>
    </row>
    <row r="1454" spans="2:3" x14ac:dyDescent="0.2">
      <c r="B1454" s="32"/>
      <c r="C1454" s="32"/>
    </row>
    <row r="1455" spans="2:3" x14ac:dyDescent="0.2">
      <c r="B1455" s="32"/>
      <c r="C1455" s="32"/>
    </row>
    <row r="1456" spans="2:3" x14ac:dyDescent="0.2">
      <c r="B1456" s="32"/>
      <c r="C1456" s="32"/>
    </row>
    <row r="1457" spans="2:3" x14ac:dyDescent="0.2">
      <c r="B1457" s="32"/>
      <c r="C1457" s="32"/>
    </row>
    <row r="1458" spans="2:3" x14ac:dyDescent="0.2">
      <c r="B1458" s="32"/>
      <c r="C1458" s="32"/>
    </row>
    <row r="1459" spans="2:3" x14ac:dyDescent="0.2">
      <c r="B1459" s="32"/>
      <c r="C1459" s="32"/>
    </row>
    <row r="1460" spans="2:3" x14ac:dyDescent="0.2">
      <c r="B1460" s="32"/>
      <c r="C1460" s="32"/>
    </row>
    <row r="1461" spans="2:3" x14ac:dyDescent="0.2">
      <c r="B1461" s="32"/>
      <c r="C1461" s="32"/>
    </row>
    <row r="1462" spans="2:3" x14ac:dyDescent="0.2">
      <c r="B1462" s="32"/>
      <c r="C1462" s="32"/>
    </row>
    <row r="1463" spans="2:3" x14ac:dyDescent="0.2">
      <c r="B1463" s="32"/>
      <c r="C1463" s="32"/>
    </row>
    <row r="1464" spans="2:3" x14ac:dyDescent="0.2">
      <c r="B1464" s="32"/>
      <c r="C1464" s="32"/>
    </row>
    <row r="1465" spans="2:3" x14ac:dyDescent="0.2">
      <c r="B1465" s="32"/>
      <c r="C1465" s="32"/>
    </row>
    <row r="1466" spans="2:3" x14ac:dyDescent="0.2">
      <c r="B1466" s="32"/>
      <c r="C1466" s="32"/>
    </row>
    <row r="1467" spans="2:3" x14ac:dyDescent="0.2">
      <c r="B1467" s="32"/>
      <c r="C1467" s="32"/>
    </row>
    <row r="1468" spans="2:3" x14ac:dyDescent="0.2">
      <c r="B1468" s="32"/>
      <c r="C1468" s="32"/>
    </row>
    <row r="1469" spans="2:3" x14ac:dyDescent="0.2">
      <c r="B1469" s="32"/>
      <c r="C1469" s="32"/>
    </row>
    <row r="1470" spans="2:3" x14ac:dyDescent="0.2">
      <c r="B1470" s="32"/>
      <c r="C1470" s="32"/>
    </row>
    <row r="1471" spans="2:3" x14ac:dyDescent="0.2">
      <c r="B1471" s="32"/>
      <c r="C1471" s="32"/>
    </row>
    <row r="1472" spans="2:3" x14ac:dyDescent="0.2">
      <c r="B1472" s="32"/>
      <c r="C1472" s="32"/>
    </row>
    <row r="1473" spans="2:3" x14ac:dyDescent="0.2">
      <c r="B1473" s="32"/>
      <c r="C1473" s="32"/>
    </row>
    <row r="1474" spans="2:3" x14ac:dyDescent="0.2">
      <c r="B1474" s="32"/>
      <c r="C1474" s="32"/>
    </row>
    <row r="1475" spans="2:3" x14ac:dyDescent="0.2">
      <c r="B1475" s="32"/>
      <c r="C1475" s="32"/>
    </row>
    <row r="1476" spans="2:3" x14ac:dyDescent="0.2">
      <c r="B1476" s="32"/>
      <c r="C1476" s="32"/>
    </row>
    <row r="1477" spans="2:3" x14ac:dyDescent="0.2">
      <c r="B1477" s="32"/>
      <c r="C1477" s="32"/>
    </row>
    <row r="1478" spans="2:3" x14ac:dyDescent="0.2">
      <c r="B1478" s="32"/>
      <c r="C1478" s="32"/>
    </row>
    <row r="1479" spans="2:3" x14ac:dyDescent="0.2">
      <c r="B1479" s="32"/>
      <c r="C1479" s="32"/>
    </row>
    <row r="1480" spans="2:3" x14ac:dyDescent="0.2">
      <c r="B1480" s="32"/>
      <c r="C1480" s="32"/>
    </row>
    <row r="1481" spans="2:3" x14ac:dyDescent="0.2">
      <c r="B1481" s="32"/>
      <c r="C1481" s="32"/>
    </row>
    <row r="1482" spans="2:3" x14ac:dyDescent="0.2">
      <c r="B1482" s="32"/>
      <c r="C1482" s="32"/>
    </row>
    <row r="1483" spans="2:3" x14ac:dyDescent="0.2">
      <c r="B1483" s="32"/>
      <c r="C1483" s="32"/>
    </row>
    <row r="1484" spans="2:3" x14ac:dyDescent="0.2">
      <c r="B1484" s="32"/>
      <c r="C1484" s="32"/>
    </row>
    <row r="1485" spans="2:3" x14ac:dyDescent="0.2">
      <c r="B1485" s="32"/>
      <c r="C1485" s="32"/>
    </row>
    <row r="1486" spans="2:3" x14ac:dyDescent="0.2">
      <c r="B1486" s="32"/>
      <c r="C1486" s="32"/>
    </row>
    <row r="1487" spans="2:3" x14ac:dyDescent="0.2">
      <c r="B1487" s="32"/>
      <c r="C1487" s="32"/>
    </row>
    <row r="1488" spans="2:3" x14ac:dyDescent="0.2">
      <c r="B1488" s="32"/>
      <c r="C1488" s="32"/>
    </row>
    <row r="1489" spans="2:3" x14ac:dyDescent="0.2">
      <c r="B1489" s="32"/>
      <c r="C1489" s="32"/>
    </row>
    <row r="1490" spans="2:3" x14ac:dyDescent="0.2">
      <c r="B1490" s="32"/>
      <c r="C1490" s="32"/>
    </row>
    <row r="1491" spans="2:3" x14ac:dyDescent="0.2">
      <c r="B1491" s="32"/>
      <c r="C1491" s="32"/>
    </row>
    <row r="1492" spans="2:3" x14ac:dyDescent="0.2">
      <c r="B1492" s="32"/>
      <c r="C1492" s="32"/>
    </row>
    <row r="1493" spans="2:3" x14ac:dyDescent="0.2">
      <c r="B1493" s="32"/>
      <c r="C1493" s="32"/>
    </row>
    <row r="1494" spans="2:3" x14ac:dyDescent="0.2">
      <c r="B1494" s="32"/>
      <c r="C1494" s="32"/>
    </row>
    <row r="1495" spans="2:3" x14ac:dyDescent="0.2">
      <c r="B1495" s="32"/>
      <c r="C1495" s="32"/>
    </row>
    <row r="1496" spans="2:3" x14ac:dyDescent="0.2">
      <c r="B1496" s="32"/>
      <c r="C1496" s="32"/>
    </row>
    <row r="1497" spans="2:3" x14ac:dyDescent="0.2">
      <c r="B1497" s="32"/>
      <c r="C1497" s="32"/>
    </row>
    <row r="1498" spans="2:3" x14ac:dyDescent="0.2">
      <c r="B1498" s="32"/>
      <c r="C1498" s="32"/>
    </row>
    <row r="1499" spans="2:3" x14ac:dyDescent="0.2">
      <c r="B1499" s="32"/>
      <c r="C1499" s="32"/>
    </row>
    <row r="1500" spans="2:3" x14ac:dyDescent="0.2">
      <c r="B1500" s="32"/>
      <c r="C1500" s="32"/>
    </row>
    <row r="1501" spans="2:3" x14ac:dyDescent="0.2">
      <c r="B1501" s="32"/>
      <c r="C1501" s="32"/>
    </row>
    <row r="1502" spans="2:3" x14ac:dyDescent="0.2">
      <c r="B1502" s="32"/>
      <c r="C1502" s="32"/>
    </row>
    <row r="1503" spans="2:3" x14ac:dyDescent="0.2">
      <c r="B1503" s="32"/>
      <c r="C1503" s="32"/>
    </row>
    <row r="1504" spans="2:3" x14ac:dyDescent="0.2">
      <c r="B1504" s="32"/>
      <c r="C1504" s="32"/>
    </row>
    <row r="1505" spans="2:3" x14ac:dyDescent="0.2">
      <c r="B1505" s="32"/>
      <c r="C1505" s="32"/>
    </row>
    <row r="1506" spans="2:3" x14ac:dyDescent="0.2">
      <c r="B1506" s="32"/>
      <c r="C1506" s="32"/>
    </row>
    <row r="1507" spans="2:3" x14ac:dyDescent="0.2">
      <c r="B1507" s="32"/>
      <c r="C1507" s="32"/>
    </row>
    <row r="1508" spans="2:3" x14ac:dyDescent="0.2">
      <c r="B1508" s="32"/>
      <c r="C1508" s="32"/>
    </row>
    <row r="1509" spans="2:3" x14ac:dyDescent="0.2">
      <c r="B1509" s="32"/>
      <c r="C1509" s="32"/>
    </row>
    <row r="1510" spans="2:3" x14ac:dyDescent="0.2">
      <c r="B1510" s="32"/>
      <c r="C1510" s="32"/>
    </row>
    <row r="1511" spans="2:3" x14ac:dyDescent="0.2">
      <c r="B1511" s="32"/>
      <c r="C1511" s="32"/>
    </row>
    <row r="1512" spans="2:3" x14ac:dyDescent="0.2">
      <c r="B1512" s="32"/>
      <c r="C1512" s="32"/>
    </row>
    <row r="1513" spans="2:3" x14ac:dyDescent="0.2">
      <c r="B1513" s="32"/>
      <c r="C1513" s="32"/>
    </row>
    <row r="1514" spans="2:3" x14ac:dyDescent="0.2">
      <c r="B1514" s="32"/>
      <c r="C1514" s="32"/>
    </row>
    <row r="1515" spans="2:3" x14ac:dyDescent="0.2">
      <c r="B1515" s="32"/>
      <c r="C1515" s="32"/>
    </row>
    <row r="1516" spans="2:3" x14ac:dyDescent="0.2">
      <c r="B1516" s="32"/>
      <c r="C1516" s="32"/>
    </row>
    <row r="1517" spans="2:3" x14ac:dyDescent="0.2">
      <c r="B1517" s="32"/>
      <c r="C1517" s="32"/>
    </row>
    <row r="1518" spans="2:3" x14ac:dyDescent="0.2">
      <c r="B1518" s="32"/>
      <c r="C1518" s="32"/>
    </row>
    <row r="1519" spans="2:3" x14ac:dyDescent="0.2">
      <c r="B1519" s="32"/>
      <c r="C1519" s="32"/>
    </row>
    <row r="1520" spans="2:3" x14ac:dyDescent="0.2">
      <c r="B1520" s="32"/>
      <c r="C1520" s="32"/>
    </row>
    <row r="1521" spans="2:3" x14ac:dyDescent="0.2">
      <c r="B1521" s="32"/>
      <c r="C1521" s="32"/>
    </row>
    <row r="1522" spans="2:3" x14ac:dyDescent="0.2">
      <c r="B1522" s="32"/>
      <c r="C1522" s="32"/>
    </row>
    <row r="1523" spans="2:3" x14ac:dyDescent="0.2">
      <c r="B1523" s="32"/>
      <c r="C1523" s="32"/>
    </row>
    <row r="1524" spans="2:3" x14ac:dyDescent="0.2">
      <c r="B1524" s="32"/>
      <c r="C1524" s="32"/>
    </row>
    <row r="1525" spans="2:3" x14ac:dyDescent="0.2">
      <c r="B1525" s="32"/>
      <c r="C1525" s="32"/>
    </row>
    <row r="1526" spans="2:3" x14ac:dyDescent="0.2">
      <c r="B1526" s="32"/>
      <c r="C1526" s="32"/>
    </row>
    <row r="1527" spans="2:3" x14ac:dyDescent="0.2">
      <c r="B1527" s="32"/>
      <c r="C1527" s="32"/>
    </row>
    <row r="1528" spans="2:3" x14ac:dyDescent="0.2">
      <c r="B1528" s="32"/>
      <c r="C1528" s="32"/>
    </row>
    <row r="1529" spans="2:3" x14ac:dyDescent="0.2">
      <c r="B1529" s="32"/>
      <c r="C1529" s="32"/>
    </row>
    <row r="1530" spans="2:3" x14ac:dyDescent="0.2">
      <c r="B1530" s="32"/>
      <c r="C1530" s="32"/>
    </row>
    <row r="1531" spans="2:3" x14ac:dyDescent="0.2">
      <c r="B1531" s="32"/>
      <c r="C1531" s="32"/>
    </row>
    <row r="1532" spans="2:3" x14ac:dyDescent="0.2">
      <c r="B1532" s="32"/>
      <c r="C1532" s="32"/>
    </row>
    <row r="1533" spans="2:3" x14ac:dyDescent="0.2">
      <c r="B1533" s="32"/>
      <c r="C1533" s="32"/>
    </row>
    <row r="1534" spans="2:3" x14ac:dyDescent="0.2">
      <c r="B1534" s="32"/>
      <c r="C1534" s="32"/>
    </row>
    <row r="1535" spans="2:3" x14ac:dyDescent="0.2">
      <c r="B1535" s="32"/>
      <c r="C1535" s="32"/>
    </row>
    <row r="1536" spans="2:3" x14ac:dyDescent="0.2">
      <c r="B1536" s="32"/>
      <c r="C1536" s="32"/>
    </row>
    <row r="1537" spans="2:3" x14ac:dyDescent="0.2">
      <c r="B1537" s="32"/>
      <c r="C1537" s="32"/>
    </row>
    <row r="1538" spans="2:3" x14ac:dyDescent="0.2">
      <c r="B1538" s="32"/>
      <c r="C1538" s="32"/>
    </row>
    <row r="1539" spans="2:3" x14ac:dyDescent="0.2">
      <c r="B1539" s="32"/>
      <c r="C1539" s="32"/>
    </row>
    <row r="1540" spans="2:3" x14ac:dyDescent="0.2">
      <c r="B1540" s="32"/>
      <c r="C1540" s="32"/>
    </row>
    <row r="1541" spans="2:3" x14ac:dyDescent="0.2">
      <c r="B1541" s="32"/>
      <c r="C1541" s="32"/>
    </row>
    <row r="1542" spans="2:3" x14ac:dyDescent="0.2">
      <c r="B1542" s="32"/>
      <c r="C1542" s="32"/>
    </row>
    <row r="1543" spans="2:3" x14ac:dyDescent="0.2">
      <c r="B1543" s="32"/>
      <c r="C1543" s="32"/>
    </row>
    <row r="1544" spans="2:3" x14ac:dyDescent="0.2">
      <c r="B1544"/>
      <c r="C1544" s="41"/>
    </row>
    <row r="1545" spans="2:3" x14ac:dyDescent="0.2">
      <c r="B1545"/>
      <c r="C1545" s="41"/>
    </row>
    <row r="1546" spans="2:3" x14ac:dyDescent="0.2">
      <c r="B1546"/>
      <c r="C1546" s="41"/>
    </row>
    <row r="1547" spans="2:3" x14ac:dyDescent="0.2">
      <c r="B1547"/>
      <c r="C1547" s="41"/>
    </row>
    <row r="1548" spans="2:3" x14ac:dyDescent="0.2">
      <c r="B1548"/>
      <c r="C1548" s="41"/>
    </row>
    <row r="1549" spans="2:3" x14ac:dyDescent="0.2">
      <c r="B1549"/>
      <c r="C1549" s="41"/>
    </row>
    <row r="1550" spans="2:3" x14ac:dyDescent="0.2">
      <c r="B1550"/>
      <c r="C1550" s="41"/>
    </row>
    <row r="1551" spans="2:3" x14ac:dyDescent="0.2">
      <c r="B1551"/>
      <c r="C1551" s="41"/>
    </row>
    <row r="1552" spans="2:3" x14ac:dyDescent="0.2">
      <c r="B1552"/>
      <c r="C1552" s="41"/>
    </row>
    <row r="1553" spans="2:3" x14ac:dyDescent="0.2">
      <c r="B1553"/>
      <c r="C1553" s="41"/>
    </row>
    <row r="1554" spans="2:3" x14ac:dyDescent="0.2">
      <c r="B1554"/>
      <c r="C1554" s="41"/>
    </row>
    <row r="1555" spans="2:3" x14ac:dyDescent="0.2">
      <c r="B1555"/>
      <c r="C1555" s="41"/>
    </row>
    <row r="1556" spans="2:3" x14ac:dyDescent="0.2">
      <c r="B1556"/>
      <c r="C1556" s="41"/>
    </row>
    <row r="1557" spans="2:3" x14ac:dyDescent="0.2">
      <c r="B1557"/>
      <c r="C1557" s="41"/>
    </row>
    <row r="1558" spans="2:3" x14ac:dyDescent="0.2">
      <c r="B1558"/>
      <c r="C1558" s="41"/>
    </row>
    <row r="1559" spans="2:3" x14ac:dyDescent="0.2">
      <c r="B1559"/>
      <c r="C1559" s="41"/>
    </row>
    <row r="1560" spans="2:3" x14ac:dyDescent="0.2">
      <c r="B1560"/>
      <c r="C1560" s="41"/>
    </row>
    <row r="1561" spans="2:3" x14ac:dyDescent="0.2">
      <c r="B1561"/>
      <c r="C1561" s="41"/>
    </row>
    <row r="1562" spans="2:3" x14ac:dyDescent="0.2">
      <c r="B1562"/>
      <c r="C1562" s="41"/>
    </row>
    <row r="1563" spans="2:3" x14ac:dyDescent="0.2">
      <c r="B1563"/>
      <c r="C1563" s="41"/>
    </row>
    <row r="1564" spans="2:3" x14ac:dyDescent="0.2">
      <c r="B1564"/>
      <c r="C1564" s="41"/>
    </row>
    <row r="1565" spans="2:3" x14ac:dyDescent="0.2">
      <c r="B1565"/>
      <c r="C1565" s="41"/>
    </row>
    <row r="1566" spans="2:3" x14ac:dyDescent="0.2">
      <c r="B1566"/>
      <c r="C1566" s="41"/>
    </row>
    <row r="1567" spans="2:3" x14ac:dyDescent="0.2">
      <c r="B1567"/>
      <c r="C1567" s="41"/>
    </row>
    <row r="1568" spans="2:3" x14ac:dyDescent="0.2">
      <c r="B1568"/>
      <c r="C1568" s="41"/>
    </row>
    <row r="1569" spans="2:3" x14ac:dyDescent="0.2">
      <c r="B1569"/>
      <c r="C1569" s="41"/>
    </row>
    <row r="1570" spans="2:3" x14ac:dyDescent="0.2">
      <c r="B1570"/>
      <c r="C1570" s="41"/>
    </row>
    <row r="1571" spans="2:3" x14ac:dyDescent="0.2">
      <c r="B1571"/>
      <c r="C1571" s="41"/>
    </row>
    <row r="1572" spans="2:3" x14ac:dyDescent="0.2">
      <c r="B1572"/>
      <c r="C1572" s="41"/>
    </row>
    <row r="1573" spans="2:3" x14ac:dyDescent="0.2">
      <c r="B1573"/>
      <c r="C1573" s="41"/>
    </row>
    <row r="1574" spans="2:3" x14ac:dyDescent="0.2">
      <c r="B1574"/>
      <c r="C1574" s="41"/>
    </row>
    <row r="1575" spans="2:3" x14ac:dyDescent="0.2">
      <c r="B1575"/>
      <c r="C1575" s="41"/>
    </row>
    <row r="1576" spans="2:3" x14ac:dyDescent="0.2">
      <c r="B1576"/>
      <c r="C1576" s="41"/>
    </row>
    <row r="1577" spans="2:3" x14ac:dyDescent="0.2">
      <c r="B1577"/>
      <c r="C1577" s="41"/>
    </row>
    <row r="1578" spans="2:3" x14ac:dyDescent="0.2">
      <c r="B1578"/>
      <c r="C1578" s="41"/>
    </row>
    <row r="1579" spans="2:3" x14ac:dyDescent="0.2">
      <c r="B1579"/>
      <c r="C1579" s="41"/>
    </row>
    <row r="1580" spans="2:3" x14ac:dyDescent="0.2">
      <c r="B1580"/>
      <c r="C1580" s="41"/>
    </row>
    <row r="1581" spans="2:3" x14ac:dyDescent="0.2">
      <c r="B1581"/>
      <c r="C1581" s="41"/>
    </row>
    <row r="1582" spans="2:3" x14ac:dyDescent="0.2">
      <c r="B1582"/>
      <c r="C1582" s="41"/>
    </row>
    <row r="1583" spans="2:3" x14ac:dyDescent="0.2">
      <c r="B1583"/>
      <c r="C1583" s="41"/>
    </row>
    <row r="1584" spans="2:3" x14ac:dyDescent="0.2">
      <c r="B1584"/>
      <c r="C1584" s="41"/>
    </row>
    <row r="1585" spans="2:3" x14ac:dyDescent="0.2">
      <c r="B1585"/>
      <c r="C1585" s="41"/>
    </row>
    <row r="1586" spans="2:3" x14ac:dyDescent="0.2">
      <c r="B1586"/>
      <c r="C1586" s="41"/>
    </row>
    <row r="1587" spans="2:3" x14ac:dyDescent="0.2">
      <c r="B1587"/>
      <c r="C1587" s="41"/>
    </row>
    <row r="1588" spans="2:3" x14ac:dyDescent="0.2">
      <c r="B1588"/>
      <c r="C1588" s="41"/>
    </row>
    <row r="1589" spans="2:3" x14ac:dyDescent="0.2">
      <c r="B1589"/>
      <c r="C1589" s="41"/>
    </row>
    <row r="1590" spans="2:3" x14ac:dyDescent="0.2">
      <c r="B1590"/>
      <c r="C1590" s="41"/>
    </row>
    <row r="1591" spans="2:3" x14ac:dyDescent="0.2">
      <c r="B1591"/>
      <c r="C1591" s="41"/>
    </row>
    <row r="1592" spans="2:3" x14ac:dyDescent="0.2">
      <c r="B1592"/>
      <c r="C1592" s="41"/>
    </row>
    <row r="1593" spans="2:3" x14ac:dyDescent="0.2">
      <c r="B1593"/>
      <c r="C1593" s="41"/>
    </row>
    <row r="1594" spans="2:3" x14ac:dyDescent="0.2">
      <c r="B1594"/>
      <c r="C1594" s="41"/>
    </row>
    <row r="1595" spans="2:3" x14ac:dyDescent="0.2">
      <c r="B1595"/>
      <c r="C1595" s="41"/>
    </row>
    <row r="1596" spans="2:3" x14ac:dyDescent="0.2">
      <c r="B1596"/>
      <c r="C1596" s="41"/>
    </row>
    <row r="1597" spans="2:3" x14ac:dyDescent="0.2">
      <c r="B1597"/>
      <c r="C1597" s="41"/>
    </row>
    <row r="1598" spans="2:3" x14ac:dyDescent="0.2">
      <c r="B1598"/>
      <c r="C1598" s="41"/>
    </row>
    <row r="1599" spans="2:3" x14ac:dyDescent="0.2">
      <c r="B1599"/>
      <c r="C1599" s="41"/>
    </row>
    <row r="1600" spans="2:3" x14ac:dyDescent="0.2">
      <c r="B1600"/>
      <c r="C1600" s="41"/>
    </row>
    <row r="1601" spans="2:3" x14ac:dyDescent="0.2">
      <c r="B1601"/>
      <c r="C1601" s="41"/>
    </row>
    <row r="1602" spans="2:3" x14ac:dyDescent="0.2">
      <c r="B1602"/>
      <c r="C1602" s="41"/>
    </row>
    <row r="1603" spans="2:3" x14ac:dyDescent="0.2">
      <c r="B1603"/>
      <c r="C1603" s="41"/>
    </row>
    <row r="1604" spans="2:3" x14ac:dyDescent="0.2">
      <c r="B1604"/>
      <c r="C1604" s="41"/>
    </row>
    <row r="1605" spans="2:3" x14ac:dyDescent="0.2">
      <c r="B1605"/>
      <c r="C1605" s="41"/>
    </row>
    <row r="1606" spans="2:3" x14ac:dyDescent="0.2">
      <c r="B1606"/>
      <c r="C1606" s="41"/>
    </row>
    <row r="1607" spans="2:3" x14ac:dyDescent="0.2">
      <c r="B1607"/>
      <c r="C1607" s="41"/>
    </row>
    <row r="1608" spans="2:3" x14ac:dyDescent="0.2">
      <c r="B1608"/>
      <c r="C1608" s="41"/>
    </row>
    <row r="1609" spans="2:3" x14ac:dyDescent="0.2">
      <c r="B1609"/>
      <c r="C1609" s="41"/>
    </row>
    <row r="1610" spans="2:3" x14ac:dyDescent="0.2">
      <c r="B1610"/>
      <c r="C1610" s="41"/>
    </row>
    <row r="1611" spans="2:3" x14ac:dyDescent="0.2">
      <c r="B1611"/>
      <c r="C1611" s="41"/>
    </row>
    <row r="1612" spans="2:3" x14ac:dyDescent="0.2">
      <c r="B1612"/>
      <c r="C1612" s="41"/>
    </row>
    <row r="1613" spans="2:3" x14ac:dyDescent="0.2">
      <c r="B1613"/>
      <c r="C1613" s="41"/>
    </row>
    <row r="1614" spans="2:3" x14ac:dyDescent="0.2">
      <c r="B1614"/>
      <c r="C1614" s="41"/>
    </row>
    <row r="1615" spans="2:3" x14ac:dyDescent="0.2">
      <c r="B1615"/>
      <c r="C1615" s="41"/>
    </row>
    <row r="1616" spans="2:3" x14ac:dyDescent="0.2">
      <c r="B1616"/>
      <c r="C1616" s="41"/>
    </row>
    <row r="1617" spans="2:3" x14ac:dyDescent="0.2">
      <c r="B1617"/>
      <c r="C1617" s="41"/>
    </row>
    <row r="1618" spans="2:3" x14ac:dyDescent="0.2">
      <c r="B1618"/>
      <c r="C1618" s="41"/>
    </row>
    <row r="1619" spans="2:3" x14ac:dyDescent="0.2">
      <c r="B1619"/>
      <c r="C1619" s="41"/>
    </row>
    <row r="1620" spans="2:3" x14ac:dyDescent="0.2">
      <c r="B1620"/>
      <c r="C1620" s="41"/>
    </row>
    <row r="1621" spans="2:3" x14ac:dyDescent="0.2">
      <c r="B1621"/>
      <c r="C1621" s="41"/>
    </row>
    <row r="1622" spans="2:3" x14ac:dyDescent="0.2">
      <c r="B1622"/>
      <c r="C1622" s="41"/>
    </row>
    <row r="1623" spans="2:3" x14ac:dyDescent="0.2">
      <c r="B1623"/>
      <c r="C1623" s="41"/>
    </row>
    <row r="1624" spans="2:3" x14ac:dyDescent="0.2">
      <c r="B1624"/>
      <c r="C1624" s="41"/>
    </row>
    <row r="1625" spans="2:3" x14ac:dyDescent="0.2">
      <c r="B1625"/>
      <c r="C1625" s="41"/>
    </row>
    <row r="1626" spans="2:3" x14ac:dyDescent="0.2">
      <c r="B1626"/>
      <c r="C1626" s="41"/>
    </row>
    <row r="1627" spans="2:3" x14ac:dyDescent="0.2">
      <c r="B1627"/>
      <c r="C1627" s="41"/>
    </row>
    <row r="1628" spans="2:3" x14ac:dyDescent="0.2">
      <c r="B1628"/>
      <c r="C1628" s="41"/>
    </row>
    <row r="1629" spans="2:3" x14ac:dyDescent="0.2">
      <c r="B1629"/>
      <c r="C1629" s="41"/>
    </row>
    <row r="1630" spans="2:3" x14ac:dyDescent="0.2">
      <c r="B1630"/>
      <c r="C1630" s="41"/>
    </row>
    <row r="1631" spans="2:3" x14ac:dyDescent="0.2">
      <c r="B1631"/>
      <c r="C1631" s="41"/>
    </row>
    <row r="1632" spans="2:3" x14ac:dyDescent="0.2">
      <c r="B1632"/>
      <c r="C1632" s="41"/>
    </row>
    <row r="1633" spans="2:3" x14ac:dyDescent="0.2">
      <c r="B1633"/>
      <c r="C1633" s="41"/>
    </row>
    <row r="1634" spans="2:3" x14ac:dyDescent="0.2">
      <c r="B1634"/>
      <c r="C1634" s="41"/>
    </row>
    <row r="1635" spans="2:3" x14ac:dyDescent="0.2">
      <c r="B1635"/>
      <c r="C1635" s="41"/>
    </row>
    <row r="1636" spans="2:3" x14ac:dyDescent="0.2">
      <c r="B1636"/>
      <c r="C1636" s="41"/>
    </row>
    <row r="1637" spans="2:3" x14ac:dyDescent="0.2">
      <c r="B1637"/>
      <c r="C1637" s="41"/>
    </row>
    <row r="1638" spans="2:3" x14ac:dyDescent="0.2">
      <c r="B1638"/>
      <c r="C1638" s="41"/>
    </row>
    <row r="1639" spans="2:3" x14ac:dyDescent="0.2">
      <c r="B1639"/>
      <c r="C1639" s="41"/>
    </row>
    <row r="1640" spans="2:3" x14ac:dyDescent="0.2">
      <c r="B1640"/>
      <c r="C1640" s="41"/>
    </row>
    <row r="1641" spans="2:3" x14ac:dyDescent="0.2">
      <c r="B1641"/>
      <c r="C1641" s="41"/>
    </row>
    <row r="1642" spans="2:3" x14ac:dyDescent="0.2">
      <c r="B1642"/>
      <c r="C1642" s="41"/>
    </row>
    <row r="1643" spans="2:3" x14ac:dyDescent="0.2">
      <c r="B1643"/>
      <c r="C1643" s="41"/>
    </row>
    <row r="1644" spans="2:3" x14ac:dyDescent="0.2">
      <c r="B1644"/>
      <c r="C1644" s="41"/>
    </row>
    <row r="1645" spans="2:3" x14ac:dyDescent="0.2">
      <c r="B1645"/>
      <c r="C1645" s="41"/>
    </row>
    <row r="1646" spans="2:3" x14ac:dyDescent="0.2">
      <c r="B1646"/>
      <c r="C1646" s="41"/>
    </row>
    <row r="1647" spans="2:3" x14ac:dyDescent="0.2">
      <c r="B1647"/>
      <c r="C1647" s="41"/>
    </row>
    <row r="1648" spans="2:3" x14ac:dyDescent="0.2">
      <c r="B1648"/>
      <c r="C1648" s="41"/>
    </row>
    <row r="1649" spans="2:3" x14ac:dyDescent="0.2">
      <c r="B1649"/>
      <c r="C1649" s="41"/>
    </row>
    <row r="1650" spans="2:3" x14ac:dyDescent="0.2">
      <c r="B1650"/>
      <c r="C1650" s="41"/>
    </row>
    <row r="1651" spans="2:3" x14ac:dyDescent="0.2">
      <c r="B1651"/>
      <c r="C1651" s="41"/>
    </row>
    <row r="1652" spans="2:3" x14ac:dyDescent="0.2">
      <c r="B1652"/>
      <c r="C1652" s="41"/>
    </row>
    <row r="1653" spans="2:3" x14ac:dyDescent="0.2">
      <c r="B1653"/>
      <c r="C1653" s="41"/>
    </row>
    <row r="1654" spans="2:3" x14ac:dyDescent="0.2">
      <c r="B1654"/>
      <c r="C1654" s="41"/>
    </row>
    <row r="1655" spans="2:3" x14ac:dyDescent="0.2">
      <c r="B1655"/>
      <c r="C1655" s="41"/>
    </row>
    <row r="1656" spans="2:3" x14ac:dyDescent="0.2">
      <c r="B1656"/>
      <c r="C1656" s="41"/>
    </row>
    <row r="1657" spans="2:3" x14ac:dyDescent="0.2">
      <c r="B1657"/>
      <c r="C1657" s="41"/>
    </row>
    <row r="1658" spans="2:3" x14ac:dyDescent="0.2">
      <c r="B1658"/>
      <c r="C1658" s="41"/>
    </row>
    <row r="1659" spans="2:3" x14ac:dyDescent="0.2">
      <c r="B1659"/>
      <c r="C1659" s="41"/>
    </row>
    <row r="1660" spans="2:3" x14ac:dyDescent="0.2">
      <c r="B1660"/>
      <c r="C1660" s="41"/>
    </row>
    <row r="1661" spans="2:3" x14ac:dyDescent="0.2">
      <c r="B1661"/>
      <c r="C1661" s="41"/>
    </row>
    <row r="1662" spans="2:3" x14ac:dyDescent="0.2">
      <c r="B1662"/>
      <c r="C1662" s="41"/>
    </row>
    <row r="1663" spans="2:3" x14ac:dyDescent="0.2">
      <c r="B1663"/>
      <c r="C1663" s="41"/>
    </row>
    <row r="1664" spans="2:3" x14ac:dyDescent="0.2">
      <c r="B1664"/>
      <c r="C1664" s="41"/>
    </row>
    <row r="1665" spans="2:3" x14ac:dyDescent="0.2">
      <c r="B1665"/>
      <c r="C1665" s="41"/>
    </row>
    <row r="1666" spans="2:3" x14ac:dyDescent="0.2">
      <c r="B1666"/>
      <c r="C1666" s="41"/>
    </row>
    <row r="1667" spans="2:3" x14ac:dyDescent="0.2">
      <c r="B1667"/>
      <c r="C1667" s="41"/>
    </row>
    <row r="1668" spans="2:3" x14ac:dyDescent="0.2">
      <c r="B1668"/>
      <c r="C1668" s="41"/>
    </row>
    <row r="1669" spans="2:3" x14ac:dyDescent="0.2">
      <c r="B1669"/>
      <c r="C1669" s="41"/>
    </row>
    <row r="1670" spans="2:3" x14ac:dyDescent="0.2">
      <c r="B1670"/>
      <c r="C1670" s="41"/>
    </row>
    <row r="1671" spans="2:3" x14ac:dyDescent="0.2">
      <c r="B1671"/>
      <c r="C1671" s="41"/>
    </row>
    <row r="1672" spans="2:3" x14ac:dyDescent="0.2">
      <c r="B1672"/>
      <c r="C1672" s="41"/>
    </row>
    <row r="1673" spans="2:3" x14ac:dyDescent="0.2">
      <c r="B1673"/>
      <c r="C1673" s="41"/>
    </row>
    <row r="1674" spans="2:3" x14ac:dyDescent="0.2">
      <c r="B1674"/>
      <c r="C1674" s="41"/>
    </row>
    <row r="1675" spans="2:3" x14ac:dyDescent="0.2">
      <c r="B1675"/>
      <c r="C1675" s="41"/>
    </row>
    <row r="1676" spans="2:3" x14ac:dyDescent="0.2">
      <c r="B1676"/>
      <c r="C1676" s="41"/>
    </row>
    <row r="1677" spans="2:3" x14ac:dyDescent="0.2">
      <c r="B1677"/>
      <c r="C1677" s="41"/>
    </row>
    <row r="1678" spans="2:3" x14ac:dyDescent="0.2">
      <c r="B1678"/>
      <c r="C1678" s="41"/>
    </row>
    <row r="1679" spans="2:3" x14ac:dyDescent="0.2">
      <c r="B1679"/>
      <c r="C1679" s="41"/>
    </row>
    <row r="1680" spans="2:3" x14ac:dyDescent="0.2">
      <c r="B1680"/>
      <c r="C1680" s="41"/>
    </row>
    <row r="1681" spans="2:3" x14ac:dyDescent="0.2">
      <c r="B1681"/>
      <c r="C1681" s="41"/>
    </row>
    <row r="1682" spans="2:3" x14ac:dyDescent="0.2">
      <c r="B1682"/>
      <c r="C1682" s="41"/>
    </row>
    <row r="1683" spans="2:3" x14ac:dyDescent="0.2">
      <c r="B1683"/>
      <c r="C1683" s="41"/>
    </row>
    <row r="1684" spans="2:3" x14ac:dyDescent="0.2">
      <c r="B1684"/>
      <c r="C1684" s="41"/>
    </row>
    <row r="1685" spans="2:3" x14ac:dyDescent="0.2">
      <c r="B1685"/>
      <c r="C1685" s="41"/>
    </row>
    <row r="1686" spans="2:3" x14ac:dyDescent="0.2">
      <c r="B1686"/>
      <c r="C1686" s="41"/>
    </row>
    <row r="1687" spans="2:3" x14ac:dyDescent="0.2">
      <c r="B1687"/>
      <c r="C1687" s="41"/>
    </row>
    <row r="1688" spans="2:3" x14ac:dyDescent="0.2">
      <c r="B1688"/>
      <c r="C1688" s="41"/>
    </row>
    <row r="1689" spans="2:3" x14ac:dyDescent="0.2">
      <c r="B1689"/>
      <c r="C1689" s="41"/>
    </row>
    <row r="1690" spans="2:3" x14ac:dyDescent="0.2">
      <c r="B1690"/>
      <c r="C1690" s="41"/>
    </row>
    <row r="1691" spans="2:3" x14ac:dyDescent="0.2">
      <c r="B1691"/>
      <c r="C1691" s="41"/>
    </row>
    <row r="1692" spans="2:3" x14ac:dyDescent="0.2">
      <c r="B1692"/>
      <c r="C1692" s="41"/>
    </row>
    <row r="1693" spans="2:3" x14ac:dyDescent="0.2">
      <c r="B1693"/>
      <c r="C1693" s="41"/>
    </row>
    <row r="1694" spans="2:3" x14ac:dyDescent="0.2">
      <c r="B1694"/>
      <c r="C1694" s="41"/>
    </row>
    <row r="1695" spans="2:3" x14ac:dyDescent="0.2">
      <c r="B1695"/>
      <c r="C1695" s="41"/>
    </row>
    <row r="1696" spans="2:3" x14ac:dyDescent="0.2">
      <c r="B1696"/>
      <c r="C1696" s="41"/>
    </row>
    <row r="1697" spans="2:3" x14ac:dyDescent="0.2">
      <c r="B1697"/>
      <c r="C1697" s="41"/>
    </row>
    <row r="1698" spans="2:3" x14ac:dyDescent="0.2">
      <c r="B1698"/>
      <c r="C1698" s="41"/>
    </row>
    <row r="1699" spans="2:3" x14ac:dyDescent="0.2">
      <c r="B1699"/>
      <c r="C1699" s="41"/>
    </row>
    <row r="1700" spans="2:3" x14ac:dyDescent="0.2">
      <c r="B1700"/>
      <c r="C1700" s="41"/>
    </row>
    <row r="1701" spans="2:3" x14ac:dyDescent="0.2">
      <c r="B1701"/>
      <c r="C1701" s="41"/>
    </row>
    <row r="1702" spans="2:3" x14ac:dyDescent="0.2">
      <c r="B1702"/>
      <c r="C1702" s="41"/>
    </row>
    <row r="1703" spans="2:3" x14ac:dyDescent="0.2">
      <c r="B1703"/>
      <c r="C1703" s="41"/>
    </row>
    <row r="1704" spans="2:3" x14ac:dyDescent="0.2">
      <c r="B1704"/>
      <c r="C1704" s="41"/>
    </row>
    <row r="1705" spans="2:3" x14ac:dyDescent="0.2">
      <c r="B1705"/>
      <c r="C1705" s="41"/>
    </row>
    <row r="1706" spans="2:3" x14ac:dyDescent="0.2">
      <c r="B1706"/>
      <c r="C1706" s="41"/>
    </row>
    <row r="1707" spans="2:3" x14ac:dyDescent="0.2">
      <c r="B1707"/>
      <c r="C1707" s="41"/>
    </row>
    <row r="1708" spans="2:3" x14ac:dyDescent="0.2">
      <c r="B1708"/>
      <c r="C1708" s="41"/>
    </row>
    <row r="1709" spans="2:3" x14ac:dyDescent="0.2">
      <c r="B1709"/>
      <c r="C1709" s="41"/>
    </row>
    <row r="1710" spans="2:3" x14ac:dyDescent="0.2">
      <c r="B1710"/>
      <c r="C1710" s="41"/>
    </row>
    <row r="1711" spans="2:3" x14ac:dyDescent="0.2">
      <c r="B1711"/>
      <c r="C1711" s="41"/>
    </row>
    <row r="1712" spans="2:3" x14ac:dyDescent="0.2">
      <c r="B1712"/>
      <c r="C1712" s="41"/>
    </row>
    <row r="1713" spans="2:3" x14ac:dyDescent="0.2">
      <c r="B1713"/>
      <c r="C1713" s="41"/>
    </row>
    <row r="1714" spans="2:3" x14ac:dyDescent="0.2">
      <c r="B1714"/>
      <c r="C1714" s="41"/>
    </row>
    <row r="1715" spans="2:3" x14ac:dyDescent="0.2">
      <c r="B1715"/>
      <c r="C1715" s="41"/>
    </row>
    <row r="1716" spans="2:3" x14ac:dyDescent="0.2">
      <c r="B1716"/>
      <c r="C1716" s="41"/>
    </row>
    <row r="1717" spans="2:3" x14ac:dyDescent="0.2">
      <c r="B1717"/>
      <c r="C1717" s="41"/>
    </row>
    <row r="1718" spans="2:3" x14ac:dyDescent="0.2">
      <c r="B1718"/>
      <c r="C1718" s="41"/>
    </row>
    <row r="1719" spans="2:3" x14ac:dyDescent="0.2">
      <c r="B1719"/>
      <c r="C1719" s="41"/>
    </row>
    <row r="1720" spans="2:3" x14ac:dyDescent="0.2">
      <c r="B1720"/>
      <c r="C1720" s="41"/>
    </row>
    <row r="1721" spans="2:3" x14ac:dyDescent="0.2">
      <c r="B1721"/>
      <c r="C1721" s="41"/>
    </row>
    <row r="1722" spans="2:3" x14ac:dyDescent="0.2">
      <c r="B1722"/>
      <c r="C1722" s="41"/>
    </row>
    <row r="1723" spans="2:3" x14ac:dyDescent="0.2">
      <c r="B1723"/>
      <c r="C1723" s="41"/>
    </row>
    <row r="1724" spans="2:3" x14ac:dyDescent="0.2">
      <c r="B1724"/>
      <c r="C1724" s="41"/>
    </row>
    <row r="1725" spans="2:3" x14ac:dyDescent="0.2">
      <c r="B1725"/>
      <c r="C1725" s="41"/>
    </row>
    <row r="1726" spans="2:3" x14ac:dyDescent="0.2">
      <c r="B1726"/>
      <c r="C1726" s="41"/>
    </row>
    <row r="1727" spans="2:3" x14ac:dyDescent="0.2">
      <c r="B1727"/>
      <c r="C1727" s="41"/>
    </row>
    <row r="1728" spans="2:3" x14ac:dyDescent="0.2">
      <c r="B1728"/>
      <c r="C1728" s="41"/>
    </row>
    <row r="1729" spans="2:3" x14ac:dyDescent="0.2">
      <c r="B1729"/>
      <c r="C1729" s="41"/>
    </row>
    <row r="1730" spans="2:3" x14ac:dyDescent="0.2">
      <c r="B1730"/>
      <c r="C1730" s="41"/>
    </row>
    <row r="1731" spans="2:3" x14ac:dyDescent="0.2">
      <c r="B1731"/>
      <c r="C1731" s="41"/>
    </row>
    <row r="1732" spans="2:3" x14ac:dyDescent="0.2">
      <c r="B1732"/>
      <c r="C1732" s="41"/>
    </row>
    <row r="1733" spans="2:3" x14ac:dyDescent="0.2">
      <c r="B1733"/>
      <c r="C1733" s="41"/>
    </row>
    <row r="1734" spans="2:3" x14ac:dyDescent="0.2">
      <c r="B1734"/>
      <c r="C1734" s="41"/>
    </row>
    <row r="1735" spans="2:3" x14ac:dyDescent="0.2">
      <c r="B1735"/>
      <c r="C1735" s="41"/>
    </row>
    <row r="1736" spans="2:3" x14ac:dyDescent="0.2">
      <c r="B1736"/>
      <c r="C1736" s="41"/>
    </row>
    <row r="1737" spans="2:3" x14ac:dyDescent="0.2">
      <c r="B1737"/>
      <c r="C1737" s="41"/>
    </row>
    <row r="1738" spans="2:3" x14ac:dyDescent="0.2">
      <c r="B1738"/>
      <c r="C1738" s="41"/>
    </row>
    <row r="1739" spans="2:3" x14ac:dyDescent="0.2">
      <c r="B1739"/>
      <c r="C1739" s="41"/>
    </row>
    <row r="1740" spans="2:3" x14ac:dyDescent="0.2">
      <c r="B1740"/>
      <c r="C1740" s="41"/>
    </row>
    <row r="1741" spans="2:3" x14ac:dyDescent="0.2">
      <c r="B1741"/>
      <c r="C1741" s="41"/>
    </row>
    <row r="1742" spans="2:3" x14ac:dyDescent="0.2">
      <c r="B1742"/>
      <c r="C1742" s="41"/>
    </row>
    <row r="1743" spans="2:3" x14ac:dyDescent="0.2">
      <c r="B1743"/>
      <c r="C1743" s="41"/>
    </row>
    <row r="1744" spans="2:3" x14ac:dyDescent="0.2">
      <c r="B1744"/>
      <c r="C1744" s="41"/>
    </row>
    <row r="1745" spans="2:3" x14ac:dyDescent="0.2">
      <c r="B1745"/>
      <c r="C1745" s="41"/>
    </row>
    <row r="1746" spans="2:3" x14ac:dyDescent="0.2">
      <c r="B1746"/>
      <c r="C1746" s="41"/>
    </row>
    <row r="1747" spans="2:3" x14ac:dyDescent="0.2">
      <c r="B1747"/>
      <c r="C1747" s="41"/>
    </row>
    <row r="1748" spans="2:3" x14ac:dyDescent="0.2">
      <c r="B1748"/>
      <c r="C1748" s="41"/>
    </row>
    <row r="1749" spans="2:3" x14ac:dyDescent="0.2">
      <c r="B1749"/>
      <c r="C1749" s="41"/>
    </row>
    <row r="1750" spans="2:3" x14ac:dyDescent="0.2">
      <c r="B1750"/>
      <c r="C1750" s="41"/>
    </row>
    <row r="1751" spans="2:3" x14ac:dyDescent="0.2">
      <c r="B1751"/>
      <c r="C1751" s="41"/>
    </row>
    <row r="1752" spans="2:3" x14ac:dyDescent="0.2">
      <c r="B1752"/>
      <c r="C1752" s="41"/>
    </row>
    <row r="1753" spans="2:3" x14ac:dyDescent="0.2">
      <c r="B1753"/>
      <c r="C1753" s="41"/>
    </row>
    <row r="1754" spans="2:3" x14ac:dyDescent="0.2">
      <c r="B1754"/>
      <c r="C1754" s="41"/>
    </row>
    <row r="1755" spans="2:3" x14ac:dyDescent="0.2">
      <c r="B1755"/>
      <c r="C1755" s="41"/>
    </row>
    <row r="1756" spans="2:3" x14ac:dyDescent="0.2">
      <c r="B1756"/>
      <c r="C1756" s="41"/>
    </row>
    <row r="1757" spans="2:3" x14ac:dyDescent="0.2">
      <c r="B1757"/>
      <c r="C1757" s="41"/>
    </row>
    <row r="1758" spans="2:3" x14ac:dyDescent="0.2">
      <c r="B1758"/>
      <c r="C1758" s="41"/>
    </row>
    <row r="1759" spans="2:3" x14ac:dyDescent="0.2">
      <c r="B1759"/>
      <c r="C1759" s="41"/>
    </row>
    <row r="1760" spans="2:3" x14ac:dyDescent="0.2">
      <c r="B1760"/>
      <c r="C1760" s="41"/>
    </row>
    <row r="1761" spans="2:3" x14ac:dyDescent="0.2">
      <c r="B1761"/>
      <c r="C1761" s="41"/>
    </row>
    <row r="1762" spans="2:3" x14ac:dyDescent="0.2">
      <c r="B1762"/>
      <c r="C1762" s="41"/>
    </row>
    <row r="1763" spans="2:3" x14ac:dyDescent="0.2">
      <c r="B1763"/>
      <c r="C1763" s="41"/>
    </row>
    <row r="1764" spans="2:3" x14ac:dyDescent="0.2">
      <c r="B1764"/>
      <c r="C1764" s="41"/>
    </row>
    <row r="1765" spans="2:3" x14ac:dyDescent="0.2">
      <c r="B1765"/>
      <c r="C1765" s="41"/>
    </row>
    <row r="1766" spans="2:3" x14ac:dyDescent="0.2">
      <c r="B1766"/>
      <c r="C1766" s="41"/>
    </row>
    <row r="1767" spans="2:3" x14ac:dyDescent="0.2">
      <c r="B1767"/>
      <c r="C1767" s="41"/>
    </row>
    <row r="1768" spans="2:3" x14ac:dyDescent="0.2">
      <c r="B1768"/>
      <c r="C1768" s="41"/>
    </row>
    <row r="1769" spans="2:3" x14ac:dyDescent="0.2">
      <c r="B1769"/>
      <c r="C1769" s="41"/>
    </row>
    <row r="1770" spans="2:3" x14ac:dyDescent="0.2">
      <c r="B1770"/>
      <c r="C1770" s="41"/>
    </row>
    <row r="1771" spans="2:3" x14ac:dyDescent="0.2">
      <c r="B1771"/>
      <c r="C1771" s="41"/>
    </row>
    <row r="1772" spans="2:3" x14ac:dyDescent="0.2">
      <c r="B1772"/>
      <c r="C1772" s="41"/>
    </row>
    <row r="1773" spans="2:3" x14ac:dyDescent="0.2">
      <c r="B1773"/>
      <c r="C1773" s="41"/>
    </row>
    <row r="1774" spans="2:3" x14ac:dyDescent="0.2">
      <c r="B1774"/>
      <c r="C1774" s="41"/>
    </row>
    <row r="1775" spans="2:3" x14ac:dyDescent="0.2">
      <c r="B1775"/>
      <c r="C1775" s="41"/>
    </row>
    <row r="1776" spans="2:3" x14ac:dyDescent="0.2">
      <c r="B1776"/>
      <c r="C1776" s="41"/>
    </row>
    <row r="1777" spans="2:3" x14ac:dyDescent="0.2">
      <c r="B1777"/>
      <c r="C1777" s="41"/>
    </row>
    <row r="1778" spans="2:3" x14ac:dyDescent="0.2">
      <c r="B1778"/>
      <c r="C1778" s="41"/>
    </row>
    <row r="1779" spans="2:3" x14ac:dyDescent="0.2">
      <c r="B1779"/>
      <c r="C1779" s="41"/>
    </row>
    <row r="1780" spans="2:3" x14ac:dyDescent="0.2">
      <c r="B1780"/>
      <c r="C1780" s="41"/>
    </row>
    <row r="1781" spans="2:3" x14ac:dyDescent="0.2">
      <c r="B1781"/>
      <c r="C1781" s="41"/>
    </row>
    <row r="1782" spans="2:3" x14ac:dyDescent="0.2">
      <c r="B1782"/>
      <c r="C1782" s="41"/>
    </row>
    <row r="1783" spans="2:3" x14ac:dyDescent="0.2">
      <c r="B1783"/>
      <c r="C1783" s="41"/>
    </row>
    <row r="1784" spans="2:3" x14ac:dyDescent="0.2">
      <c r="B1784"/>
      <c r="C1784" s="41"/>
    </row>
    <row r="1785" spans="2:3" x14ac:dyDescent="0.2">
      <c r="B1785"/>
      <c r="C1785" s="41"/>
    </row>
    <row r="1786" spans="2:3" x14ac:dyDescent="0.2">
      <c r="B1786"/>
      <c r="C1786" s="41"/>
    </row>
    <row r="1787" spans="2:3" x14ac:dyDescent="0.2">
      <c r="B1787"/>
      <c r="C1787" s="41"/>
    </row>
    <row r="1788" spans="2:3" x14ac:dyDescent="0.2">
      <c r="B1788"/>
      <c r="C1788" s="41"/>
    </row>
    <row r="1789" spans="2:3" x14ac:dyDescent="0.2">
      <c r="B1789"/>
      <c r="C1789" s="41"/>
    </row>
    <row r="1790" spans="2:3" x14ac:dyDescent="0.2">
      <c r="B1790"/>
      <c r="C1790" s="41"/>
    </row>
    <row r="1791" spans="2:3" x14ac:dyDescent="0.2">
      <c r="B1791"/>
      <c r="C1791" s="41"/>
    </row>
    <row r="1792" spans="2:3" x14ac:dyDescent="0.2">
      <c r="B1792"/>
      <c r="C1792" s="41"/>
    </row>
    <row r="1793" spans="2:3" x14ac:dyDescent="0.2">
      <c r="B1793"/>
      <c r="C1793" s="41"/>
    </row>
    <row r="1794" spans="2:3" x14ac:dyDescent="0.2">
      <c r="B1794"/>
      <c r="C1794" s="41"/>
    </row>
    <row r="1795" spans="2:3" x14ac:dyDescent="0.2">
      <c r="B1795"/>
      <c r="C1795" s="41"/>
    </row>
    <row r="1796" spans="2:3" x14ac:dyDescent="0.2">
      <c r="B1796"/>
      <c r="C1796" s="41"/>
    </row>
    <row r="1797" spans="2:3" x14ac:dyDescent="0.2">
      <c r="B1797"/>
      <c r="C1797" s="41"/>
    </row>
    <row r="1798" spans="2:3" x14ac:dyDescent="0.2">
      <c r="B1798"/>
      <c r="C1798" s="41"/>
    </row>
    <row r="1799" spans="2:3" x14ac:dyDescent="0.2">
      <c r="B1799"/>
      <c r="C1799" s="41"/>
    </row>
    <row r="1800" spans="2:3" x14ac:dyDescent="0.2">
      <c r="B1800"/>
      <c r="C1800" s="41"/>
    </row>
    <row r="1801" spans="2:3" x14ac:dyDescent="0.2">
      <c r="B1801"/>
      <c r="C1801" s="41"/>
    </row>
    <row r="1802" spans="2:3" x14ac:dyDescent="0.2">
      <c r="B1802"/>
      <c r="C1802" s="41"/>
    </row>
    <row r="1803" spans="2:3" x14ac:dyDescent="0.2">
      <c r="B1803"/>
      <c r="C1803" s="41"/>
    </row>
    <row r="1804" spans="2:3" x14ac:dyDescent="0.2">
      <c r="B1804"/>
      <c r="C1804" s="41"/>
    </row>
    <row r="1805" spans="2:3" x14ac:dyDescent="0.2">
      <c r="B1805"/>
      <c r="C1805" s="41"/>
    </row>
    <row r="1806" spans="2:3" x14ac:dyDescent="0.2">
      <c r="B1806"/>
      <c r="C1806" s="41"/>
    </row>
    <row r="1807" spans="2:3" x14ac:dyDescent="0.2">
      <c r="B1807"/>
      <c r="C1807" s="41"/>
    </row>
    <row r="1808" spans="2:3" x14ac:dyDescent="0.2">
      <c r="B1808"/>
      <c r="C1808" s="41"/>
    </row>
    <row r="1809" spans="2:3" x14ac:dyDescent="0.2">
      <c r="B1809"/>
      <c r="C1809" s="41"/>
    </row>
    <row r="1810" spans="2:3" x14ac:dyDescent="0.2">
      <c r="B1810"/>
      <c r="C1810" s="41"/>
    </row>
    <row r="1811" spans="2:3" x14ac:dyDescent="0.2">
      <c r="B1811"/>
      <c r="C1811" s="41"/>
    </row>
    <row r="1812" spans="2:3" x14ac:dyDescent="0.2">
      <c r="B1812"/>
      <c r="C1812" s="41"/>
    </row>
    <row r="1813" spans="2:3" x14ac:dyDescent="0.2">
      <c r="B1813"/>
      <c r="C1813" s="41"/>
    </row>
    <row r="1814" spans="2:3" x14ac:dyDescent="0.2">
      <c r="B1814"/>
      <c r="C1814" s="41"/>
    </row>
    <row r="1815" spans="2:3" x14ac:dyDescent="0.2">
      <c r="B1815"/>
      <c r="C1815" s="41"/>
    </row>
    <row r="1816" spans="2:3" x14ac:dyDescent="0.2">
      <c r="B1816"/>
      <c r="C1816" s="41"/>
    </row>
    <row r="1817" spans="2:3" x14ac:dyDescent="0.2">
      <c r="B1817"/>
      <c r="C1817" s="41"/>
    </row>
    <row r="1818" spans="2:3" x14ac:dyDescent="0.2">
      <c r="B1818"/>
      <c r="C1818" s="41"/>
    </row>
    <row r="1819" spans="2:3" x14ac:dyDescent="0.2">
      <c r="B1819"/>
      <c r="C1819" s="41"/>
    </row>
    <row r="1820" spans="2:3" x14ac:dyDescent="0.2">
      <c r="B1820"/>
      <c r="C1820" s="41"/>
    </row>
    <row r="1821" spans="2:3" x14ac:dyDescent="0.2">
      <c r="B1821"/>
      <c r="C1821" s="41"/>
    </row>
    <row r="1822" spans="2:3" x14ac:dyDescent="0.2">
      <c r="B1822"/>
      <c r="C1822" s="41"/>
    </row>
    <row r="1823" spans="2:3" x14ac:dyDescent="0.2">
      <c r="B1823"/>
      <c r="C1823" s="41"/>
    </row>
    <row r="1824" spans="2:3" x14ac:dyDescent="0.2">
      <c r="B1824"/>
      <c r="C1824" s="41"/>
    </row>
    <row r="1825" spans="2:3" x14ac:dyDescent="0.2">
      <c r="B1825"/>
      <c r="C1825" s="41"/>
    </row>
    <row r="1826" spans="2:3" x14ac:dyDescent="0.2">
      <c r="B1826"/>
      <c r="C1826" s="41"/>
    </row>
    <row r="1827" spans="2:3" x14ac:dyDescent="0.2">
      <c r="B1827"/>
      <c r="C1827" s="41"/>
    </row>
    <row r="1828" spans="2:3" x14ac:dyDescent="0.2">
      <c r="B1828"/>
      <c r="C1828" s="41"/>
    </row>
    <row r="1829" spans="2:3" x14ac:dyDescent="0.2">
      <c r="B1829"/>
      <c r="C1829" s="41"/>
    </row>
    <row r="1830" spans="2:3" x14ac:dyDescent="0.2">
      <c r="B1830"/>
      <c r="C1830" s="41"/>
    </row>
    <row r="1831" spans="2:3" x14ac:dyDescent="0.2">
      <c r="B1831"/>
      <c r="C1831" s="41"/>
    </row>
    <row r="1832" spans="2:3" x14ac:dyDescent="0.2">
      <c r="B1832"/>
      <c r="C1832" s="41"/>
    </row>
    <row r="1833" spans="2:3" x14ac:dyDescent="0.2">
      <c r="B1833"/>
      <c r="C1833" s="41"/>
    </row>
    <row r="1834" spans="2:3" x14ac:dyDescent="0.2">
      <c r="B1834"/>
      <c r="C1834" s="41"/>
    </row>
    <row r="1835" spans="2:3" x14ac:dyDescent="0.2">
      <c r="B1835"/>
      <c r="C1835" s="41"/>
    </row>
    <row r="1836" spans="2:3" x14ac:dyDescent="0.2">
      <c r="B1836"/>
      <c r="C1836" s="41"/>
    </row>
    <row r="1837" spans="2:3" x14ac:dyDescent="0.2">
      <c r="B1837"/>
      <c r="C1837" s="41"/>
    </row>
    <row r="1838" spans="2:3" x14ac:dyDescent="0.2">
      <c r="B1838"/>
      <c r="C1838" s="41"/>
    </row>
    <row r="1839" spans="2:3" x14ac:dyDescent="0.2">
      <c r="B1839"/>
      <c r="C1839" s="41"/>
    </row>
    <row r="1840" spans="2:3" x14ac:dyDescent="0.2">
      <c r="B1840"/>
      <c r="C1840" s="41"/>
    </row>
    <row r="1841" spans="2:3" x14ac:dyDescent="0.2">
      <c r="B1841"/>
      <c r="C1841" s="41"/>
    </row>
    <row r="1842" spans="2:3" x14ac:dyDescent="0.2">
      <c r="B1842"/>
      <c r="C1842" s="41"/>
    </row>
    <row r="1843" spans="2:3" x14ac:dyDescent="0.2">
      <c r="B1843"/>
      <c r="C1843" s="41"/>
    </row>
    <row r="1844" spans="2:3" x14ac:dyDescent="0.2">
      <c r="B1844"/>
      <c r="C1844" s="41"/>
    </row>
    <row r="1845" spans="2:3" x14ac:dyDescent="0.2">
      <c r="B1845"/>
      <c r="C1845" s="41"/>
    </row>
    <row r="1846" spans="2:3" x14ac:dyDescent="0.2">
      <c r="B1846"/>
      <c r="C1846" s="41"/>
    </row>
    <row r="1847" spans="2:3" x14ac:dyDescent="0.2">
      <c r="B1847"/>
      <c r="C1847" s="41"/>
    </row>
    <row r="1848" spans="2:3" x14ac:dyDescent="0.2">
      <c r="B1848"/>
      <c r="C1848" s="41"/>
    </row>
    <row r="1849" spans="2:3" x14ac:dyDescent="0.2">
      <c r="B1849"/>
      <c r="C1849" s="41"/>
    </row>
    <row r="1850" spans="2:3" x14ac:dyDescent="0.2">
      <c r="B1850"/>
      <c r="C1850" s="41"/>
    </row>
    <row r="1851" spans="2:3" x14ac:dyDescent="0.2">
      <c r="B1851"/>
      <c r="C1851" s="41"/>
    </row>
    <row r="1852" spans="2:3" x14ac:dyDescent="0.2">
      <c r="B1852"/>
      <c r="C1852" s="41"/>
    </row>
    <row r="1853" spans="2:3" x14ac:dyDescent="0.2">
      <c r="B1853"/>
      <c r="C1853" s="41"/>
    </row>
    <row r="1854" spans="2:3" x14ac:dyDescent="0.2">
      <c r="B1854"/>
      <c r="C1854" s="41"/>
    </row>
    <row r="1855" spans="2:3" x14ac:dyDescent="0.2">
      <c r="B1855"/>
      <c r="C1855" s="41"/>
    </row>
    <row r="1856" spans="2:3" x14ac:dyDescent="0.2">
      <c r="B1856"/>
      <c r="C1856" s="41"/>
    </row>
    <row r="1857" spans="2:3" x14ac:dyDescent="0.2">
      <c r="B1857"/>
      <c r="C1857" s="41"/>
    </row>
    <row r="1858" spans="2:3" x14ac:dyDescent="0.2">
      <c r="B1858"/>
      <c r="C1858" s="41"/>
    </row>
    <row r="1859" spans="2:3" x14ac:dyDescent="0.2">
      <c r="B1859"/>
      <c r="C1859" s="41"/>
    </row>
    <row r="1860" spans="2:3" x14ac:dyDescent="0.2">
      <c r="B1860"/>
      <c r="C1860" s="41"/>
    </row>
    <row r="1861" spans="2:3" x14ac:dyDescent="0.2">
      <c r="B1861"/>
      <c r="C1861" s="41"/>
    </row>
    <row r="1862" spans="2:3" x14ac:dyDescent="0.2">
      <c r="B1862"/>
      <c r="C1862" s="41"/>
    </row>
    <row r="1863" spans="2:3" x14ac:dyDescent="0.2">
      <c r="B1863"/>
      <c r="C1863" s="41"/>
    </row>
    <row r="1864" spans="2:3" x14ac:dyDescent="0.2">
      <c r="B1864"/>
      <c r="C1864" s="41"/>
    </row>
    <row r="1865" spans="2:3" x14ac:dyDescent="0.2">
      <c r="B1865"/>
      <c r="C1865" s="41"/>
    </row>
    <row r="1866" spans="2:3" x14ac:dyDescent="0.2">
      <c r="B1866"/>
      <c r="C1866" s="41"/>
    </row>
    <row r="1867" spans="2:3" x14ac:dyDescent="0.2">
      <c r="B1867"/>
      <c r="C1867" s="41"/>
    </row>
    <row r="1868" spans="2:3" x14ac:dyDescent="0.2">
      <c r="B1868"/>
      <c r="C1868" s="41"/>
    </row>
    <row r="1869" spans="2:3" x14ac:dyDescent="0.2">
      <c r="B1869"/>
      <c r="C1869" s="41"/>
    </row>
    <row r="1870" spans="2:3" x14ac:dyDescent="0.2">
      <c r="B1870"/>
      <c r="C1870" s="41"/>
    </row>
    <row r="1871" spans="2:3" x14ac:dyDescent="0.2">
      <c r="B1871"/>
      <c r="C1871" s="41"/>
    </row>
    <row r="1872" spans="2:3" x14ac:dyDescent="0.2">
      <c r="B1872"/>
      <c r="C1872" s="41"/>
    </row>
    <row r="1873" spans="2:3" x14ac:dyDescent="0.2">
      <c r="B1873"/>
      <c r="C1873" s="41"/>
    </row>
    <row r="1874" spans="2:3" x14ac:dyDescent="0.2">
      <c r="B1874"/>
      <c r="C1874" s="41"/>
    </row>
    <row r="1875" spans="2:3" x14ac:dyDescent="0.2">
      <c r="B1875"/>
      <c r="C1875" s="41"/>
    </row>
    <row r="1876" spans="2:3" x14ac:dyDescent="0.2">
      <c r="B1876"/>
      <c r="C1876" s="41"/>
    </row>
    <row r="1877" spans="2:3" x14ac:dyDescent="0.2">
      <c r="B1877"/>
      <c r="C1877" s="41"/>
    </row>
    <row r="1878" spans="2:3" x14ac:dyDescent="0.2">
      <c r="B1878"/>
      <c r="C1878" s="41"/>
    </row>
    <row r="1879" spans="2:3" x14ac:dyDescent="0.2">
      <c r="B1879"/>
      <c r="C1879" s="41"/>
    </row>
    <row r="1880" spans="2:3" x14ac:dyDescent="0.2">
      <c r="B1880"/>
      <c r="C1880" s="41"/>
    </row>
    <row r="1881" spans="2:3" x14ac:dyDescent="0.2">
      <c r="B1881"/>
      <c r="C1881" s="41"/>
    </row>
    <row r="1882" spans="2:3" x14ac:dyDescent="0.2">
      <c r="B1882"/>
      <c r="C1882" s="41"/>
    </row>
    <row r="1883" spans="2:3" x14ac:dyDescent="0.2">
      <c r="B1883"/>
      <c r="C1883" s="41"/>
    </row>
    <row r="1884" spans="2:3" x14ac:dyDescent="0.2">
      <c r="B1884"/>
      <c r="C1884" s="41"/>
    </row>
    <row r="1885" spans="2:3" x14ac:dyDescent="0.2">
      <c r="B1885"/>
      <c r="C1885" s="41"/>
    </row>
    <row r="1886" spans="2:3" x14ac:dyDescent="0.2">
      <c r="B1886"/>
      <c r="C1886" s="41"/>
    </row>
    <row r="1887" spans="2:3" x14ac:dyDescent="0.2">
      <c r="B1887"/>
      <c r="C1887" s="41"/>
    </row>
    <row r="1888" spans="2:3" x14ac:dyDescent="0.2">
      <c r="B1888"/>
      <c r="C1888" s="41"/>
    </row>
    <row r="1889" spans="2:3" x14ac:dyDescent="0.2">
      <c r="B1889"/>
      <c r="C1889" s="41"/>
    </row>
    <row r="1890" spans="2:3" x14ac:dyDescent="0.2">
      <c r="B1890"/>
      <c r="C1890" s="41"/>
    </row>
    <row r="1891" spans="2:3" x14ac:dyDescent="0.2">
      <c r="B1891"/>
      <c r="C1891" s="41"/>
    </row>
    <row r="1892" spans="2:3" x14ac:dyDescent="0.2">
      <c r="B1892"/>
      <c r="C1892" s="41"/>
    </row>
    <row r="1893" spans="2:3" x14ac:dyDescent="0.2">
      <c r="B1893"/>
      <c r="C1893" s="41"/>
    </row>
    <row r="1894" spans="2:3" x14ac:dyDescent="0.2">
      <c r="B1894"/>
      <c r="C1894" s="41"/>
    </row>
    <row r="1895" spans="2:3" x14ac:dyDescent="0.2">
      <c r="B1895"/>
      <c r="C1895" s="41"/>
    </row>
    <row r="1896" spans="2:3" x14ac:dyDescent="0.2">
      <c r="B1896"/>
      <c r="C1896" s="41"/>
    </row>
    <row r="1897" spans="2:3" x14ac:dyDescent="0.2">
      <c r="B1897"/>
      <c r="C1897" s="41"/>
    </row>
    <row r="1898" spans="2:3" x14ac:dyDescent="0.2">
      <c r="B1898"/>
      <c r="C1898" s="41"/>
    </row>
    <row r="1899" spans="2:3" x14ac:dyDescent="0.2">
      <c r="B1899"/>
      <c r="C1899" s="41"/>
    </row>
    <row r="1900" spans="2:3" x14ac:dyDescent="0.2">
      <c r="B1900"/>
      <c r="C1900" s="41"/>
    </row>
    <row r="1901" spans="2:3" x14ac:dyDescent="0.2">
      <c r="B1901"/>
      <c r="C1901" s="41"/>
    </row>
    <row r="1902" spans="2:3" x14ac:dyDescent="0.2">
      <c r="B1902"/>
      <c r="C1902" s="41"/>
    </row>
    <row r="1903" spans="2:3" x14ac:dyDescent="0.2">
      <c r="B1903"/>
      <c r="C1903" s="41"/>
    </row>
    <row r="1904" spans="2:3" x14ac:dyDescent="0.2">
      <c r="B1904"/>
      <c r="C1904" s="41"/>
    </row>
    <row r="1905" spans="2:3" x14ac:dyDescent="0.2">
      <c r="B1905"/>
      <c r="C1905" s="41"/>
    </row>
    <row r="1906" spans="2:3" x14ac:dyDescent="0.2">
      <c r="B1906"/>
      <c r="C1906" s="41"/>
    </row>
    <row r="1907" spans="2:3" x14ac:dyDescent="0.2">
      <c r="B1907"/>
      <c r="C1907" s="41"/>
    </row>
    <row r="1908" spans="2:3" x14ac:dyDescent="0.2">
      <c r="B1908"/>
      <c r="C1908" s="41"/>
    </row>
    <row r="1909" spans="2:3" x14ac:dyDescent="0.2">
      <c r="B1909"/>
      <c r="C1909" s="41"/>
    </row>
    <row r="1910" spans="2:3" x14ac:dyDescent="0.2">
      <c r="B1910"/>
      <c r="C1910" s="41"/>
    </row>
    <row r="1911" spans="2:3" x14ac:dyDescent="0.2">
      <c r="B1911"/>
      <c r="C1911" s="41"/>
    </row>
    <row r="1912" spans="2:3" x14ac:dyDescent="0.2">
      <c r="B1912"/>
      <c r="C1912" s="41"/>
    </row>
    <row r="1913" spans="2:3" x14ac:dyDescent="0.2">
      <c r="B1913"/>
      <c r="C1913" s="41"/>
    </row>
    <row r="1914" spans="2:3" x14ac:dyDescent="0.2">
      <c r="B1914"/>
      <c r="C1914" s="41"/>
    </row>
    <row r="1915" spans="2:3" x14ac:dyDescent="0.2">
      <c r="B1915"/>
      <c r="C1915" s="41"/>
    </row>
    <row r="1916" spans="2:3" x14ac:dyDescent="0.2">
      <c r="B1916"/>
      <c r="C1916" s="41"/>
    </row>
    <row r="1917" spans="2:3" x14ac:dyDescent="0.2">
      <c r="B1917"/>
      <c r="C1917" s="41"/>
    </row>
    <row r="1918" spans="2:3" x14ac:dyDescent="0.2">
      <c r="B1918"/>
      <c r="C1918" s="41"/>
    </row>
    <row r="1919" spans="2:3" x14ac:dyDescent="0.2">
      <c r="B1919"/>
      <c r="C1919" s="41"/>
    </row>
    <row r="1920" spans="2:3" x14ac:dyDescent="0.2">
      <c r="B1920"/>
      <c r="C1920" s="41"/>
    </row>
    <row r="1921" spans="2:3" x14ac:dyDescent="0.2">
      <c r="B1921"/>
      <c r="C1921" s="41"/>
    </row>
    <row r="1922" spans="2:3" x14ac:dyDescent="0.2">
      <c r="B1922"/>
      <c r="C1922" s="41"/>
    </row>
    <row r="1923" spans="2:3" x14ac:dyDescent="0.2">
      <c r="B1923"/>
      <c r="C1923" s="41"/>
    </row>
    <row r="1924" spans="2:3" x14ac:dyDescent="0.2">
      <c r="B1924"/>
      <c r="C1924" s="41"/>
    </row>
    <row r="1925" spans="2:3" x14ac:dyDescent="0.2">
      <c r="B1925"/>
      <c r="C1925" s="41"/>
    </row>
    <row r="1926" spans="2:3" x14ac:dyDescent="0.2">
      <c r="B1926"/>
      <c r="C1926" s="41"/>
    </row>
    <row r="1927" spans="2:3" x14ac:dyDescent="0.2">
      <c r="B1927"/>
      <c r="C1927" s="41"/>
    </row>
    <row r="1928" spans="2:3" x14ac:dyDescent="0.2">
      <c r="B1928"/>
      <c r="C1928" s="41"/>
    </row>
    <row r="1929" spans="2:3" x14ac:dyDescent="0.2">
      <c r="B1929"/>
      <c r="C1929" s="41"/>
    </row>
    <row r="1930" spans="2:3" x14ac:dyDescent="0.2">
      <c r="B1930"/>
      <c r="C1930" s="41"/>
    </row>
    <row r="1931" spans="2:3" x14ac:dyDescent="0.2">
      <c r="B1931"/>
      <c r="C1931" s="41"/>
    </row>
    <row r="1932" spans="2:3" x14ac:dyDescent="0.2">
      <c r="B1932"/>
      <c r="C1932" s="41"/>
    </row>
    <row r="1933" spans="2:3" x14ac:dyDescent="0.2">
      <c r="B1933"/>
      <c r="C1933" s="41"/>
    </row>
    <row r="1934" spans="2:3" x14ac:dyDescent="0.2">
      <c r="B1934"/>
      <c r="C1934" s="41"/>
    </row>
    <row r="1935" spans="2:3" x14ac:dyDescent="0.2">
      <c r="B1935"/>
      <c r="C1935" s="41"/>
    </row>
    <row r="1936" spans="2:3" x14ac:dyDescent="0.2">
      <c r="B1936"/>
      <c r="C1936" s="41"/>
    </row>
    <row r="1937" spans="2:3" x14ac:dyDescent="0.2">
      <c r="B1937"/>
      <c r="C1937" s="41"/>
    </row>
    <row r="1938" spans="2:3" x14ac:dyDescent="0.2">
      <c r="B1938"/>
      <c r="C1938" s="41"/>
    </row>
    <row r="1939" spans="2:3" x14ac:dyDescent="0.2">
      <c r="B1939"/>
      <c r="C1939" s="41"/>
    </row>
    <row r="1940" spans="2:3" x14ac:dyDescent="0.2">
      <c r="B1940"/>
      <c r="C1940" s="41"/>
    </row>
    <row r="1941" spans="2:3" x14ac:dyDescent="0.2">
      <c r="B1941"/>
      <c r="C1941" s="41"/>
    </row>
    <row r="1942" spans="2:3" x14ac:dyDescent="0.2">
      <c r="B1942"/>
      <c r="C1942" s="41"/>
    </row>
    <row r="1943" spans="2:3" x14ac:dyDescent="0.2">
      <c r="B1943"/>
      <c r="C1943" s="41"/>
    </row>
    <row r="1944" spans="2:3" x14ac:dyDescent="0.2">
      <c r="B1944"/>
      <c r="C1944" s="41"/>
    </row>
    <row r="1945" spans="2:3" x14ac:dyDescent="0.2">
      <c r="B1945"/>
      <c r="C1945" s="41"/>
    </row>
    <row r="1946" spans="2:3" x14ac:dyDescent="0.2">
      <c r="B1946"/>
      <c r="C1946" s="41"/>
    </row>
    <row r="1947" spans="2:3" x14ac:dyDescent="0.2">
      <c r="B1947"/>
      <c r="C1947" s="41"/>
    </row>
    <row r="1948" spans="2:3" x14ac:dyDescent="0.2">
      <c r="B1948"/>
      <c r="C1948" s="41"/>
    </row>
    <row r="1949" spans="2:3" x14ac:dyDescent="0.2">
      <c r="B1949"/>
      <c r="C1949" s="41"/>
    </row>
    <row r="1950" spans="2:3" x14ac:dyDescent="0.2">
      <c r="B1950"/>
      <c r="C1950" s="41"/>
    </row>
    <row r="1951" spans="2:3" x14ac:dyDescent="0.2">
      <c r="B1951"/>
      <c r="C1951" s="41"/>
    </row>
    <row r="1952" spans="2:3" x14ac:dyDescent="0.2">
      <c r="B1952"/>
      <c r="C1952" s="41"/>
    </row>
    <row r="1953" spans="2:3" x14ac:dyDescent="0.2">
      <c r="B1953"/>
      <c r="C1953" s="41"/>
    </row>
    <row r="1954" spans="2:3" x14ac:dyDescent="0.2">
      <c r="B1954"/>
      <c r="C1954" s="41"/>
    </row>
    <row r="1955" spans="2:3" x14ac:dyDescent="0.2">
      <c r="B1955"/>
      <c r="C1955" s="41"/>
    </row>
    <row r="1956" spans="2:3" x14ac:dyDescent="0.2">
      <c r="B1956"/>
      <c r="C1956" s="41"/>
    </row>
    <row r="1957" spans="2:3" x14ac:dyDescent="0.2">
      <c r="B1957"/>
      <c r="C1957" s="41"/>
    </row>
    <row r="1958" spans="2:3" x14ac:dyDescent="0.2">
      <c r="B1958"/>
      <c r="C1958" s="41"/>
    </row>
    <row r="1959" spans="2:3" x14ac:dyDescent="0.2">
      <c r="B1959"/>
      <c r="C1959" s="41"/>
    </row>
    <row r="1960" spans="2:3" x14ac:dyDescent="0.2">
      <c r="B1960"/>
      <c r="C1960" s="41"/>
    </row>
    <row r="1961" spans="2:3" x14ac:dyDescent="0.2">
      <c r="B1961"/>
      <c r="C1961" s="41"/>
    </row>
    <row r="1962" spans="2:3" x14ac:dyDescent="0.2">
      <c r="B1962"/>
      <c r="C1962" s="41"/>
    </row>
    <row r="1963" spans="2:3" x14ac:dyDescent="0.2">
      <c r="B1963"/>
      <c r="C1963" s="41"/>
    </row>
    <row r="1964" spans="2:3" x14ac:dyDescent="0.2">
      <c r="B1964"/>
      <c r="C1964" s="41"/>
    </row>
    <row r="1965" spans="2:3" x14ac:dyDescent="0.2">
      <c r="B1965"/>
      <c r="C1965" s="41"/>
    </row>
    <row r="1966" spans="2:3" x14ac:dyDescent="0.2">
      <c r="B1966"/>
      <c r="C1966" s="41"/>
    </row>
    <row r="1967" spans="2:3" x14ac:dyDescent="0.2">
      <c r="B1967"/>
      <c r="C1967" s="41"/>
    </row>
    <row r="1968" spans="2:3" x14ac:dyDescent="0.2">
      <c r="B1968"/>
      <c r="C1968" s="41"/>
    </row>
    <row r="1969" spans="2:3" x14ac:dyDescent="0.2">
      <c r="B1969"/>
      <c r="C1969" s="41"/>
    </row>
    <row r="1970" spans="2:3" x14ac:dyDescent="0.2">
      <c r="B1970"/>
      <c r="C1970" s="41"/>
    </row>
    <row r="1971" spans="2:3" x14ac:dyDescent="0.2">
      <c r="B1971"/>
      <c r="C1971" s="41"/>
    </row>
    <row r="1972" spans="2:3" x14ac:dyDescent="0.2">
      <c r="B1972"/>
      <c r="C1972" s="41"/>
    </row>
    <row r="1973" spans="2:3" x14ac:dyDescent="0.2">
      <c r="B1973"/>
      <c r="C1973" s="41"/>
    </row>
    <row r="1974" spans="2:3" x14ac:dyDescent="0.2">
      <c r="B1974"/>
      <c r="C1974" s="41"/>
    </row>
    <row r="1975" spans="2:3" x14ac:dyDescent="0.2">
      <c r="B1975"/>
      <c r="C1975" s="41"/>
    </row>
    <row r="1976" spans="2:3" x14ac:dyDescent="0.2">
      <c r="B1976"/>
      <c r="C1976" s="41"/>
    </row>
    <row r="1977" spans="2:3" x14ac:dyDescent="0.2">
      <c r="B1977"/>
      <c r="C1977" s="41"/>
    </row>
    <row r="1978" spans="2:3" x14ac:dyDescent="0.2">
      <c r="B1978"/>
      <c r="C1978" s="41"/>
    </row>
    <row r="1979" spans="2:3" x14ac:dyDescent="0.2">
      <c r="B1979"/>
      <c r="C1979" s="41"/>
    </row>
    <row r="1980" spans="2:3" x14ac:dyDescent="0.2">
      <c r="B1980"/>
      <c r="C1980" s="41"/>
    </row>
    <row r="1981" spans="2:3" x14ac:dyDescent="0.2">
      <c r="B1981"/>
      <c r="C1981" s="41"/>
    </row>
    <row r="1982" spans="2:3" x14ac:dyDescent="0.2">
      <c r="B1982"/>
      <c r="C1982" s="41"/>
    </row>
    <row r="1983" spans="2:3" x14ac:dyDescent="0.2">
      <c r="B1983"/>
      <c r="C1983" s="41"/>
    </row>
    <row r="1984" spans="2:3" x14ac:dyDescent="0.2">
      <c r="B1984"/>
      <c r="C1984" s="41"/>
    </row>
    <row r="1985" spans="2:3" x14ac:dyDescent="0.2">
      <c r="B1985"/>
      <c r="C1985" s="41"/>
    </row>
    <row r="1986" spans="2:3" x14ac:dyDescent="0.2">
      <c r="B1986"/>
      <c r="C1986" s="41"/>
    </row>
    <row r="1987" spans="2:3" x14ac:dyDescent="0.2">
      <c r="B1987"/>
      <c r="C1987" s="41"/>
    </row>
    <row r="1988" spans="2:3" x14ac:dyDescent="0.2">
      <c r="B1988"/>
      <c r="C1988" s="41"/>
    </row>
    <row r="1989" spans="2:3" x14ac:dyDescent="0.2">
      <c r="B1989"/>
      <c r="C1989" s="41"/>
    </row>
    <row r="1990" spans="2:3" x14ac:dyDescent="0.2">
      <c r="B1990"/>
      <c r="C1990" s="41"/>
    </row>
    <row r="1991" spans="2:3" x14ac:dyDescent="0.2">
      <c r="B1991"/>
      <c r="C1991" s="41"/>
    </row>
    <row r="1992" spans="2:3" x14ac:dyDescent="0.2">
      <c r="B1992"/>
      <c r="C1992" s="41"/>
    </row>
    <row r="1993" spans="2:3" x14ac:dyDescent="0.2">
      <c r="B1993"/>
      <c r="C1993" s="41"/>
    </row>
    <row r="1994" spans="2:3" x14ac:dyDescent="0.2">
      <c r="B1994"/>
      <c r="C1994" s="41"/>
    </row>
    <row r="1995" spans="2:3" x14ac:dyDescent="0.2">
      <c r="B1995"/>
      <c r="C1995" s="41"/>
    </row>
    <row r="1996" spans="2:3" x14ac:dyDescent="0.2">
      <c r="B1996"/>
      <c r="C1996" s="41"/>
    </row>
    <row r="1997" spans="2:3" x14ac:dyDescent="0.2">
      <c r="B1997"/>
      <c r="C1997" s="41"/>
    </row>
    <row r="1998" spans="2:3" x14ac:dyDescent="0.2">
      <c r="B1998"/>
      <c r="C1998" s="41"/>
    </row>
    <row r="1999" spans="2:3" x14ac:dyDescent="0.2">
      <c r="B1999"/>
      <c r="C1999" s="41"/>
    </row>
    <row r="2000" spans="2:3" x14ac:dyDescent="0.2">
      <c r="B2000"/>
      <c r="C2000" s="41"/>
    </row>
    <row r="2001" spans="2:3" x14ac:dyDescent="0.2">
      <c r="B2001"/>
      <c r="C2001" s="41"/>
    </row>
    <row r="2002" spans="2:3" x14ac:dyDescent="0.2">
      <c r="B2002"/>
      <c r="C2002" s="41"/>
    </row>
    <row r="2003" spans="2:3" x14ac:dyDescent="0.2">
      <c r="B2003"/>
      <c r="C2003" s="41"/>
    </row>
    <row r="2004" spans="2:3" x14ac:dyDescent="0.2">
      <c r="B2004"/>
      <c r="C2004" s="41"/>
    </row>
    <row r="2005" spans="2:3" x14ac:dyDescent="0.2">
      <c r="B2005"/>
      <c r="C2005" s="41"/>
    </row>
    <row r="2006" spans="2:3" x14ac:dyDescent="0.2">
      <c r="B2006"/>
      <c r="C2006" s="41"/>
    </row>
    <row r="2007" spans="2:3" x14ac:dyDescent="0.2">
      <c r="B2007"/>
      <c r="C2007" s="41"/>
    </row>
    <row r="2008" spans="2:3" x14ac:dyDescent="0.2">
      <c r="B2008"/>
      <c r="C2008" s="41"/>
    </row>
    <row r="2009" spans="2:3" x14ac:dyDescent="0.2">
      <c r="B2009"/>
      <c r="C2009" s="41"/>
    </row>
    <row r="2010" spans="2:3" x14ac:dyDescent="0.2">
      <c r="B2010"/>
      <c r="C2010" s="41"/>
    </row>
    <row r="2011" spans="2:3" x14ac:dyDescent="0.2">
      <c r="B2011"/>
      <c r="C2011" s="41"/>
    </row>
    <row r="2012" spans="2:3" x14ac:dyDescent="0.2">
      <c r="B2012"/>
      <c r="C2012" s="41"/>
    </row>
    <row r="2013" spans="2:3" x14ac:dyDescent="0.2">
      <c r="B2013"/>
      <c r="C2013" s="41"/>
    </row>
    <row r="2014" spans="2:3" x14ac:dyDescent="0.2">
      <c r="B2014"/>
      <c r="C2014" s="41"/>
    </row>
    <row r="2015" spans="2:3" x14ac:dyDescent="0.2">
      <c r="B2015"/>
      <c r="C2015" s="41"/>
    </row>
    <row r="2016" spans="2:3" x14ac:dyDescent="0.2">
      <c r="B2016"/>
      <c r="C2016" s="41"/>
    </row>
    <row r="2017" spans="2:3" x14ac:dyDescent="0.2">
      <c r="B2017"/>
      <c r="C2017" s="41"/>
    </row>
    <row r="2018" spans="2:3" x14ac:dyDescent="0.2">
      <c r="B2018"/>
      <c r="C2018" s="41"/>
    </row>
    <row r="2019" spans="2:3" x14ac:dyDescent="0.2">
      <c r="B2019"/>
      <c r="C2019" s="41"/>
    </row>
    <row r="2020" spans="2:3" x14ac:dyDescent="0.2">
      <c r="B2020"/>
      <c r="C2020" s="41"/>
    </row>
    <row r="2021" spans="2:3" x14ac:dyDescent="0.2">
      <c r="B2021"/>
      <c r="C2021" s="41"/>
    </row>
    <row r="2022" spans="2:3" x14ac:dyDescent="0.2">
      <c r="B2022"/>
      <c r="C2022" s="41"/>
    </row>
    <row r="2023" spans="2:3" x14ac:dyDescent="0.2">
      <c r="B2023"/>
      <c r="C2023" s="41"/>
    </row>
    <row r="2024" spans="2:3" x14ac:dyDescent="0.2">
      <c r="B2024"/>
      <c r="C2024" s="41"/>
    </row>
    <row r="2025" spans="2:3" x14ac:dyDescent="0.2">
      <c r="B2025"/>
      <c r="C2025" s="41"/>
    </row>
    <row r="2026" spans="2:3" x14ac:dyDescent="0.2">
      <c r="B2026"/>
      <c r="C2026" s="41"/>
    </row>
    <row r="2027" spans="2:3" x14ac:dyDescent="0.2">
      <c r="B2027"/>
      <c r="C2027" s="41"/>
    </row>
    <row r="2028" spans="2:3" x14ac:dyDescent="0.2">
      <c r="B2028"/>
      <c r="C2028" s="41"/>
    </row>
    <row r="2029" spans="2:3" x14ac:dyDescent="0.2">
      <c r="B2029"/>
      <c r="C2029" s="41"/>
    </row>
    <row r="2030" spans="2:3" x14ac:dyDescent="0.2">
      <c r="B2030"/>
      <c r="C2030" s="41"/>
    </row>
    <row r="2031" spans="2:3" x14ac:dyDescent="0.2">
      <c r="B2031"/>
      <c r="C2031" s="41"/>
    </row>
    <row r="2032" spans="2:3" x14ac:dyDescent="0.2">
      <c r="B2032"/>
      <c r="C2032" s="41"/>
    </row>
    <row r="2033" spans="2:3" x14ac:dyDescent="0.2">
      <c r="B2033"/>
      <c r="C2033" s="41"/>
    </row>
    <row r="2034" spans="2:3" x14ac:dyDescent="0.2">
      <c r="B2034"/>
      <c r="C2034" s="41"/>
    </row>
    <row r="2035" spans="2:3" x14ac:dyDescent="0.2">
      <c r="B2035"/>
      <c r="C2035" s="41"/>
    </row>
    <row r="2036" spans="2:3" x14ac:dyDescent="0.2">
      <c r="B2036"/>
      <c r="C2036" s="41"/>
    </row>
    <row r="2037" spans="2:3" x14ac:dyDescent="0.2">
      <c r="B2037"/>
      <c r="C2037" s="41"/>
    </row>
    <row r="2038" spans="2:3" x14ac:dyDescent="0.2">
      <c r="B2038"/>
      <c r="C2038" s="41"/>
    </row>
    <row r="2039" spans="2:3" x14ac:dyDescent="0.2">
      <c r="B2039"/>
      <c r="C2039" s="41"/>
    </row>
    <row r="2040" spans="2:3" x14ac:dyDescent="0.2">
      <c r="B2040"/>
      <c r="C2040" s="41"/>
    </row>
    <row r="2041" spans="2:3" x14ac:dyDescent="0.2">
      <c r="B2041"/>
      <c r="C2041" s="41"/>
    </row>
    <row r="2042" spans="2:3" x14ac:dyDescent="0.2">
      <c r="B2042"/>
      <c r="C2042" s="41"/>
    </row>
    <row r="2043" spans="2:3" x14ac:dyDescent="0.2">
      <c r="B2043"/>
      <c r="C2043" s="41"/>
    </row>
    <row r="2044" spans="2:3" x14ac:dyDescent="0.2">
      <c r="B2044"/>
      <c r="C2044" s="41"/>
    </row>
    <row r="2045" spans="2:3" x14ac:dyDescent="0.2">
      <c r="B2045"/>
      <c r="C2045" s="41"/>
    </row>
    <row r="2046" spans="2:3" x14ac:dyDescent="0.2">
      <c r="B2046"/>
      <c r="C2046" s="41"/>
    </row>
    <row r="2047" spans="2:3" x14ac:dyDescent="0.2">
      <c r="B2047"/>
      <c r="C2047" s="41"/>
    </row>
    <row r="2048" spans="2:3" x14ac:dyDescent="0.2">
      <c r="B2048"/>
      <c r="C2048" s="41"/>
    </row>
    <row r="2049" spans="2:3" x14ac:dyDescent="0.2">
      <c r="B2049"/>
      <c r="C2049" s="41"/>
    </row>
    <row r="2050" spans="2:3" x14ac:dyDescent="0.2">
      <c r="B2050"/>
      <c r="C2050" s="41"/>
    </row>
    <row r="2051" spans="2:3" x14ac:dyDescent="0.2">
      <c r="B2051"/>
      <c r="C2051" s="41"/>
    </row>
    <row r="2052" spans="2:3" x14ac:dyDescent="0.2">
      <c r="B2052"/>
      <c r="C2052" s="41"/>
    </row>
    <row r="2053" spans="2:3" x14ac:dyDescent="0.2">
      <c r="B2053"/>
      <c r="C2053" s="41"/>
    </row>
    <row r="2054" spans="2:3" x14ac:dyDescent="0.2">
      <c r="B2054"/>
      <c r="C2054" s="41"/>
    </row>
    <row r="2055" spans="2:3" x14ac:dyDescent="0.2">
      <c r="B2055"/>
      <c r="C2055" s="41"/>
    </row>
    <row r="2056" spans="2:3" x14ac:dyDescent="0.2">
      <c r="B2056"/>
      <c r="C2056" s="41"/>
    </row>
    <row r="2057" spans="2:3" x14ac:dyDescent="0.2">
      <c r="B2057"/>
      <c r="C2057" s="41"/>
    </row>
    <row r="2058" spans="2:3" x14ac:dyDescent="0.2">
      <c r="B2058"/>
      <c r="C2058" s="41"/>
    </row>
    <row r="2059" spans="2:3" x14ac:dyDescent="0.2">
      <c r="B2059"/>
      <c r="C2059" s="41"/>
    </row>
    <row r="2060" spans="2:3" x14ac:dyDescent="0.2">
      <c r="B2060"/>
      <c r="C2060" s="41"/>
    </row>
    <row r="2061" spans="2:3" x14ac:dyDescent="0.2">
      <c r="B2061"/>
      <c r="C2061" s="41"/>
    </row>
    <row r="2062" spans="2:3" x14ac:dyDescent="0.2">
      <c r="B2062"/>
      <c r="C2062" s="41"/>
    </row>
    <row r="2063" spans="2:3" x14ac:dyDescent="0.2">
      <c r="B2063"/>
      <c r="C2063" s="41"/>
    </row>
    <row r="2064" spans="2:3" x14ac:dyDescent="0.2">
      <c r="B2064"/>
      <c r="C2064" s="41"/>
    </row>
    <row r="2065" spans="2:3" x14ac:dyDescent="0.2">
      <c r="B2065"/>
      <c r="C2065" s="41"/>
    </row>
    <row r="2066" spans="2:3" x14ac:dyDescent="0.2">
      <c r="B2066"/>
      <c r="C2066" s="41"/>
    </row>
    <row r="2067" spans="2:3" x14ac:dyDescent="0.2">
      <c r="B2067"/>
      <c r="C2067" s="41"/>
    </row>
    <row r="2068" spans="2:3" x14ac:dyDescent="0.2">
      <c r="B2068"/>
      <c r="C2068" s="41"/>
    </row>
    <row r="2069" spans="2:3" x14ac:dyDescent="0.2">
      <c r="B2069"/>
      <c r="C2069" s="41"/>
    </row>
    <row r="2070" spans="2:3" x14ac:dyDescent="0.2">
      <c r="B2070"/>
      <c r="C2070" s="41"/>
    </row>
    <row r="2071" spans="2:3" x14ac:dyDescent="0.2">
      <c r="B2071"/>
      <c r="C2071" s="41"/>
    </row>
    <row r="2072" spans="2:3" x14ac:dyDescent="0.2">
      <c r="B2072"/>
      <c r="C2072" s="41"/>
    </row>
    <row r="2073" spans="2:3" x14ac:dyDescent="0.2">
      <c r="B2073"/>
      <c r="C2073" s="41"/>
    </row>
    <row r="2074" spans="2:3" x14ac:dyDescent="0.2">
      <c r="B2074"/>
      <c r="C2074" s="41"/>
    </row>
    <row r="2075" spans="2:3" x14ac:dyDescent="0.2">
      <c r="B2075"/>
      <c r="C2075" s="41"/>
    </row>
    <row r="2076" spans="2:3" x14ac:dyDescent="0.2">
      <c r="B2076"/>
      <c r="C2076" s="41"/>
    </row>
    <row r="2077" spans="2:3" x14ac:dyDescent="0.2">
      <c r="B2077"/>
      <c r="C2077" s="41"/>
    </row>
    <row r="2078" spans="2:3" x14ac:dyDescent="0.2">
      <c r="B2078"/>
      <c r="C2078" s="41"/>
    </row>
    <row r="2079" spans="2:3" x14ac:dyDescent="0.2">
      <c r="B2079"/>
      <c r="C2079" s="41"/>
    </row>
    <row r="2080" spans="2:3" x14ac:dyDescent="0.2">
      <c r="B2080"/>
      <c r="C2080" s="41"/>
    </row>
    <row r="2081" spans="2:3" x14ac:dyDescent="0.2">
      <c r="B2081"/>
      <c r="C2081" s="41"/>
    </row>
    <row r="2082" spans="2:3" x14ac:dyDescent="0.2">
      <c r="B2082"/>
      <c r="C2082" s="41"/>
    </row>
    <row r="2083" spans="2:3" x14ac:dyDescent="0.2">
      <c r="B2083"/>
      <c r="C2083" s="41"/>
    </row>
    <row r="2084" spans="2:3" x14ac:dyDescent="0.2">
      <c r="B2084"/>
      <c r="C2084" s="41"/>
    </row>
    <row r="2085" spans="2:3" x14ac:dyDescent="0.2">
      <c r="B2085"/>
      <c r="C2085" s="41"/>
    </row>
    <row r="2086" spans="2:3" x14ac:dyDescent="0.2">
      <c r="B2086"/>
      <c r="C2086" s="41"/>
    </row>
    <row r="2087" spans="2:3" x14ac:dyDescent="0.2">
      <c r="B2087"/>
      <c r="C2087" s="41"/>
    </row>
    <row r="2088" spans="2:3" x14ac:dyDescent="0.2">
      <c r="B2088"/>
      <c r="C2088" s="41"/>
    </row>
    <row r="2089" spans="2:3" x14ac:dyDescent="0.2">
      <c r="B2089"/>
      <c r="C2089" s="41"/>
    </row>
    <row r="2090" spans="2:3" x14ac:dyDescent="0.2">
      <c r="B2090"/>
      <c r="C2090" s="41"/>
    </row>
    <row r="2091" spans="2:3" x14ac:dyDescent="0.2">
      <c r="B2091"/>
      <c r="C2091" s="41"/>
    </row>
    <row r="2092" spans="2:3" x14ac:dyDescent="0.2">
      <c r="B2092"/>
      <c r="C2092" s="41"/>
    </row>
    <row r="2093" spans="2:3" x14ac:dyDescent="0.2">
      <c r="B2093"/>
      <c r="C2093" s="41"/>
    </row>
    <row r="2094" spans="2:3" x14ac:dyDescent="0.2">
      <c r="B2094"/>
      <c r="C2094" s="41"/>
    </row>
    <row r="2095" spans="2:3" x14ac:dyDescent="0.2">
      <c r="B2095"/>
      <c r="C2095" s="41"/>
    </row>
    <row r="2096" spans="2:3" x14ac:dyDescent="0.2">
      <c r="B2096"/>
      <c r="C2096" s="41"/>
    </row>
    <row r="2097" spans="2:3" x14ac:dyDescent="0.2">
      <c r="B2097"/>
      <c r="C2097" s="41"/>
    </row>
    <row r="2098" spans="2:3" x14ac:dyDescent="0.2">
      <c r="B2098"/>
      <c r="C2098" s="41"/>
    </row>
    <row r="2099" spans="2:3" x14ac:dyDescent="0.2">
      <c r="B2099"/>
      <c r="C2099" s="41"/>
    </row>
    <row r="2100" spans="2:3" x14ac:dyDescent="0.2">
      <c r="B2100"/>
      <c r="C2100" s="41"/>
    </row>
    <row r="2101" spans="2:3" x14ac:dyDescent="0.2">
      <c r="B2101"/>
      <c r="C2101" s="41"/>
    </row>
    <row r="2102" spans="2:3" x14ac:dyDescent="0.2">
      <c r="B2102"/>
      <c r="C2102" s="41"/>
    </row>
    <row r="2103" spans="2:3" x14ac:dyDescent="0.2">
      <c r="B2103"/>
      <c r="C2103" s="41"/>
    </row>
    <row r="2104" spans="2:3" x14ac:dyDescent="0.2">
      <c r="B2104"/>
      <c r="C2104" s="41"/>
    </row>
    <row r="2105" spans="2:3" x14ac:dyDescent="0.2">
      <c r="B2105"/>
      <c r="C2105" s="41"/>
    </row>
    <row r="2106" spans="2:3" x14ac:dyDescent="0.2">
      <c r="B2106"/>
      <c r="C2106" s="41"/>
    </row>
    <row r="2107" spans="2:3" x14ac:dyDescent="0.2">
      <c r="B2107"/>
      <c r="C2107" s="41"/>
    </row>
    <row r="2108" spans="2:3" x14ac:dyDescent="0.2">
      <c r="B2108"/>
      <c r="C2108" s="41"/>
    </row>
    <row r="2109" spans="2:3" x14ac:dyDescent="0.2">
      <c r="B2109"/>
      <c r="C2109" s="41"/>
    </row>
    <row r="2110" spans="2:3" x14ac:dyDescent="0.2">
      <c r="B2110"/>
      <c r="C2110" s="41"/>
    </row>
    <row r="2111" spans="2:3" x14ac:dyDescent="0.2">
      <c r="B2111"/>
      <c r="C2111" s="41"/>
    </row>
    <row r="2112" spans="2:3" x14ac:dyDescent="0.2">
      <c r="B2112"/>
      <c r="C2112" s="41"/>
    </row>
    <row r="2113" spans="2:3" x14ac:dyDescent="0.2">
      <c r="B2113"/>
      <c r="C2113" s="41"/>
    </row>
    <row r="2114" spans="2:3" x14ac:dyDescent="0.2">
      <c r="B2114"/>
      <c r="C2114" s="41"/>
    </row>
    <row r="2115" spans="2:3" x14ac:dyDescent="0.2">
      <c r="B2115"/>
      <c r="C2115" s="41"/>
    </row>
    <row r="2116" spans="2:3" x14ac:dyDescent="0.2">
      <c r="B2116"/>
      <c r="C2116" s="41"/>
    </row>
    <row r="2117" spans="2:3" x14ac:dyDescent="0.2">
      <c r="B2117"/>
      <c r="C2117" s="41"/>
    </row>
    <row r="2118" spans="2:3" x14ac:dyDescent="0.2">
      <c r="B2118"/>
      <c r="C2118" s="41"/>
    </row>
    <row r="2119" spans="2:3" x14ac:dyDescent="0.2">
      <c r="B2119"/>
      <c r="C2119" s="41"/>
    </row>
    <row r="2120" spans="2:3" x14ac:dyDescent="0.2">
      <c r="B2120"/>
      <c r="C2120" s="41"/>
    </row>
    <row r="2121" spans="2:3" x14ac:dyDescent="0.2">
      <c r="B2121"/>
      <c r="C2121" s="41"/>
    </row>
    <row r="2122" spans="2:3" x14ac:dyDescent="0.2">
      <c r="B2122"/>
      <c r="C2122" s="41"/>
    </row>
    <row r="2123" spans="2:3" x14ac:dyDescent="0.2">
      <c r="B2123"/>
      <c r="C2123" s="41"/>
    </row>
    <row r="2124" spans="2:3" x14ac:dyDescent="0.2">
      <c r="B2124"/>
      <c r="C2124" s="41"/>
    </row>
    <row r="2125" spans="2:3" x14ac:dyDescent="0.2">
      <c r="B2125"/>
      <c r="C2125" s="41"/>
    </row>
    <row r="2126" spans="2:3" x14ac:dyDescent="0.2">
      <c r="B2126"/>
      <c r="C2126" s="41"/>
    </row>
    <row r="2127" spans="2:3" x14ac:dyDescent="0.2">
      <c r="B2127"/>
      <c r="C2127" s="41"/>
    </row>
    <row r="2128" spans="2:3" x14ac:dyDescent="0.2">
      <c r="B2128"/>
      <c r="C2128" s="41"/>
    </row>
    <row r="2129" spans="2:3" x14ac:dyDescent="0.2">
      <c r="B2129"/>
      <c r="C2129" s="41"/>
    </row>
    <row r="2130" spans="2:3" x14ac:dyDescent="0.2">
      <c r="B2130"/>
      <c r="C2130" s="41"/>
    </row>
    <row r="2131" spans="2:3" x14ac:dyDescent="0.2">
      <c r="B2131"/>
      <c r="C2131" s="41"/>
    </row>
    <row r="2132" spans="2:3" x14ac:dyDescent="0.2">
      <c r="B2132"/>
      <c r="C2132" s="41"/>
    </row>
    <row r="2133" spans="2:3" x14ac:dyDescent="0.2">
      <c r="B2133"/>
      <c r="C2133" s="41"/>
    </row>
    <row r="2134" spans="2:3" x14ac:dyDescent="0.2">
      <c r="B2134"/>
      <c r="C2134" s="41"/>
    </row>
    <row r="2135" spans="2:3" x14ac:dyDescent="0.2">
      <c r="B2135"/>
      <c r="C2135" s="41"/>
    </row>
    <row r="2136" spans="2:3" x14ac:dyDescent="0.2">
      <c r="B2136"/>
      <c r="C2136" s="41"/>
    </row>
    <row r="2137" spans="2:3" x14ac:dyDescent="0.2">
      <c r="B2137"/>
      <c r="C2137" s="41"/>
    </row>
    <row r="2138" spans="2:3" x14ac:dyDescent="0.2">
      <c r="B2138"/>
      <c r="C2138" s="41"/>
    </row>
    <row r="2139" spans="2:3" x14ac:dyDescent="0.2">
      <c r="B2139"/>
      <c r="C2139" s="41"/>
    </row>
    <row r="2140" spans="2:3" x14ac:dyDescent="0.2">
      <c r="B2140"/>
      <c r="C2140" s="41"/>
    </row>
    <row r="2141" spans="2:3" x14ac:dyDescent="0.2">
      <c r="B2141"/>
      <c r="C2141" s="41"/>
    </row>
    <row r="2142" spans="2:3" x14ac:dyDescent="0.2">
      <c r="B2142"/>
      <c r="C2142" s="41"/>
    </row>
    <row r="2143" spans="2:3" x14ac:dyDescent="0.2">
      <c r="B2143"/>
      <c r="C2143" s="41"/>
    </row>
    <row r="2144" spans="2:3" x14ac:dyDescent="0.2">
      <c r="B2144"/>
      <c r="C2144" s="41"/>
    </row>
    <row r="2145" spans="2:3" x14ac:dyDescent="0.2">
      <c r="B2145"/>
      <c r="C2145" s="41"/>
    </row>
    <row r="2146" spans="2:3" x14ac:dyDescent="0.2">
      <c r="B2146"/>
      <c r="C2146" s="41"/>
    </row>
    <row r="2147" spans="2:3" x14ac:dyDescent="0.2">
      <c r="B2147"/>
      <c r="C2147" s="41"/>
    </row>
    <row r="2148" spans="2:3" x14ac:dyDescent="0.2">
      <c r="B2148"/>
      <c r="C2148" s="41"/>
    </row>
    <row r="2149" spans="2:3" x14ac:dyDescent="0.2">
      <c r="B2149"/>
      <c r="C2149" s="41"/>
    </row>
    <row r="2150" spans="2:3" x14ac:dyDescent="0.2">
      <c r="B2150"/>
      <c r="C2150" s="41"/>
    </row>
    <row r="2151" spans="2:3" x14ac:dyDescent="0.2">
      <c r="B2151"/>
      <c r="C2151" s="41"/>
    </row>
    <row r="2152" spans="2:3" x14ac:dyDescent="0.2">
      <c r="B2152"/>
      <c r="C2152" s="41"/>
    </row>
    <row r="2153" spans="2:3" x14ac:dyDescent="0.2">
      <c r="B2153"/>
      <c r="C2153" s="41"/>
    </row>
    <row r="2154" spans="2:3" x14ac:dyDescent="0.2">
      <c r="B2154"/>
      <c r="C2154" s="41"/>
    </row>
    <row r="2155" spans="2:3" x14ac:dyDescent="0.2">
      <c r="B2155"/>
      <c r="C2155" s="41"/>
    </row>
    <row r="2156" spans="2:3" x14ac:dyDescent="0.2">
      <c r="B2156"/>
      <c r="C2156" s="41"/>
    </row>
    <row r="2157" spans="2:3" x14ac:dyDescent="0.2">
      <c r="B2157"/>
      <c r="C2157" s="41"/>
    </row>
    <row r="2158" spans="2:3" x14ac:dyDescent="0.2">
      <c r="B2158"/>
      <c r="C2158" s="41"/>
    </row>
    <row r="2159" spans="2:3" x14ac:dyDescent="0.2">
      <c r="B2159"/>
      <c r="C2159" s="41"/>
    </row>
    <row r="2160" spans="2:3" x14ac:dyDescent="0.2">
      <c r="B2160"/>
      <c r="C2160" s="41"/>
    </row>
    <row r="2161" spans="2:3" x14ac:dyDescent="0.2">
      <c r="B2161"/>
      <c r="C2161" s="41"/>
    </row>
    <row r="2162" spans="2:3" x14ac:dyDescent="0.2">
      <c r="B2162"/>
      <c r="C2162" s="41"/>
    </row>
    <row r="2163" spans="2:3" x14ac:dyDescent="0.2">
      <c r="B2163"/>
      <c r="C2163" s="41"/>
    </row>
    <row r="2164" spans="2:3" x14ac:dyDescent="0.2">
      <c r="B2164"/>
      <c r="C2164" s="41"/>
    </row>
    <row r="2165" spans="2:3" x14ac:dyDescent="0.2">
      <c r="B2165"/>
      <c r="C2165" s="41"/>
    </row>
    <row r="2166" spans="2:3" x14ac:dyDescent="0.2">
      <c r="B2166"/>
      <c r="C2166" s="41"/>
    </row>
    <row r="2167" spans="2:3" x14ac:dyDescent="0.2">
      <c r="B2167"/>
      <c r="C2167" s="41"/>
    </row>
    <row r="2168" spans="2:3" x14ac:dyDescent="0.2">
      <c r="B2168"/>
      <c r="C2168" s="41"/>
    </row>
    <row r="2169" spans="2:3" x14ac:dyDescent="0.2">
      <c r="B2169"/>
      <c r="C2169" s="41"/>
    </row>
    <row r="2170" spans="2:3" x14ac:dyDescent="0.2">
      <c r="B2170"/>
      <c r="C2170" s="41"/>
    </row>
    <row r="2171" spans="2:3" x14ac:dyDescent="0.2">
      <c r="B2171"/>
      <c r="C2171" s="41"/>
    </row>
    <row r="2172" spans="2:3" x14ac:dyDescent="0.2">
      <c r="B2172"/>
      <c r="C2172" s="41"/>
    </row>
    <row r="2173" spans="2:3" x14ac:dyDescent="0.2">
      <c r="B2173"/>
      <c r="C2173" s="41"/>
    </row>
    <row r="2174" spans="2:3" x14ac:dyDescent="0.2">
      <c r="B2174"/>
      <c r="C2174" s="41"/>
    </row>
    <row r="2175" spans="2:3" x14ac:dyDescent="0.2">
      <c r="B2175"/>
      <c r="C2175" s="41"/>
    </row>
    <row r="2176" spans="2:3" x14ac:dyDescent="0.2">
      <c r="B2176"/>
      <c r="C2176" s="41"/>
    </row>
    <row r="2177" spans="2:3" x14ac:dyDescent="0.2">
      <c r="B2177"/>
      <c r="C2177" s="41"/>
    </row>
    <row r="2178" spans="2:3" x14ac:dyDescent="0.2">
      <c r="B2178"/>
      <c r="C2178" s="41"/>
    </row>
    <row r="2179" spans="2:3" x14ac:dyDescent="0.2">
      <c r="B2179"/>
      <c r="C2179" s="41"/>
    </row>
    <row r="2180" spans="2:3" x14ac:dyDescent="0.2">
      <c r="B2180"/>
      <c r="C2180" s="41"/>
    </row>
    <row r="2181" spans="2:3" x14ac:dyDescent="0.2">
      <c r="B2181"/>
      <c r="C2181" s="41"/>
    </row>
    <row r="2182" spans="2:3" x14ac:dyDescent="0.2">
      <c r="B2182"/>
      <c r="C2182" s="41"/>
    </row>
    <row r="2183" spans="2:3" x14ac:dyDescent="0.2">
      <c r="B2183"/>
      <c r="C2183" s="41"/>
    </row>
    <row r="2184" spans="2:3" x14ac:dyDescent="0.2">
      <c r="B2184"/>
      <c r="C2184" s="41"/>
    </row>
    <row r="2185" spans="2:3" x14ac:dyDescent="0.2">
      <c r="B2185"/>
      <c r="C2185" s="41"/>
    </row>
    <row r="2186" spans="2:3" x14ac:dyDescent="0.2">
      <c r="B2186"/>
      <c r="C2186" s="41"/>
    </row>
    <row r="2187" spans="2:3" x14ac:dyDescent="0.2">
      <c r="B2187"/>
      <c r="C2187" s="41"/>
    </row>
    <row r="2188" spans="2:3" x14ac:dyDescent="0.2">
      <c r="B2188"/>
      <c r="C2188" s="41"/>
    </row>
    <row r="2189" spans="2:3" x14ac:dyDescent="0.2">
      <c r="B2189"/>
      <c r="C2189" s="41"/>
    </row>
    <row r="2190" spans="2:3" x14ac:dyDescent="0.2">
      <c r="B2190"/>
      <c r="C2190" s="41"/>
    </row>
    <row r="2191" spans="2:3" x14ac:dyDescent="0.2">
      <c r="B2191"/>
      <c r="C2191" s="41"/>
    </row>
    <row r="2192" spans="2:3" x14ac:dyDescent="0.2">
      <c r="B2192"/>
      <c r="C2192" s="41"/>
    </row>
    <row r="2193" spans="2:3" x14ac:dyDescent="0.2">
      <c r="B2193"/>
      <c r="C2193" s="41"/>
    </row>
    <row r="2194" spans="2:3" x14ac:dyDescent="0.2">
      <c r="B2194"/>
      <c r="C2194" s="41"/>
    </row>
    <row r="2195" spans="2:3" x14ac:dyDescent="0.2">
      <c r="B2195"/>
      <c r="C2195" s="41"/>
    </row>
    <row r="2196" spans="2:3" x14ac:dyDescent="0.2">
      <c r="B2196"/>
      <c r="C2196" s="41"/>
    </row>
    <row r="2197" spans="2:3" x14ac:dyDescent="0.2">
      <c r="B2197"/>
      <c r="C2197" s="41"/>
    </row>
    <row r="2198" spans="2:3" x14ac:dyDescent="0.2">
      <c r="B2198"/>
      <c r="C2198" s="41"/>
    </row>
    <row r="2199" spans="2:3" x14ac:dyDescent="0.2">
      <c r="B2199"/>
      <c r="C2199" s="41"/>
    </row>
    <row r="2200" spans="2:3" x14ac:dyDescent="0.2">
      <c r="B2200"/>
      <c r="C2200" s="41"/>
    </row>
    <row r="2201" spans="2:3" x14ac:dyDescent="0.2">
      <c r="B2201"/>
      <c r="C2201" s="41"/>
    </row>
    <row r="2202" spans="2:3" x14ac:dyDescent="0.2">
      <c r="B2202"/>
      <c r="C2202" s="41"/>
    </row>
    <row r="2203" spans="2:3" x14ac:dyDescent="0.2">
      <c r="B2203"/>
      <c r="C2203" s="41"/>
    </row>
    <row r="2204" spans="2:3" x14ac:dyDescent="0.2">
      <c r="B2204"/>
      <c r="C2204" s="41"/>
    </row>
    <row r="2205" spans="2:3" x14ac:dyDescent="0.2">
      <c r="B2205"/>
      <c r="C2205" s="41"/>
    </row>
    <row r="2206" spans="2:3" x14ac:dyDescent="0.2">
      <c r="B2206"/>
      <c r="C2206" s="41"/>
    </row>
    <row r="2207" spans="2:3" x14ac:dyDescent="0.2">
      <c r="B2207"/>
      <c r="C2207" s="41"/>
    </row>
    <row r="2208" spans="2:3" x14ac:dyDescent="0.2">
      <c r="B2208"/>
      <c r="C2208" s="41"/>
    </row>
    <row r="2209" spans="2:3" x14ac:dyDescent="0.2">
      <c r="B2209"/>
      <c r="C2209" s="41"/>
    </row>
    <row r="2210" spans="2:3" x14ac:dyDescent="0.2">
      <c r="B2210"/>
      <c r="C2210" s="41"/>
    </row>
    <row r="2211" spans="2:3" x14ac:dyDescent="0.2">
      <c r="B2211"/>
      <c r="C2211" s="41"/>
    </row>
    <row r="2212" spans="2:3" x14ac:dyDescent="0.2">
      <c r="B2212"/>
      <c r="C2212" s="41"/>
    </row>
    <row r="2213" spans="2:3" x14ac:dyDescent="0.2">
      <c r="B2213"/>
      <c r="C2213" s="41"/>
    </row>
    <row r="2214" spans="2:3" x14ac:dyDescent="0.2">
      <c r="B2214"/>
      <c r="C2214" s="41"/>
    </row>
    <row r="2215" spans="2:3" x14ac:dyDescent="0.2">
      <c r="B2215"/>
      <c r="C2215" s="41"/>
    </row>
    <row r="2216" spans="2:3" x14ac:dyDescent="0.2">
      <c r="B2216"/>
      <c r="C2216" s="41"/>
    </row>
    <row r="2217" spans="2:3" x14ac:dyDescent="0.2">
      <c r="B2217"/>
      <c r="C2217" s="41"/>
    </row>
    <row r="2218" spans="2:3" x14ac:dyDescent="0.2">
      <c r="B2218"/>
      <c r="C2218" s="41"/>
    </row>
    <row r="2219" spans="2:3" x14ac:dyDescent="0.2">
      <c r="B2219"/>
      <c r="C2219" s="41"/>
    </row>
    <row r="2220" spans="2:3" x14ac:dyDescent="0.2">
      <c r="B2220"/>
      <c r="C2220" s="41"/>
    </row>
    <row r="2221" spans="2:3" x14ac:dyDescent="0.2">
      <c r="B2221"/>
      <c r="C2221" s="41"/>
    </row>
    <row r="2222" spans="2:3" x14ac:dyDescent="0.2">
      <c r="B2222"/>
      <c r="C2222" s="41"/>
    </row>
    <row r="2223" spans="2:3" x14ac:dyDescent="0.2">
      <c r="B2223"/>
      <c r="C2223" s="41"/>
    </row>
    <row r="2224" spans="2:3" x14ac:dyDescent="0.2">
      <c r="B2224"/>
      <c r="C2224" s="41"/>
    </row>
    <row r="2225" spans="2:3" x14ac:dyDescent="0.2">
      <c r="B2225"/>
      <c r="C2225" s="41"/>
    </row>
    <row r="2226" spans="2:3" x14ac:dyDescent="0.2">
      <c r="B2226"/>
      <c r="C2226" s="41"/>
    </row>
    <row r="2227" spans="2:3" x14ac:dyDescent="0.2">
      <c r="B2227"/>
      <c r="C2227" s="41"/>
    </row>
    <row r="2228" spans="2:3" x14ac:dyDescent="0.2">
      <c r="B2228"/>
      <c r="C2228" s="41"/>
    </row>
    <row r="2229" spans="2:3" x14ac:dyDescent="0.2">
      <c r="B2229"/>
      <c r="C2229" s="41"/>
    </row>
    <row r="2230" spans="2:3" x14ac:dyDescent="0.2">
      <c r="B2230"/>
      <c r="C2230" s="41"/>
    </row>
    <row r="2231" spans="2:3" x14ac:dyDescent="0.2">
      <c r="B2231"/>
      <c r="C2231" s="41"/>
    </row>
    <row r="2232" spans="2:3" x14ac:dyDescent="0.2">
      <c r="B2232"/>
      <c r="C2232" s="41"/>
    </row>
    <row r="2233" spans="2:3" x14ac:dyDescent="0.2">
      <c r="B2233"/>
      <c r="C2233" s="41"/>
    </row>
    <row r="2234" spans="2:3" x14ac:dyDescent="0.2">
      <c r="B2234"/>
      <c r="C2234" s="41"/>
    </row>
    <row r="2235" spans="2:3" x14ac:dyDescent="0.2">
      <c r="B2235"/>
      <c r="C2235" s="41"/>
    </row>
    <row r="2236" spans="2:3" x14ac:dyDescent="0.2">
      <c r="B2236"/>
      <c r="C2236" s="41"/>
    </row>
    <row r="2237" spans="2:3" x14ac:dyDescent="0.2">
      <c r="B2237"/>
      <c r="C2237" s="41"/>
    </row>
    <row r="2238" spans="2:3" x14ac:dyDescent="0.2">
      <c r="B2238"/>
      <c r="C2238" s="41"/>
    </row>
    <row r="2239" spans="2:3" x14ac:dyDescent="0.2">
      <c r="B2239"/>
      <c r="C2239" s="41"/>
    </row>
    <row r="2240" spans="2:3" x14ac:dyDescent="0.2">
      <c r="B2240"/>
      <c r="C2240" s="41"/>
    </row>
    <row r="2241" spans="2:3" x14ac:dyDescent="0.2">
      <c r="B2241"/>
      <c r="C2241" s="41"/>
    </row>
    <row r="2242" spans="2:3" x14ac:dyDescent="0.2">
      <c r="B2242"/>
      <c r="C2242" s="41"/>
    </row>
    <row r="2243" spans="2:3" x14ac:dyDescent="0.2">
      <c r="B2243"/>
      <c r="C2243" s="41"/>
    </row>
    <row r="2244" spans="2:3" x14ac:dyDescent="0.2">
      <c r="B2244"/>
      <c r="C2244" s="41"/>
    </row>
    <row r="2245" spans="2:3" x14ac:dyDescent="0.2">
      <c r="B2245"/>
      <c r="C2245" s="41"/>
    </row>
    <row r="2246" spans="2:3" x14ac:dyDescent="0.2">
      <c r="B2246"/>
      <c r="C2246" s="41"/>
    </row>
    <row r="2247" spans="2:3" x14ac:dyDescent="0.2">
      <c r="B2247"/>
      <c r="C2247" s="41"/>
    </row>
    <row r="2248" spans="2:3" x14ac:dyDescent="0.2">
      <c r="B2248"/>
      <c r="C2248" s="41"/>
    </row>
    <row r="2249" spans="2:3" x14ac:dyDescent="0.2">
      <c r="B2249"/>
      <c r="C2249" s="41"/>
    </row>
    <row r="2250" spans="2:3" x14ac:dyDescent="0.2">
      <c r="B2250"/>
      <c r="C2250" s="41"/>
    </row>
    <row r="2251" spans="2:3" x14ac:dyDescent="0.2">
      <c r="B2251"/>
      <c r="C2251" s="41"/>
    </row>
    <row r="2252" spans="2:3" x14ac:dyDescent="0.2">
      <c r="B2252"/>
      <c r="C2252" s="41"/>
    </row>
    <row r="2253" spans="2:3" x14ac:dyDescent="0.2">
      <c r="B2253"/>
      <c r="C2253" s="41"/>
    </row>
    <row r="2254" spans="2:3" x14ac:dyDescent="0.2">
      <c r="B2254"/>
      <c r="C2254" s="41"/>
    </row>
    <row r="2255" spans="2:3" x14ac:dyDescent="0.2">
      <c r="B2255"/>
      <c r="C2255" s="41"/>
    </row>
    <row r="2256" spans="2:3" x14ac:dyDescent="0.2">
      <c r="B2256"/>
      <c r="C2256" s="41"/>
    </row>
    <row r="2257" spans="2:3" x14ac:dyDescent="0.2">
      <c r="B2257"/>
      <c r="C2257" s="41"/>
    </row>
    <row r="2258" spans="2:3" x14ac:dyDescent="0.2">
      <c r="B2258"/>
      <c r="C2258" s="41"/>
    </row>
    <row r="2259" spans="2:3" x14ac:dyDescent="0.2">
      <c r="B2259"/>
      <c r="C2259" s="41"/>
    </row>
    <row r="2260" spans="2:3" x14ac:dyDescent="0.2">
      <c r="B2260"/>
      <c r="C2260" s="41"/>
    </row>
    <row r="2261" spans="2:3" x14ac:dyDescent="0.2">
      <c r="B2261"/>
      <c r="C2261" s="41"/>
    </row>
    <row r="2262" spans="2:3" x14ac:dyDescent="0.2">
      <c r="B2262"/>
      <c r="C2262" s="41"/>
    </row>
    <row r="2263" spans="2:3" x14ac:dyDescent="0.2">
      <c r="B2263"/>
      <c r="C2263" s="41"/>
    </row>
    <row r="2264" spans="2:3" x14ac:dyDescent="0.2">
      <c r="B2264"/>
      <c r="C2264" s="41"/>
    </row>
    <row r="2265" spans="2:3" x14ac:dyDescent="0.2">
      <c r="B2265"/>
      <c r="C2265" s="41"/>
    </row>
    <row r="2266" spans="2:3" x14ac:dyDescent="0.2">
      <c r="B2266"/>
      <c r="C2266" s="41"/>
    </row>
    <row r="2267" spans="2:3" x14ac:dyDescent="0.2">
      <c r="B2267"/>
      <c r="C2267" s="41"/>
    </row>
    <row r="2268" spans="2:3" x14ac:dyDescent="0.2">
      <c r="B2268"/>
      <c r="C2268" s="41"/>
    </row>
    <row r="2269" spans="2:3" x14ac:dyDescent="0.2">
      <c r="B2269"/>
      <c r="C2269" s="41"/>
    </row>
    <row r="2270" spans="2:3" x14ac:dyDescent="0.2">
      <c r="B2270"/>
      <c r="C2270" s="41"/>
    </row>
    <row r="2271" spans="2:3" x14ac:dyDescent="0.2">
      <c r="B2271"/>
      <c r="C2271" s="41"/>
    </row>
    <row r="2272" spans="2:3" x14ac:dyDescent="0.2">
      <c r="B2272"/>
      <c r="C2272" s="41"/>
    </row>
    <row r="2273" spans="2:3" x14ac:dyDescent="0.2">
      <c r="B2273"/>
      <c r="C2273" s="41"/>
    </row>
    <row r="2274" spans="2:3" x14ac:dyDescent="0.2">
      <c r="B2274"/>
      <c r="C2274" s="41"/>
    </row>
    <row r="2275" spans="2:3" x14ac:dyDescent="0.2">
      <c r="B2275"/>
      <c r="C2275" s="41"/>
    </row>
    <row r="2276" spans="2:3" x14ac:dyDescent="0.2">
      <c r="B2276"/>
      <c r="C2276" s="41"/>
    </row>
    <row r="2277" spans="2:3" x14ac:dyDescent="0.2">
      <c r="B2277"/>
      <c r="C2277" s="41"/>
    </row>
    <row r="2278" spans="2:3" x14ac:dyDescent="0.2">
      <c r="B2278"/>
      <c r="C2278" s="41"/>
    </row>
    <row r="2279" spans="2:3" x14ac:dyDescent="0.2">
      <c r="B2279"/>
      <c r="C2279" s="41"/>
    </row>
    <row r="2280" spans="2:3" x14ac:dyDescent="0.2">
      <c r="B2280"/>
      <c r="C2280" s="41"/>
    </row>
    <row r="2281" spans="2:3" x14ac:dyDescent="0.2">
      <c r="B2281"/>
      <c r="C2281" s="41"/>
    </row>
    <row r="2282" spans="2:3" x14ac:dyDescent="0.2">
      <c r="B2282"/>
      <c r="C2282" s="41"/>
    </row>
    <row r="2283" spans="2:3" x14ac:dyDescent="0.2">
      <c r="B2283"/>
      <c r="C2283" s="41"/>
    </row>
    <row r="2284" spans="2:3" x14ac:dyDescent="0.2">
      <c r="B2284"/>
      <c r="C2284" s="41"/>
    </row>
    <row r="2285" spans="2:3" x14ac:dyDescent="0.2">
      <c r="B2285"/>
      <c r="C2285" s="41"/>
    </row>
    <row r="2286" spans="2:3" x14ac:dyDescent="0.2">
      <c r="B2286"/>
      <c r="C2286" s="41"/>
    </row>
    <row r="2287" spans="2:3" x14ac:dyDescent="0.2">
      <c r="B2287"/>
      <c r="C2287" s="41"/>
    </row>
    <row r="2288" spans="2:3" x14ac:dyDescent="0.2">
      <c r="B2288"/>
      <c r="C2288" s="41"/>
    </row>
    <row r="2289" spans="2:3" x14ac:dyDescent="0.2">
      <c r="B2289"/>
      <c r="C2289" s="41"/>
    </row>
    <row r="2290" spans="2:3" x14ac:dyDescent="0.2">
      <c r="B2290"/>
      <c r="C2290" s="41"/>
    </row>
    <row r="2291" spans="2:3" x14ac:dyDescent="0.2">
      <c r="B2291"/>
      <c r="C2291" s="41"/>
    </row>
    <row r="2292" spans="2:3" x14ac:dyDescent="0.2">
      <c r="B2292"/>
      <c r="C2292" s="41"/>
    </row>
    <row r="2293" spans="2:3" x14ac:dyDescent="0.2">
      <c r="B2293"/>
      <c r="C2293" s="41"/>
    </row>
    <row r="2294" spans="2:3" x14ac:dyDescent="0.2">
      <c r="B2294"/>
      <c r="C2294" s="41"/>
    </row>
    <row r="2295" spans="2:3" x14ac:dyDescent="0.2">
      <c r="B2295"/>
      <c r="C2295" s="41"/>
    </row>
    <row r="2296" spans="2:3" x14ac:dyDescent="0.2">
      <c r="B2296"/>
      <c r="C2296" s="41"/>
    </row>
    <row r="2297" spans="2:3" x14ac:dyDescent="0.2">
      <c r="B2297"/>
      <c r="C2297" s="41"/>
    </row>
    <row r="2298" spans="2:3" x14ac:dyDescent="0.2">
      <c r="B2298"/>
      <c r="C2298" s="41"/>
    </row>
    <row r="2299" spans="2:3" x14ac:dyDescent="0.2">
      <c r="B2299"/>
      <c r="C2299" s="41"/>
    </row>
    <row r="2300" spans="2:3" x14ac:dyDescent="0.2">
      <c r="B2300"/>
      <c r="C2300" s="41"/>
    </row>
    <row r="2301" spans="2:3" x14ac:dyDescent="0.2">
      <c r="B2301"/>
      <c r="C2301" s="41"/>
    </row>
    <row r="2302" spans="2:3" x14ac:dyDescent="0.2">
      <c r="B2302"/>
      <c r="C2302" s="41"/>
    </row>
    <row r="2303" spans="2:3" x14ac:dyDescent="0.2">
      <c r="B2303"/>
      <c r="C2303" s="41"/>
    </row>
    <row r="2304" spans="2:3" x14ac:dyDescent="0.2">
      <c r="B2304"/>
      <c r="C2304" s="41"/>
    </row>
    <row r="2305" spans="2:3" x14ac:dyDescent="0.2">
      <c r="B2305"/>
      <c r="C2305" s="41"/>
    </row>
    <row r="2306" spans="2:3" x14ac:dyDescent="0.2">
      <c r="B2306"/>
      <c r="C2306" s="41"/>
    </row>
    <row r="2307" spans="2:3" x14ac:dyDescent="0.2">
      <c r="B2307"/>
      <c r="C2307" s="41"/>
    </row>
    <row r="2308" spans="2:3" x14ac:dyDescent="0.2">
      <c r="B2308"/>
      <c r="C2308" s="41"/>
    </row>
    <row r="2309" spans="2:3" x14ac:dyDescent="0.2">
      <c r="B2309"/>
      <c r="C2309" s="41"/>
    </row>
    <row r="2310" spans="2:3" x14ac:dyDescent="0.2">
      <c r="B2310"/>
      <c r="C2310" s="41"/>
    </row>
    <row r="2311" spans="2:3" x14ac:dyDescent="0.2">
      <c r="B2311"/>
      <c r="C2311" s="41"/>
    </row>
    <row r="2312" spans="2:3" x14ac:dyDescent="0.2">
      <c r="B2312"/>
      <c r="C2312" s="41"/>
    </row>
    <row r="2313" spans="2:3" x14ac:dyDescent="0.2">
      <c r="B2313"/>
      <c r="C2313" s="41"/>
    </row>
    <row r="2314" spans="2:3" x14ac:dyDescent="0.2">
      <c r="B2314"/>
      <c r="C2314" s="41"/>
    </row>
    <row r="2315" spans="2:3" x14ac:dyDescent="0.2">
      <c r="B2315"/>
      <c r="C2315" s="41"/>
    </row>
    <row r="2316" spans="2:3" x14ac:dyDescent="0.2">
      <c r="B2316"/>
      <c r="C2316" s="41"/>
    </row>
    <row r="2317" spans="2:3" x14ac:dyDescent="0.2">
      <c r="B2317"/>
      <c r="C2317" s="41"/>
    </row>
    <row r="2318" spans="2:3" x14ac:dyDescent="0.2">
      <c r="B2318"/>
      <c r="C2318" s="41"/>
    </row>
    <row r="2319" spans="2:3" x14ac:dyDescent="0.2">
      <c r="B2319"/>
      <c r="C2319" s="41"/>
    </row>
    <row r="2320" spans="2:3" x14ac:dyDescent="0.2">
      <c r="B2320"/>
      <c r="C2320" s="41"/>
    </row>
    <row r="2321" spans="2:3" x14ac:dyDescent="0.2">
      <c r="B2321"/>
      <c r="C2321" s="41"/>
    </row>
    <row r="2322" spans="2:3" x14ac:dyDescent="0.2">
      <c r="B2322"/>
      <c r="C2322" s="41"/>
    </row>
    <row r="2323" spans="2:3" x14ac:dyDescent="0.2">
      <c r="B2323"/>
      <c r="C2323" s="41"/>
    </row>
    <row r="2324" spans="2:3" x14ac:dyDescent="0.2">
      <c r="B2324"/>
      <c r="C2324" s="41"/>
    </row>
    <row r="2325" spans="2:3" x14ac:dyDescent="0.2">
      <c r="B2325"/>
      <c r="C2325" s="41"/>
    </row>
    <row r="2326" spans="2:3" x14ac:dyDescent="0.2">
      <c r="B2326"/>
      <c r="C2326" s="41"/>
    </row>
    <row r="2327" spans="2:3" x14ac:dyDescent="0.2">
      <c r="B2327"/>
      <c r="C2327" s="41"/>
    </row>
    <row r="2328" spans="2:3" x14ac:dyDescent="0.2">
      <c r="B2328"/>
      <c r="C2328" s="41"/>
    </row>
    <row r="2329" spans="2:3" x14ac:dyDescent="0.2">
      <c r="B2329"/>
      <c r="C2329" s="41"/>
    </row>
    <row r="2330" spans="2:3" x14ac:dyDescent="0.2">
      <c r="B2330"/>
      <c r="C2330" s="41"/>
    </row>
    <row r="2331" spans="2:3" x14ac:dyDescent="0.2">
      <c r="B2331"/>
      <c r="C2331" s="41"/>
    </row>
    <row r="2332" spans="2:3" x14ac:dyDescent="0.2">
      <c r="B2332"/>
      <c r="C2332" s="41"/>
    </row>
    <row r="2333" spans="2:3" x14ac:dyDescent="0.2">
      <c r="B2333"/>
      <c r="C2333" s="41"/>
    </row>
    <row r="2334" spans="2:3" x14ac:dyDescent="0.2">
      <c r="B2334"/>
      <c r="C2334" s="41"/>
    </row>
    <row r="2335" spans="2:3" x14ac:dyDescent="0.2">
      <c r="B2335"/>
      <c r="C2335" s="41"/>
    </row>
    <row r="2336" spans="2:3" x14ac:dyDescent="0.2">
      <c r="B2336"/>
      <c r="C2336" s="41"/>
    </row>
    <row r="2337" spans="2:3" x14ac:dyDescent="0.2">
      <c r="B2337"/>
      <c r="C2337" s="41"/>
    </row>
    <row r="2338" spans="2:3" x14ac:dyDescent="0.2">
      <c r="B2338"/>
      <c r="C2338" s="41"/>
    </row>
    <row r="2339" spans="2:3" x14ac:dyDescent="0.2">
      <c r="B2339"/>
      <c r="C2339" s="41"/>
    </row>
    <row r="2340" spans="2:3" x14ac:dyDescent="0.2">
      <c r="B2340"/>
      <c r="C2340" s="41"/>
    </row>
    <row r="2341" spans="2:3" x14ac:dyDescent="0.2">
      <c r="B2341"/>
      <c r="C2341" s="41"/>
    </row>
    <row r="2342" spans="2:3" x14ac:dyDescent="0.2">
      <c r="B2342"/>
      <c r="C2342" s="41"/>
    </row>
    <row r="2343" spans="2:3" x14ac:dyDescent="0.2">
      <c r="B2343"/>
      <c r="C2343" s="41"/>
    </row>
    <row r="2344" spans="2:3" x14ac:dyDescent="0.2">
      <c r="B2344"/>
      <c r="C2344" s="41"/>
    </row>
    <row r="2345" spans="2:3" x14ac:dyDescent="0.2">
      <c r="B2345"/>
      <c r="C2345" s="41"/>
    </row>
    <row r="2346" spans="2:3" x14ac:dyDescent="0.2">
      <c r="B2346"/>
      <c r="C2346" s="41"/>
    </row>
    <row r="2347" spans="2:3" x14ac:dyDescent="0.2">
      <c r="B2347"/>
      <c r="C2347" s="41"/>
    </row>
    <row r="2348" spans="2:3" x14ac:dyDescent="0.2">
      <c r="B2348"/>
      <c r="C2348" s="41"/>
    </row>
    <row r="2349" spans="2:3" x14ac:dyDescent="0.2">
      <c r="B2349"/>
      <c r="C2349" s="41"/>
    </row>
    <row r="2350" spans="2:3" x14ac:dyDescent="0.2">
      <c r="B2350"/>
      <c r="C2350" s="41"/>
    </row>
    <row r="2351" spans="2:3" x14ac:dyDescent="0.2">
      <c r="B2351"/>
      <c r="C2351" s="41"/>
    </row>
    <row r="2352" spans="2:3" x14ac:dyDescent="0.2">
      <c r="B2352"/>
      <c r="C2352" s="41"/>
    </row>
    <row r="2353" spans="2:3" x14ac:dyDescent="0.2">
      <c r="B2353"/>
      <c r="C2353" s="41"/>
    </row>
    <row r="2354" spans="2:3" x14ac:dyDescent="0.2">
      <c r="B2354"/>
      <c r="C2354" s="41"/>
    </row>
    <row r="2355" spans="2:3" x14ac:dyDescent="0.2">
      <c r="B2355"/>
      <c r="C2355" s="41"/>
    </row>
    <row r="2356" spans="2:3" x14ac:dyDescent="0.2">
      <c r="B2356"/>
      <c r="C2356" s="41"/>
    </row>
    <row r="2357" spans="2:3" x14ac:dyDescent="0.2">
      <c r="B2357"/>
      <c r="C2357" s="41"/>
    </row>
    <row r="2358" spans="2:3" x14ac:dyDescent="0.2">
      <c r="B2358"/>
      <c r="C2358" s="41"/>
    </row>
    <row r="2359" spans="2:3" x14ac:dyDescent="0.2">
      <c r="B2359"/>
      <c r="C2359" s="41"/>
    </row>
    <row r="2360" spans="2:3" x14ac:dyDescent="0.2">
      <c r="B2360"/>
      <c r="C2360" s="41"/>
    </row>
    <row r="2361" spans="2:3" x14ac:dyDescent="0.2">
      <c r="B2361"/>
      <c r="C2361" s="41"/>
    </row>
    <row r="2362" spans="2:3" x14ac:dyDescent="0.2">
      <c r="B2362"/>
      <c r="C2362" s="41"/>
    </row>
    <row r="2363" spans="2:3" x14ac:dyDescent="0.2">
      <c r="B2363"/>
      <c r="C2363" s="41"/>
    </row>
    <row r="2364" spans="2:3" x14ac:dyDescent="0.2">
      <c r="B2364"/>
      <c r="C2364" s="41"/>
    </row>
    <row r="2365" spans="2:3" x14ac:dyDescent="0.2">
      <c r="B2365"/>
      <c r="C2365" s="41"/>
    </row>
    <row r="2366" spans="2:3" x14ac:dyDescent="0.2">
      <c r="B2366"/>
      <c r="C2366" s="41"/>
    </row>
    <row r="2367" spans="2:3" x14ac:dyDescent="0.2">
      <c r="B2367"/>
      <c r="C2367" s="41"/>
    </row>
    <row r="2368" spans="2:3" x14ac:dyDescent="0.2">
      <c r="B2368"/>
      <c r="C2368" s="41"/>
    </row>
    <row r="2369" spans="2:3" x14ac:dyDescent="0.2">
      <c r="B2369"/>
      <c r="C2369" s="41"/>
    </row>
    <row r="2370" spans="2:3" x14ac:dyDescent="0.2">
      <c r="B2370"/>
      <c r="C2370" s="41"/>
    </row>
    <row r="2371" spans="2:3" x14ac:dyDescent="0.2">
      <c r="B2371"/>
      <c r="C2371" s="41"/>
    </row>
    <row r="2372" spans="2:3" x14ac:dyDescent="0.2">
      <c r="B2372"/>
      <c r="C2372" s="41"/>
    </row>
    <row r="2373" spans="2:3" x14ac:dyDescent="0.2">
      <c r="B2373"/>
      <c r="C2373" s="41"/>
    </row>
    <row r="2374" spans="2:3" x14ac:dyDescent="0.2">
      <c r="B2374"/>
      <c r="C2374" s="41"/>
    </row>
    <row r="2375" spans="2:3" x14ac:dyDescent="0.2">
      <c r="B2375"/>
      <c r="C2375" s="41"/>
    </row>
    <row r="2376" spans="2:3" x14ac:dyDescent="0.2">
      <c r="B2376"/>
      <c r="C2376" s="41"/>
    </row>
    <row r="2377" spans="2:3" x14ac:dyDescent="0.2">
      <c r="B2377"/>
      <c r="C2377" s="41"/>
    </row>
    <row r="2378" spans="2:3" x14ac:dyDescent="0.2">
      <c r="B2378"/>
      <c r="C2378" s="41"/>
    </row>
    <row r="2379" spans="2:3" x14ac:dyDescent="0.2">
      <c r="B2379"/>
      <c r="C2379" s="41"/>
    </row>
    <row r="2380" spans="2:3" x14ac:dyDescent="0.2">
      <c r="B2380"/>
      <c r="C2380" s="41"/>
    </row>
    <row r="2381" spans="2:3" x14ac:dyDescent="0.2">
      <c r="B2381"/>
      <c r="C2381" s="41"/>
    </row>
    <row r="2382" spans="2:3" x14ac:dyDescent="0.2">
      <c r="B2382"/>
      <c r="C2382" s="41"/>
    </row>
    <row r="2383" spans="2:3" x14ac:dyDescent="0.2">
      <c r="B2383"/>
      <c r="C2383" s="41"/>
    </row>
    <row r="2384" spans="2:3" x14ac:dyDescent="0.2">
      <c r="B2384"/>
      <c r="C2384" s="41"/>
    </row>
    <row r="2385" spans="2:3" x14ac:dyDescent="0.2">
      <c r="B2385"/>
      <c r="C2385" s="41"/>
    </row>
    <row r="2386" spans="2:3" x14ac:dyDescent="0.2">
      <c r="B2386"/>
      <c r="C2386" s="41"/>
    </row>
    <row r="2387" spans="2:3" x14ac:dyDescent="0.2">
      <c r="B2387"/>
      <c r="C2387" s="41"/>
    </row>
    <row r="2388" spans="2:3" x14ac:dyDescent="0.2">
      <c r="B2388"/>
      <c r="C2388" s="41"/>
    </row>
    <row r="2389" spans="2:3" x14ac:dyDescent="0.2">
      <c r="B2389"/>
      <c r="C2389" s="41"/>
    </row>
    <row r="2390" spans="2:3" x14ac:dyDescent="0.2">
      <c r="B2390"/>
      <c r="C2390" s="41"/>
    </row>
    <row r="2391" spans="2:3" x14ac:dyDescent="0.2">
      <c r="B2391"/>
      <c r="C2391" s="41"/>
    </row>
    <row r="2392" spans="2:3" x14ac:dyDescent="0.2">
      <c r="B2392"/>
      <c r="C2392" s="41"/>
    </row>
    <row r="2393" spans="2:3" x14ac:dyDescent="0.2">
      <c r="B2393"/>
      <c r="C2393" s="41"/>
    </row>
    <row r="2394" spans="2:3" x14ac:dyDescent="0.2">
      <c r="B2394"/>
      <c r="C2394" s="41"/>
    </row>
    <row r="2395" spans="2:3" x14ac:dyDescent="0.2">
      <c r="B2395"/>
      <c r="C2395" s="41"/>
    </row>
    <row r="2396" spans="2:3" x14ac:dyDescent="0.2">
      <c r="B2396"/>
      <c r="C2396" s="41"/>
    </row>
    <row r="2397" spans="2:3" x14ac:dyDescent="0.2">
      <c r="B2397"/>
      <c r="C2397" s="41"/>
    </row>
    <row r="2398" spans="2:3" x14ac:dyDescent="0.2">
      <c r="B2398"/>
      <c r="C2398" s="41"/>
    </row>
    <row r="2399" spans="2:3" x14ac:dyDescent="0.2">
      <c r="B2399"/>
      <c r="C2399" s="41"/>
    </row>
    <row r="2400" spans="2:3" x14ac:dyDescent="0.2">
      <c r="B2400"/>
      <c r="C2400" s="41"/>
    </row>
    <row r="2401" spans="2:3" x14ac:dyDescent="0.2">
      <c r="B2401"/>
      <c r="C2401" s="41"/>
    </row>
    <row r="2402" spans="2:3" x14ac:dyDescent="0.2">
      <c r="B2402"/>
      <c r="C2402" s="41"/>
    </row>
    <row r="2403" spans="2:3" x14ac:dyDescent="0.2">
      <c r="B2403"/>
      <c r="C2403" s="41"/>
    </row>
    <row r="2404" spans="2:3" x14ac:dyDescent="0.2">
      <c r="B2404"/>
      <c r="C2404" s="41"/>
    </row>
    <row r="2405" spans="2:3" x14ac:dyDescent="0.2">
      <c r="B2405"/>
      <c r="C2405" s="41"/>
    </row>
    <row r="2406" spans="2:3" x14ac:dyDescent="0.2">
      <c r="B2406"/>
      <c r="C2406" s="41"/>
    </row>
    <row r="2407" spans="2:3" x14ac:dyDescent="0.2">
      <c r="B2407"/>
      <c r="C2407" s="41"/>
    </row>
    <row r="2408" spans="2:3" x14ac:dyDescent="0.2">
      <c r="B2408"/>
      <c r="C2408" s="41"/>
    </row>
    <row r="2409" spans="2:3" x14ac:dyDescent="0.2">
      <c r="B2409"/>
      <c r="C2409" s="41"/>
    </row>
    <row r="2410" spans="2:3" x14ac:dyDescent="0.2">
      <c r="B2410"/>
      <c r="C2410" s="41"/>
    </row>
    <row r="2411" spans="2:3" x14ac:dyDescent="0.2">
      <c r="B2411"/>
      <c r="C2411" s="41"/>
    </row>
    <row r="2412" spans="2:3" x14ac:dyDescent="0.2">
      <c r="B2412"/>
      <c r="C2412" s="41"/>
    </row>
    <row r="2413" spans="2:3" x14ac:dyDescent="0.2">
      <c r="B2413"/>
      <c r="C2413" s="41"/>
    </row>
    <row r="2414" spans="2:3" x14ac:dyDescent="0.2">
      <c r="B2414"/>
      <c r="C2414" s="41"/>
    </row>
    <row r="2415" spans="2:3" x14ac:dyDescent="0.2">
      <c r="B2415"/>
      <c r="C2415" s="41"/>
    </row>
    <row r="2416" spans="2:3" x14ac:dyDescent="0.2">
      <c r="B2416"/>
      <c r="C2416" s="41"/>
    </row>
    <row r="2417" spans="2:3" x14ac:dyDescent="0.2">
      <c r="B2417"/>
      <c r="C2417" s="41"/>
    </row>
    <row r="2418" spans="2:3" x14ac:dyDescent="0.2">
      <c r="B2418"/>
      <c r="C2418" s="41"/>
    </row>
    <row r="2419" spans="2:3" x14ac:dyDescent="0.2">
      <c r="B2419"/>
      <c r="C2419" s="41"/>
    </row>
    <row r="2420" spans="2:3" x14ac:dyDescent="0.2">
      <c r="B2420"/>
      <c r="C2420" s="41"/>
    </row>
    <row r="2421" spans="2:3" x14ac:dyDescent="0.2">
      <c r="B2421"/>
      <c r="C2421" s="41"/>
    </row>
    <row r="2422" spans="2:3" x14ac:dyDescent="0.2">
      <c r="B2422"/>
      <c r="C2422" s="41"/>
    </row>
    <row r="2423" spans="2:3" x14ac:dyDescent="0.2">
      <c r="B2423"/>
      <c r="C2423" s="41"/>
    </row>
    <row r="2424" spans="2:3" x14ac:dyDescent="0.2">
      <c r="B2424"/>
      <c r="C2424" s="41"/>
    </row>
    <row r="2425" spans="2:3" x14ac:dyDescent="0.2">
      <c r="B2425"/>
      <c r="C2425" s="41"/>
    </row>
    <row r="2426" spans="2:3" x14ac:dyDescent="0.2">
      <c r="B2426"/>
      <c r="C2426" s="41"/>
    </row>
    <row r="2427" spans="2:3" x14ac:dyDescent="0.2">
      <c r="B2427"/>
      <c r="C2427" s="41"/>
    </row>
    <row r="2428" spans="2:3" x14ac:dyDescent="0.2">
      <c r="B2428"/>
      <c r="C2428" s="41"/>
    </row>
    <row r="2429" spans="2:3" x14ac:dyDescent="0.2">
      <c r="B2429"/>
      <c r="C2429" s="41"/>
    </row>
    <row r="2430" spans="2:3" x14ac:dyDescent="0.2">
      <c r="B2430"/>
      <c r="C2430" s="41"/>
    </row>
    <row r="2431" spans="2:3" x14ac:dyDescent="0.2">
      <c r="B2431"/>
      <c r="C2431" s="41"/>
    </row>
    <row r="2432" spans="2:3" x14ac:dyDescent="0.2">
      <c r="B2432"/>
      <c r="C2432" s="41"/>
    </row>
    <row r="2433" spans="2:3" x14ac:dyDescent="0.2">
      <c r="B2433"/>
      <c r="C2433" s="41"/>
    </row>
    <row r="2434" spans="2:3" x14ac:dyDescent="0.2">
      <c r="B2434"/>
      <c r="C2434" s="41"/>
    </row>
    <row r="2435" spans="2:3" x14ac:dyDescent="0.2">
      <c r="B2435"/>
      <c r="C2435" s="41"/>
    </row>
    <row r="2436" spans="2:3" x14ac:dyDescent="0.2">
      <c r="B2436"/>
      <c r="C2436" s="41"/>
    </row>
    <row r="2437" spans="2:3" x14ac:dyDescent="0.2">
      <c r="B2437"/>
      <c r="C2437" s="41"/>
    </row>
    <row r="2438" spans="2:3" x14ac:dyDescent="0.2">
      <c r="B2438"/>
      <c r="C2438" s="41"/>
    </row>
    <row r="2439" spans="2:3" x14ac:dyDescent="0.2">
      <c r="B2439"/>
      <c r="C2439" s="41"/>
    </row>
    <row r="2440" spans="2:3" x14ac:dyDescent="0.2">
      <c r="B2440"/>
      <c r="C2440" s="41"/>
    </row>
    <row r="2441" spans="2:3" x14ac:dyDescent="0.2">
      <c r="B2441"/>
      <c r="C2441" s="41"/>
    </row>
    <row r="2442" spans="2:3" x14ac:dyDescent="0.2">
      <c r="B2442"/>
      <c r="C2442" s="41"/>
    </row>
    <row r="2443" spans="2:3" x14ac:dyDescent="0.2">
      <c r="B2443"/>
      <c r="C2443" s="41"/>
    </row>
    <row r="2444" spans="2:3" x14ac:dyDescent="0.2">
      <c r="B2444"/>
      <c r="C2444" s="41"/>
    </row>
    <row r="2445" spans="2:3" x14ac:dyDescent="0.2">
      <c r="B2445"/>
      <c r="C2445" s="41"/>
    </row>
    <row r="2446" spans="2:3" x14ac:dyDescent="0.2">
      <c r="B2446"/>
      <c r="C2446" s="41"/>
    </row>
    <row r="2447" spans="2:3" x14ac:dyDescent="0.2">
      <c r="B2447"/>
      <c r="C2447" s="41"/>
    </row>
    <row r="2448" spans="2:3" x14ac:dyDescent="0.2">
      <c r="B2448"/>
      <c r="C2448" s="41"/>
    </row>
    <row r="2449" spans="2:3" x14ac:dyDescent="0.2">
      <c r="B2449"/>
      <c r="C2449" s="41"/>
    </row>
    <row r="2450" spans="2:3" x14ac:dyDescent="0.2">
      <c r="B2450"/>
      <c r="C2450" s="41"/>
    </row>
    <row r="2451" spans="2:3" x14ac:dyDescent="0.2">
      <c r="B2451"/>
      <c r="C2451" s="41"/>
    </row>
    <row r="2452" spans="2:3" x14ac:dyDescent="0.2">
      <c r="B2452"/>
      <c r="C2452" s="41"/>
    </row>
    <row r="2453" spans="2:3" x14ac:dyDescent="0.2">
      <c r="B2453"/>
      <c r="C2453" s="41"/>
    </row>
    <row r="2454" spans="2:3" x14ac:dyDescent="0.2">
      <c r="B2454"/>
      <c r="C2454" s="41"/>
    </row>
    <row r="2455" spans="2:3" x14ac:dyDescent="0.2">
      <c r="B2455"/>
      <c r="C2455" s="41"/>
    </row>
    <row r="2456" spans="2:3" x14ac:dyDescent="0.2">
      <c r="B2456"/>
      <c r="C2456" s="41"/>
    </row>
    <row r="2457" spans="2:3" x14ac:dyDescent="0.2">
      <c r="B2457"/>
      <c r="C2457" s="41"/>
    </row>
    <row r="2458" spans="2:3" x14ac:dyDescent="0.2">
      <c r="B2458"/>
      <c r="C2458" s="41"/>
    </row>
    <row r="2459" spans="2:3" x14ac:dyDescent="0.2">
      <c r="B2459"/>
      <c r="C2459" s="41"/>
    </row>
    <row r="2460" spans="2:3" x14ac:dyDescent="0.2">
      <c r="B2460"/>
      <c r="C2460" s="41"/>
    </row>
    <row r="2461" spans="2:3" x14ac:dyDescent="0.2">
      <c r="B2461"/>
      <c r="C2461" s="41"/>
    </row>
    <row r="2462" spans="2:3" x14ac:dyDescent="0.2">
      <c r="B2462"/>
      <c r="C2462" s="41"/>
    </row>
    <row r="2463" spans="2:3" x14ac:dyDescent="0.2">
      <c r="B2463"/>
      <c r="C2463" s="41"/>
    </row>
    <row r="2464" spans="2:3" x14ac:dyDescent="0.2">
      <c r="B2464"/>
      <c r="C2464" s="41"/>
    </row>
    <row r="2465" spans="2:3" x14ac:dyDescent="0.2">
      <c r="B2465"/>
      <c r="C2465" s="41"/>
    </row>
    <row r="2466" spans="2:3" x14ac:dyDescent="0.2">
      <c r="B2466"/>
      <c r="C2466" s="41"/>
    </row>
    <row r="2467" spans="2:3" x14ac:dyDescent="0.2">
      <c r="B2467"/>
      <c r="C2467" s="41"/>
    </row>
    <row r="2468" spans="2:3" x14ac:dyDescent="0.2">
      <c r="B2468"/>
      <c r="C2468" s="41"/>
    </row>
    <row r="2469" spans="2:3" x14ac:dyDescent="0.2">
      <c r="B2469"/>
      <c r="C2469" s="41"/>
    </row>
    <row r="2470" spans="2:3" x14ac:dyDescent="0.2">
      <c r="B2470"/>
      <c r="C2470" s="41"/>
    </row>
    <row r="2471" spans="2:3" x14ac:dyDescent="0.2">
      <c r="B2471"/>
      <c r="C2471" s="41"/>
    </row>
    <row r="2472" spans="2:3" x14ac:dyDescent="0.2">
      <c r="B2472"/>
      <c r="C2472" s="41"/>
    </row>
    <row r="2473" spans="2:3" x14ac:dyDescent="0.2">
      <c r="B2473"/>
      <c r="C2473" s="41"/>
    </row>
    <row r="2474" spans="2:3" x14ac:dyDescent="0.2">
      <c r="B2474"/>
      <c r="C2474" s="41"/>
    </row>
    <row r="2475" spans="2:3" x14ac:dyDescent="0.2">
      <c r="B2475"/>
      <c r="C2475" s="41"/>
    </row>
    <row r="2476" spans="2:3" x14ac:dyDescent="0.2">
      <c r="B2476"/>
      <c r="C2476" s="41"/>
    </row>
    <row r="2477" spans="2:3" x14ac:dyDescent="0.2">
      <c r="B2477"/>
      <c r="C2477" s="41"/>
    </row>
    <row r="2478" spans="2:3" x14ac:dyDescent="0.2">
      <c r="B2478"/>
      <c r="C2478" s="41"/>
    </row>
    <row r="2479" spans="2:3" x14ac:dyDescent="0.2">
      <c r="B2479"/>
      <c r="C2479" s="41"/>
    </row>
    <row r="2480" spans="2:3" x14ac:dyDescent="0.2">
      <c r="B2480"/>
      <c r="C2480" s="41"/>
    </row>
    <row r="2481" spans="2:3" x14ac:dyDescent="0.2">
      <c r="B2481"/>
      <c r="C2481" s="41"/>
    </row>
    <row r="2482" spans="2:3" x14ac:dyDescent="0.2">
      <c r="B2482"/>
      <c r="C2482" s="41"/>
    </row>
    <row r="2483" spans="2:3" x14ac:dyDescent="0.2">
      <c r="B2483"/>
      <c r="C2483" s="41"/>
    </row>
    <row r="2484" spans="2:3" x14ac:dyDescent="0.2">
      <c r="B2484"/>
      <c r="C2484" s="41"/>
    </row>
    <row r="2485" spans="2:3" x14ac:dyDescent="0.2">
      <c r="B2485"/>
      <c r="C2485" s="41"/>
    </row>
    <row r="2486" spans="2:3" x14ac:dyDescent="0.2">
      <c r="B2486"/>
      <c r="C2486" s="41"/>
    </row>
    <row r="2487" spans="2:3" x14ac:dyDescent="0.2">
      <c r="B2487"/>
      <c r="C2487" s="41"/>
    </row>
    <row r="2488" spans="2:3" x14ac:dyDescent="0.2">
      <c r="B2488"/>
      <c r="C2488" s="41"/>
    </row>
    <row r="2489" spans="2:3" x14ac:dyDescent="0.2">
      <c r="B2489"/>
      <c r="C2489" s="41"/>
    </row>
    <row r="2490" spans="2:3" x14ac:dyDescent="0.2">
      <c r="B2490"/>
      <c r="C2490" s="41"/>
    </row>
    <row r="2491" spans="2:3" x14ac:dyDescent="0.2">
      <c r="B2491"/>
      <c r="C2491" s="41"/>
    </row>
    <row r="2492" spans="2:3" x14ac:dyDescent="0.2">
      <c r="B2492"/>
      <c r="C2492" s="41"/>
    </row>
    <row r="2493" spans="2:3" x14ac:dyDescent="0.2">
      <c r="B2493"/>
      <c r="C2493" s="41"/>
    </row>
    <row r="2494" spans="2:3" x14ac:dyDescent="0.2">
      <c r="B2494"/>
      <c r="C2494" s="41"/>
    </row>
    <row r="2495" spans="2:3" x14ac:dyDescent="0.2">
      <c r="B2495"/>
      <c r="C2495" s="41"/>
    </row>
    <row r="2496" spans="2:3" x14ac:dyDescent="0.2">
      <c r="B2496"/>
      <c r="C2496" s="41"/>
    </row>
    <row r="2497" spans="2:3" x14ac:dyDescent="0.2">
      <c r="B2497"/>
      <c r="C2497" s="41"/>
    </row>
    <row r="2498" spans="2:3" x14ac:dyDescent="0.2">
      <c r="B2498"/>
      <c r="C2498" s="41"/>
    </row>
    <row r="2499" spans="2:3" x14ac:dyDescent="0.2">
      <c r="B2499"/>
      <c r="C2499" s="41"/>
    </row>
    <row r="2500" spans="2:3" x14ac:dyDescent="0.2">
      <c r="B2500"/>
      <c r="C2500" s="41"/>
    </row>
    <row r="2501" spans="2:3" x14ac:dyDescent="0.2">
      <c r="B2501"/>
      <c r="C2501" s="41"/>
    </row>
    <row r="2502" spans="2:3" x14ac:dyDescent="0.2">
      <c r="B2502"/>
      <c r="C2502" s="41"/>
    </row>
    <row r="2503" spans="2:3" x14ac:dyDescent="0.2">
      <c r="B2503"/>
      <c r="C2503" s="41"/>
    </row>
    <row r="2504" spans="2:3" x14ac:dyDescent="0.2">
      <c r="B2504"/>
      <c r="C2504" s="41"/>
    </row>
    <row r="2505" spans="2:3" x14ac:dyDescent="0.2">
      <c r="B2505"/>
      <c r="C2505" s="41"/>
    </row>
    <row r="2506" spans="2:3" x14ac:dyDescent="0.2">
      <c r="B2506"/>
      <c r="C2506" s="41"/>
    </row>
    <row r="2507" spans="2:3" x14ac:dyDescent="0.2">
      <c r="B2507"/>
      <c r="C2507" s="41"/>
    </row>
    <row r="2508" spans="2:3" x14ac:dyDescent="0.2">
      <c r="B2508"/>
      <c r="C2508" s="41"/>
    </row>
    <row r="2509" spans="2:3" x14ac:dyDescent="0.2">
      <c r="B2509"/>
      <c r="C2509" s="41"/>
    </row>
    <row r="2510" spans="2:3" x14ac:dyDescent="0.2">
      <c r="B2510"/>
      <c r="C2510" s="41"/>
    </row>
    <row r="2511" spans="2:3" x14ac:dyDescent="0.2">
      <c r="B2511"/>
      <c r="C2511" s="41"/>
    </row>
    <row r="2512" spans="2:3" x14ac:dyDescent="0.2">
      <c r="B2512"/>
      <c r="C2512" s="41"/>
    </row>
    <row r="2513" spans="2:3" x14ac:dyDescent="0.2">
      <c r="B2513"/>
      <c r="C2513" s="41"/>
    </row>
    <row r="2514" spans="2:3" x14ac:dyDescent="0.2">
      <c r="B2514"/>
      <c r="C2514" s="41"/>
    </row>
    <row r="2515" spans="2:3" x14ac:dyDescent="0.2">
      <c r="B2515"/>
      <c r="C2515" s="41"/>
    </row>
    <row r="2516" spans="2:3" x14ac:dyDescent="0.2">
      <c r="B2516"/>
      <c r="C2516" s="41"/>
    </row>
    <row r="2517" spans="2:3" x14ac:dyDescent="0.2">
      <c r="B2517"/>
      <c r="C2517" s="41"/>
    </row>
    <row r="2518" spans="2:3" x14ac:dyDescent="0.2">
      <c r="B2518"/>
      <c r="C2518" s="41"/>
    </row>
    <row r="2519" spans="2:3" x14ac:dyDescent="0.2">
      <c r="B2519"/>
      <c r="C2519" s="41"/>
    </row>
    <row r="2520" spans="2:3" x14ac:dyDescent="0.2">
      <c r="B2520"/>
      <c r="C2520" s="41"/>
    </row>
    <row r="2521" spans="2:3" x14ac:dyDescent="0.2">
      <c r="B2521"/>
      <c r="C2521" s="41"/>
    </row>
    <row r="2522" spans="2:3" x14ac:dyDescent="0.2">
      <c r="B2522"/>
      <c r="C2522" s="41"/>
    </row>
    <row r="2523" spans="2:3" x14ac:dyDescent="0.2">
      <c r="B2523"/>
      <c r="C2523" s="41"/>
    </row>
    <row r="2524" spans="2:3" x14ac:dyDescent="0.2">
      <c r="B2524"/>
      <c r="C2524" s="41"/>
    </row>
    <row r="2525" spans="2:3" x14ac:dyDescent="0.2">
      <c r="B2525"/>
      <c r="C2525" s="41"/>
    </row>
    <row r="2526" spans="2:3" x14ac:dyDescent="0.2">
      <c r="B2526"/>
      <c r="C2526" s="41"/>
    </row>
    <row r="2527" spans="2:3" x14ac:dyDescent="0.2">
      <c r="B2527"/>
      <c r="C2527" s="41"/>
    </row>
    <row r="2528" spans="2:3" x14ac:dyDescent="0.2">
      <c r="B2528"/>
      <c r="C2528" s="41"/>
    </row>
    <row r="2529" spans="2:3" x14ac:dyDescent="0.2">
      <c r="B2529"/>
      <c r="C2529" s="41"/>
    </row>
    <row r="2530" spans="2:3" x14ac:dyDescent="0.2">
      <c r="B2530"/>
      <c r="C2530" s="41"/>
    </row>
    <row r="2531" spans="2:3" x14ac:dyDescent="0.2">
      <c r="B2531"/>
      <c r="C2531" s="41"/>
    </row>
    <row r="2532" spans="2:3" x14ac:dyDescent="0.2">
      <c r="B2532"/>
      <c r="C2532" s="41"/>
    </row>
    <row r="2533" spans="2:3" x14ac:dyDescent="0.2">
      <c r="B2533"/>
      <c r="C2533" s="41"/>
    </row>
    <row r="2534" spans="2:3" x14ac:dyDescent="0.2">
      <c r="B2534"/>
      <c r="C2534" s="41"/>
    </row>
    <row r="2535" spans="2:3" x14ac:dyDescent="0.2">
      <c r="B2535"/>
      <c r="C2535" s="41"/>
    </row>
    <row r="2536" spans="2:3" x14ac:dyDescent="0.2">
      <c r="B2536"/>
      <c r="C2536" s="41"/>
    </row>
    <row r="2537" spans="2:3" x14ac:dyDescent="0.2">
      <c r="B2537"/>
      <c r="C2537" s="41"/>
    </row>
    <row r="2538" spans="2:3" x14ac:dyDescent="0.2">
      <c r="B2538"/>
      <c r="C2538" s="41"/>
    </row>
    <row r="2539" spans="2:3" x14ac:dyDescent="0.2">
      <c r="B2539"/>
      <c r="C2539" s="41"/>
    </row>
    <row r="2540" spans="2:3" x14ac:dyDescent="0.2">
      <c r="B2540"/>
      <c r="C2540" s="41"/>
    </row>
    <row r="2541" spans="2:3" x14ac:dyDescent="0.2">
      <c r="B2541"/>
      <c r="C2541" s="41"/>
    </row>
    <row r="2542" spans="2:3" x14ac:dyDescent="0.2">
      <c r="B2542"/>
      <c r="C2542" s="41"/>
    </row>
    <row r="2543" spans="2:3" x14ac:dyDescent="0.2">
      <c r="B2543"/>
      <c r="C2543" s="41"/>
    </row>
    <row r="2544" spans="2:3" x14ac:dyDescent="0.2">
      <c r="B2544"/>
      <c r="C2544" s="41"/>
    </row>
    <row r="2545" spans="2:3" x14ac:dyDescent="0.2">
      <c r="B2545"/>
      <c r="C2545" s="41"/>
    </row>
    <row r="2546" spans="2:3" x14ac:dyDescent="0.2">
      <c r="B2546"/>
      <c r="C2546" s="41"/>
    </row>
    <row r="2547" spans="2:3" x14ac:dyDescent="0.2">
      <c r="B2547"/>
      <c r="C2547" s="41"/>
    </row>
    <row r="2548" spans="2:3" x14ac:dyDescent="0.2">
      <c r="B2548"/>
      <c r="C2548" s="41"/>
    </row>
    <row r="2549" spans="2:3" x14ac:dyDescent="0.2">
      <c r="B2549"/>
      <c r="C2549" s="41"/>
    </row>
    <row r="2550" spans="2:3" x14ac:dyDescent="0.2">
      <c r="B2550"/>
      <c r="C2550" s="41"/>
    </row>
    <row r="2551" spans="2:3" x14ac:dyDescent="0.2">
      <c r="B2551"/>
      <c r="C2551" s="41"/>
    </row>
    <row r="2552" spans="2:3" x14ac:dyDescent="0.2">
      <c r="B2552"/>
      <c r="C2552" s="41"/>
    </row>
    <row r="2553" spans="2:3" x14ac:dyDescent="0.2">
      <c r="B2553"/>
      <c r="C2553" s="41"/>
    </row>
    <row r="2554" spans="2:3" x14ac:dyDescent="0.2">
      <c r="B2554"/>
      <c r="C2554" s="41"/>
    </row>
    <row r="2555" spans="2:3" x14ac:dyDescent="0.2">
      <c r="B2555"/>
      <c r="C2555" s="41"/>
    </row>
    <row r="2556" spans="2:3" x14ac:dyDescent="0.2">
      <c r="B2556"/>
      <c r="C2556" s="41"/>
    </row>
    <row r="2557" spans="2:3" x14ac:dyDescent="0.2">
      <c r="B2557"/>
      <c r="C2557" s="41"/>
    </row>
    <row r="2558" spans="2:3" x14ac:dyDescent="0.2">
      <c r="B2558"/>
      <c r="C2558" s="41"/>
    </row>
    <row r="2559" spans="2:3" x14ac:dyDescent="0.2">
      <c r="B2559"/>
      <c r="C2559" s="41"/>
    </row>
    <row r="2560" spans="2:3" x14ac:dyDescent="0.2">
      <c r="B2560"/>
      <c r="C2560" s="41"/>
    </row>
    <row r="2561" spans="2:3" x14ac:dyDescent="0.2">
      <c r="B2561"/>
      <c r="C2561" s="41"/>
    </row>
    <row r="2562" spans="2:3" x14ac:dyDescent="0.2">
      <c r="B2562"/>
      <c r="C2562" s="41"/>
    </row>
    <row r="2563" spans="2:3" x14ac:dyDescent="0.2">
      <c r="B2563"/>
      <c r="C2563" s="41"/>
    </row>
    <row r="2564" spans="2:3" x14ac:dyDescent="0.2">
      <c r="B2564"/>
      <c r="C2564" s="41"/>
    </row>
    <row r="2565" spans="2:3" x14ac:dyDescent="0.2">
      <c r="B2565"/>
      <c r="C2565" s="41"/>
    </row>
    <row r="2566" spans="2:3" x14ac:dyDescent="0.2">
      <c r="B2566"/>
      <c r="C2566" s="41"/>
    </row>
    <row r="2567" spans="2:3" x14ac:dyDescent="0.2">
      <c r="B2567"/>
      <c r="C2567" s="41"/>
    </row>
    <row r="2568" spans="2:3" x14ac:dyDescent="0.2">
      <c r="B2568"/>
      <c r="C2568" s="41"/>
    </row>
    <row r="2569" spans="2:3" x14ac:dyDescent="0.2">
      <c r="B2569"/>
      <c r="C2569" s="41"/>
    </row>
    <row r="2570" spans="2:3" x14ac:dyDescent="0.2">
      <c r="B2570"/>
      <c r="C2570" s="41"/>
    </row>
    <row r="2571" spans="2:3" x14ac:dyDescent="0.2">
      <c r="B2571"/>
      <c r="C2571" s="41"/>
    </row>
    <row r="2572" spans="2:3" x14ac:dyDescent="0.2">
      <c r="B2572"/>
      <c r="C2572" s="41"/>
    </row>
    <row r="2573" spans="2:3" x14ac:dyDescent="0.2">
      <c r="B2573"/>
      <c r="C2573" s="41"/>
    </row>
    <row r="2574" spans="2:3" x14ac:dyDescent="0.2">
      <c r="B2574"/>
      <c r="C2574" s="41"/>
    </row>
    <row r="2575" spans="2:3" x14ac:dyDescent="0.2">
      <c r="B2575"/>
      <c r="C2575" s="41"/>
    </row>
    <row r="2576" spans="2:3" x14ac:dyDescent="0.2">
      <c r="B2576"/>
      <c r="C2576" s="41"/>
    </row>
    <row r="2577" spans="2:3" x14ac:dyDescent="0.2">
      <c r="B2577"/>
      <c r="C2577" s="41"/>
    </row>
    <row r="2578" spans="2:3" x14ac:dyDescent="0.2">
      <c r="B2578"/>
      <c r="C2578" s="41"/>
    </row>
    <row r="2579" spans="2:3" x14ac:dyDescent="0.2">
      <c r="B2579"/>
      <c r="C2579" s="41"/>
    </row>
    <row r="2580" spans="2:3" x14ac:dyDescent="0.2">
      <c r="B2580"/>
      <c r="C2580" s="41"/>
    </row>
    <row r="2581" spans="2:3" x14ac:dyDescent="0.2">
      <c r="B2581"/>
      <c r="C2581" s="41"/>
    </row>
    <row r="2582" spans="2:3" x14ac:dyDescent="0.2">
      <c r="B2582"/>
      <c r="C2582" s="41"/>
    </row>
    <row r="2583" spans="2:3" x14ac:dyDescent="0.2">
      <c r="B2583"/>
      <c r="C2583" s="41"/>
    </row>
    <row r="2584" spans="2:3" x14ac:dyDescent="0.2">
      <c r="B2584"/>
      <c r="C2584" s="41"/>
    </row>
    <row r="2585" spans="2:3" x14ac:dyDescent="0.2">
      <c r="B2585"/>
      <c r="C2585" s="41"/>
    </row>
    <row r="2586" spans="2:3" x14ac:dyDescent="0.2">
      <c r="B2586"/>
      <c r="C2586" s="41"/>
    </row>
    <row r="2587" spans="2:3" x14ac:dyDescent="0.2">
      <c r="B2587"/>
      <c r="C2587" s="41"/>
    </row>
    <row r="2588" spans="2:3" x14ac:dyDescent="0.2">
      <c r="B2588"/>
      <c r="C2588" s="41"/>
    </row>
    <row r="2589" spans="2:3" x14ac:dyDescent="0.2">
      <c r="B2589"/>
      <c r="C2589" s="41"/>
    </row>
    <row r="2590" spans="2:3" x14ac:dyDescent="0.2">
      <c r="B2590"/>
      <c r="C2590" s="41"/>
    </row>
    <row r="2591" spans="2:3" x14ac:dyDescent="0.2">
      <c r="B2591"/>
      <c r="C2591" s="41"/>
    </row>
    <row r="2592" spans="2:3" x14ac:dyDescent="0.2">
      <c r="B2592"/>
      <c r="C2592" s="41"/>
    </row>
    <row r="2593" spans="2:3" x14ac:dyDescent="0.2">
      <c r="B2593"/>
      <c r="C2593" s="41"/>
    </row>
    <row r="2594" spans="2:3" x14ac:dyDescent="0.2">
      <c r="B2594"/>
      <c r="C2594" s="41"/>
    </row>
    <row r="2595" spans="2:3" x14ac:dyDescent="0.2">
      <c r="B2595"/>
      <c r="C2595" s="41"/>
    </row>
    <row r="2596" spans="2:3" x14ac:dyDescent="0.2">
      <c r="B2596"/>
      <c r="C2596" s="41"/>
    </row>
    <row r="2597" spans="2:3" x14ac:dyDescent="0.2">
      <c r="B2597"/>
      <c r="C2597" s="41"/>
    </row>
    <row r="2598" spans="2:3" x14ac:dyDescent="0.2">
      <c r="B2598"/>
      <c r="C2598" s="41"/>
    </row>
    <row r="2599" spans="2:3" x14ac:dyDescent="0.2">
      <c r="B2599"/>
      <c r="C2599" s="41"/>
    </row>
    <row r="2600" spans="2:3" x14ac:dyDescent="0.2">
      <c r="B2600"/>
      <c r="C2600" s="41"/>
    </row>
    <row r="2601" spans="2:3" x14ac:dyDescent="0.2">
      <c r="B2601"/>
      <c r="C2601" s="41"/>
    </row>
    <row r="2602" spans="2:3" x14ac:dyDescent="0.2">
      <c r="B2602"/>
      <c r="C2602" s="41"/>
    </row>
    <row r="2603" spans="2:3" x14ac:dyDescent="0.2">
      <c r="B2603"/>
      <c r="C2603" s="41"/>
    </row>
    <row r="2604" spans="2:3" x14ac:dyDescent="0.2">
      <c r="B2604"/>
      <c r="C2604" s="41"/>
    </row>
    <row r="2605" spans="2:3" x14ac:dyDescent="0.2">
      <c r="B2605"/>
      <c r="C2605" s="41"/>
    </row>
    <row r="2606" spans="2:3" x14ac:dyDescent="0.2">
      <c r="B2606"/>
      <c r="C2606" s="41"/>
    </row>
    <row r="2607" spans="2:3" x14ac:dyDescent="0.2">
      <c r="B2607"/>
      <c r="C2607" s="41"/>
    </row>
    <row r="2608" spans="2:3" x14ac:dyDescent="0.2">
      <c r="B2608"/>
      <c r="C2608" s="41"/>
    </row>
    <row r="2609" spans="2:3" x14ac:dyDescent="0.2">
      <c r="B2609"/>
      <c r="C2609" s="41"/>
    </row>
    <row r="2610" spans="2:3" x14ac:dyDescent="0.2">
      <c r="B2610"/>
      <c r="C2610" s="41"/>
    </row>
    <row r="2611" spans="2:3" x14ac:dyDescent="0.2">
      <c r="B2611"/>
      <c r="C2611" s="41"/>
    </row>
    <row r="2612" spans="2:3" x14ac:dyDescent="0.2">
      <c r="B2612"/>
      <c r="C2612" s="41"/>
    </row>
    <row r="2613" spans="2:3" x14ac:dyDescent="0.2">
      <c r="B2613"/>
      <c r="C2613" s="41"/>
    </row>
    <row r="2614" spans="2:3" x14ac:dyDescent="0.2">
      <c r="B2614"/>
      <c r="C2614" s="41"/>
    </row>
    <row r="2615" spans="2:3" x14ac:dyDescent="0.2">
      <c r="B2615"/>
      <c r="C2615" s="41"/>
    </row>
    <row r="2616" spans="2:3" x14ac:dyDescent="0.2">
      <c r="B2616"/>
      <c r="C2616" s="41"/>
    </row>
    <row r="2617" spans="2:3" x14ac:dyDescent="0.2">
      <c r="B2617"/>
      <c r="C2617" s="41"/>
    </row>
    <row r="2618" spans="2:3" x14ac:dyDescent="0.2">
      <c r="B2618"/>
      <c r="C2618" s="41"/>
    </row>
    <row r="2619" spans="2:3" x14ac:dyDescent="0.2">
      <c r="B2619"/>
      <c r="C2619" s="41"/>
    </row>
    <row r="2620" spans="2:3" x14ac:dyDescent="0.2">
      <c r="B2620"/>
      <c r="C2620" s="41"/>
    </row>
    <row r="2621" spans="2:3" x14ac:dyDescent="0.2">
      <c r="B2621"/>
      <c r="C2621" s="41"/>
    </row>
    <row r="2622" spans="2:3" x14ac:dyDescent="0.2">
      <c r="B2622"/>
      <c r="C2622" s="41"/>
    </row>
    <row r="2623" spans="2:3" x14ac:dyDescent="0.2">
      <c r="B2623"/>
      <c r="C2623" s="41"/>
    </row>
    <row r="2624" spans="2:3" x14ac:dyDescent="0.2">
      <c r="B2624"/>
      <c r="C2624" s="41"/>
    </row>
    <row r="2625" spans="2:3" x14ac:dyDescent="0.2">
      <c r="B2625"/>
      <c r="C2625" s="41"/>
    </row>
    <row r="2626" spans="2:3" x14ac:dyDescent="0.2">
      <c r="B2626"/>
      <c r="C2626" s="41"/>
    </row>
    <row r="2627" spans="2:3" x14ac:dyDescent="0.2">
      <c r="B2627"/>
      <c r="C2627" s="41"/>
    </row>
    <row r="2628" spans="2:3" x14ac:dyDescent="0.2">
      <c r="B2628"/>
      <c r="C2628" s="41"/>
    </row>
    <row r="2629" spans="2:3" x14ac:dyDescent="0.2">
      <c r="B2629"/>
      <c r="C2629" s="41"/>
    </row>
    <row r="2630" spans="2:3" x14ac:dyDescent="0.2">
      <c r="B2630"/>
      <c r="C2630" s="41"/>
    </row>
    <row r="2631" spans="2:3" x14ac:dyDescent="0.2">
      <c r="B2631"/>
      <c r="C2631" s="41"/>
    </row>
    <row r="2632" spans="2:3" x14ac:dyDescent="0.2">
      <c r="B2632"/>
      <c r="C2632" s="41"/>
    </row>
    <row r="2633" spans="2:3" x14ac:dyDescent="0.2">
      <c r="B2633"/>
      <c r="C2633" s="41"/>
    </row>
    <row r="2634" spans="2:3" x14ac:dyDescent="0.2">
      <c r="B2634"/>
      <c r="C2634" s="41"/>
    </row>
    <row r="2635" spans="2:3" x14ac:dyDescent="0.2">
      <c r="B2635"/>
      <c r="C2635" s="41"/>
    </row>
    <row r="2636" spans="2:3" x14ac:dyDescent="0.2">
      <c r="B2636"/>
      <c r="C2636" s="41"/>
    </row>
    <row r="2637" spans="2:3" x14ac:dyDescent="0.2">
      <c r="B2637"/>
      <c r="C2637" s="41"/>
    </row>
    <row r="2638" spans="2:3" x14ac:dyDescent="0.2">
      <c r="B2638"/>
      <c r="C2638" s="41"/>
    </row>
    <row r="2639" spans="2:3" x14ac:dyDescent="0.2">
      <c r="B2639"/>
      <c r="C2639" s="41"/>
    </row>
    <row r="2640" spans="2:3" x14ac:dyDescent="0.2">
      <c r="B2640"/>
      <c r="C2640" s="41"/>
    </row>
    <row r="2641" spans="2:3" x14ac:dyDescent="0.2">
      <c r="B2641"/>
      <c r="C2641" s="41"/>
    </row>
    <row r="2642" spans="2:3" x14ac:dyDescent="0.2">
      <c r="B2642"/>
      <c r="C2642" s="41"/>
    </row>
    <row r="2643" spans="2:3" x14ac:dyDescent="0.2">
      <c r="B2643"/>
      <c r="C2643" s="41"/>
    </row>
    <row r="2644" spans="2:3" x14ac:dyDescent="0.2">
      <c r="B2644"/>
      <c r="C2644" s="41"/>
    </row>
    <row r="2645" spans="2:3" x14ac:dyDescent="0.2">
      <c r="B2645"/>
      <c r="C2645" s="41"/>
    </row>
    <row r="2646" spans="2:3" x14ac:dyDescent="0.2">
      <c r="B2646"/>
      <c r="C2646" s="41"/>
    </row>
    <row r="2647" spans="2:3" x14ac:dyDescent="0.2">
      <c r="B2647"/>
      <c r="C2647" s="41"/>
    </row>
    <row r="2648" spans="2:3" x14ac:dyDescent="0.2">
      <c r="B2648"/>
      <c r="C2648" s="41"/>
    </row>
    <row r="2649" spans="2:3" x14ac:dyDescent="0.2">
      <c r="B2649"/>
      <c r="C2649" s="41"/>
    </row>
    <row r="2650" spans="2:3" x14ac:dyDescent="0.2">
      <c r="B2650"/>
      <c r="C2650" s="41"/>
    </row>
    <row r="2651" spans="2:3" x14ac:dyDescent="0.2">
      <c r="B2651"/>
      <c r="C2651" s="41"/>
    </row>
    <row r="2652" spans="2:3" x14ac:dyDescent="0.2">
      <c r="B2652"/>
      <c r="C2652" s="41"/>
    </row>
    <row r="2653" spans="2:3" x14ac:dyDescent="0.2">
      <c r="B2653"/>
      <c r="C2653" s="41"/>
    </row>
    <row r="2654" spans="2:3" x14ac:dyDescent="0.2">
      <c r="B2654"/>
      <c r="C2654" s="41"/>
    </row>
    <row r="2655" spans="2:3" x14ac:dyDescent="0.2">
      <c r="B2655"/>
      <c r="C2655" s="41"/>
    </row>
    <row r="2656" spans="2:3" x14ac:dyDescent="0.2">
      <c r="B2656"/>
      <c r="C2656" s="41"/>
    </row>
    <row r="2657" spans="2:3" x14ac:dyDescent="0.2">
      <c r="B2657"/>
      <c r="C2657" s="41"/>
    </row>
    <row r="2658" spans="2:3" x14ac:dyDescent="0.2">
      <c r="B2658"/>
      <c r="C2658" s="41"/>
    </row>
    <row r="2659" spans="2:3" x14ac:dyDescent="0.2">
      <c r="B2659"/>
      <c r="C2659" s="41"/>
    </row>
    <row r="2660" spans="2:3" x14ac:dyDescent="0.2">
      <c r="B2660"/>
      <c r="C2660" s="41"/>
    </row>
    <row r="2661" spans="2:3" x14ac:dyDescent="0.2">
      <c r="B2661"/>
      <c r="C2661" s="41"/>
    </row>
    <row r="2662" spans="2:3" x14ac:dyDescent="0.2">
      <c r="B2662"/>
      <c r="C2662" s="41"/>
    </row>
    <row r="2663" spans="2:3" x14ac:dyDescent="0.2">
      <c r="B2663"/>
      <c r="C2663" s="41"/>
    </row>
    <row r="2664" spans="2:3" x14ac:dyDescent="0.2">
      <c r="B2664"/>
      <c r="C2664" s="41"/>
    </row>
    <row r="2665" spans="2:3" x14ac:dyDescent="0.2">
      <c r="B2665"/>
      <c r="C2665" s="41"/>
    </row>
    <row r="2666" spans="2:3" x14ac:dyDescent="0.2">
      <c r="B2666"/>
      <c r="C2666" s="41"/>
    </row>
    <row r="2667" spans="2:3" x14ac:dyDescent="0.2">
      <c r="B2667"/>
      <c r="C2667" s="41"/>
    </row>
    <row r="2668" spans="2:3" x14ac:dyDescent="0.2">
      <c r="B2668"/>
      <c r="C2668" s="41"/>
    </row>
    <row r="2669" spans="2:3" x14ac:dyDescent="0.2">
      <c r="B2669"/>
      <c r="C2669" s="41"/>
    </row>
    <row r="2670" spans="2:3" x14ac:dyDescent="0.2">
      <c r="B2670"/>
      <c r="C2670" s="41"/>
    </row>
    <row r="2671" spans="2:3" x14ac:dyDescent="0.2">
      <c r="B2671"/>
      <c r="C2671" s="41"/>
    </row>
    <row r="2672" spans="2:3" x14ac:dyDescent="0.2">
      <c r="B2672"/>
      <c r="C2672" s="41"/>
    </row>
    <row r="2673" spans="2:3" x14ac:dyDescent="0.2">
      <c r="B2673"/>
      <c r="C2673" s="41"/>
    </row>
    <row r="2674" spans="2:3" x14ac:dyDescent="0.2">
      <c r="B2674"/>
      <c r="C2674" s="41"/>
    </row>
    <row r="2675" spans="2:3" x14ac:dyDescent="0.2">
      <c r="B2675"/>
      <c r="C2675" s="41"/>
    </row>
    <row r="2676" spans="2:3" x14ac:dyDescent="0.2">
      <c r="B2676"/>
      <c r="C2676" s="41"/>
    </row>
    <row r="2677" spans="2:3" x14ac:dyDescent="0.2">
      <c r="B2677"/>
      <c r="C2677" s="41"/>
    </row>
    <row r="2678" spans="2:3" x14ac:dyDescent="0.2">
      <c r="B2678"/>
      <c r="C2678" s="41"/>
    </row>
    <row r="2679" spans="2:3" x14ac:dyDescent="0.2">
      <c r="B2679"/>
      <c r="C2679" s="41"/>
    </row>
    <row r="2680" spans="2:3" x14ac:dyDescent="0.2">
      <c r="B2680"/>
      <c r="C2680" s="41"/>
    </row>
    <row r="2681" spans="2:3" x14ac:dyDescent="0.2">
      <c r="B2681"/>
      <c r="C2681" s="41"/>
    </row>
    <row r="2682" spans="2:3" x14ac:dyDescent="0.2">
      <c r="B2682"/>
      <c r="C2682" s="41"/>
    </row>
    <row r="2683" spans="2:3" x14ac:dyDescent="0.2">
      <c r="B2683"/>
      <c r="C2683" s="41"/>
    </row>
    <row r="2684" spans="2:3" x14ac:dyDescent="0.2">
      <c r="B2684"/>
      <c r="C2684" s="41"/>
    </row>
    <row r="2685" spans="2:3" x14ac:dyDescent="0.2">
      <c r="B2685"/>
      <c r="C2685" s="41"/>
    </row>
    <row r="2686" spans="2:3" x14ac:dyDescent="0.2">
      <c r="B2686"/>
      <c r="C2686" s="41"/>
    </row>
    <row r="2687" spans="2:3" x14ac:dyDescent="0.2">
      <c r="B2687"/>
      <c r="C2687" s="41"/>
    </row>
    <row r="2688" spans="2:3" x14ac:dyDescent="0.2">
      <c r="B2688"/>
      <c r="C2688" s="41"/>
    </row>
    <row r="2689" spans="2:3" x14ac:dyDescent="0.2">
      <c r="B2689"/>
      <c r="C2689" s="41"/>
    </row>
    <row r="2690" spans="2:3" x14ac:dyDescent="0.2">
      <c r="B2690"/>
      <c r="C2690" s="41"/>
    </row>
    <row r="2691" spans="2:3" x14ac:dyDescent="0.2">
      <c r="B2691"/>
      <c r="C2691" s="41"/>
    </row>
    <row r="2692" spans="2:3" x14ac:dyDescent="0.2">
      <c r="B2692"/>
      <c r="C2692" s="41"/>
    </row>
    <row r="2693" spans="2:3" x14ac:dyDescent="0.2">
      <c r="B2693"/>
      <c r="C2693" s="41"/>
    </row>
    <row r="2694" spans="2:3" x14ac:dyDescent="0.2">
      <c r="B2694"/>
      <c r="C2694" s="41"/>
    </row>
    <row r="2695" spans="2:3" x14ac:dyDescent="0.2">
      <c r="B2695"/>
      <c r="C2695" s="41"/>
    </row>
    <row r="2696" spans="2:3" x14ac:dyDescent="0.2">
      <c r="B2696"/>
      <c r="C2696" s="41"/>
    </row>
    <row r="2697" spans="2:3" x14ac:dyDescent="0.2">
      <c r="B2697"/>
      <c r="C2697" s="41"/>
    </row>
    <row r="2698" spans="2:3" x14ac:dyDescent="0.2">
      <c r="B2698"/>
      <c r="C2698" s="41"/>
    </row>
    <row r="2699" spans="2:3" x14ac:dyDescent="0.2">
      <c r="B2699"/>
      <c r="C2699" s="41"/>
    </row>
    <row r="2700" spans="2:3" x14ac:dyDescent="0.2">
      <c r="B2700"/>
      <c r="C2700" s="41"/>
    </row>
    <row r="2701" spans="2:3" x14ac:dyDescent="0.2">
      <c r="B2701"/>
      <c r="C2701" s="41"/>
    </row>
    <row r="2702" spans="2:3" x14ac:dyDescent="0.2">
      <c r="B2702"/>
      <c r="C2702" s="41"/>
    </row>
    <row r="2703" spans="2:3" x14ac:dyDescent="0.2">
      <c r="B2703"/>
      <c r="C2703" s="41"/>
    </row>
    <row r="2704" spans="2:3" x14ac:dyDescent="0.2">
      <c r="B2704"/>
      <c r="C2704" s="41"/>
    </row>
    <row r="2705" spans="2:3" x14ac:dyDescent="0.2">
      <c r="B2705"/>
      <c r="C2705" s="41"/>
    </row>
    <row r="2706" spans="2:3" x14ac:dyDescent="0.2">
      <c r="B2706"/>
      <c r="C2706" s="41"/>
    </row>
    <row r="2707" spans="2:3" x14ac:dyDescent="0.2">
      <c r="B2707"/>
      <c r="C2707" s="41"/>
    </row>
    <row r="2708" spans="2:3" x14ac:dyDescent="0.2">
      <c r="B2708"/>
      <c r="C2708" s="41"/>
    </row>
    <row r="2709" spans="2:3" x14ac:dyDescent="0.2">
      <c r="B2709"/>
      <c r="C2709" s="41"/>
    </row>
    <row r="2710" spans="2:3" x14ac:dyDescent="0.2">
      <c r="B2710"/>
      <c r="C2710" s="41"/>
    </row>
    <row r="2711" spans="2:3" x14ac:dyDescent="0.2">
      <c r="B2711"/>
      <c r="C2711" s="41"/>
    </row>
    <row r="2712" spans="2:3" x14ac:dyDescent="0.2">
      <c r="B2712"/>
      <c r="C2712" s="41"/>
    </row>
    <row r="2713" spans="2:3" x14ac:dyDescent="0.2">
      <c r="B2713"/>
      <c r="C2713" s="41"/>
    </row>
    <row r="2714" spans="2:3" x14ac:dyDescent="0.2">
      <c r="B2714"/>
      <c r="C2714" s="41"/>
    </row>
    <row r="2715" spans="2:3" x14ac:dyDescent="0.2">
      <c r="B2715"/>
      <c r="C2715" s="41"/>
    </row>
    <row r="2716" spans="2:3" x14ac:dyDescent="0.2">
      <c r="B2716"/>
      <c r="C2716" s="41"/>
    </row>
    <row r="2717" spans="2:3" x14ac:dyDescent="0.2">
      <c r="B2717"/>
      <c r="C2717" s="41"/>
    </row>
    <row r="2718" spans="2:3" x14ac:dyDescent="0.2">
      <c r="B2718"/>
      <c r="C2718" s="41"/>
    </row>
    <row r="2719" spans="2:3" x14ac:dyDescent="0.2">
      <c r="B2719"/>
      <c r="C2719" s="41"/>
    </row>
    <row r="2720" spans="2:3" x14ac:dyDescent="0.2">
      <c r="B2720"/>
      <c r="C2720" s="41"/>
    </row>
    <row r="2721" spans="2:3" x14ac:dyDescent="0.2">
      <c r="B2721"/>
      <c r="C2721" s="41"/>
    </row>
    <row r="2722" spans="2:3" x14ac:dyDescent="0.2">
      <c r="B2722"/>
      <c r="C2722" s="41"/>
    </row>
    <row r="2723" spans="2:3" x14ac:dyDescent="0.2">
      <c r="B2723"/>
      <c r="C2723" s="41"/>
    </row>
    <row r="2724" spans="2:3" x14ac:dyDescent="0.2">
      <c r="B2724"/>
      <c r="C2724" s="41"/>
    </row>
    <row r="2725" spans="2:3" x14ac:dyDescent="0.2">
      <c r="B2725"/>
      <c r="C2725" s="41"/>
    </row>
    <row r="2726" spans="2:3" x14ac:dyDescent="0.2">
      <c r="B2726"/>
      <c r="C2726" s="41"/>
    </row>
    <row r="2727" spans="2:3" x14ac:dyDescent="0.2">
      <c r="B2727"/>
      <c r="C2727" s="41"/>
    </row>
    <row r="2728" spans="2:3" x14ac:dyDescent="0.2">
      <c r="B2728"/>
      <c r="C2728" s="41"/>
    </row>
    <row r="2729" spans="2:3" x14ac:dyDescent="0.2">
      <c r="B2729"/>
      <c r="C2729" s="41"/>
    </row>
    <row r="2730" spans="2:3" x14ac:dyDescent="0.2">
      <c r="B2730"/>
      <c r="C2730" s="41"/>
    </row>
    <row r="2731" spans="2:3" x14ac:dyDescent="0.2">
      <c r="B2731"/>
      <c r="C2731" s="41"/>
    </row>
    <row r="2732" spans="2:3" x14ac:dyDescent="0.2">
      <c r="B2732"/>
      <c r="C2732" s="41"/>
    </row>
    <row r="2733" spans="2:3" x14ac:dyDescent="0.2">
      <c r="B2733"/>
      <c r="C2733" s="41"/>
    </row>
    <row r="2734" spans="2:3" x14ac:dyDescent="0.2">
      <c r="B2734"/>
      <c r="C2734" s="41"/>
    </row>
    <row r="2735" spans="2:3" x14ac:dyDescent="0.2">
      <c r="B2735"/>
      <c r="C2735" s="41"/>
    </row>
    <row r="2736" spans="2:3" x14ac:dyDescent="0.2">
      <c r="B2736"/>
      <c r="C2736" s="41"/>
    </row>
    <row r="2737" spans="2:3" x14ac:dyDescent="0.2">
      <c r="B2737"/>
      <c r="C2737" s="41"/>
    </row>
    <row r="2738" spans="2:3" x14ac:dyDescent="0.2">
      <c r="B2738"/>
      <c r="C2738" s="41"/>
    </row>
    <row r="2739" spans="2:3" x14ac:dyDescent="0.2">
      <c r="B2739"/>
      <c r="C2739" s="41"/>
    </row>
    <row r="2740" spans="2:3" x14ac:dyDescent="0.2">
      <c r="B2740"/>
      <c r="C2740" s="41"/>
    </row>
    <row r="2741" spans="2:3" x14ac:dyDescent="0.2">
      <c r="B2741"/>
      <c r="C2741" s="41"/>
    </row>
    <row r="2742" spans="2:3" x14ac:dyDescent="0.2">
      <c r="B2742"/>
      <c r="C2742" s="41"/>
    </row>
    <row r="2743" spans="2:3" x14ac:dyDescent="0.2">
      <c r="B2743"/>
      <c r="C2743" s="41"/>
    </row>
    <row r="2744" spans="2:3" x14ac:dyDescent="0.2">
      <c r="B2744"/>
      <c r="C2744" s="41"/>
    </row>
    <row r="2745" spans="2:3" x14ac:dyDescent="0.2">
      <c r="B2745"/>
      <c r="C2745" s="41"/>
    </row>
    <row r="2746" spans="2:3" x14ac:dyDescent="0.2">
      <c r="B2746"/>
      <c r="C2746" s="41"/>
    </row>
    <row r="2747" spans="2:3" x14ac:dyDescent="0.2">
      <c r="B2747"/>
      <c r="C2747" s="41"/>
    </row>
    <row r="2748" spans="2:3" x14ac:dyDescent="0.2">
      <c r="B2748"/>
      <c r="C2748" s="41"/>
    </row>
    <row r="2749" spans="2:3" x14ac:dyDescent="0.2">
      <c r="B2749"/>
      <c r="C2749" s="41"/>
    </row>
    <row r="2750" spans="2:3" x14ac:dyDescent="0.2">
      <c r="B2750"/>
      <c r="C2750" s="41"/>
    </row>
    <row r="2751" spans="2:3" x14ac:dyDescent="0.2">
      <c r="B2751"/>
      <c r="C2751" s="41"/>
    </row>
    <row r="2752" spans="2:3" x14ac:dyDescent="0.2">
      <c r="B2752"/>
      <c r="C2752" s="41"/>
    </row>
    <row r="2753" spans="2:3" x14ac:dyDescent="0.2">
      <c r="B2753"/>
      <c r="C2753" s="41"/>
    </row>
    <row r="2754" spans="2:3" x14ac:dyDescent="0.2">
      <c r="B2754"/>
      <c r="C2754" s="41"/>
    </row>
    <row r="2755" spans="2:3" x14ac:dyDescent="0.2">
      <c r="B2755"/>
      <c r="C2755" s="41"/>
    </row>
    <row r="2756" spans="2:3" x14ac:dyDescent="0.2">
      <c r="B2756"/>
      <c r="C2756" s="41"/>
    </row>
    <row r="2757" spans="2:3" x14ac:dyDescent="0.2">
      <c r="B2757"/>
      <c r="C2757" s="41"/>
    </row>
    <row r="2758" spans="2:3" x14ac:dyDescent="0.2">
      <c r="B2758"/>
      <c r="C2758" s="41"/>
    </row>
    <row r="2759" spans="2:3" x14ac:dyDescent="0.2">
      <c r="B2759"/>
      <c r="C2759" s="41"/>
    </row>
    <row r="2760" spans="2:3" x14ac:dyDescent="0.2">
      <c r="B2760"/>
      <c r="C2760" s="41"/>
    </row>
    <row r="2761" spans="2:3" x14ac:dyDescent="0.2">
      <c r="B2761"/>
      <c r="C2761" s="41"/>
    </row>
    <row r="2762" spans="2:3" x14ac:dyDescent="0.2">
      <c r="B2762"/>
      <c r="C2762" s="41"/>
    </row>
    <row r="2763" spans="2:3" x14ac:dyDescent="0.2">
      <c r="B2763"/>
      <c r="C2763" s="41"/>
    </row>
    <row r="2764" spans="2:3" x14ac:dyDescent="0.2">
      <c r="B2764"/>
      <c r="C2764" s="41"/>
    </row>
    <row r="2765" spans="2:3" x14ac:dyDescent="0.2">
      <c r="B2765"/>
      <c r="C2765" s="41"/>
    </row>
    <row r="2766" spans="2:3" x14ac:dyDescent="0.2">
      <c r="B2766"/>
      <c r="C2766" s="41"/>
    </row>
    <row r="2767" spans="2:3" x14ac:dyDescent="0.2">
      <c r="B2767"/>
      <c r="C2767" s="41"/>
    </row>
    <row r="2768" spans="2:3" x14ac:dyDescent="0.2">
      <c r="B2768"/>
      <c r="C2768" s="41"/>
    </row>
    <row r="2769" spans="2:3" x14ac:dyDescent="0.2">
      <c r="B2769"/>
      <c r="C2769" s="41"/>
    </row>
    <row r="2770" spans="2:3" x14ac:dyDescent="0.2">
      <c r="B2770"/>
      <c r="C2770" s="41"/>
    </row>
    <row r="2771" spans="2:3" x14ac:dyDescent="0.2">
      <c r="B2771"/>
      <c r="C2771" s="41"/>
    </row>
    <row r="2772" spans="2:3" x14ac:dyDescent="0.2">
      <c r="B2772"/>
      <c r="C2772" s="41"/>
    </row>
    <row r="2773" spans="2:3" x14ac:dyDescent="0.2">
      <c r="B2773"/>
      <c r="C2773" s="41"/>
    </row>
    <row r="2774" spans="2:3" x14ac:dyDescent="0.2">
      <c r="B2774"/>
      <c r="C2774" s="41"/>
    </row>
    <row r="2775" spans="2:3" x14ac:dyDescent="0.2">
      <c r="B2775"/>
      <c r="C2775" s="41"/>
    </row>
    <row r="2776" spans="2:3" x14ac:dyDescent="0.2">
      <c r="B2776"/>
      <c r="C2776" s="41"/>
    </row>
    <row r="2777" spans="2:3" x14ac:dyDescent="0.2">
      <c r="B2777"/>
      <c r="C2777" s="41"/>
    </row>
    <row r="2778" spans="2:3" x14ac:dyDescent="0.2">
      <c r="B2778"/>
      <c r="C2778" s="41"/>
    </row>
    <row r="2779" spans="2:3" x14ac:dyDescent="0.2">
      <c r="B2779"/>
      <c r="C2779" s="41"/>
    </row>
    <row r="2780" spans="2:3" x14ac:dyDescent="0.2">
      <c r="B2780"/>
      <c r="C2780" s="41"/>
    </row>
    <row r="2781" spans="2:3" x14ac:dyDescent="0.2">
      <c r="B2781"/>
      <c r="C2781" s="41"/>
    </row>
    <row r="2782" spans="2:3" x14ac:dyDescent="0.2">
      <c r="B2782"/>
      <c r="C2782" s="41"/>
    </row>
    <row r="2783" spans="2:3" x14ac:dyDescent="0.2">
      <c r="B2783"/>
      <c r="C2783" s="41"/>
    </row>
    <row r="2784" spans="2:3" x14ac:dyDescent="0.2">
      <c r="B2784"/>
      <c r="C2784" s="41"/>
    </row>
    <row r="2785" spans="2:3" x14ac:dyDescent="0.2">
      <c r="B2785"/>
      <c r="C2785" s="41"/>
    </row>
    <row r="2786" spans="2:3" x14ac:dyDescent="0.2">
      <c r="B2786"/>
      <c r="C2786" s="41"/>
    </row>
    <row r="2787" spans="2:3" x14ac:dyDescent="0.2">
      <c r="B2787"/>
      <c r="C2787" s="41"/>
    </row>
    <row r="2788" spans="2:3" x14ac:dyDescent="0.2">
      <c r="B2788"/>
      <c r="C2788" s="41"/>
    </row>
    <row r="2789" spans="2:3" x14ac:dyDescent="0.2">
      <c r="B2789"/>
      <c r="C2789" s="41"/>
    </row>
    <row r="2790" spans="2:3" x14ac:dyDescent="0.2">
      <c r="B2790"/>
      <c r="C2790" s="41"/>
    </row>
    <row r="2791" spans="2:3" x14ac:dyDescent="0.2">
      <c r="B2791"/>
      <c r="C2791" s="41"/>
    </row>
    <row r="2792" spans="2:3" x14ac:dyDescent="0.2">
      <c r="B2792"/>
      <c r="C2792" s="41"/>
    </row>
    <row r="2793" spans="2:3" x14ac:dyDescent="0.2">
      <c r="B2793"/>
      <c r="C2793" s="41"/>
    </row>
    <row r="2794" spans="2:3" x14ac:dyDescent="0.2">
      <c r="B2794"/>
      <c r="C2794" s="41"/>
    </row>
    <row r="2795" spans="2:3" x14ac:dyDescent="0.2">
      <c r="B2795"/>
      <c r="C2795" s="41"/>
    </row>
    <row r="2796" spans="2:3" x14ac:dyDescent="0.2">
      <c r="B2796"/>
      <c r="C2796" s="41"/>
    </row>
    <row r="2797" spans="2:3" x14ac:dyDescent="0.2">
      <c r="B2797"/>
      <c r="C2797" s="41"/>
    </row>
    <row r="2798" spans="2:3" x14ac:dyDescent="0.2">
      <c r="B2798"/>
      <c r="C2798" s="41"/>
    </row>
    <row r="2799" spans="2:3" x14ac:dyDescent="0.2">
      <c r="B2799"/>
      <c r="C2799" s="41"/>
    </row>
    <row r="2800" spans="2:3" x14ac:dyDescent="0.2">
      <c r="B2800"/>
      <c r="C2800" s="41"/>
    </row>
    <row r="2801" spans="2:3" x14ac:dyDescent="0.2">
      <c r="B2801"/>
      <c r="C2801" s="41"/>
    </row>
    <row r="2802" spans="2:3" x14ac:dyDescent="0.2">
      <c r="B2802"/>
      <c r="C2802" s="41"/>
    </row>
    <row r="2803" spans="2:3" x14ac:dyDescent="0.2">
      <c r="B2803"/>
      <c r="C2803" s="41"/>
    </row>
    <row r="2804" spans="2:3" x14ac:dyDescent="0.2">
      <c r="B2804"/>
      <c r="C2804" s="41"/>
    </row>
    <row r="2805" spans="2:3" x14ac:dyDescent="0.2">
      <c r="B2805"/>
      <c r="C2805" s="41"/>
    </row>
    <row r="2806" spans="2:3" x14ac:dyDescent="0.2">
      <c r="B2806"/>
      <c r="C2806" s="41"/>
    </row>
    <row r="2807" spans="2:3" x14ac:dyDescent="0.2">
      <c r="B2807"/>
      <c r="C2807" s="41"/>
    </row>
    <row r="2808" spans="2:3" x14ac:dyDescent="0.2">
      <c r="B2808"/>
      <c r="C2808" s="41"/>
    </row>
    <row r="2809" spans="2:3" x14ac:dyDescent="0.2">
      <c r="B2809"/>
      <c r="C2809" s="41"/>
    </row>
    <row r="2810" spans="2:3" x14ac:dyDescent="0.2">
      <c r="B2810"/>
      <c r="C2810" s="41"/>
    </row>
    <row r="2811" spans="2:3" x14ac:dyDescent="0.2">
      <c r="B2811"/>
      <c r="C2811" s="41"/>
    </row>
    <row r="2812" spans="2:3" x14ac:dyDescent="0.2">
      <c r="B2812"/>
      <c r="C2812" s="41"/>
    </row>
    <row r="2813" spans="2:3" x14ac:dyDescent="0.2">
      <c r="B2813"/>
      <c r="C2813" s="41"/>
    </row>
    <row r="2814" spans="2:3" x14ac:dyDescent="0.2">
      <c r="B2814"/>
      <c r="C2814" s="41"/>
    </row>
    <row r="2815" spans="2:3" x14ac:dyDescent="0.2">
      <c r="B2815"/>
      <c r="C2815" s="41"/>
    </row>
    <row r="2816" spans="2:3" x14ac:dyDescent="0.2">
      <c r="B2816"/>
      <c r="C2816" s="41"/>
    </row>
    <row r="2817" spans="2:3" x14ac:dyDescent="0.2">
      <c r="B2817"/>
      <c r="C2817" s="41"/>
    </row>
    <row r="2818" spans="2:3" x14ac:dyDescent="0.2">
      <c r="B2818"/>
      <c r="C2818" s="41"/>
    </row>
    <row r="2819" spans="2:3" x14ac:dyDescent="0.2">
      <c r="B2819"/>
      <c r="C2819" s="41"/>
    </row>
    <row r="2820" spans="2:3" x14ac:dyDescent="0.2">
      <c r="B2820"/>
      <c r="C2820" s="41"/>
    </row>
    <row r="2821" spans="2:3" x14ac:dyDescent="0.2">
      <c r="B2821"/>
      <c r="C2821" s="41"/>
    </row>
    <row r="2822" spans="2:3" x14ac:dyDescent="0.2">
      <c r="B2822"/>
      <c r="C2822" s="41"/>
    </row>
    <row r="2823" spans="2:3" x14ac:dyDescent="0.2">
      <c r="B2823"/>
      <c r="C2823" s="41"/>
    </row>
    <row r="2824" spans="2:3" x14ac:dyDescent="0.2">
      <c r="B2824"/>
      <c r="C2824" s="41"/>
    </row>
    <row r="2825" spans="2:3" x14ac:dyDescent="0.2">
      <c r="B2825"/>
      <c r="C2825" s="41"/>
    </row>
    <row r="2826" spans="2:3" x14ac:dyDescent="0.2">
      <c r="B2826"/>
      <c r="C2826" s="41"/>
    </row>
    <row r="2827" spans="2:3" x14ac:dyDescent="0.2">
      <c r="B2827"/>
      <c r="C2827" s="41"/>
    </row>
    <row r="2828" spans="2:3" x14ac:dyDescent="0.2">
      <c r="B2828"/>
      <c r="C2828" s="41"/>
    </row>
    <row r="2829" spans="2:3" x14ac:dyDescent="0.2">
      <c r="B2829"/>
      <c r="C2829" s="41"/>
    </row>
    <row r="2830" spans="2:3" x14ac:dyDescent="0.2">
      <c r="B2830"/>
      <c r="C2830" s="41"/>
    </row>
    <row r="2831" spans="2:3" x14ac:dyDescent="0.2">
      <c r="B2831"/>
      <c r="C2831" s="41"/>
    </row>
    <row r="2832" spans="2:3" x14ac:dyDescent="0.2">
      <c r="B2832"/>
      <c r="C2832" s="41"/>
    </row>
    <row r="2833" spans="2:3" x14ac:dyDescent="0.2">
      <c r="B2833"/>
      <c r="C2833" s="41"/>
    </row>
    <row r="2834" spans="2:3" x14ac:dyDescent="0.2">
      <c r="B2834"/>
      <c r="C2834" s="41"/>
    </row>
    <row r="2835" spans="2:3" x14ac:dyDescent="0.2">
      <c r="B2835"/>
      <c r="C2835" s="41"/>
    </row>
    <row r="2836" spans="2:3" x14ac:dyDescent="0.2">
      <c r="B2836"/>
      <c r="C2836" s="41"/>
    </row>
    <row r="2837" spans="2:3" x14ac:dyDescent="0.2">
      <c r="B2837"/>
      <c r="C2837" s="41"/>
    </row>
    <row r="2838" spans="2:3" x14ac:dyDescent="0.2">
      <c r="B2838"/>
      <c r="C2838" s="41"/>
    </row>
    <row r="2839" spans="2:3" x14ac:dyDescent="0.2">
      <c r="B2839"/>
      <c r="C2839" s="41"/>
    </row>
    <row r="2840" spans="2:3" x14ac:dyDescent="0.2">
      <c r="B2840"/>
      <c r="C2840" s="41"/>
    </row>
    <row r="2841" spans="2:3" x14ac:dyDescent="0.2">
      <c r="B2841"/>
      <c r="C2841" s="41"/>
    </row>
    <row r="2842" spans="2:3" x14ac:dyDescent="0.2">
      <c r="B2842"/>
      <c r="C2842" s="41"/>
    </row>
    <row r="2843" spans="2:3" x14ac:dyDescent="0.2">
      <c r="B2843"/>
      <c r="C2843" s="41"/>
    </row>
    <row r="2844" spans="2:3" x14ac:dyDescent="0.2">
      <c r="B2844"/>
      <c r="C2844" s="41"/>
    </row>
    <row r="2845" spans="2:3" x14ac:dyDescent="0.2">
      <c r="B2845"/>
      <c r="C2845" s="41"/>
    </row>
    <row r="2846" spans="2:3" x14ac:dyDescent="0.2">
      <c r="B2846"/>
      <c r="C2846" s="41"/>
    </row>
    <row r="2847" spans="2:3" x14ac:dyDescent="0.2">
      <c r="B2847"/>
      <c r="C2847" s="41"/>
    </row>
    <row r="2848" spans="2:3" x14ac:dyDescent="0.2">
      <c r="B2848"/>
      <c r="C2848" s="41"/>
    </row>
    <row r="2849" spans="2:3" x14ac:dyDescent="0.2">
      <c r="B2849"/>
      <c r="C2849" s="41"/>
    </row>
    <row r="2850" spans="2:3" x14ac:dyDescent="0.2">
      <c r="B2850"/>
      <c r="C2850" s="41"/>
    </row>
    <row r="2851" spans="2:3" x14ac:dyDescent="0.2">
      <c r="B2851"/>
      <c r="C2851" s="41"/>
    </row>
    <row r="2852" spans="2:3" x14ac:dyDescent="0.2">
      <c r="B2852"/>
      <c r="C2852" s="41"/>
    </row>
    <row r="2853" spans="2:3" x14ac:dyDescent="0.2">
      <c r="B2853"/>
      <c r="C2853" s="41"/>
    </row>
    <row r="2854" spans="2:3" x14ac:dyDescent="0.2">
      <c r="B2854"/>
      <c r="C2854" s="41"/>
    </row>
    <row r="2855" spans="2:3" x14ac:dyDescent="0.2">
      <c r="B2855"/>
      <c r="C2855" s="41"/>
    </row>
    <row r="2856" spans="2:3" x14ac:dyDescent="0.2">
      <c r="B2856"/>
      <c r="C2856" s="41"/>
    </row>
    <row r="2857" spans="2:3" x14ac:dyDescent="0.2">
      <c r="B2857"/>
      <c r="C2857" s="41"/>
    </row>
    <row r="2858" spans="2:3" x14ac:dyDescent="0.2">
      <c r="B2858"/>
      <c r="C2858" s="41"/>
    </row>
    <row r="2859" spans="2:3" x14ac:dyDescent="0.2">
      <c r="B2859"/>
      <c r="C2859" s="41"/>
    </row>
    <row r="2860" spans="2:3" x14ac:dyDescent="0.2">
      <c r="B2860"/>
      <c r="C2860" s="41"/>
    </row>
    <row r="2861" spans="2:3" x14ac:dyDescent="0.2">
      <c r="B2861"/>
      <c r="C2861" s="41"/>
    </row>
    <row r="2862" spans="2:3" x14ac:dyDescent="0.2">
      <c r="B2862"/>
      <c r="C2862" s="41"/>
    </row>
    <row r="2863" spans="2:3" x14ac:dyDescent="0.2">
      <c r="B2863"/>
      <c r="C2863" s="41"/>
    </row>
    <row r="2864" spans="2:3" x14ac:dyDescent="0.2">
      <c r="B2864"/>
      <c r="C2864" s="41"/>
    </row>
    <row r="2865" spans="2:3" x14ac:dyDescent="0.2">
      <c r="B2865"/>
      <c r="C2865" s="41"/>
    </row>
    <row r="2866" spans="2:3" x14ac:dyDescent="0.2">
      <c r="B2866"/>
      <c r="C2866" s="41"/>
    </row>
    <row r="2867" spans="2:3" x14ac:dyDescent="0.2">
      <c r="B2867"/>
      <c r="C2867" s="41"/>
    </row>
    <row r="2868" spans="2:3" x14ac:dyDescent="0.2">
      <c r="B2868"/>
      <c r="C2868" s="41"/>
    </row>
    <row r="2869" spans="2:3" x14ac:dyDescent="0.2">
      <c r="B2869"/>
      <c r="C2869" s="41"/>
    </row>
    <row r="2870" spans="2:3" x14ac:dyDescent="0.2">
      <c r="B2870"/>
      <c r="C2870" s="41"/>
    </row>
    <row r="2871" spans="2:3" x14ac:dyDescent="0.2">
      <c r="B2871"/>
      <c r="C2871" s="41"/>
    </row>
    <row r="2872" spans="2:3" x14ac:dyDescent="0.2">
      <c r="B2872"/>
      <c r="C2872" s="41"/>
    </row>
    <row r="2873" spans="2:3" x14ac:dyDescent="0.2">
      <c r="B2873"/>
      <c r="C2873" s="41"/>
    </row>
    <row r="2874" spans="2:3" x14ac:dyDescent="0.2">
      <c r="B2874"/>
      <c r="C2874" s="41"/>
    </row>
    <row r="2875" spans="2:3" x14ac:dyDescent="0.2">
      <c r="B2875"/>
      <c r="C2875" s="41"/>
    </row>
    <row r="2876" spans="2:3" x14ac:dyDescent="0.2">
      <c r="B2876"/>
      <c r="C2876" s="41"/>
    </row>
    <row r="2877" spans="2:3" x14ac:dyDescent="0.2">
      <c r="B2877"/>
      <c r="C2877" s="41"/>
    </row>
    <row r="2878" spans="2:3" x14ac:dyDescent="0.2">
      <c r="B2878"/>
      <c r="C2878" s="41"/>
    </row>
    <row r="2879" spans="2:3" x14ac:dyDescent="0.2">
      <c r="B2879"/>
      <c r="C2879" s="41"/>
    </row>
    <row r="2880" spans="2:3" x14ac:dyDescent="0.2">
      <c r="B2880"/>
      <c r="C2880" s="41"/>
    </row>
    <row r="2881" spans="2:3" x14ac:dyDescent="0.2">
      <c r="B2881"/>
      <c r="C2881" s="41"/>
    </row>
    <row r="2882" spans="2:3" x14ac:dyDescent="0.2">
      <c r="B2882"/>
      <c r="C2882" s="41"/>
    </row>
    <row r="2883" spans="2:3" x14ac:dyDescent="0.2">
      <c r="B2883"/>
      <c r="C2883" s="41"/>
    </row>
    <row r="2884" spans="2:3" x14ac:dyDescent="0.2">
      <c r="B2884"/>
      <c r="C2884" s="41"/>
    </row>
    <row r="2885" spans="2:3" x14ac:dyDescent="0.2">
      <c r="B2885"/>
      <c r="C2885" s="41"/>
    </row>
    <row r="2886" spans="2:3" x14ac:dyDescent="0.2">
      <c r="B2886"/>
      <c r="C2886" s="41"/>
    </row>
    <row r="2887" spans="2:3" x14ac:dyDescent="0.2">
      <c r="B2887"/>
      <c r="C2887" s="41"/>
    </row>
    <row r="2888" spans="2:3" x14ac:dyDescent="0.2">
      <c r="B2888"/>
      <c r="C2888" s="41"/>
    </row>
    <row r="2889" spans="2:3" x14ac:dyDescent="0.2">
      <c r="B2889"/>
      <c r="C2889" s="41"/>
    </row>
    <row r="2890" spans="2:3" x14ac:dyDescent="0.2">
      <c r="B2890"/>
      <c r="C2890" s="41"/>
    </row>
    <row r="2891" spans="2:3" x14ac:dyDescent="0.2">
      <c r="B2891"/>
      <c r="C2891" s="41"/>
    </row>
    <row r="2892" spans="2:3" x14ac:dyDescent="0.2">
      <c r="B2892"/>
      <c r="C2892" s="41"/>
    </row>
    <row r="2893" spans="2:3" x14ac:dyDescent="0.2">
      <c r="B2893"/>
      <c r="C2893" s="41"/>
    </row>
    <row r="2894" spans="2:3" x14ac:dyDescent="0.2">
      <c r="B2894"/>
      <c r="C2894" s="41"/>
    </row>
    <row r="2895" spans="2:3" x14ac:dyDescent="0.2">
      <c r="B2895"/>
      <c r="C2895" s="41"/>
    </row>
    <row r="2896" spans="2:3" x14ac:dyDescent="0.2">
      <c r="B2896"/>
      <c r="C2896" s="41"/>
    </row>
    <row r="2897" spans="2:3" x14ac:dyDescent="0.2">
      <c r="B2897"/>
      <c r="C2897" s="41"/>
    </row>
    <row r="2898" spans="2:3" x14ac:dyDescent="0.2">
      <c r="B2898"/>
      <c r="C2898" s="41"/>
    </row>
    <row r="2899" spans="2:3" x14ac:dyDescent="0.2">
      <c r="B2899"/>
      <c r="C2899" s="41"/>
    </row>
    <row r="2900" spans="2:3" x14ac:dyDescent="0.2">
      <c r="B2900"/>
      <c r="C2900" s="41"/>
    </row>
    <row r="2901" spans="2:3" x14ac:dyDescent="0.2">
      <c r="B2901"/>
      <c r="C2901" s="41"/>
    </row>
    <row r="2902" spans="2:3" x14ac:dyDescent="0.2">
      <c r="B2902"/>
      <c r="C2902" s="41"/>
    </row>
    <row r="2903" spans="2:3" x14ac:dyDescent="0.2">
      <c r="B2903"/>
      <c r="C2903" s="41"/>
    </row>
    <row r="2904" spans="2:3" x14ac:dyDescent="0.2">
      <c r="B2904"/>
      <c r="C2904" s="41"/>
    </row>
    <row r="2905" spans="2:3" x14ac:dyDescent="0.2">
      <c r="B2905"/>
      <c r="C2905" s="41"/>
    </row>
    <row r="2906" spans="2:3" x14ac:dyDescent="0.2">
      <c r="B2906"/>
      <c r="C2906" s="41"/>
    </row>
    <row r="2907" spans="2:3" x14ac:dyDescent="0.2">
      <c r="B2907"/>
      <c r="C2907" s="41"/>
    </row>
    <row r="2908" spans="2:3" x14ac:dyDescent="0.2">
      <c r="B2908"/>
      <c r="C2908" s="41"/>
    </row>
    <row r="2909" spans="2:3" x14ac:dyDescent="0.2">
      <c r="B2909"/>
      <c r="C2909" s="41"/>
    </row>
    <row r="2910" spans="2:3" x14ac:dyDescent="0.2">
      <c r="B2910"/>
      <c r="C2910" s="41"/>
    </row>
    <row r="2911" spans="2:3" x14ac:dyDescent="0.2">
      <c r="B2911"/>
      <c r="C2911" s="41"/>
    </row>
    <row r="2912" spans="2:3" x14ac:dyDescent="0.2">
      <c r="B2912"/>
      <c r="C2912" s="41"/>
    </row>
    <row r="2913" spans="2:3" x14ac:dyDescent="0.2">
      <c r="B2913"/>
      <c r="C2913" s="41"/>
    </row>
    <row r="2914" spans="2:3" x14ac:dyDescent="0.2">
      <c r="B2914"/>
      <c r="C2914" s="41"/>
    </row>
    <row r="2915" spans="2:3" x14ac:dyDescent="0.2">
      <c r="B2915"/>
      <c r="C2915" s="41"/>
    </row>
    <row r="2916" spans="2:3" x14ac:dyDescent="0.2">
      <c r="B2916"/>
      <c r="C2916" s="41"/>
    </row>
    <row r="2917" spans="2:3" x14ac:dyDescent="0.2">
      <c r="B2917"/>
      <c r="C2917" s="41"/>
    </row>
    <row r="2918" spans="2:3" x14ac:dyDescent="0.2">
      <c r="B2918"/>
      <c r="C2918" s="41"/>
    </row>
    <row r="2919" spans="2:3" x14ac:dyDescent="0.2">
      <c r="B2919"/>
      <c r="C2919" s="41"/>
    </row>
    <row r="2920" spans="2:3" x14ac:dyDescent="0.2">
      <c r="B2920"/>
      <c r="C2920" s="41"/>
    </row>
    <row r="2921" spans="2:3" x14ac:dyDescent="0.2">
      <c r="B2921"/>
      <c r="C2921" s="41"/>
    </row>
    <row r="2922" spans="2:3" x14ac:dyDescent="0.2">
      <c r="B2922"/>
      <c r="C2922" s="41"/>
    </row>
    <row r="2923" spans="2:3" x14ac:dyDescent="0.2">
      <c r="B2923"/>
      <c r="C2923" s="41"/>
    </row>
    <row r="2924" spans="2:3" x14ac:dyDescent="0.2">
      <c r="B2924"/>
      <c r="C2924" s="41"/>
    </row>
    <row r="2925" spans="2:3" x14ac:dyDescent="0.2">
      <c r="B2925"/>
      <c r="C2925" s="41"/>
    </row>
    <row r="2926" spans="2:3" x14ac:dyDescent="0.2">
      <c r="B2926"/>
      <c r="C2926" s="41"/>
    </row>
    <row r="2927" spans="2:3" x14ac:dyDescent="0.2">
      <c r="B2927"/>
      <c r="C2927" s="41"/>
    </row>
    <row r="2928" spans="2:3" x14ac:dyDescent="0.2">
      <c r="B2928"/>
      <c r="C2928" s="41"/>
    </row>
    <row r="2929" spans="2:3" x14ac:dyDescent="0.2">
      <c r="B2929"/>
      <c r="C2929" s="41"/>
    </row>
    <row r="2930" spans="2:3" x14ac:dyDescent="0.2">
      <c r="B2930"/>
      <c r="C2930" s="41"/>
    </row>
    <row r="2931" spans="2:3" x14ac:dyDescent="0.2">
      <c r="B2931"/>
      <c r="C2931" s="41"/>
    </row>
    <row r="2932" spans="2:3" x14ac:dyDescent="0.2">
      <c r="B2932"/>
      <c r="C2932" s="41"/>
    </row>
    <row r="2933" spans="2:3" x14ac:dyDescent="0.2">
      <c r="B2933"/>
      <c r="C2933" s="41"/>
    </row>
    <row r="2934" spans="2:3" x14ac:dyDescent="0.2">
      <c r="B2934"/>
      <c r="C2934" s="41"/>
    </row>
    <row r="2935" spans="2:3" x14ac:dyDescent="0.2">
      <c r="B2935"/>
      <c r="C2935" s="41"/>
    </row>
    <row r="2936" spans="2:3" x14ac:dyDescent="0.2">
      <c r="B2936"/>
      <c r="C2936" s="41"/>
    </row>
    <row r="2937" spans="2:3" x14ac:dyDescent="0.2">
      <c r="B2937"/>
      <c r="C2937" s="41"/>
    </row>
    <row r="2938" spans="2:3" x14ac:dyDescent="0.2">
      <c r="B2938"/>
      <c r="C2938" s="41"/>
    </row>
    <row r="2939" spans="2:3" x14ac:dyDescent="0.2">
      <c r="B2939"/>
      <c r="C2939" s="41"/>
    </row>
    <row r="2940" spans="2:3" x14ac:dyDescent="0.2">
      <c r="B2940"/>
      <c r="C2940" s="41"/>
    </row>
    <row r="2941" spans="2:3" x14ac:dyDescent="0.2">
      <c r="B2941"/>
      <c r="C2941" s="41"/>
    </row>
    <row r="2942" spans="2:3" x14ac:dyDescent="0.2">
      <c r="B2942"/>
      <c r="C2942" s="41"/>
    </row>
    <row r="2943" spans="2:3" x14ac:dyDescent="0.2">
      <c r="B2943"/>
      <c r="C2943" s="41"/>
    </row>
    <row r="2944" spans="2:3" x14ac:dyDescent="0.2">
      <c r="B2944"/>
      <c r="C2944" s="41"/>
    </row>
    <row r="2945" spans="2:3" x14ac:dyDescent="0.2">
      <c r="B2945"/>
      <c r="C2945" s="41"/>
    </row>
    <row r="2946" spans="2:3" x14ac:dyDescent="0.2">
      <c r="B2946"/>
      <c r="C2946" s="41"/>
    </row>
    <row r="2947" spans="2:3" x14ac:dyDescent="0.2">
      <c r="B2947"/>
      <c r="C2947" s="41"/>
    </row>
    <row r="2948" spans="2:3" x14ac:dyDescent="0.2">
      <c r="B2948"/>
      <c r="C2948" s="41"/>
    </row>
    <row r="2949" spans="2:3" x14ac:dyDescent="0.2">
      <c r="B2949"/>
      <c r="C2949" s="41"/>
    </row>
    <row r="2950" spans="2:3" x14ac:dyDescent="0.2">
      <c r="B2950"/>
      <c r="C2950" s="41"/>
    </row>
    <row r="2951" spans="2:3" x14ac:dyDescent="0.2">
      <c r="B2951"/>
      <c r="C2951" s="41"/>
    </row>
    <row r="2952" spans="2:3" x14ac:dyDescent="0.2">
      <c r="B2952"/>
      <c r="C2952" s="41"/>
    </row>
    <row r="2953" spans="2:3" x14ac:dyDescent="0.2">
      <c r="B2953"/>
      <c r="C2953" s="41"/>
    </row>
    <row r="2954" spans="2:3" x14ac:dyDescent="0.2">
      <c r="B2954"/>
      <c r="C2954" s="41"/>
    </row>
    <row r="2955" spans="2:3" x14ac:dyDescent="0.2">
      <c r="B2955"/>
      <c r="C2955" s="41"/>
    </row>
    <row r="2956" spans="2:3" x14ac:dyDescent="0.2">
      <c r="B2956"/>
      <c r="C2956" s="41"/>
    </row>
    <row r="2957" spans="2:3" x14ac:dyDescent="0.2">
      <c r="B2957"/>
      <c r="C2957" s="41"/>
    </row>
    <row r="2958" spans="2:3" x14ac:dyDescent="0.2">
      <c r="B2958"/>
      <c r="C2958" s="41"/>
    </row>
    <row r="2959" spans="2:3" x14ac:dyDescent="0.2">
      <c r="B2959"/>
      <c r="C2959" s="41"/>
    </row>
    <row r="2960" spans="2:3" x14ac:dyDescent="0.2">
      <c r="B2960"/>
      <c r="C2960" s="41"/>
    </row>
    <row r="2961" spans="2:3" x14ac:dyDescent="0.2">
      <c r="B2961"/>
      <c r="C2961" s="41"/>
    </row>
    <row r="2962" spans="2:3" x14ac:dyDescent="0.2">
      <c r="B2962"/>
      <c r="C2962" s="41"/>
    </row>
    <row r="2963" spans="2:3" x14ac:dyDescent="0.2">
      <c r="B2963"/>
      <c r="C2963" s="41"/>
    </row>
    <row r="2964" spans="2:3" x14ac:dyDescent="0.2">
      <c r="B2964"/>
      <c r="C2964" s="41"/>
    </row>
    <row r="2965" spans="2:3" x14ac:dyDescent="0.2">
      <c r="B2965"/>
      <c r="C2965" s="41"/>
    </row>
    <row r="2966" spans="2:3" x14ac:dyDescent="0.2">
      <c r="B2966"/>
      <c r="C2966" s="41"/>
    </row>
    <row r="2967" spans="2:3" x14ac:dyDescent="0.2">
      <c r="B2967"/>
      <c r="C2967" s="41"/>
    </row>
    <row r="2968" spans="2:3" x14ac:dyDescent="0.2">
      <c r="B2968"/>
      <c r="C2968" s="41"/>
    </row>
    <row r="2969" spans="2:3" x14ac:dyDescent="0.2">
      <c r="B2969"/>
      <c r="C2969" s="41"/>
    </row>
    <row r="2970" spans="2:3" x14ac:dyDescent="0.2">
      <c r="B2970"/>
      <c r="C2970" s="41"/>
    </row>
    <row r="2971" spans="2:3" x14ac:dyDescent="0.2">
      <c r="B2971"/>
      <c r="C2971" s="41"/>
    </row>
    <row r="2972" spans="2:3" x14ac:dyDescent="0.2">
      <c r="B2972"/>
      <c r="C2972" s="41"/>
    </row>
    <row r="2973" spans="2:3" x14ac:dyDescent="0.2">
      <c r="B2973"/>
      <c r="C2973" s="41"/>
    </row>
    <row r="2974" spans="2:3" x14ac:dyDescent="0.2">
      <c r="B2974"/>
      <c r="C2974" s="41"/>
    </row>
    <row r="2975" spans="2:3" x14ac:dyDescent="0.2">
      <c r="B2975"/>
      <c r="C2975" s="41"/>
    </row>
    <row r="2976" spans="2:3" x14ac:dyDescent="0.2">
      <c r="B2976"/>
      <c r="C2976" s="41"/>
    </row>
    <row r="2977" spans="2:3" x14ac:dyDescent="0.2">
      <c r="B2977"/>
      <c r="C2977" s="41"/>
    </row>
    <row r="2978" spans="2:3" x14ac:dyDescent="0.2">
      <c r="B2978"/>
      <c r="C2978" s="41"/>
    </row>
    <row r="2979" spans="2:3" x14ac:dyDescent="0.2">
      <c r="B2979"/>
      <c r="C2979" s="41"/>
    </row>
    <row r="2980" spans="2:3" x14ac:dyDescent="0.2">
      <c r="B2980"/>
      <c r="C2980" s="41"/>
    </row>
    <row r="2981" spans="2:3" x14ac:dyDescent="0.2">
      <c r="B2981"/>
      <c r="C2981" s="41"/>
    </row>
    <row r="2982" spans="2:3" x14ac:dyDescent="0.2">
      <c r="B2982"/>
      <c r="C2982" s="41"/>
    </row>
    <row r="2983" spans="2:3" x14ac:dyDescent="0.2">
      <c r="B2983"/>
      <c r="C2983" s="41"/>
    </row>
    <row r="2984" spans="2:3" x14ac:dyDescent="0.2">
      <c r="B2984"/>
      <c r="C2984" s="41"/>
    </row>
    <row r="2985" spans="2:3" x14ac:dyDescent="0.2">
      <c r="B2985"/>
      <c r="C2985" s="41"/>
    </row>
    <row r="2986" spans="2:3" x14ac:dyDescent="0.2">
      <c r="B2986"/>
      <c r="C2986" s="41"/>
    </row>
    <row r="2987" spans="2:3" x14ac:dyDescent="0.2">
      <c r="B2987"/>
      <c r="C2987" s="41"/>
    </row>
    <row r="2988" spans="2:3" x14ac:dyDescent="0.2">
      <c r="B2988"/>
      <c r="C2988" s="41"/>
    </row>
    <row r="2989" spans="2:3" x14ac:dyDescent="0.2">
      <c r="B2989"/>
      <c r="C2989" s="41"/>
    </row>
    <row r="2990" spans="2:3" x14ac:dyDescent="0.2">
      <c r="B2990"/>
      <c r="C2990" s="41"/>
    </row>
    <row r="2991" spans="2:3" x14ac:dyDescent="0.2">
      <c r="B2991"/>
      <c r="C2991" s="41"/>
    </row>
    <row r="2992" spans="2:3" x14ac:dyDescent="0.2">
      <c r="B2992"/>
      <c r="C2992" s="41"/>
    </row>
    <row r="2993" spans="2:3" x14ac:dyDescent="0.2">
      <c r="B2993"/>
      <c r="C2993" s="41"/>
    </row>
    <row r="2994" spans="2:3" x14ac:dyDescent="0.2">
      <c r="B2994"/>
      <c r="C2994" s="41"/>
    </row>
    <row r="2995" spans="2:3" x14ac:dyDescent="0.2">
      <c r="B2995"/>
      <c r="C2995" s="41"/>
    </row>
    <row r="2996" spans="2:3" x14ac:dyDescent="0.2">
      <c r="B2996"/>
      <c r="C2996" s="41"/>
    </row>
    <row r="2997" spans="2:3" x14ac:dyDescent="0.2">
      <c r="B2997"/>
      <c r="C2997" s="41"/>
    </row>
    <row r="2998" spans="2:3" x14ac:dyDescent="0.2">
      <c r="B2998"/>
      <c r="C2998" s="41"/>
    </row>
    <row r="2999" spans="2:3" x14ac:dyDescent="0.2">
      <c r="B2999"/>
      <c r="C2999" s="41"/>
    </row>
    <row r="3000" spans="2:3" x14ac:dyDescent="0.2">
      <c r="B3000"/>
      <c r="C3000" s="41"/>
    </row>
    <row r="3001" spans="2:3" x14ac:dyDescent="0.2">
      <c r="B3001"/>
      <c r="C3001" s="41"/>
    </row>
    <row r="3002" spans="2:3" x14ac:dyDescent="0.2">
      <c r="B3002"/>
      <c r="C3002" s="41"/>
    </row>
    <row r="3003" spans="2:3" x14ac:dyDescent="0.2">
      <c r="B3003"/>
      <c r="C3003" s="41"/>
    </row>
    <row r="3004" spans="2:3" x14ac:dyDescent="0.2">
      <c r="B3004"/>
      <c r="C3004" s="41"/>
    </row>
    <row r="3005" spans="2:3" x14ac:dyDescent="0.2">
      <c r="B3005"/>
      <c r="C3005" s="41"/>
    </row>
    <row r="3006" spans="2:3" x14ac:dyDescent="0.2">
      <c r="B3006"/>
      <c r="C3006" s="41"/>
    </row>
    <row r="3007" spans="2:3" x14ac:dyDescent="0.2">
      <c r="B3007"/>
      <c r="C3007" s="41"/>
    </row>
    <row r="3008" spans="2:3" x14ac:dyDescent="0.2">
      <c r="B3008"/>
      <c r="C3008" s="41"/>
    </row>
    <row r="3009" spans="2:3" x14ac:dyDescent="0.2">
      <c r="B3009"/>
      <c r="C3009" s="41"/>
    </row>
    <row r="3010" spans="2:3" x14ac:dyDescent="0.2">
      <c r="B3010"/>
      <c r="C3010" s="41"/>
    </row>
    <row r="3011" spans="2:3" x14ac:dyDescent="0.2">
      <c r="B3011"/>
      <c r="C3011" s="41"/>
    </row>
    <row r="3012" spans="2:3" x14ac:dyDescent="0.2">
      <c r="B3012"/>
      <c r="C3012" s="41"/>
    </row>
    <row r="3013" spans="2:3" x14ac:dyDescent="0.2">
      <c r="B3013"/>
      <c r="C3013" s="41"/>
    </row>
    <row r="3014" spans="2:3" x14ac:dyDescent="0.2">
      <c r="B3014"/>
      <c r="C3014" s="41"/>
    </row>
    <row r="3015" spans="2:3" x14ac:dyDescent="0.2">
      <c r="B3015"/>
      <c r="C3015" s="41"/>
    </row>
    <row r="3016" spans="2:3" x14ac:dyDescent="0.2">
      <c r="B3016"/>
      <c r="C3016" s="41"/>
    </row>
    <row r="3017" spans="2:3" x14ac:dyDescent="0.2">
      <c r="B3017"/>
      <c r="C3017" s="41"/>
    </row>
    <row r="3018" spans="2:3" x14ac:dyDescent="0.2">
      <c r="B3018"/>
      <c r="C3018" s="41"/>
    </row>
    <row r="3019" spans="2:3" x14ac:dyDescent="0.2">
      <c r="B3019"/>
      <c r="C3019" s="41"/>
    </row>
    <row r="3020" spans="2:3" x14ac:dyDescent="0.2">
      <c r="B3020"/>
      <c r="C3020" s="41"/>
    </row>
    <row r="3021" spans="2:3" x14ac:dyDescent="0.2">
      <c r="B3021"/>
      <c r="C3021" s="41"/>
    </row>
    <row r="3022" spans="2:3" x14ac:dyDescent="0.2">
      <c r="B3022"/>
      <c r="C3022" s="41"/>
    </row>
    <row r="3023" spans="2:3" x14ac:dyDescent="0.2">
      <c r="B3023"/>
      <c r="C3023" s="41"/>
    </row>
    <row r="3024" spans="2:3" x14ac:dyDescent="0.2">
      <c r="B3024"/>
      <c r="C3024" s="41"/>
    </row>
    <row r="3025" spans="2:3" x14ac:dyDescent="0.2">
      <c r="B3025"/>
      <c r="C3025" s="41"/>
    </row>
    <row r="3026" spans="2:3" x14ac:dyDescent="0.2">
      <c r="B3026"/>
      <c r="C3026" s="41"/>
    </row>
    <row r="3027" spans="2:3" x14ac:dyDescent="0.2">
      <c r="B3027"/>
      <c r="C3027" s="41"/>
    </row>
    <row r="3028" spans="2:3" x14ac:dyDescent="0.2">
      <c r="B3028"/>
      <c r="C3028" s="41"/>
    </row>
    <row r="3029" spans="2:3" x14ac:dyDescent="0.2">
      <c r="B3029"/>
      <c r="C3029" s="41"/>
    </row>
    <row r="3030" spans="2:3" x14ac:dyDescent="0.2">
      <c r="B3030"/>
      <c r="C3030" s="41"/>
    </row>
    <row r="3031" spans="2:3" x14ac:dyDescent="0.2">
      <c r="B3031"/>
      <c r="C3031" s="41"/>
    </row>
    <row r="3032" spans="2:3" x14ac:dyDescent="0.2">
      <c r="B3032"/>
      <c r="C3032" s="41"/>
    </row>
    <row r="3033" spans="2:3" x14ac:dyDescent="0.2">
      <c r="B3033"/>
      <c r="C3033" s="41"/>
    </row>
    <row r="3034" spans="2:3" x14ac:dyDescent="0.2">
      <c r="B3034"/>
      <c r="C3034" s="41"/>
    </row>
    <row r="3035" spans="2:3" x14ac:dyDescent="0.2">
      <c r="B3035"/>
      <c r="C3035" s="41"/>
    </row>
    <row r="3036" spans="2:3" x14ac:dyDescent="0.2">
      <c r="B3036"/>
      <c r="C3036" s="41"/>
    </row>
    <row r="3037" spans="2:3" x14ac:dyDescent="0.2">
      <c r="B3037"/>
      <c r="C3037" s="41"/>
    </row>
    <row r="3038" spans="2:3" x14ac:dyDescent="0.2">
      <c r="B3038"/>
      <c r="C3038" s="41"/>
    </row>
    <row r="3039" spans="2:3" x14ac:dyDescent="0.2">
      <c r="B3039"/>
      <c r="C3039" s="41"/>
    </row>
    <row r="3040" spans="2:3" x14ac:dyDescent="0.2">
      <c r="B3040"/>
      <c r="C3040" s="41"/>
    </row>
    <row r="3041" spans="2:3" x14ac:dyDescent="0.2">
      <c r="B3041"/>
      <c r="C3041" s="41"/>
    </row>
    <row r="3042" spans="2:3" x14ac:dyDescent="0.2">
      <c r="B3042"/>
      <c r="C3042" s="41"/>
    </row>
    <row r="3043" spans="2:3" x14ac:dyDescent="0.2">
      <c r="B3043"/>
      <c r="C3043" s="41"/>
    </row>
    <row r="3044" spans="2:3" x14ac:dyDescent="0.2">
      <c r="B3044"/>
      <c r="C3044" s="41"/>
    </row>
    <row r="3045" spans="2:3" x14ac:dyDescent="0.2">
      <c r="B3045"/>
      <c r="C3045" s="41"/>
    </row>
    <row r="3046" spans="2:3" x14ac:dyDescent="0.2">
      <c r="B3046"/>
      <c r="C3046" s="41"/>
    </row>
    <row r="3047" spans="2:3" x14ac:dyDescent="0.2">
      <c r="B3047"/>
      <c r="C3047" s="41"/>
    </row>
    <row r="3048" spans="2:3" x14ac:dyDescent="0.2">
      <c r="B3048"/>
      <c r="C3048" s="41"/>
    </row>
    <row r="3049" spans="2:3" x14ac:dyDescent="0.2">
      <c r="B3049"/>
      <c r="C3049" s="41"/>
    </row>
    <row r="3050" spans="2:3" x14ac:dyDescent="0.2">
      <c r="B3050"/>
      <c r="C3050" s="41"/>
    </row>
    <row r="3051" spans="2:3" x14ac:dyDescent="0.2">
      <c r="B3051"/>
      <c r="C3051" s="41"/>
    </row>
    <row r="3052" spans="2:3" x14ac:dyDescent="0.2">
      <c r="B3052"/>
      <c r="C3052" s="41"/>
    </row>
    <row r="3053" spans="2:3" x14ac:dyDescent="0.2">
      <c r="B3053"/>
      <c r="C3053" s="41"/>
    </row>
    <row r="3054" spans="2:3" x14ac:dyDescent="0.2">
      <c r="B3054"/>
      <c r="C3054" s="41"/>
    </row>
    <row r="3055" spans="2:3" x14ac:dyDescent="0.2">
      <c r="B3055"/>
      <c r="C3055" s="41"/>
    </row>
    <row r="3056" spans="2:3" x14ac:dyDescent="0.2">
      <c r="B3056"/>
      <c r="C3056" s="41"/>
    </row>
    <row r="3057" spans="2:3" x14ac:dyDescent="0.2">
      <c r="B3057"/>
      <c r="C3057" s="41"/>
    </row>
    <row r="3058" spans="2:3" x14ac:dyDescent="0.2">
      <c r="B3058"/>
      <c r="C3058" s="41"/>
    </row>
    <row r="3059" spans="2:3" x14ac:dyDescent="0.2">
      <c r="B3059"/>
      <c r="C3059" s="41"/>
    </row>
    <row r="3060" spans="2:3" x14ac:dyDescent="0.2">
      <c r="B3060"/>
      <c r="C3060" s="41"/>
    </row>
    <row r="3061" spans="2:3" x14ac:dyDescent="0.2">
      <c r="B3061"/>
      <c r="C3061" s="41"/>
    </row>
    <row r="3062" spans="2:3" x14ac:dyDescent="0.2">
      <c r="B3062"/>
      <c r="C3062" s="41"/>
    </row>
    <row r="3063" spans="2:3" x14ac:dyDescent="0.2">
      <c r="B3063"/>
      <c r="C3063" s="41"/>
    </row>
    <row r="3064" spans="2:3" x14ac:dyDescent="0.2">
      <c r="B3064"/>
      <c r="C3064" s="41"/>
    </row>
    <row r="3065" spans="2:3" x14ac:dyDescent="0.2">
      <c r="B3065"/>
      <c r="C3065" s="41"/>
    </row>
    <row r="3066" spans="2:3" x14ac:dyDescent="0.2">
      <c r="B3066"/>
      <c r="C3066" s="41"/>
    </row>
    <row r="3067" spans="2:3" x14ac:dyDescent="0.2">
      <c r="B3067"/>
      <c r="C3067" s="41"/>
    </row>
    <row r="3068" spans="2:3" x14ac:dyDescent="0.2">
      <c r="B3068"/>
      <c r="C3068" s="41"/>
    </row>
    <row r="3069" spans="2:3" x14ac:dyDescent="0.2">
      <c r="B3069"/>
      <c r="C3069" s="41"/>
    </row>
    <row r="3070" spans="2:3" x14ac:dyDescent="0.2">
      <c r="B3070"/>
      <c r="C3070" s="41"/>
    </row>
    <row r="3071" spans="2:3" x14ac:dyDescent="0.2">
      <c r="B3071"/>
      <c r="C3071" s="41"/>
    </row>
    <row r="3072" spans="2:3" x14ac:dyDescent="0.2">
      <c r="B3072"/>
      <c r="C3072" s="41"/>
    </row>
    <row r="3073" spans="2:3" x14ac:dyDescent="0.2">
      <c r="B3073"/>
      <c r="C3073" s="41"/>
    </row>
    <row r="3074" spans="2:3" x14ac:dyDescent="0.2">
      <c r="B3074"/>
      <c r="C3074" s="41"/>
    </row>
    <row r="3075" spans="2:3" x14ac:dyDescent="0.2">
      <c r="B3075"/>
      <c r="C3075" s="41"/>
    </row>
    <row r="3076" spans="2:3" x14ac:dyDescent="0.2">
      <c r="B3076"/>
      <c r="C3076" s="41"/>
    </row>
    <row r="3077" spans="2:3" x14ac:dyDescent="0.2">
      <c r="B3077"/>
      <c r="C3077" s="41"/>
    </row>
    <row r="3078" spans="2:3" x14ac:dyDescent="0.2">
      <c r="B3078"/>
      <c r="C3078" s="41"/>
    </row>
    <row r="3079" spans="2:3" x14ac:dyDescent="0.2">
      <c r="B3079"/>
      <c r="C3079" s="41"/>
    </row>
    <row r="3080" spans="2:3" x14ac:dyDescent="0.2">
      <c r="B3080"/>
      <c r="C3080" s="41"/>
    </row>
    <row r="3081" spans="2:3" x14ac:dyDescent="0.2">
      <c r="B3081"/>
      <c r="C3081" s="41"/>
    </row>
    <row r="3082" spans="2:3" x14ac:dyDescent="0.2">
      <c r="B3082"/>
      <c r="C3082" s="41"/>
    </row>
    <row r="3083" spans="2:3" x14ac:dyDescent="0.2">
      <c r="B3083"/>
      <c r="C3083" s="41"/>
    </row>
    <row r="3084" spans="2:3" x14ac:dyDescent="0.2">
      <c r="B3084"/>
      <c r="C3084" s="41"/>
    </row>
    <row r="3085" spans="2:3" x14ac:dyDescent="0.2">
      <c r="B3085"/>
      <c r="C3085" s="41"/>
    </row>
    <row r="3086" spans="2:3" x14ac:dyDescent="0.2">
      <c r="B3086"/>
      <c r="C3086" s="41"/>
    </row>
    <row r="3087" spans="2:3" x14ac:dyDescent="0.2">
      <c r="B3087"/>
      <c r="C3087" s="41"/>
    </row>
    <row r="3088" spans="2:3" x14ac:dyDescent="0.2">
      <c r="B3088"/>
      <c r="C3088" s="41"/>
    </row>
    <row r="3089" spans="2:3" x14ac:dyDescent="0.2">
      <c r="B3089"/>
      <c r="C3089" s="41"/>
    </row>
    <row r="3090" spans="2:3" x14ac:dyDescent="0.2">
      <c r="B3090"/>
      <c r="C3090" s="41"/>
    </row>
    <row r="3091" spans="2:3" x14ac:dyDescent="0.2">
      <c r="B3091"/>
      <c r="C3091" s="41"/>
    </row>
    <row r="3092" spans="2:3" x14ac:dyDescent="0.2">
      <c r="B3092"/>
      <c r="C3092" s="41"/>
    </row>
    <row r="3093" spans="2:3" x14ac:dyDescent="0.2">
      <c r="B3093"/>
      <c r="C3093" s="41"/>
    </row>
    <row r="3094" spans="2:3" x14ac:dyDescent="0.2">
      <c r="B3094"/>
      <c r="C3094" s="41"/>
    </row>
    <row r="3095" spans="2:3" x14ac:dyDescent="0.2">
      <c r="B3095"/>
      <c r="C3095" s="41"/>
    </row>
    <row r="3096" spans="2:3" x14ac:dyDescent="0.2">
      <c r="B3096"/>
      <c r="C3096" s="41"/>
    </row>
    <row r="3097" spans="2:3" x14ac:dyDescent="0.2">
      <c r="B3097"/>
      <c r="C3097" s="41"/>
    </row>
    <row r="3098" spans="2:3" x14ac:dyDescent="0.2">
      <c r="B3098"/>
      <c r="C3098" s="41"/>
    </row>
    <row r="3099" spans="2:3" x14ac:dyDescent="0.2">
      <c r="B3099"/>
      <c r="C3099" s="41"/>
    </row>
    <row r="3100" spans="2:3" x14ac:dyDescent="0.2">
      <c r="B3100"/>
      <c r="C3100" s="41"/>
    </row>
    <row r="3101" spans="2:3" x14ac:dyDescent="0.2">
      <c r="B3101"/>
      <c r="C3101" s="41"/>
    </row>
    <row r="3102" spans="2:3" x14ac:dyDescent="0.2">
      <c r="B3102"/>
      <c r="C3102" s="41"/>
    </row>
    <row r="3103" spans="2:3" x14ac:dyDescent="0.2">
      <c r="B3103"/>
      <c r="C3103" s="41"/>
    </row>
    <row r="3104" spans="2:3" x14ac:dyDescent="0.2">
      <c r="B3104"/>
      <c r="C3104" s="41"/>
    </row>
    <row r="3105" spans="2:3" x14ac:dyDescent="0.2">
      <c r="B3105"/>
      <c r="C3105" s="41"/>
    </row>
    <row r="3106" spans="2:3" x14ac:dyDescent="0.2">
      <c r="B3106"/>
      <c r="C3106" s="41"/>
    </row>
    <row r="3107" spans="2:3" x14ac:dyDescent="0.2">
      <c r="B3107"/>
      <c r="C3107" s="41"/>
    </row>
    <row r="3108" spans="2:3" x14ac:dyDescent="0.2">
      <c r="B3108"/>
      <c r="C3108" s="41"/>
    </row>
    <row r="3109" spans="2:3" x14ac:dyDescent="0.2">
      <c r="B3109"/>
      <c r="C3109" s="41"/>
    </row>
    <row r="3110" spans="2:3" x14ac:dyDescent="0.2">
      <c r="B3110"/>
      <c r="C3110" s="41"/>
    </row>
    <row r="3111" spans="2:3" x14ac:dyDescent="0.2">
      <c r="B3111"/>
      <c r="C3111" s="41"/>
    </row>
    <row r="3112" spans="2:3" x14ac:dyDescent="0.2">
      <c r="B3112"/>
      <c r="C3112" s="41"/>
    </row>
    <row r="3113" spans="2:3" x14ac:dyDescent="0.2">
      <c r="B3113"/>
      <c r="C3113" s="41"/>
    </row>
    <row r="3114" spans="2:3" x14ac:dyDescent="0.2">
      <c r="B3114"/>
      <c r="C3114" s="41"/>
    </row>
    <row r="3115" spans="2:3" x14ac:dyDescent="0.2">
      <c r="B3115"/>
      <c r="C3115" s="41"/>
    </row>
    <row r="3116" spans="2:3" x14ac:dyDescent="0.2">
      <c r="B3116"/>
      <c r="C3116" s="41"/>
    </row>
    <row r="3117" spans="2:3" x14ac:dyDescent="0.2">
      <c r="B3117"/>
      <c r="C3117" s="41"/>
    </row>
    <row r="3118" spans="2:3" x14ac:dyDescent="0.2">
      <c r="B3118"/>
      <c r="C3118" s="41"/>
    </row>
    <row r="3119" spans="2:3" x14ac:dyDescent="0.2">
      <c r="B3119"/>
      <c r="C3119" s="41"/>
    </row>
    <row r="3120" spans="2:3" x14ac:dyDescent="0.2">
      <c r="B3120"/>
      <c r="C3120" s="41"/>
    </row>
    <row r="3121" spans="2:3" x14ac:dyDescent="0.2">
      <c r="B3121"/>
      <c r="C3121" s="41"/>
    </row>
    <row r="3122" spans="2:3" x14ac:dyDescent="0.2">
      <c r="B3122"/>
      <c r="C3122" s="41"/>
    </row>
    <row r="3123" spans="2:3" x14ac:dyDescent="0.2">
      <c r="B3123"/>
      <c r="C3123" s="41"/>
    </row>
    <row r="3124" spans="2:3" x14ac:dyDescent="0.2">
      <c r="B3124"/>
      <c r="C3124" s="41"/>
    </row>
    <row r="3125" spans="2:3" x14ac:dyDescent="0.2">
      <c r="B3125"/>
      <c r="C3125" s="41"/>
    </row>
    <row r="3126" spans="2:3" x14ac:dyDescent="0.2">
      <c r="B3126"/>
      <c r="C3126" s="41"/>
    </row>
    <row r="3127" spans="2:3" x14ac:dyDescent="0.2">
      <c r="B3127"/>
      <c r="C3127" s="41"/>
    </row>
    <row r="3128" spans="2:3" x14ac:dyDescent="0.2">
      <c r="B3128"/>
      <c r="C3128" s="41"/>
    </row>
    <row r="3129" spans="2:3" x14ac:dyDescent="0.2">
      <c r="B3129"/>
      <c r="C3129" s="41"/>
    </row>
    <row r="3130" spans="2:3" x14ac:dyDescent="0.2">
      <c r="B3130"/>
      <c r="C3130" s="41"/>
    </row>
    <row r="3131" spans="2:3" x14ac:dyDescent="0.2">
      <c r="B3131"/>
      <c r="C3131" s="41"/>
    </row>
    <row r="3132" spans="2:3" x14ac:dyDescent="0.2">
      <c r="B3132"/>
      <c r="C3132" s="41"/>
    </row>
    <row r="3133" spans="2:3" x14ac:dyDescent="0.2">
      <c r="B3133"/>
      <c r="C3133" s="41"/>
    </row>
    <row r="3134" spans="2:3" x14ac:dyDescent="0.2">
      <c r="B3134"/>
      <c r="C3134" s="41"/>
    </row>
    <row r="3135" spans="2:3" x14ac:dyDescent="0.2">
      <c r="B3135"/>
      <c r="C3135" s="41"/>
    </row>
    <row r="3136" spans="2:3" x14ac:dyDescent="0.2">
      <c r="B3136"/>
      <c r="C3136" s="41"/>
    </row>
    <row r="3137" spans="2:3" x14ac:dyDescent="0.2">
      <c r="B3137"/>
      <c r="C3137" s="41"/>
    </row>
    <row r="3138" spans="2:3" x14ac:dyDescent="0.2">
      <c r="B3138"/>
      <c r="C3138" s="41"/>
    </row>
    <row r="3139" spans="2:3" x14ac:dyDescent="0.2">
      <c r="B3139"/>
      <c r="C3139" s="41"/>
    </row>
    <row r="3140" spans="2:3" x14ac:dyDescent="0.2">
      <c r="B3140"/>
      <c r="C3140" s="41"/>
    </row>
    <row r="3141" spans="2:3" x14ac:dyDescent="0.2">
      <c r="B3141"/>
      <c r="C3141" s="41"/>
    </row>
    <row r="3142" spans="2:3" x14ac:dyDescent="0.2">
      <c r="B3142"/>
      <c r="C3142" s="41"/>
    </row>
    <row r="3143" spans="2:3" x14ac:dyDescent="0.2">
      <c r="B3143"/>
      <c r="C3143" s="41"/>
    </row>
    <row r="3144" spans="2:3" x14ac:dyDescent="0.2">
      <c r="B3144"/>
      <c r="C3144" s="41"/>
    </row>
    <row r="3145" spans="2:3" x14ac:dyDescent="0.2">
      <c r="B3145"/>
      <c r="C3145" s="41"/>
    </row>
    <row r="3146" spans="2:3" x14ac:dyDescent="0.2">
      <c r="B3146"/>
      <c r="C3146" s="41"/>
    </row>
    <row r="3147" spans="2:3" x14ac:dyDescent="0.2">
      <c r="B3147"/>
      <c r="C3147" s="41"/>
    </row>
    <row r="3148" spans="2:3" x14ac:dyDescent="0.2">
      <c r="B3148"/>
      <c r="C3148" s="41"/>
    </row>
    <row r="3149" spans="2:3" x14ac:dyDescent="0.2">
      <c r="B3149"/>
      <c r="C3149" s="41"/>
    </row>
    <row r="3150" spans="2:3" x14ac:dyDescent="0.2">
      <c r="B3150"/>
      <c r="C3150" s="41"/>
    </row>
    <row r="3151" spans="2:3" x14ac:dyDescent="0.2">
      <c r="B3151"/>
      <c r="C3151" s="41"/>
    </row>
    <row r="3152" spans="2:3" x14ac:dyDescent="0.2">
      <c r="B3152"/>
      <c r="C3152" s="41"/>
    </row>
    <row r="3153" spans="2:3" x14ac:dyDescent="0.2">
      <c r="B3153"/>
      <c r="C3153" s="41"/>
    </row>
    <row r="3154" spans="2:3" x14ac:dyDescent="0.2">
      <c r="B3154"/>
      <c r="C3154" s="41"/>
    </row>
    <row r="3155" spans="2:3" x14ac:dyDescent="0.2">
      <c r="B3155"/>
      <c r="C3155" s="41"/>
    </row>
    <row r="3156" spans="2:3" x14ac:dyDescent="0.2">
      <c r="B3156"/>
      <c r="C3156" s="41"/>
    </row>
    <row r="3157" spans="2:3" x14ac:dyDescent="0.2">
      <c r="B3157"/>
      <c r="C3157" s="41"/>
    </row>
    <row r="3158" spans="2:3" x14ac:dyDescent="0.2">
      <c r="B3158"/>
      <c r="C3158" s="41"/>
    </row>
    <row r="3159" spans="2:3" x14ac:dyDescent="0.2">
      <c r="B3159"/>
      <c r="C3159" s="41"/>
    </row>
    <row r="3160" spans="2:3" x14ac:dyDescent="0.2">
      <c r="B3160"/>
      <c r="C3160" s="41"/>
    </row>
    <row r="3161" spans="2:3" x14ac:dyDescent="0.2">
      <c r="B3161"/>
      <c r="C3161" s="41"/>
    </row>
    <row r="3162" spans="2:3" x14ac:dyDescent="0.2">
      <c r="B3162"/>
      <c r="C3162" s="41"/>
    </row>
    <row r="3163" spans="2:3" x14ac:dyDescent="0.2">
      <c r="B3163"/>
      <c r="C3163" s="41"/>
    </row>
    <row r="3164" spans="2:3" x14ac:dyDescent="0.2">
      <c r="B3164"/>
      <c r="C3164" s="41"/>
    </row>
    <row r="3165" spans="2:3" x14ac:dyDescent="0.2">
      <c r="B3165"/>
      <c r="C3165" s="41"/>
    </row>
    <row r="3166" spans="2:3" x14ac:dyDescent="0.2">
      <c r="B3166"/>
      <c r="C3166" s="41"/>
    </row>
    <row r="3167" spans="2:3" x14ac:dyDescent="0.2">
      <c r="B3167"/>
      <c r="C3167" s="41"/>
    </row>
    <row r="3168" spans="2:3" x14ac:dyDescent="0.2">
      <c r="B3168"/>
      <c r="C3168" s="41"/>
    </row>
    <row r="3169" spans="2:3" x14ac:dyDescent="0.2">
      <c r="B3169"/>
      <c r="C3169" s="41"/>
    </row>
    <row r="3170" spans="2:3" x14ac:dyDescent="0.2">
      <c r="B3170"/>
      <c r="C3170" s="41"/>
    </row>
    <row r="3171" spans="2:3" x14ac:dyDescent="0.2">
      <c r="B3171"/>
      <c r="C3171" s="41"/>
    </row>
    <row r="3172" spans="2:3" x14ac:dyDescent="0.2">
      <c r="B3172"/>
      <c r="C3172" s="41"/>
    </row>
    <row r="3173" spans="2:3" x14ac:dyDescent="0.2">
      <c r="B3173"/>
      <c r="C3173" s="41"/>
    </row>
    <row r="3174" spans="2:3" x14ac:dyDescent="0.2">
      <c r="B3174"/>
      <c r="C3174" s="41"/>
    </row>
    <row r="3175" spans="2:3" x14ac:dyDescent="0.2">
      <c r="B3175"/>
      <c r="C3175" s="41"/>
    </row>
    <row r="3176" spans="2:3" x14ac:dyDescent="0.2">
      <c r="B3176"/>
      <c r="C3176" s="41"/>
    </row>
    <row r="3177" spans="2:3" x14ac:dyDescent="0.2">
      <c r="B3177"/>
      <c r="C3177" s="41"/>
    </row>
    <row r="3178" spans="2:3" x14ac:dyDescent="0.2">
      <c r="B3178"/>
      <c r="C3178" s="41"/>
    </row>
    <row r="3179" spans="2:3" x14ac:dyDescent="0.2">
      <c r="B3179"/>
      <c r="C3179" s="41"/>
    </row>
    <row r="3180" spans="2:3" x14ac:dyDescent="0.2">
      <c r="B3180"/>
      <c r="C3180" s="41"/>
    </row>
    <row r="3181" spans="2:3" x14ac:dyDescent="0.2">
      <c r="B3181"/>
      <c r="C3181" s="41"/>
    </row>
    <row r="3182" spans="2:3" x14ac:dyDescent="0.2">
      <c r="B3182"/>
      <c r="C3182" s="41"/>
    </row>
    <row r="3183" spans="2:3" x14ac:dyDescent="0.2">
      <c r="B3183"/>
      <c r="C3183" s="41"/>
    </row>
    <row r="3184" spans="2:3" x14ac:dyDescent="0.2">
      <c r="B3184"/>
      <c r="C3184" s="41"/>
    </row>
    <row r="3185" spans="2:3" x14ac:dyDescent="0.2">
      <c r="B3185"/>
      <c r="C3185" s="41"/>
    </row>
    <row r="3186" spans="2:3" x14ac:dyDescent="0.2">
      <c r="B3186"/>
      <c r="C3186" s="41"/>
    </row>
    <row r="3187" spans="2:3" x14ac:dyDescent="0.2">
      <c r="B3187"/>
      <c r="C3187" s="41"/>
    </row>
    <row r="3188" spans="2:3" x14ac:dyDescent="0.2">
      <c r="B3188"/>
      <c r="C3188" s="41"/>
    </row>
    <row r="3189" spans="2:3" x14ac:dyDescent="0.2">
      <c r="B3189"/>
      <c r="C3189" s="41"/>
    </row>
    <row r="3190" spans="2:3" x14ac:dyDescent="0.2">
      <c r="B3190"/>
      <c r="C3190" s="41"/>
    </row>
    <row r="3191" spans="2:3" x14ac:dyDescent="0.2">
      <c r="B3191"/>
      <c r="C3191" s="41"/>
    </row>
    <row r="3192" spans="2:3" x14ac:dyDescent="0.2">
      <c r="B3192"/>
      <c r="C3192" s="41"/>
    </row>
    <row r="3193" spans="2:3" x14ac:dyDescent="0.2">
      <c r="B3193"/>
      <c r="C3193" s="41"/>
    </row>
    <row r="3194" spans="2:3" x14ac:dyDescent="0.2">
      <c r="B3194"/>
      <c r="C3194" s="41"/>
    </row>
    <row r="3195" spans="2:3" x14ac:dyDescent="0.2">
      <c r="B3195"/>
      <c r="C3195" s="41"/>
    </row>
    <row r="3196" spans="2:3" x14ac:dyDescent="0.2">
      <c r="B3196"/>
      <c r="C3196" s="41"/>
    </row>
    <row r="3197" spans="2:3" x14ac:dyDescent="0.2">
      <c r="B3197"/>
      <c r="C3197" s="41"/>
    </row>
    <row r="3198" spans="2:3" x14ac:dyDescent="0.2">
      <c r="B3198"/>
      <c r="C3198" s="41"/>
    </row>
    <row r="3199" spans="2:3" x14ac:dyDescent="0.2">
      <c r="B3199"/>
      <c r="C3199" s="41"/>
    </row>
    <row r="3200" spans="2:3" x14ac:dyDescent="0.2">
      <c r="B3200"/>
      <c r="C3200" s="41"/>
    </row>
    <row r="3201" spans="2:3" x14ac:dyDescent="0.2">
      <c r="B3201"/>
      <c r="C3201" s="41"/>
    </row>
    <row r="3202" spans="2:3" x14ac:dyDescent="0.2">
      <c r="B3202"/>
      <c r="C3202" s="41"/>
    </row>
    <row r="3203" spans="2:3" x14ac:dyDescent="0.2">
      <c r="B3203"/>
      <c r="C3203" s="41"/>
    </row>
    <row r="3204" spans="2:3" x14ac:dyDescent="0.2">
      <c r="B3204"/>
      <c r="C3204" s="41"/>
    </row>
    <row r="3205" spans="2:3" x14ac:dyDescent="0.2">
      <c r="B3205"/>
      <c r="C3205" s="41"/>
    </row>
    <row r="3206" spans="2:3" x14ac:dyDescent="0.2">
      <c r="B3206"/>
      <c r="C3206" s="41"/>
    </row>
    <row r="3207" spans="2:3" x14ac:dyDescent="0.2">
      <c r="B3207"/>
      <c r="C3207" s="41"/>
    </row>
    <row r="3208" spans="2:3" x14ac:dyDescent="0.2">
      <c r="B3208"/>
      <c r="C3208" s="41"/>
    </row>
    <row r="3209" spans="2:3" x14ac:dyDescent="0.2">
      <c r="B3209"/>
      <c r="C3209" s="41"/>
    </row>
    <row r="3210" spans="2:3" x14ac:dyDescent="0.2">
      <c r="B3210"/>
      <c r="C3210" s="41"/>
    </row>
    <row r="3211" spans="2:3" x14ac:dyDescent="0.2">
      <c r="B3211"/>
      <c r="C3211" s="41"/>
    </row>
    <row r="3212" spans="2:3" x14ac:dyDescent="0.2">
      <c r="B3212"/>
      <c r="C3212" s="41"/>
    </row>
    <row r="3213" spans="2:3" x14ac:dyDescent="0.2">
      <c r="B3213"/>
      <c r="C3213" s="41"/>
    </row>
    <row r="3214" spans="2:3" x14ac:dyDescent="0.2">
      <c r="B3214"/>
      <c r="C3214" s="41"/>
    </row>
    <row r="3215" spans="2:3" x14ac:dyDescent="0.2">
      <c r="B3215"/>
      <c r="C3215" s="41"/>
    </row>
    <row r="3216" spans="2:3" x14ac:dyDescent="0.2">
      <c r="B3216"/>
      <c r="C3216" s="41"/>
    </row>
    <row r="3217" spans="2:3" x14ac:dyDescent="0.2">
      <c r="B3217"/>
      <c r="C3217" s="41"/>
    </row>
    <row r="3218" spans="2:3" x14ac:dyDescent="0.2">
      <c r="B3218"/>
      <c r="C3218" s="41"/>
    </row>
    <row r="3219" spans="2:3" x14ac:dyDescent="0.2">
      <c r="B3219"/>
      <c r="C3219" s="41"/>
    </row>
    <row r="3220" spans="2:3" x14ac:dyDescent="0.2">
      <c r="B3220"/>
      <c r="C3220" s="41"/>
    </row>
    <row r="3221" spans="2:3" x14ac:dyDescent="0.2">
      <c r="B3221"/>
      <c r="C3221" s="41"/>
    </row>
    <row r="3222" spans="2:3" x14ac:dyDescent="0.2">
      <c r="B3222"/>
      <c r="C3222" s="41"/>
    </row>
    <row r="3223" spans="2:3" x14ac:dyDescent="0.2">
      <c r="B3223"/>
      <c r="C3223" s="41"/>
    </row>
    <row r="3224" spans="2:3" x14ac:dyDescent="0.2">
      <c r="B3224"/>
      <c r="C3224" s="41"/>
    </row>
    <row r="3225" spans="2:3" x14ac:dyDescent="0.2">
      <c r="B3225"/>
      <c r="C3225" s="41"/>
    </row>
    <row r="3226" spans="2:3" x14ac:dyDescent="0.2">
      <c r="B3226"/>
      <c r="C3226" s="41"/>
    </row>
    <row r="3227" spans="2:3" x14ac:dyDescent="0.2">
      <c r="B3227"/>
      <c r="C3227" s="41"/>
    </row>
    <row r="3228" spans="2:3" x14ac:dyDescent="0.2">
      <c r="B3228"/>
      <c r="C3228" s="41"/>
    </row>
    <row r="3229" spans="2:3" x14ac:dyDescent="0.2">
      <c r="B3229"/>
      <c r="C3229" s="41"/>
    </row>
    <row r="3230" spans="2:3" x14ac:dyDescent="0.2">
      <c r="B3230"/>
      <c r="C3230" s="41"/>
    </row>
    <row r="3231" spans="2:3" x14ac:dyDescent="0.2">
      <c r="B3231"/>
      <c r="C3231" s="41"/>
    </row>
    <row r="3232" spans="2:3" x14ac:dyDescent="0.2">
      <c r="B3232"/>
      <c r="C3232" s="41"/>
    </row>
    <row r="3233" spans="2:3" x14ac:dyDescent="0.2">
      <c r="B3233"/>
      <c r="C3233" s="41"/>
    </row>
    <row r="3234" spans="2:3" x14ac:dyDescent="0.2">
      <c r="B3234"/>
      <c r="C3234" s="41"/>
    </row>
    <row r="3235" spans="2:3" x14ac:dyDescent="0.2">
      <c r="B3235"/>
      <c r="C3235" s="41"/>
    </row>
    <row r="3236" spans="2:3" x14ac:dyDescent="0.2">
      <c r="B3236"/>
      <c r="C3236" s="41"/>
    </row>
    <row r="3237" spans="2:3" x14ac:dyDescent="0.2">
      <c r="B3237"/>
      <c r="C3237" s="41"/>
    </row>
    <row r="3238" spans="2:3" x14ac:dyDescent="0.2">
      <c r="B3238"/>
      <c r="C3238" s="41"/>
    </row>
    <row r="3239" spans="2:3" x14ac:dyDescent="0.2">
      <c r="B3239"/>
      <c r="C3239" s="41"/>
    </row>
    <row r="3240" spans="2:3" x14ac:dyDescent="0.2">
      <c r="B3240"/>
      <c r="C3240" s="41"/>
    </row>
    <row r="3241" spans="2:3" x14ac:dyDescent="0.2">
      <c r="B3241"/>
      <c r="C3241" s="41"/>
    </row>
    <row r="3242" spans="2:3" x14ac:dyDescent="0.2">
      <c r="B3242"/>
      <c r="C3242" s="41"/>
    </row>
    <row r="3243" spans="2:3" x14ac:dyDescent="0.2">
      <c r="B3243"/>
      <c r="C3243" s="41"/>
    </row>
    <row r="3244" spans="2:3" x14ac:dyDescent="0.2">
      <c r="B3244"/>
      <c r="C3244" s="41"/>
    </row>
    <row r="3245" spans="2:3" x14ac:dyDescent="0.2">
      <c r="B3245"/>
      <c r="C3245" s="41"/>
    </row>
    <row r="3246" spans="2:3" x14ac:dyDescent="0.2">
      <c r="B3246"/>
      <c r="C3246" s="41"/>
    </row>
    <row r="3247" spans="2:3" x14ac:dyDescent="0.2">
      <c r="B3247"/>
      <c r="C3247" s="41"/>
    </row>
    <row r="3248" spans="2:3" x14ac:dyDescent="0.2">
      <c r="B3248"/>
      <c r="C3248" s="41"/>
    </row>
    <row r="3249" spans="2:3" x14ac:dyDescent="0.2">
      <c r="B3249"/>
      <c r="C3249" s="41"/>
    </row>
    <row r="3250" spans="2:3" x14ac:dyDescent="0.2">
      <c r="B3250"/>
      <c r="C3250" s="41"/>
    </row>
    <row r="3251" spans="2:3" x14ac:dyDescent="0.2">
      <c r="B3251"/>
      <c r="C3251" s="41"/>
    </row>
    <row r="3252" spans="2:3" x14ac:dyDescent="0.2">
      <c r="B3252"/>
      <c r="C3252" s="41"/>
    </row>
    <row r="3253" spans="2:3" x14ac:dyDescent="0.2">
      <c r="B3253"/>
      <c r="C3253" s="41"/>
    </row>
    <row r="3254" spans="2:3" x14ac:dyDescent="0.2">
      <c r="B3254"/>
      <c r="C3254" s="41"/>
    </row>
    <row r="3255" spans="2:3" x14ac:dyDescent="0.2">
      <c r="B3255"/>
      <c r="C3255" s="41"/>
    </row>
    <row r="3256" spans="2:3" x14ac:dyDescent="0.2">
      <c r="B3256"/>
      <c r="C3256" s="41"/>
    </row>
    <row r="3257" spans="2:3" x14ac:dyDescent="0.2">
      <c r="B3257"/>
      <c r="C3257" s="41"/>
    </row>
    <row r="3258" spans="2:3" x14ac:dyDescent="0.2">
      <c r="B3258"/>
      <c r="C3258" s="41"/>
    </row>
    <row r="3259" spans="2:3" x14ac:dyDescent="0.2">
      <c r="B3259"/>
      <c r="C3259" s="41"/>
    </row>
    <row r="3260" spans="2:3" x14ac:dyDescent="0.2">
      <c r="B3260"/>
      <c r="C3260" s="41"/>
    </row>
    <row r="3261" spans="2:3" x14ac:dyDescent="0.2">
      <c r="B3261"/>
      <c r="C3261" s="41"/>
    </row>
    <row r="3262" spans="2:3" x14ac:dyDescent="0.2">
      <c r="B3262"/>
      <c r="C3262" s="41"/>
    </row>
    <row r="3263" spans="2:3" x14ac:dyDescent="0.2">
      <c r="B3263"/>
      <c r="C3263" s="41"/>
    </row>
    <row r="3264" spans="2:3" x14ac:dyDescent="0.2">
      <c r="B3264"/>
      <c r="C3264" s="41"/>
    </row>
    <row r="3265" spans="2:3" x14ac:dyDescent="0.2">
      <c r="B3265"/>
      <c r="C3265" s="41"/>
    </row>
    <row r="3266" spans="2:3" x14ac:dyDescent="0.2">
      <c r="B3266"/>
      <c r="C3266" s="41"/>
    </row>
    <row r="3267" spans="2:3" x14ac:dyDescent="0.2">
      <c r="B3267"/>
      <c r="C3267" s="41"/>
    </row>
    <row r="3268" spans="2:3" x14ac:dyDescent="0.2">
      <c r="B3268"/>
      <c r="C3268" s="41"/>
    </row>
    <row r="3269" spans="2:3" x14ac:dyDescent="0.2">
      <c r="B3269"/>
      <c r="C3269" s="41"/>
    </row>
    <row r="3270" spans="2:3" x14ac:dyDescent="0.2">
      <c r="B3270"/>
      <c r="C3270" s="41"/>
    </row>
    <row r="3271" spans="2:3" x14ac:dyDescent="0.2">
      <c r="B3271"/>
      <c r="C3271" s="41"/>
    </row>
    <row r="3272" spans="2:3" x14ac:dyDescent="0.2">
      <c r="B3272"/>
      <c r="C3272" s="41"/>
    </row>
    <row r="3273" spans="2:3" x14ac:dyDescent="0.2">
      <c r="B3273"/>
      <c r="C3273" s="41"/>
    </row>
    <row r="3274" spans="2:3" x14ac:dyDescent="0.2">
      <c r="B3274"/>
      <c r="C3274" s="41"/>
    </row>
    <row r="3275" spans="2:3" x14ac:dyDescent="0.2">
      <c r="B3275"/>
      <c r="C3275" s="41"/>
    </row>
    <row r="3276" spans="2:3" x14ac:dyDescent="0.2">
      <c r="B3276"/>
      <c r="C3276" s="41"/>
    </row>
    <row r="3277" spans="2:3" x14ac:dyDescent="0.2">
      <c r="B3277"/>
      <c r="C3277" s="41"/>
    </row>
    <row r="3278" spans="2:3" x14ac:dyDescent="0.2">
      <c r="B3278"/>
      <c r="C3278" s="41"/>
    </row>
    <row r="3279" spans="2:3" x14ac:dyDescent="0.2">
      <c r="B3279"/>
      <c r="C3279" s="41"/>
    </row>
    <row r="3280" spans="2:3" x14ac:dyDescent="0.2">
      <c r="B3280"/>
      <c r="C3280" s="41"/>
    </row>
    <row r="3281" spans="2:3" x14ac:dyDescent="0.2">
      <c r="B3281"/>
      <c r="C3281" s="41"/>
    </row>
    <row r="3282" spans="2:3" x14ac:dyDescent="0.2">
      <c r="B3282"/>
      <c r="C3282" s="41"/>
    </row>
    <row r="3283" spans="2:3" x14ac:dyDescent="0.2">
      <c r="B3283"/>
      <c r="C3283" s="41"/>
    </row>
    <row r="3284" spans="2:3" x14ac:dyDescent="0.2">
      <c r="B3284"/>
      <c r="C3284" s="41"/>
    </row>
    <row r="3285" spans="2:3" x14ac:dyDescent="0.2">
      <c r="B3285"/>
      <c r="C3285" s="41"/>
    </row>
    <row r="3286" spans="2:3" x14ac:dyDescent="0.2">
      <c r="B3286"/>
      <c r="C3286" s="41"/>
    </row>
    <row r="3287" spans="2:3" x14ac:dyDescent="0.2">
      <c r="B3287"/>
      <c r="C3287" s="41"/>
    </row>
    <row r="3288" spans="2:3" x14ac:dyDescent="0.2">
      <c r="B3288"/>
      <c r="C3288" s="41"/>
    </row>
    <row r="3289" spans="2:3" x14ac:dyDescent="0.2">
      <c r="B3289"/>
      <c r="C3289" s="41"/>
    </row>
    <row r="3290" spans="2:3" x14ac:dyDescent="0.2">
      <c r="B3290"/>
      <c r="C3290" s="41"/>
    </row>
    <row r="3291" spans="2:3" x14ac:dyDescent="0.2">
      <c r="B3291"/>
      <c r="C3291" s="41"/>
    </row>
    <row r="3292" spans="2:3" x14ac:dyDescent="0.2">
      <c r="B3292"/>
      <c r="C3292" s="41"/>
    </row>
    <row r="3293" spans="2:3" x14ac:dyDescent="0.2">
      <c r="B3293"/>
      <c r="C3293" s="41"/>
    </row>
    <row r="3294" spans="2:3" x14ac:dyDescent="0.2">
      <c r="B3294"/>
      <c r="C3294" s="41"/>
    </row>
    <row r="3295" spans="2:3" x14ac:dyDescent="0.2">
      <c r="B3295"/>
      <c r="C3295" s="41"/>
    </row>
    <row r="3296" spans="2:3" x14ac:dyDescent="0.2">
      <c r="B3296"/>
      <c r="C3296" s="41"/>
    </row>
    <row r="3297" spans="2:3" x14ac:dyDescent="0.2">
      <c r="B3297"/>
      <c r="C3297" s="41"/>
    </row>
    <row r="3298" spans="2:3" x14ac:dyDescent="0.2">
      <c r="B3298"/>
      <c r="C3298" s="41"/>
    </row>
    <row r="3299" spans="2:3" x14ac:dyDescent="0.2">
      <c r="B3299"/>
      <c r="C3299" s="41"/>
    </row>
    <row r="3300" spans="2:3" x14ac:dyDescent="0.2">
      <c r="B3300"/>
      <c r="C3300" s="41"/>
    </row>
    <row r="3301" spans="2:3" x14ac:dyDescent="0.2">
      <c r="B3301"/>
      <c r="C3301" s="41"/>
    </row>
    <row r="3302" spans="2:3" x14ac:dyDescent="0.2">
      <c r="B3302"/>
      <c r="C3302" s="41"/>
    </row>
    <row r="3303" spans="2:3" x14ac:dyDescent="0.2">
      <c r="B3303"/>
      <c r="C3303" s="41"/>
    </row>
    <row r="3304" spans="2:3" x14ac:dyDescent="0.2">
      <c r="B3304"/>
      <c r="C3304" s="41"/>
    </row>
    <row r="3305" spans="2:3" x14ac:dyDescent="0.2">
      <c r="B3305"/>
      <c r="C3305" s="41"/>
    </row>
    <row r="3306" spans="2:3" x14ac:dyDescent="0.2">
      <c r="B3306"/>
      <c r="C3306" s="41"/>
    </row>
    <row r="3307" spans="2:3" x14ac:dyDescent="0.2">
      <c r="B3307"/>
      <c r="C3307" s="41"/>
    </row>
    <row r="3308" spans="2:3" x14ac:dyDescent="0.2">
      <c r="B3308"/>
      <c r="C3308" s="41"/>
    </row>
    <row r="3309" spans="2:3" x14ac:dyDescent="0.2">
      <c r="B3309"/>
      <c r="C3309" s="41"/>
    </row>
    <row r="3310" spans="2:3" x14ac:dyDescent="0.2">
      <c r="B3310"/>
      <c r="C3310" s="41"/>
    </row>
    <row r="3311" spans="2:3" x14ac:dyDescent="0.2">
      <c r="B3311"/>
      <c r="C3311" s="41"/>
    </row>
    <row r="3312" spans="2:3" x14ac:dyDescent="0.2">
      <c r="B3312"/>
      <c r="C3312" s="41"/>
    </row>
    <row r="3313" spans="2:3" x14ac:dyDescent="0.2">
      <c r="B3313"/>
      <c r="C3313" s="41"/>
    </row>
    <row r="3314" spans="2:3" x14ac:dyDescent="0.2">
      <c r="B3314"/>
      <c r="C3314" s="41"/>
    </row>
    <row r="3315" spans="2:3" x14ac:dyDescent="0.2">
      <c r="B3315"/>
      <c r="C3315" s="41"/>
    </row>
    <row r="3316" spans="2:3" x14ac:dyDescent="0.2">
      <c r="B3316"/>
      <c r="C3316" s="41"/>
    </row>
    <row r="3317" spans="2:3" x14ac:dyDescent="0.2">
      <c r="B3317"/>
      <c r="C3317" s="41"/>
    </row>
    <row r="3318" spans="2:3" x14ac:dyDescent="0.2">
      <c r="B3318"/>
      <c r="C3318" s="41"/>
    </row>
    <row r="3319" spans="2:3" x14ac:dyDescent="0.2">
      <c r="B3319"/>
      <c r="C3319" s="41"/>
    </row>
    <row r="3320" spans="2:3" x14ac:dyDescent="0.2">
      <c r="B3320"/>
      <c r="C3320" s="41"/>
    </row>
    <row r="3321" spans="2:3" x14ac:dyDescent="0.2">
      <c r="B3321"/>
      <c r="C3321" s="41"/>
    </row>
    <row r="3322" spans="2:3" x14ac:dyDescent="0.2">
      <c r="B3322"/>
      <c r="C3322" s="41"/>
    </row>
    <row r="3323" spans="2:3" x14ac:dyDescent="0.2">
      <c r="B3323"/>
      <c r="C3323" s="41"/>
    </row>
    <row r="3324" spans="2:3" x14ac:dyDescent="0.2">
      <c r="B3324"/>
      <c r="C3324" s="41"/>
    </row>
    <row r="3325" spans="2:3" x14ac:dyDescent="0.2">
      <c r="B3325"/>
      <c r="C3325" s="41"/>
    </row>
    <row r="3326" spans="2:3" x14ac:dyDescent="0.2">
      <c r="B3326"/>
      <c r="C3326" s="41"/>
    </row>
    <row r="3327" spans="2:3" x14ac:dyDescent="0.2">
      <c r="B3327"/>
      <c r="C3327" s="41"/>
    </row>
    <row r="3328" spans="2:3" x14ac:dyDescent="0.2">
      <c r="B3328"/>
      <c r="C3328" s="41"/>
    </row>
    <row r="3329" spans="2:3" x14ac:dyDescent="0.2">
      <c r="B3329"/>
      <c r="C3329" s="41"/>
    </row>
    <row r="3330" spans="2:3" x14ac:dyDescent="0.2">
      <c r="B3330"/>
      <c r="C3330" s="41"/>
    </row>
    <row r="3331" spans="2:3" x14ac:dyDescent="0.2">
      <c r="B3331"/>
      <c r="C3331" s="41"/>
    </row>
    <row r="3332" spans="2:3" x14ac:dyDescent="0.2">
      <c r="B3332"/>
      <c r="C3332" s="41"/>
    </row>
    <row r="3333" spans="2:3" x14ac:dyDescent="0.2">
      <c r="B3333"/>
      <c r="C3333" s="41"/>
    </row>
    <row r="3334" spans="2:3" x14ac:dyDescent="0.2">
      <c r="B3334"/>
      <c r="C3334" s="41"/>
    </row>
    <row r="3335" spans="2:3" x14ac:dyDescent="0.2">
      <c r="B3335"/>
      <c r="C3335" s="41"/>
    </row>
    <row r="3336" spans="2:3" x14ac:dyDescent="0.2">
      <c r="B3336"/>
      <c r="C3336" s="41"/>
    </row>
    <row r="3337" spans="2:3" x14ac:dyDescent="0.2">
      <c r="B3337"/>
      <c r="C3337" s="41"/>
    </row>
    <row r="3338" spans="2:3" x14ac:dyDescent="0.2">
      <c r="B3338"/>
      <c r="C3338" s="41"/>
    </row>
    <row r="3339" spans="2:3" x14ac:dyDescent="0.2">
      <c r="B3339"/>
      <c r="C3339" s="41"/>
    </row>
    <row r="3340" spans="2:3" x14ac:dyDescent="0.2">
      <c r="B3340"/>
      <c r="C3340" s="41"/>
    </row>
    <row r="3341" spans="2:3" x14ac:dyDescent="0.2">
      <c r="B3341"/>
      <c r="C3341" s="41"/>
    </row>
    <row r="3342" spans="2:3" x14ac:dyDescent="0.2">
      <c r="B3342"/>
      <c r="C3342" s="41"/>
    </row>
    <row r="3343" spans="2:3" x14ac:dyDescent="0.2">
      <c r="B3343"/>
      <c r="C3343" s="41"/>
    </row>
    <row r="3344" spans="2:3" x14ac:dyDescent="0.2">
      <c r="B3344"/>
      <c r="C3344" s="41"/>
    </row>
    <row r="3345" spans="2:3" x14ac:dyDescent="0.2">
      <c r="B3345"/>
      <c r="C3345" s="41"/>
    </row>
    <row r="3346" spans="2:3" x14ac:dyDescent="0.2">
      <c r="B3346"/>
      <c r="C3346" s="41"/>
    </row>
    <row r="3347" spans="2:3" x14ac:dyDescent="0.2">
      <c r="B3347"/>
      <c r="C3347" s="41"/>
    </row>
    <row r="3348" spans="2:3" x14ac:dyDescent="0.2">
      <c r="B3348"/>
      <c r="C3348" s="41"/>
    </row>
    <row r="3349" spans="2:3" x14ac:dyDescent="0.2">
      <c r="B3349"/>
      <c r="C3349" s="41"/>
    </row>
    <row r="3350" spans="2:3" x14ac:dyDescent="0.2">
      <c r="B3350"/>
      <c r="C3350" s="41"/>
    </row>
    <row r="3351" spans="2:3" x14ac:dyDescent="0.2">
      <c r="B3351"/>
      <c r="C3351" s="41"/>
    </row>
    <row r="3352" spans="2:3" x14ac:dyDescent="0.2">
      <c r="B3352"/>
      <c r="C3352" s="41"/>
    </row>
    <row r="3353" spans="2:3" x14ac:dyDescent="0.2">
      <c r="B3353"/>
      <c r="C3353" s="41"/>
    </row>
    <row r="3354" spans="2:3" x14ac:dyDescent="0.2">
      <c r="B3354"/>
      <c r="C3354" s="41"/>
    </row>
    <row r="3355" spans="2:3" x14ac:dyDescent="0.2">
      <c r="B3355"/>
      <c r="C3355" s="41"/>
    </row>
    <row r="3356" spans="2:3" x14ac:dyDescent="0.2">
      <c r="B3356"/>
      <c r="C3356" s="41"/>
    </row>
    <row r="3357" spans="2:3" x14ac:dyDescent="0.2">
      <c r="B3357"/>
      <c r="C3357" s="41"/>
    </row>
    <row r="3358" spans="2:3" x14ac:dyDescent="0.2">
      <c r="B3358"/>
      <c r="C3358" s="41"/>
    </row>
    <row r="3359" spans="2:3" x14ac:dyDescent="0.2">
      <c r="B3359"/>
      <c r="C3359" s="41"/>
    </row>
    <row r="3360" spans="2:3" x14ac:dyDescent="0.2">
      <c r="B3360"/>
      <c r="C3360" s="41"/>
    </row>
    <row r="3361" spans="2:3" x14ac:dyDescent="0.2">
      <c r="B3361"/>
      <c r="C3361" s="41"/>
    </row>
    <row r="3362" spans="2:3" x14ac:dyDescent="0.2">
      <c r="B3362"/>
      <c r="C3362" s="41"/>
    </row>
    <row r="3363" spans="2:3" x14ac:dyDescent="0.2">
      <c r="B3363"/>
      <c r="C3363" s="41"/>
    </row>
    <row r="3364" spans="2:3" x14ac:dyDescent="0.2">
      <c r="B3364"/>
      <c r="C3364" s="41"/>
    </row>
    <row r="3365" spans="2:3" x14ac:dyDescent="0.2">
      <c r="B3365"/>
      <c r="C3365" s="41"/>
    </row>
    <row r="3366" spans="2:3" x14ac:dyDescent="0.2">
      <c r="B3366"/>
      <c r="C3366" s="41"/>
    </row>
    <row r="3367" spans="2:3" x14ac:dyDescent="0.2">
      <c r="B3367"/>
      <c r="C3367" s="41"/>
    </row>
    <row r="3368" spans="2:3" x14ac:dyDescent="0.2">
      <c r="B3368"/>
      <c r="C3368" s="41"/>
    </row>
    <row r="3369" spans="2:3" x14ac:dyDescent="0.2">
      <c r="B3369"/>
      <c r="C3369" s="41"/>
    </row>
    <row r="3370" spans="2:3" x14ac:dyDescent="0.2">
      <c r="B3370"/>
      <c r="C3370" s="41"/>
    </row>
    <row r="3371" spans="2:3" x14ac:dyDescent="0.2">
      <c r="B3371"/>
      <c r="C3371" s="41"/>
    </row>
    <row r="3372" spans="2:3" x14ac:dyDescent="0.2">
      <c r="B3372"/>
      <c r="C3372" s="41"/>
    </row>
    <row r="3373" spans="2:3" x14ac:dyDescent="0.2">
      <c r="B3373"/>
      <c r="C3373" s="41"/>
    </row>
    <row r="3374" spans="2:3" x14ac:dyDescent="0.2">
      <c r="B3374"/>
      <c r="C3374" s="41"/>
    </row>
    <row r="3375" spans="2:3" x14ac:dyDescent="0.2">
      <c r="B3375"/>
      <c r="C3375" s="41"/>
    </row>
    <row r="3376" spans="2:3" x14ac:dyDescent="0.2">
      <c r="B3376"/>
      <c r="C3376" s="41"/>
    </row>
    <row r="3377" spans="2:3" x14ac:dyDescent="0.2">
      <c r="B3377"/>
      <c r="C3377" s="41"/>
    </row>
    <row r="3378" spans="2:3" x14ac:dyDescent="0.2">
      <c r="B3378"/>
      <c r="C3378" s="41"/>
    </row>
    <row r="3379" spans="2:3" x14ac:dyDescent="0.2">
      <c r="B3379"/>
      <c r="C3379" s="41"/>
    </row>
    <row r="3380" spans="2:3" x14ac:dyDescent="0.2">
      <c r="B3380"/>
      <c r="C3380" s="41"/>
    </row>
    <row r="3381" spans="2:3" x14ac:dyDescent="0.2">
      <c r="B3381"/>
      <c r="C3381" s="41"/>
    </row>
    <row r="3382" spans="2:3" x14ac:dyDescent="0.2">
      <c r="B3382"/>
      <c r="C3382" s="41"/>
    </row>
    <row r="3383" spans="2:3" x14ac:dyDescent="0.2">
      <c r="B3383"/>
      <c r="C3383" s="41"/>
    </row>
    <row r="3384" spans="2:3" x14ac:dyDescent="0.2">
      <c r="B3384"/>
      <c r="C3384" s="41"/>
    </row>
    <row r="3385" spans="2:3" x14ac:dyDescent="0.2">
      <c r="B3385"/>
      <c r="C3385" s="41"/>
    </row>
    <row r="3386" spans="2:3" x14ac:dyDescent="0.2">
      <c r="B3386"/>
      <c r="C3386" s="41"/>
    </row>
    <row r="3387" spans="2:3" x14ac:dyDescent="0.2">
      <c r="B3387"/>
      <c r="C3387" s="41"/>
    </row>
    <row r="3388" spans="2:3" x14ac:dyDescent="0.2">
      <c r="B3388"/>
      <c r="C3388" s="41"/>
    </row>
    <row r="3389" spans="2:3" x14ac:dyDescent="0.2">
      <c r="B3389"/>
      <c r="C3389" s="41"/>
    </row>
    <row r="3390" spans="2:3" x14ac:dyDescent="0.2">
      <c r="B3390"/>
      <c r="C3390" s="41"/>
    </row>
    <row r="3391" spans="2:3" x14ac:dyDescent="0.2">
      <c r="B3391"/>
      <c r="C3391" s="41"/>
    </row>
    <row r="3392" spans="2:3" x14ac:dyDescent="0.2">
      <c r="B3392"/>
      <c r="C3392" s="41"/>
    </row>
    <row r="3393" spans="2:3" x14ac:dyDescent="0.2">
      <c r="B3393"/>
      <c r="C3393" s="41"/>
    </row>
    <row r="3394" spans="2:3" x14ac:dyDescent="0.2">
      <c r="B3394"/>
      <c r="C3394" s="41"/>
    </row>
    <row r="3395" spans="2:3" x14ac:dyDescent="0.2">
      <c r="B3395"/>
      <c r="C3395" s="41"/>
    </row>
    <row r="3396" spans="2:3" x14ac:dyDescent="0.2">
      <c r="B3396"/>
      <c r="C3396" s="41"/>
    </row>
    <row r="3397" spans="2:3" x14ac:dyDescent="0.2">
      <c r="B3397"/>
      <c r="C3397" s="41"/>
    </row>
    <row r="3398" spans="2:3" x14ac:dyDescent="0.2">
      <c r="B3398"/>
      <c r="C3398" s="41"/>
    </row>
    <row r="3399" spans="2:3" x14ac:dyDescent="0.2">
      <c r="B3399"/>
      <c r="C3399" s="41"/>
    </row>
    <row r="3400" spans="2:3" x14ac:dyDescent="0.2">
      <c r="B3400"/>
      <c r="C3400" s="41"/>
    </row>
    <row r="3401" spans="2:3" x14ac:dyDescent="0.2">
      <c r="B3401"/>
      <c r="C3401" s="41"/>
    </row>
    <row r="3402" spans="2:3" x14ac:dyDescent="0.2">
      <c r="B3402"/>
      <c r="C3402" s="41"/>
    </row>
    <row r="3403" spans="2:3" x14ac:dyDescent="0.2">
      <c r="B3403"/>
      <c r="C3403" s="41"/>
    </row>
    <row r="3404" spans="2:3" x14ac:dyDescent="0.2">
      <c r="B3404"/>
      <c r="C3404" s="41"/>
    </row>
    <row r="3405" spans="2:3" x14ac:dyDescent="0.2">
      <c r="B3405"/>
      <c r="C3405" s="41"/>
    </row>
    <row r="3406" spans="2:3" x14ac:dyDescent="0.2">
      <c r="B3406"/>
      <c r="C3406" s="41"/>
    </row>
    <row r="3407" spans="2:3" x14ac:dyDescent="0.2">
      <c r="B3407"/>
      <c r="C3407" s="41"/>
    </row>
    <row r="3408" spans="2:3" x14ac:dyDescent="0.2">
      <c r="B3408"/>
      <c r="C3408" s="41"/>
    </row>
    <row r="3409" spans="2:3" x14ac:dyDescent="0.2">
      <c r="B3409"/>
      <c r="C3409" s="41"/>
    </row>
    <row r="3410" spans="2:3" x14ac:dyDescent="0.2">
      <c r="B3410"/>
      <c r="C3410" s="41"/>
    </row>
    <row r="3411" spans="2:3" x14ac:dyDescent="0.2">
      <c r="B3411"/>
      <c r="C3411" s="41"/>
    </row>
    <row r="3412" spans="2:3" x14ac:dyDescent="0.2">
      <c r="B3412"/>
      <c r="C3412" s="41"/>
    </row>
    <row r="3413" spans="2:3" x14ac:dyDescent="0.2">
      <c r="B3413"/>
      <c r="C3413" s="41"/>
    </row>
    <row r="3414" spans="2:3" x14ac:dyDescent="0.2">
      <c r="B3414"/>
      <c r="C3414" s="41"/>
    </row>
    <row r="3415" spans="2:3" x14ac:dyDescent="0.2">
      <c r="B3415"/>
      <c r="C3415" s="41"/>
    </row>
    <row r="3416" spans="2:3" x14ac:dyDescent="0.2">
      <c r="B3416"/>
      <c r="C3416" s="41"/>
    </row>
    <row r="3417" spans="2:3" x14ac:dyDescent="0.2">
      <c r="B3417"/>
      <c r="C3417" s="41"/>
    </row>
    <row r="3418" spans="2:3" x14ac:dyDescent="0.2">
      <c r="B3418"/>
      <c r="C3418" s="41"/>
    </row>
    <row r="3419" spans="2:3" x14ac:dyDescent="0.2">
      <c r="B3419"/>
      <c r="C3419" s="41"/>
    </row>
    <row r="3420" spans="2:3" x14ac:dyDescent="0.2">
      <c r="B3420"/>
      <c r="C3420" s="41"/>
    </row>
    <row r="3421" spans="2:3" x14ac:dyDescent="0.2">
      <c r="B3421"/>
      <c r="C3421" s="41"/>
    </row>
    <row r="3422" spans="2:3" x14ac:dyDescent="0.2">
      <c r="B3422"/>
      <c r="C3422" s="41"/>
    </row>
    <row r="3423" spans="2:3" x14ac:dyDescent="0.2">
      <c r="B3423"/>
      <c r="C3423" s="41"/>
    </row>
    <row r="3424" spans="2:3" x14ac:dyDescent="0.2">
      <c r="B3424"/>
      <c r="C3424" s="41"/>
    </row>
    <row r="3425" spans="2:3" x14ac:dyDescent="0.2">
      <c r="B3425"/>
      <c r="C3425" s="41"/>
    </row>
    <row r="3426" spans="2:3" x14ac:dyDescent="0.2">
      <c r="B3426"/>
      <c r="C3426" s="41"/>
    </row>
    <row r="3427" spans="2:3" x14ac:dyDescent="0.2">
      <c r="B3427"/>
      <c r="C3427" s="41"/>
    </row>
    <row r="3428" spans="2:3" x14ac:dyDescent="0.2">
      <c r="B3428"/>
      <c r="C3428" s="41"/>
    </row>
    <row r="3429" spans="2:3" x14ac:dyDescent="0.2">
      <c r="B3429"/>
      <c r="C3429" s="41"/>
    </row>
    <row r="3430" spans="2:3" x14ac:dyDescent="0.2">
      <c r="B3430"/>
      <c r="C3430" s="41"/>
    </row>
    <row r="3431" spans="2:3" x14ac:dyDescent="0.2">
      <c r="B3431"/>
      <c r="C3431" s="41"/>
    </row>
    <row r="3432" spans="2:3" x14ac:dyDescent="0.2">
      <c r="B3432"/>
      <c r="C3432" s="41"/>
    </row>
    <row r="3433" spans="2:3" x14ac:dyDescent="0.2">
      <c r="B3433"/>
      <c r="C3433" s="41"/>
    </row>
    <row r="3434" spans="2:3" x14ac:dyDescent="0.2">
      <c r="B3434"/>
      <c r="C3434" s="41"/>
    </row>
    <row r="3435" spans="2:3" x14ac:dyDescent="0.2">
      <c r="B3435"/>
      <c r="C3435" s="41"/>
    </row>
    <row r="3436" spans="2:3" x14ac:dyDescent="0.2">
      <c r="B3436"/>
      <c r="C3436" s="41"/>
    </row>
    <row r="3437" spans="2:3" x14ac:dyDescent="0.2">
      <c r="B3437"/>
      <c r="C3437" s="41"/>
    </row>
    <row r="3438" spans="2:3" x14ac:dyDescent="0.2">
      <c r="B3438"/>
      <c r="C3438" s="41"/>
    </row>
    <row r="3439" spans="2:3" x14ac:dyDescent="0.2">
      <c r="B3439"/>
      <c r="C3439" s="41"/>
    </row>
    <row r="3440" spans="2:3" x14ac:dyDescent="0.2">
      <c r="B3440"/>
      <c r="C3440" s="41"/>
    </row>
    <row r="3441" spans="2:3" x14ac:dyDescent="0.2">
      <c r="B3441"/>
      <c r="C3441" s="41"/>
    </row>
    <row r="3442" spans="2:3" x14ac:dyDescent="0.2">
      <c r="B3442"/>
      <c r="C3442" s="41"/>
    </row>
    <row r="3443" spans="2:3" x14ac:dyDescent="0.2">
      <c r="B3443"/>
      <c r="C3443" s="41"/>
    </row>
    <row r="3444" spans="2:3" x14ac:dyDescent="0.2">
      <c r="B3444"/>
      <c r="C3444" s="41"/>
    </row>
    <row r="3445" spans="2:3" x14ac:dyDescent="0.2">
      <c r="B3445"/>
      <c r="C3445" s="41"/>
    </row>
    <row r="3446" spans="2:3" x14ac:dyDescent="0.2">
      <c r="B3446"/>
      <c r="C3446" s="41"/>
    </row>
    <row r="3447" spans="2:3" x14ac:dyDescent="0.2">
      <c r="B3447"/>
      <c r="C3447" s="41"/>
    </row>
    <row r="3448" spans="2:3" x14ac:dyDescent="0.2">
      <c r="B3448"/>
      <c r="C3448" s="41"/>
    </row>
    <row r="3449" spans="2:3" x14ac:dyDescent="0.2">
      <c r="B3449"/>
      <c r="C3449" s="41"/>
    </row>
    <row r="3450" spans="2:3" x14ac:dyDescent="0.2">
      <c r="B3450"/>
      <c r="C3450" s="41"/>
    </row>
    <row r="3451" spans="2:3" x14ac:dyDescent="0.2">
      <c r="B3451"/>
      <c r="C3451" s="41"/>
    </row>
    <row r="3452" spans="2:3" x14ac:dyDescent="0.2">
      <c r="B3452"/>
      <c r="C3452" s="41"/>
    </row>
    <row r="3453" spans="2:3" x14ac:dyDescent="0.2">
      <c r="B3453"/>
      <c r="C3453" s="41"/>
    </row>
    <row r="3454" spans="2:3" x14ac:dyDescent="0.2">
      <c r="B3454"/>
      <c r="C3454" s="41"/>
    </row>
    <row r="3455" spans="2:3" x14ac:dyDescent="0.2">
      <c r="B3455"/>
      <c r="C3455" s="41"/>
    </row>
    <row r="3456" spans="2:3" x14ac:dyDescent="0.2">
      <c r="B3456"/>
      <c r="C3456" s="41"/>
    </row>
    <row r="3457" spans="2:3" x14ac:dyDescent="0.2">
      <c r="B3457"/>
      <c r="C3457" s="41"/>
    </row>
    <row r="3458" spans="2:3" x14ac:dyDescent="0.2">
      <c r="B3458"/>
      <c r="C3458" s="41"/>
    </row>
    <row r="3459" spans="2:3" x14ac:dyDescent="0.2">
      <c r="B3459"/>
      <c r="C3459" s="41"/>
    </row>
    <row r="3460" spans="2:3" x14ac:dyDescent="0.2">
      <c r="B3460"/>
      <c r="C3460" s="41"/>
    </row>
    <row r="3461" spans="2:3" x14ac:dyDescent="0.2">
      <c r="B3461"/>
      <c r="C3461" s="41"/>
    </row>
    <row r="3462" spans="2:3" x14ac:dyDescent="0.2">
      <c r="B3462"/>
      <c r="C3462" s="41"/>
    </row>
    <row r="3463" spans="2:3" x14ac:dyDescent="0.2">
      <c r="B3463"/>
      <c r="C3463" s="41"/>
    </row>
    <row r="3464" spans="2:3" x14ac:dyDescent="0.2">
      <c r="B3464"/>
      <c r="C3464" s="41"/>
    </row>
    <row r="3465" spans="2:3" x14ac:dyDescent="0.2">
      <c r="B3465"/>
      <c r="C3465" s="41"/>
    </row>
    <row r="3466" spans="2:3" x14ac:dyDescent="0.2">
      <c r="B3466"/>
      <c r="C3466" s="41"/>
    </row>
    <row r="3467" spans="2:3" x14ac:dyDescent="0.2">
      <c r="B3467"/>
      <c r="C3467" s="41"/>
    </row>
    <row r="3468" spans="2:3" x14ac:dyDescent="0.2">
      <c r="B3468"/>
      <c r="C3468" s="41"/>
    </row>
    <row r="3469" spans="2:3" x14ac:dyDescent="0.2">
      <c r="B3469"/>
      <c r="C3469" s="41"/>
    </row>
    <row r="3470" spans="2:3" x14ac:dyDescent="0.2">
      <c r="B3470"/>
      <c r="C3470" s="41"/>
    </row>
    <row r="3471" spans="2:3" x14ac:dyDescent="0.2">
      <c r="B3471"/>
      <c r="C3471" s="41"/>
    </row>
    <row r="3472" spans="2:3" x14ac:dyDescent="0.2">
      <c r="B3472"/>
      <c r="C3472" s="41"/>
    </row>
    <row r="3473" spans="2:3" x14ac:dyDescent="0.2">
      <c r="B3473"/>
      <c r="C3473" s="41"/>
    </row>
    <row r="3474" spans="2:3" x14ac:dyDescent="0.2">
      <c r="B3474"/>
      <c r="C3474" s="41"/>
    </row>
    <row r="3475" spans="2:3" x14ac:dyDescent="0.2">
      <c r="B3475"/>
      <c r="C3475" s="41"/>
    </row>
    <row r="3476" spans="2:3" x14ac:dyDescent="0.2">
      <c r="B3476"/>
      <c r="C3476" s="41"/>
    </row>
    <row r="3477" spans="2:3" x14ac:dyDescent="0.2">
      <c r="B3477"/>
      <c r="C3477" s="41"/>
    </row>
    <row r="3478" spans="2:3" x14ac:dyDescent="0.2">
      <c r="B3478"/>
      <c r="C3478" s="41"/>
    </row>
    <row r="3479" spans="2:3" x14ac:dyDescent="0.2">
      <c r="B3479"/>
      <c r="C3479" s="41"/>
    </row>
    <row r="3480" spans="2:3" x14ac:dyDescent="0.2">
      <c r="B3480"/>
      <c r="C3480" s="41"/>
    </row>
    <row r="3481" spans="2:3" x14ac:dyDescent="0.2">
      <c r="B3481"/>
      <c r="C3481" s="41"/>
    </row>
    <row r="3482" spans="2:3" x14ac:dyDescent="0.2">
      <c r="B3482"/>
      <c r="C3482" s="41"/>
    </row>
    <row r="3483" spans="2:3" x14ac:dyDescent="0.2">
      <c r="B3483"/>
      <c r="C3483" s="41"/>
    </row>
    <row r="3484" spans="2:3" x14ac:dyDescent="0.2">
      <c r="B3484"/>
      <c r="C3484" s="41"/>
    </row>
    <row r="3485" spans="2:3" x14ac:dyDescent="0.2">
      <c r="B3485"/>
      <c r="C3485" s="41"/>
    </row>
    <row r="3486" spans="2:3" x14ac:dyDescent="0.2">
      <c r="B3486"/>
      <c r="C3486" s="41"/>
    </row>
    <row r="3487" spans="2:3" x14ac:dyDescent="0.2">
      <c r="B3487"/>
      <c r="C3487" s="41"/>
    </row>
    <row r="3488" spans="2:3" x14ac:dyDescent="0.2">
      <c r="B3488"/>
      <c r="C3488" s="41"/>
    </row>
    <row r="3489" spans="2:3" x14ac:dyDescent="0.2">
      <c r="B3489"/>
      <c r="C3489" s="41"/>
    </row>
    <row r="3490" spans="2:3" x14ac:dyDescent="0.2">
      <c r="B3490"/>
      <c r="C3490" s="41"/>
    </row>
    <row r="3491" spans="2:3" x14ac:dyDescent="0.2">
      <c r="B3491"/>
      <c r="C3491" s="41"/>
    </row>
    <row r="3492" spans="2:3" x14ac:dyDescent="0.2">
      <c r="B3492"/>
      <c r="C3492" s="41"/>
    </row>
    <row r="3493" spans="2:3" x14ac:dyDescent="0.2">
      <c r="B3493"/>
      <c r="C3493" s="41"/>
    </row>
    <row r="3494" spans="2:3" x14ac:dyDescent="0.2">
      <c r="B3494"/>
      <c r="C3494" s="41"/>
    </row>
    <row r="3495" spans="2:3" x14ac:dyDescent="0.2">
      <c r="B3495"/>
      <c r="C3495" s="41"/>
    </row>
    <row r="3496" spans="2:3" x14ac:dyDescent="0.2">
      <c r="B3496"/>
      <c r="C3496" s="41"/>
    </row>
    <row r="3497" spans="2:3" x14ac:dyDescent="0.2">
      <c r="B3497"/>
      <c r="C3497" s="41"/>
    </row>
    <row r="3498" spans="2:3" x14ac:dyDescent="0.2">
      <c r="B3498"/>
      <c r="C3498" s="41"/>
    </row>
    <row r="3499" spans="2:3" x14ac:dyDescent="0.2">
      <c r="B3499"/>
      <c r="C3499" s="41"/>
    </row>
    <row r="3500" spans="2:3" x14ac:dyDescent="0.2">
      <c r="B3500"/>
      <c r="C3500" s="41"/>
    </row>
    <row r="3501" spans="2:3" x14ac:dyDescent="0.2">
      <c r="B3501"/>
      <c r="C3501" s="41"/>
    </row>
    <row r="3502" spans="2:3" x14ac:dyDescent="0.2">
      <c r="B3502"/>
      <c r="C3502" s="41"/>
    </row>
    <row r="3503" spans="2:3" x14ac:dyDescent="0.2">
      <c r="B3503"/>
      <c r="C3503" s="41"/>
    </row>
    <row r="3504" spans="2:3" x14ac:dyDescent="0.2">
      <c r="B3504"/>
      <c r="C3504" s="41"/>
    </row>
    <row r="3505" spans="2:3" x14ac:dyDescent="0.2">
      <c r="B3505"/>
      <c r="C3505" s="41"/>
    </row>
    <row r="3506" spans="2:3" x14ac:dyDescent="0.2">
      <c r="B3506"/>
      <c r="C3506" s="41"/>
    </row>
    <row r="3507" spans="2:3" x14ac:dyDescent="0.2">
      <c r="B3507"/>
      <c r="C3507" s="41"/>
    </row>
    <row r="3508" spans="2:3" x14ac:dyDescent="0.2">
      <c r="B3508"/>
      <c r="C3508" s="41"/>
    </row>
    <row r="3509" spans="2:3" x14ac:dyDescent="0.2">
      <c r="B3509"/>
      <c r="C3509" s="41"/>
    </row>
    <row r="3510" spans="2:3" x14ac:dyDescent="0.2">
      <c r="B3510"/>
      <c r="C3510" s="41"/>
    </row>
    <row r="3511" spans="2:3" x14ac:dyDescent="0.2">
      <c r="B3511"/>
      <c r="C3511" s="41"/>
    </row>
    <row r="3512" spans="2:3" x14ac:dyDescent="0.2">
      <c r="B3512"/>
      <c r="C3512" s="41"/>
    </row>
    <row r="3513" spans="2:3" x14ac:dyDescent="0.2">
      <c r="B3513"/>
      <c r="C3513" s="41"/>
    </row>
    <row r="3514" spans="2:3" x14ac:dyDescent="0.2">
      <c r="B3514"/>
      <c r="C3514" s="41"/>
    </row>
    <row r="3515" spans="2:3" x14ac:dyDescent="0.2">
      <c r="B3515"/>
      <c r="C3515" s="41"/>
    </row>
    <row r="3516" spans="2:3" x14ac:dyDescent="0.2">
      <c r="B3516"/>
      <c r="C3516" s="41"/>
    </row>
    <row r="3517" spans="2:3" x14ac:dyDescent="0.2">
      <c r="B3517"/>
      <c r="C3517" s="41"/>
    </row>
    <row r="3518" spans="2:3" x14ac:dyDescent="0.2">
      <c r="B3518"/>
      <c r="C3518" s="41"/>
    </row>
    <row r="3519" spans="2:3" x14ac:dyDescent="0.2">
      <c r="B3519"/>
      <c r="C3519" s="41"/>
    </row>
    <row r="3520" spans="2:3" x14ac:dyDescent="0.2">
      <c r="B3520"/>
      <c r="C3520" s="41"/>
    </row>
    <row r="3521" spans="2:3" x14ac:dyDescent="0.2">
      <c r="B3521"/>
      <c r="C3521" s="41"/>
    </row>
    <row r="3522" spans="2:3" x14ac:dyDescent="0.2">
      <c r="B3522"/>
      <c r="C3522" s="41"/>
    </row>
    <row r="3523" spans="2:3" x14ac:dyDescent="0.2">
      <c r="B3523"/>
      <c r="C3523" s="41"/>
    </row>
    <row r="3524" spans="2:3" x14ac:dyDescent="0.2">
      <c r="B3524"/>
      <c r="C3524" s="41"/>
    </row>
    <row r="3525" spans="2:3" x14ac:dyDescent="0.2">
      <c r="B3525"/>
      <c r="C3525" s="41"/>
    </row>
    <row r="3526" spans="2:3" x14ac:dyDescent="0.2">
      <c r="B3526"/>
      <c r="C3526" s="41"/>
    </row>
    <row r="3527" spans="2:3" x14ac:dyDescent="0.2">
      <c r="B3527"/>
      <c r="C3527" s="41"/>
    </row>
    <row r="3528" spans="2:3" x14ac:dyDescent="0.2">
      <c r="B3528"/>
      <c r="C3528" s="41"/>
    </row>
    <row r="3529" spans="2:3" x14ac:dyDescent="0.2">
      <c r="B3529"/>
      <c r="C3529" s="41"/>
    </row>
    <row r="3530" spans="2:3" x14ac:dyDescent="0.2">
      <c r="B3530"/>
      <c r="C3530" s="41"/>
    </row>
    <row r="3531" spans="2:3" x14ac:dyDescent="0.2">
      <c r="B3531"/>
      <c r="C3531" s="41"/>
    </row>
    <row r="3532" spans="2:3" x14ac:dyDescent="0.2">
      <c r="B3532"/>
      <c r="C3532" s="41"/>
    </row>
    <row r="3533" spans="2:3" x14ac:dyDescent="0.2">
      <c r="B3533"/>
      <c r="C3533" s="41"/>
    </row>
    <row r="3534" spans="2:3" x14ac:dyDescent="0.2">
      <c r="B3534"/>
      <c r="C3534" s="41"/>
    </row>
    <row r="3535" spans="2:3" x14ac:dyDescent="0.2">
      <c r="B3535"/>
      <c r="C3535" s="41"/>
    </row>
    <row r="3536" spans="2:3" x14ac:dyDescent="0.2">
      <c r="B3536"/>
      <c r="C3536" s="41"/>
    </row>
    <row r="3537" spans="2:3" x14ac:dyDescent="0.2">
      <c r="B3537"/>
      <c r="C3537" s="41"/>
    </row>
    <row r="3538" spans="2:3" x14ac:dyDescent="0.2">
      <c r="B3538"/>
      <c r="C3538" s="41"/>
    </row>
    <row r="3539" spans="2:3" x14ac:dyDescent="0.2">
      <c r="B3539"/>
      <c r="C3539" s="41"/>
    </row>
    <row r="3540" spans="2:3" x14ac:dyDescent="0.2">
      <c r="B3540"/>
      <c r="C3540" s="41"/>
    </row>
    <row r="3541" spans="2:3" x14ac:dyDescent="0.2">
      <c r="B3541"/>
      <c r="C3541" s="41"/>
    </row>
    <row r="3542" spans="2:3" x14ac:dyDescent="0.2">
      <c r="B3542"/>
      <c r="C3542" s="41"/>
    </row>
    <row r="3543" spans="2:3" x14ac:dyDescent="0.2">
      <c r="B3543"/>
      <c r="C3543" s="41"/>
    </row>
    <row r="3544" spans="2:3" x14ac:dyDescent="0.2">
      <c r="B3544"/>
      <c r="C3544" s="41"/>
    </row>
    <row r="3545" spans="2:3" x14ac:dyDescent="0.2">
      <c r="B3545"/>
      <c r="C3545" s="41"/>
    </row>
    <row r="3546" spans="2:3" x14ac:dyDescent="0.2">
      <c r="B3546"/>
      <c r="C3546" s="41"/>
    </row>
    <row r="3547" spans="2:3" x14ac:dyDescent="0.2">
      <c r="B3547"/>
      <c r="C3547" s="41"/>
    </row>
    <row r="3548" spans="2:3" x14ac:dyDescent="0.2">
      <c r="B3548"/>
      <c r="C3548" s="41"/>
    </row>
    <row r="3549" spans="2:3" x14ac:dyDescent="0.2">
      <c r="B3549"/>
      <c r="C3549" s="41"/>
    </row>
    <row r="3550" spans="2:3" x14ac:dyDescent="0.2">
      <c r="B3550"/>
      <c r="C3550" s="41"/>
    </row>
    <row r="3551" spans="2:3" x14ac:dyDescent="0.2">
      <c r="B3551"/>
      <c r="C3551" s="41"/>
    </row>
    <row r="3552" spans="2:3" x14ac:dyDescent="0.2">
      <c r="B3552"/>
      <c r="C3552" s="41"/>
    </row>
    <row r="3553" spans="2:3" x14ac:dyDescent="0.2">
      <c r="B3553"/>
      <c r="C3553" s="41"/>
    </row>
    <row r="3554" spans="2:3" x14ac:dyDescent="0.2">
      <c r="B3554"/>
      <c r="C3554" s="41"/>
    </row>
    <row r="3555" spans="2:3" x14ac:dyDescent="0.2">
      <c r="B3555"/>
      <c r="C3555" s="41"/>
    </row>
    <row r="3556" spans="2:3" x14ac:dyDescent="0.2">
      <c r="B3556"/>
      <c r="C3556" s="41"/>
    </row>
    <row r="3557" spans="2:3" x14ac:dyDescent="0.2">
      <c r="B3557"/>
      <c r="C3557" s="41"/>
    </row>
    <row r="3558" spans="2:3" x14ac:dyDescent="0.2">
      <c r="B3558"/>
      <c r="C3558" s="41"/>
    </row>
    <row r="3559" spans="2:3" x14ac:dyDescent="0.2">
      <c r="B3559"/>
      <c r="C3559" s="41"/>
    </row>
    <row r="3560" spans="2:3" x14ac:dyDescent="0.2">
      <c r="B3560"/>
      <c r="C3560" s="41"/>
    </row>
    <row r="3561" spans="2:3" x14ac:dyDescent="0.2">
      <c r="B3561"/>
      <c r="C3561" s="41"/>
    </row>
    <row r="3562" spans="2:3" x14ac:dyDescent="0.2">
      <c r="B3562"/>
      <c r="C3562" s="41"/>
    </row>
    <row r="3563" spans="2:3" x14ac:dyDescent="0.2">
      <c r="B3563"/>
      <c r="C3563" s="41"/>
    </row>
    <row r="3564" spans="2:3" x14ac:dyDescent="0.2">
      <c r="B3564"/>
      <c r="C3564" s="41"/>
    </row>
    <row r="3565" spans="2:3" x14ac:dyDescent="0.2">
      <c r="B3565"/>
      <c r="C3565" s="41"/>
    </row>
    <row r="3566" spans="2:3" x14ac:dyDescent="0.2">
      <c r="B3566"/>
      <c r="C3566" s="41"/>
    </row>
    <row r="3567" spans="2:3" x14ac:dyDescent="0.2">
      <c r="B3567"/>
      <c r="C3567" s="41"/>
    </row>
    <row r="3568" spans="2:3" x14ac:dyDescent="0.2">
      <c r="B3568"/>
      <c r="C3568" s="41"/>
    </row>
    <row r="3569" spans="2:3" x14ac:dyDescent="0.2">
      <c r="B3569"/>
      <c r="C3569" s="41"/>
    </row>
    <row r="3570" spans="2:3" x14ac:dyDescent="0.2">
      <c r="B3570"/>
      <c r="C3570" s="41"/>
    </row>
    <row r="3571" spans="2:3" x14ac:dyDescent="0.2">
      <c r="B3571"/>
      <c r="C3571" s="41"/>
    </row>
    <row r="3572" spans="2:3" x14ac:dyDescent="0.2">
      <c r="B3572"/>
      <c r="C3572" s="41"/>
    </row>
    <row r="3573" spans="2:3" x14ac:dyDescent="0.2">
      <c r="B3573"/>
      <c r="C3573" s="41"/>
    </row>
    <row r="3574" spans="2:3" x14ac:dyDescent="0.2">
      <c r="B3574"/>
      <c r="C3574" s="41"/>
    </row>
    <row r="3575" spans="2:3" x14ac:dyDescent="0.2">
      <c r="B3575"/>
      <c r="C3575" s="41"/>
    </row>
    <row r="3576" spans="2:3" x14ac:dyDescent="0.2">
      <c r="B3576"/>
      <c r="C3576" s="41"/>
    </row>
    <row r="3577" spans="2:3" x14ac:dyDescent="0.2">
      <c r="B3577"/>
      <c r="C3577" s="41"/>
    </row>
    <row r="3578" spans="2:3" x14ac:dyDescent="0.2">
      <c r="B3578"/>
      <c r="C3578" s="41"/>
    </row>
    <row r="3579" spans="2:3" x14ac:dyDescent="0.2">
      <c r="B3579"/>
      <c r="C3579" s="41"/>
    </row>
    <row r="3580" spans="2:3" x14ac:dyDescent="0.2">
      <c r="B3580"/>
      <c r="C3580" s="41"/>
    </row>
    <row r="3581" spans="2:3" x14ac:dyDescent="0.2">
      <c r="B3581"/>
      <c r="C3581" s="41"/>
    </row>
    <row r="3582" spans="2:3" x14ac:dyDescent="0.2">
      <c r="B3582"/>
      <c r="C3582" s="41"/>
    </row>
    <row r="3583" spans="2:3" x14ac:dyDescent="0.2">
      <c r="B3583"/>
      <c r="C3583" s="41"/>
    </row>
    <row r="3584" spans="2:3" x14ac:dyDescent="0.2">
      <c r="B3584"/>
      <c r="C3584" s="41"/>
    </row>
    <row r="3585" spans="2:3" x14ac:dyDescent="0.2">
      <c r="B3585"/>
      <c r="C3585" s="41"/>
    </row>
    <row r="3586" spans="2:3" x14ac:dyDescent="0.2">
      <c r="B3586"/>
      <c r="C3586" s="41"/>
    </row>
    <row r="3587" spans="2:3" x14ac:dyDescent="0.2">
      <c r="B3587"/>
      <c r="C3587" s="41"/>
    </row>
    <row r="3588" spans="2:3" x14ac:dyDescent="0.2">
      <c r="B3588"/>
      <c r="C3588" s="41"/>
    </row>
    <row r="3589" spans="2:3" x14ac:dyDescent="0.2">
      <c r="B3589"/>
      <c r="C3589" s="41"/>
    </row>
    <row r="3590" spans="2:3" x14ac:dyDescent="0.2">
      <c r="B3590"/>
      <c r="C3590" s="41"/>
    </row>
    <row r="3591" spans="2:3" x14ac:dyDescent="0.2">
      <c r="B3591"/>
      <c r="C3591" s="41"/>
    </row>
    <row r="3592" spans="2:3" x14ac:dyDescent="0.2">
      <c r="B3592"/>
      <c r="C3592" s="41"/>
    </row>
    <row r="3593" spans="2:3" x14ac:dyDescent="0.2">
      <c r="B3593"/>
      <c r="C3593" s="41"/>
    </row>
    <row r="3594" spans="2:3" x14ac:dyDescent="0.2">
      <c r="B3594"/>
      <c r="C3594" s="41"/>
    </row>
    <row r="3595" spans="2:3" x14ac:dyDescent="0.2">
      <c r="B3595"/>
      <c r="C3595" s="41"/>
    </row>
    <row r="3596" spans="2:3" x14ac:dyDescent="0.2">
      <c r="B3596"/>
      <c r="C3596" s="41"/>
    </row>
    <row r="3597" spans="2:3" x14ac:dyDescent="0.2">
      <c r="B3597"/>
      <c r="C3597" s="41"/>
    </row>
    <row r="3598" spans="2:3" x14ac:dyDescent="0.2">
      <c r="B3598"/>
      <c r="C3598" s="41"/>
    </row>
    <row r="3599" spans="2:3" x14ac:dyDescent="0.2">
      <c r="B3599"/>
      <c r="C3599" s="41"/>
    </row>
    <row r="3600" spans="2:3" x14ac:dyDescent="0.2">
      <c r="B3600"/>
      <c r="C3600" s="41"/>
    </row>
    <row r="3601" spans="2:3" x14ac:dyDescent="0.2">
      <c r="B3601"/>
      <c r="C3601" s="41"/>
    </row>
    <row r="3602" spans="2:3" x14ac:dyDescent="0.2">
      <c r="B3602"/>
      <c r="C3602" s="41"/>
    </row>
    <row r="3603" spans="2:3" x14ac:dyDescent="0.2">
      <c r="B3603"/>
      <c r="C3603" s="41"/>
    </row>
    <row r="3604" spans="2:3" x14ac:dyDescent="0.2">
      <c r="B3604"/>
      <c r="C3604" s="41"/>
    </row>
    <row r="3605" spans="2:3" x14ac:dyDescent="0.2">
      <c r="B3605"/>
      <c r="C3605" s="41"/>
    </row>
    <row r="3606" spans="2:3" x14ac:dyDescent="0.2">
      <c r="B3606"/>
      <c r="C3606" s="41"/>
    </row>
    <row r="3607" spans="2:3" x14ac:dyDescent="0.2">
      <c r="B3607"/>
      <c r="C3607" s="41"/>
    </row>
    <row r="3608" spans="2:3" x14ac:dyDescent="0.2">
      <c r="B3608"/>
      <c r="C3608" s="41"/>
    </row>
    <row r="3609" spans="2:3" x14ac:dyDescent="0.2">
      <c r="B3609"/>
      <c r="C3609" s="41"/>
    </row>
    <row r="3610" spans="2:3" x14ac:dyDescent="0.2">
      <c r="B3610"/>
      <c r="C3610" s="41"/>
    </row>
    <row r="3611" spans="2:3" x14ac:dyDescent="0.2">
      <c r="B3611"/>
      <c r="C3611" s="41"/>
    </row>
    <row r="3612" spans="2:3" x14ac:dyDescent="0.2">
      <c r="B3612"/>
      <c r="C3612" s="41"/>
    </row>
    <row r="3613" spans="2:3" x14ac:dyDescent="0.2">
      <c r="B3613"/>
      <c r="C3613" s="41"/>
    </row>
    <row r="3614" spans="2:3" x14ac:dyDescent="0.2">
      <c r="B3614"/>
      <c r="C3614" s="41"/>
    </row>
    <row r="3615" spans="2:3" x14ac:dyDescent="0.2">
      <c r="B3615"/>
      <c r="C3615" s="41"/>
    </row>
    <row r="3616" spans="2:3" x14ac:dyDescent="0.2">
      <c r="B3616"/>
      <c r="C3616" s="41"/>
    </row>
    <row r="3617" spans="2:3" x14ac:dyDescent="0.2">
      <c r="B3617"/>
      <c r="C3617" s="41"/>
    </row>
    <row r="3618" spans="2:3" x14ac:dyDescent="0.2">
      <c r="B3618"/>
      <c r="C3618" s="41"/>
    </row>
    <row r="3619" spans="2:3" x14ac:dyDescent="0.2">
      <c r="B3619"/>
      <c r="C3619" s="41"/>
    </row>
    <row r="3620" spans="2:3" x14ac:dyDescent="0.2">
      <c r="B3620"/>
      <c r="C3620" s="41"/>
    </row>
    <row r="3621" spans="2:3" x14ac:dyDescent="0.2">
      <c r="B3621"/>
      <c r="C3621" s="41"/>
    </row>
    <row r="3622" spans="2:3" x14ac:dyDescent="0.2">
      <c r="B3622"/>
      <c r="C3622" s="41"/>
    </row>
    <row r="3623" spans="2:3" x14ac:dyDescent="0.2">
      <c r="B3623"/>
      <c r="C3623" s="41"/>
    </row>
    <row r="3624" spans="2:3" x14ac:dyDescent="0.2">
      <c r="B3624"/>
      <c r="C3624" s="41"/>
    </row>
    <row r="3625" spans="2:3" x14ac:dyDescent="0.2">
      <c r="B3625"/>
      <c r="C3625" s="41"/>
    </row>
    <row r="3626" spans="2:3" x14ac:dyDescent="0.2">
      <c r="B3626"/>
      <c r="C3626" s="41"/>
    </row>
    <row r="3627" spans="2:3" x14ac:dyDescent="0.2">
      <c r="B3627"/>
      <c r="C3627" s="41"/>
    </row>
    <row r="3628" spans="2:3" x14ac:dyDescent="0.2">
      <c r="B3628"/>
      <c r="C3628" s="41"/>
    </row>
    <row r="3629" spans="2:3" x14ac:dyDescent="0.2">
      <c r="B3629"/>
      <c r="C3629" s="41"/>
    </row>
    <row r="3630" spans="2:3" x14ac:dyDescent="0.2">
      <c r="B3630"/>
      <c r="C3630" s="41"/>
    </row>
    <row r="3631" spans="2:3" x14ac:dyDescent="0.2">
      <c r="B3631"/>
      <c r="C3631" s="41"/>
    </row>
    <row r="3632" spans="2:3" x14ac:dyDescent="0.2">
      <c r="B3632"/>
      <c r="C3632" s="41"/>
    </row>
    <row r="3633" spans="2:3" x14ac:dyDescent="0.2">
      <c r="B3633"/>
      <c r="C3633" s="41"/>
    </row>
    <row r="3634" spans="2:3" x14ac:dyDescent="0.2">
      <c r="B3634"/>
      <c r="C3634" s="41"/>
    </row>
    <row r="3635" spans="2:3" x14ac:dyDescent="0.2">
      <c r="B3635"/>
      <c r="C3635" s="41"/>
    </row>
    <row r="3636" spans="2:3" x14ac:dyDescent="0.2">
      <c r="B3636"/>
      <c r="C3636" s="41"/>
    </row>
    <row r="3637" spans="2:3" x14ac:dyDescent="0.2">
      <c r="B3637"/>
      <c r="C3637" s="41"/>
    </row>
    <row r="3638" spans="2:3" x14ac:dyDescent="0.2">
      <c r="B3638"/>
      <c r="C3638" s="41"/>
    </row>
    <row r="3639" spans="2:3" x14ac:dyDescent="0.2">
      <c r="B3639"/>
      <c r="C3639" s="41"/>
    </row>
    <row r="3640" spans="2:3" x14ac:dyDescent="0.2">
      <c r="B3640"/>
      <c r="C3640" s="41"/>
    </row>
    <row r="3641" spans="2:3" x14ac:dyDescent="0.2">
      <c r="B3641"/>
      <c r="C3641" s="41"/>
    </row>
    <row r="3642" spans="2:3" x14ac:dyDescent="0.2">
      <c r="B3642"/>
      <c r="C3642" s="41"/>
    </row>
    <row r="3643" spans="2:3" x14ac:dyDescent="0.2">
      <c r="B3643"/>
      <c r="C3643" s="41"/>
    </row>
    <row r="3644" spans="2:3" x14ac:dyDescent="0.2">
      <c r="B3644"/>
      <c r="C3644" s="41"/>
    </row>
    <row r="3645" spans="2:3" x14ac:dyDescent="0.2">
      <c r="B3645"/>
      <c r="C3645" s="41"/>
    </row>
    <row r="3646" spans="2:3" x14ac:dyDescent="0.2">
      <c r="B3646"/>
      <c r="C3646" s="41"/>
    </row>
    <row r="3647" spans="2:3" x14ac:dyDescent="0.2">
      <c r="B3647"/>
      <c r="C3647" s="41"/>
    </row>
    <row r="3648" spans="2:3" x14ac:dyDescent="0.2">
      <c r="B3648"/>
      <c r="C3648" s="41"/>
    </row>
    <row r="3649" spans="2:3" x14ac:dyDescent="0.2">
      <c r="B3649"/>
      <c r="C3649" s="41"/>
    </row>
    <row r="3650" spans="2:3" x14ac:dyDescent="0.2">
      <c r="B3650"/>
      <c r="C3650" s="41"/>
    </row>
    <row r="3651" spans="2:3" x14ac:dyDescent="0.2">
      <c r="B3651"/>
      <c r="C3651" s="41"/>
    </row>
    <row r="3652" spans="2:3" x14ac:dyDescent="0.2">
      <c r="B3652"/>
      <c r="C3652" s="41"/>
    </row>
    <row r="3653" spans="2:3" x14ac:dyDescent="0.2">
      <c r="B3653"/>
      <c r="C3653" s="41"/>
    </row>
    <row r="3654" spans="2:3" x14ac:dyDescent="0.2">
      <c r="B3654"/>
      <c r="C3654" s="41"/>
    </row>
    <row r="3655" spans="2:3" x14ac:dyDescent="0.2">
      <c r="B3655"/>
      <c r="C3655" s="41"/>
    </row>
    <row r="3656" spans="2:3" x14ac:dyDescent="0.2">
      <c r="B3656"/>
      <c r="C3656" s="41"/>
    </row>
    <row r="3657" spans="2:3" x14ac:dyDescent="0.2">
      <c r="B3657"/>
      <c r="C3657" s="41"/>
    </row>
    <row r="3658" spans="2:3" x14ac:dyDescent="0.2">
      <c r="B3658"/>
      <c r="C3658" s="41"/>
    </row>
    <row r="3659" spans="2:3" x14ac:dyDescent="0.2">
      <c r="B3659"/>
      <c r="C3659" s="41"/>
    </row>
    <row r="3660" spans="2:3" x14ac:dyDescent="0.2">
      <c r="B3660"/>
      <c r="C3660" s="41"/>
    </row>
    <row r="3661" spans="2:3" x14ac:dyDescent="0.2">
      <c r="B3661"/>
      <c r="C3661" s="41"/>
    </row>
    <row r="3662" spans="2:3" x14ac:dyDescent="0.2">
      <c r="B3662"/>
      <c r="C3662" s="41"/>
    </row>
    <row r="3663" spans="2:3" x14ac:dyDescent="0.2">
      <c r="B3663"/>
      <c r="C3663" s="41"/>
    </row>
    <row r="3664" spans="2:3" x14ac:dyDescent="0.2">
      <c r="B3664"/>
      <c r="C3664" s="41"/>
    </row>
    <row r="3665" spans="2:3" x14ac:dyDescent="0.2">
      <c r="B3665"/>
      <c r="C3665" s="41"/>
    </row>
    <row r="3666" spans="2:3" x14ac:dyDescent="0.2">
      <c r="B3666"/>
      <c r="C3666" s="41"/>
    </row>
    <row r="3667" spans="2:3" x14ac:dyDescent="0.2">
      <c r="B3667"/>
      <c r="C3667" s="41"/>
    </row>
    <row r="3668" spans="2:3" x14ac:dyDescent="0.2">
      <c r="B3668"/>
      <c r="C3668" s="41"/>
    </row>
    <row r="3669" spans="2:3" x14ac:dyDescent="0.2">
      <c r="B3669"/>
      <c r="C3669" s="41"/>
    </row>
    <row r="3670" spans="2:3" x14ac:dyDescent="0.2">
      <c r="B3670"/>
      <c r="C3670" s="41"/>
    </row>
    <row r="3671" spans="2:3" x14ac:dyDescent="0.2">
      <c r="B3671"/>
      <c r="C3671" s="41"/>
    </row>
  </sheetData>
  <mergeCells count="3">
    <mergeCell ref="F4:I5"/>
    <mergeCell ref="B22:C25"/>
    <mergeCell ref="G1:J1"/>
  </mergeCells>
  <pageMargins left="0" right="0" top="0" bottom="0" header="0" footer="0"/>
  <pageSetup orientation="portrait" r:id="rId2"/>
  <drawing r:id="rId3"/>
  <extLst>
    <ext xmlns:x14="http://schemas.microsoft.com/office/spreadsheetml/2009/9/main" uri="{A8765BA9-456A-4dab-B4F3-ACF838C121DE}">
      <x14:slicerList>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8A55C-5542-46A3-ADFB-1816CD66B7AA}">
  <sheetPr codeName="Sheet6">
    <tabColor rgb="FFFFFF00"/>
  </sheetPr>
  <dimension ref="A1:G9677"/>
  <sheetViews>
    <sheetView showGridLines="0" workbookViewId="0">
      <selection activeCell="D6" sqref="A1:XFD1048576"/>
    </sheetView>
  </sheetViews>
  <sheetFormatPr defaultColWidth="11" defaultRowHeight="12.75" x14ac:dyDescent="0.2"/>
  <sheetData>
    <row r="1" spans="1:7" x14ac:dyDescent="0.2">
      <c r="A1" t="s">
        <v>58</v>
      </c>
    </row>
    <row r="2" spans="1:7" x14ac:dyDescent="0.2">
      <c r="A2" t="s">
        <v>59</v>
      </c>
      <c r="B2" t="s">
        <v>60</v>
      </c>
    </row>
    <row r="3" spans="1:7" x14ac:dyDescent="0.2">
      <c r="A3" t="s">
        <v>61</v>
      </c>
      <c r="B3" t="s">
        <v>62</v>
      </c>
    </row>
    <row r="4" spans="1:7" x14ac:dyDescent="0.2">
      <c r="A4" t="s">
        <v>63</v>
      </c>
      <c r="B4" t="s">
        <v>64</v>
      </c>
    </row>
    <row r="5" spans="1:7" x14ac:dyDescent="0.2">
      <c r="A5" t="s">
        <v>65</v>
      </c>
      <c r="B5" t="s">
        <v>66</v>
      </c>
    </row>
    <row r="8" spans="1:7" x14ac:dyDescent="0.2">
      <c r="A8" t="s">
        <v>67</v>
      </c>
      <c r="B8" t="s">
        <v>2</v>
      </c>
      <c r="C8" t="s">
        <v>63</v>
      </c>
      <c r="D8" t="s">
        <v>68</v>
      </c>
      <c r="E8" t="s">
        <v>3</v>
      </c>
      <c r="F8" t="s">
        <v>69</v>
      </c>
      <c r="G8" t="s">
        <v>70</v>
      </c>
    </row>
    <row r="9" spans="1:7" x14ac:dyDescent="0.2">
      <c r="A9" t="s">
        <v>71</v>
      </c>
      <c r="B9" t="s">
        <v>72</v>
      </c>
      <c r="C9" t="s">
        <v>73</v>
      </c>
      <c r="D9" t="s">
        <v>74</v>
      </c>
      <c r="E9" t="s">
        <v>75</v>
      </c>
      <c r="F9" s="55">
        <v>99</v>
      </c>
      <c r="G9" s="63">
        <v>0.37480000000000002</v>
      </c>
    </row>
    <row r="10" spans="1:7" x14ac:dyDescent="0.2">
      <c r="A10" t="s">
        <v>71</v>
      </c>
      <c r="B10" t="s">
        <v>72</v>
      </c>
      <c r="C10" t="s">
        <v>73</v>
      </c>
      <c r="D10" t="s">
        <v>74</v>
      </c>
      <c r="E10" t="s">
        <v>76</v>
      </c>
      <c r="F10" s="55">
        <v>105</v>
      </c>
      <c r="G10" s="63">
        <v>6.3399999999999998E-2</v>
      </c>
    </row>
    <row r="11" spans="1:7" x14ac:dyDescent="0.2">
      <c r="A11" t="s">
        <v>71</v>
      </c>
      <c r="B11" t="s">
        <v>72</v>
      </c>
      <c r="C11" t="s">
        <v>73</v>
      </c>
      <c r="D11" t="s">
        <v>74</v>
      </c>
      <c r="E11" t="s">
        <v>77</v>
      </c>
      <c r="F11" s="55">
        <v>106</v>
      </c>
      <c r="G11" s="63">
        <v>0.16539999999999999</v>
      </c>
    </row>
    <row r="12" spans="1:7" x14ac:dyDescent="0.2">
      <c r="A12" t="s">
        <v>71</v>
      </c>
      <c r="B12" t="s">
        <v>72</v>
      </c>
      <c r="C12" t="s">
        <v>73</v>
      </c>
      <c r="D12" t="s">
        <v>74</v>
      </c>
      <c r="E12" t="s">
        <v>78</v>
      </c>
      <c r="F12" s="55">
        <v>99</v>
      </c>
      <c r="G12" s="63">
        <v>0.14030000000000001</v>
      </c>
    </row>
    <row r="13" spans="1:7" x14ac:dyDescent="0.2">
      <c r="A13" t="s">
        <v>71</v>
      </c>
      <c r="B13" t="s">
        <v>72</v>
      </c>
      <c r="C13" t="s">
        <v>73</v>
      </c>
      <c r="D13" t="s">
        <v>74</v>
      </c>
      <c r="E13" t="s">
        <v>79</v>
      </c>
      <c r="F13" s="55">
        <v>95</v>
      </c>
      <c r="G13" s="63">
        <v>0.26550000000000001</v>
      </c>
    </row>
    <row r="14" spans="1:7" x14ac:dyDescent="0.2">
      <c r="A14" t="s">
        <v>71</v>
      </c>
      <c r="B14" t="s">
        <v>72</v>
      </c>
      <c r="C14" t="s">
        <v>73</v>
      </c>
      <c r="D14" t="s">
        <v>74</v>
      </c>
      <c r="E14" t="s">
        <v>80</v>
      </c>
      <c r="F14" s="55">
        <v>95</v>
      </c>
      <c r="G14" s="63">
        <v>8.9499999999999996E-2</v>
      </c>
    </row>
    <row r="15" spans="1:7" x14ac:dyDescent="0.2">
      <c r="A15" t="s">
        <v>71</v>
      </c>
      <c r="B15" t="s">
        <v>72</v>
      </c>
      <c r="C15" t="s">
        <v>73</v>
      </c>
      <c r="D15" t="s">
        <v>74</v>
      </c>
      <c r="E15" t="s">
        <v>81</v>
      </c>
      <c r="F15" s="55">
        <v>94</v>
      </c>
      <c r="G15" s="63">
        <v>8.7099999999999997E-2</v>
      </c>
    </row>
    <row r="16" spans="1:7" x14ac:dyDescent="0.2">
      <c r="A16" t="s">
        <v>71</v>
      </c>
      <c r="B16" t="s">
        <v>72</v>
      </c>
      <c r="C16" t="s">
        <v>73</v>
      </c>
      <c r="D16" t="s">
        <v>74</v>
      </c>
      <c r="E16" t="s">
        <v>82</v>
      </c>
      <c r="F16" s="55">
        <v>104</v>
      </c>
      <c r="G16" s="63">
        <v>0.20369999999999999</v>
      </c>
    </row>
    <row r="17" spans="1:7" x14ac:dyDescent="0.2">
      <c r="A17" t="s">
        <v>71</v>
      </c>
      <c r="B17" t="s">
        <v>72</v>
      </c>
      <c r="C17" t="s">
        <v>73</v>
      </c>
      <c r="D17" t="s">
        <v>74</v>
      </c>
      <c r="E17" t="s">
        <v>83</v>
      </c>
      <c r="F17" s="55">
        <v>97</v>
      </c>
      <c r="G17" s="63">
        <v>3.9E-2</v>
      </c>
    </row>
    <row r="18" spans="1:7" x14ac:dyDescent="0.2">
      <c r="A18" t="s">
        <v>71</v>
      </c>
      <c r="B18" t="s">
        <v>72</v>
      </c>
      <c r="C18" t="s">
        <v>73</v>
      </c>
      <c r="D18" t="s">
        <v>74</v>
      </c>
      <c r="E18" t="s">
        <v>84</v>
      </c>
      <c r="F18" s="55">
        <v>102</v>
      </c>
      <c r="G18" s="63">
        <v>0.1111</v>
      </c>
    </row>
    <row r="19" spans="1:7" x14ac:dyDescent="0.2">
      <c r="A19" t="s">
        <v>71</v>
      </c>
      <c r="B19" t="s">
        <v>72</v>
      </c>
      <c r="C19" t="s">
        <v>73</v>
      </c>
      <c r="D19" t="s">
        <v>74</v>
      </c>
      <c r="E19" t="s">
        <v>85</v>
      </c>
      <c r="F19" s="55">
        <v>95</v>
      </c>
      <c r="G19" s="63">
        <v>0.1057</v>
      </c>
    </row>
    <row r="20" spans="1:7" x14ac:dyDescent="0.2">
      <c r="A20" t="s">
        <v>71</v>
      </c>
      <c r="B20" t="s">
        <v>72</v>
      </c>
      <c r="C20" t="s">
        <v>73</v>
      </c>
      <c r="D20" t="s">
        <v>74</v>
      </c>
      <c r="E20" t="s">
        <v>86</v>
      </c>
      <c r="F20" s="55">
        <v>94</v>
      </c>
      <c r="G20" s="63">
        <v>0.1386</v>
      </c>
    </row>
    <row r="21" spans="1:7" x14ac:dyDescent="0.2">
      <c r="A21" t="s">
        <v>71</v>
      </c>
      <c r="B21" t="s">
        <v>72</v>
      </c>
      <c r="C21" t="s">
        <v>73</v>
      </c>
      <c r="D21" t="s">
        <v>74</v>
      </c>
      <c r="E21" t="s">
        <v>87</v>
      </c>
      <c r="F21" s="55">
        <v>94</v>
      </c>
      <c r="G21" s="63">
        <v>0.15590000000000001</v>
      </c>
    </row>
    <row r="22" spans="1:7" x14ac:dyDescent="0.2">
      <c r="A22" t="s">
        <v>71</v>
      </c>
      <c r="B22" t="s">
        <v>72</v>
      </c>
      <c r="C22" t="s">
        <v>73</v>
      </c>
      <c r="D22" t="s">
        <v>74</v>
      </c>
      <c r="E22" t="s">
        <v>88</v>
      </c>
      <c r="F22" s="55">
        <v>104</v>
      </c>
      <c r="G22" s="63">
        <v>9.9199999999999997E-2</v>
      </c>
    </row>
    <row r="23" spans="1:7" x14ac:dyDescent="0.2">
      <c r="A23" t="s">
        <v>89</v>
      </c>
      <c r="B23" t="s">
        <v>90</v>
      </c>
      <c r="C23" t="s">
        <v>73</v>
      </c>
      <c r="D23" t="s">
        <v>91</v>
      </c>
      <c r="E23" t="s">
        <v>75</v>
      </c>
      <c r="F23" s="55">
        <v>100</v>
      </c>
      <c r="G23" s="63">
        <v>0.86980000000000002</v>
      </c>
    </row>
    <row r="24" spans="1:7" x14ac:dyDescent="0.2">
      <c r="A24" t="s">
        <v>89</v>
      </c>
      <c r="B24" t="s">
        <v>90</v>
      </c>
      <c r="C24" t="s">
        <v>73</v>
      </c>
      <c r="D24" t="s">
        <v>91</v>
      </c>
      <c r="E24" t="s">
        <v>76</v>
      </c>
      <c r="F24" s="55">
        <v>93</v>
      </c>
      <c r="G24" s="63">
        <v>0.39190000000000003</v>
      </c>
    </row>
    <row r="25" spans="1:7" x14ac:dyDescent="0.2">
      <c r="A25" t="s">
        <v>89</v>
      </c>
      <c r="B25" t="s">
        <v>90</v>
      </c>
      <c r="C25" t="s">
        <v>73</v>
      </c>
      <c r="D25" t="s">
        <v>91</v>
      </c>
      <c r="E25" t="s">
        <v>77</v>
      </c>
      <c r="F25" s="55">
        <v>102</v>
      </c>
      <c r="G25" s="63">
        <v>0.56740000000000002</v>
      </c>
    </row>
    <row r="26" spans="1:7" x14ac:dyDescent="0.2">
      <c r="A26" t="s">
        <v>89</v>
      </c>
      <c r="B26" t="s">
        <v>90</v>
      </c>
      <c r="C26" t="s">
        <v>73</v>
      </c>
      <c r="D26" t="s">
        <v>91</v>
      </c>
      <c r="E26" t="s">
        <v>78</v>
      </c>
      <c r="F26" s="55">
        <v>103</v>
      </c>
      <c r="G26" s="63">
        <v>0.60209999999999997</v>
      </c>
    </row>
    <row r="27" spans="1:7" x14ac:dyDescent="0.2">
      <c r="A27" t="s">
        <v>89</v>
      </c>
      <c r="B27" t="s">
        <v>90</v>
      </c>
      <c r="C27" t="s">
        <v>73</v>
      </c>
      <c r="D27" t="s">
        <v>91</v>
      </c>
      <c r="E27" t="s">
        <v>79</v>
      </c>
      <c r="F27" s="55">
        <v>102</v>
      </c>
      <c r="G27" s="63">
        <v>0.78580000000000005</v>
      </c>
    </row>
    <row r="28" spans="1:7" x14ac:dyDescent="0.2">
      <c r="A28" t="s">
        <v>89</v>
      </c>
      <c r="B28" t="s">
        <v>90</v>
      </c>
      <c r="C28" t="s">
        <v>73</v>
      </c>
      <c r="D28" t="s">
        <v>91</v>
      </c>
      <c r="E28" t="s">
        <v>80</v>
      </c>
      <c r="F28" s="55">
        <v>97</v>
      </c>
      <c r="G28" s="63">
        <v>0.35899999999999999</v>
      </c>
    </row>
    <row r="29" spans="1:7" x14ac:dyDescent="0.2">
      <c r="A29" t="s">
        <v>89</v>
      </c>
      <c r="B29" t="s">
        <v>90</v>
      </c>
      <c r="C29" t="s">
        <v>73</v>
      </c>
      <c r="D29" t="s">
        <v>91</v>
      </c>
      <c r="E29" t="s">
        <v>81</v>
      </c>
      <c r="F29" s="55">
        <v>91</v>
      </c>
      <c r="G29" s="63">
        <v>0.38450000000000001</v>
      </c>
    </row>
    <row r="30" spans="1:7" x14ac:dyDescent="0.2">
      <c r="A30" t="s">
        <v>89</v>
      </c>
      <c r="B30" t="s">
        <v>90</v>
      </c>
      <c r="C30" t="s">
        <v>73</v>
      </c>
      <c r="D30" t="s">
        <v>91</v>
      </c>
      <c r="E30" t="s">
        <v>82</v>
      </c>
      <c r="F30" s="55">
        <v>96</v>
      </c>
      <c r="G30" s="63">
        <v>0.7177</v>
      </c>
    </row>
    <row r="31" spans="1:7" x14ac:dyDescent="0.2">
      <c r="A31" t="s">
        <v>89</v>
      </c>
      <c r="B31" t="s">
        <v>90</v>
      </c>
      <c r="C31" t="s">
        <v>73</v>
      </c>
      <c r="D31" t="s">
        <v>91</v>
      </c>
      <c r="E31" t="s">
        <v>83</v>
      </c>
      <c r="F31" s="55">
        <v>89</v>
      </c>
      <c r="G31" s="63">
        <v>0.29339999999999999</v>
      </c>
    </row>
    <row r="32" spans="1:7" x14ac:dyDescent="0.2">
      <c r="A32" t="s">
        <v>89</v>
      </c>
      <c r="B32" t="s">
        <v>90</v>
      </c>
      <c r="C32" t="s">
        <v>73</v>
      </c>
      <c r="D32" t="s">
        <v>91</v>
      </c>
      <c r="E32" t="s">
        <v>84</v>
      </c>
      <c r="F32" s="55">
        <v>104</v>
      </c>
      <c r="G32" s="63">
        <v>0.50519999999999998</v>
      </c>
    </row>
    <row r="33" spans="1:7" x14ac:dyDescent="0.2">
      <c r="A33" t="s">
        <v>89</v>
      </c>
      <c r="B33" t="s">
        <v>90</v>
      </c>
      <c r="C33" t="s">
        <v>73</v>
      </c>
      <c r="D33" t="s">
        <v>91</v>
      </c>
      <c r="E33" t="s">
        <v>85</v>
      </c>
      <c r="F33" s="55">
        <v>99</v>
      </c>
      <c r="G33" s="63">
        <v>0.48330000000000001</v>
      </c>
    </row>
    <row r="34" spans="1:7" x14ac:dyDescent="0.2">
      <c r="A34" t="s">
        <v>89</v>
      </c>
      <c r="B34" t="s">
        <v>90</v>
      </c>
      <c r="C34" t="s">
        <v>73</v>
      </c>
      <c r="D34" t="s">
        <v>91</v>
      </c>
      <c r="E34" t="s">
        <v>86</v>
      </c>
      <c r="F34" s="55">
        <v>100</v>
      </c>
      <c r="G34" s="63">
        <v>0.5746</v>
      </c>
    </row>
    <row r="35" spans="1:7" x14ac:dyDescent="0.2">
      <c r="A35" t="s">
        <v>89</v>
      </c>
      <c r="B35" t="s">
        <v>90</v>
      </c>
      <c r="C35" t="s">
        <v>73</v>
      </c>
      <c r="D35" t="s">
        <v>91</v>
      </c>
      <c r="E35" t="s">
        <v>87</v>
      </c>
      <c r="F35" s="55">
        <v>104</v>
      </c>
      <c r="G35" s="63">
        <v>0.63060000000000005</v>
      </c>
    </row>
    <row r="36" spans="1:7" x14ac:dyDescent="0.2">
      <c r="A36" t="s">
        <v>89</v>
      </c>
      <c r="B36" t="s">
        <v>90</v>
      </c>
      <c r="C36" t="s">
        <v>73</v>
      </c>
      <c r="D36" t="s">
        <v>91</v>
      </c>
      <c r="E36" t="s">
        <v>88</v>
      </c>
      <c r="F36" s="55">
        <v>94</v>
      </c>
      <c r="G36" s="63">
        <v>0.51</v>
      </c>
    </row>
    <row r="37" spans="1:7" x14ac:dyDescent="0.2">
      <c r="A37" t="s">
        <v>71</v>
      </c>
      <c r="B37" t="s">
        <v>92</v>
      </c>
      <c r="C37" t="s">
        <v>73</v>
      </c>
      <c r="D37" t="s">
        <v>74</v>
      </c>
      <c r="E37" t="s">
        <v>75</v>
      </c>
      <c r="F37" s="55">
        <v>127</v>
      </c>
      <c r="G37" s="63">
        <v>9.9000000000000008E-3</v>
      </c>
    </row>
    <row r="38" spans="1:7" x14ac:dyDescent="0.2">
      <c r="A38" t="s">
        <v>71</v>
      </c>
      <c r="B38" t="s">
        <v>92</v>
      </c>
      <c r="C38" t="s">
        <v>73</v>
      </c>
      <c r="D38" t="s">
        <v>74</v>
      </c>
      <c r="E38" t="s">
        <v>77</v>
      </c>
      <c r="F38" s="55">
        <v>116</v>
      </c>
      <c r="G38" s="63">
        <v>2.2000000000000001E-3</v>
      </c>
    </row>
    <row r="39" spans="1:7" x14ac:dyDescent="0.2">
      <c r="A39" t="s">
        <v>71</v>
      </c>
      <c r="B39" t="s">
        <v>92</v>
      </c>
      <c r="C39" t="s">
        <v>73</v>
      </c>
      <c r="D39" t="s">
        <v>74</v>
      </c>
      <c r="E39" t="s">
        <v>78</v>
      </c>
      <c r="F39" s="55">
        <v>120</v>
      </c>
      <c r="G39" s="63">
        <v>2.7000000000000001E-3</v>
      </c>
    </row>
    <row r="40" spans="1:7" x14ac:dyDescent="0.2">
      <c r="A40" t="s">
        <v>71</v>
      </c>
      <c r="B40" t="s">
        <v>92</v>
      </c>
      <c r="C40" t="s">
        <v>73</v>
      </c>
      <c r="D40" t="s">
        <v>74</v>
      </c>
      <c r="E40" t="s">
        <v>79</v>
      </c>
      <c r="F40" s="55">
        <v>127</v>
      </c>
      <c r="G40" s="63">
        <v>6.6E-3</v>
      </c>
    </row>
    <row r="41" spans="1:7" x14ac:dyDescent="0.2">
      <c r="A41" t="s">
        <v>71</v>
      </c>
      <c r="B41" t="s">
        <v>92</v>
      </c>
      <c r="C41" t="s">
        <v>73</v>
      </c>
      <c r="D41" t="s">
        <v>74</v>
      </c>
      <c r="E41" t="s">
        <v>82</v>
      </c>
      <c r="F41" s="55">
        <v>128</v>
      </c>
      <c r="G41" s="63">
        <v>5.1000000000000004E-3</v>
      </c>
    </row>
    <row r="42" spans="1:7" x14ac:dyDescent="0.2">
      <c r="A42" t="s">
        <v>71</v>
      </c>
      <c r="B42" t="s">
        <v>92</v>
      </c>
      <c r="C42" t="s">
        <v>73</v>
      </c>
      <c r="D42" t="s">
        <v>74</v>
      </c>
      <c r="E42" t="s">
        <v>85</v>
      </c>
      <c r="F42" s="55">
        <v>154</v>
      </c>
      <c r="G42" s="63">
        <v>1.6000000000000001E-3</v>
      </c>
    </row>
    <row r="43" spans="1:7" x14ac:dyDescent="0.2">
      <c r="A43" t="s">
        <v>71</v>
      </c>
      <c r="B43" t="s">
        <v>92</v>
      </c>
      <c r="C43" t="s">
        <v>73</v>
      </c>
      <c r="D43" t="s">
        <v>74</v>
      </c>
      <c r="E43" t="s">
        <v>86</v>
      </c>
      <c r="F43" s="55">
        <v>148</v>
      </c>
      <c r="G43" s="63">
        <v>3.3999999999999998E-3</v>
      </c>
    </row>
    <row r="44" spans="1:7" x14ac:dyDescent="0.2">
      <c r="A44" t="s">
        <v>71</v>
      </c>
      <c r="B44" t="s">
        <v>92</v>
      </c>
      <c r="C44" t="s">
        <v>73</v>
      </c>
      <c r="D44" t="s">
        <v>74</v>
      </c>
      <c r="E44" t="s">
        <v>87</v>
      </c>
      <c r="F44" s="55">
        <v>136</v>
      </c>
      <c r="G44" s="63">
        <v>3.8999999999999998E-3</v>
      </c>
    </row>
    <row r="45" spans="1:7" x14ac:dyDescent="0.2">
      <c r="A45" t="s">
        <v>89</v>
      </c>
      <c r="B45" t="s">
        <v>93</v>
      </c>
      <c r="C45" t="s">
        <v>73</v>
      </c>
      <c r="D45" t="s">
        <v>74</v>
      </c>
      <c r="E45" t="s">
        <v>75</v>
      </c>
      <c r="F45" s="55">
        <v>99</v>
      </c>
      <c r="G45" s="63">
        <v>8.7400000000000005E-2</v>
      </c>
    </row>
    <row r="46" spans="1:7" x14ac:dyDescent="0.2">
      <c r="A46" t="s">
        <v>89</v>
      </c>
      <c r="B46" t="s">
        <v>93</v>
      </c>
      <c r="C46" t="s">
        <v>73</v>
      </c>
      <c r="D46" t="s">
        <v>74</v>
      </c>
      <c r="E46" t="s">
        <v>76</v>
      </c>
      <c r="F46" s="55">
        <v>105</v>
      </c>
      <c r="G46" s="63">
        <v>1.2500000000000001E-2</v>
      </c>
    </row>
    <row r="47" spans="1:7" x14ac:dyDescent="0.2">
      <c r="A47" t="s">
        <v>89</v>
      </c>
      <c r="B47" t="s">
        <v>93</v>
      </c>
      <c r="C47" t="s">
        <v>73</v>
      </c>
      <c r="D47" t="s">
        <v>74</v>
      </c>
      <c r="E47" t="s">
        <v>77</v>
      </c>
      <c r="F47" s="55">
        <v>102</v>
      </c>
      <c r="G47" s="63">
        <v>3.0499999999999999E-2</v>
      </c>
    </row>
    <row r="48" spans="1:7" x14ac:dyDescent="0.2">
      <c r="A48" t="s">
        <v>89</v>
      </c>
      <c r="B48" t="s">
        <v>93</v>
      </c>
      <c r="C48" t="s">
        <v>73</v>
      </c>
      <c r="D48" t="s">
        <v>74</v>
      </c>
      <c r="E48" t="s">
        <v>78</v>
      </c>
      <c r="F48" s="55">
        <v>98</v>
      </c>
      <c r="G48" s="63">
        <v>2.3900000000000001E-2</v>
      </c>
    </row>
    <row r="49" spans="1:7" x14ac:dyDescent="0.2">
      <c r="A49" t="s">
        <v>89</v>
      </c>
      <c r="B49" t="s">
        <v>93</v>
      </c>
      <c r="C49" t="s">
        <v>73</v>
      </c>
      <c r="D49" t="s">
        <v>74</v>
      </c>
      <c r="E49" t="s">
        <v>79</v>
      </c>
      <c r="F49" s="55">
        <v>101</v>
      </c>
      <c r="G49" s="63">
        <v>5.2400000000000002E-2</v>
      </c>
    </row>
    <row r="50" spans="1:7" x14ac:dyDescent="0.2">
      <c r="A50" t="s">
        <v>89</v>
      </c>
      <c r="B50" t="s">
        <v>93</v>
      </c>
      <c r="C50" t="s">
        <v>73</v>
      </c>
      <c r="D50" t="s">
        <v>74</v>
      </c>
      <c r="E50" t="s">
        <v>80</v>
      </c>
      <c r="F50" s="55">
        <v>98</v>
      </c>
      <c r="G50" s="63">
        <v>1.5800000000000002E-2</v>
      </c>
    </row>
    <row r="51" spans="1:7" x14ac:dyDescent="0.2">
      <c r="A51" t="s">
        <v>89</v>
      </c>
      <c r="B51" t="s">
        <v>93</v>
      </c>
      <c r="C51" t="s">
        <v>73</v>
      </c>
      <c r="D51" t="s">
        <v>74</v>
      </c>
      <c r="E51" t="s">
        <v>81</v>
      </c>
      <c r="F51" s="55">
        <v>92</v>
      </c>
      <c r="G51" s="63">
        <v>1.78E-2</v>
      </c>
    </row>
    <row r="52" spans="1:7" x14ac:dyDescent="0.2">
      <c r="A52" t="s">
        <v>89</v>
      </c>
      <c r="B52" t="s">
        <v>93</v>
      </c>
      <c r="C52" t="s">
        <v>73</v>
      </c>
      <c r="D52" t="s">
        <v>74</v>
      </c>
      <c r="E52" t="s">
        <v>82</v>
      </c>
      <c r="F52" s="55">
        <v>99</v>
      </c>
      <c r="G52" s="63">
        <v>4.0500000000000001E-2</v>
      </c>
    </row>
    <row r="53" spans="1:7" x14ac:dyDescent="0.2">
      <c r="A53" t="s">
        <v>89</v>
      </c>
      <c r="B53" t="s">
        <v>93</v>
      </c>
      <c r="C53" t="s">
        <v>73</v>
      </c>
      <c r="D53" t="s">
        <v>74</v>
      </c>
      <c r="E53" t="s">
        <v>83</v>
      </c>
      <c r="F53" s="55">
        <v>102</v>
      </c>
      <c r="G53" s="63">
        <v>9.9000000000000008E-3</v>
      </c>
    </row>
    <row r="54" spans="1:7" x14ac:dyDescent="0.2">
      <c r="A54" t="s">
        <v>89</v>
      </c>
      <c r="B54" t="s">
        <v>93</v>
      </c>
      <c r="C54" t="s">
        <v>73</v>
      </c>
      <c r="D54" t="s">
        <v>74</v>
      </c>
      <c r="E54" t="s">
        <v>84</v>
      </c>
      <c r="F54" s="55">
        <v>99</v>
      </c>
      <c r="G54" s="63">
        <v>1.7899999999999999E-2</v>
      </c>
    </row>
    <row r="55" spans="1:7" x14ac:dyDescent="0.2">
      <c r="A55" t="s">
        <v>89</v>
      </c>
      <c r="B55" t="s">
        <v>93</v>
      </c>
      <c r="C55" t="s">
        <v>73</v>
      </c>
      <c r="D55" t="s">
        <v>74</v>
      </c>
      <c r="E55" t="s">
        <v>85</v>
      </c>
      <c r="F55" s="55">
        <v>105</v>
      </c>
      <c r="G55" s="63">
        <v>1.7100000000000001E-2</v>
      </c>
    </row>
    <row r="56" spans="1:7" x14ac:dyDescent="0.2">
      <c r="A56" t="s">
        <v>89</v>
      </c>
      <c r="B56" t="s">
        <v>93</v>
      </c>
      <c r="C56" t="s">
        <v>73</v>
      </c>
      <c r="D56" t="s">
        <v>74</v>
      </c>
      <c r="E56" t="s">
        <v>86</v>
      </c>
      <c r="F56" s="55">
        <v>100</v>
      </c>
      <c r="G56" s="63">
        <v>2.0899999999999998E-2</v>
      </c>
    </row>
    <row r="57" spans="1:7" x14ac:dyDescent="0.2">
      <c r="A57" t="s">
        <v>89</v>
      </c>
      <c r="B57" t="s">
        <v>93</v>
      </c>
      <c r="C57" t="s">
        <v>73</v>
      </c>
      <c r="D57" t="s">
        <v>74</v>
      </c>
      <c r="E57" t="s">
        <v>87</v>
      </c>
      <c r="F57" s="55">
        <v>99</v>
      </c>
      <c r="G57" s="63">
        <v>2.3699999999999999E-2</v>
      </c>
    </row>
    <row r="58" spans="1:7" x14ac:dyDescent="0.2">
      <c r="A58" t="s">
        <v>89</v>
      </c>
      <c r="B58" t="s">
        <v>93</v>
      </c>
      <c r="C58" t="s">
        <v>73</v>
      </c>
      <c r="D58" t="s">
        <v>74</v>
      </c>
      <c r="E58" t="s">
        <v>88</v>
      </c>
      <c r="F58" s="55">
        <v>101</v>
      </c>
      <c r="G58" s="63">
        <v>1.9699999999999999E-2</v>
      </c>
    </row>
    <row r="59" spans="1:7" x14ac:dyDescent="0.2">
      <c r="A59" t="s">
        <v>71</v>
      </c>
      <c r="B59" t="s">
        <v>4</v>
      </c>
      <c r="C59" t="s">
        <v>73</v>
      </c>
      <c r="D59" t="s">
        <v>74</v>
      </c>
      <c r="E59" t="s">
        <v>75</v>
      </c>
      <c r="F59" s="55">
        <v>97</v>
      </c>
      <c r="G59" s="63">
        <v>0.43530000000000002</v>
      </c>
    </row>
    <row r="60" spans="1:7" x14ac:dyDescent="0.2">
      <c r="A60" t="s">
        <v>71</v>
      </c>
      <c r="B60" t="s">
        <v>4</v>
      </c>
      <c r="C60" t="s">
        <v>73</v>
      </c>
      <c r="D60" t="s">
        <v>74</v>
      </c>
      <c r="E60" t="s">
        <v>76</v>
      </c>
      <c r="F60" s="55">
        <v>103</v>
      </c>
      <c r="G60" s="63">
        <v>4.3299999999999998E-2</v>
      </c>
    </row>
    <row r="61" spans="1:7" x14ac:dyDescent="0.2">
      <c r="A61" t="s">
        <v>71</v>
      </c>
      <c r="B61" t="s">
        <v>4</v>
      </c>
      <c r="C61" t="s">
        <v>73</v>
      </c>
      <c r="D61" t="s">
        <v>74</v>
      </c>
      <c r="E61" t="s">
        <v>77</v>
      </c>
      <c r="F61" s="55">
        <v>105</v>
      </c>
      <c r="G61" s="63">
        <v>0.18360000000000001</v>
      </c>
    </row>
    <row r="62" spans="1:7" x14ac:dyDescent="0.2">
      <c r="A62" t="s">
        <v>71</v>
      </c>
      <c r="B62" t="s">
        <v>4</v>
      </c>
      <c r="C62" t="s">
        <v>73</v>
      </c>
      <c r="D62" t="s">
        <v>74</v>
      </c>
      <c r="E62" t="s">
        <v>78</v>
      </c>
      <c r="F62" s="55">
        <v>99</v>
      </c>
      <c r="G62" s="63">
        <v>0.16589999999999999</v>
      </c>
    </row>
    <row r="63" spans="1:7" x14ac:dyDescent="0.2">
      <c r="A63" t="s">
        <v>71</v>
      </c>
      <c r="B63" t="s">
        <v>4</v>
      </c>
      <c r="C63" t="s">
        <v>73</v>
      </c>
      <c r="D63" t="s">
        <v>74</v>
      </c>
      <c r="E63" t="s">
        <v>79</v>
      </c>
      <c r="F63" s="55">
        <v>95</v>
      </c>
      <c r="G63" s="63">
        <v>0.3236</v>
      </c>
    </row>
    <row r="64" spans="1:7" x14ac:dyDescent="0.2">
      <c r="A64" t="s">
        <v>71</v>
      </c>
      <c r="B64" t="s">
        <v>4</v>
      </c>
      <c r="C64" t="s">
        <v>73</v>
      </c>
      <c r="D64" t="s">
        <v>74</v>
      </c>
      <c r="E64" t="s">
        <v>80</v>
      </c>
      <c r="F64" s="55">
        <v>93</v>
      </c>
      <c r="G64" s="63">
        <v>0.1002</v>
      </c>
    </row>
    <row r="65" spans="1:7" x14ac:dyDescent="0.2">
      <c r="A65" t="s">
        <v>71</v>
      </c>
      <c r="B65" t="s">
        <v>4</v>
      </c>
      <c r="C65" t="s">
        <v>73</v>
      </c>
      <c r="D65" t="s">
        <v>74</v>
      </c>
      <c r="E65" t="s">
        <v>81</v>
      </c>
      <c r="F65" s="55">
        <v>93</v>
      </c>
      <c r="G65" s="63">
        <v>0.104</v>
      </c>
    </row>
    <row r="66" spans="1:7" x14ac:dyDescent="0.2">
      <c r="A66" t="s">
        <v>71</v>
      </c>
      <c r="B66" t="s">
        <v>4</v>
      </c>
      <c r="C66" t="s">
        <v>73</v>
      </c>
      <c r="D66" t="s">
        <v>74</v>
      </c>
      <c r="E66" t="s">
        <v>82</v>
      </c>
      <c r="F66" s="55">
        <v>95</v>
      </c>
      <c r="G66" s="63">
        <v>0.24790000000000001</v>
      </c>
    </row>
    <row r="67" spans="1:7" x14ac:dyDescent="0.2">
      <c r="A67" t="s">
        <v>71</v>
      </c>
      <c r="B67" t="s">
        <v>4</v>
      </c>
      <c r="C67" t="s">
        <v>73</v>
      </c>
      <c r="D67" t="s">
        <v>74</v>
      </c>
      <c r="E67" t="s">
        <v>83</v>
      </c>
      <c r="F67" s="55">
        <v>102</v>
      </c>
      <c r="G67" s="63">
        <v>4.0800000000000003E-2</v>
      </c>
    </row>
    <row r="68" spans="1:7" x14ac:dyDescent="0.2">
      <c r="A68" t="s">
        <v>71</v>
      </c>
      <c r="B68" t="s">
        <v>4</v>
      </c>
      <c r="C68" t="s">
        <v>73</v>
      </c>
      <c r="D68" t="s">
        <v>74</v>
      </c>
      <c r="E68" t="s">
        <v>84</v>
      </c>
      <c r="F68" s="55">
        <v>101</v>
      </c>
      <c r="G68" s="63">
        <v>0.1293</v>
      </c>
    </row>
    <row r="69" spans="1:7" x14ac:dyDescent="0.2">
      <c r="A69" t="s">
        <v>71</v>
      </c>
      <c r="B69" t="s">
        <v>4</v>
      </c>
      <c r="C69" t="s">
        <v>73</v>
      </c>
      <c r="D69" t="s">
        <v>74</v>
      </c>
      <c r="E69" t="s">
        <v>85</v>
      </c>
      <c r="F69" s="55">
        <v>92</v>
      </c>
      <c r="G69" s="63">
        <v>0.1198</v>
      </c>
    </row>
    <row r="70" spans="1:7" x14ac:dyDescent="0.2">
      <c r="A70" t="s">
        <v>71</v>
      </c>
      <c r="B70" t="s">
        <v>4</v>
      </c>
      <c r="C70" t="s">
        <v>73</v>
      </c>
      <c r="D70" t="s">
        <v>74</v>
      </c>
      <c r="E70" t="s">
        <v>86</v>
      </c>
      <c r="F70" s="55">
        <v>93</v>
      </c>
      <c r="G70" s="63">
        <v>0.16389999999999999</v>
      </c>
    </row>
    <row r="71" spans="1:7" x14ac:dyDescent="0.2">
      <c r="A71" t="s">
        <v>71</v>
      </c>
      <c r="B71" t="s">
        <v>4</v>
      </c>
      <c r="C71" t="s">
        <v>73</v>
      </c>
      <c r="D71" t="s">
        <v>74</v>
      </c>
      <c r="E71" t="s">
        <v>87</v>
      </c>
      <c r="F71" s="55">
        <v>96</v>
      </c>
      <c r="G71" s="63">
        <v>0.19550000000000001</v>
      </c>
    </row>
    <row r="72" spans="1:7" x14ac:dyDescent="0.2">
      <c r="A72" t="s">
        <v>71</v>
      </c>
      <c r="B72" t="s">
        <v>4</v>
      </c>
      <c r="C72" t="s">
        <v>73</v>
      </c>
      <c r="D72" t="s">
        <v>74</v>
      </c>
      <c r="E72" t="s">
        <v>88</v>
      </c>
      <c r="F72" s="55">
        <v>97</v>
      </c>
      <c r="G72" s="63">
        <v>9.6000000000000002E-2</v>
      </c>
    </row>
    <row r="73" spans="1:7" x14ac:dyDescent="0.2">
      <c r="A73" t="s">
        <v>71</v>
      </c>
      <c r="B73" t="s">
        <v>94</v>
      </c>
      <c r="C73" t="s">
        <v>73</v>
      </c>
      <c r="D73" t="s">
        <v>74</v>
      </c>
      <c r="E73" t="s">
        <v>75</v>
      </c>
      <c r="F73" s="55">
        <v>110</v>
      </c>
      <c r="G73" s="63">
        <v>0.28889999999999999</v>
      </c>
    </row>
    <row r="74" spans="1:7" x14ac:dyDescent="0.2">
      <c r="A74" t="s">
        <v>71</v>
      </c>
      <c r="B74" t="s">
        <v>94</v>
      </c>
      <c r="C74" t="s">
        <v>73</v>
      </c>
      <c r="D74" t="s">
        <v>74</v>
      </c>
      <c r="E74" t="s">
        <v>76</v>
      </c>
      <c r="F74" s="55">
        <v>107</v>
      </c>
      <c r="G74" s="63">
        <v>3.4799999999999998E-2</v>
      </c>
    </row>
    <row r="75" spans="1:7" x14ac:dyDescent="0.2">
      <c r="A75" t="s">
        <v>71</v>
      </c>
      <c r="B75" t="s">
        <v>94</v>
      </c>
      <c r="C75" t="s">
        <v>73</v>
      </c>
      <c r="D75" t="s">
        <v>74</v>
      </c>
      <c r="E75" t="s">
        <v>77</v>
      </c>
      <c r="F75" s="55">
        <v>109</v>
      </c>
      <c r="G75" s="63">
        <v>9.5100000000000004E-2</v>
      </c>
    </row>
    <row r="76" spans="1:7" x14ac:dyDescent="0.2">
      <c r="A76" t="s">
        <v>71</v>
      </c>
      <c r="B76" t="s">
        <v>94</v>
      </c>
      <c r="C76" t="s">
        <v>73</v>
      </c>
      <c r="D76" t="s">
        <v>74</v>
      </c>
      <c r="E76" t="s">
        <v>78</v>
      </c>
      <c r="F76" s="55">
        <v>107</v>
      </c>
      <c r="G76" s="63">
        <v>7.7600000000000002E-2</v>
      </c>
    </row>
    <row r="77" spans="1:7" x14ac:dyDescent="0.2">
      <c r="A77" t="s">
        <v>71</v>
      </c>
      <c r="B77" t="s">
        <v>94</v>
      </c>
      <c r="C77" t="s">
        <v>73</v>
      </c>
      <c r="D77" t="s">
        <v>74</v>
      </c>
      <c r="E77" t="s">
        <v>79</v>
      </c>
      <c r="F77" s="55">
        <v>114</v>
      </c>
      <c r="G77" s="63">
        <v>0.188</v>
      </c>
    </row>
    <row r="78" spans="1:7" x14ac:dyDescent="0.2">
      <c r="A78" t="s">
        <v>71</v>
      </c>
      <c r="B78" t="s">
        <v>94</v>
      </c>
      <c r="C78" t="s">
        <v>73</v>
      </c>
      <c r="D78" t="s">
        <v>74</v>
      </c>
      <c r="E78" t="s">
        <v>80</v>
      </c>
      <c r="F78" s="55">
        <v>108</v>
      </c>
      <c r="G78" s="63">
        <v>5.0200000000000002E-2</v>
      </c>
    </row>
    <row r="79" spans="1:7" x14ac:dyDescent="0.2">
      <c r="A79" t="s">
        <v>71</v>
      </c>
      <c r="B79" t="s">
        <v>94</v>
      </c>
      <c r="C79" t="s">
        <v>73</v>
      </c>
      <c r="D79" t="s">
        <v>74</v>
      </c>
      <c r="E79" t="s">
        <v>81</v>
      </c>
      <c r="F79" s="55">
        <v>98</v>
      </c>
      <c r="G79" s="63">
        <v>5.5300000000000002E-2</v>
      </c>
    </row>
    <row r="80" spans="1:7" x14ac:dyDescent="0.2">
      <c r="A80" t="s">
        <v>71</v>
      </c>
      <c r="B80" t="s">
        <v>94</v>
      </c>
      <c r="C80" t="s">
        <v>73</v>
      </c>
      <c r="D80" t="s">
        <v>74</v>
      </c>
      <c r="E80" t="s">
        <v>82</v>
      </c>
      <c r="F80" s="55">
        <v>113</v>
      </c>
      <c r="G80" s="63">
        <v>0.15010000000000001</v>
      </c>
    </row>
    <row r="81" spans="1:7" x14ac:dyDescent="0.2">
      <c r="A81" t="s">
        <v>71</v>
      </c>
      <c r="B81" t="s">
        <v>94</v>
      </c>
      <c r="C81" t="s">
        <v>73</v>
      </c>
      <c r="D81" t="s">
        <v>74</v>
      </c>
      <c r="E81" t="s">
        <v>83</v>
      </c>
      <c r="F81" s="55">
        <v>92</v>
      </c>
      <c r="G81" s="63">
        <v>2.7300000000000001E-2</v>
      </c>
    </row>
    <row r="82" spans="1:7" x14ac:dyDescent="0.2">
      <c r="A82" t="s">
        <v>71</v>
      </c>
      <c r="B82" t="s">
        <v>94</v>
      </c>
      <c r="C82" t="s">
        <v>73</v>
      </c>
      <c r="D82" t="s">
        <v>74</v>
      </c>
      <c r="E82" t="s">
        <v>84</v>
      </c>
      <c r="F82" s="55">
        <v>109</v>
      </c>
      <c r="G82" s="63">
        <v>5.8799999999999998E-2</v>
      </c>
    </row>
    <row r="83" spans="1:7" x14ac:dyDescent="0.2">
      <c r="A83" t="s">
        <v>71</v>
      </c>
      <c r="B83" t="s">
        <v>94</v>
      </c>
      <c r="C83" t="s">
        <v>73</v>
      </c>
      <c r="D83" t="s">
        <v>74</v>
      </c>
      <c r="E83" t="s">
        <v>85</v>
      </c>
      <c r="F83" s="55">
        <v>109</v>
      </c>
      <c r="G83" s="63">
        <v>5.79E-2</v>
      </c>
    </row>
    <row r="84" spans="1:7" x14ac:dyDescent="0.2">
      <c r="A84" t="s">
        <v>71</v>
      </c>
      <c r="B84" t="s">
        <v>94</v>
      </c>
      <c r="C84" t="s">
        <v>73</v>
      </c>
      <c r="D84" t="s">
        <v>74</v>
      </c>
      <c r="E84" t="s">
        <v>86</v>
      </c>
      <c r="F84" s="55">
        <v>109</v>
      </c>
      <c r="G84" s="63">
        <v>8.14E-2</v>
      </c>
    </row>
    <row r="85" spans="1:7" x14ac:dyDescent="0.2">
      <c r="A85" t="s">
        <v>71</v>
      </c>
      <c r="B85" t="s">
        <v>94</v>
      </c>
      <c r="C85" t="s">
        <v>73</v>
      </c>
      <c r="D85" t="s">
        <v>74</v>
      </c>
      <c r="E85" t="s">
        <v>87</v>
      </c>
      <c r="F85" s="55">
        <v>116</v>
      </c>
      <c r="G85" s="63">
        <v>9.7100000000000006E-2</v>
      </c>
    </row>
    <row r="86" spans="1:7" x14ac:dyDescent="0.2">
      <c r="A86" t="s">
        <v>71</v>
      </c>
      <c r="B86" t="s">
        <v>94</v>
      </c>
      <c r="C86" t="s">
        <v>73</v>
      </c>
      <c r="D86" t="s">
        <v>74</v>
      </c>
      <c r="E86" t="s">
        <v>88</v>
      </c>
      <c r="F86" s="55">
        <v>103</v>
      </c>
      <c r="G86" s="63">
        <v>5.7799999999999997E-2</v>
      </c>
    </row>
    <row r="87" spans="1:7" x14ac:dyDescent="0.2">
      <c r="A87" t="s">
        <v>89</v>
      </c>
      <c r="B87" t="s">
        <v>95</v>
      </c>
      <c r="C87" t="s">
        <v>73</v>
      </c>
      <c r="D87" t="s">
        <v>74</v>
      </c>
      <c r="E87" t="s">
        <v>75</v>
      </c>
      <c r="F87" s="55">
        <v>79</v>
      </c>
      <c r="G87" s="63">
        <v>2.4E-2</v>
      </c>
    </row>
    <row r="88" spans="1:7" x14ac:dyDescent="0.2">
      <c r="A88" t="s">
        <v>89</v>
      </c>
      <c r="B88" t="s">
        <v>95</v>
      </c>
      <c r="C88" t="s">
        <v>73</v>
      </c>
      <c r="D88" t="s">
        <v>74</v>
      </c>
      <c r="E88" t="s">
        <v>76</v>
      </c>
      <c r="F88" s="55">
        <v>69</v>
      </c>
      <c r="G88" s="63">
        <v>1.9E-3</v>
      </c>
    </row>
    <row r="89" spans="1:7" x14ac:dyDescent="0.2">
      <c r="A89" t="s">
        <v>89</v>
      </c>
      <c r="B89" t="s">
        <v>95</v>
      </c>
      <c r="C89" t="s">
        <v>73</v>
      </c>
      <c r="D89" t="s">
        <v>74</v>
      </c>
      <c r="E89" t="s">
        <v>77</v>
      </c>
      <c r="F89" s="55">
        <v>81</v>
      </c>
      <c r="G89" s="63">
        <v>6.7000000000000002E-3</v>
      </c>
    </row>
    <row r="90" spans="1:7" x14ac:dyDescent="0.2">
      <c r="A90" t="s">
        <v>89</v>
      </c>
      <c r="B90" t="s">
        <v>95</v>
      </c>
      <c r="C90" t="s">
        <v>73</v>
      </c>
      <c r="D90" t="s">
        <v>74</v>
      </c>
      <c r="E90" t="s">
        <v>78</v>
      </c>
      <c r="F90" s="55">
        <v>68</v>
      </c>
      <c r="G90" s="63">
        <v>4.1999999999999997E-3</v>
      </c>
    </row>
    <row r="91" spans="1:7" x14ac:dyDescent="0.2">
      <c r="A91" t="s">
        <v>89</v>
      </c>
      <c r="B91" t="s">
        <v>95</v>
      </c>
      <c r="C91" t="s">
        <v>73</v>
      </c>
      <c r="D91" t="s">
        <v>74</v>
      </c>
      <c r="E91" t="s">
        <v>79</v>
      </c>
      <c r="F91" s="55">
        <v>86</v>
      </c>
      <c r="G91" s="63">
        <v>1.3299999999999999E-2</v>
      </c>
    </row>
    <row r="92" spans="1:7" x14ac:dyDescent="0.2">
      <c r="A92" t="s">
        <v>89</v>
      </c>
      <c r="B92" t="s">
        <v>95</v>
      </c>
      <c r="C92" t="s">
        <v>73</v>
      </c>
      <c r="D92" t="s">
        <v>74</v>
      </c>
      <c r="E92" t="s">
        <v>80</v>
      </c>
      <c r="F92" s="55">
        <v>80</v>
      </c>
      <c r="G92" s="63">
        <v>4.1000000000000003E-3</v>
      </c>
    </row>
    <row r="93" spans="1:7" x14ac:dyDescent="0.2">
      <c r="A93" t="s">
        <v>89</v>
      </c>
      <c r="B93" t="s">
        <v>95</v>
      </c>
      <c r="C93" t="s">
        <v>73</v>
      </c>
      <c r="D93" t="s">
        <v>74</v>
      </c>
      <c r="E93" t="s">
        <v>81</v>
      </c>
      <c r="F93" s="55">
        <v>97</v>
      </c>
      <c r="G93" s="63">
        <v>3.3999999999999998E-3</v>
      </c>
    </row>
    <row r="94" spans="1:7" x14ac:dyDescent="0.2">
      <c r="A94" t="s">
        <v>89</v>
      </c>
      <c r="B94" t="s">
        <v>95</v>
      </c>
      <c r="C94" t="s">
        <v>73</v>
      </c>
      <c r="D94" t="s">
        <v>74</v>
      </c>
      <c r="E94" t="s">
        <v>82</v>
      </c>
      <c r="F94" s="55">
        <v>66</v>
      </c>
      <c r="G94" s="63">
        <v>9.4999999999999998E-3</v>
      </c>
    </row>
    <row r="95" spans="1:7" x14ac:dyDescent="0.2">
      <c r="A95" t="s">
        <v>89</v>
      </c>
      <c r="B95" t="s">
        <v>95</v>
      </c>
      <c r="C95" t="s">
        <v>73</v>
      </c>
      <c r="D95" t="s">
        <v>74</v>
      </c>
      <c r="E95" t="s">
        <v>84</v>
      </c>
      <c r="F95" s="55">
        <v>59</v>
      </c>
      <c r="G95" s="63">
        <v>2.3999999999999998E-3</v>
      </c>
    </row>
    <row r="96" spans="1:7" x14ac:dyDescent="0.2">
      <c r="A96" t="s">
        <v>89</v>
      </c>
      <c r="B96" t="s">
        <v>95</v>
      </c>
      <c r="C96" t="s">
        <v>73</v>
      </c>
      <c r="D96" t="s">
        <v>74</v>
      </c>
      <c r="E96" t="s">
        <v>85</v>
      </c>
      <c r="F96" s="55">
        <v>72</v>
      </c>
      <c r="G96" s="63">
        <v>3.5999999999999999E-3</v>
      </c>
    </row>
    <row r="97" spans="1:7" x14ac:dyDescent="0.2">
      <c r="A97" t="s">
        <v>89</v>
      </c>
      <c r="B97" t="s">
        <v>95</v>
      </c>
      <c r="C97" t="s">
        <v>73</v>
      </c>
      <c r="D97" t="s">
        <v>74</v>
      </c>
      <c r="E97" t="s">
        <v>86</v>
      </c>
      <c r="F97" s="55">
        <v>74</v>
      </c>
      <c r="G97" s="63">
        <v>4.4000000000000003E-3</v>
      </c>
    </row>
    <row r="98" spans="1:7" x14ac:dyDescent="0.2">
      <c r="A98" t="s">
        <v>89</v>
      </c>
      <c r="B98" t="s">
        <v>95</v>
      </c>
      <c r="C98" t="s">
        <v>73</v>
      </c>
      <c r="D98" t="s">
        <v>74</v>
      </c>
      <c r="E98" t="s">
        <v>87</v>
      </c>
      <c r="F98" s="55">
        <v>85</v>
      </c>
      <c r="G98" s="63">
        <v>5.1999999999999998E-3</v>
      </c>
    </row>
    <row r="99" spans="1:7" x14ac:dyDescent="0.2">
      <c r="A99" t="s">
        <v>89</v>
      </c>
      <c r="B99" t="s">
        <v>95</v>
      </c>
      <c r="C99" t="s">
        <v>73</v>
      </c>
      <c r="D99" t="s">
        <v>74</v>
      </c>
      <c r="E99" t="s">
        <v>88</v>
      </c>
      <c r="F99" s="55">
        <v>58</v>
      </c>
      <c r="G99" s="63">
        <v>3.2000000000000002E-3</v>
      </c>
    </row>
    <row r="100" spans="1:7" x14ac:dyDescent="0.2">
      <c r="A100" t="s">
        <v>89</v>
      </c>
      <c r="B100" t="s">
        <v>96</v>
      </c>
      <c r="C100" t="s">
        <v>73</v>
      </c>
      <c r="D100" t="s">
        <v>74</v>
      </c>
      <c r="E100" t="s">
        <v>75</v>
      </c>
      <c r="F100" s="55">
        <v>121</v>
      </c>
      <c r="G100" s="63">
        <v>1.6E-2</v>
      </c>
    </row>
    <row r="101" spans="1:7" x14ac:dyDescent="0.2">
      <c r="A101" t="s">
        <v>89</v>
      </c>
      <c r="B101" t="s">
        <v>96</v>
      </c>
      <c r="C101" t="s">
        <v>73</v>
      </c>
      <c r="D101" t="s">
        <v>74</v>
      </c>
      <c r="E101" t="s">
        <v>77</v>
      </c>
      <c r="F101" s="55">
        <v>121</v>
      </c>
      <c r="G101" s="63">
        <v>5.5999999999999999E-3</v>
      </c>
    </row>
    <row r="102" spans="1:7" x14ac:dyDescent="0.2">
      <c r="A102" t="s">
        <v>89</v>
      </c>
      <c r="B102" t="s">
        <v>96</v>
      </c>
      <c r="C102" t="s">
        <v>73</v>
      </c>
      <c r="D102" t="s">
        <v>74</v>
      </c>
      <c r="E102" t="s">
        <v>78</v>
      </c>
      <c r="F102" s="55">
        <v>112</v>
      </c>
      <c r="G102" s="63">
        <v>4.1999999999999997E-3</v>
      </c>
    </row>
    <row r="103" spans="1:7" x14ac:dyDescent="0.2">
      <c r="A103" t="s">
        <v>89</v>
      </c>
      <c r="B103" t="s">
        <v>96</v>
      </c>
      <c r="C103" t="s">
        <v>73</v>
      </c>
      <c r="D103" t="s">
        <v>74</v>
      </c>
      <c r="E103" t="s">
        <v>79</v>
      </c>
      <c r="F103" s="55">
        <v>122</v>
      </c>
      <c r="G103" s="63">
        <v>9.2999999999999992E-3</v>
      </c>
    </row>
    <row r="104" spans="1:7" x14ac:dyDescent="0.2">
      <c r="A104" t="s">
        <v>89</v>
      </c>
      <c r="B104" t="s">
        <v>96</v>
      </c>
      <c r="C104" t="s">
        <v>73</v>
      </c>
      <c r="D104" t="s">
        <v>74</v>
      </c>
      <c r="E104" t="s">
        <v>80</v>
      </c>
      <c r="F104" s="55">
        <v>105</v>
      </c>
      <c r="G104" s="63">
        <v>2.7000000000000001E-3</v>
      </c>
    </row>
    <row r="105" spans="1:7" x14ac:dyDescent="0.2">
      <c r="A105" t="s">
        <v>89</v>
      </c>
      <c r="B105" t="s">
        <v>96</v>
      </c>
      <c r="C105" t="s">
        <v>73</v>
      </c>
      <c r="D105" t="s">
        <v>74</v>
      </c>
      <c r="E105" t="s">
        <v>81</v>
      </c>
      <c r="F105" s="55">
        <v>125</v>
      </c>
      <c r="G105" s="63">
        <v>2.2000000000000001E-3</v>
      </c>
    </row>
    <row r="106" spans="1:7" x14ac:dyDescent="0.2">
      <c r="A106" t="s">
        <v>89</v>
      </c>
      <c r="B106" t="s">
        <v>96</v>
      </c>
      <c r="C106" t="s">
        <v>73</v>
      </c>
      <c r="D106" t="s">
        <v>74</v>
      </c>
      <c r="E106" t="s">
        <v>82</v>
      </c>
      <c r="F106" s="55">
        <v>120</v>
      </c>
      <c r="G106" s="63">
        <v>7.6E-3</v>
      </c>
    </row>
    <row r="107" spans="1:7" x14ac:dyDescent="0.2">
      <c r="A107" t="s">
        <v>89</v>
      </c>
      <c r="B107" t="s">
        <v>96</v>
      </c>
      <c r="C107" t="s">
        <v>73</v>
      </c>
      <c r="D107" t="s">
        <v>74</v>
      </c>
      <c r="E107" t="s">
        <v>84</v>
      </c>
      <c r="F107" s="55">
        <v>111</v>
      </c>
      <c r="G107" s="63">
        <v>2.8E-3</v>
      </c>
    </row>
    <row r="108" spans="1:7" x14ac:dyDescent="0.2">
      <c r="A108" t="s">
        <v>89</v>
      </c>
      <c r="B108" t="s">
        <v>96</v>
      </c>
      <c r="C108" t="s">
        <v>73</v>
      </c>
      <c r="D108" t="s">
        <v>74</v>
      </c>
      <c r="E108" t="s">
        <v>85</v>
      </c>
      <c r="F108" s="55">
        <v>133</v>
      </c>
      <c r="G108" s="63">
        <v>3.0000000000000001E-3</v>
      </c>
    </row>
    <row r="109" spans="1:7" x14ac:dyDescent="0.2">
      <c r="A109" t="s">
        <v>89</v>
      </c>
      <c r="B109" t="s">
        <v>96</v>
      </c>
      <c r="C109" t="s">
        <v>73</v>
      </c>
      <c r="D109" t="s">
        <v>74</v>
      </c>
      <c r="E109" t="s">
        <v>86</v>
      </c>
      <c r="F109" s="55">
        <v>153</v>
      </c>
      <c r="G109" s="63">
        <v>3.8E-3</v>
      </c>
    </row>
    <row r="110" spans="1:7" x14ac:dyDescent="0.2">
      <c r="A110" t="s">
        <v>89</v>
      </c>
      <c r="B110" t="s">
        <v>96</v>
      </c>
      <c r="C110" t="s">
        <v>73</v>
      </c>
      <c r="D110" t="s">
        <v>74</v>
      </c>
      <c r="E110" t="s">
        <v>87</v>
      </c>
      <c r="F110" s="55">
        <v>133</v>
      </c>
      <c r="G110" s="63">
        <v>4.4000000000000003E-3</v>
      </c>
    </row>
    <row r="111" spans="1:7" x14ac:dyDescent="0.2">
      <c r="A111" t="s">
        <v>89</v>
      </c>
      <c r="B111" t="s">
        <v>97</v>
      </c>
      <c r="C111" t="s">
        <v>73</v>
      </c>
      <c r="D111" t="s">
        <v>74</v>
      </c>
      <c r="E111" t="s">
        <v>75</v>
      </c>
      <c r="F111" s="55">
        <v>102</v>
      </c>
      <c r="G111" s="63">
        <v>0.22090000000000001</v>
      </c>
    </row>
    <row r="112" spans="1:7" x14ac:dyDescent="0.2">
      <c r="A112" t="s">
        <v>89</v>
      </c>
      <c r="B112" t="s">
        <v>97</v>
      </c>
      <c r="C112" t="s">
        <v>73</v>
      </c>
      <c r="D112" t="s">
        <v>74</v>
      </c>
      <c r="E112" t="s">
        <v>76</v>
      </c>
      <c r="F112" s="55">
        <v>97</v>
      </c>
      <c r="G112" s="63">
        <v>2.8299999999999999E-2</v>
      </c>
    </row>
    <row r="113" spans="1:7" x14ac:dyDescent="0.2">
      <c r="A113" t="s">
        <v>89</v>
      </c>
      <c r="B113" t="s">
        <v>97</v>
      </c>
      <c r="C113" t="s">
        <v>73</v>
      </c>
      <c r="D113" t="s">
        <v>74</v>
      </c>
      <c r="E113" t="s">
        <v>77</v>
      </c>
      <c r="F113" s="55">
        <v>107</v>
      </c>
      <c r="G113" s="63">
        <v>8.1299999999999997E-2</v>
      </c>
    </row>
    <row r="114" spans="1:7" x14ac:dyDescent="0.2">
      <c r="A114" t="s">
        <v>89</v>
      </c>
      <c r="B114" t="s">
        <v>97</v>
      </c>
      <c r="C114" t="s">
        <v>73</v>
      </c>
      <c r="D114" t="s">
        <v>74</v>
      </c>
      <c r="E114" t="s">
        <v>78</v>
      </c>
      <c r="F114" s="55">
        <v>103</v>
      </c>
      <c r="G114" s="63">
        <v>6.9000000000000006E-2</v>
      </c>
    </row>
    <row r="115" spans="1:7" x14ac:dyDescent="0.2">
      <c r="A115" t="s">
        <v>89</v>
      </c>
      <c r="B115" t="s">
        <v>97</v>
      </c>
      <c r="C115" t="s">
        <v>73</v>
      </c>
      <c r="D115" t="s">
        <v>74</v>
      </c>
      <c r="E115" t="s">
        <v>79</v>
      </c>
      <c r="F115" s="55">
        <v>102</v>
      </c>
      <c r="G115" s="63">
        <v>0.14430000000000001</v>
      </c>
    </row>
    <row r="116" spans="1:7" x14ac:dyDescent="0.2">
      <c r="A116" t="s">
        <v>89</v>
      </c>
      <c r="B116" t="s">
        <v>97</v>
      </c>
      <c r="C116" t="s">
        <v>73</v>
      </c>
      <c r="D116" t="s">
        <v>74</v>
      </c>
      <c r="E116" t="s">
        <v>80</v>
      </c>
      <c r="F116" s="55">
        <v>103</v>
      </c>
      <c r="G116" s="63">
        <v>4.2299999999999997E-2</v>
      </c>
    </row>
    <row r="117" spans="1:7" x14ac:dyDescent="0.2">
      <c r="A117" t="s">
        <v>89</v>
      </c>
      <c r="B117" t="s">
        <v>97</v>
      </c>
      <c r="C117" t="s">
        <v>73</v>
      </c>
      <c r="D117" t="s">
        <v>74</v>
      </c>
      <c r="E117" t="s">
        <v>81</v>
      </c>
      <c r="F117" s="55">
        <v>100</v>
      </c>
      <c r="G117" s="63">
        <v>4.6899999999999997E-2</v>
      </c>
    </row>
    <row r="118" spans="1:7" x14ac:dyDescent="0.2">
      <c r="A118" t="s">
        <v>89</v>
      </c>
      <c r="B118" t="s">
        <v>97</v>
      </c>
      <c r="C118" t="s">
        <v>73</v>
      </c>
      <c r="D118" t="s">
        <v>74</v>
      </c>
      <c r="E118" t="s">
        <v>82</v>
      </c>
      <c r="F118" s="55">
        <v>101</v>
      </c>
      <c r="G118" s="63">
        <v>9.3399999999999997E-2</v>
      </c>
    </row>
    <row r="119" spans="1:7" x14ac:dyDescent="0.2">
      <c r="A119" t="s">
        <v>89</v>
      </c>
      <c r="B119" t="s">
        <v>97</v>
      </c>
      <c r="C119" t="s">
        <v>73</v>
      </c>
      <c r="D119" t="s">
        <v>74</v>
      </c>
      <c r="E119" t="s">
        <v>83</v>
      </c>
      <c r="F119" s="55">
        <v>96</v>
      </c>
      <c r="G119" s="63">
        <v>2.3900000000000001E-2</v>
      </c>
    </row>
    <row r="120" spans="1:7" x14ac:dyDescent="0.2">
      <c r="A120" t="s">
        <v>89</v>
      </c>
      <c r="B120" t="s">
        <v>97</v>
      </c>
      <c r="C120" t="s">
        <v>73</v>
      </c>
      <c r="D120" t="s">
        <v>74</v>
      </c>
      <c r="E120" t="s">
        <v>84</v>
      </c>
      <c r="F120" s="55">
        <v>107</v>
      </c>
      <c r="G120" s="63">
        <v>5.2600000000000001E-2</v>
      </c>
    </row>
    <row r="121" spans="1:7" x14ac:dyDescent="0.2">
      <c r="A121" t="s">
        <v>89</v>
      </c>
      <c r="B121" t="s">
        <v>97</v>
      </c>
      <c r="C121" t="s">
        <v>73</v>
      </c>
      <c r="D121" t="s">
        <v>74</v>
      </c>
      <c r="E121" t="s">
        <v>85</v>
      </c>
      <c r="F121" s="55">
        <v>101</v>
      </c>
      <c r="G121" s="63">
        <v>5.0099999999999999E-2</v>
      </c>
    </row>
    <row r="122" spans="1:7" x14ac:dyDescent="0.2">
      <c r="A122" t="s">
        <v>89</v>
      </c>
      <c r="B122" t="s">
        <v>97</v>
      </c>
      <c r="C122" t="s">
        <v>73</v>
      </c>
      <c r="D122" t="s">
        <v>74</v>
      </c>
      <c r="E122" t="s">
        <v>86</v>
      </c>
      <c r="F122" s="55">
        <v>105</v>
      </c>
      <c r="G122" s="63">
        <v>6.6000000000000003E-2</v>
      </c>
    </row>
    <row r="123" spans="1:7" x14ac:dyDescent="0.2">
      <c r="A123" t="s">
        <v>89</v>
      </c>
      <c r="B123" t="s">
        <v>97</v>
      </c>
      <c r="C123" t="s">
        <v>73</v>
      </c>
      <c r="D123" t="s">
        <v>74</v>
      </c>
      <c r="E123" t="s">
        <v>87</v>
      </c>
      <c r="F123" s="55">
        <v>104</v>
      </c>
      <c r="G123" s="63">
        <v>7.8299999999999995E-2</v>
      </c>
    </row>
    <row r="124" spans="1:7" x14ac:dyDescent="0.2">
      <c r="A124" t="s">
        <v>89</v>
      </c>
      <c r="B124" t="s">
        <v>97</v>
      </c>
      <c r="C124" t="s">
        <v>73</v>
      </c>
      <c r="D124" t="s">
        <v>74</v>
      </c>
      <c r="E124" t="s">
        <v>88</v>
      </c>
      <c r="F124" s="55">
        <v>96</v>
      </c>
      <c r="G124" s="63">
        <v>4.7699999999999999E-2</v>
      </c>
    </row>
    <row r="125" spans="1:7" x14ac:dyDescent="0.2">
      <c r="A125" t="s">
        <v>89</v>
      </c>
      <c r="B125" t="s">
        <v>98</v>
      </c>
      <c r="C125" t="s">
        <v>73</v>
      </c>
      <c r="D125" t="s">
        <v>74</v>
      </c>
      <c r="E125" t="s">
        <v>75</v>
      </c>
      <c r="F125" s="55">
        <v>153</v>
      </c>
      <c r="G125" s="63">
        <v>4.4000000000000003E-3</v>
      </c>
    </row>
    <row r="126" spans="1:7" x14ac:dyDescent="0.2">
      <c r="A126" t="s">
        <v>89</v>
      </c>
      <c r="B126" t="s">
        <v>98</v>
      </c>
      <c r="C126" t="s">
        <v>73</v>
      </c>
      <c r="D126" t="s">
        <v>74</v>
      </c>
      <c r="E126" t="s">
        <v>79</v>
      </c>
      <c r="F126" s="55">
        <v>140</v>
      </c>
      <c r="G126" s="63">
        <v>2.0999999999999999E-3</v>
      </c>
    </row>
    <row r="127" spans="1:7" x14ac:dyDescent="0.2">
      <c r="A127" t="s">
        <v>89</v>
      </c>
      <c r="B127" t="s">
        <v>99</v>
      </c>
      <c r="C127" t="s">
        <v>73</v>
      </c>
      <c r="D127" t="s">
        <v>74</v>
      </c>
      <c r="E127" t="s">
        <v>75</v>
      </c>
      <c r="F127" s="55">
        <v>81</v>
      </c>
      <c r="G127" s="63">
        <v>4.2900000000000001E-2</v>
      </c>
    </row>
    <row r="128" spans="1:7" x14ac:dyDescent="0.2">
      <c r="A128" t="s">
        <v>89</v>
      </c>
      <c r="B128" t="s">
        <v>99</v>
      </c>
      <c r="C128" t="s">
        <v>73</v>
      </c>
      <c r="D128" t="s">
        <v>74</v>
      </c>
      <c r="E128" t="s">
        <v>76</v>
      </c>
      <c r="F128" s="55">
        <v>128</v>
      </c>
      <c r="G128" s="63">
        <v>2.7000000000000001E-3</v>
      </c>
    </row>
    <row r="129" spans="1:7" x14ac:dyDescent="0.2">
      <c r="A129" t="s">
        <v>89</v>
      </c>
      <c r="B129" t="s">
        <v>99</v>
      </c>
      <c r="C129" t="s">
        <v>73</v>
      </c>
      <c r="D129" t="s">
        <v>74</v>
      </c>
      <c r="E129" t="s">
        <v>77</v>
      </c>
      <c r="F129" s="55">
        <v>86</v>
      </c>
      <c r="G129" s="63">
        <v>1.29E-2</v>
      </c>
    </row>
    <row r="130" spans="1:7" x14ac:dyDescent="0.2">
      <c r="A130" t="s">
        <v>89</v>
      </c>
      <c r="B130" t="s">
        <v>99</v>
      </c>
      <c r="C130" t="s">
        <v>73</v>
      </c>
      <c r="D130" t="s">
        <v>74</v>
      </c>
      <c r="E130" t="s">
        <v>78</v>
      </c>
      <c r="F130" s="55">
        <v>74</v>
      </c>
      <c r="G130" s="63">
        <v>9.7000000000000003E-3</v>
      </c>
    </row>
    <row r="131" spans="1:7" x14ac:dyDescent="0.2">
      <c r="A131" t="s">
        <v>89</v>
      </c>
      <c r="B131" t="s">
        <v>99</v>
      </c>
      <c r="C131" t="s">
        <v>73</v>
      </c>
      <c r="D131" t="s">
        <v>74</v>
      </c>
      <c r="E131" t="s">
        <v>79</v>
      </c>
      <c r="F131" s="55">
        <v>73</v>
      </c>
      <c r="G131" s="63">
        <v>2.5399999999999999E-2</v>
      </c>
    </row>
    <row r="132" spans="1:7" x14ac:dyDescent="0.2">
      <c r="A132" t="s">
        <v>89</v>
      </c>
      <c r="B132" t="s">
        <v>99</v>
      </c>
      <c r="C132" t="s">
        <v>73</v>
      </c>
      <c r="D132" t="s">
        <v>74</v>
      </c>
      <c r="E132" t="s">
        <v>80</v>
      </c>
      <c r="F132" s="55">
        <v>82</v>
      </c>
      <c r="G132" s="63">
        <v>8.6999999999999994E-3</v>
      </c>
    </row>
    <row r="133" spans="1:7" x14ac:dyDescent="0.2">
      <c r="A133" t="s">
        <v>89</v>
      </c>
      <c r="B133" t="s">
        <v>99</v>
      </c>
      <c r="C133" t="s">
        <v>73</v>
      </c>
      <c r="D133" t="s">
        <v>74</v>
      </c>
      <c r="E133" t="s">
        <v>81</v>
      </c>
      <c r="F133" s="55">
        <v>81</v>
      </c>
      <c r="G133" s="63">
        <v>9.5999999999999992E-3</v>
      </c>
    </row>
    <row r="134" spans="1:7" x14ac:dyDescent="0.2">
      <c r="A134" t="s">
        <v>89</v>
      </c>
      <c r="B134" t="s">
        <v>99</v>
      </c>
      <c r="C134" t="s">
        <v>73</v>
      </c>
      <c r="D134" t="s">
        <v>74</v>
      </c>
      <c r="E134" t="s">
        <v>82</v>
      </c>
      <c r="F134" s="55">
        <v>87</v>
      </c>
      <c r="G134" s="63">
        <v>1.7399999999999999E-2</v>
      </c>
    </row>
    <row r="135" spans="1:7" x14ac:dyDescent="0.2">
      <c r="A135" t="s">
        <v>89</v>
      </c>
      <c r="B135" t="s">
        <v>99</v>
      </c>
      <c r="C135" t="s">
        <v>73</v>
      </c>
      <c r="D135" t="s">
        <v>74</v>
      </c>
      <c r="E135" t="s">
        <v>83</v>
      </c>
      <c r="F135" s="55">
        <v>126</v>
      </c>
      <c r="G135" s="63">
        <v>2.7000000000000001E-3</v>
      </c>
    </row>
    <row r="136" spans="1:7" x14ac:dyDescent="0.2">
      <c r="A136" t="s">
        <v>89</v>
      </c>
      <c r="B136" t="s">
        <v>99</v>
      </c>
      <c r="C136" t="s">
        <v>73</v>
      </c>
      <c r="D136" t="s">
        <v>74</v>
      </c>
      <c r="E136" t="s">
        <v>84</v>
      </c>
      <c r="F136" s="55">
        <v>83</v>
      </c>
      <c r="G136" s="63">
        <v>7.9000000000000008E-3</v>
      </c>
    </row>
    <row r="137" spans="1:7" x14ac:dyDescent="0.2">
      <c r="A137" t="s">
        <v>89</v>
      </c>
      <c r="B137" t="s">
        <v>99</v>
      </c>
      <c r="C137" t="s">
        <v>73</v>
      </c>
      <c r="D137" t="s">
        <v>74</v>
      </c>
      <c r="E137" t="s">
        <v>85</v>
      </c>
      <c r="F137" s="55">
        <v>83</v>
      </c>
      <c r="G137" s="63">
        <v>8.6E-3</v>
      </c>
    </row>
    <row r="138" spans="1:7" x14ac:dyDescent="0.2">
      <c r="A138" t="s">
        <v>89</v>
      </c>
      <c r="B138" t="s">
        <v>99</v>
      </c>
      <c r="C138" t="s">
        <v>73</v>
      </c>
      <c r="D138" t="s">
        <v>74</v>
      </c>
      <c r="E138" t="s">
        <v>86</v>
      </c>
      <c r="F138" s="55">
        <v>81</v>
      </c>
      <c r="G138" s="63">
        <v>1.01E-2</v>
      </c>
    </row>
    <row r="139" spans="1:7" x14ac:dyDescent="0.2">
      <c r="A139" t="s">
        <v>89</v>
      </c>
      <c r="B139" t="s">
        <v>99</v>
      </c>
      <c r="C139" t="s">
        <v>73</v>
      </c>
      <c r="D139" t="s">
        <v>74</v>
      </c>
      <c r="E139" t="s">
        <v>87</v>
      </c>
      <c r="F139" s="55">
        <v>76</v>
      </c>
      <c r="G139" s="63">
        <v>1.1900000000000001E-2</v>
      </c>
    </row>
    <row r="140" spans="1:7" x14ac:dyDescent="0.2">
      <c r="A140" t="s">
        <v>89</v>
      </c>
      <c r="B140" t="s">
        <v>99</v>
      </c>
      <c r="C140" t="s">
        <v>73</v>
      </c>
      <c r="D140" t="s">
        <v>74</v>
      </c>
      <c r="E140" t="s">
        <v>88</v>
      </c>
      <c r="F140" s="55">
        <v>97</v>
      </c>
      <c r="G140" s="63">
        <v>7.3000000000000001E-3</v>
      </c>
    </row>
    <row r="141" spans="1:7" x14ac:dyDescent="0.2">
      <c r="A141" t="s">
        <v>89</v>
      </c>
      <c r="B141" t="s">
        <v>100</v>
      </c>
      <c r="C141" t="s">
        <v>73</v>
      </c>
      <c r="D141" t="s">
        <v>74</v>
      </c>
      <c r="E141" t="s">
        <v>75</v>
      </c>
      <c r="F141" s="55">
        <v>116</v>
      </c>
      <c r="G141" s="63">
        <v>2.5899999999999999E-2</v>
      </c>
    </row>
    <row r="142" spans="1:7" x14ac:dyDescent="0.2">
      <c r="A142" t="s">
        <v>89</v>
      </c>
      <c r="B142" t="s">
        <v>100</v>
      </c>
      <c r="C142" t="s">
        <v>73</v>
      </c>
      <c r="D142" t="s">
        <v>74</v>
      </c>
      <c r="E142" t="s">
        <v>76</v>
      </c>
      <c r="F142" s="55">
        <v>121</v>
      </c>
      <c r="G142" s="63">
        <v>1.6000000000000001E-3</v>
      </c>
    </row>
    <row r="143" spans="1:7" x14ac:dyDescent="0.2">
      <c r="A143" t="s">
        <v>89</v>
      </c>
      <c r="B143" t="s">
        <v>100</v>
      </c>
      <c r="C143" t="s">
        <v>73</v>
      </c>
      <c r="D143" t="s">
        <v>74</v>
      </c>
      <c r="E143" t="s">
        <v>77</v>
      </c>
      <c r="F143" s="55">
        <v>168</v>
      </c>
      <c r="G143" s="63">
        <v>5.1999999999999998E-3</v>
      </c>
    </row>
    <row r="144" spans="1:7" x14ac:dyDescent="0.2">
      <c r="A144" t="s">
        <v>89</v>
      </c>
      <c r="B144" t="s">
        <v>100</v>
      </c>
      <c r="C144" t="s">
        <v>73</v>
      </c>
      <c r="D144" t="s">
        <v>74</v>
      </c>
      <c r="E144" t="s">
        <v>78</v>
      </c>
      <c r="F144" s="55">
        <v>103</v>
      </c>
      <c r="G144" s="63">
        <v>4.5999999999999999E-3</v>
      </c>
    </row>
    <row r="145" spans="1:7" x14ac:dyDescent="0.2">
      <c r="A145" t="s">
        <v>89</v>
      </c>
      <c r="B145" t="s">
        <v>100</v>
      </c>
      <c r="C145" t="s">
        <v>73</v>
      </c>
      <c r="D145" t="s">
        <v>74</v>
      </c>
      <c r="E145" t="s">
        <v>79</v>
      </c>
      <c r="F145" s="55">
        <v>112</v>
      </c>
      <c r="G145" s="63">
        <v>1.7999999999999999E-2</v>
      </c>
    </row>
    <row r="146" spans="1:7" x14ac:dyDescent="0.2">
      <c r="A146" t="s">
        <v>89</v>
      </c>
      <c r="B146" t="s">
        <v>100</v>
      </c>
      <c r="C146" t="s">
        <v>73</v>
      </c>
      <c r="D146" t="s">
        <v>74</v>
      </c>
      <c r="E146" t="s">
        <v>80</v>
      </c>
      <c r="F146" s="55">
        <v>108</v>
      </c>
      <c r="G146" s="63">
        <v>2.0999999999999999E-3</v>
      </c>
    </row>
    <row r="147" spans="1:7" x14ac:dyDescent="0.2">
      <c r="A147" t="s">
        <v>89</v>
      </c>
      <c r="B147" t="s">
        <v>100</v>
      </c>
      <c r="C147" t="s">
        <v>73</v>
      </c>
      <c r="D147" t="s">
        <v>74</v>
      </c>
      <c r="E147" t="s">
        <v>81</v>
      </c>
      <c r="F147" s="55">
        <v>96</v>
      </c>
      <c r="G147" s="63">
        <v>2.3999999999999998E-3</v>
      </c>
    </row>
    <row r="148" spans="1:7" x14ac:dyDescent="0.2">
      <c r="A148" t="s">
        <v>89</v>
      </c>
      <c r="B148" t="s">
        <v>100</v>
      </c>
      <c r="C148" t="s">
        <v>73</v>
      </c>
      <c r="D148" t="s">
        <v>74</v>
      </c>
      <c r="E148" t="s">
        <v>82</v>
      </c>
      <c r="F148" s="55">
        <v>115</v>
      </c>
      <c r="G148" s="63">
        <v>1.18E-2</v>
      </c>
    </row>
    <row r="149" spans="1:7" x14ac:dyDescent="0.2">
      <c r="A149" t="s">
        <v>89</v>
      </c>
      <c r="B149" t="s">
        <v>100</v>
      </c>
      <c r="C149" t="s">
        <v>73</v>
      </c>
      <c r="D149" t="s">
        <v>74</v>
      </c>
      <c r="E149" t="s">
        <v>84</v>
      </c>
      <c r="F149" s="55">
        <v>114</v>
      </c>
      <c r="G149" s="63">
        <v>2.5000000000000001E-3</v>
      </c>
    </row>
    <row r="150" spans="1:7" x14ac:dyDescent="0.2">
      <c r="A150" t="s">
        <v>89</v>
      </c>
      <c r="B150" t="s">
        <v>100</v>
      </c>
      <c r="C150" t="s">
        <v>73</v>
      </c>
      <c r="D150" t="s">
        <v>74</v>
      </c>
      <c r="E150" t="s">
        <v>85</v>
      </c>
      <c r="F150" s="55">
        <v>112</v>
      </c>
      <c r="G150" s="63">
        <v>6.0000000000000001E-3</v>
      </c>
    </row>
    <row r="151" spans="1:7" x14ac:dyDescent="0.2">
      <c r="A151" t="s">
        <v>89</v>
      </c>
      <c r="B151" t="s">
        <v>100</v>
      </c>
      <c r="C151" t="s">
        <v>73</v>
      </c>
      <c r="D151" t="s">
        <v>74</v>
      </c>
      <c r="E151" t="s">
        <v>86</v>
      </c>
      <c r="F151" s="55">
        <v>112</v>
      </c>
      <c r="G151" s="63">
        <v>8.2000000000000007E-3</v>
      </c>
    </row>
    <row r="152" spans="1:7" x14ac:dyDescent="0.2">
      <c r="A152" t="s">
        <v>89</v>
      </c>
      <c r="B152" t="s">
        <v>100</v>
      </c>
      <c r="C152" t="s">
        <v>73</v>
      </c>
      <c r="D152" t="s">
        <v>74</v>
      </c>
      <c r="E152" t="s">
        <v>87</v>
      </c>
      <c r="F152" s="55">
        <v>110</v>
      </c>
      <c r="G152" s="63">
        <v>1.0699999999999999E-2</v>
      </c>
    </row>
    <row r="153" spans="1:7" x14ac:dyDescent="0.2">
      <c r="A153" t="s">
        <v>89</v>
      </c>
      <c r="B153" t="s">
        <v>100</v>
      </c>
      <c r="C153" t="s">
        <v>73</v>
      </c>
      <c r="D153" t="s">
        <v>74</v>
      </c>
      <c r="E153" t="s">
        <v>88</v>
      </c>
      <c r="F153" s="55">
        <v>121</v>
      </c>
      <c r="G153" s="63">
        <v>2.3E-3</v>
      </c>
    </row>
    <row r="154" spans="1:7" x14ac:dyDescent="0.2">
      <c r="A154" t="s">
        <v>71</v>
      </c>
      <c r="B154" t="s">
        <v>101</v>
      </c>
      <c r="C154" t="s">
        <v>73</v>
      </c>
      <c r="D154" t="s">
        <v>74</v>
      </c>
      <c r="E154" t="s">
        <v>75</v>
      </c>
      <c r="F154" s="55">
        <v>70</v>
      </c>
      <c r="G154" s="63">
        <v>0.29220000000000002</v>
      </c>
    </row>
    <row r="155" spans="1:7" x14ac:dyDescent="0.2">
      <c r="A155" t="s">
        <v>71</v>
      </c>
      <c r="B155" t="s">
        <v>101</v>
      </c>
      <c r="C155" t="s">
        <v>73</v>
      </c>
      <c r="D155" t="s">
        <v>74</v>
      </c>
      <c r="E155" t="s">
        <v>76</v>
      </c>
      <c r="F155" s="55">
        <v>70</v>
      </c>
      <c r="G155" s="63">
        <v>4.53E-2</v>
      </c>
    </row>
    <row r="156" spans="1:7" x14ac:dyDescent="0.2">
      <c r="A156" t="s">
        <v>71</v>
      </c>
      <c r="B156" t="s">
        <v>101</v>
      </c>
      <c r="C156" t="s">
        <v>73</v>
      </c>
      <c r="D156" t="s">
        <v>74</v>
      </c>
      <c r="E156" t="s">
        <v>77</v>
      </c>
      <c r="F156" s="55">
        <v>69</v>
      </c>
      <c r="G156" s="63">
        <v>0.1022</v>
      </c>
    </row>
    <row r="157" spans="1:7" x14ac:dyDescent="0.2">
      <c r="A157" t="s">
        <v>71</v>
      </c>
      <c r="B157" t="s">
        <v>101</v>
      </c>
      <c r="C157" t="s">
        <v>73</v>
      </c>
      <c r="D157" t="s">
        <v>74</v>
      </c>
      <c r="E157" t="s">
        <v>78</v>
      </c>
      <c r="F157" s="55">
        <v>69</v>
      </c>
      <c r="G157" s="63">
        <v>8.72E-2</v>
      </c>
    </row>
    <row r="158" spans="1:7" x14ac:dyDescent="0.2">
      <c r="A158" t="s">
        <v>71</v>
      </c>
      <c r="B158" t="s">
        <v>101</v>
      </c>
      <c r="C158" t="s">
        <v>73</v>
      </c>
      <c r="D158" t="s">
        <v>74</v>
      </c>
      <c r="E158" t="s">
        <v>79</v>
      </c>
      <c r="F158" s="55">
        <v>71</v>
      </c>
      <c r="G158" s="63">
        <v>0.22070000000000001</v>
      </c>
    </row>
    <row r="159" spans="1:7" x14ac:dyDescent="0.2">
      <c r="A159" t="s">
        <v>71</v>
      </c>
      <c r="B159" t="s">
        <v>101</v>
      </c>
      <c r="C159" t="s">
        <v>73</v>
      </c>
      <c r="D159" t="s">
        <v>74</v>
      </c>
      <c r="E159" t="s">
        <v>80</v>
      </c>
      <c r="F159" s="55">
        <v>64</v>
      </c>
      <c r="G159" s="63">
        <v>7.9000000000000001E-2</v>
      </c>
    </row>
    <row r="160" spans="1:7" x14ac:dyDescent="0.2">
      <c r="A160" t="s">
        <v>71</v>
      </c>
      <c r="B160" t="s">
        <v>101</v>
      </c>
      <c r="C160" t="s">
        <v>73</v>
      </c>
      <c r="D160" t="s">
        <v>74</v>
      </c>
      <c r="E160" t="s">
        <v>81</v>
      </c>
      <c r="F160" s="55">
        <v>65</v>
      </c>
      <c r="G160" s="63">
        <v>8.09E-2</v>
      </c>
    </row>
    <row r="161" spans="1:7" x14ac:dyDescent="0.2">
      <c r="A161" t="s">
        <v>71</v>
      </c>
      <c r="B161" t="s">
        <v>101</v>
      </c>
      <c r="C161" t="s">
        <v>73</v>
      </c>
      <c r="D161" t="s">
        <v>74</v>
      </c>
      <c r="E161" t="s">
        <v>82</v>
      </c>
      <c r="F161" s="55">
        <v>72</v>
      </c>
      <c r="G161" s="63">
        <v>0.1691</v>
      </c>
    </row>
    <row r="162" spans="1:7" x14ac:dyDescent="0.2">
      <c r="A162" t="s">
        <v>71</v>
      </c>
      <c r="B162" t="s">
        <v>101</v>
      </c>
      <c r="C162" t="s">
        <v>73</v>
      </c>
      <c r="D162" t="s">
        <v>74</v>
      </c>
      <c r="E162" t="s">
        <v>83</v>
      </c>
      <c r="F162" s="55">
        <v>68</v>
      </c>
      <c r="G162" s="63">
        <v>3.9300000000000002E-2</v>
      </c>
    </row>
    <row r="163" spans="1:7" x14ac:dyDescent="0.2">
      <c r="A163" t="s">
        <v>71</v>
      </c>
      <c r="B163" t="s">
        <v>101</v>
      </c>
      <c r="C163" t="s">
        <v>73</v>
      </c>
      <c r="D163" t="s">
        <v>74</v>
      </c>
      <c r="E163" t="s">
        <v>84</v>
      </c>
      <c r="F163" s="55">
        <v>66</v>
      </c>
      <c r="G163" s="63">
        <v>6.3299999999999995E-2</v>
      </c>
    </row>
    <row r="164" spans="1:7" x14ac:dyDescent="0.2">
      <c r="A164" t="s">
        <v>71</v>
      </c>
      <c r="B164" t="s">
        <v>101</v>
      </c>
      <c r="C164" t="s">
        <v>73</v>
      </c>
      <c r="D164" t="s">
        <v>74</v>
      </c>
      <c r="E164" t="s">
        <v>85</v>
      </c>
      <c r="F164" s="55">
        <v>66</v>
      </c>
      <c r="G164" s="63">
        <v>8.9700000000000002E-2</v>
      </c>
    </row>
    <row r="165" spans="1:7" x14ac:dyDescent="0.2">
      <c r="A165" t="s">
        <v>71</v>
      </c>
      <c r="B165" t="s">
        <v>101</v>
      </c>
      <c r="C165" t="s">
        <v>73</v>
      </c>
      <c r="D165" t="s">
        <v>74</v>
      </c>
      <c r="E165" t="s">
        <v>86</v>
      </c>
      <c r="F165" s="55">
        <v>69</v>
      </c>
      <c r="G165" s="63">
        <v>0.12</v>
      </c>
    </row>
    <row r="166" spans="1:7" x14ac:dyDescent="0.2">
      <c r="A166" t="s">
        <v>71</v>
      </c>
      <c r="B166" t="s">
        <v>101</v>
      </c>
      <c r="C166" t="s">
        <v>73</v>
      </c>
      <c r="D166" t="s">
        <v>74</v>
      </c>
      <c r="E166" t="s">
        <v>87</v>
      </c>
      <c r="F166" s="55">
        <v>74</v>
      </c>
      <c r="G166" s="63">
        <v>0.13339999999999999</v>
      </c>
    </row>
    <row r="167" spans="1:7" x14ac:dyDescent="0.2">
      <c r="A167" t="s">
        <v>71</v>
      </c>
      <c r="B167" t="s">
        <v>101</v>
      </c>
      <c r="C167" t="s">
        <v>73</v>
      </c>
      <c r="D167" t="s">
        <v>74</v>
      </c>
      <c r="E167" t="s">
        <v>88</v>
      </c>
      <c r="F167" s="55">
        <v>69</v>
      </c>
      <c r="G167" s="63">
        <v>7.3599999999999999E-2</v>
      </c>
    </row>
    <row r="168" spans="1:7" x14ac:dyDescent="0.2">
      <c r="A168" t="s">
        <v>89</v>
      </c>
      <c r="B168" t="s">
        <v>102</v>
      </c>
      <c r="C168" t="s">
        <v>73</v>
      </c>
      <c r="D168" t="s">
        <v>74</v>
      </c>
      <c r="E168" t="s">
        <v>75</v>
      </c>
      <c r="F168" s="55">
        <v>94</v>
      </c>
      <c r="G168" s="63">
        <v>0.29549999999999998</v>
      </c>
    </row>
    <row r="169" spans="1:7" x14ac:dyDescent="0.2">
      <c r="A169" t="s">
        <v>89</v>
      </c>
      <c r="B169" t="s">
        <v>102</v>
      </c>
      <c r="C169" t="s">
        <v>73</v>
      </c>
      <c r="D169" t="s">
        <v>74</v>
      </c>
      <c r="E169" t="s">
        <v>76</v>
      </c>
      <c r="F169" s="55">
        <v>88</v>
      </c>
      <c r="G169" s="63">
        <v>4.9000000000000002E-2</v>
      </c>
    </row>
    <row r="170" spans="1:7" x14ac:dyDescent="0.2">
      <c r="A170" t="s">
        <v>89</v>
      </c>
      <c r="B170" t="s">
        <v>102</v>
      </c>
      <c r="C170" t="s">
        <v>73</v>
      </c>
      <c r="D170" t="s">
        <v>74</v>
      </c>
      <c r="E170" t="s">
        <v>77</v>
      </c>
      <c r="F170" s="55">
        <v>96</v>
      </c>
      <c r="G170" s="63">
        <v>0.1061</v>
      </c>
    </row>
    <row r="171" spans="1:7" x14ac:dyDescent="0.2">
      <c r="A171" t="s">
        <v>89</v>
      </c>
      <c r="B171" t="s">
        <v>102</v>
      </c>
      <c r="C171" t="s">
        <v>73</v>
      </c>
      <c r="D171" t="s">
        <v>74</v>
      </c>
      <c r="E171" t="s">
        <v>78</v>
      </c>
      <c r="F171" s="55">
        <v>93</v>
      </c>
      <c r="G171" s="63">
        <v>7.9699999999999993E-2</v>
      </c>
    </row>
    <row r="172" spans="1:7" x14ac:dyDescent="0.2">
      <c r="A172" t="s">
        <v>89</v>
      </c>
      <c r="B172" t="s">
        <v>102</v>
      </c>
      <c r="C172" t="s">
        <v>73</v>
      </c>
      <c r="D172" t="s">
        <v>74</v>
      </c>
      <c r="E172" t="s">
        <v>79</v>
      </c>
      <c r="F172" s="55">
        <v>101</v>
      </c>
      <c r="G172" s="63">
        <v>0.19289999999999999</v>
      </c>
    </row>
    <row r="173" spans="1:7" x14ac:dyDescent="0.2">
      <c r="A173" t="s">
        <v>89</v>
      </c>
      <c r="B173" t="s">
        <v>102</v>
      </c>
      <c r="C173" t="s">
        <v>73</v>
      </c>
      <c r="D173" t="s">
        <v>74</v>
      </c>
      <c r="E173" t="s">
        <v>80</v>
      </c>
      <c r="F173" s="55">
        <v>96</v>
      </c>
      <c r="G173" s="63">
        <v>4.1300000000000003E-2</v>
      </c>
    </row>
    <row r="174" spans="1:7" x14ac:dyDescent="0.2">
      <c r="A174" t="s">
        <v>89</v>
      </c>
      <c r="B174" t="s">
        <v>102</v>
      </c>
      <c r="C174" t="s">
        <v>73</v>
      </c>
      <c r="D174" t="s">
        <v>74</v>
      </c>
      <c r="E174" t="s">
        <v>81</v>
      </c>
      <c r="F174" s="55">
        <v>90</v>
      </c>
      <c r="G174" s="63">
        <v>5.3100000000000001E-2</v>
      </c>
    </row>
    <row r="175" spans="1:7" x14ac:dyDescent="0.2">
      <c r="A175" t="s">
        <v>89</v>
      </c>
      <c r="B175" t="s">
        <v>102</v>
      </c>
      <c r="C175" t="s">
        <v>73</v>
      </c>
      <c r="D175" t="s">
        <v>74</v>
      </c>
      <c r="E175" t="s">
        <v>82</v>
      </c>
      <c r="F175" s="55">
        <v>87</v>
      </c>
      <c r="G175" s="63">
        <v>0.1472</v>
      </c>
    </row>
    <row r="176" spans="1:7" x14ac:dyDescent="0.2">
      <c r="A176" t="s">
        <v>89</v>
      </c>
      <c r="B176" t="s">
        <v>102</v>
      </c>
      <c r="C176" t="s">
        <v>73</v>
      </c>
      <c r="D176" t="s">
        <v>74</v>
      </c>
      <c r="E176" t="s">
        <v>83</v>
      </c>
      <c r="F176" s="55">
        <v>83</v>
      </c>
      <c r="G176" s="63">
        <v>3.2099999999999997E-2</v>
      </c>
    </row>
    <row r="177" spans="1:7" x14ac:dyDescent="0.2">
      <c r="A177" t="s">
        <v>89</v>
      </c>
      <c r="B177" t="s">
        <v>102</v>
      </c>
      <c r="C177" t="s">
        <v>73</v>
      </c>
      <c r="D177" t="s">
        <v>74</v>
      </c>
      <c r="E177" t="s">
        <v>84</v>
      </c>
      <c r="F177" s="55">
        <v>93</v>
      </c>
      <c r="G177" s="63">
        <v>5.8999999999999997E-2</v>
      </c>
    </row>
    <row r="178" spans="1:7" x14ac:dyDescent="0.2">
      <c r="A178" t="s">
        <v>89</v>
      </c>
      <c r="B178" t="s">
        <v>102</v>
      </c>
      <c r="C178" t="s">
        <v>73</v>
      </c>
      <c r="D178" t="s">
        <v>74</v>
      </c>
      <c r="E178" t="s">
        <v>85</v>
      </c>
      <c r="F178" s="55">
        <v>100</v>
      </c>
      <c r="G178" s="63">
        <v>5.2900000000000003E-2</v>
      </c>
    </row>
    <row r="179" spans="1:7" x14ac:dyDescent="0.2">
      <c r="A179" t="s">
        <v>89</v>
      </c>
      <c r="B179" t="s">
        <v>102</v>
      </c>
      <c r="C179" t="s">
        <v>73</v>
      </c>
      <c r="D179" t="s">
        <v>74</v>
      </c>
      <c r="E179" t="s">
        <v>86</v>
      </c>
      <c r="F179" s="55">
        <v>104</v>
      </c>
      <c r="G179" s="63">
        <v>7.1300000000000002E-2</v>
      </c>
    </row>
    <row r="180" spans="1:7" x14ac:dyDescent="0.2">
      <c r="A180" t="s">
        <v>89</v>
      </c>
      <c r="B180" t="s">
        <v>102</v>
      </c>
      <c r="C180" t="s">
        <v>73</v>
      </c>
      <c r="D180" t="s">
        <v>74</v>
      </c>
      <c r="E180" t="s">
        <v>87</v>
      </c>
      <c r="F180" s="55">
        <v>101</v>
      </c>
      <c r="G180" s="63">
        <v>8.1699999999999995E-2</v>
      </c>
    </row>
    <row r="181" spans="1:7" x14ac:dyDescent="0.2">
      <c r="A181" t="s">
        <v>89</v>
      </c>
      <c r="B181" t="s">
        <v>102</v>
      </c>
      <c r="C181" t="s">
        <v>73</v>
      </c>
      <c r="D181" t="s">
        <v>74</v>
      </c>
      <c r="E181" t="s">
        <v>88</v>
      </c>
      <c r="F181" s="55">
        <v>87</v>
      </c>
      <c r="G181" s="63">
        <v>7.6799999999999993E-2</v>
      </c>
    </row>
    <row r="182" spans="1:7" x14ac:dyDescent="0.2">
      <c r="A182" t="s">
        <v>89</v>
      </c>
      <c r="B182" t="s">
        <v>103</v>
      </c>
      <c r="C182" t="s">
        <v>73</v>
      </c>
      <c r="D182" t="s">
        <v>74</v>
      </c>
      <c r="E182" t="s">
        <v>75</v>
      </c>
      <c r="F182" s="55">
        <v>84</v>
      </c>
      <c r="G182" s="63">
        <v>1.0999999999999999E-2</v>
      </c>
    </row>
    <row r="183" spans="1:7" x14ac:dyDescent="0.2">
      <c r="A183" t="s">
        <v>89</v>
      </c>
      <c r="B183" t="s">
        <v>103</v>
      </c>
      <c r="C183" t="s">
        <v>73</v>
      </c>
      <c r="D183" t="s">
        <v>74</v>
      </c>
      <c r="E183" t="s">
        <v>76</v>
      </c>
      <c r="F183" s="55">
        <v>66</v>
      </c>
      <c r="G183" s="63">
        <v>1.4E-3</v>
      </c>
    </row>
    <row r="184" spans="1:7" x14ac:dyDescent="0.2">
      <c r="A184" t="s">
        <v>89</v>
      </c>
      <c r="B184" t="s">
        <v>103</v>
      </c>
      <c r="C184" t="s">
        <v>73</v>
      </c>
      <c r="D184" t="s">
        <v>74</v>
      </c>
      <c r="E184" t="s">
        <v>77</v>
      </c>
      <c r="F184" s="55">
        <v>89</v>
      </c>
      <c r="G184" s="63">
        <v>3.2000000000000002E-3</v>
      </c>
    </row>
    <row r="185" spans="1:7" x14ac:dyDescent="0.2">
      <c r="A185" t="s">
        <v>89</v>
      </c>
      <c r="B185" t="s">
        <v>103</v>
      </c>
      <c r="C185" t="s">
        <v>73</v>
      </c>
      <c r="D185" t="s">
        <v>74</v>
      </c>
      <c r="E185" t="s">
        <v>78</v>
      </c>
      <c r="F185" s="55">
        <v>65</v>
      </c>
      <c r="G185" s="63">
        <v>2.3999999999999998E-3</v>
      </c>
    </row>
    <row r="186" spans="1:7" x14ac:dyDescent="0.2">
      <c r="A186" t="s">
        <v>89</v>
      </c>
      <c r="B186" t="s">
        <v>103</v>
      </c>
      <c r="C186" t="s">
        <v>73</v>
      </c>
      <c r="D186" t="s">
        <v>74</v>
      </c>
      <c r="E186" t="s">
        <v>79</v>
      </c>
      <c r="F186" s="55">
        <v>81</v>
      </c>
      <c r="G186" s="63">
        <v>5.7000000000000002E-3</v>
      </c>
    </row>
    <row r="187" spans="1:7" x14ac:dyDescent="0.2">
      <c r="A187" t="s">
        <v>89</v>
      </c>
      <c r="B187" t="s">
        <v>103</v>
      </c>
      <c r="C187" t="s">
        <v>73</v>
      </c>
      <c r="D187" t="s">
        <v>74</v>
      </c>
      <c r="E187" t="s">
        <v>80</v>
      </c>
      <c r="F187" s="55">
        <v>92</v>
      </c>
      <c r="G187" s="63">
        <v>1.6999999999999999E-3</v>
      </c>
    </row>
    <row r="188" spans="1:7" x14ac:dyDescent="0.2">
      <c r="A188" t="s">
        <v>89</v>
      </c>
      <c r="B188" t="s">
        <v>103</v>
      </c>
      <c r="C188" t="s">
        <v>73</v>
      </c>
      <c r="D188" t="s">
        <v>74</v>
      </c>
      <c r="E188" t="s">
        <v>81</v>
      </c>
      <c r="F188" s="55">
        <v>95</v>
      </c>
      <c r="G188" s="63">
        <v>2.5999999999999999E-3</v>
      </c>
    </row>
    <row r="189" spans="1:7" x14ac:dyDescent="0.2">
      <c r="A189" t="s">
        <v>89</v>
      </c>
      <c r="B189" t="s">
        <v>103</v>
      </c>
      <c r="C189" t="s">
        <v>73</v>
      </c>
      <c r="D189" t="s">
        <v>74</v>
      </c>
      <c r="E189" t="s">
        <v>82</v>
      </c>
      <c r="F189" s="55">
        <v>87</v>
      </c>
      <c r="G189" s="63">
        <v>4.4000000000000003E-3</v>
      </c>
    </row>
    <row r="190" spans="1:7" x14ac:dyDescent="0.2">
      <c r="A190" t="s">
        <v>89</v>
      </c>
      <c r="B190" t="s">
        <v>103</v>
      </c>
      <c r="C190" t="s">
        <v>73</v>
      </c>
      <c r="D190" t="s">
        <v>74</v>
      </c>
      <c r="E190" t="s">
        <v>84</v>
      </c>
      <c r="F190" s="55">
        <v>68</v>
      </c>
      <c r="G190" s="63">
        <v>1.6000000000000001E-3</v>
      </c>
    </row>
    <row r="191" spans="1:7" x14ac:dyDescent="0.2">
      <c r="A191" t="s">
        <v>89</v>
      </c>
      <c r="B191" t="s">
        <v>103</v>
      </c>
      <c r="C191" t="s">
        <v>73</v>
      </c>
      <c r="D191" t="s">
        <v>74</v>
      </c>
      <c r="E191" t="s">
        <v>85</v>
      </c>
      <c r="F191" s="55">
        <v>100</v>
      </c>
      <c r="G191" s="63">
        <v>1.9E-3</v>
      </c>
    </row>
    <row r="192" spans="1:7" x14ac:dyDescent="0.2">
      <c r="A192" t="s">
        <v>89</v>
      </c>
      <c r="B192" t="s">
        <v>103</v>
      </c>
      <c r="C192" t="s">
        <v>73</v>
      </c>
      <c r="D192" t="s">
        <v>74</v>
      </c>
      <c r="E192" t="s">
        <v>86</v>
      </c>
      <c r="F192" s="55">
        <v>86</v>
      </c>
      <c r="G192" s="63">
        <v>2.5999999999999999E-3</v>
      </c>
    </row>
    <row r="193" spans="1:7" x14ac:dyDescent="0.2">
      <c r="A193" t="s">
        <v>89</v>
      </c>
      <c r="B193" t="s">
        <v>103</v>
      </c>
      <c r="C193" t="s">
        <v>73</v>
      </c>
      <c r="D193" t="s">
        <v>74</v>
      </c>
      <c r="E193" t="s">
        <v>87</v>
      </c>
      <c r="F193" s="55">
        <v>71</v>
      </c>
      <c r="G193" s="63">
        <v>2.2000000000000001E-3</v>
      </c>
    </row>
    <row r="194" spans="1:7" x14ac:dyDescent="0.2">
      <c r="A194" t="s">
        <v>89</v>
      </c>
      <c r="B194" t="s">
        <v>103</v>
      </c>
      <c r="C194" t="s">
        <v>73</v>
      </c>
      <c r="D194" t="s">
        <v>74</v>
      </c>
      <c r="E194" t="s">
        <v>88</v>
      </c>
      <c r="F194" s="55">
        <v>75</v>
      </c>
      <c r="G194" s="63">
        <v>2.3E-3</v>
      </c>
    </row>
    <row r="195" spans="1:7" x14ac:dyDescent="0.2">
      <c r="A195" t="s">
        <v>71</v>
      </c>
      <c r="B195" t="s">
        <v>104</v>
      </c>
      <c r="C195" t="s">
        <v>73</v>
      </c>
      <c r="D195" t="s">
        <v>74</v>
      </c>
      <c r="E195" t="s">
        <v>75</v>
      </c>
      <c r="F195" s="55">
        <v>78</v>
      </c>
      <c r="G195" s="63">
        <v>0.29659999999999997</v>
      </c>
    </row>
    <row r="196" spans="1:7" x14ac:dyDescent="0.2">
      <c r="A196" t="s">
        <v>71</v>
      </c>
      <c r="B196" t="s">
        <v>104</v>
      </c>
      <c r="C196" t="s">
        <v>73</v>
      </c>
      <c r="D196" t="s">
        <v>74</v>
      </c>
      <c r="E196" t="s">
        <v>76</v>
      </c>
      <c r="F196" s="55">
        <v>76</v>
      </c>
      <c r="G196" s="63">
        <v>4.2700000000000002E-2</v>
      </c>
    </row>
    <row r="197" spans="1:7" x14ac:dyDescent="0.2">
      <c r="A197" t="s">
        <v>71</v>
      </c>
      <c r="B197" t="s">
        <v>104</v>
      </c>
      <c r="C197" t="s">
        <v>73</v>
      </c>
      <c r="D197" t="s">
        <v>74</v>
      </c>
      <c r="E197" t="s">
        <v>77</v>
      </c>
      <c r="F197" s="55">
        <v>81</v>
      </c>
      <c r="G197" s="63">
        <v>0.11</v>
      </c>
    </row>
    <row r="198" spans="1:7" x14ac:dyDescent="0.2">
      <c r="A198" t="s">
        <v>71</v>
      </c>
      <c r="B198" t="s">
        <v>104</v>
      </c>
      <c r="C198" t="s">
        <v>73</v>
      </c>
      <c r="D198" t="s">
        <v>74</v>
      </c>
      <c r="E198" t="s">
        <v>78</v>
      </c>
      <c r="F198" s="55">
        <v>80</v>
      </c>
      <c r="G198" s="63">
        <v>9.1499999999999998E-2</v>
      </c>
    </row>
    <row r="199" spans="1:7" x14ac:dyDescent="0.2">
      <c r="A199" t="s">
        <v>71</v>
      </c>
      <c r="B199" t="s">
        <v>104</v>
      </c>
      <c r="C199" t="s">
        <v>73</v>
      </c>
      <c r="D199" t="s">
        <v>74</v>
      </c>
      <c r="E199" t="s">
        <v>79</v>
      </c>
      <c r="F199" s="55">
        <v>79</v>
      </c>
      <c r="G199" s="63">
        <v>0.21959999999999999</v>
      </c>
    </row>
    <row r="200" spans="1:7" x14ac:dyDescent="0.2">
      <c r="A200" t="s">
        <v>71</v>
      </c>
      <c r="B200" t="s">
        <v>104</v>
      </c>
      <c r="C200" t="s">
        <v>73</v>
      </c>
      <c r="D200" t="s">
        <v>74</v>
      </c>
      <c r="E200" t="s">
        <v>80</v>
      </c>
      <c r="F200" s="55">
        <v>76</v>
      </c>
      <c r="G200" s="63">
        <v>6.7699999999999996E-2</v>
      </c>
    </row>
    <row r="201" spans="1:7" x14ac:dyDescent="0.2">
      <c r="A201" t="s">
        <v>71</v>
      </c>
      <c r="B201" t="s">
        <v>104</v>
      </c>
      <c r="C201" t="s">
        <v>73</v>
      </c>
      <c r="D201" t="s">
        <v>74</v>
      </c>
      <c r="E201" t="s">
        <v>81</v>
      </c>
      <c r="F201" s="55">
        <v>74</v>
      </c>
      <c r="G201" s="63">
        <v>6.8400000000000002E-2</v>
      </c>
    </row>
    <row r="202" spans="1:7" x14ac:dyDescent="0.2">
      <c r="A202" t="s">
        <v>71</v>
      </c>
      <c r="B202" t="s">
        <v>104</v>
      </c>
      <c r="C202" t="s">
        <v>73</v>
      </c>
      <c r="D202" t="s">
        <v>74</v>
      </c>
      <c r="E202" t="s">
        <v>82</v>
      </c>
      <c r="F202" s="55">
        <v>76</v>
      </c>
      <c r="G202" s="63">
        <v>0.1399</v>
      </c>
    </row>
    <row r="203" spans="1:7" x14ac:dyDescent="0.2">
      <c r="A203" t="s">
        <v>71</v>
      </c>
      <c r="B203" t="s">
        <v>104</v>
      </c>
      <c r="C203" t="s">
        <v>73</v>
      </c>
      <c r="D203" t="s">
        <v>74</v>
      </c>
      <c r="E203" t="s">
        <v>83</v>
      </c>
      <c r="F203" s="55">
        <v>72</v>
      </c>
      <c r="G203" s="63">
        <v>3.39E-2</v>
      </c>
    </row>
    <row r="204" spans="1:7" x14ac:dyDescent="0.2">
      <c r="A204" t="s">
        <v>71</v>
      </c>
      <c r="B204" t="s">
        <v>104</v>
      </c>
      <c r="C204" t="s">
        <v>73</v>
      </c>
      <c r="D204" t="s">
        <v>74</v>
      </c>
      <c r="E204" t="s">
        <v>84</v>
      </c>
      <c r="F204" s="55">
        <v>80</v>
      </c>
      <c r="G204" s="63">
        <v>7.0099999999999996E-2</v>
      </c>
    </row>
    <row r="205" spans="1:7" x14ac:dyDescent="0.2">
      <c r="A205" t="s">
        <v>71</v>
      </c>
      <c r="B205" t="s">
        <v>104</v>
      </c>
      <c r="C205" t="s">
        <v>73</v>
      </c>
      <c r="D205" t="s">
        <v>74</v>
      </c>
      <c r="E205" t="s">
        <v>85</v>
      </c>
      <c r="F205" s="55">
        <v>77</v>
      </c>
      <c r="G205" s="63">
        <v>8.3900000000000002E-2</v>
      </c>
    </row>
    <row r="206" spans="1:7" x14ac:dyDescent="0.2">
      <c r="A206" t="s">
        <v>71</v>
      </c>
      <c r="B206" t="s">
        <v>104</v>
      </c>
      <c r="C206" t="s">
        <v>73</v>
      </c>
      <c r="D206" t="s">
        <v>74</v>
      </c>
      <c r="E206" t="s">
        <v>86</v>
      </c>
      <c r="F206" s="55">
        <v>78</v>
      </c>
      <c r="G206" s="63">
        <v>0.1115</v>
      </c>
    </row>
    <row r="207" spans="1:7" x14ac:dyDescent="0.2">
      <c r="A207" t="s">
        <v>71</v>
      </c>
      <c r="B207" t="s">
        <v>104</v>
      </c>
      <c r="C207" t="s">
        <v>73</v>
      </c>
      <c r="D207" t="s">
        <v>74</v>
      </c>
      <c r="E207" t="s">
        <v>87</v>
      </c>
      <c r="F207" s="55">
        <v>79</v>
      </c>
      <c r="G207" s="63">
        <v>0.12989999999999999</v>
      </c>
    </row>
    <row r="208" spans="1:7" x14ac:dyDescent="0.2">
      <c r="A208" t="s">
        <v>71</v>
      </c>
      <c r="B208" t="s">
        <v>104</v>
      </c>
      <c r="C208" t="s">
        <v>73</v>
      </c>
      <c r="D208" t="s">
        <v>74</v>
      </c>
      <c r="E208" t="s">
        <v>88</v>
      </c>
      <c r="F208" s="55">
        <v>73</v>
      </c>
      <c r="G208" s="63">
        <v>6.4899999999999999E-2</v>
      </c>
    </row>
    <row r="209" spans="1:7" x14ac:dyDescent="0.2">
      <c r="A209" t="s">
        <v>71</v>
      </c>
      <c r="B209" t="s">
        <v>105</v>
      </c>
      <c r="C209" t="s">
        <v>73</v>
      </c>
      <c r="D209" t="s">
        <v>74</v>
      </c>
      <c r="E209" t="s">
        <v>75</v>
      </c>
      <c r="F209" s="55">
        <v>71</v>
      </c>
      <c r="G209" s="63">
        <v>8.2299999999999998E-2</v>
      </c>
    </row>
    <row r="210" spans="1:7" x14ac:dyDescent="0.2">
      <c r="A210" t="s">
        <v>71</v>
      </c>
      <c r="B210" t="s">
        <v>105</v>
      </c>
      <c r="C210" t="s">
        <v>73</v>
      </c>
      <c r="D210" t="s">
        <v>74</v>
      </c>
      <c r="E210" t="s">
        <v>76</v>
      </c>
      <c r="F210" s="55">
        <v>59</v>
      </c>
      <c r="G210" s="63">
        <v>9.1000000000000004E-3</v>
      </c>
    </row>
    <row r="211" spans="1:7" x14ac:dyDescent="0.2">
      <c r="A211" t="s">
        <v>71</v>
      </c>
      <c r="B211" t="s">
        <v>105</v>
      </c>
      <c r="C211" t="s">
        <v>73</v>
      </c>
      <c r="D211" t="s">
        <v>74</v>
      </c>
      <c r="E211" t="s">
        <v>77</v>
      </c>
      <c r="F211" s="55">
        <v>74</v>
      </c>
      <c r="G211" s="63">
        <v>2.24E-2</v>
      </c>
    </row>
    <row r="212" spans="1:7" x14ac:dyDescent="0.2">
      <c r="A212" t="s">
        <v>71</v>
      </c>
      <c r="B212" t="s">
        <v>105</v>
      </c>
      <c r="C212" t="s">
        <v>73</v>
      </c>
      <c r="D212" t="s">
        <v>74</v>
      </c>
      <c r="E212" t="s">
        <v>78</v>
      </c>
      <c r="F212" s="55">
        <v>75</v>
      </c>
      <c r="G212" s="63">
        <v>1.7000000000000001E-2</v>
      </c>
    </row>
    <row r="213" spans="1:7" x14ac:dyDescent="0.2">
      <c r="A213" t="s">
        <v>71</v>
      </c>
      <c r="B213" t="s">
        <v>105</v>
      </c>
      <c r="C213" t="s">
        <v>73</v>
      </c>
      <c r="D213" t="s">
        <v>74</v>
      </c>
      <c r="E213" t="s">
        <v>79</v>
      </c>
      <c r="F213" s="55">
        <v>70</v>
      </c>
      <c r="G213" s="63">
        <v>4.53E-2</v>
      </c>
    </row>
    <row r="214" spans="1:7" x14ac:dyDescent="0.2">
      <c r="A214" t="s">
        <v>71</v>
      </c>
      <c r="B214" t="s">
        <v>105</v>
      </c>
      <c r="C214" t="s">
        <v>73</v>
      </c>
      <c r="D214" t="s">
        <v>74</v>
      </c>
      <c r="E214" t="s">
        <v>80</v>
      </c>
      <c r="F214" s="55">
        <v>71</v>
      </c>
      <c r="G214" s="63">
        <v>1.3299999999999999E-2</v>
      </c>
    </row>
    <row r="215" spans="1:7" x14ac:dyDescent="0.2">
      <c r="A215" t="s">
        <v>71</v>
      </c>
      <c r="B215" t="s">
        <v>105</v>
      </c>
      <c r="C215" t="s">
        <v>73</v>
      </c>
      <c r="D215" t="s">
        <v>74</v>
      </c>
      <c r="E215" t="s">
        <v>81</v>
      </c>
      <c r="F215" s="55">
        <v>63</v>
      </c>
      <c r="G215" s="63">
        <v>1.5599999999999999E-2</v>
      </c>
    </row>
    <row r="216" spans="1:7" x14ac:dyDescent="0.2">
      <c r="A216" t="s">
        <v>71</v>
      </c>
      <c r="B216" t="s">
        <v>105</v>
      </c>
      <c r="C216" t="s">
        <v>73</v>
      </c>
      <c r="D216" t="s">
        <v>74</v>
      </c>
      <c r="E216" t="s">
        <v>82</v>
      </c>
      <c r="F216" s="55">
        <v>77</v>
      </c>
      <c r="G216" s="63">
        <v>3.3099999999999997E-2</v>
      </c>
    </row>
    <row r="217" spans="1:7" x14ac:dyDescent="0.2">
      <c r="A217" t="s">
        <v>71</v>
      </c>
      <c r="B217" t="s">
        <v>105</v>
      </c>
      <c r="C217" t="s">
        <v>73</v>
      </c>
      <c r="D217" t="s">
        <v>74</v>
      </c>
      <c r="E217" t="s">
        <v>83</v>
      </c>
      <c r="F217" s="55">
        <v>58</v>
      </c>
      <c r="G217" s="63">
        <v>7.4999999999999997E-3</v>
      </c>
    </row>
    <row r="218" spans="1:7" x14ac:dyDescent="0.2">
      <c r="A218" t="s">
        <v>71</v>
      </c>
      <c r="B218" t="s">
        <v>105</v>
      </c>
      <c r="C218" t="s">
        <v>73</v>
      </c>
      <c r="D218" t="s">
        <v>74</v>
      </c>
      <c r="E218" t="s">
        <v>84</v>
      </c>
      <c r="F218" s="55">
        <v>79</v>
      </c>
      <c r="G218" s="63">
        <v>1.23E-2</v>
      </c>
    </row>
    <row r="219" spans="1:7" x14ac:dyDescent="0.2">
      <c r="A219" t="s">
        <v>71</v>
      </c>
      <c r="B219" t="s">
        <v>105</v>
      </c>
      <c r="C219" t="s">
        <v>73</v>
      </c>
      <c r="D219" t="s">
        <v>74</v>
      </c>
      <c r="E219" t="s">
        <v>85</v>
      </c>
      <c r="F219" s="55">
        <v>68</v>
      </c>
      <c r="G219" s="63">
        <v>1.35E-2</v>
      </c>
    </row>
    <row r="220" spans="1:7" x14ac:dyDescent="0.2">
      <c r="A220" t="s">
        <v>71</v>
      </c>
      <c r="B220" t="s">
        <v>105</v>
      </c>
      <c r="C220" t="s">
        <v>73</v>
      </c>
      <c r="D220" t="s">
        <v>74</v>
      </c>
      <c r="E220" t="s">
        <v>86</v>
      </c>
      <c r="F220" s="55">
        <v>71</v>
      </c>
      <c r="G220" s="63">
        <v>1.6799999999999999E-2</v>
      </c>
    </row>
    <row r="221" spans="1:7" x14ac:dyDescent="0.2">
      <c r="A221" t="s">
        <v>71</v>
      </c>
      <c r="B221" t="s">
        <v>105</v>
      </c>
      <c r="C221" t="s">
        <v>73</v>
      </c>
      <c r="D221" t="s">
        <v>74</v>
      </c>
      <c r="E221" t="s">
        <v>87</v>
      </c>
      <c r="F221" s="55">
        <v>71</v>
      </c>
      <c r="G221" s="63">
        <v>2.0199999999999999E-2</v>
      </c>
    </row>
    <row r="222" spans="1:7" x14ac:dyDescent="0.2">
      <c r="A222" t="s">
        <v>71</v>
      </c>
      <c r="B222" t="s">
        <v>105</v>
      </c>
      <c r="C222" t="s">
        <v>73</v>
      </c>
      <c r="D222" t="s">
        <v>74</v>
      </c>
      <c r="E222" t="s">
        <v>88</v>
      </c>
      <c r="F222" s="55">
        <v>63</v>
      </c>
      <c r="G222" s="63">
        <v>1.54E-2</v>
      </c>
    </row>
    <row r="223" spans="1:7" x14ac:dyDescent="0.2">
      <c r="A223" t="s">
        <v>89</v>
      </c>
      <c r="B223" t="s">
        <v>106</v>
      </c>
      <c r="C223" t="s">
        <v>73</v>
      </c>
      <c r="D223" t="s">
        <v>91</v>
      </c>
      <c r="E223" t="s">
        <v>75</v>
      </c>
      <c r="F223" s="55">
        <v>108</v>
      </c>
      <c r="G223" s="63">
        <v>0.67679999999999996</v>
      </c>
    </row>
    <row r="224" spans="1:7" x14ac:dyDescent="0.2">
      <c r="A224" t="s">
        <v>89</v>
      </c>
      <c r="B224" t="s">
        <v>106</v>
      </c>
      <c r="C224" t="s">
        <v>73</v>
      </c>
      <c r="D224" t="s">
        <v>91</v>
      </c>
      <c r="E224" t="s">
        <v>76</v>
      </c>
      <c r="F224" s="55">
        <v>100</v>
      </c>
      <c r="G224" s="63">
        <v>0.1777</v>
      </c>
    </row>
    <row r="225" spans="1:7" x14ac:dyDescent="0.2">
      <c r="A225" t="s">
        <v>89</v>
      </c>
      <c r="B225" t="s">
        <v>106</v>
      </c>
      <c r="C225" t="s">
        <v>73</v>
      </c>
      <c r="D225" t="s">
        <v>91</v>
      </c>
      <c r="E225" t="s">
        <v>77</v>
      </c>
      <c r="F225" s="55">
        <v>112</v>
      </c>
      <c r="G225" s="63">
        <v>0.36020000000000002</v>
      </c>
    </row>
    <row r="226" spans="1:7" x14ac:dyDescent="0.2">
      <c r="A226" t="s">
        <v>89</v>
      </c>
      <c r="B226" t="s">
        <v>106</v>
      </c>
      <c r="C226" t="s">
        <v>73</v>
      </c>
      <c r="D226" t="s">
        <v>91</v>
      </c>
      <c r="E226" t="s">
        <v>78</v>
      </c>
      <c r="F226" s="55">
        <v>111</v>
      </c>
      <c r="G226" s="63">
        <v>0.2969</v>
      </c>
    </row>
    <row r="227" spans="1:7" x14ac:dyDescent="0.2">
      <c r="A227" t="s">
        <v>89</v>
      </c>
      <c r="B227" t="s">
        <v>106</v>
      </c>
      <c r="C227" t="s">
        <v>73</v>
      </c>
      <c r="D227" t="s">
        <v>91</v>
      </c>
      <c r="E227" t="s">
        <v>79</v>
      </c>
      <c r="F227" s="55">
        <v>106</v>
      </c>
      <c r="G227" s="63">
        <v>0.52300000000000002</v>
      </c>
    </row>
    <row r="228" spans="1:7" x14ac:dyDescent="0.2">
      <c r="A228" t="s">
        <v>89</v>
      </c>
      <c r="B228" t="s">
        <v>106</v>
      </c>
      <c r="C228" t="s">
        <v>73</v>
      </c>
      <c r="D228" t="s">
        <v>91</v>
      </c>
      <c r="E228" t="s">
        <v>80</v>
      </c>
      <c r="F228" s="55">
        <v>107</v>
      </c>
      <c r="G228" s="63">
        <v>0.14219999999999999</v>
      </c>
    </row>
    <row r="229" spans="1:7" x14ac:dyDescent="0.2">
      <c r="A229" t="s">
        <v>89</v>
      </c>
      <c r="B229" t="s">
        <v>106</v>
      </c>
      <c r="C229" t="s">
        <v>73</v>
      </c>
      <c r="D229" t="s">
        <v>91</v>
      </c>
      <c r="E229" t="s">
        <v>81</v>
      </c>
      <c r="F229" s="55">
        <v>98</v>
      </c>
      <c r="G229" s="63">
        <v>0.1628</v>
      </c>
    </row>
    <row r="230" spans="1:7" x14ac:dyDescent="0.2">
      <c r="A230" t="s">
        <v>89</v>
      </c>
      <c r="B230" t="s">
        <v>106</v>
      </c>
      <c r="C230" t="s">
        <v>73</v>
      </c>
      <c r="D230" t="s">
        <v>91</v>
      </c>
      <c r="E230" t="s">
        <v>82</v>
      </c>
      <c r="F230" s="55">
        <v>110</v>
      </c>
      <c r="G230" s="63">
        <v>0.46889999999999998</v>
      </c>
    </row>
    <row r="231" spans="1:7" x14ac:dyDescent="0.2">
      <c r="A231" t="s">
        <v>89</v>
      </c>
      <c r="B231" t="s">
        <v>106</v>
      </c>
      <c r="C231" t="s">
        <v>73</v>
      </c>
      <c r="D231" t="s">
        <v>91</v>
      </c>
      <c r="E231" t="s">
        <v>83</v>
      </c>
      <c r="F231" s="55">
        <v>98</v>
      </c>
      <c r="G231" s="63">
        <v>0.1176</v>
      </c>
    </row>
    <row r="232" spans="1:7" x14ac:dyDescent="0.2">
      <c r="A232" t="s">
        <v>89</v>
      </c>
      <c r="B232" t="s">
        <v>106</v>
      </c>
      <c r="C232" t="s">
        <v>73</v>
      </c>
      <c r="D232" t="s">
        <v>91</v>
      </c>
      <c r="E232" t="s">
        <v>84</v>
      </c>
      <c r="F232" s="55">
        <v>110</v>
      </c>
      <c r="G232" s="63">
        <v>0.25180000000000002</v>
      </c>
    </row>
    <row r="233" spans="1:7" x14ac:dyDescent="0.2">
      <c r="A233" t="s">
        <v>89</v>
      </c>
      <c r="B233" t="s">
        <v>106</v>
      </c>
      <c r="C233" t="s">
        <v>73</v>
      </c>
      <c r="D233" t="s">
        <v>91</v>
      </c>
      <c r="E233" t="s">
        <v>85</v>
      </c>
      <c r="F233" s="55">
        <v>112</v>
      </c>
      <c r="G233" s="63">
        <v>0.21959999999999999</v>
      </c>
    </row>
    <row r="234" spans="1:7" x14ac:dyDescent="0.2">
      <c r="A234" t="s">
        <v>89</v>
      </c>
      <c r="B234" t="s">
        <v>106</v>
      </c>
      <c r="C234" t="s">
        <v>73</v>
      </c>
      <c r="D234" t="s">
        <v>91</v>
      </c>
      <c r="E234" t="s">
        <v>86</v>
      </c>
      <c r="F234" s="55">
        <v>105</v>
      </c>
      <c r="G234" s="63">
        <v>0.2913</v>
      </c>
    </row>
    <row r="235" spans="1:7" x14ac:dyDescent="0.2">
      <c r="A235" t="s">
        <v>89</v>
      </c>
      <c r="B235" t="s">
        <v>106</v>
      </c>
      <c r="C235" t="s">
        <v>73</v>
      </c>
      <c r="D235" t="s">
        <v>91</v>
      </c>
      <c r="E235" t="s">
        <v>87</v>
      </c>
      <c r="F235" s="55">
        <v>102</v>
      </c>
      <c r="G235" s="63">
        <v>0.32140000000000002</v>
      </c>
    </row>
    <row r="236" spans="1:7" x14ac:dyDescent="0.2">
      <c r="A236" t="s">
        <v>89</v>
      </c>
      <c r="B236" t="s">
        <v>106</v>
      </c>
      <c r="C236" t="s">
        <v>73</v>
      </c>
      <c r="D236" t="s">
        <v>91</v>
      </c>
      <c r="E236" t="s">
        <v>88</v>
      </c>
      <c r="F236" s="55">
        <v>101</v>
      </c>
      <c r="G236" s="63">
        <v>0.25290000000000001</v>
      </c>
    </row>
    <row r="237" spans="1:7" x14ac:dyDescent="0.2">
      <c r="A237" t="s">
        <v>89</v>
      </c>
      <c r="B237" t="s">
        <v>107</v>
      </c>
      <c r="C237" t="s">
        <v>73</v>
      </c>
      <c r="D237" t="s">
        <v>74</v>
      </c>
      <c r="E237" t="s">
        <v>75</v>
      </c>
      <c r="F237" s="55">
        <v>95</v>
      </c>
      <c r="G237" s="63">
        <v>0.11409999999999999</v>
      </c>
    </row>
    <row r="238" spans="1:7" x14ac:dyDescent="0.2">
      <c r="A238" t="s">
        <v>89</v>
      </c>
      <c r="B238" t="s">
        <v>107</v>
      </c>
      <c r="C238" t="s">
        <v>73</v>
      </c>
      <c r="D238" t="s">
        <v>74</v>
      </c>
      <c r="E238" t="s">
        <v>76</v>
      </c>
      <c r="F238" s="55">
        <v>79</v>
      </c>
      <c r="G238" s="63">
        <v>9.7999999999999997E-3</v>
      </c>
    </row>
    <row r="239" spans="1:7" x14ac:dyDescent="0.2">
      <c r="A239" t="s">
        <v>89</v>
      </c>
      <c r="B239" t="s">
        <v>107</v>
      </c>
      <c r="C239" t="s">
        <v>73</v>
      </c>
      <c r="D239" t="s">
        <v>74</v>
      </c>
      <c r="E239" t="s">
        <v>77</v>
      </c>
      <c r="F239" s="55">
        <v>93</v>
      </c>
      <c r="G239" s="63">
        <v>3.3099999999999997E-2</v>
      </c>
    </row>
    <row r="240" spans="1:7" x14ac:dyDescent="0.2">
      <c r="A240" t="s">
        <v>89</v>
      </c>
      <c r="B240" t="s">
        <v>107</v>
      </c>
      <c r="C240" t="s">
        <v>73</v>
      </c>
      <c r="D240" t="s">
        <v>74</v>
      </c>
      <c r="E240" t="s">
        <v>78</v>
      </c>
      <c r="F240" s="55">
        <v>83</v>
      </c>
      <c r="G240" s="63">
        <v>2.8000000000000001E-2</v>
      </c>
    </row>
    <row r="241" spans="1:7" x14ac:dyDescent="0.2">
      <c r="A241" t="s">
        <v>89</v>
      </c>
      <c r="B241" t="s">
        <v>107</v>
      </c>
      <c r="C241" t="s">
        <v>73</v>
      </c>
      <c r="D241" t="s">
        <v>74</v>
      </c>
      <c r="E241" t="s">
        <v>79</v>
      </c>
      <c r="F241" s="55">
        <v>98</v>
      </c>
      <c r="G241" s="63">
        <v>7.0900000000000005E-2</v>
      </c>
    </row>
    <row r="242" spans="1:7" x14ac:dyDescent="0.2">
      <c r="A242" t="s">
        <v>89</v>
      </c>
      <c r="B242" t="s">
        <v>107</v>
      </c>
      <c r="C242" t="s">
        <v>73</v>
      </c>
      <c r="D242" t="s">
        <v>74</v>
      </c>
      <c r="E242" t="s">
        <v>80</v>
      </c>
      <c r="F242" s="55">
        <v>99</v>
      </c>
      <c r="G242" s="63">
        <v>1.47E-2</v>
      </c>
    </row>
    <row r="243" spans="1:7" x14ac:dyDescent="0.2">
      <c r="A243" t="s">
        <v>89</v>
      </c>
      <c r="B243" t="s">
        <v>107</v>
      </c>
      <c r="C243" t="s">
        <v>73</v>
      </c>
      <c r="D243" t="s">
        <v>74</v>
      </c>
      <c r="E243" t="s">
        <v>81</v>
      </c>
      <c r="F243" s="55">
        <v>107</v>
      </c>
      <c r="G243" s="63">
        <v>1.7299999999999999E-2</v>
      </c>
    </row>
    <row r="244" spans="1:7" x14ac:dyDescent="0.2">
      <c r="A244" t="s">
        <v>89</v>
      </c>
      <c r="B244" t="s">
        <v>107</v>
      </c>
      <c r="C244" t="s">
        <v>73</v>
      </c>
      <c r="D244" t="s">
        <v>74</v>
      </c>
      <c r="E244" t="s">
        <v>82</v>
      </c>
      <c r="F244" s="55">
        <v>103</v>
      </c>
      <c r="G244" s="63">
        <v>5.2699999999999997E-2</v>
      </c>
    </row>
    <row r="245" spans="1:7" x14ac:dyDescent="0.2">
      <c r="A245" t="s">
        <v>89</v>
      </c>
      <c r="B245" t="s">
        <v>107</v>
      </c>
      <c r="C245" t="s">
        <v>73</v>
      </c>
      <c r="D245" t="s">
        <v>74</v>
      </c>
      <c r="E245" t="s">
        <v>83</v>
      </c>
      <c r="F245" s="55">
        <v>95</v>
      </c>
      <c r="G245" s="63">
        <v>7.9000000000000008E-3</v>
      </c>
    </row>
    <row r="246" spans="1:7" x14ac:dyDescent="0.2">
      <c r="A246" t="s">
        <v>89</v>
      </c>
      <c r="B246" t="s">
        <v>107</v>
      </c>
      <c r="C246" t="s">
        <v>73</v>
      </c>
      <c r="D246" t="s">
        <v>74</v>
      </c>
      <c r="E246" t="s">
        <v>84</v>
      </c>
      <c r="F246" s="55">
        <v>78</v>
      </c>
      <c r="G246" s="63">
        <v>1.7500000000000002E-2</v>
      </c>
    </row>
    <row r="247" spans="1:7" x14ac:dyDescent="0.2">
      <c r="A247" t="s">
        <v>89</v>
      </c>
      <c r="B247" t="s">
        <v>107</v>
      </c>
      <c r="C247" t="s">
        <v>73</v>
      </c>
      <c r="D247" t="s">
        <v>74</v>
      </c>
      <c r="E247" t="s">
        <v>85</v>
      </c>
      <c r="F247" s="55">
        <v>86</v>
      </c>
      <c r="G247" s="63">
        <v>1.6500000000000001E-2</v>
      </c>
    </row>
    <row r="248" spans="1:7" x14ac:dyDescent="0.2">
      <c r="A248" t="s">
        <v>89</v>
      </c>
      <c r="B248" t="s">
        <v>107</v>
      </c>
      <c r="C248" t="s">
        <v>73</v>
      </c>
      <c r="D248" t="s">
        <v>74</v>
      </c>
      <c r="E248" t="s">
        <v>86</v>
      </c>
      <c r="F248" s="55">
        <v>96</v>
      </c>
      <c r="G248" s="63">
        <v>2.4E-2</v>
      </c>
    </row>
    <row r="249" spans="1:7" x14ac:dyDescent="0.2">
      <c r="A249" t="s">
        <v>89</v>
      </c>
      <c r="B249" t="s">
        <v>107</v>
      </c>
      <c r="C249" t="s">
        <v>73</v>
      </c>
      <c r="D249" t="s">
        <v>74</v>
      </c>
      <c r="E249" t="s">
        <v>87</v>
      </c>
      <c r="F249" s="55">
        <v>97</v>
      </c>
      <c r="G249" s="63">
        <v>3.2300000000000002E-2</v>
      </c>
    </row>
    <row r="250" spans="1:7" x14ac:dyDescent="0.2">
      <c r="A250" t="s">
        <v>89</v>
      </c>
      <c r="B250" t="s">
        <v>107</v>
      </c>
      <c r="C250" t="s">
        <v>73</v>
      </c>
      <c r="D250" t="s">
        <v>74</v>
      </c>
      <c r="E250" t="s">
        <v>88</v>
      </c>
      <c r="F250" s="55">
        <v>87</v>
      </c>
      <c r="G250" s="63">
        <v>1.84E-2</v>
      </c>
    </row>
    <row r="251" spans="1:7" x14ac:dyDescent="0.2">
      <c r="A251" t="s">
        <v>71</v>
      </c>
      <c r="B251" t="s">
        <v>5</v>
      </c>
      <c r="C251" t="s">
        <v>73</v>
      </c>
      <c r="D251" t="s">
        <v>74</v>
      </c>
      <c r="E251" t="s">
        <v>75</v>
      </c>
      <c r="F251" s="55">
        <v>99</v>
      </c>
      <c r="G251" s="63">
        <v>0.4199</v>
      </c>
    </row>
    <row r="252" spans="1:7" x14ac:dyDescent="0.2">
      <c r="A252" t="s">
        <v>71</v>
      </c>
      <c r="B252" t="s">
        <v>5</v>
      </c>
      <c r="C252" t="s">
        <v>73</v>
      </c>
      <c r="D252" t="s">
        <v>74</v>
      </c>
      <c r="E252" t="s">
        <v>76</v>
      </c>
      <c r="F252" s="55">
        <v>95</v>
      </c>
      <c r="G252" s="63">
        <v>6.5000000000000002E-2</v>
      </c>
    </row>
    <row r="253" spans="1:7" x14ac:dyDescent="0.2">
      <c r="A253" t="s">
        <v>71</v>
      </c>
      <c r="B253" t="s">
        <v>5</v>
      </c>
      <c r="C253" t="s">
        <v>73</v>
      </c>
      <c r="D253" t="s">
        <v>74</v>
      </c>
      <c r="E253" t="s">
        <v>77</v>
      </c>
      <c r="F253" s="55">
        <v>98</v>
      </c>
      <c r="G253" s="63">
        <v>0.1416</v>
      </c>
    </row>
    <row r="254" spans="1:7" x14ac:dyDescent="0.2">
      <c r="A254" t="s">
        <v>71</v>
      </c>
      <c r="B254" t="s">
        <v>5</v>
      </c>
      <c r="C254" t="s">
        <v>73</v>
      </c>
      <c r="D254" t="s">
        <v>74</v>
      </c>
      <c r="E254" t="s">
        <v>78</v>
      </c>
      <c r="F254" s="55">
        <v>97</v>
      </c>
      <c r="G254" s="63">
        <v>0.16159999999999999</v>
      </c>
    </row>
    <row r="255" spans="1:7" x14ac:dyDescent="0.2">
      <c r="A255" t="s">
        <v>71</v>
      </c>
      <c r="B255" t="s">
        <v>5</v>
      </c>
      <c r="C255" t="s">
        <v>73</v>
      </c>
      <c r="D255" t="s">
        <v>74</v>
      </c>
      <c r="E255" t="s">
        <v>79</v>
      </c>
      <c r="F255" s="55">
        <v>101</v>
      </c>
      <c r="G255" s="63">
        <v>0.29559999999999997</v>
      </c>
    </row>
    <row r="256" spans="1:7" x14ac:dyDescent="0.2">
      <c r="A256" t="s">
        <v>71</v>
      </c>
      <c r="B256" t="s">
        <v>5</v>
      </c>
      <c r="C256" t="s">
        <v>73</v>
      </c>
      <c r="D256" t="s">
        <v>74</v>
      </c>
      <c r="E256" t="s">
        <v>80</v>
      </c>
      <c r="F256" s="55">
        <v>98</v>
      </c>
      <c r="G256" s="63">
        <v>5.8299999999999998E-2</v>
      </c>
    </row>
    <row r="257" spans="1:7" x14ac:dyDescent="0.2">
      <c r="A257" t="s">
        <v>71</v>
      </c>
      <c r="B257" t="s">
        <v>5</v>
      </c>
      <c r="C257" t="s">
        <v>73</v>
      </c>
      <c r="D257" t="s">
        <v>74</v>
      </c>
      <c r="E257" t="s">
        <v>81</v>
      </c>
      <c r="F257" s="55">
        <v>99</v>
      </c>
      <c r="G257" s="63">
        <v>7.5499999999999998E-2</v>
      </c>
    </row>
    <row r="258" spans="1:7" x14ac:dyDescent="0.2">
      <c r="A258" t="s">
        <v>71</v>
      </c>
      <c r="B258" t="s">
        <v>5</v>
      </c>
      <c r="C258" t="s">
        <v>73</v>
      </c>
      <c r="D258" t="s">
        <v>74</v>
      </c>
      <c r="E258" t="s">
        <v>82</v>
      </c>
      <c r="F258" s="55">
        <v>104</v>
      </c>
      <c r="G258" s="63">
        <v>0.22889999999999999</v>
      </c>
    </row>
    <row r="259" spans="1:7" x14ac:dyDescent="0.2">
      <c r="A259" t="s">
        <v>71</v>
      </c>
      <c r="B259" t="s">
        <v>5</v>
      </c>
      <c r="C259" t="s">
        <v>73</v>
      </c>
      <c r="D259" t="s">
        <v>74</v>
      </c>
      <c r="E259" t="s">
        <v>83</v>
      </c>
      <c r="F259" s="55">
        <v>100</v>
      </c>
      <c r="G259" s="63">
        <v>4.4699999999999997E-2</v>
      </c>
    </row>
    <row r="260" spans="1:7" x14ac:dyDescent="0.2">
      <c r="A260" t="s">
        <v>71</v>
      </c>
      <c r="B260" t="s">
        <v>5</v>
      </c>
      <c r="C260" t="s">
        <v>73</v>
      </c>
      <c r="D260" t="s">
        <v>74</v>
      </c>
      <c r="E260" t="s">
        <v>84</v>
      </c>
      <c r="F260" s="55">
        <v>96</v>
      </c>
      <c r="G260" s="63">
        <v>0.1178</v>
      </c>
    </row>
    <row r="261" spans="1:7" x14ac:dyDescent="0.2">
      <c r="A261" t="s">
        <v>71</v>
      </c>
      <c r="B261" t="s">
        <v>5</v>
      </c>
      <c r="C261" t="s">
        <v>73</v>
      </c>
      <c r="D261" t="s">
        <v>74</v>
      </c>
      <c r="E261" t="s">
        <v>85</v>
      </c>
      <c r="F261" s="55">
        <v>95</v>
      </c>
      <c r="G261" s="63">
        <v>7.5999999999999998E-2</v>
      </c>
    </row>
    <row r="262" spans="1:7" x14ac:dyDescent="0.2">
      <c r="A262" t="s">
        <v>71</v>
      </c>
      <c r="B262" t="s">
        <v>5</v>
      </c>
      <c r="C262" t="s">
        <v>73</v>
      </c>
      <c r="D262" t="s">
        <v>74</v>
      </c>
      <c r="E262" t="s">
        <v>86</v>
      </c>
      <c r="F262" s="55">
        <v>100</v>
      </c>
      <c r="G262" s="63">
        <v>0.1179</v>
      </c>
    </row>
    <row r="263" spans="1:7" x14ac:dyDescent="0.2">
      <c r="A263" t="s">
        <v>71</v>
      </c>
      <c r="B263" t="s">
        <v>5</v>
      </c>
      <c r="C263" t="s">
        <v>73</v>
      </c>
      <c r="D263" t="s">
        <v>74</v>
      </c>
      <c r="E263" t="s">
        <v>87</v>
      </c>
      <c r="F263" s="55">
        <v>102</v>
      </c>
      <c r="G263" s="63">
        <v>0.14169999999999999</v>
      </c>
    </row>
    <row r="264" spans="1:7" x14ac:dyDescent="0.2">
      <c r="A264" t="s">
        <v>71</v>
      </c>
      <c r="B264" t="s">
        <v>5</v>
      </c>
      <c r="C264" t="s">
        <v>73</v>
      </c>
      <c r="D264" t="s">
        <v>74</v>
      </c>
      <c r="E264" t="s">
        <v>88</v>
      </c>
      <c r="F264" s="55">
        <v>95</v>
      </c>
      <c r="G264" s="63">
        <v>9.7199999999999995E-2</v>
      </c>
    </row>
    <row r="265" spans="1:7" x14ac:dyDescent="0.2">
      <c r="A265" t="s">
        <v>71</v>
      </c>
      <c r="B265" t="s">
        <v>6</v>
      </c>
      <c r="C265" t="s">
        <v>73</v>
      </c>
      <c r="D265" t="s">
        <v>74</v>
      </c>
      <c r="E265" t="s">
        <v>75</v>
      </c>
      <c r="F265" s="55">
        <v>86</v>
      </c>
      <c r="G265" s="63">
        <v>0.48659999999999998</v>
      </c>
    </row>
    <row r="266" spans="1:7" x14ac:dyDescent="0.2">
      <c r="A266" t="s">
        <v>71</v>
      </c>
      <c r="B266" t="s">
        <v>6</v>
      </c>
      <c r="C266" t="s">
        <v>73</v>
      </c>
      <c r="D266" t="s">
        <v>74</v>
      </c>
      <c r="E266" t="s">
        <v>76</v>
      </c>
      <c r="F266" s="55">
        <v>85</v>
      </c>
      <c r="G266" s="63">
        <v>0.14879999999999999</v>
      </c>
    </row>
    <row r="267" spans="1:7" x14ac:dyDescent="0.2">
      <c r="A267" t="s">
        <v>71</v>
      </c>
      <c r="B267" t="s">
        <v>6</v>
      </c>
      <c r="C267" t="s">
        <v>73</v>
      </c>
      <c r="D267" t="s">
        <v>74</v>
      </c>
      <c r="E267" t="s">
        <v>77</v>
      </c>
      <c r="F267" s="55">
        <v>89</v>
      </c>
      <c r="G267" s="63">
        <v>0.2727</v>
      </c>
    </row>
    <row r="268" spans="1:7" x14ac:dyDescent="0.2">
      <c r="A268" t="s">
        <v>71</v>
      </c>
      <c r="B268" t="s">
        <v>6</v>
      </c>
      <c r="C268" t="s">
        <v>73</v>
      </c>
      <c r="D268" t="s">
        <v>74</v>
      </c>
      <c r="E268" t="s">
        <v>78</v>
      </c>
      <c r="F268" s="55">
        <v>86</v>
      </c>
      <c r="G268" s="63">
        <v>0.22520000000000001</v>
      </c>
    </row>
    <row r="269" spans="1:7" x14ac:dyDescent="0.2">
      <c r="A269" t="s">
        <v>71</v>
      </c>
      <c r="B269" t="s">
        <v>6</v>
      </c>
      <c r="C269" t="s">
        <v>73</v>
      </c>
      <c r="D269" t="s">
        <v>74</v>
      </c>
      <c r="E269" t="s">
        <v>79</v>
      </c>
      <c r="F269" s="55">
        <v>85</v>
      </c>
      <c r="G269" s="63">
        <v>0.35730000000000001</v>
      </c>
    </row>
    <row r="270" spans="1:7" x14ac:dyDescent="0.2">
      <c r="A270" t="s">
        <v>71</v>
      </c>
      <c r="B270" t="s">
        <v>6</v>
      </c>
      <c r="C270" t="s">
        <v>73</v>
      </c>
      <c r="D270" t="s">
        <v>74</v>
      </c>
      <c r="E270" t="s">
        <v>80</v>
      </c>
      <c r="F270" s="55">
        <v>85</v>
      </c>
      <c r="G270" s="63">
        <v>0.14749999999999999</v>
      </c>
    </row>
    <row r="271" spans="1:7" x14ac:dyDescent="0.2">
      <c r="A271" t="s">
        <v>71</v>
      </c>
      <c r="B271" t="s">
        <v>6</v>
      </c>
      <c r="C271" t="s">
        <v>73</v>
      </c>
      <c r="D271" t="s">
        <v>74</v>
      </c>
      <c r="E271" t="s">
        <v>81</v>
      </c>
      <c r="F271" s="55">
        <v>82</v>
      </c>
      <c r="G271" s="63">
        <v>0.15620000000000001</v>
      </c>
    </row>
    <row r="272" spans="1:7" x14ac:dyDescent="0.2">
      <c r="A272" t="s">
        <v>71</v>
      </c>
      <c r="B272" t="s">
        <v>6</v>
      </c>
      <c r="C272" t="s">
        <v>73</v>
      </c>
      <c r="D272" t="s">
        <v>74</v>
      </c>
      <c r="E272" t="s">
        <v>82</v>
      </c>
      <c r="F272" s="55">
        <v>87</v>
      </c>
      <c r="G272" s="63">
        <v>0.3387</v>
      </c>
    </row>
    <row r="273" spans="1:7" x14ac:dyDescent="0.2">
      <c r="A273" t="s">
        <v>71</v>
      </c>
      <c r="B273" t="s">
        <v>6</v>
      </c>
      <c r="C273" t="s">
        <v>73</v>
      </c>
      <c r="D273" t="s">
        <v>74</v>
      </c>
      <c r="E273" t="s">
        <v>83</v>
      </c>
      <c r="F273" s="55">
        <v>79</v>
      </c>
      <c r="G273" s="63">
        <v>0.1007</v>
      </c>
    </row>
    <row r="274" spans="1:7" x14ac:dyDescent="0.2">
      <c r="A274" t="s">
        <v>71</v>
      </c>
      <c r="B274" t="s">
        <v>6</v>
      </c>
      <c r="C274" t="s">
        <v>73</v>
      </c>
      <c r="D274" t="s">
        <v>74</v>
      </c>
      <c r="E274" t="s">
        <v>84</v>
      </c>
      <c r="F274" s="55">
        <v>86</v>
      </c>
      <c r="G274" s="63">
        <v>0.19769999999999999</v>
      </c>
    </row>
    <row r="275" spans="1:7" x14ac:dyDescent="0.2">
      <c r="A275" t="s">
        <v>71</v>
      </c>
      <c r="B275" t="s">
        <v>6</v>
      </c>
      <c r="C275" t="s">
        <v>73</v>
      </c>
      <c r="D275" t="s">
        <v>74</v>
      </c>
      <c r="E275" t="s">
        <v>85</v>
      </c>
      <c r="F275" s="55">
        <v>85</v>
      </c>
      <c r="G275" s="63">
        <v>0.18590000000000001</v>
      </c>
    </row>
    <row r="276" spans="1:7" x14ac:dyDescent="0.2">
      <c r="A276" t="s">
        <v>71</v>
      </c>
      <c r="B276" t="s">
        <v>6</v>
      </c>
      <c r="C276" t="s">
        <v>73</v>
      </c>
      <c r="D276" t="s">
        <v>74</v>
      </c>
      <c r="E276" t="s">
        <v>86</v>
      </c>
      <c r="F276" s="55">
        <v>84</v>
      </c>
      <c r="G276" s="63">
        <v>0.21279999999999999</v>
      </c>
    </row>
    <row r="277" spans="1:7" x14ac:dyDescent="0.2">
      <c r="A277" t="s">
        <v>71</v>
      </c>
      <c r="B277" t="s">
        <v>6</v>
      </c>
      <c r="C277" t="s">
        <v>73</v>
      </c>
      <c r="D277" t="s">
        <v>74</v>
      </c>
      <c r="E277" t="s">
        <v>87</v>
      </c>
      <c r="F277" s="55">
        <v>85</v>
      </c>
      <c r="G277" s="63">
        <v>0.22359999999999999</v>
      </c>
    </row>
    <row r="278" spans="1:7" x14ac:dyDescent="0.2">
      <c r="A278" t="s">
        <v>71</v>
      </c>
      <c r="B278" t="s">
        <v>6</v>
      </c>
      <c r="C278" t="s">
        <v>73</v>
      </c>
      <c r="D278" t="s">
        <v>74</v>
      </c>
      <c r="E278" t="s">
        <v>88</v>
      </c>
      <c r="F278" s="55">
        <v>84</v>
      </c>
      <c r="G278" s="63">
        <v>0.20699999999999999</v>
      </c>
    </row>
    <row r="279" spans="1:7" x14ac:dyDescent="0.2">
      <c r="A279" t="s">
        <v>89</v>
      </c>
      <c r="B279" t="s">
        <v>108</v>
      </c>
      <c r="C279" t="s">
        <v>73</v>
      </c>
      <c r="D279" t="s">
        <v>74</v>
      </c>
      <c r="E279" t="s">
        <v>75</v>
      </c>
      <c r="F279" s="55">
        <v>13</v>
      </c>
      <c r="G279" s="63">
        <v>3.8999999999999998E-3</v>
      </c>
    </row>
    <row r="280" spans="1:7" x14ac:dyDescent="0.2">
      <c r="A280" t="s">
        <v>89</v>
      </c>
      <c r="B280" t="s">
        <v>108</v>
      </c>
      <c r="C280" t="s">
        <v>73</v>
      </c>
      <c r="D280" t="s">
        <v>74</v>
      </c>
      <c r="E280" t="s">
        <v>79</v>
      </c>
      <c r="F280" s="55">
        <v>11</v>
      </c>
      <c r="G280" s="63">
        <v>1.9E-3</v>
      </c>
    </row>
    <row r="281" spans="1:7" x14ac:dyDescent="0.2">
      <c r="A281" t="s">
        <v>89</v>
      </c>
      <c r="B281" t="s">
        <v>109</v>
      </c>
      <c r="C281" t="s">
        <v>73</v>
      </c>
      <c r="D281" t="s">
        <v>74</v>
      </c>
      <c r="E281" t="s">
        <v>75</v>
      </c>
      <c r="F281" s="55">
        <v>181</v>
      </c>
      <c r="G281" s="63">
        <v>1.12E-2</v>
      </c>
    </row>
    <row r="282" spans="1:7" x14ac:dyDescent="0.2">
      <c r="A282" t="s">
        <v>89</v>
      </c>
      <c r="B282" t="s">
        <v>109</v>
      </c>
      <c r="C282" t="s">
        <v>73</v>
      </c>
      <c r="D282" t="s">
        <v>74</v>
      </c>
      <c r="E282" t="s">
        <v>77</v>
      </c>
      <c r="F282" s="55">
        <v>21</v>
      </c>
      <c r="G282" s="63">
        <v>2.3E-3</v>
      </c>
    </row>
    <row r="283" spans="1:7" x14ac:dyDescent="0.2">
      <c r="A283" t="s">
        <v>89</v>
      </c>
      <c r="B283" t="s">
        <v>109</v>
      </c>
      <c r="C283" t="s">
        <v>73</v>
      </c>
      <c r="D283" t="s">
        <v>74</v>
      </c>
      <c r="E283" t="s">
        <v>78</v>
      </c>
      <c r="F283" s="55">
        <v>289</v>
      </c>
      <c r="G283" s="63">
        <v>1.6000000000000001E-3</v>
      </c>
    </row>
    <row r="284" spans="1:7" x14ac:dyDescent="0.2">
      <c r="A284" t="s">
        <v>89</v>
      </c>
      <c r="B284" t="s">
        <v>109</v>
      </c>
      <c r="C284" t="s">
        <v>73</v>
      </c>
      <c r="D284" t="s">
        <v>74</v>
      </c>
      <c r="E284" t="s">
        <v>79</v>
      </c>
      <c r="F284" s="55">
        <v>203</v>
      </c>
      <c r="G284" s="63">
        <v>4.7000000000000002E-3</v>
      </c>
    </row>
    <row r="285" spans="1:7" x14ac:dyDescent="0.2">
      <c r="A285" t="s">
        <v>89</v>
      </c>
      <c r="B285" t="s">
        <v>109</v>
      </c>
      <c r="C285" t="s">
        <v>73</v>
      </c>
      <c r="D285" t="s">
        <v>74</v>
      </c>
      <c r="E285" t="s">
        <v>82</v>
      </c>
      <c r="F285" s="55">
        <v>267</v>
      </c>
      <c r="G285" s="63">
        <v>3.8E-3</v>
      </c>
    </row>
    <row r="286" spans="1:7" x14ac:dyDescent="0.2">
      <c r="A286" t="s">
        <v>89</v>
      </c>
      <c r="B286" t="s">
        <v>109</v>
      </c>
      <c r="C286" t="s">
        <v>73</v>
      </c>
      <c r="D286" t="s">
        <v>74</v>
      </c>
      <c r="E286" t="s">
        <v>88</v>
      </c>
      <c r="F286" s="55">
        <v>29</v>
      </c>
      <c r="G286" s="63">
        <v>1.4E-3</v>
      </c>
    </row>
    <row r="287" spans="1:7" x14ac:dyDescent="0.2">
      <c r="A287" t="s">
        <v>71</v>
      </c>
      <c r="B287" t="s">
        <v>7</v>
      </c>
      <c r="C287" t="s">
        <v>73</v>
      </c>
      <c r="D287" t="s">
        <v>74</v>
      </c>
      <c r="E287" t="s">
        <v>75</v>
      </c>
      <c r="F287" s="55">
        <v>86</v>
      </c>
      <c r="G287" s="63">
        <v>0.25109999999999999</v>
      </c>
    </row>
    <row r="288" spans="1:7" x14ac:dyDescent="0.2">
      <c r="A288" t="s">
        <v>71</v>
      </c>
      <c r="B288" t="s">
        <v>7</v>
      </c>
      <c r="C288" t="s">
        <v>73</v>
      </c>
      <c r="D288" t="s">
        <v>74</v>
      </c>
      <c r="E288" t="s">
        <v>76</v>
      </c>
      <c r="F288" s="55">
        <v>82</v>
      </c>
      <c r="G288" s="63">
        <v>2.58E-2</v>
      </c>
    </row>
    <row r="289" spans="1:7" x14ac:dyDescent="0.2">
      <c r="A289" t="s">
        <v>71</v>
      </c>
      <c r="B289" t="s">
        <v>7</v>
      </c>
      <c r="C289" t="s">
        <v>73</v>
      </c>
      <c r="D289" t="s">
        <v>74</v>
      </c>
      <c r="E289" t="s">
        <v>77</v>
      </c>
      <c r="F289" s="55">
        <v>88</v>
      </c>
      <c r="G289" s="63">
        <v>7.5999999999999998E-2</v>
      </c>
    </row>
    <row r="290" spans="1:7" x14ac:dyDescent="0.2">
      <c r="A290" t="s">
        <v>71</v>
      </c>
      <c r="B290" t="s">
        <v>7</v>
      </c>
      <c r="C290" t="s">
        <v>73</v>
      </c>
      <c r="D290" t="s">
        <v>74</v>
      </c>
      <c r="E290" t="s">
        <v>78</v>
      </c>
      <c r="F290" s="55">
        <v>90</v>
      </c>
      <c r="G290" s="63">
        <v>6.83E-2</v>
      </c>
    </row>
    <row r="291" spans="1:7" x14ac:dyDescent="0.2">
      <c r="A291" t="s">
        <v>71</v>
      </c>
      <c r="B291" t="s">
        <v>7</v>
      </c>
      <c r="C291" t="s">
        <v>73</v>
      </c>
      <c r="D291" t="s">
        <v>74</v>
      </c>
      <c r="E291" t="s">
        <v>79</v>
      </c>
      <c r="F291" s="55">
        <v>85</v>
      </c>
      <c r="G291" s="63">
        <v>0.16900000000000001</v>
      </c>
    </row>
    <row r="292" spans="1:7" x14ac:dyDescent="0.2">
      <c r="A292" t="s">
        <v>71</v>
      </c>
      <c r="B292" t="s">
        <v>7</v>
      </c>
      <c r="C292" t="s">
        <v>73</v>
      </c>
      <c r="D292" t="s">
        <v>74</v>
      </c>
      <c r="E292" t="s">
        <v>80</v>
      </c>
      <c r="F292" s="55">
        <v>83</v>
      </c>
      <c r="G292" s="63">
        <v>4.8399999999999999E-2</v>
      </c>
    </row>
    <row r="293" spans="1:7" x14ac:dyDescent="0.2">
      <c r="A293" t="s">
        <v>71</v>
      </c>
      <c r="B293" t="s">
        <v>7</v>
      </c>
      <c r="C293" t="s">
        <v>73</v>
      </c>
      <c r="D293" t="s">
        <v>74</v>
      </c>
      <c r="E293" t="s">
        <v>81</v>
      </c>
      <c r="F293" s="55">
        <v>81</v>
      </c>
      <c r="G293" s="63">
        <v>4.8300000000000003E-2</v>
      </c>
    </row>
    <row r="294" spans="1:7" x14ac:dyDescent="0.2">
      <c r="A294" t="s">
        <v>71</v>
      </c>
      <c r="B294" t="s">
        <v>7</v>
      </c>
      <c r="C294" t="s">
        <v>73</v>
      </c>
      <c r="D294" t="s">
        <v>74</v>
      </c>
      <c r="E294" t="s">
        <v>82</v>
      </c>
      <c r="F294" s="55">
        <v>88</v>
      </c>
      <c r="G294" s="63">
        <v>0.11310000000000001</v>
      </c>
    </row>
    <row r="295" spans="1:7" x14ac:dyDescent="0.2">
      <c r="A295" t="s">
        <v>71</v>
      </c>
      <c r="B295" t="s">
        <v>7</v>
      </c>
      <c r="C295" t="s">
        <v>73</v>
      </c>
      <c r="D295" t="s">
        <v>74</v>
      </c>
      <c r="E295" t="s">
        <v>83</v>
      </c>
      <c r="F295" s="55">
        <v>86</v>
      </c>
      <c r="G295" s="63">
        <v>2.18E-2</v>
      </c>
    </row>
    <row r="296" spans="1:7" x14ac:dyDescent="0.2">
      <c r="A296" t="s">
        <v>71</v>
      </c>
      <c r="B296" t="s">
        <v>7</v>
      </c>
      <c r="C296" t="s">
        <v>73</v>
      </c>
      <c r="D296" t="s">
        <v>74</v>
      </c>
      <c r="E296" t="s">
        <v>84</v>
      </c>
      <c r="F296" s="55">
        <v>92</v>
      </c>
      <c r="G296" s="63">
        <v>5.33E-2</v>
      </c>
    </row>
    <row r="297" spans="1:7" x14ac:dyDescent="0.2">
      <c r="A297" t="s">
        <v>71</v>
      </c>
      <c r="B297" t="s">
        <v>7</v>
      </c>
      <c r="C297" t="s">
        <v>73</v>
      </c>
      <c r="D297" t="s">
        <v>74</v>
      </c>
      <c r="E297" t="s">
        <v>85</v>
      </c>
      <c r="F297" s="55">
        <v>85</v>
      </c>
      <c r="G297" s="63">
        <v>5.96E-2</v>
      </c>
    </row>
    <row r="298" spans="1:7" x14ac:dyDescent="0.2">
      <c r="A298" t="s">
        <v>71</v>
      </c>
      <c r="B298" t="s">
        <v>7</v>
      </c>
      <c r="C298" t="s">
        <v>73</v>
      </c>
      <c r="D298" t="s">
        <v>74</v>
      </c>
      <c r="E298" t="s">
        <v>86</v>
      </c>
      <c r="F298" s="55">
        <v>81</v>
      </c>
      <c r="G298" s="63">
        <v>6.9199999999999998E-2</v>
      </c>
    </row>
    <row r="299" spans="1:7" x14ac:dyDescent="0.2">
      <c r="A299" t="s">
        <v>71</v>
      </c>
      <c r="B299" t="s">
        <v>7</v>
      </c>
      <c r="C299" t="s">
        <v>73</v>
      </c>
      <c r="D299" t="s">
        <v>74</v>
      </c>
      <c r="E299" t="s">
        <v>87</v>
      </c>
      <c r="F299" s="55">
        <v>86</v>
      </c>
      <c r="G299" s="63">
        <v>8.0600000000000005E-2</v>
      </c>
    </row>
    <row r="300" spans="1:7" x14ac:dyDescent="0.2">
      <c r="A300" t="s">
        <v>71</v>
      </c>
      <c r="B300" t="s">
        <v>7</v>
      </c>
      <c r="C300" t="s">
        <v>73</v>
      </c>
      <c r="D300" t="s">
        <v>74</v>
      </c>
      <c r="E300" t="s">
        <v>88</v>
      </c>
      <c r="F300" s="55">
        <v>82</v>
      </c>
      <c r="G300" s="63">
        <v>4.2900000000000001E-2</v>
      </c>
    </row>
    <row r="301" spans="1:7" x14ac:dyDescent="0.2">
      <c r="A301" t="s">
        <v>89</v>
      </c>
      <c r="B301" t="s">
        <v>110</v>
      </c>
      <c r="C301" t="s">
        <v>73</v>
      </c>
      <c r="D301" t="s">
        <v>74</v>
      </c>
      <c r="E301" t="s">
        <v>75</v>
      </c>
      <c r="F301" s="55">
        <v>102</v>
      </c>
      <c r="G301" s="63">
        <v>9.0499999999999997E-2</v>
      </c>
    </row>
    <row r="302" spans="1:7" x14ac:dyDescent="0.2">
      <c r="A302" t="s">
        <v>89</v>
      </c>
      <c r="B302" t="s">
        <v>110</v>
      </c>
      <c r="C302" t="s">
        <v>73</v>
      </c>
      <c r="D302" t="s">
        <v>74</v>
      </c>
      <c r="E302" t="s">
        <v>76</v>
      </c>
      <c r="F302" s="55">
        <v>93</v>
      </c>
      <c r="G302" s="63">
        <v>1.0500000000000001E-2</v>
      </c>
    </row>
    <row r="303" spans="1:7" x14ac:dyDescent="0.2">
      <c r="A303" t="s">
        <v>89</v>
      </c>
      <c r="B303" t="s">
        <v>110</v>
      </c>
      <c r="C303" t="s">
        <v>73</v>
      </c>
      <c r="D303" t="s">
        <v>74</v>
      </c>
      <c r="E303" t="s">
        <v>77</v>
      </c>
      <c r="F303" s="55">
        <v>116</v>
      </c>
      <c r="G303" s="63">
        <v>3.4299999999999997E-2</v>
      </c>
    </row>
    <row r="304" spans="1:7" x14ac:dyDescent="0.2">
      <c r="A304" t="s">
        <v>89</v>
      </c>
      <c r="B304" t="s">
        <v>110</v>
      </c>
      <c r="C304" t="s">
        <v>73</v>
      </c>
      <c r="D304" t="s">
        <v>74</v>
      </c>
      <c r="E304" t="s">
        <v>78</v>
      </c>
      <c r="F304" s="55">
        <v>98</v>
      </c>
      <c r="G304" s="63">
        <v>2.6200000000000001E-2</v>
      </c>
    </row>
    <row r="305" spans="1:7" x14ac:dyDescent="0.2">
      <c r="A305" t="s">
        <v>89</v>
      </c>
      <c r="B305" t="s">
        <v>110</v>
      </c>
      <c r="C305" t="s">
        <v>73</v>
      </c>
      <c r="D305" t="s">
        <v>74</v>
      </c>
      <c r="E305" t="s">
        <v>79</v>
      </c>
      <c r="F305" s="55">
        <v>97</v>
      </c>
      <c r="G305" s="63">
        <v>5.5599999999999997E-2</v>
      </c>
    </row>
    <row r="306" spans="1:7" x14ac:dyDescent="0.2">
      <c r="A306" t="s">
        <v>89</v>
      </c>
      <c r="B306" t="s">
        <v>110</v>
      </c>
      <c r="C306" t="s">
        <v>73</v>
      </c>
      <c r="D306" t="s">
        <v>74</v>
      </c>
      <c r="E306" t="s">
        <v>80</v>
      </c>
      <c r="F306" s="55">
        <v>100</v>
      </c>
      <c r="G306" s="63">
        <v>1.7000000000000001E-2</v>
      </c>
    </row>
    <row r="307" spans="1:7" x14ac:dyDescent="0.2">
      <c r="A307" t="s">
        <v>89</v>
      </c>
      <c r="B307" t="s">
        <v>110</v>
      </c>
      <c r="C307" t="s">
        <v>73</v>
      </c>
      <c r="D307" t="s">
        <v>74</v>
      </c>
      <c r="E307" t="s">
        <v>81</v>
      </c>
      <c r="F307" s="55">
        <v>100</v>
      </c>
      <c r="G307" s="63">
        <v>1.6799999999999999E-2</v>
      </c>
    </row>
    <row r="308" spans="1:7" x14ac:dyDescent="0.2">
      <c r="A308" t="s">
        <v>89</v>
      </c>
      <c r="B308" t="s">
        <v>110</v>
      </c>
      <c r="C308" t="s">
        <v>73</v>
      </c>
      <c r="D308" t="s">
        <v>74</v>
      </c>
      <c r="E308" t="s">
        <v>82</v>
      </c>
      <c r="F308" s="55">
        <v>99</v>
      </c>
      <c r="G308" s="63">
        <v>4.36E-2</v>
      </c>
    </row>
    <row r="309" spans="1:7" x14ac:dyDescent="0.2">
      <c r="A309" t="s">
        <v>89</v>
      </c>
      <c r="B309" t="s">
        <v>110</v>
      </c>
      <c r="C309" t="s">
        <v>73</v>
      </c>
      <c r="D309" t="s">
        <v>74</v>
      </c>
      <c r="E309" t="s">
        <v>83</v>
      </c>
      <c r="F309" s="55">
        <v>109</v>
      </c>
      <c r="G309" s="63">
        <v>7.4999999999999997E-3</v>
      </c>
    </row>
    <row r="310" spans="1:7" x14ac:dyDescent="0.2">
      <c r="A310" t="s">
        <v>89</v>
      </c>
      <c r="B310" t="s">
        <v>110</v>
      </c>
      <c r="C310" t="s">
        <v>73</v>
      </c>
      <c r="D310" t="s">
        <v>74</v>
      </c>
      <c r="E310" t="s">
        <v>84</v>
      </c>
      <c r="F310" s="55">
        <v>99</v>
      </c>
      <c r="G310" s="63">
        <v>2.0400000000000001E-2</v>
      </c>
    </row>
    <row r="311" spans="1:7" x14ac:dyDescent="0.2">
      <c r="A311" t="s">
        <v>89</v>
      </c>
      <c r="B311" t="s">
        <v>110</v>
      </c>
      <c r="C311" t="s">
        <v>73</v>
      </c>
      <c r="D311" t="s">
        <v>74</v>
      </c>
      <c r="E311" t="s">
        <v>85</v>
      </c>
      <c r="F311" s="55">
        <v>105</v>
      </c>
      <c r="G311" s="63">
        <v>1.7399999999999999E-2</v>
      </c>
    </row>
    <row r="312" spans="1:7" x14ac:dyDescent="0.2">
      <c r="A312" t="s">
        <v>89</v>
      </c>
      <c r="B312" t="s">
        <v>110</v>
      </c>
      <c r="C312" t="s">
        <v>73</v>
      </c>
      <c r="D312" t="s">
        <v>74</v>
      </c>
      <c r="E312" t="s">
        <v>86</v>
      </c>
      <c r="F312" s="55">
        <v>102</v>
      </c>
      <c r="G312" s="63">
        <v>2.2599999999999999E-2</v>
      </c>
    </row>
    <row r="313" spans="1:7" x14ac:dyDescent="0.2">
      <c r="A313" t="s">
        <v>89</v>
      </c>
      <c r="B313" t="s">
        <v>110</v>
      </c>
      <c r="C313" t="s">
        <v>73</v>
      </c>
      <c r="D313" t="s">
        <v>74</v>
      </c>
      <c r="E313" t="s">
        <v>87</v>
      </c>
      <c r="F313" s="55">
        <v>96</v>
      </c>
      <c r="G313" s="63">
        <v>2.5999999999999999E-2</v>
      </c>
    </row>
    <row r="314" spans="1:7" x14ac:dyDescent="0.2">
      <c r="A314" t="s">
        <v>89</v>
      </c>
      <c r="B314" t="s">
        <v>110</v>
      </c>
      <c r="C314" t="s">
        <v>73</v>
      </c>
      <c r="D314" t="s">
        <v>74</v>
      </c>
      <c r="E314" t="s">
        <v>88</v>
      </c>
      <c r="F314" s="55">
        <v>99</v>
      </c>
      <c r="G314" s="63">
        <v>1.7899999999999999E-2</v>
      </c>
    </row>
    <row r="315" spans="1:7" x14ac:dyDescent="0.2">
      <c r="A315" t="s">
        <v>71</v>
      </c>
      <c r="B315" t="s">
        <v>111</v>
      </c>
      <c r="C315" t="s">
        <v>73</v>
      </c>
      <c r="D315" t="s">
        <v>74</v>
      </c>
      <c r="E315" t="s">
        <v>75</v>
      </c>
      <c r="F315" s="55">
        <v>111</v>
      </c>
      <c r="G315" s="63">
        <v>0.1447</v>
      </c>
    </row>
    <row r="316" spans="1:7" x14ac:dyDescent="0.2">
      <c r="A316" t="s">
        <v>71</v>
      </c>
      <c r="B316" t="s">
        <v>111</v>
      </c>
      <c r="C316" t="s">
        <v>73</v>
      </c>
      <c r="D316" t="s">
        <v>74</v>
      </c>
      <c r="E316" t="s">
        <v>76</v>
      </c>
      <c r="F316" s="55">
        <v>92</v>
      </c>
      <c r="G316" s="63">
        <v>1.46E-2</v>
      </c>
    </row>
    <row r="317" spans="1:7" x14ac:dyDescent="0.2">
      <c r="A317" t="s">
        <v>71</v>
      </c>
      <c r="B317" t="s">
        <v>111</v>
      </c>
      <c r="C317" t="s">
        <v>73</v>
      </c>
      <c r="D317" t="s">
        <v>74</v>
      </c>
      <c r="E317" t="s">
        <v>77</v>
      </c>
      <c r="F317" s="55">
        <v>115</v>
      </c>
      <c r="G317" s="63">
        <v>0.04</v>
      </c>
    </row>
    <row r="318" spans="1:7" x14ac:dyDescent="0.2">
      <c r="A318" t="s">
        <v>71</v>
      </c>
      <c r="B318" t="s">
        <v>111</v>
      </c>
      <c r="C318" t="s">
        <v>73</v>
      </c>
      <c r="D318" t="s">
        <v>74</v>
      </c>
      <c r="E318" t="s">
        <v>78</v>
      </c>
      <c r="F318" s="55">
        <v>114</v>
      </c>
      <c r="G318" s="63">
        <v>3.1899999999999998E-2</v>
      </c>
    </row>
    <row r="319" spans="1:7" x14ac:dyDescent="0.2">
      <c r="A319" t="s">
        <v>71</v>
      </c>
      <c r="B319" t="s">
        <v>111</v>
      </c>
      <c r="C319" t="s">
        <v>73</v>
      </c>
      <c r="D319" t="s">
        <v>74</v>
      </c>
      <c r="E319" t="s">
        <v>79</v>
      </c>
      <c r="F319" s="55">
        <v>114</v>
      </c>
      <c r="G319" s="63">
        <v>9.4100000000000003E-2</v>
      </c>
    </row>
    <row r="320" spans="1:7" x14ac:dyDescent="0.2">
      <c r="A320" t="s">
        <v>71</v>
      </c>
      <c r="B320" t="s">
        <v>111</v>
      </c>
      <c r="C320" t="s">
        <v>73</v>
      </c>
      <c r="D320" t="s">
        <v>74</v>
      </c>
      <c r="E320" t="s">
        <v>80</v>
      </c>
      <c r="F320" s="55">
        <v>101</v>
      </c>
      <c r="G320" s="63">
        <v>2.7900000000000001E-2</v>
      </c>
    </row>
    <row r="321" spans="1:7" x14ac:dyDescent="0.2">
      <c r="A321" t="s">
        <v>71</v>
      </c>
      <c r="B321" t="s">
        <v>111</v>
      </c>
      <c r="C321" t="s">
        <v>73</v>
      </c>
      <c r="D321" t="s">
        <v>74</v>
      </c>
      <c r="E321" t="s">
        <v>81</v>
      </c>
      <c r="F321" s="55">
        <v>102</v>
      </c>
      <c r="G321" s="63">
        <v>2.9499999999999998E-2</v>
      </c>
    </row>
    <row r="322" spans="1:7" x14ac:dyDescent="0.2">
      <c r="A322" t="s">
        <v>71</v>
      </c>
      <c r="B322" t="s">
        <v>111</v>
      </c>
      <c r="C322" t="s">
        <v>73</v>
      </c>
      <c r="D322" t="s">
        <v>74</v>
      </c>
      <c r="E322" t="s">
        <v>82</v>
      </c>
      <c r="F322" s="55">
        <v>110</v>
      </c>
      <c r="G322" s="63">
        <v>7.7200000000000005E-2</v>
      </c>
    </row>
    <row r="323" spans="1:7" x14ac:dyDescent="0.2">
      <c r="A323" t="s">
        <v>71</v>
      </c>
      <c r="B323" t="s">
        <v>111</v>
      </c>
      <c r="C323" t="s">
        <v>73</v>
      </c>
      <c r="D323" t="s">
        <v>74</v>
      </c>
      <c r="E323" t="s">
        <v>83</v>
      </c>
      <c r="F323" s="55">
        <v>96</v>
      </c>
      <c r="G323" s="63">
        <v>1.2500000000000001E-2</v>
      </c>
    </row>
    <row r="324" spans="1:7" x14ac:dyDescent="0.2">
      <c r="A324" t="s">
        <v>71</v>
      </c>
      <c r="B324" t="s">
        <v>111</v>
      </c>
      <c r="C324" t="s">
        <v>73</v>
      </c>
      <c r="D324" t="s">
        <v>74</v>
      </c>
      <c r="E324" t="s">
        <v>84</v>
      </c>
      <c r="F324" s="55">
        <v>110</v>
      </c>
      <c r="G324" s="63">
        <v>2.47E-2</v>
      </c>
    </row>
    <row r="325" spans="1:7" x14ac:dyDescent="0.2">
      <c r="A325" t="s">
        <v>71</v>
      </c>
      <c r="B325" t="s">
        <v>111</v>
      </c>
      <c r="C325" t="s">
        <v>73</v>
      </c>
      <c r="D325" t="s">
        <v>74</v>
      </c>
      <c r="E325" t="s">
        <v>85</v>
      </c>
      <c r="F325" s="55">
        <v>107</v>
      </c>
      <c r="G325" s="63">
        <v>3.2300000000000002E-2</v>
      </c>
    </row>
    <row r="326" spans="1:7" x14ac:dyDescent="0.2">
      <c r="A326" t="s">
        <v>71</v>
      </c>
      <c r="B326" t="s">
        <v>111</v>
      </c>
      <c r="C326" t="s">
        <v>73</v>
      </c>
      <c r="D326" t="s">
        <v>74</v>
      </c>
      <c r="E326" t="s">
        <v>86</v>
      </c>
      <c r="F326" s="55">
        <v>112</v>
      </c>
      <c r="G326" s="63">
        <v>3.9E-2</v>
      </c>
    </row>
    <row r="327" spans="1:7" x14ac:dyDescent="0.2">
      <c r="A327" t="s">
        <v>71</v>
      </c>
      <c r="B327" t="s">
        <v>111</v>
      </c>
      <c r="C327" t="s">
        <v>73</v>
      </c>
      <c r="D327" t="s">
        <v>74</v>
      </c>
      <c r="E327" t="s">
        <v>87</v>
      </c>
      <c r="F327" s="55">
        <v>117</v>
      </c>
      <c r="G327" s="63">
        <v>4.5199999999999997E-2</v>
      </c>
    </row>
    <row r="328" spans="1:7" x14ac:dyDescent="0.2">
      <c r="A328" t="s">
        <v>71</v>
      </c>
      <c r="B328" t="s">
        <v>111</v>
      </c>
      <c r="C328" t="s">
        <v>73</v>
      </c>
      <c r="D328" t="s">
        <v>74</v>
      </c>
      <c r="E328" t="s">
        <v>88</v>
      </c>
      <c r="F328" s="55">
        <v>104</v>
      </c>
      <c r="G328" s="63">
        <v>2.7300000000000001E-2</v>
      </c>
    </row>
    <row r="329" spans="1:7" x14ac:dyDescent="0.2">
      <c r="A329" t="s">
        <v>89</v>
      </c>
      <c r="B329" t="s">
        <v>112</v>
      </c>
      <c r="C329" t="s">
        <v>73</v>
      </c>
      <c r="D329" t="s">
        <v>74</v>
      </c>
      <c r="E329" t="s">
        <v>75</v>
      </c>
      <c r="F329" s="55">
        <v>101</v>
      </c>
      <c r="G329" s="63">
        <v>2.1299999999999999E-2</v>
      </c>
    </row>
    <row r="330" spans="1:7" x14ac:dyDescent="0.2">
      <c r="A330" t="s">
        <v>89</v>
      </c>
      <c r="B330" t="s">
        <v>112</v>
      </c>
      <c r="C330" t="s">
        <v>73</v>
      </c>
      <c r="D330" t="s">
        <v>74</v>
      </c>
      <c r="E330" t="s">
        <v>77</v>
      </c>
      <c r="F330" s="55">
        <v>104</v>
      </c>
      <c r="G330" s="63">
        <v>6.1000000000000004E-3</v>
      </c>
    </row>
    <row r="331" spans="1:7" x14ac:dyDescent="0.2">
      <c r="A331" t="s">
        <v>89</v>
      </c>
      <c r="B331" t="s">
        <v>112</v>
      </c>
      <c r="C331" t="s">
        <v>73</v>
      </c>
      <c r="D331" t="s">
        <v>74</v>
      </c>
      <c r="E331" t="s">
        <v>78</v>
      </c>
      <c r="F331" s="55">
        <v>81</v>
      </c>
      <c r="G331" s="63">
        <v>3.7000000000000002E-3</v>
      </c>
    </row>
    <row r="332" spans="1:7" x14ac:dyDescent="0.2">
      <c r="A332" t="s">
        <v>89</v>
      </c>
      <c r="B332" t="s">
        <v>112</v>
      </c>
      <c r="C332" t="s">
        <v>73</v>
      </c>
      <c r="D332" t="s">
        <v>74</v>
      </c>
      <c r="E332" t="s">
        <v>79</v>
      </c>
      <c r="F332" s="55">
        <v>113</v>
      </c>
      <c r="G332" s="63">
        <v>1.14E-2</v>
      </c>
    </row>
    <row r="333" spans="1:7" x14ac:dyDescent="0.2">
      <c r="A333" t="s">
        <v>89</v>
      </c>
      <c r="B333" t="s">
        <v>112</v>
      </c>
      <c r="C333" t="s">
        <v>73</v>
      </c>
      <c r="D333" t="s">
        <v>74</v>
      </c>
      <c r="E333" t="s">
        <v>80</v>
      </c>
      <c r="F333" s="55">
        <v>107</v>
      </c>
      <c r="G333" s="63">
        <v>3.3999999999999998E-3</v>
      </c>
    </row>
    <row r="334" spans="1:7" x14ac:dyDescent="0.2">
      <c r="A334" t="s">
        <v>89</v>
      </c>
      <c r="B334" t="s">
        <v>112</v>
      </c>
      <c r="C334" t="s">
        <v>73</v>
      </c>
      <c r="D334" t="s">
        <v>74</v>
      </c>
      <c r="E334" t="s">
        <v>81</v>
      </c>
      <c r="F334" s="55">
        <v>84</v>
      </c>
      <c r="G334" s="63">
        <v>3.2000000000000002E-3</v>
      </c>
    </row>
    <row r="335" spans="1:7" x14ac:dyDescent="0.2">
      <c r="A335" t="s">
        <v>89</v>
      </c>
      <c r="B335" t="s">
        <v>112</v>
      </c>
      <c r="C335" t="s">
        <v>73</v>
      </c>
      <c r="D335" t="s">
        <v>74</v>
      </c>
      <c r="E335" t="s">
        <v>82</v>
      </c>
      <c r="F335" s="55">
        <v>96</v>
      </c>
      <c r="G335" s="63">
        <v>8.0000000000000002E-3</v>
      </c>
    </row>
    <row r="336" spans="1:7" x14ac:dyDescent="0.2">
      <c r="A336" t="s">
        <v>89</v>
      </c>
      <c r="B336" t="s">
        <v>112</v>
      </c>
      <c r="C336" t="s">
        <v>73</v>
      </c>
      <c r="D336" t="s">
        <v>74</v>
      </c>
      <c r="E336" t="s">
        <v>84</v>
      </c>
      <c r="F336" s="55">
        <v>82</v>
      </c>
      <c r="G336" s="63">
        <v>2.8999999999999998E-3</v>
      </c>
    </row>
    <row r="337" spans="1:7" x14ac:dyDescent="0.2">
      <c r="A337" t="s">
        <v>89</v>
      </c>
      <c r="B337" t="s">
        <v>112</v>
      </c>
      <c r="C337" t="s">
        <v>73</v>
      </c>
      <c r="D337" t="s">
        <v>74</v>
      </c>
      <c r="E337" t="s">
        <v>85</v>
      </c>
      <c r="F337" s="55">
        <v>142</v>
      </c>
      <c r="G337" s="63">
        <v>3.0000000000000001E-3</v>
      </c>
    </row>
    <row r="338" spans="1:7" x14ac:dyDescent="0.2">
      <c r="A338" t="s">
        <v>89</v>
      </c>
      <c r="B338" t="s">
        <v>112</v>
      </c>
      <c r="C338" t="s">
        <v>73</v>
      </c>
      <c r="D338" t="s">
        <v>74</v>
      </c>
      <c r="E338" t="s">
        <v>86</v>
      </c>
      <c r="F338" s="55">
        <v>129</v>
      </c>
      <c r="G338" s="63">
        <v>3.5999999999999999E-3</v>
      </c>
    </row>
    <row r="339" spans="1:7" x14ac:dyDescent="0.2">
      <c r="A339" t="s">
        <v>89</v>
      </c>
      <c r="B339" t="s">
        <v>112</v>
      </c>
      <c r="C339" t="s">
        <v>73</v>
      </c>
      <c r="D339" t="s">
        <v>74</v>
      </c>
      <c r="E339" t="s">
        <v>87</v>
      </c>
      <c r="F339" s="55">
        <v>102</v>
      </c>
      <c r="G339" s="63">
        <v>4.4999999999999997E-3</v>
      </c>
    </row>
    <row r="340" spans="1:7" x14ac:dyDescent="0.2">
      <c r="A340" t="s">
        <v>89</v>
      </c>
      <c r="B340" t="s">
        <v>112</v>
      </c>
      <c r="C340" t="s">
        <v>73</v>
      </c>
      <c r="D340" t="s">
        <v>74</v>
      </c>
      <c r="E340" t="s">
        <v>88</v>
      </c>
      <c r="F340" s="55">
        <v>123</v>
      </c>
      <c r="G340" s="63">
        <v>2.5000000000000001E-3</v>
      </c>
    </row>
    <row r="341" spans="1:7" x14ac:dyDescent="0.2">
      <c r="A341" t="s">
        <v>89</v>
      </c>
      <c r="B341" t="s">
        <v>113</v>
      </c>
      <c r="C341" t="s">
        <v>73</v>
      </c>
      <c r="D341" t="s">
        <v>91</v>
      </c>
      <c r="E341" t="s">
        <v>75</v>
      </c>
      <c r="F341" s="55">
        <v>101</v>
      </c>
      <c r="G341" s="63">
        <v>0.75619999999999998</v>
      </c>
    </row>
    <row r="342" spans="1:7" x14ac:dyDescent="0.2">
      <c r="A342" t="s">
        <v>89</v>
      </c>
      <c r="B342" t="s">
        <v>113</v>
      </c>
      <c r="C342" t="s">
        <v>73</v>
      </c>
      <c r="D342" t="s">
        <v>91</v>
      </c>
      <c r="E342" t="s">
        <v>76</v>
      </c>
      <c r="F342" s="55">
        <v>92</v>
      </c>
      <c r="G342" s="63">
        <v>0.14710000000000001</v>
      </c>
    </row>
    <row r="343" spans="1:7" x14ac:dyDescent="0.2">
      <c r="A343" t="s">
        <v>89</v>
      </c>
      <c r="B343" t="s">
        <v>113</v>
      </c>
      <c r="C343" t="s">
        <v>73</v>
      </c>
      <c r="D343" t="s">
        <v>91</v>
      </c>
      <c r="E343" t="s">
        <v>77</v>
      </c>
      <c r="F343" s="55">
        <v>102</v>
      </c>
      <c r="G343" s="63">
        <v>0.36449999999999999</v>
      </c>
    </row>
    <row r="344" spans="1:7" x14ac:dyDescent="0.2">
      <c r="A344" t="s">
        <v>89</v>
      </c>
      <c r="B344" t="s">
        <v>113</v>
      </c>
      <c r="C344" t="s">
        <v>73</v>
      </c>
      <c r="D344" t="s">
        <v>91</v>
      </c>
      <c r="E344" t="s">
        <v>78</v>
      </c>
      <c r="F344" s="55">
        <v>93</v>
      </c>
      <c r="G344" s="63">
        <v>0.31190000000000001</v>
      </c>
    </row>
    <row r="345" spans="1:7" x14ac:dyDescent="0.2">
      <c r="A345" t="s">
        <v>89</v>
      </c>
      <c r="B345" t="s">
        <v>113</v>
      </c>
      <c r="C345" t="s">
        <v>73</v>
      </c>
      <c r="D345" t="s">
        <v>91</v>
      </c>
      <c r="E345" t="s">
        <v>79</v>
      </c>
      <c r="F345" s="55">
        <v>102</v>
      </c>
      <c r="G345" s="63">
        <v>0.65149999999999997</v>
      </c>
    </row>
    <row r="346" spans="1:7" x14ac:dyDescent="0.2">
      <c r="A346" t="s">
        <v>89</v>
      </c>
      <c r="B346" t="s">
        <v>113</v>
      </c>
      <c r="C346" t="s">
        <v>73</v>
      </c>
      <c r="D346" t="s">
        <v>91</v>
      </c>
      <c r="E346" t="s">
        <v>80</v>
      </c>
      <c r="F346" s="55">
        <v>102</v>
      </c>
      <c r="G346" s="63">
        <v>0.1963</v>
      </c>
    </row>
    <row r="347" spans="1:7" x14ac:dyDescent="0.2">
      <c r="A347" t="s">
        <v>89</v>
      </c>
      <c r="B347" t="s">
        <v>113</v>
      </c>
      <c r="C347" t="s">
        <v>73</v>
      </c>
      <c r="D347" t="s">
        <v>91</v>
      </c>
      <c r="E347" t="s">
        <v>81</v>
      </c>
      <c r="F347" s="55">
        <v>92</v>
      </c>
      <c r="G347" s="63">
        <v>0.185</v>
      </c>
    </row>
    <row r="348" spans="1:7" x14ac:dyDescent="0.2">
      <c r="A348" t="s">
        <v>89</v>
      </c>
      <c r="B348" t="s">
        <v>113</v>
      </c>
      <c r="C348" t="s">
        <v>73</v>
      </c>
      <c r="D348" t="s">
        <v>91</v>
      </c>
      <c r="E348" t="s">
        <v>82</v>
      </c>
      <c r="F348" s="55">
        <v>102</v>
      </c>
      <c r="G348" s="63">
        <v>0.5</v>
      </c>
    </row>
    <row r="349" spans="1:7" x14ac:dyDescent="0.2">
      <c r="A349" t="s">
        <v>89</v>
      </c>
      <c r="B349" t="s">
        <v>113</v>
      </c>
      <c r="C349" t="s">
        <v>73</v>
      </c>
      <c r="D349" t="s">
        <v>91</v>
      </c>
      <c r="E349" t="s">
        <v>83</v>
      </c>
      <c r="F349" s="55">
        <v>84</v>
      </c>
      <c r="G349" s="63">
        <v>9.6199999999999994E-2</v>
      </c>
    </row>
    <row r="350" spans="1:7" x14ac:dyDescent="0.2">
      <c r="A350" t="s">
        <v>89</v>
      </c>
      <c r="B350" t="s">
        <v>113</v>
      </c>
      <c r="C350" t="s">
        <v>73</v>
      </c>
      <c r="D350" t="s">
        <v>91</v>
      </c>
      <c r="E350" t="s">
        <v>84</v>
      </c>
      <c r="F350" s="55">
        <v>92</v>
      </c>
      <c r="G350" s="63">
        <v>0.22620000000000001</v>
      </c>
    </row>
    <row r="351" spans="1:7" x14ac:dyDescent="0.2">
      <c r="A351" t="s">
        <v>89</v>
      </c>
      <c r="B351" t="s">
        <v>113</v>
      </c>
      <c r="C351" t="s">
        <v>73</v>
      </c>
      <c r="D351" t="s">
        <v>91</v>
      </c>
      <c r="E351" t="s">
        <v>85</v>
      </c>
      <c r="F351" s="55">
        <v>102</v>
      </c>
      <c r="G351" s="63">
        <v>0.30959999999999999</v>
      </c>
    </row>
    <row r="352" spans="1:7" x14ac:dyDescent="0.2">
      <c r="A352" t="s">
        <v>89</v>
      </c>
      <c r="B352" t="s">
        <v>113</v>
      </c>
      <c r="C352" t="s">
        <v>73</v>
      </c>
      <c r="D352" t="s">
        <v>91</v>
      </c>
      <c r="E352" t="s">
        <v>86</v>
      </c>
      <c r="F352" s="55">
        <v>103</v>
      </c>
      <c r="G352" s="63">
        <v>0.40579999999999999</v>
      </c>
    </row>
    <row r="353" spans="1:7" x14ac:dyDescent="0.2">
      <c r="A353" t="s">
        <v>89</v>
      </c>
      <c r="B353" t="s">
        <v>113</v>
      </c>
      <c r="C353" t="s">
        <v>73</v>
      </c>
      <c r="D353" t="s">
        <v>91</v>
      </c>
      <c r="E353" t="s">
        <v>87</v>
      </c>
      <c r="F353" s="55">
        <v>103</v>
      </c>
      <c r="G353" s="63">
        <v>0.4733</v>
      </c>
    </row>
    <row r="354" spans="1:7" x14ac:dyDescent="0.2">
      <c r="A354" t="s">
        <v>89</v>
      </c>
      <c r="B354" t="s">
        <v>113</v>
      </c>
      <c r="C354" t="s">
        <v>73</v>
      </c>
      <c r="D354" t="s">
        <v>91</v>
      </c>
      <c r="E354" t="s">
        <v>88</v>
      </c>
      <c r="F354" s="55">
        <v>92</v>
      </c>
      <c r="G354" s="63">
        <v>0.23549999999999999</v>
      </c>
    </row>
    <row r="355" spans="1:7" x14ac:dyDescent="0.2">
      <c r="A355" t="s">
        <v>89</v>
      </c>
      <c r="B355" t="s">
        <v>114</v>
      </c>
      <c r="C355" t="s">
        <v>73</v>
      </c>
      <c r="D355" t="s">
        <v>74</v>
      </c>
      <c r="E355" t="s">
        <v>75</v>
      </c>
      <c r="F355" s="55">
        <v>118</v>
      </c>
      <c r="G355" s="63">
        <v>1.04E-2</v>
      </c>
    </row>
    <row r="356" spans="1:7" x14ac:dyDescent="0.2">
      <c r="A356" t="s">
        <v>89</v>
      </c>
      <c r="B356" t="s">
        <v>114</v>
      </c>
      <c r="C356" t="s">
        <v>73</v>
      </c>
      <c r="D356" t="s">
        <v>74</v>
      </c>
      <c r="E356" t="s">
        <v>76</v>
      </c>
      <c r="F356" s="55">
        <v>102</v>
      </c>
      <c r="G356" s="63">
        <v>1.8E-3</v>
      </c>
    </row>
    <row r="357" spans="1:7" x14ac:dyDescent="0.2">
      <c r="A357" t="s">
        <v>89</v>
      </c>
      <c r="B357" t="s">
        <v>114</v>
      </c>
      <c r="C357" t="s">
        <v>73</v>
      </c>
      <c r="D357" t="s">
        <v>74</v>
      </c>
      <c r="E357" t="s">
        <v>77</v>
      </c>
      <c r="F357" s="55">
        <v>133</v>
      </c>
      <c r="G357" s="63">
        <v>3.8E-3</v>
      </c>
    </row>
    <row r="358" spans="1:7" x14ac:dyDescent="0.2">
      <c r="A358" t="s">
        <v>89</v>
      </c>
      <c r="B358" t="s">
        <v>114</v>
      </c>
      <c r="C358" t="s">
        <v>73</v>
      </c>
      <c r="D358" t="s">
        <v>74</v>
      </c>
      <c r="E358" t="s">
        <v>78</v>
      </c>
      <c r="F358" s="55">
        <v>114</v>
      </c>
      <c r="G358" s="63">
        <v>3.2000000000000002E-3</v>
      </c>
    </row>
    <row r="359" spans="1:7" x14ac:dyDescent="0.2">
      <c r="A359" t="s">
        <v>89</v>
      </c>
      <c r="B359" t="s">
        <v>114</v>
      </c>
      <c r="C359" t="s">
        <v>73</v>
      </c>
      <c r="D359" t="s">
        <v>74</v>
      </c>
      <c r="E359" t="s">
        <v>79</v>
      </c>
      <c r="F359" s="55">
        <v>112</v>
      </c>
      <c r="G359" s="63">
        <v>7.4999999999999997E-3</v>
      </c>
    </row>
    <row r="360" spans="1:7" x14ac:dyDescent="0.2">
      <c r="A360" t="s">
        <v>89</v>
      </c>
      <c r="B360" t="s">
        <v>114</v>
      </c>
      <c r="C360" t="s">
        <v>73</v>
      </c>
      <c r="D360" t="s">
        <v>74</v>
      </c>
      <c r="E360" t="s">
        <v>80</v>
      </c>
      <c r="F360" s="55">
        <v>87</v>
      </c>
      <c r="G360" s="63">
        <v>2E-3</v>
      </c>
    </row>
    <row r="361" spans="1:7" x14ac:dyDescent="0.2">
      <c r="A361" t="s">
        <v>89</v>
      </c>
      <c r="B361" t="s">
        <v>114</v>
      </c>
      <c r="C361" t="s">
        <v>73</v>
      </c>
      <c r="D361" t="s">
        <v>74</v>
      </c>
      <c r="E361" t="s">
        <v>81</v>
      </c>
      <c r="F361" s="55">
        <v>71</v>
      </c>
      <c r="G361" s="63">
        <v>1.6000000000000001E-3</v>
      </c>
    </row>
    <row r="362" spans="1:7" x14ac:dyDescent="0.2">
      <c r="A362" t="s">
        <v>89</v>
      </c>
      <c r="B362" t="s">
        <v>114</v>
      </c>
      <c r="C362" t="s">
        <v>73</v>
      </c>
      <c r="D362" t="s">
        <v>74</v>
      </c>
      <c r="E362" t="s">
        <v>82</v>
      </c>
      <c r="F362" s="55">
        <v>117</v>
      </c>
      <c r="G362" s="63">
        <v>5.0000000000000001E-3</v>
      </c>
    </row>
    <row r="363" spans="1:7" x14ac:dyDescent="0.2">
      <c r="A363" t="s">
        <v>89</v>
      </c>
      <c r="B363" t="s">
        <v>114</v>
      </c>
      <c r="C363" t="s">
        <v>73</v>
      </c>
      <c r="D363" t="s">
        <v>74</v>
      </c>
      <c r="E363" t="s">
        <v>84</v>
      </c>
      <c r="F363" s="55">
        <v>118</v>
      </c>
      <c r="G363" s="63">
        <v>2.2000000000000001E-3</v>
      </c>
    </row>
    <row r="364" spans="1:7" x14ac:dyDescent="0.2">
      <c r="A364" t="s">
        <v>89</v>
      </c>
      <c r="B364" t="s">
        <v>114</v>
      </c>
      <c r="C364" t="s">
        <v>73</v>
      </c>
      <c r="D364" t="s">
        <v>74</v>
      </c>
      <c r="E364" t="s">
        <v>85</v>
      </c>
      <c r="F364" s="55">
        <v>126</v>
      </c>
      <c r="G364" s="63">
        <v>2.2000000000000001E-3</v>
      </c>
    </row>
    <row r="365" spans="1:7" x14ac:dyDescent="0.2">
      <c r="A365" t="s">
        <v>89</v>
      </c>
      <c r="B365" t="s">
        <v>114</v>
      </c>
      <c r="C365" t="s">
        <v>73</v>
      </c>
      <c r="D365" t="s">
        <v>74</v>
      </c>
      <c r="E365" t="s">
        <v>86</v>
      </c>
      <c r="F365" s="55">
        <v>118</v>
      </c>
      <c r="G365" s="63">
        <v>4.0000000000000001E-3</v>
      </c>
    </row>
    <row r="366" spans="1:7" x14ac:dyDescent="0.2">
      <c r="A366" t="s">
        <v>89</v>
      </c>
      <c r="B366" t="s">
        <v>114</v>
      </c>
      <c r="C366" t="s">
        <v>73</v>
      </c>
      <c r="D366" t="s">
        <v>74</v>
      </c>
      <c r="E366" t="s">
        <v>87</v>
      </c>
      <c r="F366" s="55">
        <v>97</v>
      </c>
      <c r="G366" s="63">
        <v>3.5999999999999999E-3</v>
      </c>
    </row>
    <row r="367" spans="1:7" x14ac:dyDescent="0.2">
      <c r="A367" t="s">
        <v>89</v>
      </c>
      <c r="B367" t="s">
        <v>114</v>
      </c>
      <c r="C367" t="s">
        <v>73</v>
      </c>
      <c r="D367" t="s">
        <v>74</v>
      </c>
      <c r="E367" t="s">
        <v>88</v>
      </c>
      <c r="F367" s="55">
        <v>100</v>
      </c>
      <c r="G367" s="63">
        <v>2.5000000000000001E-3</v>
      </c>
    </row>
    <row r="368" spans="1:7" x14ac:dyDescent="0.2">
      <c r="A368" t="s">
        <v>89</v>
      </c>
      <c r="B368" t="s">
        <v>115</v>
      </c>
      <c r="C368" t="s">
        <v>73</v>
      </c>
      <c r="D368" t="s">
        <v>74</v>
      </c>
      <c r="E368" t="s">
        <v>75</v>
      </c>
      <c r="F368" s="55">
        <v>108</v>
      </c>
      <c r="G368" s="63">
        <v>0.17519999999999999</v>
      </c>
    </row>
    <row r="369" spans="1:7" x14ac:dyDescent="0.2">
      <c r="A369" t="s">
        <v>89</v>
      </c>
      <c r="B369" t="s">
        <v>115</v>
      </c>
      <c r="C369" t="s">
        <v>73</v>
      </c>
      <c r="D369" t="s">
        <v>74</v>
      </c>
      <c r="E369" t="s">
        <v>76</v>
      </c>
      <c r="F369" s="55">
        <v>113</v>
      </c>
      <c r="G369" s="63">
        <v>2.2200000000000001E-2</v>
      </c>
    </row>
    <row r="370" spans="1:7" x14ac:dyDescent="0.2">
      <c r="A370" t="s">
        <v>89</v>
      </c>
      <c r="B370" t="s">
        <v>115</v>
      </c>
      <c r="C370" t="s">
        <v>73</v>
      </c>
      <c r="D370" t="s">
        <v>74</v>
      </c>
      <c r="E370" t="s">
        <v>77</v>
      </c>
      <c r="F370" s="55">
        <v>105</v>
      </c>
      <c r="G370" s="63">
        <v>6.4600000000000005E-2</v>
      </c>
    </row>
    <row r="371" spans="1:7" x14ac:dyDescent="0.2">
      <c r="A371" t="s">
        <v>89</v>
      </c>
      <c r="B371" t="s">
        <v>115</v>
      </c>
      <c r="C371" t="s">
        <v>73</v>
      </c>
      <c r="D371" t="s">
        <v>74</v>
      </c>
      <c r="E371" t="s">
        <v>78</v>
      </c>
      <c r="F371" s="55">
        <v>108</v>
      </c>
      <c r="G371" s="63">
        <v>5.16E-2</v>
      </c>
    </row>
    <row r="372" spans="1:7" x14ac:dyDescent="0.2">
      <c r="A372" t="s">
        <v>89</v>
      </c>
      <c r="B372" t="s">
        <v>115</v>
      </c>
      <c r="C372" t="s">
        <v>73</v>
      </c>
      <c r="D372" t="s">
        <v>74</v>
      </c>
      <c r="E372" t="s">
        <v>79</v>
      </c>
      <c r="F372" s="55">
        <v>109</v>
      </c>
      <c r="G372" s="63">
        <v>0.11360000000000001</v>
      </c>
    </row>
    <row r="373" spans="1:7" x14ac:dyDescent="0.2">
      <c r="A373" t="s">
        <v>89</v>
      </c>
      <c r="B373" t="s">
        <v>115</v>
      </c>
      <c r="C373" t="s">
        <v>73</v>
      </c>
      <c r="D373" t="s">
        <v>74</v>
      </c>
      <c r="E373" t="s">
        <v>80</v>
      </c>
      <c r="F373" s="55">
        <v>115</v>
      </c>
      <c r="G373" s="63">
        <v>3.1399999999999997E-2</v>
      </c>
    </row>
    <row r="374" spans="1:7" x14ac:dyDescent="0.2">
      <c r="A374" t="s">
        <v>89</v>
      </c>
      <c r="B374" t="s">
        <v>115</v>
      </c>
      <c r="C374" t="s">
        <v>73</v>
      </c>
      <c r="D374" t="s">
        <v>74</v>
      </c>
      <c r="E374" t="s">
        <v>81</v>
      </c>
      <c r="F374" s="55">
        <v>114</v>
      </c>
      <c r="G374" s="63">
        <v>3.6299999999999999E-2</v>
      </c>
    </row>
    <row r="375" spans="1:7" x14ac:dyDescent="0.2">
      <c r="A375" t="s">
        <v>89</v>
      </c>
      <c r="B375" t="s">
        <v>115</v>
      </c>
      <c r="C375" t="s">
        <v>73</v>
      </c>
      <c r="D375" t="s">
        <v>74</v>
      </c>
      <c r="E375" t="s">
        <v>82</v>
      </c>
      <c r="F375" s="55">
        <v>103</v>
      </c>
      <c r="G375" s="63">
        <v>9.2799999999999994E-2</v>
      </c>
    </row>
    <row r="376" spans="1:7" x14ac:dyDescent="0.2">
      <c r="A376" t="s">
        <v>89</v>
      </c>
      <c r="B376" t="s">
        <v>115</v>
      </c>
      <c r="C376" t="s">
        <v>73</v>
      </c>
      <c r="D376" t="s">
        <v>74</v>
      </c>
      <c r="E376" t="s">
        <v>83</v>
      </c>
      <c r="F376" s="55">
        <v>119</v>
      </c>
      <c r="G376" s="63">
        <v>1.7500000000000002E-2</v>
      </c>
    </row>
    <row r="377" spans="1:7" x14ac:dyDescent="0.2">
      <c r="A377" t="s">
        <v>89</v>
      </c>
      <c r="B377" t="s">
        <v>115</v>
      </c>
      <c r="C377" t="s">
        <v>73</v>
      </c>
      <c r="D377" t="s">
        <v>74</v>
      </c>
      <c r="E377" t="s">
        <v>84</v>
      </c>
      <c r="F377" s="55">
        <v>107</v>
      </c>
      <c r="G377" s="63">
        <v>4.07E-2</v>
      </c>
    </row>
    <row r="378" spans="1:7" x14ac:dyDescent="0.2">
      <c r="A378" t="s">
        <v>89</v>
      </c>
      <c r="B378" t="s">
        <v>115</v>
      </c>
      <c r="C378" t="s">
        <v>73</v>
      </c>
      <c r="D378" t="s">
        <v>74</v>
      </c>
      <c r="E378" t="s">
        <v>85</v>
      </c>
      <c r="F378" s="55">
        <v>115</v>
      </c>
      <c r="G378" s="63">
        <v>3.78E-2</v>
      </c>
    </row>
    <row r="379" spans="1:7" x14ac:dyDescent="0.2">
      <c r="A379" t="s">
        <v>89</v>
      </c>
      <c r="B379" t="s">
        <v>115</v>
      </c>
      <c r="C379" t="s">
        <v>73</v>
      </c>
      <c r="D379" t="s">
        <v>74</v>
      </c>
      <c r="E379" t="s">
        <v>86</v>
      </c>
      <c r="F379" s="55">
        <v>109</v>
      </c>
      <c r="G379" s="63">
        <v>4.9000000000000002E-2</v>
      </c>
    </row>
    <row r="380" spans="1:7" x14ac:dyDescent="0.2">
      <c r="A380" t="s">
        <v>89</v>
      </c>
      <c r="B380" t="s">
        <v>115</v>
      </c>
      <c r="C380" t="s">
        <v>73</v>
      </c>
      <c r="D380" t="s">
        <v>74</v>
      </c>
      <c r="E380" t="s">
        <v>87</v>
      </c>
      <c r="F380" s="55">
        <v>107</v>
      </c>
      <c r="G380" s="63">
        <v>0.06</v>
      </c>
    </row>
    <row r="381" spans="1:7" x14ac:dyDescent="0.2">
      <c r="A381" t="s">
        <v>89</v>
      </c>
      <c r="B381" t="s">
        <v>115</v>
      </c>
      <c r="C381" t="s">
        <v>73</v>
      </c>
      <c r="D381" t="s">
        <v>74</v>
      </c>
      <c r="E381" t="s">
        <v>88</v>
      </c>
      <c r="F381" s="55">
        <v>112</v>
      </c>
      <c r="G381" s="63">
        <v>3.8300000000000001E-2</v>
      </c>
    </row>
    <row r="382" spans="1:7" x14ac:dyDescent="0.2">
      <c r="A382" t="s">
        <v>89</v>
      </c>
      <c r="B382" t="s">
        <v>116</v>
      </c>
      <c r="C382" t="s">
        <v>73</v>
      </c>
      <c r="D382" t="s">
        <v>74</v>
      </c>
      <c r="E382" t="s">
        <v>75</v>
      </c>
      <c r="F382" s="55">
        <v>99</v>
      </c>
      <c r="G382" s="63">
        <v>6.7900000000000002E-2</v>
      </c>
    </row>
    <row r="383" spans="1:7" x14ac:dyDescent="0.2">
      <c r="A383" t="s">
        <v>89</v>
      </c>
      <c r="B383" t="s">
        <v>116</v>
      </c>
      <c r="C383" t="s">
        <v>73</v>
      </c>
      <c r="D383" t="s">
        <v>74</v>
      </c>
      <c r="E383" t="s">
        <v>76</v>
      </c>
      <c r="F383" s="55">
        <v>82</v>
      </c>
      <c r="G383" s="63">
        <v>4.3E-3</v>
      </c>
    </row>
    <row r="384" spans="1:7" x14ac:dyDescent="0.2">
      <c r="A384" t="s">
        <v>89</v>
      </c>
      <c r="B384" t="s">
        <v>116</v>
      </c>
      <c r="C384" t="s">
        <v>73</v>
      </c>
      <c r="D384" t="s">
        <v>74</v>
      </c>
      <c r="E384" t="s">
        <v>77</v>
      </c>
      <c r="F384" s="55">
        <v>78</v>
      </c>
      <c r="G384" s="63">
        <v>1.2699999999999999E-2</v>
      </c>
    </row>
    <row r="385" spans="1:7" x14ac:dyDescent="0.2">
      <c r="A385" t="s">
        <v>89</v>
      </c>
      <c r="B385" t="s">
        <v>116</v>
      </c>
      <c r="C385" t="s">
        <v>73</v>
      </c>
      <c r="D385" t="s">
        <v>74</v>
      </c>
      <c r="E385" t="s">
        <v>78</v>
      </c>
      <c r="F385" s="55">
        <v>98</v>
      </c>
      <c r="G385" s="63">
        <v>1.2800000000000001E-2</v>
      </c>
    </row>
    <row r="386" spans="1:7" x14ac:dyDescent="0.2">
      <c r="A386" t="s">
        <v>89</v>
      </c>
      <c r="B386" t="s">
        <v>116</v>
      </c>
      <c r="C386" t="s">
        <v>73</v>
      </c>
      <c r="D386" t="s">
        <v>74</v>
      </c>
      <c r="E386" t="s">
        <v>79</v>
      </c>
      <c r="F386" s="55">
        <v>102</v>
      </c>
      <c r="G386" s="63">
        <v>4.1200000000000001E-2</v>
      </c>
    </row>
    <row r="387" spans="1:7" x14ac:dyDescent="0.2">
      <c r="A387" t="s">
        <v>89</v>
      </c>
      <c r="B387" t="s">
        <v>116</v>
      </c>
      <c r="C387" t="s">
        <v>73</v>
      </c>
      <c r="D387" t="s">
        <v>74</v>
      </c>
      <c r="E387" t="s">
        <v>80</v>
      </c>
      <c r="F387" s="55">
        <v>101</v>
      </c>
      <c r="G387" s="63">
        <v>1.09E-2</v>
      </c>
    </row>
    <row r="388" spans="1:7" x14ac:dyDescent="0.2">
      <c r="A388" t="s">
        <v>89</v>
      </c>
      <c r="B388" t="s">
        <v>116</v>
      </c>
      <c r="C388" t="s">
        <v>73</v>
      </c>
      <c r="D388" t="s">
        <v>74</v>
      </c>
      <c r="E388" t="s">
        <v>81</v>
      </c>
      <c r="F388" s="55">
        <v>95</v>
      </c>
      <c r="G388" s="63">
        <v>1.18E-2</v>
      </c>
    </row>
    <row r="389" spans="1:7" x14ac:dyDescent="0.2">
      <c r="A389" t="s">
        <v>89</v>
      </c>
      <c r="B389" t="s">
        <v>116</v>
      </c>
      <c r="C389" t="s">
        <v>73</v>
      </c>
      <c r="D389" t="s">
        <v>74</v>
      </c>
      <c r="E389" t="s">
        <v>82</v>
      </c>
      <c r="F389" s="55">
        <v>104</v>
      </c>
      <c r="G389" s="63">
        <v>2.3699999999999999E-2</v>
      </c>
    </row>
    <row r="390" spans="1:7" x14ac:dyDescent="0.2">
      <c r="A390" t="s">
        <v>89</v>
      </c>
      <c r="B390" t="s">
        <v>116</v>
      </c>
      <c r="C390" t="s">
        <v>73</v>
      </c>
      <c r="D390" t="s">
        <v>74</v>
      </c>
      <c r="E390" t="s">
        <v>83</v>
      </c>
      <c r="F390" s="55">
        <v>79</v>
      </c>
      <c r="G390" s="63">
        <v>4.4000000000000003E-3</v>
      </c>
    </row>
    <row r="391" spans="1:7" x14ac:dyDescent="0.2">
      <c r="A391" t="s">
        <v>89</v>
      </c>
      <c r="B391" t="s">
        <v>116</v>
      </c>
      <c r="C391" t="s">
        <v>73</v>
      </c>
      <c r="D391" t="s">
        <v>74</v>
      </c>
      <c r="E391" t="s">
        <v>84</v>
      </c>
      <c r="F391" s="55">
        <v>102</v>
      </c>
      <c r="G391" s="63">
        <v>7.7999999999999996E-3</v>
      </c>
    </row>
    <row r="392" spans="1:7" x14ac:dyDescent="0.2">
      <c r="A392" t="s">
        <v>89</v>
      </c>
      <c r="B392" t="s">
        <v>116</v>
      </c>
      <c r="C392" t="s">
        <v>73</v>
      </c>
      <c r="D392" t="s">
        <v>74</v>
      </c>
      <c r="E392" t="s">
        <v>85</v>
      </c>
      <c r="F392" s="55">
        <v>98</v>
      </c>
      <c r="G392" s="63">
        <v>1.0699999999999999E-2</v>
      </c>
    </row>
    <row r="393" spans="1:7" x14ac:dyDescent="0.2">
      <c r="A393" t="s">
        <v>89</v>
      </c>
      <c r="B393" t="s">
        <v>116</v>
      </c>
      <c r="C393" t="s">
        <v>73</v>
      </c>
      <c r="D393" t="s">
        <v>74</v>
      </c>
      <c r="E393" t="s">
        <v>86</v>
      </c>
      <c r="F393" s="55">
        <v>102</v>
      </c>
      <c r="G393" s="63">
        <v>1.5599999999999999E-2</v>
      </c>
    </row>
    <row r="394" spans="1:7" x14ac:dyDescent="0.2">
      <c r="A394" t="s">
        <v>89</v>
      </c>
      <c r="B394" t="s">
        <v>116</v>
      </c>
      <c r="C394" t="s">
        <v>73</v>
      </c>
      <c r="D394" t="s">
        <v>74</v>
      </c>
      <c r="E394" t="s">
        <v>87</v>
      </c>
      <c r="F394" s="55">
        <v>102</v>
      </c>
      <c r="G394" s="63">
        <v>1.8599999999999998E-2</v>
      </c>
    </row>
    <row r="395" spans="1:7" x14ac:dyDescent="0.2">
      <c r="A395" t="s">
        <v>89</v>
      </c>
      <c r="B395" t="s">
        <v>116</v>
      </c>
      <c r="C395" t="s">
        <v>73</v>
      </c>
      <c r="D395" t="s">
        <v>74</v>
      </c>
      <c r="E395" t="s">
        <v>88</v>
      </c>
      <c r="F395" s="55">
        <v>85</v>
      </c>
      <c r="G395" s="63">
        <v>8.3000000000000001E-3</v>
      </c>
    </row>
    <row r="396" spans="1:7" x14ac:dyDescent="0.2">
      <c r="A396" t="s">
        <v>71</v>
      </c>
      <c r="B396" t="s">
        <v>117</v>
      </c>
      <c r="C396" t="s">
        <v>73</v>
      </c>
      <c r="D396" t="s">
        <v>74</v>
      </c>
      <c r="E396" t="s">
        <v>75</v>
      </c>
      <c r="F396" s="55">
        <v>104</v>
      </c>
      <c r="G396" s="63">
        <v>0.38069999999999998</v>
      </c>
    </row>
    <row r="397" spans="1:7" x14ac:dyDescent="0.2">
      <c r="A397" t="s">
        <v>71</v>
      </c>
      <c r="B397" t="s">
        <v>117</v>
      </c>
      <c r="C397" t="s">
        <v>73</v>
      </c>
      <c r="D397" t="s">
        <v>74</v>
      </c>
      <c r="E397" t="s">
        <v>76</v>
      </c>
      <c r="F397" s="55">
        <v>97</v>
      </c>
      <c r="G397" s="63">
        <v>6.1499999999999999E-2</v>
      </c>
    </row>
    <row r="398" spans="1:7" x14ac:dyDescent="0.2">
      <c r="A398" t="s">
        <v>71</v>
      </c>
      <c r="B398" t="s">
        <v>117</v>
      </c>
      <c r="C398" t="s">
        <v>73</v>
      </c>
      <c r="D398" t="s">
        <v>74</v>
      </c>
      <c r="E398" t="s">
        <v>77</v>
      </c>
      <c r="F398" s="55">
        <v>104</v>
      </c>
      <c r="G398" s="63">
        <v>0.1547</v>
      </c>
    </row>
    <row r="399" spans="1:7" x14ac:dyDescent="0.2">
      <c r="A399" t="s">
        <v>71</v>
      </c>
      <c r="B399" t="s">
        <v>117</v>
      </c>
      <c r="C399" t="s">
        <v>73</v>
      </c>
      <c r="D399" t="s">
        <v>74</v>
      </c>
      <c r="E399" t="s">
        <v>78</v>
      </c>
      <c r="F399" s="55">
        <v>104</v>
      </c>
      <c r="G399" s="63">
        <v>0.1384</v>
      </c>
    </row>
    <row r="400" spans="1:7" x14ac:dyDescent="0.2">
      <c r="A400" t="s">
        <v>71</v>
      </c>
      <c r="B400" t="s">
        <v>117</v>
      </c>
      <c r="C400" t="s">
        <v>73</v>
      </c>
      <c r="D400" t="s">
        <v>74</v>
      </c>
      <c r="E400" t="s">
        <v>79</v>
      </c>
      <c r="F400" s="55">
        <v>106</v>
      </c>
      <c r="G400" s="63">
        <v>0.27410000000000001</v>
      </c>
    </row>
    <row r="401" spans="1:7" x14ac:dyDescent="0.2">
      <c r="A401" t="s">
        <v>71</v>
      </c>
      <c r="B401" t="s">
        <v>117</v>
      </c>
      <c r="C401" t="s">
        <v>73</v>
      </c>
      <c r="D401" t="s">
        <v>74</v>
      </c>
      <c r="E401" t="s">
        <v>80</v>
      </c>
      <c r="F401" s="55">
        <v>102</v>
      </c>
      <c r="G401" s="63">
        <v>8.5900000000000004E-2</v>
      </c>
    </row>
    <row r="402" spans="1:7" x14ac:dyDescent="0.2">
      <c r="A402" t="s">
        <v>71</v>
      </c>
      <c r="B402" t="s">
        <v>117</v>
      </c>
      <c r="C402" t="s">
        <v>73</v>
      </c>
      <c r="D402" t="s">
        <v>74</v>
      </c>
      <c r="E402" t="s">
        <v>81</v>
      </c>
      <c r="F402" s="55">
        <v>101</v>
      </c>
      <c r="G402" s="63">
        <v>9.01E-2</v>
      </c>
    </row>
    <row r="403" spans="1:7" x14ac:dyDescent="0.2">
      <c r="A403" t="s">
        <v>71</v>
      </c>
      <c r="B403" t="s">
        <v>117</v>
      </c>
      <c r="C403" t="s">
        <v>73</v>
      </c>
      <c r="D403" t="s">
        <v>74</v>
      </c>
      <c r="E403" t="s">
        <v>82</v>
      </c>
      <c r="F403" s="55">
        <v>103</v>
      </c>
      <c r="G403" s="63">
        <v>0.22120000000000001</v>
      </c>
    </row>
    <row r="404" spans="1:7" x14ac:dyDescent="0.2">
      <c r="A404" t="s">
        <v>71</v>
      </c>
      <c r="B404" t="s">
        <v>117</v>
      </c>
      <c r="C404" t="s">
        <v>73</v>
      </c>
      <c r="D404" t="s">
        <v>74</v>
      </c>
      <c r="E404" t="s">
        <v>83</v>
      </c>
      <c r="F404" s="55">
        <v>94</v>
      </c>
      <c r="G404" s="63">
        <v>4.6399999999999997E-2</v>
      </c>
    </row>
    <row r="405" spans="1:7" x14ac:dyDescent="0.2">
      <c r="A405" t="s">
        <v>71</v>
      </c>
      <c r="B405" t="s">
        <v>117</v>
      </c>
      <c r="C405" t="s">
        <v>73</v>
      </c>
      <c r="D405" t="s">
        <v>74</v>
      </c>
      <c r="E405" t="s">
        <v>84</v>
      </c>
      <c r="F405" s="55">
        <v>105</v>
      </c>
      <c r="G405" s="63">
        <v>0.1077</v>
      </c>
    </row>
    <row r="406" spans="1:7" x14ac:dyDescent="0.2">
      <c r="A406" t="s">
        <v>71</v>
      </c>
      <c r="B406" t="s">
        <v>117</v>
      </c>
      <c r="C406" t="s">
        <v>73</v>
      </c>
      <c r="D406" t="s">
        <v>74</v>
      </c>
      <c r="E406" t="s">
        <v>85</v>
      </c>
      <c r="F406" s="55">
        <v>103</v>
      </c>
      <c r="G406" s="63">
        <v>0.10589999999999999</v>
      </c>
    </row>
    <row r="407" spans="1:7" x14ac:dyDescent="0.2">
      <c r="A407" t="s">
        <v>71</v>
      </c>
      <c r="B407" t="s">
        <v>117</v>
      </c>
      <c r="C407" t="s">
        <v>73</v>
      </c>
      <c r="D407" t="s">
        <v>74</v>
      </c>
      <c r="E407" t="s">
        <v>86</v>
      </c>
      <c r="F407" s="55">
        <v>104</v>
      </c>
      <c r="G407" s="63">
        <v>0.1452</v>
      </c>
    </row>
    <row r="408" spans="1:7" x14ac:dyDescent="0.2">
      <c r="A408" t="s">
        <v>71</v>
      </c>
      <c r="B408" t="s">
        <v>117</v>
      </c>
      <c r="C408" t="s">
        <v>73</v>
      </c>
      <c r="D408" t="s">
        <v>74</v>
      </c>
      <c r="E408" t="s">
        <v>87</v>
      </c>
      <c r="F408" s="55">
        <v>106</v>
      </c>
      <c r="G408" s="63">
        <v>0.1719</v>
      </c>
    </row>
    <row r="409" spans="1:7" x14ac:dyDescent="0.2">
      <c r="A409" t="s">
        <v>71</v>
      </c>
      <c r="B409" t="s">
        <v>117</v>
      </c>
      <c r="C409" t="s">
        <v>73</v>
      </c>
      <c r="D409" t="s">
        <v>74</v>
      </c>
      <c r="E409" t="s">
        <v>88</v>
      </c>
      <c r="F409" s="55">
        <v>98</v>
      </c>
      <c r="G409" s="63">
        <v>9.4200000000000006E-2</v>
      </c>
    </row>
    <row r="410" spans="1:7" x14ac:dyDescent="0.2">
      <c r="A410" t="s">
        <v>89</v>
      </c>
      <c r="B410" t="s">
        <v>118</v>
      </c>
      <c r="C410" t="s">
        <v>73</v>
      </c>
      <c r="D410" t="s">
        <v>74</v>
      </c>
      <c r="E410" t="s">
        <v>75</v>
      </c>
      <c r="F410" s="55">
        <v>41</v>
      </c>
      <c r="G410" s="63">
        <v>7.6E-3</v>
      </c>
    </row>
    <row r="411" spans="1:7" x14ac:dyDescent="0.2">
      <c r="A411" t="s">
        <v>89</v>
      </c>
      <c r="B411" t="s">
        <v>118</v>
      </c>
      <c r="C411" t="s">
        <v>73</v>
      </c>
      <c r="D411" t="s">
        <v>74</v>
      </c>
      <c r="E411" t="s">
        <v>77</v>
      </c>
      <c r="F411" s="55">
        <v>12</v>
      </c>
      <c r="G411" s="63">
        <v>2.2000000000000001E-3</v>
      </c>
    </row>
    <row r="412" spans="1:7" x14ac:dyDescent="0.2">
      <c r="A412" t="s">
        <v>89</v>
      </c>
      <c r="B412" t="s">
        <v>118</v>
      </c>
      <c r="C412" t="s">
        <v>73</v>
      </c>
      <c r="D412" t="s">
        <v>74</v>
      </c>
      <c r="E412" t="s">
        <v>79</v>
      </c>
      <c r="F412" s="55">
        <v>38</v>
      </c>
      <c r="G412" s="63">
        <v>3.3999999999999998E-3</v>
      </c>
    </row>
    <row r="413" spans="1:7" x14ac:dyDescent="0.2">
      <c r="A413" t="s">
        <v>89</v>
      </c>
      <c r="B413" t="s">
        <v>118</v>
      </c>
      <c r="C413" t="s">
        <v>73</v>
      </c>
      <c r="D413" t="s">
        <v>74</v>
      </c>
      <c r="E413" t="s">
        <v>81</v>
      </c>
      <c r="F413" s="55">
        <v>146</v>
      </c>
      <c r="G413" s="63">
        <v>1.4E-3</v>
      </c>
    </row>
    <row r="414" spans="1:7" x14ac:dyDescent="0.2">
      <c r="A414" t="s">
        <v>89</v>
      </c>
      <c r="B414" t="s">
        <v>118</v>
      </c>
      <c r="C414" t="s">
        <v>73</v>
      </c>
      <c r="D414" t="s">
        <v>74</v>
      </c>
      <c r="E414" t="s">
        <v>82</v>
      </c>
      <c r="F414" s="55">
        <v>44</v>
      </c>
      <c r="G414" s="63">
        <v>2.5000000000000001E-3</v>
      </c>
    </row>
    <row r="415" spans="1:7" x14ac:dyDescent="0.2">
      <c r="A415" t="s">
        <v>89</v>
      </c>
      <c r="B415" t="s">
        <v>119</v>
      </c>
      <c r="C415" t="s">
        <v>73</v>
      </c>
      <c r="D415" t="s">
        <v>74</v>
      </c>
      <c r="E415" t="s">
        <v>75</v>
      </c>
      <c r="F415" s="55">
        <v>99</v>
      </c>
      <c r="G415" s="63">
        <v>5.33E-2</v>
      </c>
    </row>
    <row r="416" spans="1:7" x14ac:dyDescent="0.2">
      <c r="A416" t="s">
        <v>89</v>
      </c>
      <c r="B416" t="s">
        <v>119</v>
      </c>
      <c r="C416" t="s">
        <v>73</v>
      </c>
      <c r="D416" t="s">
        <v>74</v>
      </c>
      <c r="E416" t="s">
        <v>76</v>
      </c>
      <c r="F416" s="55">
        <v>70</v>
      </c>
      <c r="G416" s="63">
        <v>6.6E-3</v>
      </c>
    </row>
    <row r="417" spans="1:7" x14ac:dyDescent="0.2">
      <c r="A417" t="s">
        <v>89</v>
      </c>
      <c r="B417" t="s">
        <v>119</v>
      </c>
      <c r="C417" t="s">
        <v>73</v>
      </c>
      <c r="D417" t="s">
        <v>74</v>
      </c>
      <c r="E417" t="s">
        <v>77</v>
      </c>
      <c r="F417" s="55">
        <v>92</v>
      </c>
      <c r="G417" s="63">
        <v>1.78E-2</v>
      </c>
    </row>
    <row r="418" spans="1:7" x14ac:dyDescent="0.2">
      <c r="A418" t="s">
        <v>89</v>
      </c>
      <c r="B418" t="s">
        <v>119</v>
      </c>
      <c r="C418" t="s">
        <v>73</v>
      </c>
      <c r="D418" t="s">
        <v>74</v>
      </c>
      <c r="E418" t="s">
        <v>78</v>
      </c>
      <c r="F418" s="55">
        <v>100</v>
      </c>
      <c r="G418" s="63">
        <v>1.4E-2</v>
      </c>
    </row>
    <row r="419" spans="1:7" x14ac:dyDescent="0.2">
      <c r="A419" t="s">
        <v>89</v>
      </c>
      <c r="B419" t="s">
        <v>119</v>
      </c>
      <c r="C419" t="s">
        <v>73</v>
      </c>
      <c r="D419" t="s">
        <v>74</v>
      </c>
      <c r="E419" t="s">
        <v>79</v>
      </c>
      <c r="F419" s="55">
        <v>109</v>
      </c>
      <c r="G419" s="63">
        <v>3.0499999999999999E-2</v>
      </c>
    </row>
    <row r="420" spans="1:7" x14ac:dyDescent="0.2">
      <c r="A420" t="s">
        <v>89</v>
      </c>
      <c r="B420" t="s">
        <v>119</v>
      </c>
      <c r="C420" t="s">
        <v>73</v>
      </c>
      <c r="D420" t="s">
        <v>74</v>
      </c>
      <c r="E420" t="s">
        <v>80</v>
      </c>
      <c r="F420" s="55">
        <v>99</v>
      </c>
      <c r="G420" s="63">
        <v>9.9000000000000008E-3</v>
      </c>
    </row>
    <row r="421" spans="1:7" x14ac:dyDescent="0.2">
      <c r="A421" t="s">
        <v>89</v>
      </c>
      <c r="B421" t="s">
        <v>119</v>
      </c>
      <c r="C421" t="s">
        <v>73</v>
      </c>
      <c r="D421" t="s">
        <v>74</v>
      </c>
      <c r="E421" t="s">
        <v>81</v>
      </c>
      <c r="F421" s="55">
        <v>83</v>
      </c>
      <c r="G421" s="63">
        <v>1.11E-2</v>
      </c>
    </row>
    <row r="422" spans="1:7" x14ac:dyDescent="0.2">
      <c r="A422" t="s">
        <v>89</v>
      </c>
      <c r="B422" t="s">
        <v>119</v>
      </c>
      <c r="C422" t="s">
        <v>73</v>
      </c>
      <c r="D422" t="s">
        <v>74</v>
      </c>
      <c r="E422" t="s">
        <v>82</v>
      </c>
      <c r="F422" s="55">
        <v>106</v>
      </c>
      <c r="G422" s="63">
        <v>2.1100000000000001E-2</v>
      </c>
    </row>
    <row r="423" spans="1:7" x14ac:dyDescent="0.2">
      <c r="A423" t="s">
        <v>89</v>
      </c>
      <c r="B423" t="s">
        <v>119</v>
      </c>
      <c r="C423" t="s">
        <v>73</v>
      </c>
      <c r="D423" t="s">
        <v>74</v>
      </c>
      <c r="E423" t="s">
        <v>83</v>
      </c>
      <c r="F423" s="55">
        <v>75</v>
      </c>
      <c r="G423" s="63">
        <v>4.4999999999999997E-3</v>
      </c>
    </row>
    <row r="424" spans="1:7" x14ac:dyDescent="0.2">
      <c r="A424" t="s">
        <v>89</v>
      </c>
      <c r="B424" t="s">
        <v>119</v>
      </c>
      <c r="C424" t="s">
        <v>73</v>
      </c>
      <c r="D424" t="s">
        <v>74</v>
      </c>
      <c r="E424" t="s">
        <v>84</v>
      </c>
      <c r="F424" s="55">
        <v>99</v>
      </c>
      <c r="G424" s="63">
        <v>1.12E-2</v>
      </c>
    </row>
    <row r="425" spans="1:7" x14ac:dyDescent="0.2">
      <c r="A425" t="s">
        <v>89</v>
      </c>
      <c r="B425" t="s">
        <v>119</v>
      </c>
      <c r="C425" t="s">
        <v>73</v>
      </c>
      <c r="D425" t="s">
        <v>74</v>
      </c>
      <c r="E425" t="s">
        <v>85</v>
      </c>
      <c r="F425" s="55">
        <v>111</v>
      </c>
      <c r="G425" s="63">
        <v>1.03E-2</v>
      </c>
    </row>
    <row r="426" spans="1:7" x14ac:dyDescent="0.2">
      <c r="A426" t="s">
        <v>89</v>
      </c>
      <c r="B426" t="s">
        <v>119</v>
      </c>
      <c r="C426" t="s">
        <v>73</v>
      </c>
      <c r="D426" t="s">
        <v>74</v>
      </c>
      <c r="E426" t="s">
        <v>86</v>
      </c>
      <c r="F426" s="55">
        <v>105</v>
      </c>
      <c r="G426" s="63">
        <v>1.2E-2</v>
      </c>
    </row>
    <row r="427" spans="1:7" x14ac:dyDescent="0.2">
      <c r="A427" t="s">
        <v>89</v>
      </c>
      <c r="B427" t="s">
        <v>119</v>
      </c>
      <c r="C427" t="s">
        <v>73</v>
      </c>
      <c r="D427" t="s">
        <v>74</v>
      </c>
      <c r="E427" t="s">
        <v>87</v>
      </c>
      <c r="F427" s="55">
        <v>106</v>
      </c>
      <c r="G427" s="63">
        <v>1.2800000000000001E-2</v>
      </c>
    </row>
    <row r="428" spans="1:7" x14ac:dyDescent="0.2">
      <c r="A428" t="s">
        <v>89</v>
      </c>
      <c r="B428" t="s">
        <v>119</v>
      </c>
      <c r="C428" t="s">
        <v>73</v>
      </c>
      <c r="D428" t="s">
        <v>74</v>
      </c>
      <c r="E428" t="s">
        <v>88</v>
      </c>
      <c r="F428" s="55">
        <v>79</v>
      </c>
      <c r="G428" s="63">
        <v>1.06E-2</v>
      </c>
    </row>
    <row r="429" spans="1:7" x14ac:dyDescent="0.2">
      <c r="A429" t="s">
        <v>89</v>
      </c>
      <c r="B429" t="s">
        <v>120</v>
      </c>
      <c r="C429" t="s">
        <v>73</v>
      </c>
      <c r="D429" t="s">
        <v>74</v>
      </c>
      <c r="E429" t="s">
        <v>75</v>
      </c>
      <c r="F429" s="55">
        <v>69</v>
      </c>
      <c r="G429" s="63">
        <v>0.19170000000000001</v>
      </c>
    </row>
    <row r="430" spans="1:7" x14ac:dyDescent="0.2">
      <c r="A430" t="s">
        <v>89</v>
      </c>
      <c r="B430" t="s">
        <v>120</v>
      </c>
      <c r="C430" t="s">
        <v>73</v>
      </c>
      <c r="D430" t="s">
        <v>74</v>
      </c>
      <c r="E430" t="s">
        <v>76</v>
      </c>
      <c r="F430" s="55">
        <v>58</v>
      </c>
      <c r="G430" s="63">
        <v>2.6499999999999999E-2</v>
      </c>
    </row>
    <row r="431" spans="1:7" x14ac:dyDescent="0.2">
      <c r="A431" t="s">
        <v>89</v>
      </c>
      <c r="B431" t="s">
        <v>120</v>
      </c>
      <c r="C431" t="s">
        <v>73</v>
      </c>
      <c r="D431" t="s">
        <v>74</v>
      </c>
      <c r="E431" t="s">
        <v>77</v>
      </c>
      <c r="F431" s="55">
        <v>80</v>
      </c>
      <c r="G431" s="63">
        <v>6.3899999999999998E-2</v>
      </c>
    </row>
    <row r="432" spans="1:7" x14ac:dyDescent="0.2">
      <c r="A432" t="s">
        <v>89</v>
      </c>
      <c r="B432" t="s">
        <v>120</v>
      </c>
      <c r="C432" t="s">
        <v>73</v>
      </c>
      <c r="D432" t="s">
        <v>74</v>
      </c>
      <c r="E432" t="s">
        <v>78</v>
      </c>
      <c r="F432" s="55">
        <v>73</v>
      </c>
      <c r="G432" s="63">
        <v>5.2999999999999999E-2</v>
      </c>
    </row>
    <row r="433" spans="1:7" x14ac:dyDescent="0.2">
      <c r="A433" t="s">
        <v>89</v>
      </c>
      <c r="B433" t="s">
        <v>120</v>
      </c>
      <c r="C433" t="s">
        <v>73</v>
      </c>
      <c r="D433" t="s">
        <v>74</v>
      </c>
      <c r="E433" t="s">
        <v>79</v>
      </c>
      <c r="F433" s="55">
        <v>67</v>
      </c>
      <c r="G433" s="63">
        <v>0.114</v>
      </c>
    </row>
    <row r="434" spans="1:7" x14ac:dyDescent="0.2">
      <c r="A434" t="s">
        <v>89</v>
      </c>
      <c r="B434" t="s">
        <v>120</v>
      </c>
      <c r="C434" t="s">
        <v>73</v>
      </c>
      <c r="D434" t="s">
        <v>74</v>
      </c>
      <c r="E434" t="s">
        <v>80</v>
      </c>
      <c r="F434" s="55">
        <v>65</v>
      </c>
      <c r="G434" s="63">
        <v>2.3400000000000001E-2</v>
      </c>
    </row>
    <row r="435" spans="1:7" x14ac:dyDescent="0.2">
      <c r="A435" t="s">
        <v>89</v>
      </c>
      <c r="B435" t="s">
        <v>120</v>
      </c>
      <c r="C435" t="s">
        <v>73</v>
      </c>
      <c r="D435" t="s">
        <v>74</v>
      </c>
      <c r="E435" t="s">
        <v>81</v>
      </c>
      <c r="F435" s="55">
        <v>62</v>
      </c>
      <c r="G435" s="63">
        <v>2.8500000000000001E-2</v>
      </c>
    </row>
    <row r="436" spans="1:7" x14ac:dyDescent="0.2">
      <c r="A436" t="s">
        <v>89</v>
      </c>
      <c r="B436" t="s">
        <v>120</v>
      </c>
      <c r="C436" t="s">
        <v>73</v>
      </c>
      <c r="D436" t="s">
        <v>74</v>
      </c>
      <c r="E436" t="s">
        <v>82</v>
      </c>
      <c r="F436" s="55">
        <v>69</v>
      </c>
      <c r="G436" s="63">
        <v>8.9099999999999999E-2</v>
      </c>
    </row>
    <row r="437" spans="1:7" x14ac:dyDescent="0.2">
      <c r="A437" t="s">
        <v>89</v>
      </c>
      <c r="B437" t="s">
        <v>120</v>
      </c>
      <c r="C437" t="s">
        <v>73</v>
      </c>
      <c r="D437" t="s">
        <v>74</v>
      </c>
      <c r="E437" t="s">
        <v>83</v>
      </c>
      <c r="F437" s="55">
        <v>58</v>
      </c>
      <c r="G437" s="63">
        <v>1.72E-2</v>
      </c>
    </row>
    <row r="438" spans="1:7" x14ac:dyDescent="0.2">
      <c r="A438" t="s">
        <v>89</v>
      </c>
      <c r="B438" t="s">
        <v>120</v>
      </c>
      <c r="C438" t="s">
        <v>73</v>
      </c>
      <c r="D438" t="s">
        <v>74</v>
      </c>
      <c r="E438" t="s">
        <v>84</v>
      </c>
      <c r="F438" s="55">
        <v>75</v>
      </c>
      <c r="G438" s="63">
        <v>4.1000000000000002E-2</v>
      </c>
    </row>
    <row r="439" spans="1:7" x14ac:dyDescent="0.2">
      <c r="A439" t="s">
        <v>89</v>
      </c>
      <c r="B439" t="s">
        <v>120</v>
      </c>
      <c r="C439" t="s">
        <v>73</v>
      </c>
      <c r="D439" t="s">
        <v>74</v>
      </c>
      <c r="E439" t="s">
        <v>85</v>
      </c>
      <c r="F439" s="55">
        <v>64</v>
      </c>
      <c r="G439" s="63">
        <v>2.47E-2</v>
      </c>
    </row>
    <row r="440" spans="1:7" x14ac:dyDescent="0.2">
      <c r="A440" t="s">
        <v>89</v>
      </c>
      <c r="B440" t="s">
        <v>120</v>
      </c>
      <c r="C440" t="s">
        <v>73</v>
      </c>
      <c r="D440" t="s">
        <v>74</v>
      </c>
      <c r="E440" t="s">
        <v>86</v>
      </c>
      <c r="F440" s="55">
        <v>64</v>
      </c>
      <c r="G440" s="63">
        <v>3.5000000000000003E-2</v>
      </c>
    </row>
    <row r="441" spans="1:7" x14ac:dyDescent="0.2">
      <c r="A441" t="s">
        <v>89</v>
      </c>
      <c r="B441" t="s">
        <v>120</v>
      </c>
      <c r="C441" t="s">
        <v>73</v>
      </c>
      <c r="D441" t="s">
        <v>74</v>
      </c>
      <c r="E441" t="s">
        <v>87</v>
      </c>
      <c r="F441" s="55">
        <v>70</v>
      </c>
      <c r="G441" s="63">
        <v>4.87E-2</v>
      </c>
    </row>
    <row r="442" spans="1:7" x14ac:dyDescent="0.2">
      <c r="A442" t="s">
        <v>89</v>
      </c>
      <c r="B442" t="s">
        <v>120</v>
      </c>
      <c r="C442" t="s">
        <v>73</v>
      </c>
      <c r="D442" t="s">
        <v>74</v>
      </c>
      <c r="E442" t="s">
        <v>88</v>
      </c>
      <c r="F442" s="55">
        <v>59</v>
      </c>
      <c r="G442" s="63">
        <v>4.0800000000000003E-2</v>
      </c>
    </row>
    <row r="443" spans="1:7" x14ac:dyDescent="0.2">
      <c r="A443" t="s">
        <v>89</v>
      </c>
      <c r="B443" t="s">
        <v>121</v>
      </c>
      <c r="C443" t="s">
        <v>73</v>
      </c>
      <c r="D443" t="s">
        <v>74</v>
      </c>
      <c r="E443" t="s">
        <v>75</v>
      </c>
      <c r="F443" s="55">
        <v>64</v>
      </c>
      <c r="G443" s="63">
        <v>7.6100000000000001E-2</v>
      </c>
    </row>
    <row r="444" spans="1:7" x14ac:dyDescent="0.2">
      <c r="A444" t="s">
        <v>89</v>
      </c>
      <c r="B444" t="s">
        <v>121</v>
      </c>
      <c r="C444" t="s">
        <v>73</v>
      </c>
      <c r="D444" t="s">
        <v>74</v>
      </c>
      <c r="E444" t="s">
        <v>76</v>
      </c>
      <c r="F444" s="55">
        <v>56</v>
      </c>
      <c r="G444" s="63">
        <v>8.3000000000000001E-3</v>
      </c>
    </row>
    <row r="445" spans="1:7" x14ac:dyDescent="0.2">
      <c r="A445" t="s">
        <v>89</v>
      </c>
      <c r="B445" t="s">
        <v>121</v>
      </c>
      <c r="C445" t="s">
        <v>73</v>
      </c>
      <c r="D445" t="s">
        <v>74</v>
      </c>
      <c r="E445" t="s">
        <v>77</v>
      </c>
      <c r="F445" s="55">
        <v>66</v>
      </c>
      <c r="G445" s="63">
        <v>2.4199999999999999E-2</v>
      </c>
    </row>
    <row r="446" spans="1:7" x14ac:dyDescent="0.2">
      <c r="A446" t="s">
        <v>89</v>
      </c>
      <c r="B446" t="s">
        <v>121</v>
      </c>
      <c r="C446" t="s">
        <v>73</v>
      </c>
      <c r="D446" t="s">
        <v>74</v>
      </c>
      <c r="E446" t="s">
        <v>78</v>
      </c>
      <c r="F446" s="55">
        <v>63</v>
      </c>
      <c r="G446" s="63">
        <v>1.6899999999999998E-2</v>
      </c>
    </row>
    <row r="447" spans="1:7" x14ac:dyDescent="0.2">
      <c r="A447" t="s">
        <v>89</v>
      </c>
      <c r="B447" t="s">
        <v>121</v>
      </c>
      <c r="C447" t="s">
        <v>73</v>
      </c>
      <c r="D447" t="s">
        <v>74</v>
      </c>
      <c r="E447" t="s">
        <v>79</v>
      </c>
      <c r="F447" s="55">
        <v>68</v>
      </c>
      <c r="G447" s="63">
        <v>4.53E-2</v>
      </c>
    </row>
    <row r="448" spans="1:7" x14ac:dyDescent="0.2">
      <c r="A448" t="s">
        <v>89</v>
      </c>
      <c r="B448" t="s">
        <v>121</v>
      </c>
      <c r="C448" t="s">
        <v>73</v>
      </c>
      <c r="D448" t="s">
        <v>74</v>
      </c>
      <c r="E448" t="s">
        <v>80</v>
      </c>
      <c r="F448" s="55">
        <v>66</v>
      </c>
      <c r="G448" s="63">
        <v>9.1999999999999998E-3</v>
      </c>
    </row>
    <row r="449" spans="1:7" x14ac:dyDescent="0.2">
      <c r="A449" t="s">
        <v>89</v>
      </c>
      <c r="B449" t="s">
        <v>121</v>
      </c>
      <c r="C449" t="s">
        <v>73</v>
      </c>
      <c r="D449" t="s">
        <v>74</v>
      </c>
      <c r="E449" t="s">
        <v>81</v>
      </c>
      <c r="F449" s="55">
        <v>58</v>
      </c>
      <c r="G449" s="63">
        <v>1.2699999999999999E-2</v>
      </c>
    </row>
    <row r="450" spans="1:7" x14ac:dyDescent="0.2">
      <c r="A450" t="s">
        <v>89</v>
      </c>
      <c r="B450" t="s">
        <v>121</v>
      </c>
      <c r="C450" t="s">
        <v>73</v>
      </c>
      <c r="D450" t="s">
        <v>74</v>
      </c>
      <c r="E450" t="s">
        <v>82</v>
      </c>
      <c r="F450" s="55">
        <v>70</v>
      </c>
      <c r="G450" s="63">
        <v>2.9100000000000001E-2</v>
      </c>
    </row>
    <row r="451" spans="1:7" x14ac:dyDescent="0.2">
      <c r="A451" t="s">
        <v>89</v>
      </c>
      <c r="B451" t="s">
        <v>121</v>
      </c>
      <c r="C451" t="s">
        <v>73</v>
      </c>
      <c r="D451" t="s">
        <v>74</v>
      </c>
      <c r="E451" t="s">
        <v>83</v>
      </c>
      <c r="F451" s="55">
        <v>62</v>
      </c>
      <c r="G451" s="63">
        <v>5.8999999999999999E-3</v>
      </c>
    </row>
    <row r="452" spans="1:7" x14ac:dyDescent="0.2">
      <c r="A452" t="s">
        <v>89</v>
      </c>
      <c r="B452" t="s">
        <v>121</v>
      </c>
      <c r="C452" t="s">
        <v>73</v>
      </c>
      <c r="D452" t="s">
        <v>74</v>
      </c>
      <c r="E452" t="s">
        <v>84</v>
      </c>
      <c r="F452" s="55">
        <v>61</v>
      </c>
      <c r="G452" s="63">
        <v>1.23E-2</v>
      </c>
    </row>
    <row r="453" spans="1:7" x14ac:dyDescent="0.2">
      <c r="A453" t="s">
        <v>89</v>
      </c>
      <c r="B453" t="s">
        <v>121</v>
      </c>
      <c r="C453" t="s">
        <v>73</v>
      </c>
      <c r="D453" t="s">
        <v>74</v>
      </c>
      <c r="E453" t="s">
        <v>85</v>
      </c>
      <c r="F453" s="55">
        <v>69</v>
      </c>
      <c r="G453" s="63">
        <v>9.7999999999999997E-3</v>
      </c>
    </row>
    <row r="454" spans="1:7" x14ac:dyDescent="0.2">
      <c r="A454" t="s">
        <v>89</v>
      </c>
      <c r="B454" t="s">
        <v>121</v>
      </c>
      <c r="C454" t="s">
        <v>73</v>
      </c>
      <c r="D454" t="s">
        <v>74</v>
      </c>
      <c r="E454" t="s">
        <v>86</v>
      </c>
      <c r="F454" s="55">
        <v>66</v>
      </c>
      <c r="G454" s="63">
        <v>1.47E-2</v>
      </c>
    </row>
    <row r="455" spans="1:7" x14ac:dyDescent="0.2">
      <c r="A455" t="s">
        <v>89</v>
      </c>
      <c r="B455" t="s">
        <v>121</v>
      </c>
      <c r="C455" t="s">
        <v>73</v>
      </c>
      <c r="D455" t="s">
        <v>74</v>
      </c>
      <c r="E455" t="s">
        <v>87</v>
      </c>
      <c r="F455" s="55">
        <v>65</v>
      </c>
      <c r="G455" s="63">
        <v>1.84E-2</v>
      </c>
    </row>
    <row r="456" spans="1:7" x14ac:dyDescent="0.2">
      <c r="A456" t="s">
        <v>89</v>
      </c>
      <c r="B456" t="s">
        <v>121</v>
      </c>
      <c r="C456" t="s">
        <v>73</v>
      </c>
      <c r="D456" t="s">
        <v>74</v>
      </c>
      <c r="E456" t="s">
        <v>88</v>
      </c>
      <c r="F456" s="55">
        <v>59</v>
      </c>
      <c r="G456" s="63">
        <v>1.3899999999999999E-2</v>
      </c>
    </row>
    <row r="457" spans="1:7" x14ac:dyDescent="0.2">
      <c r="A457" t="s">
        <v>71</v>
      </c>
      <c r="B457" t="s">
        <v>8</v>
      </c>
      <c r="C457" t="s">
        <v>73</v>
      </c>
      <c r="D457" t="s">
        <v>74</v>
      </c>
      <c r="E457" t="s">
        <v>75</v>
      </c>
      <c r="F457" s="55">
        <v>93</v>
      </c>
      <c r="G457" s="63">
        <v>0.35460000000000003</v>
      </c>
    </row>
    <row r="458" spans="1:7" x14ac:dyDescent="0.2">
      <c r="A458" t="s">
        <v>71</v>
      </c>
      <c r="B458" t="s">
        <v>8</v>
      </c>
      <c r="C458" t="s">
        <v>73</v>
      </c>
      <c r="D458" t="s">
        <v>74</v>
      </c>
      <c r="E458" t="s">
        <v>76</v>
      </c>
      <c r="F458" s="55">
        <v>96</v>
      </c>
      <c r="G458" s="63">
        <v>4.1000000000000002E-2</v>
      </c>
    </row>
    <row r="459" spans="1:7" x14ac:dyDescent="0.2">
      <c r="A459" t="s">
        <v>71</v>
      </c>
      <c r="B459" t="s">
        <v>8</v>
      </c>
      <c r="C459" t="s">
        <v>73</v>
      </c>
      <c r="D459" t="s">
        <v>74</v>
      </c>
      <c r="E459" t="s">
        <v>77</v>
      </c>
      <c r="F459" s="55">
        <v>100</v>
      </c>
      <c r="G459" s="63">
        <v>0.1171</v>
      </c>
    </row>
    <row r="460" spans="1:7" x14ac:dyDescent="0.2">
      <c r="A460" t="s">
        <v>71</v>
      </c>
      <c r="B460" t="s">
        <v>8</v>
      </c>
      <c r="C460" t="s">
        <v>73</v>
      </c>
      <c r="D460" t="s">
        <v>74</v>
      </c>
      <c r="E460" t="s">
        <v>78</v>
      </c>
      <c r="F460" s="55">
        <v>94</v>
      </c>
      <c r="G460" s="63">
        <v>9.1200000000000003E-2</v>
      </c>
    </row>
    <row r="461" spans="1:7" x14ac:dyDescent="0.2">
      <c r="A461" t="s">
        <v>71</v>
      </c>
      <c r="B461" t="s">
        <v>8</v>
      </c>
      <c r="C461" t="s">
        <v>73</v>
      </c>
      <c r="D461" t="s">
        <v>74</v>
      </c>
      <c r="E461" t="s">
        <v>79</v>
      </c>
      <c r="F461" s="55">
        <v>92</v>
      </c>
      <c r="G461" s="63">
        <v>0.2414</v>
      </c>
    </row>
    <row r="462" spans="1:7" x14ac:dyDescent="0.2">
      <c r="A462" t="s">
        <v>71</v>
      </c>
      <c r="B462" t="s">
        <v>8</v>
      </c>
      <c r="C462" t="s">
        <v>73</v>
      </c>
      <c r="D462" t="s">
        <v>74</v>
      </c>
      <c r="E462" t="s">
        <v>80</v>
      </c>
      <c r="F462" s="55">
        <v>97</v>
      </c>
      <c r="G462" s="63">
        <v>6.2799999999999995E-2</v>
      </c>
    </row>
    <row r="463" spans="1:7" x14ac:dyDescent="0.2">
      <c r="A463" t="s">
        <v>71</v>
      </c>
      <c r="B463" t="s">
        <v>8</v>
      </c>
      <c r="C463" t="s">
        <v>73</v>
      </c>
      <c r="D463" t="s">
        <v>74</v>
      </c>
      <c r="E463" t="s">
        <v>81</v>
      </c>
      <c r="F463" s="55">
        <v>93</v>
      </c>
      <c r="G463" s="63">
        <v>6.6699999999999995E-2</v>
      </c>
    </row>
    <row r="464" spans="1:7" x14ac:dyDescent="0.2">
      <c r="A464" t="s">
        <v>71</v>
      </c>
      <c r="B464" t="s">
        <v>8</v>
      </c>
      <c r="C464" t="s">
        <v>73</v>
      </c>
      <c r="D464" t="s">
        <v>74</v>
      </c>
      <c r="E464" t="s">
        <v>82</v>
      </c>
      <c r="F464" s="55">
        <v>91</v>
      </c>
      <c r="G464" s="63">
        <v>0.17460000000000001</v>
      </c>
    </row>
    <row r="465" spans="1:7" x14ac:dyDescent="0.2">
      <c r="A465" t="s">
        <v>71</v>
      </c>
      <c r="B465" t="s">
        <v>8</v>
      </c>
      <c r="C465" t="s">
        <v>73</v>
      </c>
      <c r="D465" t="s">
        <v>74</v>
      </c>
      <c r="E465" t="s">
        <v>83</v>
      </c>
      <c r="F465" s="55">
        <v>98</v>
      </c>
      <c r="G465" s="63">
        <v>3.1800000000000002E-2</v>
      </c>
    </row>
    <row r="466" spans="1:7" x14ac:dyDescent="0.2">
      <c r="A466" t="s">
        <v>71</v>
      </c>
      <c r="B466" t="s">
        <v>8</v>
      </c>
      <c r="C466" t="s">
        <v>73</v>
      </c>
      <c r="D466" t="s">
        <v>74</v>
      </c>
      <c r="E466" t="s">
        <v>84</v>
      </c>
      <c r="F466" s="55">
        <v>96</v>
      </c>
      <c r="G466" s="63">
        <v>6.7199999999999996E-2</v>
      </c>
    </row>
    <row r="467" spans="1:7" x14ac:dyDescent="0.2">
      <c r="A467" t="s">
        <v>71</v>
      </c>
      <c r="B467" t="s">
        <v>8</v>
      </c>
      <c r="C467" t="s">
        <v>73</v>
      </c>
      <c r="D467" t="s">
        <v>74</v>
      </c>
      <c r="E467" t="s">
        <v>85</v>
      </c>
      <c r="F467" s="55">
        <v>95</v>
      </c>
      <c r="G467" s="63">
        <v>7.2900000000000006E-2</v>
      </c>
    </row>
    <row r="468" spans="1:7" x14ac:dyDescent="0.2">
      <c r="A468" t="s">
        <v>71</v>
      </c>
      <c r="B468" t="s">
        <v>8</v>
      </c>
      <c r="C468" t="s">
        <v>73</v>
      </c>
      <c r="D468" t="s">
        <v>74</v>
      </c>
      <c r="E468" t="s">
        <v>86</v>
      </c>
      <c r="F468" s="55">
        <v>92</v>
      </c>
      <c r="G468" s="63">
        <v>9.7799999999999998E-2</v>
      </c>
    </row>
    <row r="469" spans="1:7" x14ac:dyDescent="0.2">
      <c r="A469" t="s">
        <v>71</v>
      </c>
      <c r="B469" t="s">
        <v>8</v>
      </c>
      <c r="C469" t="s">
        <v>73</v>
      </c>
      <c r="D469" t="s">
        <v>74</v>
      </c>
      <c r="E469" t="s">
        <v>87</v>
      </c>
      <c r="F469" s="55">
        <v>94</v>
      </c>
      <c r="G469" s="63">
        <v>0.1159</v>
      </c>
    </row>
    <row r="470" spans="1:7" x14ac:dyDescent="0.2">
      <c r="A470" t="s">
        <v>71</v>
      </c>
      <c r="B470" t="s">
        <v>8</v>
      </c>
      <c r="C470" t="s">
        <v>73</v>
      </c>
      <c r="D470" t="s">
        <v>74</v>
      </c>
      <c r="E470" t="s">
        <v>88</v>
      </c>
      <c r="F470" s="55">
        <v>95</v>
      </c>
      <c r="G470" s="63">
        <v>6.9500000000000006E-2</v>
      </c>
    </row>
    <row r="471" spans="1:7" x14ac:dyDescent="0.2">
      <c r="A471" t="s">
        <v>71</v>
      </c>
      <c r="B471" t="s">
        <v>9</v>
      </c>
      <c r="C471" t="s">
        <v>73</v>
      </c>
      <c r="D471" t="s">
        <v>74</v>
      </c>
      <c r="E471" t="s">
        <v>75</v>
      </c>
      <c r="F471" s="55">
        <v>79</v>
      </c>
      <c r="G471" s="63">
        <v>0.48320000000000002</v>
      </c>
    </row>
    <row r="472" spans="1:7" x14ac:dyDescent="0.2">
      <c r="A472" t="s">
        <v>71</v>
      </c>
      <c r="B472" t="s">
        <v>9</v>
      </c>
      <c r="C472" t="s">
        <v>73</v>
      </c>
      <c r="D472" t="s">
        <v>74</v>
      </c>
      <c r="E472" t="s">
        <v>76</v>
      </c>
      <c r="F472" s="55">
        <v>76</v>
      </c>
      <c r="G472" s="63">
        <v>0.1036</v>
      </c>
    </row>
    <row r="473" spans="1:7" x14ac:dyDescent="0.2">
      <c r="A473" t="s">
        <v>71</v>
      </c>
      <c r="B473" t="s">
        <v>9</v>
      </c>
      <c r="C473" t="s">
        <v>73</v>
      </c>
      <c r="D473" t="s">
        <v>74</v>
      </c>
      <c r="E473" t="s">
        <v>77</v>
      </c>
      <c r="F473" s="55">
        <v>75</v>
      </c>
      <c r="G473" s="63">
        <v>0.2026</v>
      </c>
    </row>
    <row r="474" spans="1:7" x14ac:dyDescent="0.2">
      <c r="A474" t="s">
        <v>71</v>
      </c>
      <c r="B474" t="s">
        <v>9</v>
      </c>
      <c r="C474" t="s">
        <v>73</v>
      </c>
      <c r="D474" t="s">
        <v>74</v>
      </c>
      <c r="E474" t="s">
        <v>78</v>
      </c>
      <c r="F474" s="55">
        <v>79</v>
      </c>
      <c r="G474" s="63">
        <v>0.1893</v>
      </c>
    </row>
    <row r="475" spans="1:7" x14ac:dyDescent="0.2">
      <c r="A475" t="s">
        <v>71</v>
      </c>
      <c r="B475" t="s">
        <v>9</v>
      </c>
      <c r="C475" t="s">
        <v>73</v>
      </c>
      <c r="D475" t="s">
        <v>74</v>
      </c>
      <c r="E475" t="s">
        <v>79</v>
      </c>
      <c r="F475" s="55">
        <v>82</v>
      </c>
      <c r="G475" s="63">
        <v>0.37740000000000001</v>
      </c>
    </row>
    <row r="476" spans="1:7" x14ac:dyDescent="0.2">
      <c r="A476" t="s">
        <v>71</v>
      </c>
      <c r="B476" t="s">
        <v>9</v>
      </c>
      <c r="C476" t="s">
        <v>73</v>
      </c>
      <c r="D476" t="s">
        <v>74</v>
      </c>
      <c r="E476" t="s">
        <v>80</v>
      </c>
      <c r="F476" s="55">
        <v>77</v>
      </c>
      <c r="G476" s="63">
        <v>0.12189999999999999</v>
      </c>
    </row>
    <row r="477" spans="1:7" x14ac:dyDescent="0.2">
      <c r="A477" t="s">
        <v>71</v>
      </c>
      <c r="B477" t="s">
        <v>9</v>
      </c>
      <c r="C477" t="s">
        <v>73</v>
      </c>
      <c r="D477" t="s">
        <v>74</v>
      </c>
      <c r="E477" t="s">
        <v>81</v>
      </c>
      <c r="F477" s="55">
        <v>75</v>
      </c>
      <c r="G477" s="63">
        <v>0.12859999999999999</v>
      </c>
    </row>
    <row r="478" spans="1:7" x14ac:dyDescent="0.2">
      <c r="A478" t="s">
        <v>71</v>
      </c>
      <c r="B478" t="s">
        <v>9</v>
      </c>
      <c r="C478" t="s">
        <v>73</v>
      </c>
      <c r="D478" t="s">
        <v>74</v>
      </c>
      <c r="E478" t="s">
        <v>82</v>
      </c>
      <c r="F478" s="55">
        <v>81</v>
      </c>
      <c r="G478" s="63">
        <v>0.33090000000000003</v>
      </c>
    </row>
    <row r="479" spans="1:7" x14ac:dyDescent="0.2">
      <c r="A479" t="s">
        <v>71</v>
      </c>
      <c r="B479" t="s">
        <v>9</v>
      </c>
      <c r="C479" t="s">
        <v>73</v>
      </c>
      <c r="D479" t="s">
        <v>74</v>
      </c>
      <c r="E479" t="s">
        <v>83</v>
      </c>
      <c r="F479" s="55">
        <v>76</v>
      </c>
      <c r="G479" s="63">
        <v>7.3800000000000004E-2</v>
      </c>
    </row>
    <row r="480" spans="1:7" x14ac:dyDescent="0.2">
      <c r="A480" t="s">
        <v>71</v>
      </c>
      <c r="B480" t="s">
        <v>9</v>
      </c>
      <c r="C480" t="s">
        <v>73</v>
      </c>
      <c r="D480" t="s">
        <v>74</v>
      </c>
      <c r="E480" t="s">
        <v>84</v>
      </c>
      <c r="F480" s="55">
        <v>79</v>
      </c>
      <c r="G480" s="63">
        <v>0.14369999999999999</v>
      </c>
    </row>
    <row r="481" spans="1:7" x14ac:dyDescent="0.2">
      <c r="A481" t="s">
        <v>71</v>
      </c>
      <c r="B481" t="s">
        <v>9</v>
      </c>
      <c r="C481" t="s">
        <v>73</v>
      </c>
      <c r="D481" t="s">
        <v>74</v>
      </c>
      <c r="E481" t="s">
        <v>85</v>
      </c>
      <c r="F481" s="55">
        <v>79</v>
      </c>
      <c r="G481" s="63">
        <v>0.1734</v>
      </c>
    </row>
    <row r="482" spans="1:7" x14ac:dyDescent="0.2">
      <c r="A482" t="s">
        <v>71</v>
      </c>
      <c r="B482" t="s">
        <v>9</v>
      </c>
      <c r="C482" t="s">
        <v>73</v>
      </c>
      <c r="D482" t="s">
        <v>74</v>
      </c>
      <c r="E482" t="s">
        <v>86</v>
      </c>
      <c r="F482" s="55">
        <v>81</v>
      </c>
      <c r="G482" s="63">
        <v>0.2223</v>
      </c>
    </row>
    <row r="483" spans="1:7" x14ac:dyDescent="0.2">
      <c r="A483" t="s">
        <v>71</v>
      </c>
      <c r="B483" t="s">
        <v>9</v>
      </c>
      <c r="C483" t="s">
        <v>73</v>
      </c>
      <c r="D483" t="s">
        <v>74</v>
      </c>
      <c r="E483" t="s">
        <v>87</v>
      </c>
      <c r="F483" s="55">
        <v>82</v>
      </c>
      <c r="G483" s="63">
        <v>0.25650000000000001</v>
      </c>
    </row>
    <row r="484" spans="1:7" x14ac:dyDescent="0.2">
      <c r="A484" t="s">
        <v>71</v>
      </c>
      <c r="B484" t="s">
        <v>9</v>
      </c>
      <c r="C484" t="s">
        <v>73</v>
      </c>
      <c r="D484" t="s">
        <v>74</v>
      </c>
      <c r="E484" t="s">
        <v>88</v>
      </c>
      <c r="F484" s="55">
        <v>76</v>
      </c>
      <c r="G484" s="63">
        <v>0.15409999999999999</v>
      </c>
    </row>
    <row r="485" spans="1:7" x14ac:dyDescent="0.2">
      <c r="A485" t="s">
        <v>89</v>
      </c>
      <c r="B485" t="s">
        <v>122</v>
      </c>
      <c r="C485" t="s">
        <v>73</v>
      </c>
      <c r="D485" t="s">
        <v>74</v>
      </c>
      <c r="E485" t="s">
        <v>75</v>
      </c>
      <c r="F485" s="55">
        <v>20</v>
      </c>
      <c r="G485" s="63">
        <v>9.7999999999999997E-3</v>
      </c>
    </row>
    <row r="486" spans="1:7" x14ac:dyDescent="0.2">
      <c r="A486" t="s">
        <v>89</v>
      </c>
      <c r="B486" t="s">
        <v>122</v>
      </c>
      <c r="C486" t="s">
        <v>73</v>
      </c>
      <c r="D486" t="s">
        <v>74</v>
      </c>
      <c r="E486" t="s">
        <v>77</v>
      </c>
      <c r="F486" s="55">
        <v>14</v>
      </c>
      <c r="G486" s="63">
        <v>1.9E-3</v>
      </c>
    </row>
    <row r="487" spans="1:7" x14ac:dyDescent="0.2">
      <c r="A487" t="s">
        <v>89</v>
      </c>
      <c r="B487" t="s">
        <v>122</v>
      </c>
      <c r="C487" t="s">
        <v>73</v>
      </c>
      <c r="D487" t="s">
        <v>74</v>
      </c>
      <c r="E487" t="s">
        <v>79</v>
      </c>
      <c r="F487" s="55">
        <v>13</v>
      </c>
      <c r="G487" s="63">
        <v>4.7000000000000002E-3</v>
      </c>
    </row>
    <row r="488" spans="1:7" x14ac:dyDescent="0.2">
      <c r="A488" t="s">
        <v>89</v>
      </c>
      <c r="B488" t="s">
        <v>122</v>
      </c>
      <c r="C488" t="s">
        <v>73</v>
      </c>
      <c r="D488" t="s">
        <v>74</v>
      </c>
      <c r="E488" t="s">
        <v>82</v>
      </c>
      <c r="F488" s="55">
        <v>20</v>
      </c>
      <c r="G488" s="63">
        <v>2.8E-3</v>
      </c>
    </row>
    <row r="489" spans="1:7" x14ac:dyDescent="0.2">
      <c r="A489" t="s">
        <v>71</v>
      </c>
      <c r="B489" t="s">
        <v>123</v>
      </c>
      <c r="C489" t="s">
        <v>73</v>
      </c>
      <c r="D489" t="s">
        <v>74</v>
      </c>
      <c r="E489" t="s">
        <v>75</v>
      </c>
      <c r="F489" s="55">
        <v>84</v>
      </c>
      <c r="G489" s="63">
        <v>0.38829999999999998</v>
      </c>
    </row>
    <row r="490" spans="1:7" x14ac:dyDescent="0.2">
      <c r="A490" t="s">
        <v>71</v>
      </c>
      <c r="B490" t="s">
        <v>123</v>
      </c>
      <c r="C490" t="s">
        <v>73</v>
      </c>
      <c r="D490" t="s">
        <v>74</v>
      </c>
      <c r="E490" t="s">
        <v>76</v>
      </c>
      <c r="F490" s="55">
        <v>82</v>
      </c>
      <c r="G490" s="63">
        <v>6.2300000000000001E-2</v>
      </c>
    </row>
    <row r="491" spans="1:7" x14ac:dyDescent="0.2">
      <c r="A491" t="s">
        <v>71</v>
      </c>
      <c r="B491" t="s">
        <v>123</v>
      </c>
      <c r="C491" t="s">
        <v>73</v>
      </c>
      <c r="D491" t="s">
        <v>74</v>
      </c>
      <c r="E491" t="s">
        <v>77</v>
      </c>
      <c r="F491" s="55">
        <v>80</v>
      </c>
      <c r="G491" s="63">
        <v>0.15609999999999999</v>
      </c>
    </row>
    <row r="492" spans="1:7" x14ac:dyDescent="0.2">
      <c r="A492" t="s">
        <v>71</v>
      </c>
      <c r="B492" t="s">
        <v>123</v>
      </c>
      <c r="C492" t="s">
        <v>73</v>
      </c>
      <c r="D492" t="s">
        <v>74</v>
      </c>
      <c r="E492" t="s">
        <v>78</v>
      </c>
      <c r="F492" s="55">
        <v>77</v>
      </c>
      <c r="G492" s="63">
        <v>0.13270000000000001</v>
      </c>
    </row>
    <row r="493" spans="1:7" x14ac:dyDescent="0.2">
      <c r="A493" t="s">
        <v>71</v>
      </c>
      <c r="B493" t="s">
        <v>123</v>
      </c>
      <c r="C493" t="s">
        <v>73</v>
      </c>
      <c r="D493" t="s">
        <v>74</v>
      </c>
      <c r="E493" t="s">
        <v>79</v>
      </c>
      <c r="F493" s="55">
        <v>87</v>
      </c>
      <c r="G493" s="63">
        <v>0.27</v>
      </c>
    </row>
    <row r="494" spans="1:7" x14ac:dyDescent="0.2">
      <c r="A494" t="s">
        <v>71</v>
      </c>
      <c r="B494" t="s">
        <v>123</v>
      </c>
      <c r="C494" t="s">
        <v>73</v>
      </c>
      <c r="D494" t="s">
        <v>74</v>
      </c>
      <c r="E494" t="s">
        <v>80</v>
      </c>
      <c r="F494" s="55">
        <v>79</v>
      </c>
      <c r="G494" s="63">
        <v>7.0599999999999996E-2</v>
      </c>
    </row>
    <row r="495" spans="1:7" x14ac:dyDescent="0.2">
      <c r="A495" t="s">
        <v>71</v>
      </c>
      <c r="B495" t="s">
        <v>123</v>
      </c>
      <c r="C495" t="s">
        <v>73</v>
      </c>
      <c r="D495" t="s">
        <v>74</v>
      </c>
      <c r="E495" t="s">
        <v>81</v>
      </c>
      <c r="F495" s="55">
        <v>76</v>
      </c>
      <c r="G495" s="63">
        <v>8.0199999999999994E-2</v>
      </c>
    </row>
    <row r="496" spans="1:7" x14ac:dyDescent="0.2">
      <c r="A496" t="s">
        <v>71</v>
      </c>
      <c r="B496" t="s">
        <v>123</v>
      </c>
      <c r="C496" t="s">
        <v>73</v>
      </c>
      <c r="D496" t="s">
        <v>74</v>
      </c>
      <c r="E496" t="s">
        <v>82</v>
      </c>
      <c r="F496" s="55">
        <v>89</v>
      </c>
      <c r="G496" s="63">
        <v>0.23649999999999999</v>
      </c>
    </row>
    <row r="497" spans="1:7" x14ac:dyDescent="0.2">
      <c r="A497" t="s">
        <v>71</v>
      </c>
      <c r="B497" t="s">
        <v>123</v>
      </c>
      <c r="C497" t="s">
        <v>73</v>
      </c>
      <c r="D497" t="s">
        <v>74</v>
      </c>
      <c r="E497" t="s">
        <v>83</v>
      </c>
      <c r="F497" s="55">
        <v>84</v>
      </c>
      <c r="G497" s="63">
        <v>4.3200000000000002E-2</v>
      </c>
    </row>
    <row r="498" spans="1:7" x14ac:dyDescent="0.2">
      <c r="A498" t="s">
        <v>71</v>
      </c>
      <c r="B498" t="s">
        <v>123</v>
      </c>
      <c r="C498" t="s">
        <v>73</v>
      </c>
      <c r="D498" t="s">
        <v>74</v>
      </c>
      <c r="E498" t="s">
        <v>84</v>
      </c>
      <c r="F498" s="55">
        <v>78</v>
      </c>
      <c r="G498" s="63">
        <v>9.6699999999999994E-2</v>
      </c>
    </row>
    <row r="499" spans="1:7" x14ac:dyDescent="0.2">
      <c r="A499" t="s">
        <v>71</v>
      </c>
      <c r="B499" t="s">
        <v>123</v>
      </c>
      <c r="C499" t="s">
        <v>73</v>
      </c>
      <c r="D499" t="s">
        <v>74</v>
      </c>
      <c r="E499" t="s">
        <v>85</v>
      </c>
      <c r="F499" s="55">
        <v>86</v>
      </c>
      <c r="G499" s="63">
        <v>9.5399999999999999E-2</v>
      </c>
    </row>
    <row r="500" spans="1:7" x14ac:dyDescent="0.2">
      <c r="A500" t="s">
        <v>71</v>
      </c>
      <c r="B500" t="s">
        <v>123</v>
      </c>
      <c r="C500" t="s">
        <v>73</v>
      </c>
      <c r="D500" t="s">
        <v>74</v>
      </c>
      <c r="E500" t="s">
        <v>86</v>
      </c>
      <c r="F500" s="55">
        <v>87</v>
      </c>
      <c r="G500" s="63">
        <v>0.128</v>
      </c>
    </row>
    <row r="501" spans="1:7" x14ac:dyDescent="0.2">
      <c r="A501" t="s">
        <v>71</v>
      </c>
      <c r="B501" t="s">
        <v>123</v>
      </c>
      <c r="C501" t="s">
        <v>73</v>
      </c>
      <c r="D501" t="s">
        <v>74</v>
      </c>
      <c r="E501" t="s">
        <v>87</v>
      </c>
      <c r="F501" s="55">
        <v>87</v>
      </c>
      <c r="G501" s="63">
        <v>0.1578</v>
      </c>
    </row>
    <row r="502" spans="1:7" x14ac:dyDescent="0.2">
      <c r="A502" t="s">
        <v>71</v>
      </c>
      <c r="B502" t="s">
        <v>123</v>
      </c>
      <c r="C502" t="s">
        <v>73</v>
      </c>
      <c r="D502" t="s">
        <v>74</v>
      </c>
      <c r="E502" t="s">
        <v>88</v>
      </c>
      <c r="F502" s="55">
        <v>82</v>
      </c>
      <c r="G502" s="63">
        <v>9.8400000000000001E-2</v>
      </c>
    </row>
    <row r="503" spans="1:7" x14ac:dyDescent="0.2">
      <c r="A503" t="s">
        <v>89</v>
      </c>
      <c r="B503" t="s">
        <v>124</v>
      </c>
      <c r="C503" t="s">
        <v>73</v>
      </c>
      <c r="D503" t="s">
        <v>74</v>
      </c>
      <c r="E503" t="s">
        <v>75</v>
      </c>
      <c r="F503" s="55">
        <v>84</v>
      </c>
      <c r="G503" s="63">
        <v>0.1305</v>
      </c>
    </row>
    <row r="504" spans="1:7" x14ac:dyDescent="0.2">
      <c r="A504" t="s">
        <v>89</v>
      </c>
      <c r="B504" t="s">
        <v>124</v>
      </c>
      <c r="C504" t="s">
        <v>73</v>
      </c>
      <c r="D504" t="s">
        <v>74</v>
      </c>
      <c r="E504" t="s">
        <v>76</v>
      </c>
      <c r="F504" s="55">
        <v>96</v>
      </c>
      <c r="G504" s="63">
        <v>1.37E-2</v>
      </c>
    </row>
    <row r="505" spans="1:7" x14ac:dyDescent="0.2">
      <c r="A505" t="s">
        <v>89</v>
      </c>
      <c r="B505" t="s">
        <v>124</v>
      </c>
      <c r="C505" t="s">
        <v>73</v>
      </c>
      <c r="D505" t="s">
        <v>74</v>
      </c>
      <c r="E505" t="s">
        <v>77</v>
      </c>
      <c r="F505" s="55">
        <v>72</v>
      </c>
      <c r="G505" s="63">
        <v>4.2700000000000002E-2</v>
      </c>
    </row>
    <row r="506" spans="1:7" x14ac:dyDescent="0.2">
      <c r="A506" t="s">
        <v>89</v>
      </c>
      <c r="B506" t="s">
        <v>124</v>
      </c>
      <c r="C506" t="s">
        <v>73</v>
      </c>
      <c r="D506" t="s">
        <v>74</v>
      </c>
      <c r="E506" t="s">
        <v>78</v>
      </c>
      <c r="F506" s="55">
        <v>92</v>
      </c>
      <c r="G506" s="63">
        <v>2.9499999999999998E-2</v>
      </c>
    </row>
    <row r="507" spans="1:7" x14ac:dyDescent="0.2">
      <c r="A507" t="s">
        <v>89</v>
      </c>
      <c r="B507" t="s">
        <v>124</v>
      </c>
      <c r="C507" t="s">
        <v>73</v>
      </c>
      <c r="D507" t="s">
        <v>74</v>
      </c>
      <c r="E507" t="s">
        <v>79</v>
      </c>
      <c r="F507" s="55">
        <v>89</v>
      </c>
      <c r="G507" s="63">
        <v>8.0199999999999994E-2</v>
      </c>
    </row>
    <row r="508" spans="1:7" x14ac:dyDescent="0.2">
      <c r="A508" t="s">
        <v>89</v>
      </c>
      <c r="B508" t="s">
        <v>124</v>
      </c>
      <c r="C508" t="s">
        <v>73</v>
      </c>
      <c r="D508" t="s">
        <v>74</v>
      </c>
      <c r="E508" t="s">
        <v>80</v>
      </c>
      <c r="F508" s="55">
        <v>89</v>
      </c>
      <c r="G508" s="63">
        <v>1.5900000000000001E-2</v>
      </c>
    </row>
    <row r="509" spans="1:7" x14ac:dyDescent="0.2">
      <c r="A509" t="s">
        <v>89</v>
      </c>
      <c r="B509" t="s">
        <v>124</v>
      </c>
      <c r="C509" t="s">
        <v>73</v>
      </c>
      <c r="D509" t="s">
        <v>74</v>
      </c>
      <c r="E509" t="s">
        <v>81</v>
      </c>
      <c r="F509" s="55">
        <v>81</v>
      </c>
      <c r="G509" s="63">
        <v>1.8100000000000002E-2</v>
      </c>
    </row>
    <row r="510" spans="1:7" x14ac:dyDescent="0.2">
      <c r="A510" t="s">
        <v>89</v>
      </c>
      <c r="B510" t="s">
        <v>124</v>
      </c>
      <c r="C510" t="s">
        <v>73</v>
      </c>
      <c r="D510" t="s">
        <v>74</v>
      </c>
      <c r="E510" t="s">
        <v>82</v>
      </c>
      <c r="F510" s="55">
        <v>85</v>
      </c>
      <c r="G510" s="63">
        <v>5.91E-2</v>
      </c>
    </row>
    <row r="511" spans="1:7" x14ac:dyDescent="0.2">
      <c r="A511" t="s">
        <v>89</v>
      </c>
      <c r="B511" t="s">
        <v>124</v>
      </c>
      <c r="C511" t="s">
        <v>73</v>
      </c>
      <c r="D511" t="s">
        <v>74</v>
      </c>
      <c r="E511" t="s">
        <v>83</v>
      </c>
      <c r="F511" s="55">
        <v>100</v>
      </c>
      <c r="G511" s="63">
        <v>8.9999999999999993E-3</v>
      </c>
    </row>
    <row r="512" spans="1:7" x14ac:dyDescent="0.2">
      <c r="A512" t="s">
        <v>89</v>
      </c>
      <c r="B512" t="s">
        <v>124</v>
      </c>
      <c r="C512" t="s">
        <v>73</v>
      </c>
      <c r="D512" t="s">
        <v>74</v>
      </c>
      <c r="E512" t="s">
        <v>84</v>
      </c>
      <c r="F512" s="55">
        <v>89</v>
      </c>
      <c r="G512" s="63">
        <v>1.9800000000000002E-2</v>
      </c>
    </row>
    <row r="513" spans="1:7" x14ac:dyDescent="0.2">
      <c r="A513" t="s">
        <v>89</v>
      </c>
      <c r="B513" t="s">
        <v>124</v>
      </c>
      <c r="C513" t="s">
        <v>73</v>
      </c>
      <c r="D513" t="s">
        <v>74</v>
      </c>
      <c r="E513" t="s">
        <v>85</v>
      </c>
      <c r="F513" s="55">
        <v>88</v>
      </c>
      <c r="G513" s="63">
        <v>1.6899999999999998E-2</v>
      </c>
    </row>
    <row r="514" spans="1:7" x14ac:dyDescent="0.2">
      <c r="A514" t="s">
        <v>89</v>
      </c>
      <c r="B514" t="s">
        <v>124</v>
      </c>
      <c r="C514" t="s">
        <v>73</v>
      </c>
      <c r="D514" t="s">
        <v>74</v>
      </c>
      <c r="E514" t="s">
        <v>86</v>
      </c>
      <c r="F514" s="55">
        <v>83</v>
      </c>
      <c r="G514" s="63">
        <v>2.4299999999999999E-2</v>
      </c>
    </row>
    <row r="515" spans="1:7" x14ac:dyDescent="0.2">
      <c r="A515" t="s">
        <v>89</v>
      </c>
      <c r="B515" t="s">
        <v>124</v>
      </c>
      <c r="C515" t="s">
        <v>73</v>
      </c>
      <c r="D515" t="s">
        <v>74</v>
      </c>
      <c r="E515" t="s">
        <v>87</v>
      </c>
      <c r="F515" s="55">
        <v>86</v>
      </c>
      <c r="G515" s="63">
        <v>3.5200000000000002E-2</v>
      </c>
    </row>
    <row r="516" spans="1:7" x14ac:dyDescent="0.2">
      <c r="A516" t="s">
        <v>89</v>
      </c>
      <c r="B516" t="s">
        <v>124</v>
      </c>
      <c r="C516" t="s">
        <v>73</v>
      </c>
      <c r="D516" t="s">
        <v>74</v>
      </c>
      <c r="E516" t="s">
        <v>88</v>
      </c>
      <c r="F516" s="55">
        <v>95</v>
      </c>
      <c r="G516" s="63">
        <v>2.2200000000000001E-2</v>
      </c>
    </row>
    <row r="517" spans="1:7" x14ac:dyDescent="0.2">
      <c r="A517" t="s">
        <v>71</v>
      </c>
      <c r="B517" t="s">
        <v>125</v>
      </c>
      <c r="C517" t="s">
        <v>73</v>
      </c>
      <c r="D517" t="s">
        <v>74</v>
      </c>
      <c r="E517" t="s">
        <v>75</v>
      </c>
      <c r="F517" s="55">
        <v>102</v>
      </c>
      <c r="G517" s="63">
        <v>8.9300000000000004E-2</v>
      </c>
    </row>
    <row r="518" spans="1:7" x14ac:dyDescent="0.2">
      <c r="A518" t="s">
        <v>71</v>
      </c>
      <c r="B518" t="s">
        <v>125</v>
      </c>
      <c r="C518" t="s">
        <v>73</v>
      </c>
      <c r="D518" t="s">
        <v>74</v>
      </c>
      <c r="E518" t="s">
        <v>76</v>
      </c>
      <c r="F518" s="55">
        <v>114</v>
      </c>
      <c r="G518" s="63">
        <v>5.3E-3</v>
      </c>
    </row>
    <row r="519" spans="1:7" x14ac:dyDescent="0.2">
      <c r="A519" t="s">
        <v>71</v>
      </c>
      <c r="B519" t="s">
        <v>125</v>
      </c>
      <c r="C519" t="s">
        <v>73</v>
      </c>
      <c r="D519" t="s">
        <v>74</v>
      </c>
      <c r="E519" t="s">
        <v>77</v>
      </c>
      <c r="F519" s="55">
        <v>100</v>
      </c>
      <c r="G519" s="63">
        <v>2.07E-2</v>
      </c>
    </row>
    <row r="520" spans="1:7" x14ac:dyDescent="0.2">
      <c r="A520" t="s">
        <v>71</v>
      </c>
      <c r="B520" t="s">
        <v>125</v>
      </c>
      <c r="C520" t="s">
        <v>73</v>
      </c>
      <c r="D520" t="s">
        <v>74</v>
      </c>
      <c r="E520" t="s">
        <v>78</v>
      </c>
      <c r="F520" s="55">
        <v>105</v>
      </c>
      <c r="G520" s="63">
        <v>1.9400000000000001E-2</v>
      </c>
    </row>
    <row r="521" spans="1:7" x14ac:dyDescent="0.2">
      <c r="A521" t="s">
        <v>71</v>
      </c>
      <c r="B521" t="s">
        <v>125</v>
      </c>
      <c r="C521" t="s">
        <v>73</v>
      </c>
      <c r="D521" t="s">
        <v>74</v>
      </c>
      <c r="E521" t="s">
        <v>79</v>
      </c>
      <c r="F521" s="55">
        <v>100</v>
      </c>
      <c r="G521" s="63">
        <v>6.2399999999999997E-2</v>
      </c>
    </row>
    <row r="522" spans="1:7" x14ac:dyDescent="0.2">
      <c r="A522" t="s">
        <v>71</v>
      </c>
      <c r="B522" t="s">
        <v>125</v>
      </c>
      <c r="C522" t="s">
        <v>73</v>
      </c>
      <c r="D522" t="s">
        <v>74</v>
      </c>
      <c r="E522" t="s">
        <v>80</v>
      </c>
      <c r="F522" s="55">
        <v>112</v>
      </c>
      <c r="G522" s="63">
        <v>9.5999999999999992E-3</v>
      </c>
    </row>
    <row r="523" spans="1:7" x14ac:dyDescent="0.2">
      <c r="A523" t="s">
        <v>71</v>
      </c>
      <c r="B523" t="s">
        <v>125</v>
      </c>
      <c r="C523" t="s">
        <v>73</v>
      </c>
      <c r="D523" t="s">
        <v>74</v>
      </c>
      <c r="E523" t="s">
        <v>81</v>
      </c>
      <c r="F523" s="55">
        <v>108</v>
      </c>
      <c r="G523" s="63">
        <v>1.0800000000000001E-2</v>
      </c>
    </row>
    <row r="524" spans="1:7" x14ac:dyDescent="0.2">
      <c r="A524" t="s">
        <v>71</v>
      </c>
      <c r="B524" t="s">
        <v>125</v>
      </c>
      <c r="C524" t="s">
        <v>73</v>
      </c>
      <c r="D524" t="s">
        <v>74</v>
      </c>
      <c r="E524" t="s">
        <v>82</v>
      </c>
      <c r="F524" s="55">
        <v>94</v>
      </c>
      <c r="G524" s="63">
        <v>3.2599999999999997E-2</v>
      </c>
    </row>
    <row r="525" spans="1:7" x14ac:dyDescent="0.2">
      <c r="A525" t="s">
        <v>71</v>
      </c>
      <c r="B525" t="s">
        <v>125</v>
      </c>
      <c r="C525" t="s">
        <v>73</v>
      </c>
      <c r="D525" t="s">
        <v>74</v>
      </c>
      <c r="E525" t="s">
        <v>83</v>
      </c>
      <c r="F525" s="55">
        <v>133</v>
      </c>
      <c r="G525" s="63">
        <v>4.4999999999999997E-3</v>
      </c>
    </row>
    <row r="526" spans="1:7" x14ac:dyDescent="0.2">
      <c r="A526" t="s">
        <v>71</v>
      </c>
      <c r="B526" t="s">
        <v>125</v>
      </c>
      <c r="C526" t="s">
        <v>73</v>
      </c>
      <c r="D526" t="s">
        <v>74</v>
      </c>
      <c r="E526" t="s">
        <v>84</v>
      </c>
      <c r="F526" s="55">
        <v>93</v>
      </c>
      <c r="G526" s="63">
        <v>1.12E-2</v>
      </c>
    </row>
    <row r="527" spans="1:7" x14ac:dyDescent="0.2">
      <c r="A527" t="s">
        <v>71</v>
      </c>
      <c r="B527" t="s">
        <v>125</v>
      </c>
      <c r="C527" t="s">
        <v>73</v>
      </c>
      <c r="D527" t="s">
        <v>74</v>
      </c>
      <c r="E527" t="s">
        <v>85</v>
      </c>
      <c r="F527" s="55">
        <v>104</v>
      </c>
      <c r="G527" s="63">
        <v>1.4800000000000001E-2</v>
      </c>
    </row>
    <row r="528" spans="1:7" x14ac:dyDescent="0.2">
      <c r="A528" t="s">
        <v>71</v>
      </c>
      <c r="B528" t="s">
        <v>125</v>
      </c>
      <c r="C528" t="s">
        <v>73</v>
      </c>
      <c r="D528" t="s">
        <v>74</v>
      </c>
      <c r="E528" t="s">
        <v>86</v>
      </c>
      <c r="F528" s="55">
        <v>101</v>
      </c>
      <c r="G528" s="63">
        <v>2.4E-2</v>
      </c>
    </row>
    <row r="529" spans="1:7" x14ac:dyDescent="0.2">
      <c r="A529" t="s">
        <v>71</v>
      </c>
      <c r="B529" t="s">
        <v>125</v>
      </c>
      <c r="C529" t="s">
        <v>73</v>
      </c>
      <c r="D529" t="s">
        <v>74</v>
      </c>
      <c r="E529" t="s">
        <v>87</v>
      </c>
      <c r="F529" s="55">
        <v>100</v>
      </c>
      <c r="G529" s="63">
        <v>3.2099999999999997E-2</v>
      </c>
    </row>
    <row r="530" spans="1:7" x14ac:dyDescent="0.2">
      <c r="A530" t="s">
        <v>71</v>
      </c>
      <c r="B530" t="s">
        <v>125</v>
      </c>
      <c r="C530" t="s">
        <v>73</v>
      </c>
      <c r="D530" t="s">
        <v>74</v>
      </c>
      <c r="E530" t="s">
        <v>88</v>
      </c>
      <c r="F530" s="55">
        <v>111</v>
      </c>
      <c r="G530" s="63">
        <v>9.4999999999999998E-3</v>
      </c>
    </row>
    <row r="531" spans="1:7" x14ac:dyDescent="0.2">
      <c r="A531" t="s">
        <v>71</v>
      </c>
      <c r="B531" t="s">
        <v>10</v>
      </c>
      <c r="C531" t="s">
        <v>73</v>
      </c>
      <c r="D531" t="s">
        <v>74</v>
      </c>
      <c r="E531" t="s">
        <v>75</v>
      </c>
      <c r="F531" s="55">
        <v>99</v>
      </c>
      <c r="G531" s="63">
        <v>0.34379999999999999</v>
      </c>
    </row>
    <row r="532" spans="1:7" x14ac:dyDescent="0.2">
      <c r="A532" t="s">
        <v>71</v>
      </c>
      <c r="B532" t="s">
        <v>10</v>
      </c>
      <c r="C532" t="s">
        <v>73</v>
      </c>
      <c r="D532" t="s">
        <v>74</v>
      </c>
      <c r="E532" t="s">
        <v>76</v>
      </c>
      <c r="F532" s="55">
        <v>91</v>
      </c>
      <c r="G532" s="63">
        <v>5.4899999999999997E-2</v>
      </c>
    </row>
    <row r="533" spans="1:7" x14ac:dyDescent="0.2">
      <c r="A533" t="s">
        <v>71</v>
      </c>
      <c r="B533" t="s">
        <v>10</v>
      </c>
      <c r="C533" t="s">
        <v>73</v>
      </c>
      <c r="D533" t="s">
        <v>74</v>
      </c>
      <c r="E533" t="s">
        <v>77</v>
      </c>
      <c r="F533" s="55">
        <v>105</v>
      </c>
      <c r="G533" s="63">
        <v>0.14499999999999999</v>
      </c>
    </row>
    <row r="534" spans="1:7" x14ac:dyDescent="0.2">
      <c r="A534" t="s">
        <v>71</v>
      </c>
      <c r="B534" t="s">
        <v>10</v>
      </c>
      <c r="C534" t="s">
        <v>73</v>
      </c>
      <c r="D534" t="s">
        <v>74</v>
      </c>
      <c r="E534" t="s">
        <v>78</v>
      </c>
      <c r="F534" s="55">
        <v>96</v>
      </c>
      <c r="G534" s="63">
        <v>0.13250000000000001</v>
      </c>
    </row>
    <row r="535" spans="1:7" x14ac:dyDescent="0.2">
      <c r="A535" t="s">
        <v>71</v>
      </c>
      <c r="B535" t="s">
        <v>10</v>
      </c>
      <c r="C535" t="s">
        <v>73</v>
      </c>
      <c r="D535" t="s">
        <v>74</v>
      </c>
      <c r="E535" t="s">
        <v>79</v>
      </c>
      <c r="F535" s="55">
        <v>96</v>
      </c>
      <c r="G535" s="63">
        <v>0.24610000000000001</v>
      </c>
    </row>
    <row r="536" spans="1:7" x14ac:dyDescent="0.2">
      <c r="A536" t="s">
        <v>71</v>
      </c>
      <c r="B536" t="s">
        <v>10</v>
      </c>
      <c r="C536" t="s">
        <v>73</v>
      </c>
      <c r="D536" t="s">
        <v>74</v>
      </c>
      <c r="E536" t="s">
        <v>80</v>
      </c>
      <c r="F536" s="55">
        <v>95</v>
      </c>
      <c r="G536" s="63">
        <v>8.3400000000000002E-2</v>
      </c>
    </row>
    <row r="537" spans="1:7" x14ac:dyDescent="0.2">
      <c r="A537" t="s">
        <v>71</v>
      </c>
      <c r="B537" t="s">
        <v>10</v>
      </c>
      <c r="C537" t="s">
        <v>73</v>
      </c>
      <c r="D537" t="s">
        <v>74</v>
      </c>
      <c r="E537" t="s">
        <v>81</v>
      </c>
      <c r="F537" s="55">
        <v>91</v>
      </c>
      <c r="G537" s="63">
        <v>8.2400000000000001E-2</v>
      </c>
    </row>
    <row r="538" spans="1:7" x14ac:dyDescent="0.2">
      <c r="A538" t="s">
        <v>71</v>
      </c>
      <c r="B538" t="s">
        <v>10</v>
      </c>
      <c r="C538" t="s">
        <v>73</v>
      </c>
      <c r="D538" t="s">
        <v>74</v>
      </c>
      <c r="E538" t="s">
        <v>82</v>
      </c>
      <c r="F538" s="55">
        <v>104</v>
      </c>
      <c r="G538" s="63">
        <v>0.2127</v>
      </c>
    </row>
    <row r="539" spans="1:7" x14ac:dyDescent="0.2">
      <c r="A539" t="s">
        <v>71</v>
      </c>
      <c r="B539" t="s">
        <v>10</v>
      </c>
      <c r="C539" t="s">
        <v>73</v>
      </c>
      <c r="D539" t="s">
        <v>74</v>
      </c>
      <c r="E539" t="s">
        <v>83</v>
      </c>
      <c r="F539" s="55">
        <v>90</v>
      </c>
      <c r="G539" s="63">
        <v>3.8100000000000002E-2</v>
      </c>
    </row>
    <row r="540" spans="1:7" x14ac:dyDescent="0.2">
      <c r="A540" t="s">
        <v>71</v>
      </c>
      <c r="B540" t="s">
        <v>10</v>
      </c>
      <c r="C540" t="s">
        <v>73</v>
      </c>
      <c r="D540" t="s">
        <v>74</v>
      </c>
      <c r="E540" t="s">
        <v>84</v>
      </c>
      <c r="F540" s="55">
        <v>98</v>
      </c>
      <c r="G540" s="63">
        <v>0.1079</v>
      </c>
    </row>
    <row r="541" spans="1:7" x14ac:dyDescent="0.2">
      <c r="A541" t="s">
        <v>71</v>
      </c>
      <c r="B541" t="s">
        <v>10</v>
      </c>
      <c r="C541" t="s">
        <v>73</v>
      </c>
      <c r="D541" t="s">
        <v>74</v>
      </c>
      <c r="E541" t="s">
        <v>85</v>
      </c>
      <c r="F541" s="55">
        <v>92</v>
      </c>
      <c r="G541" s="63">
        <v>0.1011</v>
      </c>
    </row>
    <row r="542" spans="1:7" x14ac:dyDescent="0.2">
      <c r="A542" t="s">
        <v>71</v>
      </c>
      <c r="B542" t="s">
        <v>10</v>
      </c>
      <c r="C542" t="s">
        <v>73</v>
      </c>
      <c r="D542" t="s">
        <v>74</v>
      </c>
      <c r="E542" t="s">
        <v>86</v>
      </c>
      <c r="F542" s="55">
        <v>93</v>
      </c>
      <c r="G542" s="63">
        <v>0.1326</v>
      </c>
    </row>
    <row r="543" spans="1:7" x14ac:dyDescent="0.2">
      <c r="A543" t="s">
        <v>71</v>
      </c>
      <c r="B543" t="s">
        <v>10</v>
      </c>
      <c r="C543" t="s">
        <v>73</v>
      </c>
      <c r="D543" t="s">
        <v>74</v>
      </c>
      <c r="E543" t="s">
        <v>87</v>
      </c>
      <c r="F543" s="55">
        <v>97</v>
      </c>
      <c r="G543" s="63">
        <v>0.15440000000000001</v>
      </c>
    </row>
    <row r="544" spans="1:7" x14ac:dyDescent="0.2">
      <c r="A544" t="s">
        <v>71</v>
      </c>
      <c r="B544" t="s">
        <v>10</v>
      </c>
      <c r="C544" t="s">
        <v>73</v>
      </c>
      <c r="D544" t="s">
        <v>74</v>
      </c>
      <c r="E544" t="s">
        <v>88</v>
      </c>
      <c r="F544" s="55">
        <v>95</v>
      </c>
      <c r="G544" s="63">
        <v>0.10059999999999999</v>
      </c>
    </row>
    <row r="545" spans="1:7" x14ac:dyDescent="0.2">
      <c r="A545" t="s">
        <v>89</v>
      </c>
      <c r="B545" t="s">
        <v>126</v>
      </c>
      <c r="C545" t="s">
        <v>73</v>
      </c>
      <c r="D545" t="s">
        <v>91</v>
      </c>
      <c r="E545" t="s">
        <v>75</v>
      </c>
      <c r="F545" s="55">
        <v>98</v>
      </c>
      <c r="G545" s="63">
        <v>0.80310000000000004</v>
      </c>
    </row>
    <row r="546" spans="1:7" x14ac:dyDescent="0.2">
      <c r="A546" t="s">
        <v>89</v>
      </c>
      <c r="B546" t="s">
        <v>126</v>
      </c>
      <c r="C546" t="s">
        <v>73</v>
      </c>
      <c r="D546" t="s">
        <v>91</v>
      </c>
      <c r="E546" t="s">
        <v>76</v>
      </c>
      <c r="F546" s="55">
        <v>95</v>
      </c>
      <c r="G546" s="63">
        <v>0.31580000000000003</v>
      </c>
    </row>
    <row r="547" spans="1:7" x14ac:dyDescent="0.2">
      <c r="A547" t="s">
        <v>89</v>
      </c>
      <c r="B547" t="s">
        <v>126</v>
      </c>
      <c r="C547" t="s">
        <v>73</v>
      </c>
      <c r="D547" t="s">
        <v>91</v>
      </c>
      <c r="E547" t="s">
        <v>77</v>
      </c>
      <c r="F547" s="55">
        <v>98</v>
      </c>
      <c r="G547" s="63">
        <v>0.47270000000000001</v>
      </c>
    </row>
    <row r="548" spans="1:7" x14ac:dyDescent="0.2">
      <c r="A548" t="s">
        <v>89</v>
      </c>
      <c r="B548" t="s">
        <v>126</v>
      </c>
      <c r="C548" t="s">
        <v>73</v>
      </c>
      <c r="D548" t="s">
        <v>91</v>
      </c>
      <c r="E548" t="s">
        <v>78</v>
      </c>
      <c r="F548" s="55">
        <v>102</v>
      </c>
      <c r="G548" s="63">
        <v>0.4531</v>
      </c>
    </row>
    <row r="549" spans="1:7" x14ac:dyDescent="0.2">
      <c r="A549" t="s">
        <v>89</v>
      </c>
      <c r="B549" t="s">
        <v>126</v>
      </c>
      <c r="C549" t="s">
        <v>73</v>
      </c>
      <c r="D549" t="s">
        <v>91</v>
      </c>
      <c r="E549" t="s">
        <v>79</v>
      </c>
      <c r="F549" s="55">
        <v>101</v>
      </c>
      <c r="G549" s="63">
        <v>0.6875</v>
      </c>
    </row>
    <row r="550" spans="1:7" x14ac:dyDescent="0.2">
      <c r="A550" t="s">
        <v>89</v>
      </c>
      <c r="B550" t="s">
        <v>126</v>
      </c>
      <c r="C550" t="s">
        <v>73</v>
      </c>
      <c r="D550" t="s">
        <v>91</v>
      </c>
      <c r="E550" t="s">
        <v>80</v>
      </c>
      <c r="F550" s="55">
        <v>97</v>
      </c>
      <c r="G550" s="63">
        <v>0.2722</v>
      </c>
    </row>
    <row r="551" spans="1:7" x14ac:dyDescent="0.2">
      <c r="A551" t="s">
        <v>89</v>
      </c>
      <c r="B551" t="s">
        <v>126</v>
      </c>
      <c r="C551" t="s">
        <v>73</v>
      </c>
      <c r="D551" t="s">
        <v>91</v>
      </c>
      <c r="E551" t="s">
        <v>81</v>
      </c>
      <c r="F551" s="55">
        <v>87</v>
      </c>
      <c r="G551" s="63">
        <v>0.29470000000000002</v>
      </c>
    </row>
    <row r="552" spans="1:7" x14ac:dyDescent="0.2">
      <c r="A552" t="s">
        <v>89</v>
      </c>
      <c r="B552" t="s">
        <v>126</v>
      </c>
      <c r="C552" t="s">
        <v>73</v>
      </c>
      <c r="D552" t="s">
        <v>91</v>
      </c>
      <c r="E552" t="s">
        <v>82</v>
      </c>
      <c r="F552" s="55">
        <v>104</v>
      </c>
      <c r="G552" s="63">
        <v>0.58950000000000002</v>
      </c>
    </row>
    <row r="553" spans="1:7" x14ac:dyDescent="0.2">
      <c r="A553" t="s">
        <v>89</v>
      </c>
      <c r="B553" t="s">
        <v>126</v>
      </c>
      <c r="C553" t="s">
        <v>73</v>
      </c>
      <c r="D553" t="s">
        <v>91</v>
      </c>
      <c r="E553" t="s">
        <v>83</v>
      </c>
      <c r="F553" s="55">
        <v>88</v>
      </c>
      <c r="G553" s="63">
        <v>0.22550000000000001</v>
      </c>
    </row>
    <row r="554" spans="1:7" x14ac:dyDescent="0.2">
      <c r="A554" t="s">
        <v>89</v>
      </c>
      <c r="B554" t="s">
        <v>126</v>
      </c>
      <c r="C554" t="s">
        <v>73</v>
      </c>
      <c r="D554" t="s">
        <v>91</v>
      </c>
      <c r="E554" t="s">
        <v>84</v>
      </c>
      <c r="F554" s="55">
        <v>101</v>
      </c>
      <c r="G554" s="63">
        <v>0.39129999999999998</v>
      </c>
    </row>
    <row r="555" spans="1:7" x14ac:dyDescent="0.2">
      <c r="A555" t="s">
        <v>89</v>
      </c>
      <c r="B555" t="s">
        <v>126</v>
      </c>
      <c r="C555" t="s">
        <v>73</v>
      </c>
      <c r="D555" t="s">
        <v>91</v>
      </c>
      <c r="E555" t="s">
        <v>85</v>
      </c>
      <c r="F555" s="55">
        <v>101</v>
      </c>
      <c r="G555" s="63">
        <v>0.36969999999999997</v>
      </c>
    </row>
    <row r="556" spans="1:7" x14ac:dyDescent="0.2">
      <c r="A556" t="s">
        <v>89</v>
      </c>
      <c r="B556" t="s">
        <v>126</v>
      </c>
      <c r="C556" t="s">
        <v>73</v>
      </c>
      <c r="D556" t="s">
        <v>91</v>
      </c>
      <c r="E556" t="s">
        <v>86</v>
      </c>
      <c r="F556" s="55">
        <v>101</v>
      </c>
      <c r="G556" s="63">
        <v>0.47010000000000002</v>
      </c>
    </row>
    <row r="557" spans="1:7" x14ac:dyDescent="0.2">
      <c r="A557" t="s">
        <v>89</v>
      </c>
      <c r="B557" t="s">
        <v>126</v>
      </c>
      <c r="C557" t="s">
        <v>73</v>
      </c>
      <c r="D557" t="s">
        <v>91</v>
      </c>
      <c r="E557" t="s">
        <v>87</v>
      </c>
      <c r="F557" s="55">
        <v>100</v>
      </c>
      <c r="G557" s="63">
        <v>0.46360000000000001</v>
      </c>
    </row>
    <row r="558" spans="1:7" x14ac:dyDescent="0.2">
      <c r="A558" t="s">
        <v>89</v>
      </c>
      <c r="B558" t="s">
        <v>126</v>
      </c>
      <c r="C558" t="s">
        <v>73</v>
      </c>
      <c r="D558" t="s">
        <v>91</v>
      </c>
      <c r="E558" t="s">
        <v>88</v>
      </c>
      <c r="F558" s="55">
        <v>94</v>
      </c>
      <c r="G558" s="63">
        <v>0.3911</v>
      </c>
    </row>
    <row r="559" spans="1:7" x14ac:dyDescent="0.2">
      <c r="A559" t="s">
        <v>89</v>
      </c>
      <c r="B559" t="s">
        <v>127</v>
      </c>
      <c r="C559" t="s">
        <v>73</v>
      </c>
      <c r="D559" t="s">
        <v>74</v>
      </c>
      <c r="E559" t="s">
        <v>75</v>
      </c>
      <c r="F559" s="55">
        <v>113</v>
      </c>
      <c r="G559" s="63">
        <v>0.27150000000000002</v>
      </c>
    </row>
    <row r="560" spans="1:7" x14ac:dyDescent="0.2">
      <c r="A560" t="s">
        <v>89</v>
      </c>
      <c r="B560" t="s">
        <v>127</v>
      </c>
      <c r="C560" t="s">
        <v>73</v>
      </c>
      <c r="D560" t="s">
        <v>74</v>
      </c>
      <c r="E560" t="s">
        <v>76</v>
      </c>
      <c r="F560" s="55">
        <v>108</v>
      </c>
      <c r="G560" s="63">
        <v>5.79E-2</v>
      </c>
    </row>
    <row r="561" spans="1:7" x14ac:dyDescent="0.2">
      <c r="A561" t="s">
        <v>89</v>
      </c>
      <c r="B561" t="s">
        <v>127</v>
      </c>
      <c r="C561" t="s">
        <v>73</v>
      </c>
      <c r="D561" t="s">
        <v>74</v>
      </c>
      <c r="E561" t="s">
        <v>77</v>
      </c>
      <c r="F561" s="55">
        <v>115</v>
      </c>
      <c r="G561" s="63">
        <v>0.1096</v>
      </c>
    </row>
    <row r="562" spans="1:7" x14ac:dyDescent="0.2">
      <c r="A562" t="s">
        <v>89</v>
      </c>
      <c r="B562" t="s">
        <v>127</v>
      </c>
      <c r="C562" t="s">
        <v>73</v>
      </c>
      <c r="D562" t="s">
        <v>74</v>
      </c>
      <c r="E562" t="s">
        <v>78</v>
      </c>
      <c r="F562" s="55">
        <v>124</v>
      </c>
      <c r="G562" s="63">
        <v>8.5900000000000004E-2</v>
      </c>
    </row>
    <row r="563" spans="1:7" x14ac:dyDescent="0.2">
      <c r="A563" t="s">
        <v>89</v>
      </c>
      <c r="B563" t="s">
        <v>127</v>
      </c>
      <c r="C563" t="s">
        <v>73</v>
      </c>
      <c r="D563" t="s">
        <v>74</v>
      </c>
      <c r="E563" t="s">
        <v>79</v>
      </c>
      <c r="F563" s="55">
        <v>109</v>
      </c>
      <c r="G563" s="63">
        <v>0.1764</v>
      </c>
    </row>
    <row r="564" spans="1:7" x14ac:dyDescent="0.2">
      <c r="A564" t="s">
        <v>89</v>
      </c>
      <c r="B564" t="s">
        <v>127</v>
      </c>
      <c r="C564" t="s">
        <v>73</v>
      </c>
      <c r="D564" t="s">
        <v>74</v>
      </c>
      <c r="E564" t="s">
        <v>80</v>
      </c>
      <c r="F564" s="55">
        <v>104</v>
      </c>
      <c r="G564" s="63">
        <v>4.6399999999999997E-2</v>
      </c>
    </row>
    <row r="565" spans="1:7" x14ac:dyDescent="0.2">
      <c r="A565" t="s">
        <v>89</v>
      </c>
      <c r="B565" t="s">
        <v>127</v>
      </c>
      <c r="C565" t="s">
        <v>73</v>
      </c>
      <c r="D565" t="s">
        <v>74</v>
      </c>
      <c r="E565" t="s">
        <v>81</v>
      </c>
      <c r="F565" s="55">
        <v>100</v>
      </c>
      <c r="G565" s="63">
        <v>5.5E-2</v>
      </c>
    </row>
    <row r="566" spans="1:7" x14ac:dyDescent="0.2">
      <c r="A566" t="s">
        <v>89</v>
      </c>
      <c r="B566" t="s">
        <v>127</v>
      </c>
      <c r="C566" t="s">
        <v>73</v>
      </c>
      <c r="D566" t="s">
        <v>74</v>
      </c>
      <c r="E566" t="s">
        <v>82</v>
      </c>
      <c r="F566" s="55">
        <v>97</v>
      </c>
      <c r="G566" s="63">
        <v>0.11890000000000001</v>
      </c>
    </row>
    <row r="567" spans="1:7" x14ac:dyDescent="0.2">
      <c r="A567" t="s">
        <v>89</v>
      </c>
      <c r="B567" t="s">
        <v>127</v>
      </c>
      <c r="C567" t="s">
        <v>73</v>
      </c>
      <c r="D567" t="s">
        <v>74</v>
      </c>
      <c r="E567" t="s">
        <v>83</v>
      </c>
      <c r="F567" s="55">
        <v>105</v>
      </c>
      <c r="G567" s="63">
        <v>3.6400000000000002E-2</v>
      </c>
    </row>
    <row r="568" spans="1:7" x14ac:dyDescent="0.2">
      <c r="A568" t="s">
        <v>89</v>
      </c>
      <c r="B568" t="s">
        <v>127</v>
      </c>
      <c r="C568" t="s">
        <v>73</v>
      </c>
      <c r="D568" t="s">
        <v>74</v>
      </c>
      <c r="E568" t="s">
        <v>84</v>
      </c>
      <c r="F568" s="55">
        <v>125</v>
      </c>
      <c r="G568" s="63">
        <v>7.2599999999999998E-2</v>
      </c>
    </row>
    <row r="569" spans="1:7" x14ac:dyDescent="0.2">
      <c r="A569" t="s">
        <v>89</v>
      </c>
      <c r="B569" t="s">
        <v>127</v>
      </c>
      <c r="C569" t="s">
        <v>73</v>
      </c>
      <c r="D569" t="s">
        <v>74</v>
      </c>
      <c r="E569" t="s">
        <v>85</v>
      </c>
      <c r="F569" s="55">
        <v>107</v>
      </c>
      <c r="G569" s="63">
        <v>5.7000000000000002E-2</v>
      </c>
    </row>
    <row r="570" spans="1:7" x14ac:dyDescent="0.2">
      <c r="A570" t="s">
        <v>89</v>
      </c>
      <c r="B570" t="s">
        <v>127</v>
      </c>
      <c r="C570" t="s">
        <v>73</v>
      </c>
      <c r="D570" t="s">
        <v>74</v>
      </c>
      <c r="E570" t="s">
        <v>86</v>
      </c>
      <c r="F570" s="55">
        <v>106</v>
      </c>
      <c r="G570" s="63">
        <v>7.4200000000000002E-2</v>
      </c>
    </row>
    <row r="571" spans="1:7" x14ac:dyDescent="0.2">
      <c r="A571" t="s">
        <v>89</v>
      </c>
      <c r="B571" t="s">
        <v>127</v>
      </c>
      <c r="C571" t="s">
        <v>73</v>
      </c>
      <c r="D571" t="s">
        <v>74</v>
      </c>
      <c r="E571" t="s">
        <v>87</v>
      </c>
      <c r="F571" s="55">
        <v>108</v>
      </c>
      <c r="G571" s="63">
        <v>8.7999999999999995E-2</v>
      </c>
    </row>
    <row r="572" spans="1:7" x14ac:dyDescent="0.2">
      <c r="A572" t="s">
        <v>89</v>
      </c>
      <c r="B572" t="s">
        <v>127</v>
      </c>
      <c r="C572" t="s">
        <v>73</v>
      </c>
      <c r="D572" t="s">
        <v>74</v>
      </c>
      <c r="E572" t="s">
        <v>88</v>
      </c>
      <c r="F572" s="55">
        <v>107</v>
      </c>
      <c r="G572" s="63">
        <v>7.9500000000000001E-2</v>
      </c>
    </row>
    <row r="573" spans="1:7" x14ac:dyDescent="0.2">
      <c r="A573" t="s">
        <v>71</v>
      </c>
      <c r="B573" t="s">
        <v>11</v>
      </c>
      <c r="C573" t="s">
        <v>73</v>
      </c>
      <c r="D573" t="s">
        <v>74</v>
      </c>
      <c r="E573" t="s">
        <v>75</v>
      </c>
      <c r="F573" s="55">
        <v>89</v>
      </c>
      <c r="G573" s="63">
        <v>0.42220000000000002</v>
      </c>
    </row>
    <row r="574" spans="1:7" x14ac:dyDescent="0.2">
      <c r="A574" t="s">
        <v>71</v>
      </c>
      <c r="B574" t="s">
        <v>11</v>
      </c>
      <c r="C574" t="s">
        <v>73</v>
      </c>
      <c r="D574" t="s">
        <v>74</v>
      </c>
      <c r="E574" t="s">
        <v>76</v>
      </c>
      <c r="F574" s="55">
        <v>92</v>
      </c>
      <c r="G574" s="63">
        <v>5.6899999999999999E-2</v>
      </c>
    </row>
    <row r="575" spans="1:7" x14ac:dyDescent="0.2">
      <c r="A575" t="s">
        <v>71</v>
      </c>
      <c r="B575" t="s">
        <v>11</v>
      </c>
      <c r="C575" t="s">
        <v>73</v>
      </c>
      <c r="D575" t="s">
        <v>74</v>
      </c>
      <c r="E575" t="s">
        <v>77</v>
      </c>
      <c r="F575" s="55">
        <v>94</v>
      </c>
      <c r="G575" s="63">
        <v>0.18060000000000001</v>
      </c>
    </row>
    <row r="576" spans="1:7" x14ac:dyDescent="0.2">
      <c r="A576" t="s">
        <v>71</v>
      </c>
      <c r="B576" t="s">
        <v>11</v>
      </c>
      <c r="C576" t="s">
        <v>73</v>
      </c>
      <c r="D576" t="s">
        <v>74</v>
      </c>
      <c r="E576" t="s">
        <v>78</v>
      </c>
      <c r="F576" s="55">
        <v>91</v>
      </c>
      <c r="G576" s="63">
        <v>0.1479</v>
      </c>
    </row>
    <row r="577" spans="1:7" x14ac:dyDescent="0.2">
      <c r="A577" t="s">
        <v>71</v>
      </c>
      <c r="B577" t="s">
        <v>11</v>
      </c>
      <c r="C577" t="s">
        <v>73</v>
      </c>
      <c r="D577" t="s">
        <v>74</v>
      </c>
      <c r="E577" t="s">
        <v>79</v>
      </c>
      <c r="F577" s="55">
        <v>88</v>
      </c>
      <c r="G577" s="63">
        <v>0.30709999999999998</v>
      </c>
    </row>
    <row r="578" spans="1:7" x14ac:dyDescent="0.2">
      <c r="A578" t="s">
        <v>71</v>
      </c>
      <c r="B578" t="s">
        <v>11</v>
      </c>
      <c r="C578" t="s">
        <v>73</v>
      </c>
      <c r="D578" t="s">
        <v>74</v>
      </c>
      <c r="E578" t="s">
        <v>80</v>
      </c>
      <c r="F578" s="55">
        <v>85</v>
      </c>
      <c r="G578" s="63">
        <v>9.6100000000000005E-2</v>
      </c>
    </row>
    <row r="579" spans="1:7" x14ac:dyDescent="0.2">
      <c r="A579" t="s">
        <v>71</v>
      </c>
      <c r="B579" t="s">
        <v>11</v>
      </c>
      <c r="C579" t="s">
        <v>73</v>
      </c>
      <c r="D579" t="s">
        <v>74</v>
      </c>
      <c r="E579" t="s">
        <v>81</v>
      </c>
      <c r="F579" s="55">
        <v>84</v>
      </c>
      <c r="G579" s="63">
        <v>9.06E-2</v>
      </c>
    </row>
    <row r="580" spans="1:7" x14ac:dyDescent="0.2">
      <c r="A580" t="s">
        <v>71</v>
      </c>
      <c r="B580" t="s">
        <v>11</v>
      </c>
      <c r="C580" t="s">
        <v>73</v>
      </c>
      <c r="D580" t="s">
        <v>74</v>
      </c>
      <c r="E580" t="s">
        <v>82</v>
      </c>
      <c r="F580" s="55">
        <v>90</v>
      </c>
      <c r="G580" s="63">
        <v>0.22420000000000001</v>
      </c>
    </row>
    <row r="581" spans="1:7" x14ac:dyDescent="0.2">
      <c r="A581" t="s">
        <v>71</v>
      </c>
      <c r="B581" t="s">
        <v>11</v>
      </c>
      <c r="C581" t="s">
        <v>73</v>
      </c>
      <c r="D581" t="s">
        <v>74</v>
      </c>
      <c r="E581" t="s">
        <v>83</v>
      </c>
      <c r="F581" s="55">
        <v>83</v>
      </c>
      <c r="G581" s="63">
        <v>2.98E-2</v>
      </c>
    </row>
    <row r="582" spans="1:7" x14ac:dyDescent="0.2">
      <c r="A582" t="s">
        <v>71</v>
      </c>
      <c r="B582" t="s">
        <v>11</v>
      </c>
      <c r="C582" t="s">
        <v>73</v>
      </c>
      <c r="D582" t="s">
        <v>74</v>
      </c>
      <c r="E582" t="s">
        <v>84</v>
      </c>
      <c r="F582" s="55">
        <v>93</v>
      </c>
      <c r="G582" s="63">
        <v>0.1159</v>
      </c>
    </row>
    <row r="583" spans="1:7" x14ac:dyDescent="0.2">
      <c r="A583" t="s">
        <v>71</v>
      </c>
      <c r="B583" t="s">
        <v>11</v>
      </c>
      <c r="C583" t="s">
        <v>73</v>
      </c>
      <c r="D583" t="s">
        <v>74</v>
      </c>
      <c r="E583" t="s">
        <v>85</v>
      </c>
      <c r="F583" s="55">
        <v>87</v>
      </c>
      <c r="G583" s="63">
        <v>0.11700000000000001</v>
      </c>
    </row>
    <row r="584" spans="1:7" x14ac:dyDescent="0.2">
      <c r="A584" t="s">
        <v>71</v>
      </c>
      <c r="B584" t="s">
        <v>11</v>
      </c>
      <c r="C584" t="s">
        <v>73</v>
      </c>
      <c r="D584" t="s">
        <v>74</v>
      </c>
      <c r="E584" t="s">
        <v>86</v>
      </c>
      <c r="F584" s="55">
        <v>88</v>
      </c>
      <c r="G584" s="63">
        <v>0.1542</v>
      </c>
    </row>
    <row r="585" spans="1:7" x14ac:dyDescent="0.2">
      <c r="A585" t="s">
        <v>71</v>
      </c>
      <c r="B585" t="s">
        <v>11</v>
      </c>
      <c r="C585" t="s">
        <v>73</v>
      </c>
      <c r="D585" t="s">
        <v>74</v>
      </c>
      <c r="E585" t="s">
        <v>87</v>
      </c>
      <c r="F585" s="55">
        <v>88</v>
      </c>
      <c r="G585" s="63">
        <v>0.17680000000000001</v>
      </c>
    </row>
    <row r="586" spans="1:7" x14ac:dyDescent="0.2">
      <c r="A586" t="s">
        <v>71</v>
      </c>
      <c r="B586" t="s">
        <v>11</v>
      </c>
      <c r="C586" t="s">
        <v>73</v>
      </c>
      <c r="D586" t="s">
        <v>74</v>
      </c>
      <c r="E586" t="s">
        <v>88</v>
      </c>
      <c r="F586" s="55">
        <v>91</v>
      </c>
      <c r="G586" s="63">
        <v>9.0700000000000003E-2</v>
      </c>
    </row>
    <row r="587" spans="1:7" x14ac:dyDescent="0.2">
      <c r="A587" t="s">
        <v>89</v>
      </c>
      <c r="B587" t="s">
        <v>128</v>
      </c>
      <c r="C587" t="s">
        <v>73</v>
      </c>
      <c r="D587" t="s">
        <v>74</v>
      </c>
      <c r="E587" t="s">
        <v>75</v>
      </c>
      <c r="F587" s="55">
        <v>21</v>
      </c>
      <c r="G587" s="63">
        <v>4.3E-3</v>
      </c>
    </row>
    <row r="588" spans="1:7" x14ac:dyDescent="0.2">
      <c r="A588" t="s">
        <v>89</v>
      </c>
      <c r="B588" t="s">
        <v>128</v>
      </c>
      <c r="C588" t="s">
        <v>73</v>
      </c>
      <c r="D588" t="s">
        <v>74</v>
      </c>
      <c r="E588" t="s">
        <v>79</v>
      </c>
      <c r="F588" s="55">
        <v>16</v>
      </c>
      <c r="G588" s="63">
        <v>2E-3</v>
      </c>
    </row>
    <row r="589" spans="1:7" x14ac:dyDescent="0.2">
      <c r="A589" t="s">
        <v>89</v>
      </c>
      <c r="B589" t="s">
        <v>128</v>
      </c>
      <c r="C589" t="s">
        <v>73</v>
      </c>
      <c r="D589" t="s">
        <v>74</v>
      </c>
      <c r="E589" t="s">
        <v>82</v>
      </c>
      <c r="F589" s="55">
        <v>31</v>
      </c>
      <c r="G589" s="63">
        <v>1.6000000000000001E-3</v>
      </c>
    </row>
    <row r="590" spans="1:7" x14ac:dyDescent="0.2">
      <c r="A590" t="s">
        <v>71</v>
      </c>
      <c r="B590" t="s">
        <v>129</v>
      </c>
      <c r="C590" t="s">
        <v>73</v>
      </c>
      <c r="D590" t="s">
        <v>74</v>
      </c>
      <c r="E590" t="s">
        <v>75</v>
      </c>
      <c r="F590" s="55">
        <v>116</v>
      </c>
      <c r="G590" s="63">
        <v>0.53100000000000003</v>
      </c>
    </row>
    <row r="591" spans="1:7" x14ac:dyDescent="0.2">
      <c r="A591" t="s">
        <v>71</v>
      </c>
      <c r="B591" t="s">
        <v>129</v>
      </c>
      <c r="C591" t="s">
        <v>73</v>
      </c>
      <c r="D591" t="s">
        <v>74</v>
      </c>
      <c r="E591" t="s">
        <v>76</v>
      </c>
      <c r="F591" s="55">
        <v>114</v>
      </c>
      <c r="G591" s="63">
        <v>0.25009999999999999</v>
      </c>
    </row>
    <row r="592" spans="1:7" x14ac:dyDescent="0.2">
      <c r="A592" t="s">
        <v>71</v>
      </c>
      <c r="B592" t="s">
        <v>129</v>
      </c>
      <c r="C592" t="s">
        <v>73</v>
      </c>
      <c r="D592" t="s">
        <v>74</v>
      </c>
      <c r="E592" t="s">
        <v>77</v>
      </c>
      <c r="F592" s="55">
        <v>118</v>
      </c>
      <c r="G592" s="63">
        <v>0.3594</v>
      </c>
    </row>
    <row r="593" spans="1:7" x14ac:dyDescent="0.2">
      <c r="A593" t="s">
        <v>71</v>
      </c>
      <c r="B593" t="s">
        <v>129</v>
      </c>
      <c r="C593" t="s">
        <v>73</v>
      </c>
      <c r="D593" t="s">
        <v>74</v>
      </c>
      <c r="E593" t="s">
        <v>78</v>
      </c>
      <c r="F593" s="55">
        <v>118</v>
      </c>
      <c r="G593" s="63">
        <v>0.34110000000000001</v>
      </c>
    </row>
    <row r="594" spans="1:7" x14ac:dyDescent="0.2">
      <c r="A594" t="s">
        <v>71</v>
      </c>
      <c r="B594" t="s">
        <v>129</v>
      </c>
      <c r="C594" t="s">
        <v>73</v>
      </c>
      <c r="D594" t="s">
        <v>74</v>
      </c>
      <c r="E594" t="s">
        <v>79</v>
      </c>
      <c r="F594" s="55">
        <v>115</v>
      </c>
      <c r="G594" s="63">
        <v>0.42859999999999998</v>
      </c>
    </row>
    <row r="595" spans="1:7" x14ac:dyDescent="0.2">
      <c r="A595" t="s">
        <v>71</v>
      </c>
      <c r="B595" t="s">
        <v>129</v>
      </c>
      <c r="C595" t="s">
        <v>73</v>
      </c>
      <c r="D595" t="s">
        <v>74</v>
      </c>
      <c r="E595" t="s">
        <v>80</v>
      </c>
      <c r="F595" s="55">
        <v>116</v>
      </c>
      <c r="G595" s="63">
        <v>0.2064</v>
      </c>
    </row>
    <row r="596" spans="1:7" x14ac:dyDescent="0.2">
      <c r="A596" t="s">
        <v>71</v>
      </c>
      <c r="B596" t="s">
        <v>129</v>
      </c>
      <c r="C596" t="s">
        <v>73</v>
      </c>
      <c r="D596" t="s">
        <v>74</v>
      </c>
      <c r="E596" t="s">
        <v>81</v>
      </c>
      <c r="F596" s="55">
        <v>113</v>
      </c>
      <c r="G596" s="63">
        <v>0.217</v>
      </c>
    </row>
    <row r="597" spans="1:7" x14ac:dyDescent="0.2">
      <c r="A597" t="s">
        <v>71</v>
      </c>
      <c r="B597" t="s">
        <v>129</v>
      </c>
      <c r="C597" t="s">
        <v>73</v>
      </c>
      <c r="D597" t="s">
        <v>74</v>
      </c>
      <c r="E597" t="s">
        <v>82</v>
      </c>
      <c r="F597" s="55">
        <v>115</v>
      </c>
      <c r="G597" s="63">
        <v>0.41260000000000002</v>
      </c>
    </row>
    <row r="598" spans="1:7" x14ac:dyDescent="0.2">
      <c r="A598" t="s">
        <v>71</v>
      </c>
      <c r="B598" t="s">
        <v>129</v>
      </c>
      <c r="C598" t="s">
        <v>73</v>
      </c>
      <c r="D598" t="s">
        <v>74</v>
      </c>
      <c r="E598" t="s">
        <v>83</v>
      </c>
      <c r="F598" s="55">
        <v>111</v>
      </c>
      <c r="G598" s="63">
        <v>0.16650000000000001</v>
      </c>
    </row>
    <row r="599" spans="1:7" x14ac:dyDescent="0.2">
      <c r="A599" t="s">
        <v>71</v>
      </c>
      <c r="B599" t="s">
        <v>129</v>
      </c>
      <c r="C599" t="s">
        <v>73</v>
      </c>
      <c r="D599" t="s">
        <v>74</v>
      </c>
      <c r="E599" t="s">
        <v>84</v>
      </c>
      <c r="F599" s="55">
        <v>119</v>
      </c>
      <c r="G599" s="63">
        <v>0.313</v>
      </c>
    </row>
    <row r="600" spans="1:7" x14ac:dyDescent="0.2">
      <c r="A600" t="s">
        <v>71</v>
      </c>
      <c r="B600" t="s">
        <v>129</v>
      </c>
      <c r="C600" t="s">
        <v>73</v>
      </c>
      <c r="D600" t="s">
        <v>74</v>
      </c>
      <c r="E600" t="s">
        <v>85</v>
      </c>
      <c r="F600" s="55">
        <v>114</v>
      </c>
      <c r="G600" s="63">
        <v>0.27460000000000001</v>
      </c>
    </row>
    <row r="601" spans="1:7" x14ac:dyDescent="0.2">
      <c r="A601" t="s">
        <v>71</v>
      </c>
      <c r="B601" t="s">
        <v>129</v>
      </c>
      <c r="C601" t="s">
        <v>73</v>
      </c>
      <c r="D601" t="s">
        <v>74</v>
      </c>
      <c r="E601" t="s">
        <v>86</v>
      </c>
      <c r="F601" s="55">
        <v>115</v>
      </c>
      <c r="G601" s="63">
        <v>0.31869999999999998</v>
      </c>
    </row>
    <row r="602" spans="1:7" x14ac:dyDescent="0.2">
      <c r="A602" t="s">
        <v>71</v>
      </c>
      <c r="B602" t="s">
        <v>129</v>
      </c>
      <c r="C602" t="s">
        <v>73</v>
      </c>
      <c r="D602" t="s">
        <v>74</v>
      </c>
      <c r="E602" t="s">
        <v>87</v>
      </c>
      <c r="F602" s="55">
        <v>116</v>
      </c>
      <c r="G602" s="63">
        <v>0.33910000000000001</v>
      </c>
    </row>
    <row r="603" spans="1:7" x14ac:dyDescent="0.2">
      <c r="A603" t="s">
        <v>71</v>
      </c>
      <c r="B603" t="s">
        <v>129</v>
      </c>
      <c r="C603" t="s">
        <v>73</v>
      </c>
      <c r="D603" t="s">
        <v>74</v>
      </c>
      <c r="E603" t="s">
        <v>88</v>
      </c>
      <c r="F603" s="55">
        <v>114</v>
      </c>
      <c r="G603" s="63">
        <v>0.29920000000000002</v>
      </c>
    </row>
    <row r="604" spans="1:7" x14ac:dyDescent="0.2">
      <c r="A604" t="s">
        <v>89</v>
      </c>
      <c r="B604" t="s">
        <v>130</v>
      </c>
      <c r="C604" t="s">
        <v>73</v>
      </c>
      <c r="D604" t="s">
        <v>74</v>
      </c>
      <c r="E604" t="s">
        <v>75</v>
      </c>
      <c r="F604" s="55">
        <v>125</v>
      </c>
      <c r="G604" s="63">
        <v>2.9899999999999999E-2</v>
      </c>
    </row>
    <row r="605" spans="1:7" x14ac:dyDescent="0.2">
      <c r="A605" t="s">
        <v>89</v>
      </c>
      <c r="B605" t="s">
        <v>130</v>
      </c>
      <c r="C605" t="s">
        <v>73</v>
      </c>
      <c r="D605" t="s">
        <v>74</v>
      </c>
      <c r="E605" t="s">
        <v>76</v>
      </c>
      <c r="F605" s="55">
        <v>151</v>
      </c>
      <c r="G605" s="63">
        <v>2.3999999999999998E-3</v>
      </c>
    </row>
    <row r="606" spans="1:7" x14ac:dyDescent="0.2">
      <c r="A606" t="s">
        <v>89</v>
      </c>
      <c r="B606" t="s">
        <v>130</v>
      </c>
      <c r="C606" t="s">
        <v>73</v>
      </c>
      <c r="D606" t="s">
        <v>74</v>
      </c>
      <c r="E606" t="s">
        <v>77</v>
      </c>
      <c r="F606" s="55">
        <v>123</v>
      </c>
      <c r="G606" s="63">
        <v>1.09E-2</v>
      </c>
    </row>
    <row r="607" spans="1:7" x14ac:dyDescent="0.2">
      <c r="A607" t="s">
        <v>89</v>
      </c>
      <c r="B607" t="s">
        <v>130</v>
      </c>
      <c r="C607" t="s">
        <v>73</v>
      </c>
      <c r="D607" t="s">
        <v>74</v>
      </c>
      <c r="E607" t="s">
        <v>78</v>
      </c>
      <c r="F607" s="55">
        <v>129</v>
      </c>
      <c r="G607" s="63">
        <v>7.7999999999999996E-3</v>
      </c>
    </row>
    <row r="608" spans="1:7" x14ac:dyDescent="0.2">
      <c r="A608" t="s">
        <v>89</v>
      </c>
      <c r="B608" t="s">
        <v>130</v>
      </c>
      <c r="C608" t="s">
        <v>73</v>
      </c>
      <c r="D608" t="s">
        <v>74</v>
      </c>
      <c r="E608" t="s">
        <v>79</v>
      </c>
      <c r="F608" s="55">
        <v>130</v>
      </c>
      <c r="G608" s="63">
        <v>1.8499999999999999E-2</v>
      </c>
    </row>
    <row r="609" spans="1:7" x14ac:dyDescent="0.2">
      <c r="A609" t="s">
        <v>89</v>
      </c>
      <c r="B609" t="s">
        <v>130</v>
      </c>
      <c r="C609" t="s">
        <v>73</v>
      </c>
      <c r="D609" t="s">
        <v>74</v>
      </c>
      <c r="E609" t="s">
        <v>80</v>
      </c>
      <c r="F609" s="55">
        <v>133</v>
      </c>
      <c r="G609" s="63">
        <v>2.8999999999999998E-3</v>
      </c>
    </row>
    <row r="610" spans="1:7" x14ac:dyDescent="0.2">
      <c r="A610" t="s">
        <v>89</v>
      </c>
      <c r="B610" t="s">
        <v>130</v>
      </c>
      <c r="C610" t="s">
        <v>73</v>
      </c>
      <c r="D610" t="s">
        <v>74</v>
      </c>
      <c r="E610" t="s">
        <v>81</v>
      </c>
      <c r="F610" s="55">
        <v>142</v>
      </c>
      <c r="G610" s="63">
        <v>2.8E-3</v>
      </c>
    </row>
    <row r="611" spans="1:7" x14ac:dyDescent="0.2">
      <c r="A611" t="s">
        <v>89</v>
      </c>
      <c r="B611" t="s">
        <v>130</v>
      </c>
      <c r="C611" t="s">
        <v>73</v>
      </c>
      <c r="D611" t="s">
        <v>74</v>
      </c>
      <c r="E611" t="s">
        <v>82</v>
      </c>
      <c r="F611" s="55">
        <v>110</v>
      </c>
      <c r="G611" s="63">
        <v>1.44E-2</v>
      </c>
    </row>
    <row r="612" spans="1:7" x14ac:dyDescent="0.2">
      <c r="A612" t="s">
        <v>89</v>
      </c>
      <c r="B612" t="s">
        <v>130</v>
      </c>
      <c r="C612" t="s">
        <v>73</v>
      </c>
      <c r="D612" t="s">
        <v>74</v>
      </c>
      <c r="E612" t="s">
        <v>83</v>
      </c>
      <c r="F612" s="55">
        <v>155</v>
      </c>
      <c r="G612" s="63">
        <v>1.4E-3</v>
      </c>
    </row>
    <row r="613" spans="1:7" x14ac:dyDescent="0.2">
      <c r="A613" t="s">
        <v>89</v>
      </c>
      <c r="B613" t="s">
        <v>130</v>
      </c>
      <c r="C613" t="s">
        <v>73</v>
      </c>
      <c r="D613" t="s">
        <v>74</v>
      </c>
      <c r="E613" t="s">
        <v>84</v>
      </c>
      <c r="F613" s="55">
        <v>132</v>
      </c>
      <c r="G613" s="63">
        <v>6.0000000000000001E-3</v>
      </c>
    </row>
    <row r="614" spans="1:7" x14ac:dyDescent="0.2">
      <c r="A614" t="s">
        <v>89</v>
      </c>
      <c r="B614" t="s">
        <v>130</v>
      </c>
      <c r="C614" t="s">
        <v>73</v>
      </c>
      <c r="D614" t="s">
        <v>74</v>
      </c>
      <c r="E614" t="s">
        <v>85</v>
      </c>
      <c r="F614" s="55">
        <v>131</v>
      </c>
      <c r="G614" s="63">
        <v>3.7000000000000002E-3</v>
      </c>
    </row>
    <row r="615" spans="1:7" x14ac:dyDescent="0.2">
      <c r="A615" t="s">
        <v>89</v>
      </c>
      <c r="B615" t="s">
        <v>130</v>
      </c>
      <c r="C615" t="s">
        <v>73</v>
      </c>
      <c r="D615" t="s">
        <v>74</v>
      </c>
      <c r="E615" t="s">
        <v>86</v>
      </c>
      <c r="F615" s="55">
        <v>133</v>
      </c>
      <c r="G615" s="63">
        <v>5.0000000000000001E-3</v>
      </c>
    </row>
    <row r="616" spans="1:7" x14ac:dyDescent="0.2">
      <c r="A616" t="s">
        <v>89</v>
      </c>
      <c r="B616" t="s">
        <v>130</v>
      </c>
      <c r="C616" t="s">
        <v>73</v>
      </c>
      <c r="D616" t="s">
        <v>74</v>
      </c>
      <c r="E616" t="s">
        <v>87</v>
      </c>
      <c r="F616" s="55">
        <v>138</v>
      </c>
      <c r="G616" s="63">
        <v>9.1000000000000004E-3</v>
      </c>
    </row>
    <row r="617" spans="1:7" x14ac:dyDescent="0.2">
      <c r="A617" t="s">
        <v>89</v>
      </c>
      <c r="B617" t="s">
        <v>130</v>
      </c>
      <c r="C617" t="s">
        <v>73</v>
      </c>
      <c r="D617" t="s">
        <v>74</v>
      </c>
      <c r="E617" t="s">
        <v>88</v>
      </c>
      <c r="F617" s="55">
        <v>138</v>
      </c>
      <c r="G617" s="63">
        <v>3.8E-3</v>
      </c>
    </row>
    <row r="618" spans="1:7" x14ac:dyDescent="0.2">
      <c r="A618" t="s">
        <v>71</v>
      </c>
      <c r="B618" t="s">
        <v>12</v>
      </c>
      <c r="C618" t="s">
        <v>73</v>
      </c>
      <c r="D618" t="s">
        <v>74</v>
      </c>
      <c r="E618" t="s">
        <v>75</v>
      </c>
      <c r="F618" s="55">
        <v>106</v>
      </c>
      <c r="G618" s="63">
        <v>0.29189999999999999</v>
      </c>
    </row>
    <row r="619" spans="1:7" x14ac:dyDescent="0.2">
      <c r="A619" t="s">
        <v>71</v>
      </c>
      <c r="B619" t="s">
        <v>12</v>
      </c>
      <c r="C619" t="s">
        <v>73</v>
      </c>
      <c r="D619" t="s">
        <v>74</v>
      </c>
      <c r="E619" t="s">
        <v>76</v>
      </c>
      <c r="F619" s="55">
        <v>91</v>
      </c>
      <c r="G619" s="63">
        <v>2.86E-2</v>
      </c>
    </row>
    <row r="620" spans="1:7" x14ac:dyDescent="0.2">
      <c r="A620" t="s">
        <v>71</v>
      </c>
      <c r="B620" t="s">
        <v>12</v>
      </c>
      <c r="C620" t="s">
        <v>73</v>
      </c>
      <c r="D620" t="s">
        <v>74</v>
      </c>
      <c r="E620" t="s">
        <v>77</v>
      </c>
      <c r="F620" s="55">
        <v>93</v>
      </c>
      <c r="G620" s="63">
        <v>9.06E-2</v>
      </c>
    </row>
    <row r="621" spans="1:7" x14ac:dyDescent="0.2">
      <c r="A621" t="s">
        <v>71</v>
      </c>
      <c r="B621" t="s">
        <v>12</v>
      </c>
      <c r="C621" t="s">
        <v>73</v>
      </c>
      <c r="D621" t="s">
        <v>74</v>
      </c>
      <c r="E621" t="s">
        <v>78</v>
      </c>
      <c r="F621" s="55">
        <v>101</v>
      </c>
      <c r="G621" s="63">
        <v>8.9899999999999994E-2</v>
      </c>
    </row>
    <row r="622" spans="1:7" x14ac:dyDescent="0.2">
      <c r="A622" t="s">
        <v>71</v>
      </c>
      <c r="B622" t="s">
        <v>12</v>
      </c>
      <c r="C622" t="s">
        <v>73</v>
      </c>
      <c r="D622" t="s">
        <v>74</v>
      </c>
      <c r="E622" t="s">
        <v>79</v>
      </c>
      <c r="F622" s="55">
        <v>111</v>
      </c>
      <c r="G622" s="63">
        <v>0.2089</v>
      </c>
    </row>
    <row r="623" spans="1:7" x14ac:dyDescent="0.2">
      <c r="A623" t="s">
        <v>71</v>
      </c>
      <c r="B623" t="s">
        <v>12</v>
      </c>
      <c r="C623" t="s">
        <v>73</v>
      </c>
      <c r="D623" t="s">
        <v>74</v>
      </c>
      <c r="E623" t="s">
        <v>80</v>
      </c>
      <c r="F623" s="55">
        <v>99</v>
      </c>
      <c r="G623" s="63">
        <v>3.85E-2</v>
      </c>
    </row>
    <row r="624" spans="1:7" x14ac:dyDescent="0.2">
      <c r="A624" t="s">
        <v>71</v>
      </c>
      <c r="B624" t="s">
        <v>12</v>
      </c>
      <c r="C624" t="s">
        <v>73</v>
      </c>
      <c r="D624" t="s">
        <v>74</v>
      </c>
      <c r="E624" t="s">
        <v>81</v>
      </c>
      <c r="F624" s="55">
        <v>98</v>
      </c>
      <c r="G624" s="63">
        <v>4.2799999999999998E-2</v>
      </c>
    </row>
    <row r="625" spans="1:7" x14ac:dyDescent="0.2">
      <c r="A625" t="s">
        <v>71</v>
      </c>
      <c r="B625" t="s">
        <v>12</v>
      </c>
      <c r="C625" t="s">
        <v>73</v>
      </c>
      <c r="D625" t="s">
        <v>74</v>
      </c>
      <c r="E625" t="s">
        <v>82</v>
      </c>
      <c r="F625" s="55">
        <v>110</v>
      </c>
      <c r="G625" s="63">
        <v>0.15629999999999999</v>
      </c>
    </row>
    <row r="626" spans="1:7" x14ac:dyDescent="0.2">
      <c r="A626" t="s">
        <v>71</v>
      </c>
      <c r="B626" t="s">
        <v>12</v>
      </c>
      <c r="C626" t="s">
        <v>73</v>
      </c>
      <c r="D626" t="s">
        <v>74</v>
      </c>
      <c r="E626" t="s">
        <v>83</v>
      </c>
      <c r="F626" s="55">
        <v>106</v>
      </c>
      <c r="G626" s="63">
        <v>2.0500000000000001E-2</v>
      </c>
    </row>
    <row r="627" spans="1:7" x14ac:dyDescent="0.2">
      <c r="A627" t="s">
        <v>71</v>
      </c>
      <c r="B627" t="s">
        <v>12</v>
      </c>
      <c r="C627" t="s">
        <v>73</v>
      </c>
      <c r="D627" t="s">
        <v>74</v>
      </c>
      <c r="E627" t="s">
        <v>84</v>
      </c>
      <c r="F627" s="55">
        <v>98</v>
      </c>
      <c r="G627" s="63">
        <v>6.2199999999999998E-2</v>
      </c>
    </row>
    <row r="628" spans="1:7" x14ac:dyDescent="0.2">
      <c r="A628" t="s">
        <v>71</v>
      </c>
      <c r="B628" t="s">
        <v>12</v>
      </c>
      <c r="C628" t="s">
        <v>73</v>
      </c>
      <c r="D628" t="s">
        <v>74</v>
      </c>
      <c r="E628" t="s">
        <v>85</v>
      </c>
      <c r="F628" s="55">
        <v>104</v>
      </c>
      <c r="G628" s="63">
        <v>5.7599999999999998E-2</v>
      </c>
    </row>
    <row r="629" spans="1:7" x14ac:dyDescent="0.2">
      <c r="A629" t="s">
        <v>71</v>
      </c>
      <c r="B629" t="s">
        <v>12</v>
      </c>
      <c r="C629" t="s">
        <v>73</v>
      </c>
      <c r="D629" t="s">
        <v>74</v>
      </c>
      <c r="E629" t="s">
        <v>86</v>
      </c>
      <c r="F629" s="55">
        <v>110</v>
      </c>
      <c r="G629" s="63">
        <v>0.1008</v>
      </c>
    </row>
    <row r="630" spans="1:7" x14ac:dyDescent="0.2">
      <c r="A630" t="s">
        <v>71</v>
      </c>
      <c r="B630" t="s">
        <v>12</v>
      </c>
      <c r="C630" t="s">
        <v>73</v>
      </c>
      <c r="D630" t="s">
        <v>74</v>
      </c>
      <c r="E630" t="s">
        <v>87</v>
      </c>
      <c r="F630" s="55">
        <v>114</v>
      </c>
      <c r="G630" s="63">
        <v>0.12690000000000001</v>
      </c>
    </row>
    <row r="631" spans="1:7" x14ac:dyDescent="0.2">
      <c r="A631" t="s">
        <v>71</v>
      </c>
      <c r="B631" t="s">
        <v>12</v>
      </c>
      <c r="C631" t="s">
        <v>73</v>
      </c>
      <c r="D631" t="s">
        <v>74</v>
      </c>
      <c r="E631" t="s">
        <v>88</v>
      </c>
      <c r="F631" s="55">
        <v>101</v>
      </c>
      <c r="G631" s="63">
        <v>5.2699999999999997E-2</v>
      </c>
    </row>
    <row r="632" spans="1:7" x14ac:dyDescent="0.2">
      <c r="A632" t="s">
        <v>89</v>
      </c>
      <c r="B632" t="s">
        <v>131</v>
      </c>
      <c r="C632" t="s">
        <v>73</v>
      </c>
      <c r="D632" t="s">
        <v>74</v>
      </c>
      <c r="E632" t="s">
        <v>75</v>
      </c>
      <c r="F632" s="55">
        <v>100</v>
      </c>
      <c r="G632" s="63">
        <v>9.3399999999999997E-2</v>
      </c>
    </row>
    <row r="633" spans="1:7" x14ac:dyDescent="0.2">
      <c r="A633" t="s">
        <v>89</v>
      </c>
      <c r="B633" t="s">
        <v>131</v>
      </c>
      <c r="C633" t="s">
        <v>73</v>
      </c>
      <c r="D633" t="s">
        <v>74</v>
      </c>
      <c r="E633" t="s">
        <v>76</v>
      </c>
      <c r="F633" s="55">
        <v>105</v>
      </c>
      <c r="G633" s="63">
        <v>0.01</v>
      </c>
    </row>
    <row r="634" spans="1:7" x14ac:dyDescent="0.2">
      <c r="A634" t="s">
        <v>89</v>
      </c>
      <c r="B634" t="s">
        <v>131</v>
      </c>
      <c r="C634" t="s">
        <v>73</v>
      </c>
      <c r="D634" t="s">
        <v>74</v>
      </c>
      <c r="E634" t="s">
        <v>77</v>
      </c>
      <c r="F634" s="55">
        <v>118</v>
      </c>
      <c r="G634" s="63">
        <v>3.0800000000000001E-2</v>
      </c>
    </row>
    <row r="635" spans="1:7" x14ac:dyDescent="0.2">
      <c r="A635" t="s">
        <v>89</v>
      </c>
      <c r="B635" t="s">
        <v>131</v>
      </c>
      <c r="C635" t="s">
        <v>73</v>
      </c>
      <c r="D635" t="s">
        <v>74</v>
      </c>
      <c r="E635" t="s">
        <v>78</v>
      </c>
      <c r="F635" s="55">
        <v>110</v>
      </c>
      <c r="G635" s="63">
        <v>2.1899999999999999E-2</v>
      </c>
    </row>
    <row r="636" spans="1:7" x14ac:dyDescent="0.2">
      <c r="A636" t="s">
        <v>89</v>
      </c>
      <c r="B636" t="s">
        <v>131</v>
      </c>
      <c r="C636" t="s">
        <v>73</v>
      </c>
      <c r="D636" t="s">
        <v>74</v>
      </c>
      <c r="E636" t="s">
        <v>79</v>
      </c>
      <c r="F636" s="55">
        <v>98</v>
      </c>
      <c r="G636" s="63">
        <v>6.4899999999999999E-2</v>
      </c>
    </row>
    <row r="637" spans="1:7" x14ac:dyDescent="0.2">
      <c r="A637" t="s">
        <v>89</v>
      </c>
      <c r="B637" t="s">
        <v>131</v>
      </c>
      <c r="C637" t="s">
        <v>73</v>
      </c>
      <c r="D637" t="s">
        <v>74</v>
      </c>
      <c r="E637" t="s">
        <v>80</v>
      </c>
      <c r="F637" s="55">
        <v>87</v>
      </c>
      <c r="G637" s="63">
        <v>1.5599999999999999E-2</v>
      </c>
    </row>
    <row r="638" spans="1:7" x14ac:dyDescent="0.2">
      <c r="A638" t="s">
        <v>89</v>
      </c>
      <c r="B638" t="s">
        <v>131</v>
      </c>
      <c r="C638" t="s">
        <v>73</v>
      </c>
      <c r="D638" t="s">
        <v>74</v>
      </c>
      <c r="E638" t="s">
        <v>81</v>
      </c>
      <c r="F638" s="55">
        <v>86</v>
      </c>
      <c r="G638" s="63">
        <v>1.6799999999999999E-2</v>
      </c>
    </row>
    <row r="639" spans="1:7" x14ac:dyDescent="0.2">
      <c r="A639" t="s">
        <v>89</v>
      </c>
      <c r="B639" t="s">
        <v>131</v>
      </c>
      <c r="C639" t="s">
        <v>73</v>
      </c>
      <c r="D639" t="s">
        <v>74</v>
      </c>
      <c r="E639" t="s">
        <v>82</v>
      </c>
      <c r="F639" s="55">
        <v>112</v>
      </c>
      <c r="G639" s="63">
        <v>4.9799999999999997E-2</v>
      </c>
    </row>
    <row r="640" spans="1:7" x14ac:dyDescent="0.2">
      <c r="A640" t="s">
        <v>89</v>
      </c>
      <c r="B640" t="s">
        <v>131</v>
      </c>
      <c r="C640" t="s">
        <v>73</v>
      </c>
      <c r="D640" t="s">
        <v>74</v>
      </c>
      <c r="E640" t="s">
        <v>83</v>
      </c>
      <c r="F640" s="55">
        <v>101</v>
      </c>
      <c r="G640" s="63">
        <v>8.2000000000000007E-3</v>
      </c>
    </row>
    <row r="641" spans="1:7" x14ac:dyDescent="0.2">
      <c r="A641" t="s">
        <v>89</v>
      </c>
      <c r="B641" t="s">
        <v>131</v>
      </c>
      <c r="C641" t="s">
        <v>73</v>
      </c>
      <c r="D641" t="s">
        <v>74</v>
      </c>
      <c r="E641" t="s">
        <v>84</v>
      </c>
      <c r="F641" s="55">
        <v>118</v>
      </c>
      <c r="G641" s="63">
        <v>1.34E-2</v>
      </c>
    </row>
    <row r="642" spans="1:7" x14ac:dyDescent="0.2">
      <c r="A642" t="s">
        <v>89</v>
      </c>
      <c r="B642" t="s">
        <v>131</v>
      </c>
      <c r="C642" t="s">
        <v>73</v>
      </c>
      <c r="D642" t="s">
        <v>74</v>
      </c>
      <c r="E642" t="s">
        <v>85</v>
      </c>
      <c r="F642" s="55">
        <v>94</v>
      </c>
      <c r="G642" s="63">
        <v>1.7899999999999999E-2</v>
      </c>
    </row>
    <row r="643" spans="1:7" x14ac:dyDescent="0.2">
      <c r="A643" t="s">
        <v>89</v>
      </c>
      <c r="B643" t="s">
        <v>131</v>
      </c>
      <c r="C643" t="s">
        <v>73</v>
      </c>
      <c r="D643" t="s">
        <v>74</v>
      </c>
      <c r="E643" t="s">
        <v>86</v>
      </c>
      <c r="F643" s="55">
        <v>97</v>
      </c>
      <c r="G643" s="63">
        <v>2.7699999999999999E-2</v>
      </c>
    </row>
    <row r="644" spans="1:7" x14ac:dyDescent="0.2">
      <c r="A644" t="s">
        <v>89</v>
      </c>
      <c r="B644" t="s">
        <v>131</v>
      </c>
      <c r="C644" t="s">
        <v>73</v>
      </c>
      <c r="D644" t="s">
        <v>74</v>
      </c>
      <c r="E644" t="s">
        <v>87</v>
      </c>
      <c r="F644" s="55">
        <v>100</v>
      </c>
      <c r="G644" s="63">
        <v>3.6799999999999999E-2</v>
      </c>
    </row>
    <row r="645" spans="1:7" x14ac:dyDescent="0.2">
      <c r="A645" t="s">
        <v>89</v>
      </c>
      <c r="B645" t="s">
        <v>131</v>
      </c>
      <c r="C645" t="s">
        <v>73</v>
      </c>
      <c r="D645" t="s">
        <v>74</v>
      </c>
      <c r="E645" t="s">
        <v>88</v>
      </c>
      <c r="F645" s="55">
        <v>95</v>
      </c>
      <c r="G645" s="63">
        <v>1.7000000000000001E-2</v>
      </c>
    </row>
    <row r="646" spans="1:7" x14ac:dyDescent="0.2">
      <c r="A646" t="s">
        <v>71</v>
      </c>
      <c r="B646" t="s">
        <v>132</v>
      </c>
      <c r="C646" t="s">
        <v>73</v>
      </c>
      <c r="D646" t="s">
        <v>74</v>
      </c>
      <c r="E646" t="s">
        <v>75</v>
      </c>
      <c r="F646" s="55">
        <v>90</v>
      </c>
      <c r="G646" s="63">
        <v>0.30880000000000002</v>
      </c>
    </row>
    <row r="647" spans="1:7" x14ac:dyDescent="0.2">
      <c r="A647" t="s">
        <v>71</v>
      </c>
      <c r="B647" t="s">
        <v>132</v>
      </c>
      <c r="C647" t="s">
        <v>73</v>
      </c>
      <c r="D647" t="s">
        <v>74</v>
      </c>
      <c r="E647" t="s">
        <v>76</v>
      </c>
      <c r="F647" s="55">
        <v>72</v>
      </c>
      <c r="G647" s="63">
        <v>2.5499999999999998E-2</v>
      </c>
    </row>
    <row r="648" spans="1:7" x14ac:dyDescent="0.2">
      <c r="A648" t="s">
        <v>71</v>
      </c>
      <c r="B648" t="s">
        <v>132</v>
      </c>
      <c r="C648" t="s">
        <v>73</v>
      </c>
      <c r="D648" t="s">
        <v>74</v>
      </c>
      <c r="E648" t="s">
        <v>77</v>
      </c>
      <c r="F648" s="55">
        <v>104</v>
      </c>
      <c r="G648" s="63">
        <v>0.1099</v>
      </c>
    </row>
    <row r="649" spans="1:7" x14ac:dyDescent="0.2">
      <c r="A649" t="s">
        <v>71</v>
      </c>
      <c r="B649" t="s">
        <v>132</v>
      </c>
      <c r="C649" t="s">
        <v>73</v>
      </c>
      <c r="D649" t="s">
        <v>74</v>
      </c>
      <c r="E649" t="s">
        <v>78</v>
      </c>
      <c r="F649" s="55">
        <v>91</v>
      </c>
      <c r="G649" s="63">
        <v>0.1062</v>
      </c>
    </row>
    <row r="650" spans="1:7" x14ac:dyDescent="0.2">
      <c r="A650" t="s">
        <v>71</v>
      </c>
      <c r="B650" t="s">
        <v>132</v>
      </c>
      <c r="C650" t="s">
        <v>73</v>
      </c>
      <c r="D650" t="s">
        <v>74</v>
      </c>
      <c r="E650" t="s">
        <v>79</v>
      </c>
      <c r="F650" s="55">
        <v>86</v>
      </c>
      <c r="G650" s="63">
        <v>0.2132</v>
      </c>
    </row>
    <row r="651" spans="1:7" x14ac:dyDescent="0.2">
      <c r="A651" t="s">
        <v>71</v>
      </c>
      <c r="B651" t="s">
        <v>132</v>
      </c>
      <c r="C651" t="s">
        <v>73</v>
      </c>
      <c r="D651" t="s">
        <v>74</v>
      </c>
      <c r="E651" t="s">
        <v>80</v>
      </c>
      <c r="F651" s="55">
        <v>91</v>
      </c>
      <c r="G651" s="63">
        <v>4.4400000000000002E-2</v>
      </c>
    </row>
    <row r="652" spans="1:7" x14ac:dyDescent="0.2">
      <c r="A652" t="s">
        <v>71</v>
      </c>
      <c r="B652" t="s">
        <v>132</v>
      </c>
      <c r="C652" t="s">
        <v>73</v>
      </c>
      <c r="D652" t="s">
        <v>74</v>
      </c>
      <c r="E652" t="s">
        <v>81</v>
      </c>
      <c r="F652" s="55">
        <v>91</v>
      </c>
      <c r="G652" s="63">
        <v>4.2799999999999998E-2</v>
      </c>
    </row>
    <row r="653" spans="1:7" x14ac:dyDescent="0.2">
      <c r="A653" t="s">
        <v>71</v>
      </c>
      <c r="B653" t="s">
        <v>132</v>
      </c>
      <c r="C653" t="s">
        <v>73</v>
      </c>
      <c r="D653" t="s">
        <v>74</v>
      </c>
      <c r="E653" t="s">
        <v>82</v>
      </c>
      <c r="F653" s="55">
        <v>87</v>
      </c>
      <c r="G653" s="63">
        <v>0.1565</v>
      </c>
    </row>
    <row r="654" spans="1:7" x14ac:dyDescent="0.2">
      <c r="A654" t="s">
        <v>71</v>
      </c>
      <c r="B654" t="s">
        <v>132</v>
      </c>
      <c r="C654" t="s">
        <v>73</v>
      </c>
      <c r="D654" t="s">
        <v>74</v>
      </c>
      <c r="E654" t="s">
        <v>83</v>
      </c>
      <c r="F654" s="55">
        <v>82</v>
      </c>
      <c r="G654" s="63">
        <v>1.61E-2</v>
      </c>
    </row>
    <row r="655" spans="1:7" x14ac:dyDescent="0.2">
      <c r="A655" t="s">
        <v>71</v>
      </c>
      <c r="B655" t="s">
        <v>132</v>
      </c>
      <c r="C655" t="s">
        <v>73</v>
      </c>
      <c r="D655" t="s">
        <v>74</v>
      </c>
      <c r="E655" t="s">
        <v>84</v>
      </c>
      <c r="F655" s="55">
        <v>94</v>
      </c>
      <c r="G655" s="63">
        <v>8.0799999999999997E-2</v>
      </c>
    </row>
    <row r="656" spans="1:7" x14ac:dyDescent="0.2">
      <c r="A656" t="s">
        <v>71</v>
      </c>
      <c r="B656" t="s">
        <v>132</v>
      </c>
      <c r="C656" t="s">
        <v>73</v>
      </c>
      <c r="D656" t="s">
        <v>74</v>
      </c>
      <c r="E656" t="s">
        <v>85</v>
      </c>
      <c r="F656" s="55">
        <v>85</v>
      </c>
      <c r="G656" s="63">
        <v>5.7599999999999998E-2</v>
      </c>
    </row>
    <row r="657" spans="1:7" x14ac:dyDescent="0.2">
      <c r="A657" t="s">
        <v>71</v>
      </c>
      <c r="B657" t="s">
        <v>132</v>
      </c>
      <c r="C657" t="s">
        <v>73</v>
      </c>
      <c r="D657" t="s">
        <v>74</v>
      </c>
      <c r="E657" t="s">
        <v>86</v>
      </c>
      <c r="F657" s="55">
        <v>87</v>
      </c>
      <c r="G657" s="63">
        <v>9.1700000000000004E-2</v>
      </c>
    </row>
    <row r="658" spans="1:7" x14ac:dyDescent="0.2">
      <c r="A658" t="s">
        <v>71</v>
      </c>
      <c r="B658" t="s">
        <v>132</v>
      </c>
      <c r="C658" t="s">
        <v>73</v>
      </c>
      <c r="D658" t="s">
        <v>74</v>
      </c>
      <c r="E658" t="s">
        <v>87</v>
      </c>
      <c r="F658" s="55">
        <v>86</v>
      </c>
      <c r="G658" s="63">
        <v>0.1145</v>
      </c>
    </row>
    <row r="659" spans="1:7" x14ac:dyDescent="0.2">
      <c r="A659" t="s">
        <v>71</v>
      </c>
      <c r="B659" t="s">
        <v>132</v>
      </c>
      <c r="C659" t="s">
        <v>73</v>
      </c>
      <c r="D659" t="s">
        <v>74</v>
      </c>
      <c r="E659" t="s">
        <v>88</v>
      </c>
      <c r="F659" s="55">
        <v>80</v>
      </c>
      <c r="G659" s="63">
        <v>4.8599999999999997E-2</v>
      </c>
    </row>
    <row r="660" spans="1:7" x14ac:dyDescent="0.2">
      <c r="A660" t="s">
        <v>89</v>
      </c>
      <c r="B660" t="s">
        <v>133</v>
      </c>
      <c r="C660" t="s">
        <v>73</v>
      </c>
      <c r="D660" t="s">
        <v>74</v>
      </c>
      <c r="E660" t="s">
        <v>75</v>
      </c>
      <c r="F660" s="55">
        <v>98</v>
      </c>
      <c r="G660" s="63">
        <v>2.1700000000000001E-2</v>
      </c>
    </row>
    <row r="661" spans="1:7" x14ac:dyDescent="0.2">
      <c r="A661" t="s">
        <v>89</v>
      </c>
      <c r="B661" t="s">
        <v>133</v>
      </c>
      <c r="C661" t="s">
        <v>73</v>
      </c>
      <c r="D661" t="s">
        <v>74</v>
      </c>
      <c r="E661" t="s">
        <v>77</v>
      </c>
      <c r="F661" s="55">
        <v>115</v>
      </c>
      <c r="G661" s="63">
        <v>4.4999999999999997E-3</v>
      </c>
    </row>
    <row r="662" spans="1:7" x14ac:dyDescent="0.2">
      <c r="A662" t="s">
        <v>89</v>
      </c>
      <c r="B662" t="s">
        <v>133</v>
      </c>
      <c r="C662" t="s">
        <v>73</v>
      </c>
      <c r="D662" t="s">
        <v>74</v>
      </c>
      <c r="E662" t="s">
        <v>78</v>
      </c>
      <c r="F662" s="55">
        <v>94</v>
      </c>
      <c r="G662" s="63">
        <v>2.8999999999999998E-3</v>
      </c>
    </row>
    <row r="663" spans="1:7" x14ac:dyDescent="0.2">
      <c r="A663" t="s">
        <v>89</v>
      </c>
      <c r="B663" t="s">
        <v>133</v>
      </c>
      <c r="C663" t="s">
        <v>73</v>
      </c>
      <c r="D663" t="s">
        <v>74</v>
      </c>
      <c r="E663" t="s">
        <v>79</v>
      </c>
      <c r="F663" s="55">
        <v>101</v>
      </c>
      <c r="G663" s="63">
        <v>1.32E-2</v>
      </c>
    </row>
    <row r="664" spans="1:7" x14ac:dyDescent="0.2">
      <c r="A664" t="s">
        <v>89</v>
      </c>
      <c r="B664" t="s">
        <v>133</v>
      </c>
      <c r="C664" t="s">
        <v>73</v>
      </c>
      <c r="D664" t="s">
        <v>74</v>
      </c>
      <c r="E664" t="s">
        <v>80</v>
      </c>
      <c r="F664" s="55">
        <v>109</v>
      </c>
      <c r="G664" s="63">
        <v>4.7000000000000002E-3</v>
      </c>
    </row>
    <row r="665" spans="1:7" x14ac:dyDescent="0.2">
      <c r="A665" t="s">
        <v>89</v>
      </c>
      <c r="B665" t="s">
        <v>133</v>
      </c>
      <c r="C665" t="s">
        <v>73</v>
      </c>
      <c r="D665" t="s">
        <v>74</v>
      </c>
      <c r="E665" t="s">
        <v>81</v>
      </c>
      <c r="F665" s="55">
        <v>99</v>
      </c>
      <c r="G665" s="63">
        <v>4.7999999999999996E-3</v>
      </c>
    </row>
    <row r="666" spans="1:7" x14ac:dyDescent="0.2">
      <c r="A666" t="s">
        <v>89</v>
      </c>
      <c r="B666" t="s">
        <v>133</v>
      </c>
      <c r="C666" t="s">
        <v>73</v>
      </c>
      <c r="D666" t="s">
        <v>74</v>
      </c>
      <c r="E666" t="s">
        <v>82</v>
      </c>
      <c r="F666" s="55">
        <v>87</v>
      </c>
      <c r="G666" s="63">
        <v>5.7999999999999996E-3</v>
      </c>
    </row>
    <row r="667" spans="1:7" x14ac:dyDescent="0.2">
      <c r="A667" t="s">
        <v>89</v>
      </c>
      <c r="B667" t="s">
        <v>133</v>
      </c>
      <c r="C667" t="s">
        <v>73</v>
      </c>
      <c r="D667" t="s">
        <v>74</v>
      </c>
      <c r="E667" t="s">
        <v>83</v>
      </c>
      <c r="F667" s="55">
        <v>62</v>
      </c>
      <c r="G667" s="63">
        <v>1.8E-3</v>
      </c>
    </row>
    <row r="668" spans="1:7" x14ac:dyDescent="0.2">
      <c r="A668" t="s">
        <v>89</v>
      </c>
      <c r="B668" t="s">
        <v>133</v>
      </c>
      <c r="C668" t="s">
        <v>73</v>
      </c>
      <c r="D668" t="s">
        <v>74</v>
      </c>
      <c r="E668" t="s">
        <v>84</v>
      </c>
      <c r="F668" s="55">
        <v>86</v>
      </c>
      <c r="G668" s="63">
        <v>2.0999999999999999E-3</v>
      </c>
    </row>
    <row r="669" spans="1:7" x14ac:dyDescent="0.2">
      <c r="A669" t="s">
        <v>89</v>
      </c>
      <c r="B669" t="s">
        <v>133</v>
      </c>
      <c r="C669" t="s">
        <v>73</v>
      </c>
      <c r="D669" t="s">
        <v>74</v>
      </c>
      <c r="E669" t="s">
        <v>85</v>
      </c>
      <c r="F669" s="55">
        <v>140</v>
      </c>
      <c r="G669" s="63">
        <v>4.7999999999999996E-3</v>
      </c>
    </row>
    <row r="670" spans="1:7" x14ac:dyDescent="0.2">
      <c r="A670" t="s">
        <v>89</v>
      </c>
      <c r="B670" t="s">
        <v>133</v>
      </c>
      <c r="C670" t="s">
        <v>73</v>
      </c>
      <c r="D670" t="s">
        <v>74</v>
      </c>
      <c r="E670" t="s">
        <v>86</v>
      </c>
      <c r="F670" s="55">
        <v>128</v>
      </c>
      <c r="G670" s="63">
        <v>5.1000000000000004E-3</v>
      </c>
    </row>
    <row r="671" spans="1:7" x14ac:dyDescent="0.2">
      <c r="A671" t="s">
        <v>89</v>
      </c>
      <c r="B671" t="s">
        <v>133</v>
      </c>
      <c r="C671" t="s">
        <v>73</v>
      </c>
      <c r="D671" t="s">
        <v>74</v>
      </c>
      <c r="E671" t="s">
        <v>87</v>
      </c>
      <c r="F671" s="55">
        <v>98</v>
      </c>
      <c r="G671" s="63">
        <v>5.8999999999999999E-3</v>
      </c>
    </row>
    <row r="672" spans="1:7" x14ac:dyDescent="0.2">
      <c r="A672" t="s">
        <v>89</v>
      </c>
      <c r="B672" t="s">
        <v>133</v>
      </c>
      <c r="C672" t="s">
        <v>73</v>
      </c>
      <c r="D672" t="s">
        <v>74</v>
      </c>
      <c r="E672" t="s">
        <v>88</v>
      </c>
      <c r="F672" s="55">
        <v>61</v>
      </c>
      <c r="G672" s="63">
        <v>2.8999999999999998E-3</v>
      </c>
    </row>
    <row r="673" spans="1:7" x14ac:dyDescent="0.2">
      <c r="A673" t="s">
        <v>89</v>
      </c>
      <c r="B673" t="s">
        <v>134</v>
      </c>
      <c r="C673" t="s">
        <v>73</v>
      </c>
      <c r="D673" t="s">
        <v>74</v>
      </c>
      <c r="E673" t="s">
        <v>75</v>
      </c>
      <c r="F673" s="55">
        <v>98</v>
      </c>
      <c r="G673" s="63">
        <v>9.4200000000000006E-2</v>
      </c>
    </row>
    <row r="674" spans="1:7" x14ac:dyDescent="0.2">
      <c r="A674" t="s">
        <v>89</v>
      </c>
      <c r="B674" t="s">
        <v>134</v>
      </c>
      <c r="C674" t="s">
        <v>73</v>
      </c>
      <c r="D674" t="s">
        <v>74</v>
      </c>
      <c r="E674" t="s">
        <v>76</v>
      </c>
      <c r="F674" s="55">
        <v>110</v>
      </c>
      <c r="G674" s="63">
        <v>1.2500000000000001E-2</v>
      </c>
    </row>
    <row r="675" spans="1:7" x14ac:dyDescent="0.2">
      <c r="A675" t="s">
        <v>89</v>
      </c>
      <c r="B675" t="s">
        <v>134</v>
      </c>
      <c r="C675" t="s">
        <v>73</v>
      </c>
      <c r="D675" t="s">
        <v>74</v>
      </c>
      <c r="E675" t="s">
        <v>77</v>
      </c>
      <c r="F675" s="55">
        <v>105</v>
      </c>
      <c r="G675" s="63">
        <v>3.5000000000000003E-2</v>
      </c>
    </row>
    <row r="676" spans="1:7" x14ac:dyDescent="0.2">
      <c r="A676" t="s">
        <v>89</v>
      </c>
      <c r="B676" t="s">
        <v>134</v>
      </c>
      <c r="C676" t="s">
        <v>73</v>
      </c>
      <c r="D676" t="s">
        <v>74</v>
      </c>
      <c r="E676" t="s">
        <v>78</v>
      </c>
      <c r="F676" s="55">
        <v>95</v>
      </c>
      <c r="G676" s="63">
        <v>2.52E-2</v>
      </c>
    </row>
    <row r="677" spans="1:7" x14ac:dyDescent="0.2">
      <c r="A677" t="s">
        <v>89</v>
      </c>
      <c r="B677" t="s">
        <v>134</v>
      </c>
      <c r="C677" t="s">
        <v>73</v>
      </c>
      <c r="D677" t="s">
        <v>74</v>
      </c>
      <c r="E677" t="s">
        <v>79</v>
      </c>
      <c r="F677" s="55">
        <v>91</v>
      </c>
      <c r="G677" s="63">
        <v>5.8200000000000002E-2</v>
      </c>
    </row>
    <row r="678" spans="1:7" x14ac:dyDescent="0.2">
      <c r="A678" t="s">
        <v>89</v>
      </c>
      <c r="B678" t="s">
        <v>134</v>
      </c>
      <c r="C678" t="s">
        <v>73</v>
      </c>
      <c r="D678" t="s">
        <v>74</v>
      </c>
      <c r="E678" t="s">
        <v>80</v>
      </c>
      <c r="F678" s="55">
        <v>100</v>
      </c>
      <c r="G678" s="63">
        <v>1.83E-2</v>
      </c>
    </row>
    <row r="679" spans="1:7" x14ac:dyDescent="0.2">
      <c r="A679" t="s">
        <v>89</v>
      </c>
      <c r="B679" t="s">
        <v>134</v>
      </c>
      <c r="C679" t="s">
        <v>73</v>
      </c>
      <c r="D679" t="s">
        <v>74</v>
      </c>
      <c r="E679" t="s">
        <v>81</v>
      </c>
      <c r="F679" s="55">
        <v>99</v>
      </c>
      <c r="G679" s="63">
        <v>2.1299999999999999E-2</v>
      </c>
    </row>
    <row r="680" spans="1:7" x14ac:dyDescent="0.2">
      <c r="A680" t="s">
        <v>89</v>
      </c>
      <c r="B680" t="s">
        <v>134</v>
      </c>
      <c r="C680" t="s">
        <v>73</v>
      </c>
      <c r="D680" t="s">
        <v>74</v>
      </c>
      <c r="E680" t="s">
        <v>82</v>
      </c>
      <c r="F680" s="55">
        <v>100</v>
      </c>
      <c r="G680" s="63">
        <v>4.2000000000000003E-2</v>
      </c>
    </row>
    <row r="681" spans="1:7" x14ac:dyDescent="0.2">
      <c r="A681" t="s">
        <v>89</v>
      </c>
      <c r="B681" t="s">
        <v>134</v>
      </c>
      <c r="C681" t="s">
        <v>73</v>
      </c>
      <c r="D681" t="s">
        <v>74</v>
      </c>
      <c r="E681" t="s">
        <v>83</v>
      </c>
      <c r="F681" s="55">
        <v>109</v>
      </c>
      <c r="G681" s="63">
        <v>1.01E-2</v>
      </c>
    </row>
    <row r="682" spans="1:7" x14ac:dyDescent="0.2">
      <c r="A682" t="s">
        <v>89</v>
      </c>
      <c r="B682" t="s">
        <v>134</v>
      </c>
      <c r="C682" t="s">
        <v>73</v>
      </c>
      <c r="D682" t="s">
        <v>74</v>
      </c>
      <c r="E682" t="s">
        <v>84</v>
      </c>
      <c r="F682" s="55">
        <v>98</v>
      </c>
      <c r="G682" s="63">
        <v>1.9900000000000001E-2</v>
      </c>
    </row>
    <row r="683" spans="1:7" x14ac:dyDescent="0.2">
      <c r="A683" t="s">
        <v>89</v>
      </c>
      <c r="B683" t="s">
        <v>134</v>
      </c>
      <c r="C683" t="s">
        <v>73</v>
      </c>
      <c r="D683" t="s">
        <v>74</v>
      </c>
      <c r="E683" t="s">
        <v>85</v>
      </c>
      <c r="F683" s="55">
        <v>99</v>
      </c>
      <c r="G683" s="63">
        <v>2.0299999999999999E-2</v>
      </c>
    </row>
    <row r="684" spans="1:7" x14ac:dyDescent="0.2">
      <c r="A684" t="s">
        <v>89</v>
      </c>
      <c r="B684" t="s">
        <v>134</v>
      </c>
      <c r="C684" t="s">
        <v>73</v>
      </c>
      <c r="D684" t="s">
        <v>74</v>
      </c>
      <c r="E684" t="s">
        <v>86</v>
      </c>
      <c r="F684" s="55">
        <v>91</v>
      </c>
      <c r="G684" s="63">
        <v>2.5999999999999999E-2</v>
      </c>
    </row>
    <row r="685" spans="1:7" x14ac:dyDescent="0.2">
      <c r="A685" t="s">
        <v>89</v>
      </c>
      <c r="B685" t="s">
        <v>134</v>
      </c>
      <c r="C685" t="s">
        <v>73</v>
      </c>
      <c r="D685" t="s">
        <v>74</v>
      </c>
      <c r="E685" t="s">
        <v>87</v>
      </c>
      <c r="F685" s="55">
        <v>89</v>
      </c>
      <c r="G685" s="63">
        <v>2.8799999999999999E-2</v>
      </c>
    </row>
    <row r="686" spans="1:7" x14ac:dyDescent="0.2">
      <c r="A686" t="s">
        <v>89</v>
      </c>
      <c r="B686" t="s">
        <v>134</v>
      </c>
      <c r="C686" t="s">
        <v>73</v>
      </c>
      <c r="D686" t="s">
        <v>74</v>
      </c>
      <c r="E686" t="s">
        <v>88</v>
      </c>
      <c r="F686" s="55">
        <v>110</v>
      </c>
      <c r="G686" s="63">
        <v>2.0299999999999999E-2</v>
      </c>
    </row>
    <row r="687" spans="1:7" x14ac:dyDescent="0.2">
      <c r="A687" t="s">
        <v>89</v>
      </c>
      <c r="B687" t="s">
        <v>135</v>
      </c>
      <c r="C687" t="s">
        <v>73</v>
      </c>
      <c r="D687" t="s">
        <v>74</v>
      </c>
      <c r="E687" t="s">
        <v>75</v>
      </c>
      <c r="F687" s="55">
        <v>110</v>
      </c>
      <c r="G687" s="63">
        <v>3.39E-2</v>
      </c>
    </row>
    <row r="688" spans="1:7" x14ac:dyDescent="0.2">
      <c r="A688" t="s">
        <v>89</v>
      </c>
      <c r="B688" t="s">
        <v>135</v>
      </c>
      <c r="C688" t="s">
        <v>73</v>
      </c>
      <c r="D688" t="s">
        <v>74</v>
      </c>
      <c r="E688" t="s">
        <v>76</v>
      </c>
      <c r="F688" s="55">
        <v>100</v>
      </c>
      <c r="G688" s="63">
        <v>5.1999999999999998E-3</v>
      </c>
    </row>
    <row r="689" spans="1:7" x14ac:dyDescent="0.2">
      <c r="A689" t="s">
        <v>89</v>
      </c>
      <c r="B689" t="s">
        <v>135</v>
      </c>
      <c r="C689" t="s">
        <v>73</v>
      </c>
      <c r="D689" t="s">
        <v>74</v>
      </c>
      <c r="E689" t="s">
        <v>77</v>
      </c>
      <c r="F689" s="55">
        <v>104</v>
      </c>
      <c r="G689" s="63">
        <v>1.34E-2</v>
      </c>
    </row>
    <row r="690" spans="1:7" x14ac:dyDescent="0.2">
      <c r="A690" t="s">
        <v>89</v>
      </c>
      <c r="B690" t="s">
        <v>135</v>
      </c>
      <c r="C690" t="s">
        <v>73</v>
      </c>
      <c r="D690" t="s">
        <v>74</v>
      </c>
      <c r="E690" t="s">
        <v>78</v>
      </c>
      <c r="F690" s="55">
        <v>102</v>
      </c>
      <c r="G690" s="63">
        <v>9.5999999999999992E-3</v>
      </c>
    </row>
    <row r="691" spans="1:7" x14ac:dyDescent="0.2">
      <c r="A691" t="s">
        <v>89</v>
      </c>
      <c r="B691" t="s">
        <v>135</v>
      </c>
      <c r="C691" t="s">
        <v>73</v>
      </c>
      <c r="D691" t="s">
        <v>74</v>
      </c>
      <c r="E691" t="s">
        <v>79</v>
      </c>
      <c r="F691" s="55">
        <v>119</v>
      </c>
      <c r="G691" s="63">
        <v>2.0500000000000001E-2</v>
      </c>
    </row>
    <row r="692" spans="1:7" x14ac:dyDescent="0.2">
      <c r="A692" t="s">
        <v>89</v>
      </c>
      <c r="B692" t="s">
        <v>135</v>
      </c>
      <c r="C692" t="s">
        <v>73</v>
      </c>
      <c r="D692" t="s">
        <v>74</v>
      </c>
      <c r="E692" t="s">
        <v>80</v>
      </c>
      <c r="F692" s="55">
        <v>107</v>
      </c>
      <c r="G692" s="63">
        <v>6.7000000000000002E-3</v>
      </c>
    </row>
    <row r="693" spans="1:7" x14ac:dyDescent="0.2">
      <c r="A693" t="s">
        <v>89</v>
      </c>
      <c r="B693" t="s">
        <v>135</v>
      </c>
      <c r="C693" t="s">
        <v>73</v>
      </c>
      <c r="D693" t="s">
        <v>74</v>
      </c>
      <c r="E693" t="s">
        <v>81</v>
      </c>
      <c r="F693" s="55">
        <v>97</v>
      </c>
      <c r="G693" s="63">
        <v>7.6E-3</v>
      </c>
    </row>
    <row r="694" spans="1:7" x14ac:dyDescent="0.2">
      <c r="A694" t="s">
        <v>89</v>
      </c>
      <c r="B694" t="s">
        <v>135</v>
      </c>
      <c r="C694" t="s">
        <v>73</v>
      </c>
      <c r="D694" t="s">
        <v>74</v>
      </c>
      <c r="E694" t="s">
        <v>82</v>
      </c>
      <c r="F694" s="55">
        <v>122</v>
      </c>
      <c r="G694" s="63">
        <v>1.7100000000000001E-2</v>
      </c>
    </row>
    <row r="695" spans="1:7" x14ac:dyDescent="0.2">
      <c r="A695" t="s">
        <v>89</v>
      </c>
      <c r="B695" t="s">
        <v>135</v>
      </c>
      <c r="C695" t="s">
        <v>73</v>
      </c>
      <c r="D695" t="s">
        <v>74</v>
      </c>
      <c r="E695" t="s">
        <v>83</v>
      </c>
      <c r="F695" s="55">
        <v>90</v>
      </c>
      <c r="G695" s="63">
        <v>3.5999999999999999E-3</v>
      </c>
    </row>
    <row r="696" spans="1:7" x14ac:dyDescent="0.2">
      <c r="A696" t="s">
        <v>89</v>
      </c>
      <c r="B696" t="s">
        <v>135</v>
      </c>
      <c r="C696" t="s">
        <v>73</v>
      </c>
      <c r="D696" t="s">
        <v>74</v>
      </c>
      <c r="E696" t="s">
        <v>84</v>
      </c>
      <c r="F696" s="55">
        <v>96</v>
      </c>
      <c r="G696" s="63">
        <v>7.7999999999999996E-3</v>
      </c>
    </row>
    <row r="697" spans="1:7" x14ac:dyDescent="0.2">
      <c r="A697" t="s">
        <v>89</v>
      </c>
      <c r="B697" t="s">
        <v>135</v>
      </c>
      <c r="C697" t="s">
        <v>73</v>
      </c>
      <c r="D697" t="s">
        <v>74</v>
      </c>
      <c r="E697" t="s">
        <v>85</v>
      </c>
      <c r="F697" s="55">
        <v>118</v>
      </c>
      <c r="G697" s="63">
        <v>6.4000000000000003E-3</v>
      </c>
    </row>
    <row r="698" spans="1:7" x14ac:dyDescent="0.2">
      <c r="A698" t="s">
        <v>89</v>
      </c>
      <c r="B698" t="s">
        <v>135</v>
      </c>
      <c r="C698" t="s">
        <v>73</v>
      </c>
      <c r="D698" t="s">
        <v>74</v>
      </c>
      <c r="E698" t="s">
        <v>86</v>
      </c>
      <c r="F698" s="55">
        <v>126</v>
      </c>
      <c r="G698" s="63">
        <v>7.9000000000000008E-3</v>
      </c>
    </row>
    <row r="699" spans="1:7" x14ac:dyDescent="0.2">
      <c r="A699" t="s">
        <v>89</v>
      </c>
      <c r="B699" t="s">
        <v>135</v>
      </c>
      <c r="C699" t="s">
        <v>73</v>
      </c>
      <c r="D699" t="s">
        <v>74</v>
      </c>
      <c r="E699" t="s">
        <v>87</v>
      </c>
      <c r="F699" s="55">
        <v>120</v>
      </c>
      <c r="G699" s="63">
        <v>1.03E-2</v>
      </c>
    </row>
    <row r="700" spans="1:7" x14ac:dyDescent="0.2">
      <c r="A700" t="s">
        <v>89</v>
      </c>
      <c r="B700" t="s">
        <v>135</v>
      </c>
      <c r="C700" t="s">
        <v>73</v>
      </c>
      <c r="D700" t="s">
        <v>74</v>
      </c>
      <c r="E700" t="s">
        <v>88</v>
      </c>
      <c r="F700" s="55">
        <v>88</v>
      </c>
      <c r="G700" s="63">
        <v>8.3000000000000001E-3</v>
      </c>
    </row>
    <row r="701" spans="1:7" x14ac:dyDescent="0.2">
      <c r="A701" t="s">
        <v>89</v>
      </c>
      <c r="B701" t="s">
        <v>136</v>
      </c>
      <c r="C701" t="s">
        <v>73</v>
      </c>
      <c r="D701" t="s">
        <v>74</v>
      </c>
      <c r="E701" t="s">
        <v>75</v>
      </c>
      <c r="F701" s="55">
        <v>86</v>
      </c>
      <c r="G701" s="63">
        <v>0.1404</v>
      </c>
    </row>
    <row r="702" spans="1:7" x14ac:dyDescent="0.2">
      <c r="A702" t="s">
        <v>89</v>
      </c>
      <c r="B702" t="s">
        <v>136</v>
      </c>
      <c r="C702" t="s">
        <v>73</v>
      </c>
      <c r="D702" t="s">
        <v>74</v>
      </c>
      <c r="E702" t="s">
        <v>76</v>
      </c>
      <c r="F702" s="55">
        <v>106</v>
      </c>
      <c r="G702" s="63">
        <v>1.7899999999999999E-2</v>
      </c>
    </row>
    <row r="703" spans="1:7" x14ac:dyDescent="0.2">
      <c r="A703" t="s">
        <v>89</v>
      </c>
      <c r="B703" t="s">
        <v>136</v>
      </c>
      <c r="C703" t="s">
        <v>73</v>
      </c>
      <c r="D703" t="s">
        <v>74</v>
      </c>
      <c r="E703" t="s">
        <v>77</v>
      </c>
      <c r="F703" s="55">
        <v>91</v>
      </c>
      <c r="G703" s="63">
        <v>5.6599999999999998E-2</v>
      </c>
    </row>
    <row r="704" spans="1:7" x14ac:dyDescent="0.2">
      <c r="A704" t="s">
        <v>89</v>
      </c>
      <c r="B704" t="s">
        <v>136</v>
      </c>
      <c r="C704" t="s">
        <v>73</v>
      </c>
      <c r="D704" t="s">
        <v>74</v>
      </c>
      <c r="E704" t="s">
        <v>78</v>
      </c>
      <c r="F704" s="55">
        <v>76</v>
      </c>
      <c r="G704" s="63">
        <v>2.8299999999999999E-2</v>
      </c>
    </row>
    <row r="705" spans="1:7" x14ac:dyDescent="0.2">
      <c r="A705" t="s">
        <v>89</v>
      </c>
      <c r="B705" t="s">
        <v>136</v>
      </c>
      <c r="C705" t="s">
        <v>73</v>
      </c>
      <c r="D705" t="s">
        <v>74</v>
      </c>
      <c r="E705" t="s">
        <v>79</v>
      </c>
      <c r="F705" s="55">
        <v>84</v>
      </c>
      <c r="G705" s="63">
        <v>7.1599999999999997E-2</v>
      </c>
    </row>
    <row r="706" spans="1:7" x14ac:dyDescent="0.2">
      <c r="A706" t="s">
        <v>89</v>
      </c>
      <c r="B706" t="s">
        <v>136</v>
      </c>
      <c r="C706" t="s">
        <v>73</v>
      </c>
      <c r="D706" t="s">
        <v>74</v>
      </c>
      <c r="E706" t="s">
        <v>80</v>
      </c>
      <c r="F706" s="55">
        <v>93</v>
      </c>
      <c r="G706" s="63">
        <v>2.1700000000000001E-2</v>
      </c>
    </row>
    <row r="707" spans="1:7" x14ac:dyDescent="0.2">
      <c r="A707" t="s">
        <v>89</v>
      </c>
      <c r="B707" t="s">
        <v>136</v>
      </c>
      <c r="C707" t="s">
        <v>73</v>
      </c>
      <c r="D707" t="s">
        <v>74</v>
      </c>
      <c r="E707" t="s">
        <v>81</v>
      </c>
      <c r="F707" s="55">
        <v>95</v>
      </c>
      <c r="G707" s="63">
        <v>2.41E-2</v>
      </c>
    </row>
    <row r="708" spans="1:7" x14ac:dyDescent="0.2">
      <c r="A708" t="s">
        <v>89</v>
      </c>
      <c r="B708" t="s">
        <v>136</v>
      </c>
      <c r="C708" t="s">
        <v>73</v>
      </c>
      <c r="D708" t="s">
        <v>74</v>
      </c>
      <c r="E708" t="s">
        <v>82</v>
      </c>
      <c r="F708" s="55">
        <v>83</v>
      </c>
      <c r="G708" s="63">
        <v>5.2600000000000001E-2</v>
      </c>
    </row>
    <row r="709" spans="1:7" x14ac:dyDescent="0.2">
      <c r="A709" t="s">
        <v>89</v>
      </c>
      <c r="B709" t="s">
        <v>136</v>
      </c>
      <c r="C709" t="s">
        <v>73</v>
      </c>
      <c r="D709" t="s">
        <v>74</v>
      </c>
      <c r="E709" t="s">
        <v>83</v>
      </c>
      <c r="F709" s="55">
        <v>111</v>
      </c>
      <c r="G709" s="63">
        <v>1.0200000000000001E-2</v>
      </c>
    </row>
    <row r="710" spans="1:7" x14ac:dyDescent="0.2">
      <c r="A710" t="s">
        <v>89</v>
      </c>
      <c r="B710" t="s">
        <v>136</v>
      </c>
      <c r="C710" t="s">
        <v>73</v>
      </c>
      <c r="D710" t="s">
        <v>74</v>
      </c>
      <c r="E710" t="s">
        <v>84</v>
      </c>
      <c r="F710" s="55">
        <v>77</v>
      </c>
      <c r="G710" s="63">
        <v>2.2200000000000001E-2</v>
      </c>
    </row>
    <row r="711" spans="1:7" x14ac:dyDescent="0.2">
      <c r="A711" t="s">
        <v>89</v>
      </c>
      <c r="B711" t="s">
        <v>136</v>
      </c>
      <c r="C711" t="s">
        <v>73</v>
      </c>
      <c r="D711" t="s">
        <v>74</v>
      </c>
      <c r="E711" t="s">
        <v>85</v>
      </c>
      <c r="F711" s="55">
        <v>86</v>
      </c>
      <c r="G711" s="63">
        <v>2.2100000000000002E-2</v>
      </c>
    </row>
    <row r="712" spans="1:7" x14ac:dyDescent="0.2">
      <c r="A712" t="s">
        <v>89</v>
      </c>
      <c r="B712" t="s">
        <v>136</v>
      </c>
      <c r="C712" t="s">
        <v>73</v>
      </c>
      <c r="D712" t="s">
        <v>74</v>
      </c>
      <c r="E712" t="s">
        <v>86</v>
      </c>
      <c r="F712" s="55">
        <v>82</v>
      </c>
      <c r="G712" s="63">
        <v>2.58E-2</v>
      </c>
    </row>
    <row r="713" spans="1:7" x14ac:dyDescent="0.2">
      <c r="A713" t="s">
        <v>89</v>
      </c>
      <c r="B713" t="s">
        <v>136</v>
      </c>
      <c r="C713" t="s">
        <v>73</v>
      </c>
      <c r="D713" t="s">
        <v>74</v>
      </c>
      <c r="E713" t="s">
        <v>87</v>
      </c>
      <c r="F713" s="55">
        <v>83</v>
      </c>
      <c r="G713" s="63">
        <v>3.1099999999999999E-2</v>
      </c>
    </row>
    <row r="714" spans="1:7" x14ac:dyDescent="0.2">
      <c r="A714" t="s">
        <v>89</v>
      </c>
      <c r="B714" t="s">
        <v>136</v>
      </c>
      <c r="C714" t="s">
        <v>73</v>
      </c>
      <c r="D714" t="s">
        <v>74</v>
      </c>
      <c r="E714" t="s">
        <v>88</v>
      </c>
      <c r="F714" s="55">
        <v>108</v>
      </c>
      <c r="G714" s="63">
        <v>2.7900000000000001E-2</v>
      </c>
    </row>
    <row r="715" spans="1:7" x14ac:dyDescent="0.2">
      <c r="A715" t="s">
        <v>89</v>
      </c>
      <c r="B715" t="s">
        <v>137</v>
      </c>
      <c r="C715" t="s">
        <v>73</v>
      </c>
      <c r="D715" t="s">
        <v>74</v>
      </c>
      <c r="E715" t="s">
        <v>75</v>
      </c>
      <c r="F715" s="55">
        <v>103</v>
      </c>
      <c r="G715" s="63">
        <v>0.14230000000000001</v>
      </c>
    </row>
    <row r="716" spans="1:7" x14ac:dyDescent="0.2">
      <c r="A716" t="s">
        <v>89</v>
      </c>
      <c r="B716" t="s">
        <v>137</v>
      </c>
      <c r="C716" t="s">
        <v>73</v>
      </c>
      <c r="D716" t="s">
        <v>74</v>
      </c>
      <c r="E716" t="s">
        <v>76</v>
      </c>
      <c r="F716" s="55">
        <v>97</v>
      </c>
      <c r="G716" s="63">
        <v>1.5100000000000001E-2</v>
      </c>
    </row>
    <row r="717" spans="1:7" x14ac:dyDescent="0.2">
      <c r="A717" t="s">
        <v>89</v>
      </c>
      <c r="B717" t="s">
        <v>137</v>
      </c>
      <c r="C717" t="s">
        <v>73</v>
      </c>
      <c r="D717" t="s">
        <v>74</v>
      </c>
      <c r="E717" t="s">
        <v>77</v>
      </c>
      <c r="F717" s="55">
        <v>110</v>
      </c>
      <c r="G717" s="63">
        <v>5.3499999999999999E-2</v>
      </c>
    </row>
    <row r="718" spans="1:7" x14ac:dyDescent="0.2">
      <c r="A718" t="s">
        <v>89</v>
      </c>
      <c r="B718" t="s">
        <v>137</v>
      </c>
      <c r="C718" t="s">
        <v>73</v>
      </c>
      <c r="D718" t="s">
        <v>74</v>
      </c>
      <c r="E718" t="s">
        <v>78</v>
      </c>
      <c r="F718" s="55">
        <v>104</v>
      </c>
      <c r="G718" s="63">
        <v>4.2599999999999999E-2</v>
      </c>
    </row>
    <row r="719" spans="1:7" x14ac:dyDescent="0.2">
      <c r="A719" t="s">
        <v>89</v>
      </c>
      <c r="B719" t="s">
        <v>137</v>
      </c>
      <c r="C719" t="s">
        <v>73</v>
      </c>
      <c r="D719" t="s">
        <v>74</v>
      </c>
      <c r="E719" t="s">
        <v>79</v>
      </c>
      <c r="F719" s="55">
        <v>101</v>
      </c>
      <c r="G719" s="63">
        <v>9.2799999999999994E-2</v>
      </c>
    </row>
    <row r="720" spans="1:7" x14ac:dyDescent="0.2">
      <c r="A720" t="s">
        <v>89</v>
      </c>
      <c r="B720" t="s">
        <v>137</v>
      </c>
      <c r="C720" t="s">
        <v>73</v>
      </c>
      <c r="D720" t="s">
        <v>74</v>
      </c>
      <c r="E720" t="s">
        <v>80</v>
      </c>
      <c r="F720" s="55">
        <v>100</v>
      </c>
      <c r="G720" s="63">
        <v>2.6100000000000002E-2</v>
      </c>
    </row>
    <row r="721" spans="1:7" x14ac:dyDescent="0.2">
      <c r="A721" t="s">
        <v>89</v>
      </c>
      <c r="B721" t="s">
        <v>137</v>
      </c>
      <c r="C721" t="s">
        <v>73</v>
      </c>
      <c r="D721" t="s">
        <v>74</v>
      </c>
      <c r="E721" t="s">
        <v>81</v>
      </c>
      <c r="F721" s="55">
        <v>96</v>
      </c>
      <c r="G721" s="63">
        <v>2.6700000000000002E-2</v>
      </c>
    </row>
    <row r="722" spans="1:7" x14ac:dyDescent="0.2">
      <c r="A722" t="s">
        <v>89</v>
      </c>
      <c r="B722" t="s">
        <v>137</v>
      </c>
      <c r="C722" t="s">
        <v>73</v>
      </c>
      <c r="D722" t="s">
        <v>74</v>
      </c>
      <c r="E722" t="s">
        <v>82</v>
      </c>
      <c r="F722" s="55">
        <v>102</v>
      </c>
      <c r="G722" s="63">
        <v>6.4000000000000001E-2</v>
      </c>
    </row>
    <row r="723" spans="1:7" x14ac:dyDescent="0.2">
      <c r="A723" t="s">
        <v>89</v>
      </c>
      <c r="B723" t="s">
        <v>137</v>
      </c>
      <c r="C723" t="s">
        <v>73</v>
      </c>
      <c r="D723" t="s">
        <v>74</v>
      </c>
      <c r="E723" t="s">
        <v>83</v>
      </c>
      <c r="F723" s="55">
        <v>112</v>
      </c>
      <c r="G723" s="63">
        <v>9.4999999999999998E-3</v>
      </c>
    </row>
    <row r="724" spans="1:7" x14ac:dyDescent="0.2">
      <c r="A724" t="s">
        <v>89</v>
      </c>
      <c r="B724" t="s">
        <v>137</v>
      </c>
      <c r="C724" t="s">
        <v>73</v>
      </c>
      <c r="D724" t="s">
        <v>74</v>
      </c>
      <c r="E724" t="s">
        <v>84</v>
      </c>
      <c r="F724" s="55">
        <v>103</v>
      </c>
      <c r="G724" s="63">
        <v>3.2899999999999999E-2</v>
      </c>
    </row>
    <row r="725" spans="1:7" x14ac:dyDescent="0.2">
      <c r="A725" t="s">
        <v>89</v>
      </c>
      <c r="B725" t="s">
        <v>137</v>
      </c>
      <c r="C725" t="s">
        <v>73</v>
      </c>
      <c r="D725" t="s">
        <v>74</v>
      </c>
      <c r="E725" t="s">
        <v>85</v>
      </c>
      <c r="F725" s="55">
        <v>105</v>
      </c>
      <c r="G725" s="63">
        <v>2.9100000000000001E-2</v>
      </c>
    </row>
    <row r="726" spans="1:7" x14ac:dyDescent="0.2">
      <c r="A726" t="s">
        <v>89</v>
      </c>
      <c r="B726" t="s">
        <v>137</v>
      </c>
      <c r="C726" t="s">
        <v>73</v>
      </c>
      <c r="D726" t="s">
        <v>74</v>
      </c>
      <c r="E726" t="s">
        <v>86</v>
      </c>
      <c r="F726" s="55">
        <v>104</v>
      </c>
      <c r="G726" s="63">
        <v>4.1200000000000001E-2</v>
      </c>
    </row>
    <row r="727" spans="1:7" x14ac:dyDescent="0.2">
      <c r="A727" t="s">
        <v>89</v>
      </c>
      <c r="B727" t="s">
        <v>137</v>
      </c>
      <c r="C727" t="s">
        <v>73</v>
      </c>
      <c r="D727" t="s">
        <v>74</v>
      </c>
      <c r="E727" t="s">
        <v>87</v>
      </c>
      <c r="F727" s="55">
        <v>104</v>
      </c>
      <c r="G727" s="63">
        <v>4.8000000000000001E-2</v>
      </c>
    </row>
    <row r="728" spans="1:7" x14ac:dyDescent="0.2">
      <c r="A728" t="s">
        <v>89</v>
      </c>
      <c r="B728" t="s">
        <v>137</v>
      </c>
      <c r="C728" t="s">
        <v>73</v>
      </c>
      <c r="D728" t="s">
        <v>74</v>
      </c>
      <c r="E728" t="s">
        <v>88</v>
      </c>
      <c r="F728" s="55">
        <v>111</v>
      </c>
      <c r="G728" s="63">
        <v>2.75E-2</v>
      </c>
    </row>
    <row r="729" spans="1:7" x14ac:dyDescent="0.2">
      <c r="A729" t="s">
        <v>71</v>
      </c>
      <c r="B729" t="s">
        <v>138</v>
      </c>
      <c r="C729" t="s">
        <v>73</v>
      </c>
      <c r="D729" t="s">
        <v>74</v>
      </c>
      <c r="E729" t="s">
        <v>75</v>
      </c>
      <c r="F729" s="55">
        <v>23</v>
      </c>
      <c r="G729" s="63">
        <v>1.55E-2</v>
      </c>
    </row>
    <row r="730" spans="1:7" x14ac:dyDescent="0.2">
      <c r="A730" t="s">
        <v>71</v>
      </c>
      <c r="B730" t="s">
        <v>138</v>
      </c>
      <c r="C730" t="s">
        <v>73</v>
      </c>
      <c r="D730" t="s">
        <v>74</v>
      </c>
      <c r="E730" t="s">
        <v>77</v>
      </c>
      <c r="F730" s="55">
        <v>19</v>
      </c>
      <c r="G730" s="63">
        <v>3.7000000000000002E-3</v>
      </c>
    </row>
    <row r="731" spans="1:7" x14ac:dyDescent="0.2">
      <c r="A731" t="s">
        <v>71</v>
      </c>
      <c r="B731" t="s">
        <v>138</v>
      </c>
      <c r="C731" t="s">
        <v>73</v>
      </c>
      <c r="D731" t="s">
        <v>74</v>
      </c>
      <c r="E731" t="s">
        <v>78</v>
      </c>
      <c r="F731" s="55">
        <v>12</v>
      </c>
      <c r="G731" s="63">
        <v>2.0999999999999999E-3</v>
      </c>
    </row>
    <row r="732" spans="1:7" x14ac:dyDescent="0.2">
      <c r="A732" t="s">
        <v>71</v>
      </c>
      <c r="B732" t="s">
        <v>138</v>
      </c>
      <c r="C732" t="s">
        <v>73</v>
      </c>
      <c r="D732" t="s">
        <v>74</v>
      </c>
      <c r="E732" t="s">
        <v>79</v>
      </c>
      <c r="F732" s="55">
        <v>20</v>
      </c>
      <c r="G732" s="63">
        <v>7.4999999999999997E-3</v>
      </c>
    </row>
    <row r="733" spans="1:7" x14ac:dyDescent="0.2">
      <c r="A733" t="s">
        <v>71</v>
      </c>
      <c r="B733" t="s">
        <v>138</v>
      </c>
      <c r="C733" t="s">
        <v>73</v>
      </c>
      <c r="D733" t="s">
        <v>74</v>
      </c>
      <c r="E733" t="s">
        <v>82</v>
      </c>
      <c r="F733" s="55">
        <v>22</v>
      </c>
      <c r="G733" s="63">
        <v>4.3E-3</v>
      </c>
    </row>
    <row r="734" spans="1:7" x14ac:dyDescent="0.2">
      <c r="A734" t="s">
        <v>71</v>
      </c>
      <c r="B734" t="s">
        <v>138</v>
      </c>
      <c r="C734" t="s">
        <v>73</v>
      </c>
      <c r="D734" t="s">
        <v>74</v>
      </c>
      <c r="E734" t="s">
        <v>84</v>
      </c>
      <c r="F734" s="55">
        <v>12</v>
      </c>
      <c r="G734" s="63">
        <v>1.6000000000000001E-3</v>
      </c>
    </row>
    <row r="735" spans="1:7" x14ac:dyDescent="0.2">
      <c r="A735" t="s">
        <v>71</v>
      </c>
      <c r="B735" t="s">
        <v>138</v>
      </c>
      <c r="C735" t="s">
        <v>73</v>
      </c>
      <c r="D735" t="s">
        <v>74</v>
      </c>
      <c r="E735" t="s">
        <v>86</v>
      </c>
      <c r="F735" s="55">
        <v>11</v>
      </c>
      <c r="G735" s="63">
        <v>1.5E-3</v>
      </c>
    </row>
    <row r="736" spans="1:7" x14ac:dyDescent="0.2">
      <c r="A736" t="s">
        <v>71</v>
      </c>
      <c r="B736" t="s">
        <v>138</v>
      </c>
      <c r="C736" t="s">
        <v>73</v>
      </c>
      <c r="D736" t="s">
        <v>74</v>
      </c>
      <c r="E736" t="s">
        <v>87</v>
      </c>
      <c r="F736" s="55">
        <v>17</v>
      </c>
      <c r="G736" s="63">
        <v>1.8E-3</v>
      </c>
    </row>
    <row r="737" spans="1:7" x14ac:dyDescent="0.2">
      <c r="A737" t="s">
        <v>71</v>
      </c>
      <c r="B737" t="s">
        <v>138</v>
      </c>
      <c r="C737" t="s">
        <v>73</v>
      </c>
      <c r="D737" t="s">
        <v>74</v>
      </c>
      <c r="E737" t="s">
        <v>88</v>
      </c>
      <c r="F737" s="55">
        <v>26</v>
      </c>
      <c r="G737" s="63">
        <v>1.6999999999999999E-3</v>
      </c>
    </row>
    <row r="738" spans="1:7" x14ac:dyDescent="0.2">
      <c r="A738" t="s">
        <v>71</v>
      </c>
      <c r="B738" t="s">
        <v>139</v>
      </c>
      <c r="C738" t="s">
        <v>73</v>
      </c>
      <c r="D738" t="s">
        <v>74</v>
      </c>
      <c r="E738" t="s">
        <v>75</v>
      </c>
      <c r="F738" s="55">
        <v>102</v>
      </c>
      <c r="G738" s="63">
        <v>0.2394</v>
      </c>
    </row>
    <row r="739" spans="1:7" x14ac:dyDescent="0.2">
      <c r="A739" t="s">
        <v>71</v>
      </c>
      <c r="B739" t="s">
        <v>139</v>
      </c>
      <c r="C739" t="s">
        <v>73</v>
      </c>
      <c r="D739" t="s">
        <v>74</v>
      </c>
      <c r="E739" t="s">
        <v>76</v>
      </c>
      <c r="F739" s="55">
        <v>101</v>
      </c>
      <c r="G739" s="63">
        <v>3.1399999999999997E-2</v>
      </c>
    </row>
    <row r="740" spans="1:7" x14ac:dyDescent="0.2">
      <c r="A740" t="s">
        <v>71</v>
      </c>
      <c r="B740" t="s">
        <v>139</v>
      </c>
      <c r="C740" t="s">
        <v>73</v>
      </c>
      <c r="D740" t="s">
        <v>74</v>
      </c>
      <c r="E740" t="s">
        <v>77</v>
      </c>
      <c r="F740" s="55">
        <v>110</v>
      </c>
      <c r="G740" s="63">
        <v>0.1032</v>
      </c>
    </row>
    <row r="741" spans="1:7" x14ac:dyDescent="0.2">
      <c r="A741" t="s">
        <v>71</v>
      </c>
      <c r="B741" t="s">
        <v>139</v>
      </c>
      <c r="C741" t="s">
        <v>73</v>
      </c>
      <c r="D741" t="s">
        <v>74</v>
      </c>
      <c r="E741" t="s">
        <v>78</v>
      </c>
      <c r="F741" s="55">
        <v>106</v>
      </c>
      <c r="G741" s="63">
        <v>0.1031</v>
      </c>
    </row>
    <row r="742" spans="1:7" x14ac:dyDescent="0.2">
      <c r="A742" t="s">
        <v>71</v>
      </c>
      <c r="B742" t="s">
        <v>139</v>
      </c>
      <c r="C742" t="s">
        <v>73</v>
      </c>
      <c r="D742" t="s">
        <v>74</v>
      </c>
      <c r="E742" t="s">
        <v>79</v>
      </c>
      <c r="F742" s="55">
        <v>95</v>
      </c>
      <c r="G742" s="63">
        <v>0.15959999999999999</v>
      </c>
    </row>
    <row r="743" spans="1:7" x14ac:dyDescent="0.2">
      <c r="A743" t="s">
        <v>71</v>
      </c>
      <c r="B743" t="s">
        <v>139</v>
      </c>
      <c r="C743" t="s">
        <v>73</v>
      </c>
      <c r="D743" t="s">
        <v>74</v>
      </c>
      <c r="E743" t="s">
        <v>80</v>
      </c>
      <c r="F743" s="55">
        <v>98</v>
      </c>
      <c r="G743" s="63">
        <v>3.9699999999999999E-2</v>
      </c>
    </row>
    <row r="744" spans="1:7" x14ac:dyDescent="0.2">
      <c r="A744" t="s">
        <v>71</v>
      </c>
      <c r="B744" t="s">
        <v>139</v>
      </c>
      <c r="C744" t="s">
        <v>73</v>
      </c>
      <c r="D744" t="s">
        <v>74</v>
      </c>
      <c r="E744" t="s">
        <v>81</v>
      </c>
      <c r="F744" s="55">
        <v>104</v>
      </c>
      <c r="G744" s="63">
        <v>4.2000000000000003E-2</v>
      </c>
    </row>
    <row r="745" spans="1:7" x14ac:dyDescent="0.2">
      <c r="A745" t="s">
        <v>71</v>
      </c>
      <c r="B745" t="s">
        <v>139</v>
      </c>
      <c r="C745" t="s">
        <v>73</v>
      </c>
      <c r="D745" t="s">
        <v>74</v>
      </c>
      <c r="E745" t="s">
        <v>82</v>
      </c>
      <c r="F745" s="55">
        <v>102</v>
      </c>
      <c r="G745" s="63">
        <v>0.1608</v>
      </c>
    </row>
    <row r="746" spans="1:7" x14ac:dyDescent="0.2">
      <c r="A746" t="s">
        <v>71</v>
      </c>
      <c r="B746" t="s">
        <v>139</v>
      </c>
      <c r="C746" t="s">
        <v>73</v>
      </c>
      <c r="D746" t="s">
        <v>74</v>
      </c>
      <c r="E746" t="s">
        <v>83</v>
      </c>
      <c r="F746" s="55">
        <v>109</v>
      </c>
      <c r="G746" s="63">
        <v>2.1499999999999998E-2</v>
      </c>
    </row>
    <row r="747" spans="1:7" x14ac:dyDescent="0.2">
      <c r="A747" t="s">
        <v>71</v>
      </c>
      <c r="B747" t="s">
        <v>139</v>
      </c>
      <c r="C747" t="s">
        <v>73</v>
      </c>
      <c r="D747" t="s">
        <v>74</v>
      </c>
      <c r="E747" t="s">
        <v>84</v>
      </c>
      <c r="F747" s="55">
        <v>108</v>
      </c>
      <c r="G747" s="63">
        <v>8.8499999999999995E-2</v>
      </c>
    </row>
    <row r="748" spans="1:7" x14ac:dyDescent="0.2">
      <c r="A748" t="s">
        <v>71</v>
      </c>
      <c r="B748" t="s">
        <v>139</v>
      </c>
      <c r="C748" t="s">
        <v>73</v>
      </c>
      <c r="D748" t="s">
        <v>74</v>
      </c>
      <c r="E748" t="s">
        <v>85</v>
      </c>
      <c r="F748" s="55">
        <v>95</v>
      </c>
      <c r="G748" s="63">
        <v>5.2600000000000001E-2</v>
      </c>
    </row>
    <row r="749" spans="1:7" x14ac:dyDescent="0.2">
      <c r="A749" t="s">
        <v>71</v>
      </c>
      <c r="B749" t="s">
        <v>139</v>
      </c>
      <c r="C749" t="s">
        <v>73</v>
      </c>
      <c r="D749" t="s">
        <v>74</v>
      </c>
      <c r="E749" t="s">
        <v>86</v>
      </c>
      <c r="F749" s="55">
        <v>94</v>
      </c>
      <c r="G749" s="63">
        <v>6.9599999999999995E-2</v>
      </c>
    </row>
    <row r="750" spans="1:7" x14ac:dyDescent="0.2">
      <c r="A750" t="s">
        <v>71</v>
      </c>
      <c r="B750" t="s">
        <v>139</v>
      </c>
      <c r="C750" t="s">
        <v>73</v>
      </c>
      <c r="D750" t="s">
        <v>74</v>
      </c>
      <c r="E750" t="s">
        <v>87</v>
      </c>
      <c r="F750" s="55">
        <v>94</v>
      </c>
      <c r="G750" s="63">
        <v>8.5099999999999995E-2</v>
      </c>
    </row>
    <row r="751" spans="1:7" x14ac:dyDescent="0.2">
      <c r="A751" t="s">
        <v>71</v>
      </c>
      <c r="B751" t="s">
        <v>139</v>
      </c>
      <c r="C751" t="s">
        <v>73</v>
      </c>
      <c r="D751" t="s">
        <v>74</v>
      </c>
      <c r="E751" t="s">
        <v>88</v>
      </c>
      <c r="F751" s="55">
        <v>101</v>
      </c>
      <c r="G751" s="63">
        <v>5.1499999999999997E-2</v>
      </c>
    </row>
    <row r="752" spans="1:7" x14ac:dyDescent="0.2">
      <c r="A752" t="s">
        <v>89</v>
      </c>
      <c r="B752" t="s">
        <v>140</v>
      </c>
      <c r="C752" t="s">
        <v>73</v>
      </c>
      <c r="D752" t="s">
        <v>74</v>
      </c>
      <c r="E752" t="s">
        <v>75</v>
      </c>
      <c r="F752" s="55">
        <v>113</v>
      </c>
      <c r="G752" s="63">
        <v>2.7199999999999998E-2</v>
      </c>
    </row>
    <row r="753" spans="1:7" x14ac:dyDescent="0.2">
      <c r="A753" t="s">
        <v>89</v>
      </c>
      <c r="B753" t="s">
        <v>140</v>
      </c>
      <c r="C753" t="s">
        <v>73</v>
      </c>
      <c r="D753" t="s">
        <v>74</v>
      </c>
      <c r="E753" t="s">
        <v>76</v>
      </c>
      <c r="F753" s="55">
        <v>103</v>
      </c>
      <c r="G753" s="63">
        <v>4.1000000000000003E-3</v>
      </c>
    </row>
    <row r="754" spans="1:7" x14ac:dyDescent="0.2">
      <c r="A754" t="s">
        <v>89</v>
      </c>
      <c r="B754" t="s">
        <v>140</v>
      </c>
      <c r="C754" t="s">
        <v>73</v>
      </c>
      <c r="D754" t="s">
        <v>74</v>
      </c>
      <c r="E754" t="s">
        <v>77</v>
      </c>
      <c r="F754" s="55">
        <v>110</v>
      </c>
      <c r="G754" s="63">
        <v>1.0200000000000001E-2</v>
      </c>
    </row>
    <row r="755" spans="1:7" x14ac:dyDescent="0.2">
      <c r="A755" t="s">
        <v>89</v>
      </c>
      <c r="B755" t="s">
        <v>140</v>
      </c>
      <c r="C755" t="s">
        <v>73</v>
      </c>
      <c r="D755" t="s">
        <v>74</v>
      </c>
      <c r="E755" t="s">
        <v>78</v>
      </c>
      <c r="F755" s="55">
        <v>111</v>
      </c>
      <c r="G755" s="63">
        <v>9.1999999999999998E-3</v>
      </c>
    </row>
    <row r="756" spans="1:7" x14ac:dyDescent="0.2">
      <c r="A756" t="s">
        <v>89</v>
      </c>
      <c r="B756" t="s">
        <v>140</v>
      </c>
      <c r="C756" t="s">
        <v>73</v>
      </c>
      <c r="D756" t="s">
        <v>74</v>
      </c>
      <c r="E756" t="s">
        <v>79</v>
      </c>
      <c r="F756" s="55">
        <v>123</v>
      </c>
      <c r="G756" s="63">
        <v>1.7500000000000002E-2</v>
      </c>
    </row>
    <row r="757" spans="1:7" x14ac:dyDescent="0.2">
      <c r="A757" t="s">
        <v>89</v>
      </c>
      <c r="B757" t="s">
        <v>140</v>
      </c>
      <c r="C757" t="s">
        <v>73</v>
      </c>
      <c r="D757" t="s">
        <v>74</v>
      </c>
      <c r="E757" t="s">
        <v>80</v>
      </c>
      <c r="F757" s="55">
        <v>107</v>
      </c>
      <c r="G757" s="63">
        <v>6.1000000000000004E-3</v>
      </c>
    </row>
    <row r="758" spans="1:7" x14ac:dyDescent="0.2">
      <c r="A758" t="s">
        <v>89</v>
      </c>
      <c r="B758" t="s">
        <v>140</v>
      </c>
      <c r="C758" t="s">
        <v>73</v>
      </c>
      <c r="D758" t="s">
        <v>74</v>
      </c>
      <c r="E758" t="s">
        <v>81</v>
      </c>
      <c r="F758" s="55">
        <v>100</v>
      </c>
      <c r="G758" s="63">
        <v>6.3E-3</v>
      </c>
    </row>
    <row r="759" spans="1:7" x14ac:dyDescent="0.2">
      <c r="A759" t="s">
        <v>89</v>
      </c>
      <c r="B759" t="s">
        <v>140</v>
      </c>
      <c r="C759" t="s">
        <v>73</v>
      </c>
      <c r="D759" t="s">
        <v>74</v>
      </c>
      <c r="E759" t="s">
        <v>82</v>
      </c>
      <c r="F759" s="55">
        <v>117</v>
      </c>
      <c r="G759" s="63">
        <v>1.2999999999999999E-2</v>
      </c>
    </row>
    <row r="760" spans="1:7" x14ac:dyDescent="0.2">
      <c r="A760" t="s">
        <v>89</v>
      </c>
      <c r="B760" t="s">
        <v>140</v>
      </c>
      <c r="C760" t="s">
        <v>73</v>
      </c>
      <c r="D760" t="s">
        <v>74</v>
      </c>
      <c r="E760" t="s">
        <v>83</v>
      </c>
      <c r="F760" s="55">
        <v>107</v>
      </c>
      <c r="G760" s="63">
        <v>3.5999999999999999E-3</v>
      </c>
    </row>
    <row r="761" spans="1:7" x14ac:dyDescent="0.2">
      <c r="A761" t="s">
        <v>89</v>
      </c>
      <c r="B761" t="s">
        <v>140</v>
      </c>
      <c r="C761" t="s">
        <v>73</v>
      </c>
      <c r="D761" t="s">
        <v>74</v>
      </c>
      <c r="E761" t="s">
        <v>84</v>
      </c>
      <c r="F761" s="55">
        <v>114</v>
      </c>
      <c r="G761" s="63">
        <v>7.4000000000000003E-3</v>
      </c>
    </row>
    <row r="762" spans="1:7" x14ac:dyDescent="0.2">
      <c r="A762" t="s">
        <v>89</v>
      </c>
      <c r="B762" t="s">
        <v>140</v>
      </c>
      <c r="C762" t="s">
        <v>73</v>
      </c>
      <c r="D762" t="s">
        <v>74</v>
      </c>
      <c r="E762" t="s">
        <v>85</v>
      </c>
      <c r="F762" s="55">
        <v>120</v>
      </c>
      <c r="G762" s="63">
        <v>7.3000000000000001E-3</v>
      </c>
    </row>
    <row r="763" spans="1:7" x14ac:dyDescent="0.2">
      <c r="A763" t="s">
        <v>89</v>
      </c>
      <c r="B763" t="s">
        <v>140</v>
      </c>
      <c r="C763" t="s">
        <v>73</v>
      </c>
      <c r="D763" t="s">
        <v>74</v>
      </c>
      <c r="E763" t="s">
        <v>86</v>
      </c>
      <c r="F763" s="55">
        <v>126</v>
      </c>
      <c r="G763" s="63">
        <v>9.4000000000000004E-3</v>
      </c>
    </row>
    <row r="764" spans="1:7" x14ac:dyDescent="0.2">
      <c r="A764" t="s">
        <v>89</v>
      </c>
      <c r="B764" t="s">
        <v>140</v>
      </c>
      <c r="C764" t="s">
        <v>73</v>
      </c>
      <c r="D764" t="s">
        <v>74</v>
      </c>
      <c r="E764" t="s">
        <v>87</v>
      </c>
      <c r="F764" s="55">
        <v>129</v>
      </c>
      <c r="G764" s="63">
        <v>9.7999999999999997E-3</v>
      </c>
    </row>
    <row r="765" spans="1:7" x14ac:dyDescent="0.2">
      <c r="A765" t="s">
        <v>89</v>
      </c>
      <c r="B765" t="s">
        <v>140</v>
      </c>
      <c r="C765" t="s">
        <v>73</v>
      </c>
      <c r="D765" t="s">
        <v>74</v>
      </c>
      <c r="E765" t="s">
        <v>88</v>
      </c>
      <c r="F765" s="55">
        <v>104</v>
      </c>
      <c r="G765" s="63">
        <v>6.7999999999999996E-3</v>
      </c>
    </row>
    <row r="766" spans="1:7" x14ac:dyDescent="0.2">
      <c r="A766" t="s">
        <v>89</v>
      </c>
      <c r="B766" t="s">
        <v>141</v>
      </c>
      <c r="C766" t="s">
        <v>73</v>
      </c>
      <c r="D766" t="s">
        <v>74</v>
      </c>
      <c r="E766" t="s">
        <v>75</v>
      </c>
      <c r="F766" s="55">
        <v>114</v>
      </c>
      <c r="G766" s="63">
        <v>0.19400000000000001</v>
      </c>
    </row>
    <row r="767" spans="1:7" x14ac:dyDescent="0.2">
      <c r="A767" t="s">
        <v>89</v>
      </c>
      <c r="B767" t="s">
        <v>141</v>
      </c>
      <c r="C767" t="s">
        <v>73</v>
      </c>
      <c r="D767" t="s">
        <v>74</v>
      </c>
      <c r="E767" t="s">
        <v>76</v>
      </c>
      <c r="F767" s="55">
        <v>121</v>
      </c>
      <c r="G767" s="63">
        <v>3.09E-2</v>
      </c>
    </row>
    <row r="768" spans="1:7" x14ac:dyDescent="0.2">
      <c r="A768" t="s">
        <v>89</v>
      </c>
      <c r="B768" t="s">
        <v>141</v>
      </c>
      <c r="C768" t="s">
        <v>73</v>
      </c>
      <c r="D768" t="s">
        <v>74</v>
      </c>
      <c r="E768" t="s">
        <v>77</v>
      </c>
      <c r="F768" s="55">
        <v>122</v>
      </c>
      <c r="G768" s="63">
        <v>9.06E-2</v>
      </c>
    </row>
    <row r="769" spans="1:7" x14ac:dyDescent="0.2">
      <c r="A769" t="s">
        <v>89</v>
      </c>
      <c r="B769" t="s">
        <v>141</v>
      </c>
      <c r="C769" t="s">
        <v>73</v>
      </c>
      <c r="D769" t="s">
        <v>74</v>
      </c>
      <c r="E769" t="s">
        <v>78</v>
      </c>
      <c r="F769" s="55">
        <v>117</v>
      </c>
      <c r="G769" s="63">
        <v>7.4300000000000005E-2</v>
      </c>
    </row>
    <row r="770" spans="1:7" x14ac:dyDescent="0.2">
      <c r="A770" t="s">
        <v>89</v>
      </c>
      <c r="B770" t="s">
        <v>141</v>
      </c>
      <c r="C770" t="s">
        <v>73</v>
      </c>
      <c r="D770" t="s">
        <v>74</v>
      </c>
      <c r="E770" t="s">
        <v>79</v>
      </c>
      <c r="F770" s="55">
        <v>112</v>
      </c>
      <c r="G770" s="63">
        <v>0.13070000000000001</v>
      </c>
    </row>
    <row r="771" spans="1:7" x14ac:dyDescent="0.2">
      <c r="A771" t="s">
        <v>89</v>
      </c>
      <c r="B771" t="s">
        <v>141</v>
      </c>
      <c r="C771" t="s">
        <v>73</v>
      </c>
      <c r="D771" t="s">
        <v>74</v>
      </c>
      <c r="E771" t="s">
        <v>80</v>
      </c>
      <c r="F771" s="55">
        <v>102</v>
      </c>
      <c r="G771" s="63">
        <v>5.3400000000000003E-2</v>
      </c>
    </row>
    <row r="772" spans="1:7" x14ac:dyDescent="0.2">
      <c r="A772" t="s">
        <v>89</v>
      </c>
      <c r="B772" t="s">
        <v>141</v>
      </c>
      <c r="C772" t="s">
        <v>73</v>
      </c>
      <c r="D772" t="s">
        <v>74</v>
      </c>
      <c r="E772" t="s">
        <v>81</v>
      </c>
      <c r="F772" s="55">
        <v>100</v>
      </c>
      <c r="G772" s="63">
        <v>5.2600000000000001E-2</v>
      </c>
    </row>
    <row r="773" spans="1:7" x14ac:dyDescent="0.2">
      <c r="A773" t="s">
        <v>89</v>
      </c>
      <c r="B773" t="s">
        <v>141</v>
      </c>
      <c r="C773" t="s">
        <v>73</v>
      </c>
      <c r="D773" t="s">
        <v>74</v>
      </c>
      <c r="E773" t="s">
        <v>82</v>
      </c>
      <c r="F773" s="55">
        <v>116</v>
      </c>
      <c r="G773" s="63">
        <v>0.1003</v>
      </c>
    </row>
    <row r="774" spans="1:7" x14ac:dyDescent="0.2">
      <c r="A774" t="s">
        <v>89</v>
      </c>
      <c r="B774" t="s">
        <v>141</v>
      </c>
      <c r="C774" t="s">
        <v>73</v>
      </c>
      <c r="D774" t="s">
        <v>74</v>
      </c>
      <c r="E774" t="s">
        <v>83</v>
      </c>
      <c r="F774" s="55">
        <v>109</v>
      </c>
      <c r="G774" s="63">
        <v>2.47E-2</v>
      </c>
    </row>
    <row r="775" spans="1:7" x14ac:dyDescent="0.2">
      <c r="A775" t="s">
        <v>89</v>
      </c>
      <c r="B775" t="s">
        <v>141</v>
      </c>
      <c r="C775" t="s">
        <v>73</v>
      </c>
      <c r="D775" t="s">
        <v>74</v>
      </c>
      <c r="E775" t="s">
        <v>84</v>
      </c>
      <c r="F775" s="55">
        <v>117</v>
      </c>
      <c r="G775" s="63">
        <v>6.1800000000000001E-2</v>
      </c>
    </row>
    <row r="776" spans="1:7" x14ac:dyDescent="0.2">
      <c r="A776" t="s">
        <v>89</v>
      </c>
      <c r="B776" t="s">
        <v>141</v>
      </c>
      <c r="C776" t="s">
        <v>73</v>
      </c>
      <c r="D776" t="s">
        <v>74</v>
      </c>
      <c r="E776" t="s">
        <v>85</v>
      </c>
      <c r="F776" s="55">
        <v>112</v>
      </c>
      <c r="G776" s="63">
        <v>6.0299999999999999E-2</v>
      </c>
    </row>
    <row r="777" spans="1:7" x14ac:dyDescent="0.2">
      <c r="A777" t="s">
        <v>89</v>
      </c>
      <c r="B777" t="s">
        <v>141</v>
      </c>
      <c r="C777" t="s">
        <v>73</v>
      </c>
      <c r="D777" t="s">
        <v>74</v>
      </c>
      <c r="E777" t="s">
        <v>86</v>
      </c>
      <c r="F777" s="55">
        <v>113</v>
      </c>
      <c r="G777" s="63">
        <v>7.1400000000000005E-2</v>
      </c>
    </row>
    <row r="778" spans="1:7" x14ac:dyDescent="0.2">
      <c r="A778" t="s">
        <v>89</v>
      </c>
      <c r="B778" t="s">
        <v>141</v>
      </c>
      <c r="C778" t="s">
        <v>73</v>
      </c>
      <c r="D778" t="s">
        <v>74</v>
      </c>
      <c r="E778" t="s">
        <v>87</v>
      </c>
      <c r="F778" s="55">
        <v>110</v>
      </c>
      <c r="G778" s="63">
        <v>7.4300000000000005E-2</v>
      </c>
    </row>
    <row r="779" spans="1:7" x14ac:dyDescent="0.2">
      <c r="A779" t="s">
        <v>89</v>
      </c>
      <c r="B779" t="s">
        <v>141</v>
      </c>
      <c r="C779" t="s">
        <v>73</v>
      </c>
      <c r="D779" t="s">
        <v>74</v>
      </c>
      <c r="E779" t="s">
        <v>88</v>
      </c>
      <c r="F779" s="55">
        <v>118</v>
      </c>
      <c r="G779" s="63">
        <v>4.2500000000000003E-2</v>
      </c>
    </row>
    <row r="780" spans="1:7" x14ac:dyDescent="0.2">
      <c r="A780" t="s">
        <v>71</v>
      </c>
      <c r="B780" t="s">
        <v>13</v>
      </c>
      <c r="C780" t="s">
        <v>73</v>
      </c>
      <c r="D780" t="s">
        <v>74</v>
      </c>
      <c r="E780" t="s">
        <v>75</v>
      </c>
      <c r="F780" s="55">
        <v>111</v>
      </c>
      <c r="G780" s="63">
        <v>0.33289999999999997</v>
      </c>
    </row>
    <row r="781" spans="1:7" x14ac:dyDescent="0.2">
      <c r="A781" t="s">
        <v>71</v>
      </c>
      <c r="B781" t="s">
        <v>13</v>
      </c>
      <c r="C781" t="s">
        <v>73</v>
      </c>
      <c r="D781" t="s">
        <v>74</v>
      </c>
      <c r="E781" t="s">
        <v>76</v>
      </c>
      <c r="F781" s="55">
        <v>107</v>
      </c>
      <c r="G781" s="63">
        <v>5.3600000000000002E-2</v>
      </c>
    </row>
    <row r="782" spans="1:7" x14ac:dyDescent="0.2">
      <c r="A782" t="s">
        <v>71</v>
      </c>
      <c r="B782" t="s">
        <v>13</v>
      </c>
      <c r="C782" t="s">
        <v>73</v>
      </c>
      <c r="D782" t="s">
        <v>74</v>
      </c>
      <c r="E782" t="s">
        <v>77</v>
      </c>
      <c r="F782" s="55">
        <v>108</v>
      </c>
      <c r="G782" s="63">
        <v>0.15079999999999999</v>
      </c>
    </row>
    <row r="783" spans="1:7" x14ac:dyDescent="0.2">
      <c r="A783" t="s">
        <v>71</v>
      </c>
      <c r="B783" t="s">
        <v>13</v>
      </c>
      <c r="C783" t="s">
        <v>73</v>
      </c>
      <c r="D783" t="s">
        <v>74</v>
      </c>
      <c r="E783" t="s">
        <v>78</v>
      </c>
      <c r="F783" s="55">
        <v>113</v>
      </c>
      <c r="G783" s="63">
        <v>0.13569999999999999</v>
      </c>
    </row>
    <row r="784" spans="1:7" x14ac:dyDescent="0.2">
      <c r="A784" t="s">
        <v>71</v>
      </c>
      <c r="B784" t="s">
        <v>13</v>
      </c>
      <c r="C784" t="s">
        <v>73</v>
      </c>
      <c r="D784" t="s">
        <v>74</v>
      </c>
      <c r="E784" t="s">
        <v>79</v>
      </c>
      <c r="F784" s="55">
        <v>118</v>
      </c>
      <c r="G784" s="63">
        <v>0.25480000000000003</v>
      </c>
    </row>
    <row r="785" spans="1:7" x14ac:dyDescent="0.2">
      <c r="A785" t="s">
        <v>71</v>
      </c>
      <c r="B785" t="s">
        <v>13</v>
      </c>
      <c r="C785" t="s">
        <v>73</v>
      </c>
      <c r="D785" t="s">
        <v>74</v>
      </c>
      <c r="E785" t="s">
        <v>80</v>
      </c>
      <c r="F785" s="55">
        <v>99</v>
      </c>
      <c r="G785" s="63">
        <v>8.9200000000000002E-2</v>
      </c>
    </row>
    <row r="786" spans="1:7" x14ac:dyDescent="0.2">
      <c r="A786" t="s">
        <v>71</v>
      </c>
      <c r="B786" t="s">
        <v>13</v>
      </c>
      <c r="C786" t="s">
        <v>73</v>
      </c>
      <c r="D786" t="s">
        <v>74</v>
      </c>
      <c r="E786" t="s">
        <v>81</v>
      </c>
      <c r="F786" s="55">
        <v>97</v>
      </c>
      <c r="G786" s="63">
        <v>9.1300000000000006E-2</v>
      </c>
    </row>
    <row r="787" spans="1:7" x14ac:dyDescent="0.2">
      <c r="A787" t="s">
        <v>71</v>
      </c>
      <c r="B787" t="s">
        <v>13</v>
      </c>
      <c r="C787" t="s">
        <v>73</v>
      </c>
      <c r="D787" t="s">
        <v>74</v>
      </c>
      <c r="E787" t="s">
        <v>82</v>
      </c>
      <c r="F787" s="55">
        <v>112</v>
      </c>
      <c r="G787" s="63">
        <v>0.20649999999999999</v>
      </c>
    </row>
    <row r="788" spans="1:7" x14ac:dyDescent="0.2">
      <c r="A788" t="s">
        <v>71</v>
      </c>
      <c r="B788" t="s">
        <v>13</v>
      </c>
      <c r="C788" t="s">
        <v>73</v>
      </c>
      <c r="D788" t="s">
        <v>74</v>
      </c>
      <c r="E788" t="s">
        <v>83</v>
      </c>
      <c r="F788" s="55">
        <v>104</v>
      </c>
      <c r="G788" s="63">
        <v>4.5900000000000003E-2</v>
      </c>
    </row>
    <row r="789" spans="1:7" x14ac:dyDescent="0.2">
      <c r="A789" t="s">
        <v>71</v>
      </c>
      <c r="B789" t="s">
        <v>13</v>
      </c>
      <c r="C789" t="s">
        <v>73</v>
      </c>
      <c r="D789" t="s">
        <v>74</v>
      </c>
      <c r="E789" t="s">
        <v>84</v>
      </c>
      <c r="F789" s="55">
        <v>113</v>
      </c>
      <c r="G789" s="63">
        <v>0.11260000000000001</v>
      </c>
    </row>
    <row r="790" spans="1:7" x14ac:dyDescent="0.2">
      <c r="A790" t="s">
        <v>71</v>
      </c>
      <c r="B790" t="s">
        <v>13</v>
      </c>
      <c r="C790" t="s">
        <v>73</v>
      </c>
      <c r="D790" t="s">
        <v>74</v>
      </c>
      <c r="E790" t="s">
        <v>85</v>
      </c>
      <c r="F790" s="55">
        <v>109</v>
      </c>
      <c r="G790" s="63">
        <v>0.1178</v>
      </c>
    </row>
    <row r="791" spans="1:7" x14ac:dyDescent="0.2">
      <c r="A791" t="s">
        <v>71</v>
      </c>
      <c r="B791" t="s">
        <v>13</v>
      </c>
      <c r="C791" t="s">
        <v>73</v>
      </c>
      <c r="D791" t="s">
        <v>74</v>
      </c>
      <c r="E791" t="s">
        <v>86</v>
      </c>
      <c r="F791" s="55">
        <v>113</v>
      </c>
      <c r="G791" s="63">
        <v>0.1613</v>
      </c>
    </row>
    <row r="792" spans="1:7" x14ac:dyDescent="0.2">
      <c r="A792" t="s">
        <v>71</v>
      </c>
      <c r="B792" t="s">
        <v>13</v>
      </c>
      <c r="C792" t="s">
        <v>73</v>
      </c>
      <c r="D792" t="s">
        <v>74</v>
      </c>
      <c r="E792" t="s">
        <v>87</v>
      </c>
      <c r="F792" s="55">
        <v>120</v>
      </c>
      <c r="G792" s="63">
        <v>0.1739</v>
      </c>
    </row>
    <row r="793" spans="1:7" x14ac:dyDescent="0.2">
      <c r="A793" t="s">
        <v>71</v>
      </c>
      <c r="B793" t="s">
        <v>13</v>
      </c>
      <c r="C793" t="s">
        <v>73</v>
      </c>
      <c r="D793" t="s">
        <v>74</v>
      </c>
      <c r="E793" t="s">
        <v>88</v>
      </c>
      <c r="F793" s="55">
        <v>106</v>
      </c>
      <c r="G793" s="63">
        <v>9.1700000000000004E-2</v>
      </c>
    </row>
    <row r="794" spans="1:7" x14ac:dyDescent="0.2">
      <c r="A794" t="s">
        <v>89</v>
      </c>
      <c r="B794" t="s">
        <v>142</v>
      </c>
      <c r="C794" t="s">
        <v>73</v>
      </c>
      <c r="D794" t="s">
        <v>74</v>
      </c>
      <c r="E794" t="s">
        <v>75</v>
      </c>
      <c r="F794" s="55">
        <v>132</v>
      </c>
      <c r="G794" s="63">
        <v>6.1000000000000004E-3</v>
      </c>
    </row>
    <row r="795" spans="1:7" x14ac:dyDescent="0.2">
      <c r="A795" t="s">
        <v>89</v>
      </c>
      <c r="B795" t="s">
        <v>142</v>
      </c>
      <c r="C795" t="s">
        <v>73</v>
      </c>
      <c r="D795" t="s">
        <v>74</v>
      </c>
      <c r="E795" t="s">
        <v>77</v>
      </c>
      <c r="F795" s="55">
        <v>98</v>
      </c>
      <c r="G795" s="63">
        <v>2.5000000000000001E-3</v>
      </c>
    </row>
    <row r="796" spans="1:7" x14ac:dyDescent="0.2">
      <c r="A796" t="s">
        <v>89</v>
      </c>
      <c r="B796" t="s">
        <v>142</v>
      </c>
      <c r="C796" t="s">
        <v>73</v>
      </c>
      <c r="D796" t="s">
        <v>74</v>
      </c>
      <c r="E796" t="s">
        <v>78</v>
      </c>
      <c r="F796" s="55">
        <v>114</v>
      </c>
      <c r="G796" s="63">
        <v>1.8E-3</v>
      </c>
    </row>
    <row r="797" spans="1:7" x14ac:dyDescent="0.2">
      <c r="A797" t="s">
        <v>89</v>
      </c>
      <c r="B797" t="s">
        <v>142</v>
      </c>
      <c r="C797" t="s">
        <v>73</v>
      </c>
      <c r="D797" t="s">
        <v>74</v>
      </c>
      <c r="E797" t="s">
        <v>79</v>
      </c>
      <c r="F797" s="55">
        <v>145</v>
      </c>
      <c r="G797" s="63">
        <v>3.5000000000000001E-3</v>
      </c>
    </row>
    <row r="798" spans="1:7" x14ac:dyDescent="0.2">
      <c r="A798" t="s">
        <v>89</v>
      </c>
      <c r="B798" t="s">
        <v>142</v>
      </c>
      <c r="C798" t="s">
        <v>73</v>
      </c>
      <c r="D798" t="s">
        <v>74</v>
      </c>
      <c r="E798" t="s">
        <v>82</v>
      </c>
      <c r="F798" s="55">
        <v>111</v>
      </c>
      <c r="G798" s="63">
        <v>3.0999999999999999E-3</v>
      </c>
    </row>
    <row r="799" spans="1:7" x14ac:dyDescent="0.2">
      <c r="A799" t="s">
        <v>89</v>
      </c>
      <c r="B799" t="s">
        <v>142</v>
      </c>
      <c r="C799" t="s">
        <v>73</v>
      </c>
      <c r="D799" t="s">
        <v>74</v>
      </c>
      <c r="E799" t="s">
        <v>84</v>
      </c>
      <c r="F799" s="55">
        <v>107</v>
      </c>
      <c r="G799" s="63">
        <v>1.5E-3</v>
      </c>
    </row>
    <row r="800" spans="1:7" x14ac:dyDescent="0.2">
      <c r="A800" t="s">
        <v>89</v>
      </c>
      <c r="B800" t="s">
        <v>142</v>
      </c>
      <c r="C800" t="s">
        <v>73</v>
      </c>
      <c r="D800" t="s">
        <v>74</v>
      </c>
      <c r="E800" t="s">
        <v>86</v>
      </c>
      <c r="F800" s="55">
        <v>130</v>
      </c>
      <c r="G800" s="63">
        <v>1.6000000000000001E-3</v>
      </c>
    </row>
    <row r="801" spans="1:7" x14ac:dyDescent="0.2">
      <c r="A801" t="s">
        <v>89</v>
      </c>
      <c r="B801" t="s">
        <v>142</v>
      </c>
      <c r="C801" t="s">
        <v>73</v>
      </c>
      <c r="D801" t="s">
        <v>74</v>
      </c>
      <c r="E801" t="s">
        <v>87</v>
      </c>
      <c r="F801" s="55">
        <v>142</v>
      </c>
      <c r="G801" s="63">
        <v>1.9E-3</v>
      </c>
    </row>
    <row r="802" spans="1:7" x14ac:dyDescent="0.2">
      <c r="A802" t="s">
        <v>89</v>
      </c>
      <c r="B802" t="s">
        <v>142</v>
      </c>
      <c r="C802" t="s">
        <v>73</v>
      </c>
      <c r="D802" t="s">
        <v>74</v>
      </c>
      <c r="E802" t="s">
        <v>88</v>
      </c>
      <c r="F802" s="55">
        <v>149</v>
      </c>
      <c r="G802" s="63">
        <v>1.6000000000000001E-3</v>
      </c>
    </row>
    <row r="803" spans="1:7" x14ac:dyDescent="0.2">
      <c r="A803" t="s">
        <v>89</v>
      </c>
      <c r="B803" t="s">
        <v>143</v>
      </c>
      <c r="C803" t="s">
        <v>73</v>
      </c>
      <c r="D803" t="s">
        <v>74</v>
      </c>
      <c r="E803" t="s">
        <v>75</v>
      </c>
      <c r="F803" s="55">
        <v>117</v>
      </c>
      <c r="G803" s="63">
        <v>0.23480000000000001</v>
      </c>
    </row>
    <row r="804" spans="1:7" x14ac:dyDescent="0.2">
      <c r="A804" t="s">
        <v>89</v>
      </c>
      <c r="B804" t="s">
        <v>143</v>
      </c>
      <c r="C804" t="s">
        <v>73</v>
      </c>
      <c r="D804" t="s">
        <v>74</v>
      </c>
      <c r="E804" t="s">
        <v>76</v>
      </c>
      <c r="F804" s="55">
        <v>112</v>
      </c>
      <c r="G804" s="63">
        <v>4.53E-2</v>
      </c>
    </row>
    <row r="805" spans="1:7" x14ac:dyDescent="0.2">
      <c r="A805" t="s">
        <v>89</v>
      </c>
      <c r="B805" t="s">
        <v>143</v>
      </c>
      <c r="C805" t="s">
        <v>73</v>
      </c>
      <c r="D805" t="s">
        <v>74</v>
      </c>
      <c r="E805" t="s">
        <v>77</v>
      </c>
      <c r="F805" s="55">
        <v>120</v>
      </c>
      <c r="G805" s="63">
        <v>0.1095</v>
      </c>
    </row>
    <row r="806" spans="1:7" x14ac:dyDescent="0.2">
      <c r="A806" t="s">
        <v>89</v>
      </c>
      <c r="B806" t="s">
        <v>143</v>
      </c>
      <c r="C806" t="s">
        <v>73</v>
      </c>
      <c r="D806" t="s">
        <v>74</v>
      </c>
      <c r="E806" t="s">
        <v>78</v>
      </c>
      <c r="F806" s="55">
        <v>116</v>
      </c>
      <c r="G806" s="63">
        <v>9.5899999999999999E-2</v>
      </c>
    </row>
    <row r="807" spans="1:7" x14ac:dyDescent="0.2">
      <c r="A807" t="s">
        <v>89</v>
      </c>
      <c r="B807" t="s">
        <v>143</v>
      </c>
      <c r="C807" t="s">
        <v>73</v>
      </c>
      <c r="D807" t="s">
        <v>74</v>
      </c>
      <c r="E807" t="s">
        <v>79</v>
      </c>
      <c r="F807" s="55">
        <v>122</v>
      </c>
      <c r="G807" s="63">
        <v>0.1658</v>
      </c>
    </row>
    <row r="808" spans="1:7" x14ac:dyDescent="0.2">
      <c r="A808" t="s">
        <v>89</v>
      </c>
      <c r="B808" t="s">
        <v>143</v>
      </c>
      <c r="C808" t="s">
        <v>73</v>
      </c>
      <c r="D808" t="s">
        <v>74</v>
      </c>
      <c r="E808" t="s">
        <v>80</v>
      </c>
      <c r="F808" s="55">
        <v>113</v>
      </c>
      <c r="G808" s="63">
        <v>6.0400000000000002E-2</v>
      </c>
    </row>
    <row r="809" spans="1:7" x14ac:dyDescent="0.2">
      <c r="A809" t="s">
        <v>89</v>
      </c>
      <c r="B809" t="s">
        <v>143</v>
      </c>
      <c r="C809" t="s">
        <v>73</v>
      </c>
      <c r="D809" t="s">
        <v>74</v>
      </c>
      <c r="E809" t="s">
        <v>81</v>
      </c>
      <c r="F809" s="55">
        <v>108</v>
      </c>
      <c r="G809" s="63">
        <v>6.5299999999999997E-2</v>
      </c>
    </row>
    <row r="810" spans="1:7" x14ac:dyDescent="0.2">
      <c r="A810" t="s">
        <v>89</v>
      </c>
      <c r="B810" t="s">
        <v>143</v>
      </c>
      <c r="C810" t="s">
        <v>73</v>
      </c>
      <c r="D810" t="s">
        <v>74</v>
      </c>
      <c r="E810" t="s">
        <v>82</v>
      </c>
      <c r="F810" s="55">
        <v>116</v>
      </c>
      <c r="G810" s="63">
        <v>0.13950000000000001</v>
      </c>
    </row>
    <row r="811" spans="1:7" x14ac:dyDescent="0.2">
      <c r="A811" t="s">
        <v>89</v>
      </c>
      <c r="B811" t="s">
        <v>143</v>
      </c>
      <c r="C811" t="s">
        <v>73</v>
      </c>
      <c r="D811" t="s">
        <v>74</v>
      </c>
      <c r="E811" t="s">
        <v>83</v>
      </c>
      <c r="F811" s="55">
        <v>106</v>
      </c>
      <c r="G811" s="63">
        <v>3.6600000000000001E-2</v>
      </c>
    </row>
    <row r="812" spans="1:7" x14ac:dyDescent="0.2">
      <c r="A812" t="s">
        <v>89</v>
      </c>
      <c r="B812" t="s">
        <v>143</v>
      </c>
      <c r="C812" t="s">
        <v>73</v>
      </c>
      <c r="D812" t="s">
        <v>74</v>
      </c>
      <c r="E812" t="s">
        <v>84</v>
      </c>
      <c r="F812" s="55">
        <v>116</v>
      </c>
      <c r="G812" s="63">
        <v>7.8700000000000006E-2</v>
      </c>
    </row>
    <row r="813" spans="1:7" x14ac:dyDescent="0.2">
      <c r="A813" t="s">
        <v>89</v>
      </c>
      <c r="B813" t="s">
        <v>143</v>
      </c>
      <c r="C813" t="s">
        <v>73</v>
      </c>
      <c r="D813" t="s">
        <v>74</v>
      </c>
      <c r="E813" t="s">
        <v>85</v>
      </c>
      <c r="F813" s="55">
        <v>121</v>
      </c>
      <c r="G813" s="63">
        <v>6.8599999999999994E-2</v>
      </c>
    </row>
    <row r="814" spans="1:7" x14ac:dyDescent="0.2">
      <c r="A814" t="s">
        <v>89</v>
      </c>
      <c r="B814" t="s">
        <v>143</v>
      </c>
      <c r="C814" t="s">
        <v>73</v>
      </c>
      <c r="D814" t="s">
        <v>74</v>
      </c>
      <c r="E814" t="s">
        <v>86</v>
      </c>
      <c r="F814" s="55">
        <v>125</v>
      </c>
      <c r="G814" s="63">
        <v>9.1899999999999996E-2</v>
      </c>
    </row>
    <row r="815" spans="1:7" x14ac:dyDescent="0.2">
      <c r="A815" t="s">
        <v>89</v>
      </c>
      <c r="B815" t="s">
        <v>143</v>
      </c>
      <c r="C815" t="s">
        <v>73</v>
      </c>
      <c r="D815" t="s">
        <v>74</v>
      </c>
      <c r="E815" t="s">
        <v>87</v>
      </c>
      <c r="F815" s="55">
        <v>123</v>
      </c>
      <c r="G815" s="63">
        <v>0.1018</v>
      </c>
    </row>
    <row r="816" spans="1:7" x14ac:dyDescent="0.2">
      <c r="A816" t="s">
        <v>89</v>
      </c>
      <c r="B816" t="s">
        <v>143</v>
      </c>
      <c r="C816" t="s">
        <v>73</v>
      </c>
      <c r="D816" t="s">
        <v>74</v>
      </c>
      <c r="E816" t="s">
        <v>88</v>
      </c>
      <c r="F816" s="55">
        <v>109</v>
      </c>
      <c r="G816" s="63">
        <v>6.9000000000000006E-2</v>
      </c>
    </row>
    <row r="817" spans="1:7" x14ac:dyDescent="0.2">
      <c r="A817" t="s">
        <v>71</v>
      </c>
      <c r="B817" t="s">
        <v>144</v>
      </c>
      <c r="C817" t="s">
        <v>73</v>
      </c>
      <c r="D817" t="s">
        <v>74</v>
      </c>
      <c r="E817" t="s">
        <v>75</v>
      </c>
      <c r="F817" s="55">
        <v>102</v>
      </c>
      <c r="G817" s="63">
        <v>0.2732</v>
      </c>
    </row>
    <row r="818" spans="1:7" x14ac:dyDescent="0.2">
      <c r="A818" t="s">
        <v>71</v>
      </c>
      <c r="B818" t="s">
        <v>144</v>
      </c>
      <c r="C818" t="s">
        <v>73</v>
      </c>
      <c r="D818" t="s">
        <v>74</v>
      </c>
      <c r="E818" t="s">
        <v>76</v>
      </c>
      <c r="F818" s="55">
        <v>101</v>
      </c>
      <c r="G818" s="63">
        <v>4.9000000000000002E-2</v>
      </c>
    </row>
    <row r="819" spans="1:7" x14ac:dyDescent="0.2">
      <c r="A819" t="s">
        <v>71</v>
      </c>
      <c r="B819" t="s">
        <v>144</v>
      </c>
      <c r="C819" t="s">
        <v>73</v>
      </c>
      <c r="D819" t="s">
        <v>74</v>
      </c>
      <c r="E819" t="s">
        <v>77</v>
      </c>
      <c r="F819" s="55">
        <v>103</v>
      </c>
      <c r="G819" s="63">
        <v>0.1124</v>
      </c>
    </row>
    <row r="820" spans="1:7" x14ac:dyDescent="0.2">
      <c r="A820" t="s">
        <v>71</v>
      </c>
      <c r="B820" t="s">
        <v>144</v>
      </c>
      <c r="C820" t="s">
        <v>73</v>
      </c>
      <c r="D820" t="s">
        <v>74</v>
      </c>
      <c r="E820" t="s">
        <v>78</v>
      </c>
      <c r="F820" s="55">
        <v>100</v>
      </c>
      <c r="G820" s="63">
        <v>8.2900000000000001E-2</v>
      </c>
    </row>
    <row r="821" spans="1:7" x14ac:dyDescent="0.2">
      <c r="A821" t="s">
        <v>71</v>
      </c>
      <c r="B821" t="s">
        <v>144</v>
      </c>
      <c r="C821" t="s">
        <v>73</v>
      </c>
      <c r="D821" t="s">
        <v>74</v>
      </c>
      <c r="E821" t="s">
        <v>79</v>
      </c>
      <c r="F821" s="55">
        <v>103</v>
      </c>
      <c r="G821" s="63">
        <v>0.16950000000000001</v>
      </c>
    </row>
    <row r="822" spans="1:7" x14ac:dyDescent="0.2">
      <c r="A822" t="s">
        <v>71</v>
      </c>
      <c r="B822" t="s">
        <v>144</v>
      </c>
      <c r="C822" t="s">
        <v>73</v>
      </c>
      <c r="D822" t="s">
        <v>74</v>
      </c>
      <c r="E822" t="s">
        <v>80</v>
      </c>
      <c r="F822" s="55">
        <v>104</v>
      </c>
      <c r="G822" s="63">
        <v>5.6899999999999999E-2</v>
      </c>
    </row>
    <row r="823" spans="1:7" x14ac:dyDescent="0.2">
      <c r="A823" t="s">
        <v>71</v>
      </c>
      <c r="B823" t="s">
        <v>144</v>
      </c>
      <c r="C823" t="s">
        <v>73</v>
      </c>
      <c r="D823" t="s">
        <v>74</v>
      </c>
      <c r="E823" t="s">
        <v>81</v>
      </c>
      <c r="F823" s="55">
        <v>99</v>
      </c>
      <c r="G823" s="63">
        <v>6.4899999999999999E-2</v>
      </c>
    </row>
    <row r="824" spans="1:7" x14ac:dyDescent="0.2">
      <c r="A824" t="s">
        <v>71</v>
      </c>
      <c r="B824" t="s">
        <v>144</v>
      </c>
      <c r="C824" t="s">
        <v>73</v>
      </c>
      <c r="D824" t="s">
        <v>74</v>
      </c>
      <c r="E824" t="s">
        <v>82</v>
      </c>
      <c r="F824" s="55">
        <v>104</v>
      </c>
      <c r="G824" s="63">
        <v>0.1351</v>
      </c>
    </row>
    <row r="825" spans="1:7" x14ac:dyDescent="0.2">
      <c r="A825" t="s">
        <v>71</v>
      </c>
      <c r="B825" t="s">
        <v>144</v>
      </c>
      <c r="C825" t="s">
        <v>73</v>
      </c>
      <c r="D825" t="s">
        <v>74</v>
      </c>
      <c r="E825" t="s">
        <v>83</v>
      </c>
      <c r="F825" s="55">
        <v>100</v>
      </c>
      <c r="G825" s="63">
        <v>3.6400000000000002E-2</v>
      </c>
    </row>
    <row r="826" spans="1:7" x14ac:dyDescent="0.2">
      <c r="A826" t="s">
        <v>71</v>
      </c>
      <c r="B826" t="s">
        <v>144</v>
      </c>
      <c r="C826" t="s">
        <v>73</v>
      </c>
      <c r="D826" t="s">
        <v>74</v>
      </c>
      <c r="E826" t="s">
        <v>84</v>
      </c>
      <c r="F826" s="55">
        <v>100</v>
      </c>
      <c r="G826" s="63">
        <v>6.5100000000000005E-2</v>
      </c>
    </row>
    <row r="827" spans="1:7" x14ac:dyDescent="0.2">
      <c r="A827" t="s">
        <v>71</v>
      </c>
      <c r="B827" t="s">
        <v>144</v>
      </c>
      <c r="C827" t="s">
        <v>73</v>
      </c>
      <c r="D827" t="s">
        <v>74</v>
      </c>
      <c r="E827" t="s">
        <v>85</v>
      </c>
      <c r="F827" s="55">
        <v>104</v>
      </c>
      <c r="G827" s="63">
        <v>6.0499999999999998E-2</v>
      </c>
    </row>
    <row r="828" spans="1:7" x14ac:dyDescent="0.2">
      <c r="A828" t="s">
        <v>71</v>
      </c>
      <c r="B828" t="s">
        <v>144</v>
      </c>
      <c r="C828" t="s">
        <v>73</v>
      </c>
      <c r="D828" t="s">
        <v>74</v>
      </c>
      <c r="E828" t="s">
        <v>86</v>
      </c>
      <c r="F828" s="55">
        <v>101</v>
      </c>
      <c r="G828" s="63">
        <v>7.3999999999999996E-2</v>
      </c>
    </row>
    <row r="829" spans="1:7" x14ac:dyDescent="0.2">
      <c r="A829" t="s">
        <v>71</v>
      </c>
      <c r="B829" t="s">
        <v>144</v>
      </c>
      <c r="C829" t="s">
        <v>73</v>
      </c>
      <c r="D829" t="s">
        <v>74</v>
      </c>
      <c r="E829" t="s">
        <v>87</v>
      </c>
      <c r="F829" s="55">
        <v>102</v>
      </c>
      <c r="G829" s="63">
        <v>8.1799999999999998E-2</v>
      </c>
    </row>
    <row r="830" spans="1:7" x14ac:dyDescent="0.2">
      <c r="A830" t="s">
        <v>71</v>
      </c>
      <c r="B830" t="s">
        <v>144</v>
      </c>
      <c r="C830" t="s">
        <v>73</v>
      </c>
      <c r="D830" t="s">
        <v>74</v>
      </c>
      <c r="E830" t="s">
        <v>88</v>
      </c>
      <c r="F830" s="55">
        <v>101</v>
      </c>
      <c r="G830" s="63">
        <v>7.5899999999999995E-2</v>
      </c>
    </row>
    <row r="831" spans="1:7" x14ac:dyDescent="0.2">
      <c r="A831" t="s">
        <v>71</v>
      </c>
      <c r="B831" t="s">
        <v>14</v>
      </c>
      <c r="C831" t="s">
        <v>73</v>
      </c>
      <c r="D831" t="s">
        <v>74</v>
      </c>
      <c r="E831" t="s">
        <v>75</v>
      </c>
      <c r="F831" s="55">
        <v>102</v>
      </c>
      <c r="G831" s="63">
        <v>0.42659999999999998</v>
      </c>
    </row>
    <row r="832" spans="1:7" x14ac:dyDescent="0.2">
      <c r="A832" t="s">
        <v>71</v>
      </c>
      <c r="B832" t="s">
        <v>14</v>
      </c>
      <c r="C832" t="s">
        <v>73</v>
      </c>
      <c r="D832" t="s">
        <v>74</v>
      </c>
      <c r="E832" t="s">
        <v>76</v>
      </c>
      <c r="F832" s="55">
        <v>99</v>
      </c>
      <c r="G832" s="63">
        <v>8.3400000000000002E-2</v>
      </c>
    </row>
    <row r="833" spans="1:7" x14ac:dyDescent="0.2">
      <c r="A833" t="s">
        <v>71</v>
      </c>
      <c r="B833" t="s">
        <v>14</v>
      </c>
      <c r="C833" t="s">
        <v>73</v>
      </c>
      <c r="D833" t="s">
        <v>74</v>
      </c>
      <c r="E833" t="s">
        <v>77</v>
      </c>
      <c r="F833" s="55">
        <v>107</v>
      </c>
      <c r="G833" s="63">
        <v>0.2127</v>
      </c>
    </row>
    <row r="834" spans="1:7" x14ac:dyDescent="0.2">
      <c r="A834" t="s">
        <v>71</v>
      </c>
      <c r="B834" t="s">
        <v>14</v>
      </c>
      <c r="C834" t="s">
        <v>73</v>
      </c>
      <c r="D834" t="s">
        <v>74</v>
      </c>
      <c r="E834" t="s">
        <v>78</v>
      </c>
      <c r="F834" s="55">
        <v>105</v>
      </c>
      <c r="G834" s="63">
        <v>0.19639999999999999</v>
      </c>
    </row>
    <row r="835" spans="1:7" x14ac:dyDescent="0.2">
      <c r="A835" t="s">
        <v>71</v>
      </c>
      <c r="B835" t="s">
        <v>14</v>
      </c>
      <c r="C835" t="s">
        <v>73</v>
      </c>
      <c r="D835" t="s">
        <v>74</v>
      </c>
      <c r="E835" t="s">
        <v>79</v>
      </c>
      <c r="F835" s="55">
        <v>102</v>
      </c>
      <c r="G835" s="63">
        <v>0.33739999999999998</v>
      </c>
    </row>
    <row r="836" spans="1:7" x14ac:dyDescent="0.2">
      <c r="A836" t="s">
        <v>71</v>
      </c>
      <c r="B836" t="s">
        <v>14</v>
      </c>
      <c r="C836" t="s">
        <v>73</v>
      </c>
      <c r="D836" t="s">
        <v>74</v>
      </c>
      <c r="E836" t="s">
        <v>80</v>
      </c>
      <c r="F836" s="55">
        <v>97</v>
      </c>
      <c r="G836" s="63">
        <v>0.12820000000000001</v>
      </c>
    </row>
    <row r="837" spans="1:7" x14ac:dyDescent="0.2">
      <c r="A837" t="s">
        <v>71</v>
      </c>
      <c r="B837" t="s">
        <v>14</v>
      </c>
      <c r="C837" t="s">
        <v>73</v>
      </c>
      <c r="D837" t="s">
        <v>74</v>
      </c>
      <c r="E837" t="s">
        <v>81</v>
      </c>
      <c r="F837" s="55">
        <v>95</v>
      </c>
      <c r="G837" s="63">
        <v>0.12280000000000001</v>
      </c>
    </row>
    <row r="838" spans="1:7" x14ac:dyDescent="0.2">
      <c r="A838" t="s">
        <v>71</v>
      </c>
      <c r="B838" t="s">
        <v>14</v>
      </c>
      <c r="C838" t="s">
        <v>73</v>
      </c>
      <c r="D838" t="s">
        <v>74</v>
      </c>
      <c r="E838" t="s">
        <v>82</v>
      </c>
      <c r="F838" s="55">
        <v>100</v>
      </c>
      <c r="G838" s="63">
        <v>0.27689999999999998</v>
      </c>
    </row>
    <row r="839" spans="1:7" x14ac:dyDescent="0.2">
      <c r="A839" t="s">
        <v>71</v>
      </c>
      <c r="B839" t="s">
        <v>14</v>
      </c>
      <c r="C839" t="s">
        <v>73</v>
      </c>
      <c r="D839" t="s">
        <v>74</v>
      </c>
      <c r="E839" t="s">
        <v>83</v>
      </c>
      <c r="F839" s="55">
        <v>98</v>
      </c>
      <c r="G839" s="63">
        <v>6.2899999999999998E-2</v>
      </c>
    </row>
    <row r="840" spans="1:7" x14ac:dyDescent="0.2">
      <c r="A840" t="s">
        <v>71</v>
      </c>
      <c r="B840" t="s">
        <v>14</v>
      </c>
      <c r="C840" t="s">
        <v>73</v>
      </c>
      <c r="D840" t="s">
        <v>74</v>
      </c>
      <c r="E840" t="s">
        <v>84</v>
      </c>
      <c r="F840" s="55">
        <v>107</v>
      </c>
      <c r="G840" s="63">
        <v>0.16350000000000001</v>
      </c>
    </row>
    <row r="841" spans="1:7" x14ac:dyDescent="0.2">
      <c r="A841" t="s">
        <v>71</v>
      </c>
      <c r="B841" t="s">
        <v>14</v>
      </c>
      <c r="C841" t="s">
        <v>73</v>
      </c>
      <c r="D841" t="s">
        <v>74</v>
      </c>
      <c r="E841" t="s">
        <v>85</v>
      </c>
      <c r="F841" s="55">
        <v>97</v>
      </c>
      <c r="G841" s="63">
        <v>0.1613</v>
      </c>
    </row>
    <row r="842" spans="1:7" x14ac:dyDescent="0.2">
      <c r="A842" t="s">
        <v>71</v>
      </c>
      <c r="B842" t="s">
        <v>14</v>
      </c>
      <c r="C842" t="s">
        <v>73</v>
      </c>
      <c r="D842" t="s">
        <v>74</v>
      </c>
      <c r="E842" t="s">
        <v>86</v>
      </c>
      <c r="F842" s="55">
        <v>99</v>
      </c>
      <c r="G842" s="63">
        <v>0.21460000000000001</v>
      </c>
    </row>
    <row r="843" spans="1:7" x14ac:dyDescent="0.2">
      <c r="A843" t="s">
        <v>71</v>
      </c>
      <c r="B843" t="s">
        <v>14</v>
      </c>
      <c r="C843" t="s">
        <v>73</v>
      </c>
      <c r="D843" t="s">
        <v>74</v>
      </c>
      <c r="E843" t="s">
        <v>87</v>
      </c>
      <c r="F843" s="55">
        <v>103</v>
      </c>
      <c r="G843" s="63">
        <v>0.2397</v>
      </c>
    </row>
    <row r="844" spans="1:7" x14ac:dyDescent="0.2">
      <c r="A844" t="s">
        <v>71</v>
      </c>
      <c r="B844" t="s">
        <v>14</v>
      </c>
      <c r="C844" t="s">
        <v>73</v>
      </c>
      <c r="D844" t="s">
        <v>74</v>
      </c>
      <c r="E844" t="s">
        <v>88</v>
      </c>
      <c r="F844" s="55">
        <v>99</v>
      </c>
      <c r="G844" s="63">
        <v>0.12820000000000001</v>
      </c>
    </row>
    <row r="845" spans="1:7" x14ac:dyDescent="0.2">
      <c r="A845" t="s">
        <v>89</v>
      </c>
      <c r="B845" t="s">
        <v>145</v>
      </c>
      <c r="C845" t="s">
        <v>73</v>
      </c>
      <c r="D845" t="s">
        <v>74</v>
      </c>
      <c r="E845" t="s">
        <v>75</v>
      </c>
      <c r="F845" s="55">
        <v>101</v>
      </c>
      <c r="G845" s="63">
        <v>0.16639999999999999</v>
      </c>
    </row>
    <row r="846" spans="1:7" x14ac:dyDescent="0.2">
      <c r="A846" t="s">
        <v>89</v>
      </c>
      <c r="B846" t="s">
        <v>145</v>
      </c>
      <c r="C846" t="s">
        <v>73</v>
      </c>
      <c r="D846" t="s">
        <v>74</v>
      </c>
      <c r="E846" t="s">
        <v>76</v>
      </c>
      <c r="F846" s="55">
        <v>105</v>
      </c>
      <c r="G846" s="63">
        <v>2.3900000000000001E-2</v>
      </c>
    </row>
    <row r="847" spans="1:7" x14ac:dyDescent="0.2">
      <c r="A847" t="s">
        <v>89</v>
      </c>
      <c r="B847" t="s">
        <v>145</v>
      </c>
      <c r="C847" t="s">
        <v>73</v>
      </c>
      <c r="D847" t="s">
        <v>74</v>
      </c>
      <c r="E847" t="s">
        <v>77</v>
      </c>
      <c r="F847" s="55">
        <v>105</v>
      </c>
      <c r="G847" s="63">
        <v>5.8999999999999997E-2</v>
      </c>
    </row>
    <row r="848" spans="1:7" x14ac:dyDescent="0.2">
      <c r="A848" t="s">
        <v>89</v>
      </c>
      <c r="B848" t="s">
        <v>145</v>
      </c>
      <c r="C848" t="s">
        <v>73</v>
      </c>
      <c r="D848" t="s">
        <v>74</v>
      </c>
      <c r="E848" t="s">
        <v>78</v>
      </c>
      <c r="F848" s="55">
        <v>106</v>
      </c>
      <c r="G848" s="63">
        <v>4.9399999999999999E-2</v>
      </c>
    </row>
    <row r="849" spans="1:7" x14ac:dyDescent="0.2">
      <c r="A849" t="s">
        <v>89</v>
      </c>
      <c r="B849" t="s">
        <v>145</v>
      </c>
      <c r="C849" t="s">
        <v>73</v>
      </c>
      <c r="D849" t="s">
        <v>74</v>
      </c>
      <c r="E849" t="s">
        <v>79</v>
      </c>
      <c r="F849" s="55">
        <v>101</v>
      </c>
      <c r="G849" s="63">
        <v>0.1085</v>
      </c>
    </row>
    <row r="850" spans="1:7" x14ac:dyDescent="0.2">
      <c r="A850" t="s">
        <v>89</v>
      </c>
      <c r="B850" t="s">
        <v>145</v>
      </c>
      <c r="C850" t="s">
        <v>73</v>
      </c>
      <c r="D850" t="s">
        <v>74</v>
      </c>
      <c r="E850" t="s">
        <v>80</v>
      </c>
      <c r="F850" s="55">
        <v>102</v>
      </c>
      <c r="G850" s="63">
        <v>3.85E-2</v>
      </c>
    </row>
    <row r="851" spans="1:7" x14ac:dyDescent="0.2">
      <c r="A851" t="s">
        <v>89</v>
      </c>
      <c r="B851" t="s">
        <v>145</v>
      </c>
      <c r="C851" t="s">
        <v>73</v>
      </c>
      <c r="D851" t="s">
        <v>74</v>
      </c>
      <c r="E851" t="s">
        <v>81</v>
      </c>
      <c r="F851" s="55">
        <v>101</v>
      </c>
      <c r="G851" s="63">
        <v>4.07E-2</v>
      </c>
    </row>
    <row r="852" spans="1:7" x14ac:dyDescent="0.2">
      <c r="A852" t="s">
        <v>89</v>
      </c>
      <c r="B852" t="s">
        <v>145</v>
      </c>
      <c r="C852" t="s">
        <v>73</v>
      </c>
      <c r="D852" t="s">
        <v>74</v>
      </c>
      <c r="E852" t="s">
        <v>82</v>
      </c>
      <c r="F852" s="55">
        <v>95</v>
      </c>
      <c r="G852" s="63">
        <v>7.9899999999999999E-2</v>
      </c>
    </row>
    <row r="853" spans="1:7" x14ac:dyDescent="0.2">
      <c r="A853" t="s">
        <v>89</v>
      </c>
      <c r="B853" t="s">
        <v>145</v>
      </c>
      <c r="C853" t="s">
        <v>73</v>
      </c>
      <c r="D853" t="s">
        <v>74</v>
      </c>
      <c r="E853" t="s">
        <v>83</v>
      </c>
      <c r="F853" s="55">
        <v>100</v>
      </c>
      <c r="G853" s="63">
        <v>1.9400000000000001E-2</v>
      </c>
    </row>
    <row r="854" spans="1:7" x14ac:dyDescent="0.2">
      <c r="A854" t="s">
        <v>89</v>
      </c>
      <c r="B854" t="s">
        <v>145</v>
      </c>
      <c r="C854" t="s">
        <v>73</v>
      </c>
      <c r="D854" t="s">
        <v>74</v>
      </c>
      <c r="E854" t="s">
        <v>84</v>
      </c>
      <c r="F854" s="55">
        <v>104</v>
      </c>
      <c r="G854" s="63">
        <v>3.8399999999999997E-2</v>
      </c>
    </row>
    <row r="855" spans="1:7" x14ac:dyDescent="0.2">
      <c r="A855" t="s">
        <v>89</v>
      </c>
      <c r="B855" t="s">
        <v>145</v>
      </c>
      <c r="C855" t="s">
        <v>73</v>
      </c>
      <c r="D855" t="s">
        <v>74</v>
      </c>
      <c r="E855" t="s">
        <v>85</v>
      </c>
      <c r="F855" s="55">
        <v>104</v>
      </c>
      <c r="G855" s="63">
        <v>4.4999999999999998E-2</v>
      </c>
    </row>
    <row r="856" spans="1:7" x14ac:dyDescent="0.2">
      <c r="A856" t="s">
        <v>89</v>
      </c>
      <c r="B856" t="s">
        <v>145</v>
      </c>
      <c r="C856" t="s">
        <v>73</v>
      </c>
      <c r="D856" t="s">
        <v>74</v>
      </c>
      <c r="E856" t="s">
        <v>86</v>
      </c>
      <c r="F856" s="55">
        <v>100</v>
      </c>
      <c r="G856" s="63">
        <v>5.3499999999999999E-2</v>
      </c>
    </row>
    <row r="857" spans="1:7" x14ac:dyDescent="0.2">
      <c r="A857" t="s">
        <v>89</v>
      </c>
      <c r="B857" t="s">
        <v>145</v>
      </c>
      <c r="C857" t="s">
        <v>73</v>
      </c>
      <c r="D857" t="s">
        <v>74</v>
      </c>
      <c r="E857" t="s">
        <v>87</v>
      </c>
      <c r="F857" s="55">
        <v>100</v>
      </c>
      <c r="G857" s="63">
        <v>6.0199999999999997E-2</v>
      </c>
    </row>
    <row r="858" spans="1:7" x14ac:dyDescent="0.2">
      <c r="A858" t="s">
        <v>89</v>
      </c>
      <c r="B858" t="s">
        <v>145</v>
      </c>
      <c r="C858" t="s">
        <v>73</v>
      </c>
      <c r="D858" t="s">
        <v>74</v>
      </c>
      <c r="E858" t="s">
        <v>88</v>
      </c>
      <c r="F858" s="55">
        <v>102</v>
      </c>
      <c r="G858" s="63">
        <v>0.04</v>
      </c>
    </row>
    <row r="859" spans="1:7" x14ac:dyDescent="0.2">
      <c r="A859" t="s">
        <v>89</v>
      </c>
      <c r="B859" t="s">
        <v>146</v>
      </c>
      <c r="C859" t="s">
        <v>73</v>
      </c>
      <c r="D859" t="s">
        <v>74</v>
      </c>
      <c r="E859" t="s">
        <v>75</v>
      </c>
      <c r="F859" s="55">
        <v>90</v>
      </c>
      <c r="G859" s="63">
        <v>0.2369</v>
      </c>
    </row>
    <row r="860" spans="1:7" x14ac:dyDescent="0.2">
      <c r="A860" t="s">
        <v>89</v>
      </c>
      <c r="B860" t="s">
        <v>146</v>
      </c>
      <c r="C860" t="s">
        <v>73</v>
      </c>
      <c r="D860" t="s">
        <v>74</v>
      </c>
      <c r="E860" t="s">
        <v>76</v>
      </c>
      <c r="F860" s="55">
        <v>90</v>
      </c>
      <c r="G860" s="63">
        <v>4.5199999999999997E-2</v>
      </c>
    </row>
    <row r="861" spans="1:7" x14ac:dyDescent="0.2">
      <c r="A861" t="s">
        <v>89</v>
      </c>
      <c r="B861" t="s">
        <v>146</v>
      </c>
      <c r="C861" t="s">
        <v>73</v>
      </c>
      <c r="D861" t="s">
        <v>74</v>
      </c>
      <c r="E861" t="s">
        <v>77</v>
      </c>
      <c r="F861" s="55">
        <v>97</v>
      </c>
      <c r="G861" s="63">
        <v>0.104</v>
      </c>
    </row>
    <row r="862" spans="1:7" x14ac:dyDescent="0.2">
      <c r="A862" t="s">
        <v>89</v>
      </c>
      <c r="B862" t="s">
        <v>146</v>
      </c>
      <c r="C862" t="s">
        <v>73</v>
      </c>
      <c r="D862" t="s">
        <v>74</v>
      </c>
      <c r="E862" t="s">
        <v>78</v>
      </c>
      <c r="F862" s="55">
        <v>90</v>
      </c>
      <c r="G862" s="63">
        <v>8.3900000000000002E-2</v>
      </c>
    </row>
    <row r="863" spans="1:7" x14ac:dyDescent="0.2">
      <c r="A863" t="s">
        <v>89</v>
      </c>
      <c r="B863" t="s">
        <v>146</v>
      </c>
      <c r="C863" t="s">
        <v>73</v>
      </c>
      <c r="D863" t="s">
        <v>74</v>
      </c>
      <c r="E863" t="s">
        <v>79</v>
      </c>
      <c r="F863" s="55">
        <v>87</v>
      </c>
      <c r="G863" s="63">
        <v>0.16389999999999999</v>
      </c>
    </row>
    <row r="864" spans="1:7" x14ac:dyDescent="0.2">
      <c r="A864" t="s">
        <v>89</v>
      </c>
      <c r="B864" t="s">
        <v>146</v>
      </c>
      <c r="C864" t="s">
        <v>73</v>
      </c>
      <c r="D864" t="s">
        <v>74</v>
      </c>
      <c r="E864" t="s">
        <v>80</v>
      </c>
      <c r="F864" s="55">
        <v>92</v>
      </c>
      <c r="G864" s="63">
        <v>6.2700000000000006E-2</v>
      </c>
    </row>
    <row r="865" spans="1:7" x14ac:dyDescent="0.2">
      <c r="A865" t="s">
        <v>89</v>
      </c>
      <c r="B865" t="s">
        <v>146</v>
      </c>
      <c r="C865" t="s">
        <v>73</v>
      </c>
      <c r="D865" t="s">
        <v>74</v>
      </c>
      <c r="E865" t="s">
        <v>81</v>
      </c>
      <c r="F865" s="55">
        <v>87</v>
      </c>
      <c r="G865" s="63">
        <v>6.6799999999999998E-2</v>
      </c>
    </row>
    <row r="866" spans="1:7" x14ac:dyDescent="0.2">
      <c r="A866" t="s">
        <v>89</v>
      </c>
      <c r="B866" t="s">
        <v>146</v>
      </c>
      <c r="C866" t="s">
        <v>73</v>
      </c>
      <c r="D866" t="s">
        <v>74</v>
      </c>
      <c r="E866" t="s">
        <v>82</v>
      </c>
      <c r="F866" s="55">
        <v>91</v>
      </c>
      <c r="G866" s="63">
        <v>0.12870000000000001</v>
      </c>
    </row>
    <row r="867" spans="1:7" x14ac:dyDescent="0.2">
      <c r="A867" t="s">
        <v>89</v>
      </c>
      <c r="B867" t="s">
        <v>146</v>
      </c>
      <c r="C867" t="s">
        <v>73</v>
      </c>
      <c r="D867" t="s">
        <v>74</v>
      </c>
      <c r="E867" t="s">
        <v>83</v>
      </c>
      <c r="F867" s="55">
        <v>87</v>
      </c>
      <c r="G867" s="63">
        <v>3.6499999999999998E-2</v>
      </c>
    </row>
    <row r="868" spans="1:7" x14ac:dyDescent="0.2">
      <c r="A868" t="s">
        <v>89</v>
      </c>
      <c r="B868" t="s">
        <v>146</v>
      </c>
      <c r="C868" t="s">
        <v>73</v>
      </c>
      <c r="D868" t="s">
        <v>74</v>
      </c>
      <c r="E868" t="s">
        <v>84</v>
      </c>
      <c r="F868" s="55">
        <v>93</v>
      </c>
      <c r="G868" s="63">
        <v>6.83E-2</v>
      </c>
    </row>
    <row r="869" spans="1:7" x14ac:dyDescent="0.2">
      <c r="A869" t="s">
        <v>89</v>
      </c>
      <c r="B869" t="s">
        <v>146</v>
      </c>
      <c r="C869" t="s">
        <v>73</v>
      </c>
      <c r="D869" t="s">
        <v>74</v>
      </c>
      <c r="E869" t="s">
        <v>85</v>
      </c>
      <c r="F869" s="55">
        <v>90</v>
      </c>
      <c r="G869" s="63">
        <v>6.9599999999999995E-2</v>
      </c>
    </row>
    <row r="870" spans="1:7" x14ac:dyDescent="0.2">
      <c r="A870" t="s">
        <v>89</v>
      </c>
      <c r="B870" t="s">
        <v>146</v>
      </c>
      <c r="C870" t="s">
        <v>73</v>
      </c>
      <c r="D870" t="s">
        <v>74</v>
      </c>
      <c r="E870" t="s">
        <v>86</v>
      </c>
      <c r="F870" s="55">
        <v>88</v>
      </c>
      <c r="G870" s="63">
        <v>8.4699999999999998E-2</v>
      </c>
    </row>
    <row r="871" spans="1:7" x14ac:dyDescent="0.2">
      <c r="A871" t="s">
        <v>89</v>
      </c>
      <c r="B871" t="s">
        <v>146</v>
      </c>
      <c r="C871" t="s">
        <v>73</v>
      </c>
      <c r="D871" t="s">
        <v>74</v>
      </c>
      <c r="E871" t="s">
        <v>87</v>
      </c>
      <c r="F871" s="55">
        <v>89</v>
      </c>
      <c r="G871" s="63">
        <v>9.4600000000000004E-2</v>
      </c>
    </row>
    <row r="872" spans="1:7" x14ac:dyDescent="0.2">
      <c r="A872" t="s">
        <v>89</v>
      </c>
      <c r="B872" t="s">
        <v>146</v>
      </c>
      <c r="C872" t="s">
        <v>73</v>
      </c>
      <c r="D872" t="s">
        <v>74</v>
      </c>
      <c r="E872" t="s">
        <v>88</v>
      </c>
      <c r="F872" s="55">
        <v>89</v>
      </c>
      <c r="G872" s="63">
        <v>6.7699999999999996E-2</v>
      </c>
    </row>
    <row r="873" spans="1:7" x14ac:dyDescent="0.2">
      <c r="A873" t="s">
        <v>89</v>
      </c>
      <c r="B873" t="s">
        <v>147</v>
      </c>
      <c r="C873" t="s">
        <v>73</v>
      </c>
      <c r="D873" t="s">
        <v>91</v>
      </c>
      <c r="E873" t="s">
        <v>75</v>
      </c>
      <c r="F873" s="55">
        <v>105</v>
      </c>
      <c r="G873" s="63">
        <v>0.43440000000000001</v>
      </c>
    </row>
    <row r="874" spans="1:7" x14ac:dyDescent="0.2">
      <c r="A874" t="s">
        <v>89</v>
      </c>
      <c r="B874" t="s">
        <v>147</v>
      </c>
      <c r="C874" t="s">
        <v>73</v>
      </c>
      <c r="D874" t="s">
        <v>91</v>
      </c>
      <c r="E874" t="s">
        <v>76</v>
      </c>
      <c r="F874" s="55">
        <v>102</v>
      </c>
      <c r="G874" s="63">
        <v>7.0999999999999994E-2</v>
      </c>
    </row>
    <row r="875" spans="1:7" x14ac:dyDescent="0.2">
      <c r="A875" t="s">
        <v>89</v>
      </c>
      <c r="B875" t="s">
        <v>147</v>
      </c>
      <c r="C875" t="s">
        <v>73</v>
      </c>
      <c r="D875" t="s">
        <v>91</v>
      </c>
      <c r="E875" t="s">
        <v>77</v>
      </c>
      <c r="F875" s="55">
        <v>108</v>
      </c>
      <c r="G875" s="63">
        <v>0.19789999999999999</v>
      </c>
    </row>
    <row r="876" spans="1:7" x14ac:dyDescent="0.2">
      <c r="A876" t="s">
        <v>89</v>
      </c>
      <c r="B876" t="s">
        <v>147</v>
      </c>
      <c r="C876" t="s">
        <v>73</v>
      </c>
      <c r="D876" t="s">
        <v>91</v>
      </c>
      <c r="E876" t="s">
        <v>78</v>
      </c>
      <c r="F876" s="55">
        <v>105</v>
      </c>
      <c r="G876" s="63">
        <v>0.16669999999999999</v>
      </c>
    </row>
    <row r="877" spans="1:7" x14ac:dyDescent="0.2">
      <c r="A877" t="s">
        <v>89</v>
      </c>
      <c r="B877" t="s">
        <v>147</v>
      </c>
      <c r="C877" t="s">
        <v>73</v>
      </c>
      <c r="D877" t="s">
        <v>91</v>
      </c>
      <c r="E877" t="s">
        <v>79</v>
      </c>
      <c r="F877" s="55">
        <v>105</v>
      </c>
      <c r="G877" s="63">
        <v>0.3332</v>
      </c>
    </row>
    <row r="878" spans="1:7" x14ac:dyDescent="0.2">
      <c r="A878" t="s">
        <v>89</v>
      </c>
      <c r="B878" t="s">
        <v>147</v>
      </c>
      <c r="C878" t="s">
        <v>73</v>
      </c>
      <c r="D878" t="s">
        <v>91</v>
      </c>
      <c r="E878" t="s">
        <v>80</v>
      </c>
      <c r="F878" s="55">
        <v>99</v>
      </c>
      <c r="G878" s="63">
        <v>0.1172</v>
      </c>
    </row>
    <row r="879" spans="1:7" x14ac:dyDescent="0.2">
      <c r="A879" t="s">
        <v>89</v>
      </c>
      <c r="B879" t="s">
        <v>147</v>
      </c>
      <c r="C879" t="s">
        <v>73</v>
      </c>
      <c r="D879" t="s">
        <v>91</v>
      </c>
      <c r="E879" t="s">
        <v>81</v>
      </c>
      <c r="F879" s="55">
        <v>94</v>
      </c>
      <c r="G879" s="63">
        <v>0.1119</v>
      </c>
    </row>
    <row r="880" spans="1:7" x14ac:dyDescent="0.2">
      <c r="A880" t="s">
        <v>89</v>
      </c>
      <c r="B880" t="s">
        <v>147</v>
      </c>
      <c r="C880" t="s">
        <v>73</v>
      </c>
      <c r="D880" t="s">
        <v>91</v>
      </c>
      <c r="E880" t="s">
        <v>82</v>
      </c>
      <c r="F880" s="55">
        <v>106</v>
      </c>
      <c r="G880" s="63">
        <v>0.25109999999999999</v>
      </c>
    </row>
    <row r="881" spans="1:7" x14ac:dyDescent="0.2">
      <c r="A881" t="s">
        <v>89</v>
      </c>
      <c r="B881" t="s">
        <v>147</v>
      </c>
      <c r="C881" t="s">
        <v>73</v>
      </c>
      <c r="D881" t="s">
        <v>91</v>
      </c>
      <c r="E881" t="s">
        <v>83</v>
      </c>
      <c r="F881" s="55">
        <v>100</v>
      </c>
      <c r="G881" s="63">
        <v>4.7300000000000002E-2</v>
      </c>
    </row>
    <row r="882" spans="1:7" x14ac:dyDescent="0.2">
      <c r="A882" t="s">
        <v>89</v>
      </c>
      <c r="B882" t="s">
        <v>147</v>
      </c>
      <c r="C882" t="s">
        <v>73</v>
      </c>
      <c r="D882" t="s">
        <v>91</v>
      </c>
      <c r="E882" t="s">
        <v>84</v>
      </c>
      <c r="F882" s="55">
        <v>106</v>
      </c>
      <c r="G882" s="63">
        <v>0.1358</v>
      </c>
    </row>
    <row r="883" spans="1:7" x14ac:dyDescent="0.2">
      <c r="A883" t="s">
        <v>89</v>
      </c>
      <c r="B883" t="s">
        <v>147</v>
      </c>
      <c r="C883" t="s">
        <v>73</v>
      </c>
      <c r="D883" t="s">
        <v>91</v>
      </c>
      <c r="E883" t="s">
        <v>85</v>
      </c>
      <c r="F883" s="55">
        <v>101</v>
      </c>
      <c r="G883" s="63">
        <v>0.1424</v>
      </c>
    </row>
    <row r="884" spans="1:7" x14ac:dyDescent="0.2">
      <c r="A884" t="s">
        <v>89</v>
      </c>
      <c r="B884" t="s">
        <v>147</v>
      </c>
      <c r="C884" t="s">
        <v>73</v>
      </c>
      <c r="D884" t="s">
        <v>91</v>
      </c>
      <c r="E884" t="s">
        <v>86</v>
      </c>
      <c r="F884" s="55">
        <v>103</v>
      </c>
      <c r="G884" s="63">
        <v>0.1845</v>
      </c>
    </row>
    <row r="885" spans="1:7" x14ac:dyDescent="0.2">
      <c r="A885" t="s">
        <v>89</v>
      </c>
      <c r="B885" t="s">
        <v>147</v>
      </c>
      <c r="C885" t="s">
        <v>73</v>
      </c>
      <c r="D885" t="s">
        <v>91</v>
      </c>
      <c r="E885" t="s">
        <v>87</v>
      </c>
      <c r="F885" s="55">
        <v>105</v>
      </c>
      <c r="G885" s="63">
        <v>0.20910000000000001</v>
      </c>
    </row>
    <row r="886" spans="1:7" x14ac:dyDescent="0.2">
      <c r="A886" t="s">
        <v>89</v>
      </c>
      <c r="B886" t="s">
        <v>147</v>
      </c>
      <c r="C886" t="s">
        <v>73</v>
      </c>
      <c r="D886" t="s">
        <v>91</v>
      </c>
      <c r="E886" t="s">
        <v>88</v>
      </c>
      <c r="F886" s="55">
        <v>99</v>
      </c>
      <c r="G886" s="63">
        <v>0.1143</v>
      </c>
    </row>
    <row r="887" spans="1:7" x14ac:dyDescent="0.2">
      <c r="A887" t="s">
        <v>71</v>
      </c>
      <c r="B887" t="s">
        <v>148</v>
      </c>
      <c r="C887" t="s">
        <v>73</v>
      </c>
      <c r="D887" t="s">
        <v>74</v>
      </c>
      <c r="E887" t="s">
        <v>75</v>
      </c>
      <c r="F887" s="55">
        <v>83</v>
      </c>
      <c r="G887" s="63">
        <v>5.8500000000000003E-2</v>
      </c>
    </row>
    <row r="888" spans="1:7" x14ac:dyDescent="0.2">
      <c r="A888" t="s">
        <v>71</v>
      </c>
      <c r="B888" t="s">
        <v>148</v>
      </c>
      <c r="C888" t="s">
        <v>73</v>
      </c>
      <c r="D888" t="s">
        <v>74</v>
      </c>
      <c r="E888" t="s">
        <v>76</v>
      </c>
      <c r="F888" s="55">
        <v>71</v>
      </c>
      <c r="G888" s="63">
        <v>7.9000000000000008E-3</v>
      </c>
    </row>
    <row r="889" spans="1:7" x14ac:dyDescent="0.2">
      <c r="A889" t="s">
        <v>71</v>
      </c>
      <c r="B889" t="s">
        <v>148</v>
      </c>
      <c r="C889" t="s">
        <v>73</v>
      </c>
      <c r="D889" t="s">
        <v>74</v>
      </c>
      <c r="E889" t="s">
        <v>77</v>
      </c>
      <c r="F889" s="55">
        <v>80</v>
      </c>
      <c r="G889" s="63">
        <v>2.2599999999999999E-2</v>
      </c>
    </row>
    <row r="890" spans="1:7" x14ac:dyDescent="0.2">
      <c r="A890" t="s">
        <v>71</v>
      </c>
      <c r="B890" t="s">
        <v>148</v>
      </c>
      <c r="C890" t="s">
        <v>73</v>
      </c>
      <c r="D890" t="s">
        <v>74</v>
      </c>
      <c r="E890" t="s">
        <v>78</v>
      </c>
      <c r="F890" s="55">
        <v>88</v>
      </c>
      <c r="G890" s="63">
        <v>1.8100000000000002E-2</v>
      </c>
    </row>
    <row r="891" spans="1:7" x14ac:dyDescent="0.2">
      <c r="A891" t="s">
        <v>71</v>
      </c>
      <c r="B891" t="s">
        <v>148</v>
      </c>
      <c r="C891" t="s">
        <v>73</v>
      </c>
      <c r="D891" t="s">
        <v>74</v>
      </c>
      <c r="E891" t="s">
        <v>79</v>
      </c>
      <c r="F891" s="55">
        <v>83</v>
      </c>
      <c r="G891" s="63">
        <v>3.5400000000000001E-2</v>
      </c>
    </row>
    <row r="892" spans="1:7" x14ac:dyDescent="0.2">
      <c r="A892" t="s">
        <v>71</v>
      </c>
      <c r="B892" t="s">
        <v>148</v>
      </c>
      <c r="C892" t="s">
        <v>73</v>
      </c>
      <c r="D892" t="s">
        <v>74</v>
      </c>
      <c r="E892" t="s">
        <v>80</v>
      </c>
      <c r="F892" s="55">
        <v>84</v>
      </c>
      <c r="G892" s="63">
        <v>1.3299999999999999E-2</v>
      </c>
    </row>
    <row r="893" spans="1:7" x14ac:dyDescent="0.2">
      <c r="A893" t="s">
        <v>71</v>
      </c>
      <c r="B893" t="s">
        <v>148</v>
      </c>
      <c r="C893" t="s">
        <v>73</v>
      </c>
      <c r="D893" t="s">
        <v>74</v>
      </c>
      <c r="E893" t="s">
        <v>81</v>
      </c>
      <c r="F893" s="55">
        <v>85</v>
      </c>
      <c r="G893" s="63">
        <v>1.2699999999999999E-2</v>
      </c>
    </row>
    <row r="894" spans="1:7" x14ac:dyDescent="0.2">
      <c r="A894" t="s">
        <v>71</v>
      </c>
      <c r="B894" t="s">
        <v>148</v>
      </c>
      <c r="C894" t="s">
        <v>73</v>
      </c>
      <c r="D894" t="s">
        <v>74</v>
      </c>
      <c r="E894" t="s">
        <v>82</v>
      </c>
      <c r="F894" s="55">
        <v>83</v>
      </c>
      <c r="G894" s="63">
        <v>2.8799999999999999E-2</v>
      </c>
    </row>
    <row r="895" spans="1:7" x14ac:dyDescent="0.2">
      <c r="A895" t="s">
        <v>71</v>
      </c>
      <c r="B895" t="s">
        <v>148</v>
      </c>
      <c r="C895" t="s">
        <v>73</v>
      </c>
      <c r="D895" t="s">
        <v>74</v>
      </c>
      <c r="E895" t="s">
        <v>83</v>
      </c>
      <c r="F895" s="55">
        <v>79</v>
      </c>
      <c r="G895" s="63">
        <v>5.7999999999999996E-3</v>
      </c>
    </row>
    <row r="896" spans="1:7" x14ac:dyDescent="0.2">
      <c r="A896" t="s">
        <v>71</v>
      </c>
      <c r="B896" t="s">
        <v>148</v>
      </c>
      <c r="C896" t="s">
        <v>73</v>
      </c>
      <c r="D896" t="s">
        <v>74</v>
      </c>
      <c r="E896" t="s">
        <v>84</v>
      </c>
      <c r="F896" s="55">
        <v>90</v>
      </c>
      <c r="G896" s="63">
        <v>1.47E-2</v>
      </c>
    </row>
    <row r="897" spans="1:7" x14ac:dyDescent="0.2">
      <c r="A897" t="s">
        <v>71</v>
      </c>
      <c r="B897" t="s">
        <v>148</v>
      </c>
      <c r="C897" t="s">
        <v>73</v>
      </c>
      <c r="D897" t="s">
        <v>74</v>
      </c>
      <c r="E897" t="s">
        <v>85</v>
      </c>
      <c r="F897" s="55">
        <v>80</v>
      </c>
      <c r="G897" s="63">
        <v>1.29E-2</v>
      </c>
    </row>
    <row r="898" spans="1:7" x14ac:dyDescent="0.2">
      <c r="A898" t="s">
        <v>71</v>
      </c>
      <c r="B898" t="s">
        <v>148</v>
      </c>
      <c r="C898" t="s">
        <v>73</v>
      </c>
      <c r="D898" t="s">
        <v>74</v>
      </c>
      <c r="E898" t="s">
        <v>86</v>
      </c>
      <c r="F898" s="55">
        <v>81</v>
      </c>
      <c r="G898" s="63">
        <v>1.77E-2</v>
      </c>
    </row>
    <row r="899" spans="1:7" x14ac:dyDescent="0.2">
      <c r="A899" t="s">
        <v>71</v>
      </c>
      <c r="B899" t="s">
        <v>148</v>
      </c>
      <c r="C899" t="s">
        <v>73</v>
      </c>
      <c r="D899" t="s">
        <v>74</v>
      </c>
      <c r="E899" t="s">
        <v>87</v>
      </c>
      <c r="F899" s="55">
        <v>85</v>
      </c>
      <c r="G899" s="63">
        <v>1.8800000000000001E-2</v>
      </c>
    </row>
    <row r="900" spans="1:7" x14ac:dyDescent="0.2">
      <c r="A900" t="s">
        <v>71</v>
      </c>
      <c r="B900" t="s">
        <v>148</v>
      </c>
      <c r="C900" t="s">
        <v>73</v>
      </c>
      <c r="D900" t="s">
        <v>74</v>
      </c>
      <c r="E900" t="s">
        <v>88</v>
      </c>
      <c r="F900" s="55">
        <v>74</v>
      </c>
      <c r="G900" s="63">
        <v>1.3100000000000001E-2</v>
      </c>
    </row>
    <row r="901" spans="1:7" x14ac:dyDescent="0.2">
      <c r="A901" t="s">
        <v>71</v>
      </c>
      <c r="B901" t="s">
        <v>149</v>
      </c>
      <c r="C901" t="s">
        <v>73</v>
      </c>
      <c r="D901" t="s">
        <v>74</v>
      </c>
      <c r="E901" t="s">
        <v>75</v>
      </c>
      <c r="F901" s="55">
        <v>95</v>
      </c>
      <c r="G901" s="63">
        <v>0.35820000000000002</v>
      </c>
    </row>
    <row r="902" spans="1:7" x14ac:dyDescent="0.2">
      <c r="A902" t="s">
        <v>71</v>
      </c>
      <c r="B902" t="s">
        <v>149</v>
      </c>
      <c r="C902" t="s">
        <v>73</v>
      </c>
      <c r="D902" t="s">
        <v>74</v>
      </c>
      <c r="E902" t="s">
        <v>76</v>
      </c>
      <c r="F902" s="55">
        <v>97</v>
      </c>
      <c r="G902" s="63">
        <v>4.5999999999999999E-2</v>
      </c>
    </row>
    <row r="903" spans="1:7" x14ac:dyDescent="0.2">
      <c r="A903" t="s">
        <v>71</v>
      </c>
      <c r="B903" t="s">
        <v>149</v>
      </c>
      <c r="C903" t="s">
        <v>73</v>
      </c>
      <c r="D903" t="s">
        <v>74</v>
      </c>
      <c r="E903" t="s">
        <v>77</v>
      </c>
      <c r="F903" s="55">
        <v>113</v>
      </c>
      <c r="G903" s="63">
        <v>0.13650000000000001</v>
      </c>
    </row>
    <row r="904" spans="1:7" x14ac:dyDescent="0.2">
      <c r="A904" t="s">
        <v>71</v>
      </c>
      <c r="B904" t="s">
        <v>149</v>
      </c>
      <c r="C904" t="s">
        <v>73</v>
      </c>
      <c r="D904" t="s">
        <v>74</v>
      </c>
      <c r="E904" t="s">
        <v>78</v>
      </c>
      <c r="F904" s="55">
        <v>114</v>
      </c>
      <c r="G904" s="63">
        <v>0.1153</v>
      </c>
    </row>
    <row r="905" spans="1:7" x14ac:dyDescent="0.2">
      <c r="A905" t="s">
        <v>71</v>
      </c>
      <c r="B905" t="s">
        <v>149</v>
      </c>
      <c r="C905" t="s">
        <v>73</v>
      </c>
      <c r="D905" t="s">
        <v>74</v>
      </c>
      <c r="E905" t="s">
        <v>79</v>
      </c>
      <c r="F905" s="55">
        <v>94</v>
      </c>
      <c r="G905" s="63">
        <v>0.2606</v>
      </c>
    </row>
    <row r="906" spans="1:7" x14ac:dyDescent="0.2">
      <c r="A906" t="s">
        <v>71</v>
      </c>
      <c r="B906" t="s">
        <v>149</v>
      </c>
      <c r="C906" t="s">
        <v>73</v>
      </c>
      <c r="D906" t="s">
        <v>74</v>
      </c>
      <c r="E906" t="s">
        <v>80</v>
      </c>
      <c r="F906" s="55">
        <v>87</v>
      </c>
      <c r="G906" s="63">
        <v>9.0300000000000005E-2</v>
      </c>
    </row>
    <row r="907" spans="1:7" x14ac:dyDescent="0.2">
      <c r="A907" t="s">
        <v>71</v>
      </c>
      <c r="B907" t="s">
        <v>149</v>
      </c>
      <c r="C907" t="s">
        <v>73</v>
      </c>
      <c r="D907" t="s">
        <v>74</v>
      </c>
      <c r="E907" t="s">
        <v>81</v>
      </c>
      <c r="F907" s="55">
        <v>82</v>
      </c>
      <c r="G907" s="63">
        <v>8.5500000000000007E-2</v>
      </c>
    </row>
    <row r="908" spans="1:7" x14ac:dyDescent="0.2">
      <c r="A908" t="s">
        <v>71</v>
      </c>
      <c r="B908" t="s">
        <v>149</v>
      </c>
      <c r="C908" t="s">
        <v>73</v>
      </c>
      <c r="D908" t="s">
        <v>74</v>
      </c>
      <c r="E908" t="s">
        <v>82</v>
      </c>
      <c r="F908" s="55">
        <v>78</v>
      </c>
      <c r="G908" s="63">
        <v>0.2031</v>
      </c>
    </row>
    <row r="909" spans="1:7" x14ac:dyDescent="0.2">
      <c r="A909" t="s">
        <v>71</v>
      </c>
      <c r="B909" t="s">
        <v>149</v>
      </c>
      <c r="C909" t="s">
        <v>73</v>
      </c>
      <c r="D909" t="s">
        <v>74</v>
      </c>
      <c r="E909" t="s">
        <v>83</v>
      </c>
      <c r="F909" s="55">
        <v>74</v>
      </c>
      <c r="G909" s="63">
        <v>3.04E-2</v>
      </c>
    </row>
    <row r="910" spans="1:7" x14ac:dyDescent="0.2">
      <c r="A910" t="s">
        <v>71</v>
      </c>
      <c r="B910" t="s">
        <v>149</v>
      </c>
      <c r="C910" t="s">
        <v>73</v>
      </c>
      <c r="D910" t="s">
        <v>74</v>
      </c>
      <c r="E910" t="s">
        <v>84</v>
      </c>
      <c r="F910" s="55">
        <v>114</v>
      </c>
      <c r="G910" s="63">
        <v>9.1800000000000007E-2</v>
      </c>
    </row>
    <row r="911" spans="1:7" x14ac:dyDescent="0.2">
      <c r="A911" t="s">
        <v>71</v>
      </c>
      <c r="B911" t="s">
        <v>149</v>
      </c>
      <c r="C911" t="s">
        <v>73</v>
      </c>
      <c r="D911" t="s">
        <v>74</v>
      </c>
      <c r="E911" t="s">
        <v>85</v>
      </c>
      <c r="F911" s="55">
        <v>95</v>
      </c>
      <c r="G911" s="63">
        <v>0.1071</v>
      </c>
    </row>
    <row r="912" spans="1:7" x14ac:dyDescent="0.2">
      <c r="A912" t="s">
        <v>71</v>
      </c>
      <c r="B912" t="s">
        <v>149</v>
      </c>
      <c r="C912" t="s">
        <v>73</v>
      </c>
      <c r="D912" t="s">
        <v>74</v>
      </c>
      <c r="E912" t="s">
        <v>86</v>
      </c>
      <c r="F912" s="55">
        <v>92</v>
      </c>
      <c r="G912" s="63">
        <v>0.1464</v>
      </c>
    </row>
    <row r="913" spans="1:7" x14ac:dyDescent="0.2">
      <c r="A913" t="s">
        <v>71</v>
      </c>
      <c r="B913" t="s">
        <v>149</v>
      </c>
      <c r="C913" t="s">
        <v>73</v>
      </c>
      <c r="D913" t="s">
        <v>74</v>
      </c>
      <c r="E913" t="s">
        <v>87</v>
      </c>
      <c r="F913" s="55">
        <v>94</v>
      </c>
      <c r="G913" s="63">
        <v>0.1603</v>
      </c>
    </row>
    <row r="914" spans="1:7" x14ac:dyDescent="0.2">
      <c r="A914" t="s">
        <v>71</v>
      </c>
      <c r="B914" t="s">
        <v>149</v>
      </c>
      <c r="C914" t="s">
        <v>73</v>
      </c>
      <c r="D914" t="s">
        <v>74</v>
      </c>
      <c r="E914" t="s">
        <v>88</v>
      </c>
      <c r="F914" s="55">
        <v>92</v>
      </c>
      <c r="G914" s="63">
        <v>7.4800000000000005E-2</v>
      </c>
    </row>
    <row r="915" spans="1:7" x14ac:dyDescent="0.2">
      <c r="A915" t="s">
        <v>89</v>
      </c>
      <c r="B915" t="s">
        <v>150</v>
      </c>
      <c r="C915" t="s">
        <v>73</v>
      </c>
      <c r="D915" t="s">
        <v>74</v>
      </c>
      <c r="E915" t="s">
        <v>75</v>
      </c>
      <c r="F915" s="55">
        <v>101</v>
      </c>
      <c r="G915" s="63">
        <v>4.2200000000000001E-2</v>
      </c>
    </row>
    <row r="916" spans="1:7" x14ac:dyDescent="0.2">
      <c r="A916" t="s">
        <v>89</v>
      </c>
      <c r="B916" t="s">
        <v>150</v>
      </c>
      <c r="C916" t="s">
        <v>73</v>
      </c>
      <c r="D916" t="s">
        <v>74</v>
      </c>
      <c r="E916" t="s">
        <v>76</v>
      </c>
      <c r="F916" s="55">
        <v>79</v>
      </c>
      <c r="G916" s="63">
        <v>3.2000000000000002E-3</v>
      </c>
    </row>
    <row r="917" spans="1:7" x14ac:dyDescent="0.2">
      <c r="A917" t="s">
        <v>89</v>
      </c>
      <c r="B917" t="s">
        <v>150</v>
      </c>
      <c r="C917" t="s">
        <v>73</v>
      </c>
      <c r="D917" t="s">
        <v>74</v>
      </c>
      <c r="E917" t="s">
        <v>77</v>
      </c>
      <c r="F917" s="55">
        <v>120</v>
      </c>
      <c r="G917" s="63">
        <v>1.14E-2</v>
      </c>
    </row>
    <row r="918" spans="1:7" x14ac:dyDescent="0.2">
      <c r="A918" t="s">
        <v>89</v>
      </c>
      <c r="B918" t="s">
        <v>150</v>
      </c>
      <c r="C918" t="s">
        <v>73</v>
      </c>
      <c r="D918" t="s">
        <v>74</v>
      </c>
      <c r="E918" t="s">
        <v>78</v>
      </c>
      <c r="F918" s="55">
        <v>106</v>
      </c>
      <c r="G918" s="63">
        <v>8.9999999999999993E-3</v>
      </c>
    </row>
    <row r="919" spans="1:7" x14ac:dyDescent="0.2">
      <c r="A919" t="s">
        <v>89</v>
      </c>
      <c r="B919" t="s">
        <v>150</v>
      </c>
      <c r="C919" t="s">
        <v>73</v>
      </c>
      <c r="D919" t="s">
        <v>74</v>
      </c>
      <c r="E919" t="s">
        <v>79</v>
      </c>
      <c r="F919" s="55">
        <v>93</v>
      </c>
      <c r="G919" s="63">
        <v>2.41E-2</v>
      </c>
    </row>
    <row r="920" spans="1:7" x14ac:dyDescent="0.2">
      <c r="A920" t="s">
        <v>89</v>
      </c>
      <c r="B920" t="s">
        <v>150</v>
      </c>
      <c r="C920" t="s">
        <v>73</v>
      </c>
      <c r="D920" t="s">
        <v>74</v>
      </c>
      <c r="E920" t="s">
        <v>80</v>
      </c>
      <c r="F920" s="55">
        <v>85</v>
      </c>
      <c r="G920" s="63">
        <v>6.3E-3</v>
      </c>
    </row>
    <row r="921" spans="1:7" x14ac:dyDescent="0.2">
      <c r="A921" t="s">
        <v>89</v>
      </c>
      <c r="B921" t="s">
        <v>150</v>
      </c>
      <c r="C921" t="s">
        <v>73</v>
      </c>
      <c r="D921" t="s">
        <v>74</v>
      </c>
      <c r="E921" t="s">
        <v>81</v>
      </c>
      <c r="F921" s="55">
        <v>82</v>
      </c>
      <c r="G921" s="63">
        <v>6.7999999999999996E-3</v>
      </c>
    </row>
    <row r="922" spans="1:7" x14ac:dyDescent="0.2">
      <c r="A922" t="s">
        <v>89</v>
      </c>
      <c r="B922" t="s">
        <v>150</v>
      </c>
      <c r="C922" t="s">
        <v>73</v>
      </c>
      <c r="D922" t="s">
        <v>74</v>
      </c>
      <c r="E922" t="s">
        <v>82</v>
      </c>
      <c r="F922" s="55">
        <v>106</v>
      </c>
      <c r="G922" s="63">
        <v>2.1000000000000001E-2</v>
      </c>
    </row>
    <row r="923" spans="1:7" x14ac:dyDescent="0.2">
      <c r="A923" t="s">
        <v>89</v>
      </c>
      <c r="B923" t="s">
        <v>150</v>
      </c>
      <c r="C923" t="s">
        <v>73</v>
      </c>
      <c r="D923" t="s">
        <v>74</v>
      </c>
      <c r="E923" t="s">
        <v>83</v>
      </c>
      <c r="F923" s="55">
        <v>54</v>
      </c>
      <c r="G923" s="63">
        <v>2.5000000000000001E-3</v>
      </c>
    </row>
    <row r="924" spans="1:7" x14ac:dyDescent="0.2">
      <c r="A924" t="s">
        <v>89</v>
      </c>
      <c r="B924" t="s">
        <v>150</v>
      </c>
      <c r="C924" t="s">
        <v>73</v>
      </c>
      <c r="D924" t="s">
        <v>74</v>
      </c>
      <c r="E924" t="s">
        <v>84</v>
      </c>
      <c r="F924" s="55">
        <v>112</v>
      </c>
      <c r="G924" s="63">
        <v>6.7999999999999996E-3</v>
      </c>
    </row>
    <row r="925" spans="1:7" x14ac:dyDescent="0.2">
      <c r="A925" t="s">
        <v>89</v>
      </c>
      <c r="B925" t="s">
        <v>150</v>
      </c>
      <c r="C925" t="s">
        <v>73</v>
      </c>
      <c r="D925" t="s">
        <v>74</v>
      </c>
      <c r="E925" t="s">
        <v>85</v>
      </c>
      <c r="F925" s="55">
        <v>106</v>
      </c>
      <c r="G925" s="63">
        <v>7.1000000000000004E-3</v>
      </c>
    </row>
    <row r="926" spans="1:7" x14ac:dyDescent="0.2">
      <c r="A926" t="s">
        <v>89</v>
      </c>
      <c r="B926" t="s">
        <v>150</v>
      </c>
      <c r="C926" t="s">
        <v>73</v>
      </c>
      <c r="D926" t="s">
        <v>74</v>
      </c>
      <c r="E926" t="s">
        <v>86</v>
      </c>
      <c r="F926" s="55">
        <v>103</v>
      </c>
      <c r="G926" s="63">
        <v>9.1999999999999998E-3</v>
      </c>
    </row>
    <row r="927" spans="1:7" x14ac:dyDescent="0.2">
      <c r="A927" t="s">
        <v>89</v>
      </c>
      <c r="B927" t="s">
        <v>150</v>
      </c>
      <c r="C927" t="s">
        <v>73</v>
      </c>
      <c r="D927" t="s">
        <v>74</v>
      </c>
      <c r="E927" t="s">
        <v>87</v>
      </c>
      <c r="F927" s="55">
        <v>93</v>
      </c>
      <c r="G927" s="63">
        <v>9.9000000000000008E-3</v>
      </c>
    </row>
    <row r="928" spans="1:7" x14ac:dyDescent="0.2">
      <c r="A928" t="s">
        <v>89</v>
      </c>
      <c r="B928" t="s">
        <v>150</v>
      </c>
      <c r="C928" t="s">
        <v>73</v>
      </c>
      <c r="D928" t="s">
        <v>74</v>
      </c>
      <c r="E928" t="s">
        <v>88</v>
      </c>
      <c r="F928" s="55">
        <v>96</v>
      </c>
      <c r="G928" s="63">
        <v>7.4000000000000003E-3</v>
      </c>
    </row>
    <row r="929" spans="1:7" x14ac:dyDescent="0.2">
      <c r="A929" t="s">
        <v>89</v>
      </c>
      <c r="B929" t="s">
        <v>151</v>
      </c>
      <c r="C929" t="s">
        <v>73</v>
      </c>
      <c r="D929" t="s">
        <v>74</v>
      </c>
      <c r="E929" t="s">
        <v>75</v>
      </c>
      <c r="F929" s="55">
        <v>113</v>
      </c>
      <c r="G929" s="63">
        <v>0.15920000000000001</v>
      </c>
    </row>
    <row r="930" spans="1:7" x14ac:dyDescent="0.2">
      <c r="A930" t="s">
        <v>89</v>
      </c>
      <c r="B930" t="s">
        <v>151</v>
      </c>
      <c r="C930" t="s">
        <v>73</v>
      </c>
      <c r="D930" t="s">
        <v>74</v>
      </c>
      <c r="E930" t="s">
        <v>76</v>
      </c>
      <c r="F930" s="55">
        <v>111</v>
      </c>
      <c r="G930" s="63">
        <v>2.6100000000000002E-2</v>
      </c>
    </row>
    <row r="931" spans="1:7" x14ac:dyDescent="0.2">
      <c r="A931" t="s">
        <v>89</v>
      </c>
      <c r="B931" t="s">
        <v>151</v>
      </c>
      <c r="C931" t="s">
        <v>73</v>
      </c>
      <c r="D931" t="s">
        <v>74</v>
      </c>
      <c r="E931" t="s">
        <v>77</v>
      </c>
      <c r="F931" s="55">
        <v>120</v>
      </c>
      <c r="G931" s="63">
        <v>6.83E-2</v>
      </c>
    </row>
    <row r="932" spans="1:7" x14ac:dyDescent="0.2">
      <c r="A932" t="s">
        <v>89</v>
      </c>
      <c r="B932" t="s">
        <v>151</v>
      </c>
      <c r="C932" t="s">
        <v>73</v>
      </c>
      <c r="D932" t="s">
        <v>74</v>
      </c>
      <c r="E932" t="s">
        <v>78</v>
      </c>
      <c r="F932" s="55">
        <v>112</v>
      </c>
      <c r="G932" s="63">
        <v>5.6599999999999998E-2</v>
      </c>
    </row>
    <row r="933" spans="1:7" x14ac:dyDescent="0.2">
      <c r="A933" t="s">
        <v>89</v>
      </c>
      <c r="B933" t="s">
        <v>151</v>
      </c>
      <c r="C933" t="s">
        <v>73</v>
      </c>
      <c r="D933" t="s">
        <v>74</v>
      </c>
      <c r="E933" t="s">
        <v>79</v>
      </c>
      <c r="F933" s="55">
        <v>115</v>
      </c>
      <c r="G933" s="63">
        <v>0.1033</v>
      </c>
    </row>
    <row r="934" spans="1:7" x14ac:dyDescent="0.2">
      <c r="A934" t="s">
        <v>89</v>
      </c>
      <c r="B934" t="s">
        <v>151</v>
      </c>
      <c r="C934" t="s">
        <v>73</v>
      </c>
      <c r="D934" t="s">
        <v>74</v>
      </c>
      <c r="E934" t="s">
        <v>80</v>
      </c>
      <c r="F934" s="55">
        <v>108</v>
      </c>
      <c r="G934" s="63">
        <v>3.3799999999999997E-2</v>
      </c>
    </row>
    <row r="935" spans="1:7" x14ac:dyDescent="0.2">
      <c r="A935" t="s">
        <v>89</v>
      </c>
      <c r="B935" t="s">
        <v>151</v>
      </c>
      <c r="C935" t="s">
        <v>73</v>
      </c>
      <c r="D935" t="s">
        <v>74</v>
      </c>
      <c r="E935" t="s">
        <v>81</v>
      </c>
      <c r="F935" s="55">
        <v>111</v>
      </c>
      <c r="G935" s="63">
        <v>3.5400000000000001E-2</v>
      </c>
    </row>
    <row r="936" spans="1:7" x14ac:dyDescent="0.2">
      <c r="A936" t="s">
        <v>89</v>
      </c>
      <c r="B936" t="s">
        <v>151</v>
      </c>
      <c r="C936" t="s">
        <v>73</v>
      </c>
      <c r="D936" t="s">
        <v>74</v>
      </c>
      <c r="E936" t="s">
        <v>82</v>
      </c>
      <c r="F936" s="55">
        <v>108</v>
      </c>
      <c r="G936" s="63">
        <v>8.6999999999999994E-2</v>
      </c>
    </row>
    <row r="937" spans="1:7" x14ac:dyDescent="0.2">
      <c r="A937" t="s">
        <v>89</v>
      </c>
      <c r="B937" t="s">
        <v>151</v>
      </c>
      <c r="C937" t="s">
        <v>73</v>
      </c>
      <c r="D937" t="s">
        <v>74</v>
      </c>
      <c r="E937" t="s">
        <v>83</v>
      </c>
      <c r="F937" s="55">
        <v>111</v>
      </c>
      <c r="G937" s="63">
        <v>1.8200000000000001E-2</v>
      </c>
    </row>
    <row r="938" spans="1:7" x14ac:dyDescent="0.2">
      <c r="A938" t="s">
        <v>89</v>
      </c>
      <c r="B938" t="s">
        <v>151</v>
      </c>
      <c r="C938" t="s">
        <v>73</v>
      </c>
      <c r="D938" t="s">
        <v>74</v>
      </c>
      <c r="E938" t="s">
        <v>84</v>
      </c>
      <c r="F938" s="55">
        <v>115</v>
      </c>
      <c r="G938" s="63">
        <v>4.58E-2</v>
      </c>
    </row>
    <row r="939" spans="1:7" x14ac:dyDescent="0.2">
      <c r="A939" t="s">
        <v>89</v>
      </c>
      <c r="B939" t="s">
        <v>151</v>
      </c>
      <c r="C939" t="s">
        <v>73</v>
      </c>
      <c r="D939" t="s">
        <v>74</v>
      </c>
      <c r="E939" t="s">
        <v>85</v>
      </c>
      <c r="F939" s="55">
        <v>115</v>
      </c>
      <c r="G939" s="63">
        <v>4.0800000000000003E-2</v>
      </c>
    </row>
    <row r="940" spans="1:7" x14ac:dyDescent="0.2">
      <c r="A940" t="s">
        <v>89</v>
      </c>
      <c r="B940" t="s">
        <v>151</v>
      </c>
      <c r="C940" t="s">
        <v>73</v>
      </c>
      <c r="D940" t="s">
        <v>74</v>
      </c>
      <c r="E940" t="s">
        <v>86</v>
      </c>
      <c r="F940" s="55">
        <v>116</v>
      </c>
      <c r="G940" s="63">
        <v>5.3600000000000002E-2</v>
      </c>
    </row>
    <row r="941" spans="1:7" x14ac:dyDescent="0.2">
      <c r="A941" t="s">
        <v>89</v>
      </c>
      <c r="B941" t="s">
        <v>151</v>
      </c>
      <c r="C941" t="s">
        <v>73</v>
      </c>
      <c r="D941" t="s">
        <v>74</v>
      </c>
      <c r="E941" t="s">
        <v>87</v>
      </c>
      <c r="F941" s="55">
        <v>115</v>
      </c>
      <c r="G941" s="63">
        <v>6.1199999999999997E-2</v>
      </c>
    </row>
    <row r="942" spans="1:7" x14ac:dyDescent="0.2">
      <c r="A942" t="s">
        <v>89</v>
      </c>
      <c r="B942" t="s">
        <v>151</v>
      </c>
      <c r="C942" t="s">
        <v>73</v>
      </c>
      <c r="D942" t="s">
        <v>74</v>
      </c>
      <c r="E942" t="s">
        <v>88</v>
      </c>
      <c r="F942" s="55">
        <v>109</v>
      </c>
      <c r="G942" s="63">
        <v>4.0599999999999997E-2</v>
      </c>
    </row>
    <row r="943" spans="1:7" x14ac:dyDescent="0.2">
      <c r="A943" t="s">
        <v>71</v>
      </c>
      <c r="B943" t="s">
        <v>152</v>
      </c>
      <c r="C943" t="s">
        <v>73</v>
      </c>
      <c r="D943" t="s">
        <v>74</v>
      </c>
      <c r="E943" t="s">
        <v>75</v>
      </c>
      <c r="F943" s="55">
        <v>96</v>
      </c>
      <c r="G943" s="63">
        <v>0.31840000000000002</v>
      </c>
    </row>
    <row r="944" spans="1:7" x14ac:dyDescent="0.2">
      <c r="A944" t="s">
        <v>71</v>
      </c>
      <c r="B944" t="s">
        <v>152</v>
      </c>
      <c r="C944" t="s">
        <v>73</v>
      </c>
      <c r="D944" t="s">
        <v>74</v>
      </c>
      <c r="E944" t="s">
        <v>76</v>
      </c>
      <c r="F944" s="55">
        <v>91</v>
      </c>
      <c r="G944" s="63">
        <v>0.1032</v>
      </c>
    </row>
    <row r="945" spans="1:7" x14ac:dyDescent="0.2">
      <c r="A945" t="s">
        <v>71</v>
      </c>
      <c r="B945" t="s">
        <v>152</v>
      </c>
      <c r="C945" t="s">
        <v>73</v>
      </c>
      <c r="D945" t="s">
        <v>74</v>
      </c>
      <c r="E945" t="s">
        <v>77</v>
      </c>
      <c r="F945" s="55">
        <v>100</v>
      </c>
      <c r="G945" s="63">
        <v>0.1714</v>
      </c>
    </row>
    <row r="946" spans="1:7" x14ac:dyDescent="0.2">
      <c r="A946" t="s">
        <v>71</v>
      </c>
      <c r="B946" t="s">
        <v>152</v>
      </c>
      <c r="C946" t="s">
        <v>73</v>
      </c>
      <c r="D946" t="s">
        <v>74</v>
      </c>
      <c r="E946" t="s">
        <v>78</v>
      </c>
      <c r="F946" s="55">
        <v>98</v>
      </c>
      <c r="G946" s="63">
        <v>0.1477</v>
      </c>
    </row>
    <row r="947" spans="1:7" x14ac:dyDescent="0.2">
      <c r="A947" t="s">
        <v>71</v>
      </c>
      <c r="B947" t="s">
        <v>152</v>
      </c>
      <c r="C947" t="s">
        <v>73</v>
      </c>
      <c r="D947" t="s">
        <v>74</v>
      </c>
      <c r="E947" t="s">
        <v>79</v>
      </c>
      <c r="F947" s="55">
        <v>95</v>
      </c>
      <c r="G947" s="63">
        <v>0.2288</v>
      </c>
    </row>
    <row r="948" spans="1:7" x14ac:dyDescent="0.2">
      <c r="A948" t="s">
        <v>71</v>
      </c>
      <c r="B948" t="s">
        <v>152</v>
      </c>
      <c r="C948" t="s">
        <v>73</v>
      </c>
      <c r="D948" t="s">
        <v>74</v>
      </c>
      <c r="E948" t="s">
        <v>80</v>
      </c>
      <c r="F948" s="55">
        <v>96</v>
      </c>
      <c r="G948" s="63">
        <v>0.10340000000000001</v>
      </c>
    </row>
    <row r="949" spans="1:7" x14ac:dyDescent="0.2">
      <c r="A949" t="s">
        <v>71</v>
      </c>
      <c r="B949" t="s">
        <v>152</v>
      </c>
      <c r="C949" t="s">
        <v>73</v>
      </c>
      <c r="D949" t="s">
        <v>74</v>
      </c>
      <c r="E949" t="s">
        <v>81</v>
      </c>
      <c r="F949" s="55">
        <v>92</v>
      </c>
      <c r="G949" s="63">
        <v>0.11269999999999999</v>
      </c>
    </row>
    <row r="950" spans="1:7" x14ac:dyDescent="0.2">
      <c r="A950" t="s">
        <v>71</v>
      </c>
      <c r="B950" t="s">
        <v>152</v>
      </c>
      <c r="C950" t="s">
        <v>73</v>
      </c>
      <c r="D950" t="s">
        <v>74</v>
      </c>
      <c r="E950" t="s">
        <v>82</v>
      </c>
      <c r="F950" s="55">
        <v>93</v>
      </c>
      <c r="G950" s="63">
        <v>0.2</v>
      </c>
    </row>
    <row r="951" spans="1:7" x14ac:dyDescent="0.2">
      <c r="A951" t="s">
        <v>71</v>
      </c>
      <c r="B951" t="s">
        <v>152</v>
      </c>
      <c r="C951" t="s">
        <v>73</v>
      </c>
      <c r="D951" t="s">
        <v>74</v>
      </c>
      <c r="E951" t="s">
        <v>83</v>
      </c>
      <c r="F951" s="55">
        <v>89</v>
      </c>
      <c r="G951" s="63">
        <v>7.5200000000000003E-2</v>
      </c>
    </row>
    <row r="952" spans="1:7" x14ac:dyDescent="0.2">
      <c r="A952" t="s">
        <v>71</v>
      </c>
      <c r="B952" t="s">
        <v>152</v>
      </c>
      <c r="C952" t="s">
        <v>73</v>
      </c>
      <c r="D952" t="s">
        <v>74</v>
      </c>
      <c r="E952" t="s">
        <v>84</v>
      </c>
      <c r="F952" s="55">
        <v>99</v>
      </c>
      <c r="G952" s="63">
        <v>0.13039999999999999</v>
      </c>
    </row>
    <row r="953" spans="1:7" x14ac:dyDescent="0.2">
      <c r="A953" t="s">
        <v>71</v>
      </c>
      <c r="B953" t="s">
        <v>152</v>
      </c>
      <c r="C953" t="s">
        <v>73</v>
      </c>
      <c r="D953" t="s">
        <v>74</v>
      </c>
      <c r="E953" t="s">
        <v>85</v>
      </c>
      <c r="F953" s="55">
        <v>100</v>
      </c>
      <c r="G953" s="63">
        <v>0.11890000000000001</v>
      </c>
    </row>
    <row r="954" spans="1:7" x14ac:dyDescent="0.2">
      <c r="A954" t="s">
        <v>71</v>
      </c>
      <c r="B954" t="s">
        <v>152</v>
      </c>
      <c r="C954" t="s">
        <v>73</v>
      </c>
      <c r="D954" t="s">
        <v>74</v>
      </c>
      <c r="E954" t="s">
        <v>86</v>
      </c>
      <c r="F954" s="55">
        <v>96</v>
      </c>
      <c r="G954" s="63">
        <v>0.13489999999999999</v>
      </c>
    </row>
    <row r="955" spans="1:7" x14ac:dyDescent="0.2">
      <c r="A955" t="s">
        <v>71</v>
      </c>
      <c r="B955" t="s">
        <v>152</v>
      </c>
      <c r="C955" t="s">
        <v>73</v>
      </c>
      <c r="D955" t="s">
        <v>74</v>
      </c>
      <c r="E955" t="s">
        <v>87</v>
      </c>
      <c r="F955" s="55">
        <v>94</v>
      </c>
      <c r="G955" s="63">
        <v>0.14680000000000001</v>
      </c>
    </row>
    <row r="956" spans="1:7" x14ac:dyDescent="0.2">
      <c r="A956" t="s">
        <v>71</v>
      </c>
      <c r="B956" t="s">
        <v>152</v>
      </c>
      <c r="C956" t="s">
        <v>73</v>
      </c>
      <c r="D956" t="s">
        <v>74</v>
      </c>
      <c r="E956" t="s">
        <v>88</v>
      </c>
      <c r="F956" s="55">
        <v>91</v>
      </c>
      <c r="G956" s="63">
        <v>0.1336</v>
      </c>
    </row>
    <row r="957" spans="1:7" x14ac:dyDescent="0.2">
      <c r="A957" t="s">
        <v>89</v>
      </c>
      <c r="B957" t="s">
        <v>153</v>
      </c>
      <c r="C957" t="s">
        <v>73</v>
      </c>
      <c r="D957" t="s">
        <v>74</v>
      </c>
      <c r="E957" t="s">
        <v>75</v>
      </c>
      <c r="F957" s="55">
        <v>109</v>
      </c>
      <c r="G957" s="63">
        <v>0.17330000000000001</v>
      </c>
    </row>
    <row r="958" spans="1:7" x14ac:dyDescent="0.2">
      <c r="A958" t="s">
        <v>89</v>
      </c>
      <c r="B958" t="s">
        <v>153</v>
      </c>
      <c r="C958" t="s">
        <v>73</v>
      </c>
      <c r="D958" t="s">
        <v>74</v>
      </c>
      <c r="E958" t="s">
        <v>76</v>
      </c>
      <c r="F958" s="55">
        <v>110</v>
      </c>
      <c r="G958" s="63">
        <v>1.7600000000000001E-2</v>
      </c>
    </row>
    <row r="959" spans="1:7" x14ac:dyDescent="0.2">
      <c r="A959" t="s">
        <v>89</v>
      </c>
      <c r="B959" t="s">
        <v>153</v>
      </c>
      <c r="C959" t="s">
        <v>73</v>
      </c>
      <c r="D959" t="s">
        <v>74</v>
      </c>
      <c r="E959" t="s">
        <v>77</v>
      </c>
      <c r="F959" s="55">
        <v>116</v>
      </c>
      <c r="G959" s="63">
        <v>6.5799999999999997E-2</v>
      </c>
    </row>
    <row r="960" spans="1:7" x14ac:dyDescent="0.2">
      <c r="A960" t="s">
        <v>89</v>
      </c>
      <c r="B960" t="s">
        <v>153</v>
      </c>
      <c r="C960" t="s">
        <v>73</v>
      </c>
      <c r="D960" t="s">
        <v>74</v>
      </c>
      <c r="E960" t="s">
        <v>78</v>
      </c>
      <c r="F960" s="55">
        <v>106</v>
      </c>
      <c r="G960" s="63">
        <v>5.1299999999999998E-2</v>
      </c>
    </row>
    <row r="961" spans="1:7" x14ac:dyDescent="0.2">
      <c r="A961" t="s">
        <v>89</v>
      </c>
      <c r="B961" t="s">
        <v>153</v>
      </c>
      <c r="C961" t="s">
        <v>73</v>
      </c>
      <c r="D961" t="s">
        <v>74</v>
      </c>
      <c r="E961" t="s">
        <v>79</v>
      </c>
      <c r="F961" s="55">
        <v>104</v>
      </c>
      <c r="G961" s="63">
        <v>0.1099</v>
      </c>
    </row>
    <row r="962" spans="1:7" x14ac:dyDescent="0.2">
      <c r="A962" t="s">
        <v>89</v>
      </c>
      <c r="B962" t="s">
        <v>153</v>
      </c>
      <c r="C962" t="s">
        <v>73</v>
      </c>
      <c r="D962" t="s">
        <v>74</v>
      </c>
      <c r="E962" t="s">
        <v>80</v>
      </c>
      <c r="F962" s="55">
        <v>117</v>
      </c>
      <c r="G962" s="63">
        <v>2.3300000000000001E-2</v>
      </c>
    </row>
    <row r="963" spans="1:7" x14ac:dyDescent="0.2">
      <c r="A963" t="s">
        <v>89</v>
      </c>
      <c r="B963" t="s">
        <v>153</v>
      </c>
      <c r="C963" t="s">
        <v>73</v>
      </c>
      <c r="D963" t="s">
        <v>74</v>
      </c>
      <c r="E963" t="s">
        <v>81</v>
      </c>
      <c r="F963" s="55">
        <v>111</v>
      </c>
      <c r="G963" s="63">
        <v>2.58E-2</v>
      </c>
    </row>
    <row r="964" spans="1:7" x14ac:dyDescent="0.2">
      <c r="A964" t="s">
        <v>89</v>
      </c>
      <c r="B964" t="s">
        <v>153</v>
      </c>
      <c r="C964" t="s">
        <v>73</v>
      </c>
      <c r="D964" t="s">
        <v>74</v>
      </c>
      <c r="E964" t="s">
        <v>82</v>
      </c>
      <c r="F964" s="55">
        <v>109</v>
      </c>
      <c r="G964" s="63">
        <v>9.6600000000000005E-2</v>
      </c>
    </row>
    <row r="965" spans="1:7" x14ac:dyDescent="0.2">
      <c r="A965" t="s">
        <v>89</v>
      </c>
      <c r="B965" t="s">
        <v>153</v>
      </c>
      <c r="C965" t="s">
        <v>73</v>
      </c>
      <c r="D965" t="s">
        <v>74</v>
      </c>
      <c r="E965" t="s">
        <v>83</v>
      </c>
      <c r="F965" s="55">
        <v>117</v>
      </c>
      <c r="G965" s="63">
        <v>1.32E-2</v>
      </c>
    </row>
    <row r="966" spans="1:7" x14ac:dyDescent="0.2">
      <c r="A966" t="s">
        <v>89</v>
      </c>
      <c r="B966" t="s">
        <v>153</v>
      </c>
      <c r="C966" t="s">
        <v>73</v>
      </c>
      <c r="D966" t="s">
        <v>74</v>
      </c>
      <c r="E966" t="s">
        <v>84</v>
      </c>
      <c r="F966" s="55">
        <v>110</v>
      </c>
      <c r="G966" s="63">
        <v>4.19E-2</v>
      </c>
    </row>
    <row r="967" spans="1:7" x14ac:dyDescent="0.2">
      <c r="A967" t="s">
        <v>89</v>
      </c>
      <c r="B967" t="s">
        <v>153</v>
      </c>
      <c r="C967" t="s">
        <v>73</v>
      </c>
      <c r="D967" t="s">
        <v>74</v>
      </c>
      <c r="E967" t="s">
        <v>85</v>
      </c>
      <c r="F967" s="55">
        <v>101</v>
      </c>
      <c r="G967" s="63">
        <v>2.76E-2</v>
      </c>
    </row>
    <row r="968" spans="1:7" x14ac:dyDescent="0.2">
      <c r="A968" t="s">
        <v>89</v>
      </c>
      <c r="B968" t="s">
        <v>153</v>
      </c>
      <c r="C968" t="s">
        <v>73</v>
      </c>
      <c r="D968" t="s">
        <v>74</v>
      </c>
      <c r="E968" t="s">
        <v>86</v>
      </c>
      <c r="F968" s="55">
        <v>101</v>
      </c>
      <c r="G968" s="63">
        <v>3.9600000000000003E-2</v>
      </c>
    </row>
    <row r="969" spans="1:7" x14ac:dyDescent="0.2">
      <c r="A969" t="s">
        <v>89</v>
      </c>
      <c r="B969" t="s">
        <v>153</v>
      </c>
      <c r="C969" t="s">
        <v>73</v>
      </c>
      <c r="D969" t="s">
        <v>74</v>
      </c>
      <c r="E969" t="s">
        <v>87</v>
      </c>
      <c r="F969" s="55">
        <v>105</v>
      </c>
      <c r="G969" s="63">
        <v>5.2499999999999998E-2</v>
      </c>
    </row>
    <row r="970" spans="1:7" x14ac:dyDescent="0.2">
      <c r="A970" t="s">
        <v>89</v>
      </c>
      <c r="B970" t="s">
        <v>153</v>
      </c>
      <c r="C970" t="s">
        <v>73</v>
      </c>
      <c r="D970" t="s">
        <v>74</v>
      </c>
      <c r="E970" t="s">
        <v>88</v>
      </c>
      <c r="F970" s="55">
        <v>112</v>
      </c>
      <c r="G970" s="63">
        <v>2.8000000000000001E-2</v>
      </c>
    </row>
    <row r="971" spans="1:7" x14ac:dyDescent="0.2">
      <c r="A971" t="s">
        <v>89</v>
      </c>
      <c r="B971" t="s">
        <v>154</v>
      </c>
      <c r="C971" t="s">
        <v>73</v>
      </c>
      <c r="D971" t="s">
        <v>74</v>
      </c>
      <c r="E971" t="s">
        <v>75</v>
      </c>
      <c r="F971" s="55">
        <v>104</v>
      </c>
      <c r="G971" s="63">
        <v>0.22639999999999999</v>
      </c>
    </row>
    <row r="972" spans="1:7" x14ac:dyDescent="0.2">
      <c r="A972" t="s">
        <v>89</v>
      </c>
      <c r="B972" t="s">
        <v>154</v>
      </c>
      <c r="C972" t="s">
        <v>73</v>
      </c>
      <c r="D972" t="s">
        <v>74</v>
      </c>
      <c r="E972" t="s">
        <v>76</v>
      </c>
      <c r="F972" s="55">
        <v>103</v>
      </c>
      <c r="G972" s="63">
        <v>3.8199999999999998E-2</v>
      </c>
    </row>
    <row r="973" spans="1:7" x14ac:dyDescent="0.2">
      <c r="A973" t="s">
        <v>89</v>
      </c>
      <c r="B973" t="s">
        <v>154</v>
      </c>
      <c r="C973" t="s">
        <v>73</v>
      </c>
      <c r="D973" t="s">
        <v>74</v>
      </c>
      <c r="E973" t="s">
        <v>77</v>
      </c>
      <c r="F973" s="55">
        <v>111</v>
      </c>
      <c r="G973" s="63">
        <v>9.35E-2</v>
      </c>
    </row>
    <row r="974" spans="1:7" x14ac:dyDescent="0.2">
      <c r="A974" t="s">
        <v>89</v>
      </c>
      <c r="B974" t="s">
        <v>154</v>
      </c>
      <c r="C974" t="s">
        <v>73</v>
      </c>
      <c r="D974" t="s">
        <v>74</v>
      </c>
      <c r="E974" t="s">
        <v>78</v>
      </c>
      <c r="F974" s="55">
        <v>110</v>
      </c>
      <c r="G974" s="63">
        <v>7.9699999999999993E-2</v>
      </c>
    </row>
    <row r="975" spans="1:7" x14ac:dyDescent="0.2">
      <c r="A975" t="s">
        <v>89</v>
      </c>
      <c r="B975" t="s">
        <v>154</v>
      </c>
      <c r="C975" t="s">
        <v>73</v>
      </c>
      <c r="D975" t="s">
        <v>74</v>
      </c>
      <c r="E975" t="s">
        <v>79</v>
      </c>
      <c r="F975" s="55">
        <v>100</v>
      </c>
      <c r="G975" s="63">
        <v>0.15509999999999999</v>
      </c>
    </row>
    <row r="976" spans="1:7" x14ac:dyDescent="0.2">
      <c r="A976" t="s">
        <v>89</v>
      </c>
      <c r="B976" t="s">
        <v>154</v>
      </c>
      <c r="C976" t="s">
        <v>73</v>
      </c>
      <c r="D976" t="s">
        <v>74</v>
      </c>
      <c r="E976" t="s">
        <v>80</v>
      </c>
      <c r="F976" s="55">
        <v>97</v>
      </c>
      <c r="G976" s="63">
        <v>4.7500000000000001E-2</v>
      </c>
    </row>
    <row r="977" spans="1:7" x14ac:dyDescent="0.2">
      <c r="A977" t="s">
        <v>89</v>
      </c>
      <c r="B977" t="s">
        <v>154</v>
      </c>
      <c r="C977" t="s">
        <v>73</v>
      </c>
      <c r="D977" t="s">
        <v>74</v>
      </c>
      <c r="E977" t="s">
        <v>81</v>
      </c>
      <c r="F977" s="55">
        <v>100</v>
      </c>
      <c r="G977" s="63">
        <v>5.0700000000000002E-2</v>
      </c>
    </row>
    <row r="978" spans="1:7" x14ac:dyDescent="0.2">
      <c r="A978" t="s">
        <v>89</v>
      </c>
      <c r="B978" t="s">
        <v>154</v>
      </c>
      <c r="C978" t="s">
        <v>73</v>
      </c>
      <c r="D978" t="s">
        <v>74</v>
      </c>
      <c r="E978" t="s">
        <v>82</v>
      </c>
      <c r="F978" s="55">
        <v>103</v>
      </c>
      <c r="G978" s="63">
        <v>0.1222</v>
      </c>
    </row>
    <row r="979" spans="1:7" x14ac:dyDescent="0.2">
      <c r="A979" t="s">
        <v>89</v>
      </c>
      <c r="B979" t="s">
        <v>154</v>
      </c>
      <c r="C979" t="s">
        <v>73</v>
      </c>
      <c r="D979" t="s">
        <v>74</v>
      </c>
      <c r="E979" t="s">
        <v>83</v>
      </c>
      <c r="F979" s="55">
        <v>102</v>
      </c>
      <c r="G979" s="63">
        <v>2.8199999999999999E-2</v>
      </c>
    </row>
    <row r="980" spans="1:7" x14ac:dyDescent="0.2">
      <c r="A980" t="s">
        <v>89</v>
      </c>
      <c r="B980" t="s">
        <v>154</v>
      </c>
      <c r="C980" t="s">
        <v>73</v>
      </c>
      <c r="D980" t="s">
        <v>74</v>
      </c>
      <c r="E980" t="s">
        <v>84</v>
      </c>
      <c r="F980" s="55">
        <v>112</v>
      </c>
      <c r="G980" s="63">
        <v>6.3200000000000006E-2</v>
      </c>
    </row>
    <row r="981" spans="1:7" x14ac:dyDescent="0.2">
      <c r="A981" t="s">
        <v>89</v>
      </c>
      <c r="B981" t="s">
        <v>154</v>
      </c>
      <c r="C981" t="s">
        <v>73</v>
      </c>
      <c r="D981" t="s">
        <v>74</v>
      </c>
      <c r="E981" t="s">
        <v>85</v>
      </c>
      <c r="F981" s="55">
        <v>99</v>
      </c>
      <c r="G981" s="63">
        <v>5.5599999999999997E-2</v>
      </c>
    </row>
    <row r="982" spans="1:7" x14ac:dyDescent="0.2">
      <c r="A982" t="s">
        <v>89</v>
      </c>
      <c r="B982" t="s">
        <v>154</v>
      </c>
      <c r="C982" t="s">
        <v>73</v>
      </c>
      <c r="D982" t="s">
        <v>74</v>
      </c>
      <c r="E982" t="s">
        <v>86</v>
      </c>
      <c r="F982" s="55">
        <v>100</v>
      </c>
      <c r="G982" s="63">
        <v>7.1999999999999995E-2</v>
      </c>
    </row>
    <row r="983" spans="1:7" x14ac:dyDescent="0.2">
      <c r="A983" t="s">
        <v>89</v>
      </c>
      <c r="B983" t="s">
        <v>154</v>
      </c>
      <c r="C983" t="s">
        <v>73</v>
      </c>
      <c r="D983" t="s">
        <v>74</v>
      </c>
      <c r="E983" t="s">
        <v>87</v>
      </c>
      <c r="F983" s="55">
        <v>102</v>
      </c>
      <c r="G983" s="63">
        <v>8.8400000000000006E-2</v>
      </c>
    </row>
    <row r="984" spans="1:7" x14ac:dyDescent="0.2">
      <c r="A984" t="s">
        <v>89</v>
      </c>
      <c r="B984" t="s">
        <v>154</v>
      </c>
      <c r="C984" t="s">
        <v>73</v>
      </c>
      <c r="D984" t="s">
        <v>74</v>
      </c>
      <c r="E984" t="s">
        <v>88</v>
      </c>
      <c r="F984" s="55">
        <v>104</v>
      </c>
      <c r="G984" s="63">
        <v>5.9799999999999999E-2</v>
      </c>
    </row>
    <row r="985" spans="1:7" x14ac:dyDescent="0.2">
      <c r="A985" t="s">
        <v>71</v>
      </c>
      <c r="B985" t="s">
        <v>155</v>
      </c>
      <c r="C985" t="s">
        <v>73</v>
      </c>
      <c r="D985" t="s">
        <v>74</v>
      </c>
      <c r="E985" t="s">
        <v>75</v>
      </c>
      <c r="F985" s="55">
        <v>86</v>
      </c>
      <c r="G985" s="63">
        <v>0.27860000000000001</v>
      </c>
    </row>
    <row r="986" spans="1:7" x14ac:dyDescent="0.2">
      <c r="A986" t="s">
        <v>71</v>
      </c>
      <c r="B986" t="s">
        <v>155</v>
      </c>
      <c r="C986" t="s">
        <v>73</v>
      </c>
      <c r="D986" t="s">
        <v>74</v>
      </c>
      <c r="E986" t="s">
        <v>76</v>
      </c>
      <c r="F986" s="55">
        <v>98</v>
      </c>
      <c r="G986" s="63">
        <v>3.1699999999999999E-2</v>
      </c>
    </row>
    <row r="987" spans="1:7" x14ac:dyDescent="0.2">
      <c r="A987" t="s">
        <v>71</v>
      </c>
      <c r="B987" t="s">
        <v>155</v>
      </c>
      <c r="C987" t="s">
        <v>73</v>
      </c>
      <c r="D987" t="s">
        <v>74</v>
      </c>
      <c r="E987" t="s">
        <v>77</v>
      </c>
      <c r="F987" s="55">
        <v>93</v>
      </c>
      <c r="G987" s="63">
        <v>8.6300000000000002E-2</v>
      </c>
    </row>
    <row r="988" spans="1:7" x14ac:dyDescent="0.2">
      <c r="A988" t="s">
        <v>71</v>
      </c>
      <c r="B988" t="s">
        <v>155</v>
      </c>
      <c r="C988" t="s">
        <v>73</v>
      </c>
      <c r="D988" t="s">
        <v>74</v>
      </c>
      <c r="E988" t="s">
        <v>78</v>
      </c>
      <c r="F988" s="55">
        <v>91</v>
      </c>
      <c r="G988" s="63">
        <v>8.0799999999999997E-2</v>
      </c>
    </row>
    <row r="989" spans="1:7" x14ac:dyDescent="0.2">
      <c r="A989" t="s">
        <v>71</v>
      </c>
      <c r="B989" t="s">
        <v>155</v>
      </c>
      <c r="C989" t="s">
        <v>73</v>
      </c>
      <c r="D989" t="s">
        <v>74</v>
      </c>
      <c r="E989" t="s">
        <v>79</v>
      </c>
      <c r="F989" s="55">
        <v>74</v>
      </c>
      <c r="G989" s="63">
        <v>0.20569999999999999</v>
      </c>
    </row>
    <row r="990" spans="1:7" x14ac:dyDescent="0.2">
      <c r="A990" t="s">
        <v>71</v>
      </c>
      <c r="B990" t="s">
        <v>155</v>
      </c>
      <c r="C990" t="s">
        <v>73</v>
      </c>
      <c r="D990" t="s">
        <v>74</v>
      </c>
      <c r="E990" t="s">
        <v>80</v>
      </c>
      <c r="F990" s="55">
        <v>79</v>
      </c>
      <c r="G990" s="63">
        <v>5.8599999999999999E-2</v>
      </c>
    </row>
    <row r="991" spans="1:7" x14ac:dyDescent="0.2">
      <c r="A991" t="s">
        <v>71</v>
      </c>
      <c r="B991" t="s">
        <v>155</v>
      </c>
      <c r="C991" t="s">
        <v>73</v>
      </c>
      <c r="D991" t="s">
        <v>74</v>
      </c>
      <c r="E991" t="s">
        <v>81</v>
      </c>
      <c r="F991" s="55">
        <v>82</v>
      </c>
      <c r="G991" s="63">
        <v>5.9900000000000002E-2</v>
      </c>
    </row>
    <row r="992" spans="1:7" x14ac:dyDescent="0.2">
      <c r="A992" t="s">
        <v>71</v>
      </c>
      <c r="B992" t="s">
        <v>155</v>
      </c>
      <c r="C992" t="s">
        <v>73</v>
      </c>
      <c r="D992" t="s">
        <v>74</v>
      </c>
      <c r="E992" t="s">
        <v>82</v>
      </c>
      <c r="F992" s="55">
        <v>94</v>
      </c>
      <c r="G992" s="63">
        <v>0.13139999999999999</v>
      </c>
    </row>
    <row r="993" spans="1:7" x14ac:dyDescent="0.2">
      <c r="A993" t="s">
        <v>71</v>
      </c>
      <c r="B993" t="s">
        <v>155</v>
      </c>
      <c r="C993" t="s">
        <v>73</v>
      </c>
      <c r="D993" t="s">
        <v>74</v>
      </c>
      <c r="E993" t="s">
        <v>83</v>
      </c>
      <c r="F993" s="55">
        <v>93</v>
      </c>
      <c r="G993" s="63">
        <v>2.6800000000000001E-2</v>
      </c>
    </row>
    <row r="994" spans="1:7" x14ac:dyDescent="0.2">
      <c r="A994" t="s">
        <v>71</v>
      </c>
      <c r="B994" t="s">
        <v>155</v>
      </c>
      <c r="C994" t="s">
        <v>73</v>
      </c>
      <c r="D994" t="s">
        <v>74</v>
      </c>
      <c r="E994" t="s">
        <v>84</v>
      </c>
      <c r="F994" s="55">
        <v>93</v>
      </c>
      <c r="G994" s="63">
        <v>5.9499999999999997E-2</v>
      </c>
    </row>
    <row r="995" spans="1:7" x14ac:dyDescent="0.2">
      <c r="A995" t="s">
        <v>71</v>
      </c>
      <c r="B995" t="s">
        <v>155</v>
      </c>
      <c r="C995" t="s">
        <v>73</v>
      </c>
      <c r="D995" t="s">
        <v>74</v>
      </c>
      <c r="E995" t="s">
        <v>85</v>
      </c>
      <c r="F995" s="55">
        <v>78</v>
      </c>
      <c r="G995" s="63">
        <v>6.8099999999999994E-2</v>
      </c>
    </row>
    <row r="996" spans="1:7" x14ac:dyDescent="0.2">
      <c r="A996" t="s">
        <v>71</v>
      </c>
      <c r="B996" t="s">
        <v>155</v>
      </c>
      <c r="C996" t="s">
        <v>73</v>
      </c>
      <c r="D996" t="s">
        <v>74</v>
      </c>
      <c r="E996" t="s">
        <v>86</v>
      </c>
      <c r="F996" s="55">
        <v>75</v>
      </c>
      <c r="G996" s="63">
        <v>8.8499999999999995E-2</v>
      </c>
    </row>
    <row r="997" spans="1:7" x14ac:dyDescent="0.2">
      <c r="A997" t="s">
        <v>71</v>
      </c>
      <c r="B997" t="s">
        <v>155</v>
      </c>
      <c r="C997" t="s">
        <v>73</v>
      </c>
      <c r="D997" t="s">
        <v>74</v>
      </c>
      <c r="E997" t="s">
        <v>87</v>
      </c>
      <c r="F997" s="55">
        <v>72</v>
      </c>
      <c r="G997" s="63">
        <v>0.1067</v>
      </c>
    </row>
    <row r="998" spans="1:7" x14ac:dyDescent="0.2">
      <c r="A998" t="s">
        <v>71</v>
      </c>
      <c r="B998" t="s">
        <v>155</v>
      </c>
      <c r="C998" t="s">
        <v>73</v>
      </c>
      <c r="D998" t="s">
        <v>74</v>
      </c>
      <c r="E998" t="s">
        <v>88</v>
      </c>
      <c r="F998" s="55">
        <v>97</v>
      </c>
      <c r="G998" s="63">
        <v>5.16E-2</v>
      </c>
    </row>
    <row r="999" spans="1:7" x14ac:dyDescent="0.2">
      <c r="A999" t="s">
        <v>89</v>
      </c>
      <c r="B999" t="s">
        <v>156</v>
      </c>
      <c r="C999" t="s">
        <v>73</v>
      </c>
      <c r="D999" t="s">
        <v>74</v>
      </c>
      <c r="E999" t="s">
        <v>75</v>
      </c>
      <c r="F999" s="55">
        <v>78</v>
      </c>
      <c r="G999" s="63">
        <v>5.5199999999999999E-2</v>
      </c>
    </row>
    <row r="1000" spans="1:7" x14ac:dyDescent="0.2">
      <c r="A1000" t="s">
        <v>89</v>
      </c>
      <c r="B1000" t="s">
        <v>156</v>
      </c>
      <c r="C1000" t="s">
        <v>73</v>
      </c>
      <c r="D1000" t="s">
        <v>74</v>
      </c>
      <c r="E1000" t="s">
        <v>76</v>
      </c>
      <c r="F1000" s="55">
        <v>76</v>
      </c>
      <c r="G1000" s="63">
        <v>5.7999999999999996E-3</v>
      </c>
    </row>
    <row r="1001" spans="1:7" x14ac:dyDescent="0.2">
      <c r="A1001" t="s">
        <v>89</v>
      </c>
      <c r="B1001" t="s">
        <v>156</v>
      </c>
      <c r="C1001" t="s">
        <v>73</v>
      </c>
      <c r="D1001" t="s">
        <v>74</v>
      </c>
      <c r="E1001" t="s">
        <v>77</v>
      </c>
      <c r="F1001" s="55">
        <v>95</v>
      </c>
      <c r="G1001" s="63">
        <v>1.4999999999999999E-2</v>
      </c>
    </row>
    <row r="1002" spans="1:7" x14ac:dyDescent="0.2">
      <c r="A1002" t="s">
        <v>89</v>
      </c>
      <c r="B1002" t="s">
        <v>156</v>
      </c>
      <c r="C1002" t="s">
        <v>73</v>
      </c>
      <c r="D1002" t="s">
        <v>74</v>
      </c>
      <c r="E1002" t="s">
        <v>78</v>
      </c>
      <c r="F1002" s="55">
        <v>88</v>
      </c>
      <c r="G1002" s="63">
        <v>1.17E-2</v>
      </c>
    </row>
    <row r="1003" spans="1:7" x14ac:dyDescent="0.2">
      <c r="A1003" t="s">
        <v>89</v>
      </c>
      <c r="B1003" t="s">
        <v>156</v>
      </c>
      <c r="C1003" t="s">
        <v>73</v>
      </c>
      <c r="D1003" t="s">
        <v>74</v>
      </c>
      <c r="E1003" t="s">
        <v>79</v>
      </c>
      <c r="F1003" s="55">
        <v>76</v>
      </c>
      <c r="G1003" s="63">
        <v>2.9700000000000001E-2</v>
      </c>
    </row>
    <row r="1004" spans="1:7" x14ac:dyDescent="0.2">
      <c r="A1004" t="s">
        <v>89</v>
      </c>
      <c r="B1004" t="s">
        <v>156</v>
      </c>
      <c r="C1004" t="s">
        <v>73</v>
      </c>
      <c r="D1004" t="s">
        <v>74</v>
      </c>
      <c r="E1004" t="s">
        <v>80</v>
      </c>
      <c r="F1004" s="55">
        <v>65</v>
      </c>
      <c r="G1004" s="63">
        <v>8.0000000000000002E-3</v>
      </c>
    </row>
    <row r="1005" spans="1:7" x14ac:dyDescent="0.2">
      <c r="A1005" t="s">
        <v>89</v>
      </c>
      <c r="B1005" t="s">
        <v>156</v>
      </c>
      <c r="C1005" t="s">
        <v>73</v>
      </c>
      <c r="D1005" t="s">
        <v>74</v>
      </c>
      <c r="E1005" t="s">
        <v>81</v>
      </c>
      <c r="F1005" s="55">
        <v>69</v>
      </c>
      <c r="G1005" s="63">
        <v>1.0500000000000001E-2</v>
      </c>
    </row>
    <row r="1006" spans="1:7" x14ac:dyDescent="0.2">
      <c r="A1006" t="s">
        <v>89</v>
      </c>
      <c r="B1006" t="s">
        <v>156</v>
      </c>
      <c r="C1006" t="s">
        <v>73</v>
      </c>
      <c r="D1006" t="s">
        <v>74</v>
      </c>
      <c r="E1006" t="s">
        <v>82</v>
      </c>
      <c r="F1006" s="55">
        <v>86</v>
      </c>
      <c r="G1006" s="63">
        <v>1.9699999999999999E-2</v>
      </c>
    </row>
    <row r="1007" spans="1:7" x14ac:dyDescent="0.2">
      <c r="A1007" t="s">
        <v>89</v>
      </c>
      <c r="B1007" t="s">
        <v>156</v>
      </c>
      <c r="C1007" t="s">
        <v>73</v>
      </c>
      <c r="D1007" t="s">
        <v>74</v>
      </c>
      <c r="E1007" t="s">
        <v>83</v>
      </c>
      <c r="F1007" s="55">
        <v>76</v>
      </c>
      <c r="G1007" s="63">
        <v>5.3E-3</v>
      </c>
    </row>
    <row r="1008" spans="1:7" x14ac:dyDescent="0.2">
      <c r="A1008" t="s">
        <v>89</v>
      </c>
      <c r="B1008" t="s">
        <v>156</v>
      </c>
      <c r="C1008" t="s">
        <v>73</v>
      </c>
      <c r="D1008" t="s">
        <v>74</v>
      </c>
      <c r="E1008" t="s">
        <v>84</v>
      </c>
      <c r="F1008" s="55">
        <v>83</v>
      </c>
      <c r="G1008" s="63">
        <v>8.0000000000000002E-3</v>
      </c>
    </row>
    <row r="1009" spans="1:7" x14ac:dyDescent="0.2">
      <c r="A1009" t="s">
        <v>89</v>
      </c>
      <c r="B1009" t="s">
        <v>156</v>
      </c>
      <c r="C1009" t="s">
        <v>73</v>
      </c>
      <c r="D1009" t="s">
        <v>74</v>
      </c>
      <c r="E1009" t="s">
        <v>85</v>
      </c>
      <c r="F1009" s="55">
        <v>65</v>
      </c>
      <c r="G1009" s="63">
        <v>7.7000000000000002E-3</v>
      </c>
    </row>
    <row r="1010" spans="1:7" x14ac:dyDescent="0.2">
      <c r="A1010" t="s">
        <v>89</v>
      </c>
      <c r="B1010" t="s">
        <v>156</v>
      </c>
      <c r="C1010" t="s">
        <v>73</v>
      </c>
      <c r="D1010" t="s">
        <v>74</v>
      </c>
      <c r="E1010" t="s">
        <v>86</v>
      </c>
      <c r="F1010" s="55">
        <v>71</v>
      </c>
      <c r="G1010" s="63">
        <v>1.01E-2</v>
      </c>
    </row>
    <row r="1011" spans="1:7" x14ac:dyDescent="0.2">
      <c r="A1011" t="s">
        <v>89</v>
      </c>
      <c r="B1011" t="s">
        <v>156</v>
      </c>
      <c r="C1011" t="s">
        <v>73</v>
      </c>
      <c r="D1011" t="s">
        <v>74</v>
      </c>
      <c r="E1011" t="s">
        <v>87</v>
      </c>
      <c r="F1011" s="55">
        <v>75</v>
      </c>
      <c r="G1011" s="63">
        <v>1.1299999999999999E-2</v>
      </c>
    </row>
    <row r="1012" spans="1:7" x14ac:dyDescent="0.2">
      <c r="A1012" t="s">
        <v>89</v>
      </c>
      <c r="B1012" t="s">
        <v>156</v>
      </c>
      <c r="C1012" t="s">
        <v>73</v>
      </c>
      <c r="D1012" t="s">
        <v>74</v>
      </c>
      <c r="E1012" t="s">
        <v>88</v>
      </c>
      <c r="F1012" s="55">
        <v>67</v>
      </c>
      <c r="G1012" s="63">
        <v>0.01</v>
      </c>
    </row>
    <row r="1013" spans="1:7" x14ac:dyDescent="0.2">
      <c r="A1013" t="s">
        <v>89</v>
      </c>
      <c r="B1013" t="s">
        <v>157</v>
      </c>
      <c r="C1013" t="s">
        <v>73</v>
      </c>
      <c r="D1013" t="s">
        <v>74</v>
      </c>
      <c r="E1013" t="s">
        <v>75</v>
      </c>
      <c r="F1013" s="55">
        <v>114</v>
      </c>
      <c r="G1013" s="63">
        <v>8.1600000000000006E-2</v>
      </c>
    </row>
    <row r="1014" spans="1:7" x14ac:dyDescent="0.2">
      <c r="A1014" t="s">
        <v>89</v>
      </c>
      <c r="B1014" t="s">
        <v>157</v>
      </c>
      <c r="C1014" t="s">
        <v>73</v>
      </c>
      <c r="D1014" t="s">
        <v>74</v>
      </c>
      <c r="E1014" t="s">
        <v>76</v>
      </c>
      <c r="F1014" s="55">
        <v>121</v>
      </c>
      <c r="G1014" s="63">
        <v>9.1000000000000004E-3</v>
      </c>
    </row>
    <row r="1015" spans="1:7" x14ac:dyDescent="0.2">
      <c r="A1015" t="s">
        <v>89</v>
      </c>
      <c r="B1015" t="s">
        <v>157</v>
      </c>
      <c r="C1015" t="s">
        <v>73</v>
      </c>
      <c r="D1015" t="s">
        <v>74</v>
      </c>
      <c r="E1015" t="s">
        <v>77</v>
      </c>
      <c r="F1015" s="55">
        <v>112</v>
      </c>
      <c r="G1015" s="63">
        <v>3.2800000000000003E-2</v>
      </c>
    </row>
    <row r="1016" spans="1:7" x14ac:dyDescent="0.2">
      <c r="A1016" t="s">
        <v>89</v>
      </c>
      <c r="B1016" t="s">
        <v>157</v>
      </c>
      <c r="C1016" t="s">
        <v>73</v>
      </c>
      <c r="D1016" t="s">
        <v>74</v>
      </c>
      <c r="E1016" t="s">
        <v>78</v>
      </c>
      <c r="F1016" s="55">
        <v>118</v>
      </c>
      <c r="G1016" s="63">
        <v>2.4299999999999999E-2</v>
      </c>
    </row>
    <row r="1017" spans="1:7" x14ac:dyDescent="0.2">
      <c r="A1017" t="s">
        <v>89</v>
      </c>
      <c r="B1017" t="s">
        <v>157</v>
      </c>
      <c r="C1017" t="s">
        <v>73</v>
      </c>
      <c r="D1017" t="s">
        <v>74</v>
      </c>
      <c r="E1017" t="s">
        <v>79</v>
      </c>
      <c r="F1017" s="55">
        <v>116</v>
      </c>
      <c r="G1017" s="63">
        <v>5.0900000000000001E-2</v>
      </c>
    </row>
    <row r="1018" spans="1:7" x14ac:dyDescent="0.2">
      <c r="A1018" t="s">
        <v>89</v>
      </c>
      <c r="B1018" t="s">
        <v>157</v>
      </c>
      <c r="C1018" t="s">
        <v>73</v>
      </c>
      <c r="D1018" t="s">
        <v>74</v>
      </c>
      <c r="E1018" t="s">
        <v>80</v>
      </c>
      <c r="F1018" s="55">
        <v>103</v>
      </c>
      <c r="G1018" s="63">
        <v>1.55E-2</v>
      </c>
    </row>
    <row r="1019" spans="1:7" x14ac:dyDescent="0.2">
      <c r="A1019" t="s">
        <v>89</v>
      </c>
      <c r="B1019" t="s">
        <v>157</v>
      </c>
      <c r="C1019" t="s">
        <v>73</v>
      </c>
      <c r="D1019" t="s">
        <v>74</v>
      </c>
      <c r="E1019" t="s">
        <v>81</v>
      </c>
      <c r="F1019" s="55">
        <v>97</v>
      </c>
      <c r="G1019" s="63">
        <v>1.4999999999999999E-2</v>
      </c>
    </row>
    <row r="1020" spans="1:7" x14ac:dyDescent="0.2">
      <c r="A1020" t="s">
        <v>89</v>
      </c>
      <c r="B1020" t="s">
        <v>157</v>
      </c>
      <c r="C1020" t="s">
        <v>73</v>
      </c>
      <c r="D1020" t="s">
        <v>74</v>
      </c>
      <c r="E1020" t="s">
        <v>82</v>
      </c>
      <c r="F1020" s="55">
        <v>117</v>
      </c>
      <c r="G1020" s="63">
        <v>3.6400000000000002E-2</v>
      </c>
    </row>
    <row r="1021" spans="1:7" x14ac:dyDescent="0.2">
      <c r="A1021" t="s">
        <v>89</v>
      </c>
      <c r="B1021" t="s">
        <v>157</v>
      </c>
      <c r="C1021" t="s">
        <v>73</v>
      </c>
      <c r="D1021" t="s">
        <v>74</v>
      </c>
      <c r="E1021" t="s">
        <v>83</v>
      </c>
      <c r="F1021" s="55">
        <v>77</v>
      </c>
      <c r="G1021" s="63">
        <v>4.4999999999999997E-3</v>
      </c>
    </row>
    <row r="1022" spans="1:7" x14ac:dyDescent="0.2">
      <c r="A1022" t="s">
        <v>89</v>
      </c>
      <c r="B1022" t="s">
        <v>157</v>
      </c>
      <c r="C1022" t="s">
        <v>73</v>
      </c>
      <c r="D1022" t="s">
        <v>74</v>
      </c>
      <c r="E1022" t="s">
        <v>84</v>
      </c>
      <c r="F1022" s="55">
        <v>118</v>
      </c>
      <c r="G1022" s="63">
        <v>1.9300000000000001E-2</v>
      </c>
    </row>
    <row r="1023" spans="1:7" x14ac:dyDescent="0.2">
      <c r="A1023" t="s">
        <v>89</v>
      </c>
      <c r="B1023" t="s">
        <v>157</v>
      </c>
      <c r="C1023" t="s">
        <v>73</v>
      </c>
      <c r="D1023" t="s">
        <v>74</v>
      </c>
      <c r="E1023" t="s">
        <v>85</v>
      </c>
      <c r="F1023" s="55">
        <v>105</v>
      </c>
      <c r="G1023" s="63">
        <v>1.8200000000000001E-2</v>
      </c>
    </row>
    <row r="1024" spans="1:7" x14ac:dyDescent="0.2">
      <c r="A1024" t="s">
        <v>89</v>
      </c>
      <c r="B1024" t="s">
        <v>157</v>
      </c>
      <c r="C1024" t="s">
        <v>73</v>
      </c>
      <c r="D1024" t="s">
        <v>74</v>
      </c>
      <c r="E1024" t="s">
        <v>86</v>
      </c>
      <c r="F1024" s="55">
        <v>116</v>
      </c>
      <c r="G1024" s="63">
        <v>2.24E-2</v>
      </c>
    </row>
    <row r="1025" spans="1:7" x14ac:dyDescent="0.2">
      <c r="A1025" t="s">
        <v>89</v>
      </c>
      <c r="B1025" t="s">
        <v>157</v>
      </c>
      <c r="C1025" t="s">
        <v>73</v>
      </c>
      <c r="D1025" t="s">
        <v>74</v>
      </c>
      <c r="E1025" t="s">
        <v>87</v>
      </c>
      <c r="F1025" s="55">
        <v>119</v>
      </c>
      <c r="G1025" s="63">
        <v>2.64E-2</v>
      </c>
    </row>
    <row r="1026" spans="1:7" x14ac:dyDescent="0.2">
      <c r="A1026" t="s">
        <v>89</v>
      </c>
      <c r="B1026" t="s">
        <v>157</v>
      </c>
      <c r="C1026" t="s">
        <v>73</v>
      </c>
      <c r="D1026" t="s">
        <v>74</v>
      </c>
      <c r="E1026" t="s">
        <v>88</v>
      </c>
      <c r="F1026" s="55">
        <v>119</v>
      </c>
      <c r="G1026" s="63">
        <v>1.47E-2</v>
      </c>
    </row>
    <row r="1027" spans="1:7" x14ac:dyDescent="0.2">
      <c r="A1027" t="s">
        <v>89</v>
      </c>
      <c r="B1027" t="s">
        <v>158</v>
      </c>
      <c r="C1027" t="s">
        <v>73</v>
      </c>
      <c r="D1027" t="s">
        <v>91</v>
      </c>
      <c r="E1027" t="s">
        <v>75</v>
      </c>
      <c r="F1027" s="55">
        <v>106</v>
      </c>
      <c r="G1027" s="63">
        <v>0.92979999999999996</v>
      </c>
    </row>
    <row r="1028" spans="1:7" x14ac:dyDescent="0.2">
      <c r="A1028" t="s">
        <v>89</v>
      </c>
      <c r="B1028" t="s">
        <v>158</v>
      </c>
      <c r="C1028" t="s">
        <v>73</v>
      </c>
      <c r="D1028" t="s">
        <v>91</v>
      </c>
      <c r="E1028" t="s">
        <v>76</v>
      </c>
      <c r="F1028" s="55">
        <v>102</v>
      </c>
      <c r="G1028" s="63">
        <v>0.29120000000000001</v>
      </c>
    </row>
    <row r="1029" spans="1:7" x14ac:dyDescent="0.2">
      <c r="A1029" t="s">
        <v>89</v>
      </c>
      <c r="B1029" t="s">
        <v>158</v>
      </c>
      <c r="C1029" t="s">
        <v>73</v>
      </c>
      <c r="D1029" t="s">
        <v>91</v>
      </c>
      <c r="E1029" t="s">
        <v>77</v>
      </c>
      <c r="F1029" s="55">
        <v>110</v>
      </c>
      <c r="G1029" s="63">
        <v>0.56950000000000001</v>
      </c>
    </row>
    <row r="1030" spans="1:7" x14ac:dyDescent="0.2">
      <c r="A1030" t="s">
        <v>89</v>
      </c>
      <c r="B1030" t="s">
        <v>158</v>
      </c>
      <c r="C1030" t="s">
        <v>73</v>
      </c>
      <c r="D1030" t="s">
        <v>91</v>
      </c>
      <c r="E1030" t="s">
        <v>78</v>
      </c>
      <c r="F1030" s="55">
        <v>114</v>
      </c>
      <c r="G1030" s="63">
        <v>0.56850000000000001</v>
      </c>
    </row>
    <row r="1031" spans="1:7" x14ac:dyDescent="0.2">
      <c r="A1031" t="s">
        <v>89</v>
      </c>
      <c r="B1031" t="s">
        <v>158</v>
      </c>
      <c r="C1031" t="s">
        <v>73</v>
      </c>
      <c r="D1031" t="s">
        <v>91</v>
      </c>
      <c r="E1031" t="s">
        <v>79</v>
      </c>
      <c r="F1031" s="55">
        <v>105</v>
      </c>
      <c r="G1031" s="63">
        <v>0.8881</v>
      </c>
    </row>
    <row r="1032" spans="1:7" x14ac:dyDescent="0.2">
      <c r="A1032" t="s">
        <v>89</v>
      </c>
      <c r="B1032" t="s">
        <v>158</v>
      </c>
      <c r="C1032" t="s">
        <v>73</v>
      </c>
      <c r="D1032" t="s">
        <v>91</v>
      </c>
      <c r="E1032" t="s">
        <v>80</v>
      </c>
      <c r="F1032" s="55">
        <v>104</v>
      </c>
      <c r="G1032" s="63">
        <v>0.36130000000000001</v>
      </c>
    </row>
    <row r="1033" spans="1:7" x14ac:dyDescent="0.2">
      <c r="A1033" t="s">
        <v>89</v>
      </c>
      <c r="B1033" t="s">
        <v>158</v>
      </c>
      <c r="C1033" t="s">
        <v>73</v>
      </c>
      <c r="D1033" t="s">
        <v>91</v>
      </c>
      <c r="E1033" t="s">
        <v>81</v>
      </c>
      <c r="F1033" s="55">
        <v>102</v>
      </c>
      <c r="G1033" s="63">
        <v>0.32919999999999999</v>
      </c>
    </row>
    <row r="1034" spans="1:7" x14ac:dyDescent="0.2">
      <c r="A1034" t="s">
        <v>89</v>
      </c>
      <c r="B1034" t="s">
        <v>158</v>
      </c>
      <c r="C1034" t="s">
        <v>73</v>
      </c>
      <c r="D1034" t="s">
        <v>91</v>
      </c>
      <c r="E1034" t="s">
        <v>82</v>
      </c>
      <c r="F1034" s="55">
        <v>103</v>
      </c>
      <c r="G1034" s="63">
        <v>0.8226</v>
      </c>
    </row>
    <row r="1035" spans="1:7" x14ac:dyDescent="0.2">
      <c r="A1035" t="s">
        <v>89</v>
      </c>
      <c r="B1035" t="s">
        <v>158</v>
      </c>
      <c r="C1035" t="s">
        <v>73</v>
      </c>
      <c r="D1035" t="s">
        <v>91</v>
      </c>
      <c r="E1035" t="s">
        <v>83</v>
      </c>
      <c r="F1035" s="55">
        <v>99</v>
      </c>
      <c r="G1035" s="63">
        <v>0.1913</v>
      </c>
    </row>
    <row r="1036" spans="1:7" x14ac:dyDescent="0.2">
      <c r="A1036" t="s">
        <v>89</v>
      </c>
      <c r="B1036" t="s">
        <v>158</v>
      </c>
      <c r="C1036" t="s">
        <v>73</v>
      </c>
      <c r="D1036" t="s">
        <v>91</v>
      </c>
      <c r="E1036" t="s">
        <v>84</v>
      </c>
      <c r="F1036" s="55">
        <v>114</v>
      </c>
      <c r="G1036" s="63">
        <v>0.47310000000000002</v>
      </c>
    </row>
    <row r="1037" spans="1:7" x14ac:dyDescent="0.2">
      <c r="A1037" t="s">
        <v>89</v>
      </c>
      <c r="B1037" t="s">
        <v>158</v>
      </c>
      <c r="C1037" t="s">
        <v>73</v>
      </c>
      <c r="D1037" t="s">
        <v>91</v>
      </c>
      <c r="E1037" t="s">
        <v>85</v>
      </c>
      <c r="F1037" s="55">
        <v>106</v>
      </c>
      <c r="G1037" s="63">
        <v>0.5272</v>
      </c>
    </row>
    <row r="1038" spans="1:7" x14ac:dyDescent="0.2">
      <c r="A1038" t="s">
        <v>89</v>
      </c>
      <c r="B1038" t="s">
        <v>158</v>
      </c>
      <c r="C1038" t="s">
        <v>73</v>
      </c>
      <c r="D1038" t="s">
        <v>91</v>
      </c>
      <c r="E1038" t="s">
        <v>86</v>
      </c>
      <c r="F1038" s="55">
        <v>105</v>
      </c>
      <c r="G1038" s="63">
        <v>0.71850000000000003</v>
      </c>
    </row>
    <row r="1039" spans="1:7" x14ac:dyDescent="0.2">
      <c r="A1039" t="s">
        <v>89</v>
      </c>
      <c r="B1039" t="s">
        <v>158</v>
      </c>
      <c r="C1039" t="s">
        <v>73</v>
      </c>
      <c r="D1039" t="s">
        <v>91</v>
      </c>
      <c r="E1039" t="s">
        <v>87</v>
      </c>
      <c r="F1039" s="55">
        <v>106</v>
      </c>
      <c r="G1039" s="63">
        <v>0.77710000000000001</v>
      </c>
    </row>
    <row r="1040" spans="1:7" x14ac:dyDescent="0.2">
      <c r="A1040" t="s">
        <v>89</v>
      </c>
      <c r="B1040" t="s">
        <v>158</v>
      </c>
      <c r="C1040" t="s">
        <v>73</v>
      </c>
      <c r="D1040" t="s">
        <v>91</v>
      </c>
      <c r="E1040" t="s">
        <v>88</v>
      </c>
      <c r="F1040" s="55">
        <v>102</v>
      </c>
      <c r="G1040" s="63">
        <v>0.44040000000000001</v>
      </c>
    </row>
    <row r="1041" spans="1:7" x14ac:dyDescent="0.2">
      <c r="A1041" t="s">
        <v>71</v>
      </c>
      <c r="B1041" t="s">
        <v>159</v>
      </c>
      <c r="C1041" t="s">
        <v>73</v>
      </c>
      <c r="D1041" t="s">
        <v>74</v>
      </c>
      <c r="E1041" t="s">
        <v>75</v>
      </c>
      <c r="F1041" s="55">
        <v>100</v>
      </c>
      <c r="G1041" s="63">
        <v>0.33210000000000001</v>
      </c>
    </row>
    <row r="1042" spans="1:7" x14ac:dyDescent="0.2">
      <c r="A1042" t="s">
        <v>71</v>
      </c>
      <c r="B1042" t="s">
        <v>159</v>
      </c>
      <c r="C1042" t="s">
        <v>73</v>
      </c>
      <c r="D1042" t="s">
        <v>74</v>
      </c>
      <c r="E1042" t="s">
        <v>76</v>
      </c>
      <c r="F1042" s="55">
        <v>96</v>
      </c>
      <c r="G1042" s="63">
        <v>3.39E-2</v>
      </c>
    </row>
    <row r="1043" spans="1:7" x14ac:dyDescent="0.2">
      <c r="A1043" t="s">
        <v>71</v>
      </c>
      <c r="B1043" t="s">
        <v>159</v>
      </c>
      <c r="C1043" t="s">
        <v>73</v>
      </c>
      <c r="D1043" t="s">
        <v>74</v>
      </c>
      <c r="E1043" t="s">
        <v>77</v>
      </c>
      <c r="F1043" s="55">
        <v>109</v>
      </c>
      <c r="G1043" s="63">
        <v>0.1384</v>
      </c>
    </row>
    <row r="1044" spans="1:7" x14ac:dyDescent="0.2">
      <c r="A1044" t="s">
        <v>71</v>
      </c>
      <c r="B1044" t="s">
        <v>159</v>
      </c>
      <c r="C1044" t="s">
        <v>73</v>
      </c>
      <c r="D1044" t="s">
        <v>74</v>
      </c>
      <c r="E1044" t="s">
        <v>78</v>
      </c>
      <c r="F1044" s="55">
        <v>103</v>
      </c>
      <c r="G1044" s="63">
        <v>0.1169</v>
      </c>
    </row>
    <row r="1045" spans="1:7" x14ac:dyDescent="0.2">
      <c r="A1045" t="s">
        <v>71</v>
      </c>
      <c r="B1045" t="s">
        <v>159</v>
      </c>
      <c r="C1045" t="s">
        <v>73</v>
      </c>
      <c r="D1045" t="s">
        <v>74</v>
      </c>
      <c r="E1045" t="s">
        <v>79</v>
      </c>
      <c r="F1045" s="55">
        <v>99</v>
      </c>
      <c r="G1045" s="63">
        <v>0.23760000000000001</v>
      </c>
    </row>
    <row r="1046" spans="1:7" x14ac:dyDescent="0.2">
      <c r="A1046" t="s">
        <v>71</v>
      </c>
      <c r="B1046" t="s">
        <v>159</v>
      </c>
      <c r="C1046" t="s">
        <v>73</v>
      </c>
      <c r="D1046" t="s">
        <v>74</v>
      </c>
      <c r="E1046" t="s">
        <v>80</v>
      </c>
      <c r="F1046" s="55">
        <v>97</v>
      </c>
      <c r="G1046" s="63">
        <v>6.8199999999999997E-2</v>
      </c>
    </row>
    <row r="1047" spans="1:7" x14ac:dyDescent="0.2">
      <c r="A1047" t="s">
        <v>71</v>
      </c>
      <c r="B1047" t="s">
        <v>159</v>
      </c>
      <c r="C1047" t="s">
        <v>73</v>
      </c>
      <c r="D1047" t="s">
        <v>74</v>
      </c>
      <c r="E1047" t="s">
        <v>81</v>
      </c>
      <c r="F1047" s="55">
        <v>93</v>
      </c>
      <c r="G1047" s="63">
        <v>7.2999999999999995E-2</v>
      </c>
    </row>
    <row r="1048" spans="1:7" x14ac:dyDescent="0.2">
      <c r="A1048" t="s">
        <v>71</v>
      </c>
      <c r="B1048" t="s">
        <v>159</v>
      </c>
      <c r="C1048" t="s">
        <v>73</v>
      </c>
      <c r="D1048" t="s">
        <v>74</v>
      </c>
      <c r="E1048" t="s">
        <v>82</v>
      </c>
      <c r="F1048" s="55">
        <v>97</v>
      </c>
      <c r="G1048" s="63">
        <v>0.16009999999999999</v>
      </c>
    </row>
    <row r="1049" spans="1:7" x14ac:dyDescent="0.2">
      <c r="A1049" t="s">
        <v>71</v>
      </c>
      <c r="B1049" t="s">
        <v>159</v>
      </c>
      <c r="C1049" t="s">
        <v>73</v>
      </c>
      <c r="D1049" t="s">
        <v>74</v>
      </c>
      <c r="E1049" t="s">
        <v>83</v>
      </c>
      <c r="F1049" s="55">
        <v>95</v>
      </c>
      <c r="G1049" s="63">
        <v>3.3799999999999997E-2</v>
      </c>
    </row>
    <row r="1050" spans="1:7" x14ac:dyDescent="0.2">
      <c r="A1050" t="s">
        <v>71</v>
      </c>
      <c r="B1050" t="s">
        <v>159</v>
      </c>
      <c r="C1050" t="s">
        <v>73</v>
      </c>
      <c r="D1050" t="s">
        <v>74</v>
      </c>
      <c r="E1050" t="s">
        <v>84</v>
      </c>
      <c r="F1050" s="55">
        <v>105</v>
      </c>
      <c r="G1050" s="63">
        <v>9.0499999999999997E-2</v>
      </c>
    </row>
    <row r="1051" spans="1:7" x14ac:dyDescent="0.2">
      <c r="A1051" t="s">
        <v>71</v>
      </c>
      <c r="B1051" t="s">
        <v>159</v>
      </c>
      <c r="C1051" t="s">
        <v>73</v>
      </c>
      <c r="D1051" t="s">
        <v>74</v>
      </c>
      <c r="E1051" t="s">
        <v>85</v>
      </c>
      <c r="F1051" s="55">
        <v>99</v>
      </c>
      <c r="G1051" s="63">
        <v>8.2500000000000004E-2</v>
      </c>
    </row>
    <row r="1052" spans="1:7" x14ac:dyDescent="0.2">
      <c r="A1052" t="s">
        <v>71</v>
      </c>
      <c r="B1052" t="s">
        <v>159</v>
      </c>
      <c r="C1052" t="s">
        <v>73</v>
      </c>
      <c r="D1052" t="s">
        <v>74</v>
      </c>
      <c r="E1052" t="s">
        <v>86</v>
      </c>
      <c r="F1052" s="55">
        <v>97</v>
      </c>
      <c r="G1052" s="63">
        <v>0.11269999999999999</v>
      </c>
    </row>
    <row r="1053" spans="1:7" x14ac:dyDescent="0.2">
      <c r="A1053" t="s">
        <v>71</v>
      </c>
      <c r="B1053" t="s">
        <v>159</v>
      </c>
      <c r="C1053" t="s">
        <v>73</v>
      </c>
      <c r="D1053" t="s">
        <v>74</v>
      </c>
      <c r="E1053" t="s">
        <v>87</v>
      </c>
      <c r="F1053" s="55">
        <v>99</v>
      </c>
      <c r="G1053" s="63">
        <v>0.13339999999999999</v>
      </c>
    </row>
    <row r="1054" spans="1:7" x14ac:dyDescent="0.2">
      <c r="A1054" t="s">
        <v>71</v>
      </c>
      <c r="B1054" t="s">
        <v>159</v>
      </c>
      <c r="C1054" t="s">
        <v>73</v>
      </c>
      <c r="D1054" t="s">
        <v>74</v>
      </c>
      <c r="E1054" t="s">
        <v>88</v>
      </c>
      <c r="F1054" s="55">
        <v>93</v>
      </c>
      <c r="G1054" s="63">
        <v>5.6899999999999999E-2</v>
      </c>
    </row>
    <row r="1055" spans="1:7" x14ac:dyDescent="0.2">
      <c r="A1055" t="s">
        <v>89</v>
      </c>
      <c r="B1055" t="s">
        <v>160</v>
      </c>
      <c r="C1055" t="s">
        <v>73</v>
      </c>
      <c r="D1055" t="s">
        <v>74</v>
      </c>
      <c r="E1055" t="s">
        <v>75</v>
      </c>
      <c r="F1055" s="55">
        <v>81</v>
      </c>
      <c r="G1055" s="63">
        <v>4.1000000000000003E-3</v>
      </c>
    </row>
    <row r="1056" spans="1:7" x14ac:dyDescent="0.2">
      <c r="A1056" t="s">
        <v>89</v>
      </c>
      <c r="B1056" t="s">
        <v>160</v>
      </c>
      <c r="C1056" t="s">
        <v>73</v>
      </c>
      <c r="D1056" t="s">
        <v>74</v>
      </c>
      <c r="E1056" t="s">
        <v>79</v>
      </c>
      <c r="F1056" s="55">
        <v>105</v>
      </c>
      <c r="G1056" s="63">
        <v>2.5000000000000001E-3</v>
      </c>
    </row>
    <row r="1057" spans="1:7" x14ac:dyDescent="0.2">
      <c r="A1057" t="s">
        <v>89</v>
      </c>
      <c r="B1057" t="s">
        <v>161</v>
      </c>
      <c r="C1057" t="s">
        <v>73</v>
      </c>
      <c r="D1057" t="s">
        <v>74</v>
      </c>
      <c r="E1057" t="s">
        <v>75</v>
      </c>
      <c r="F1057" s="55">
        <v>66</v>
      </c>
      <c r="G1057" s="63">
        <v>8.4099999999999994E-2</v>
      </c>
    </row>
    <row r="1058" spans="1:7" x14ac:dyDescent="0.2">
      <c r="A1058" t="s">
        <v>89</v>
      </c>
      <c r="B1058" t="s">
        <v>161</v>
      </c>
      <c r="C1058" t="s">
        <v>73</v>
      </c>
      <c r="D1058" t="s">
        <v>74</v>
      </c>
      <c r="E1058" t="s">
        <v>76</v>
      </c>
      <c r="F1058" s="55">
        <v>52</v>
      </c>
      <c r="G1058" s="63">
        <v>7.0000000000000001E-3</v>
      </c>
    </row>
    <row r="1059" spans="1:7" x14ac:dyDescent="0.2">
      <c r="A1059" t="s">
        <v>89</v>
      </c>
      <c r="B1059" t="s">
        <v>161</v>
      </c>
      <c r="C1059" t="s">
        <v>73</v>
      </c>
      <c r="D1059" t="s">
        <v>74</v>
      </c>
      <c r="E1059" t="s">
        <v>77</v>
      </c>
      <c r="F1059" s="55">
        <v>64</v>
      </c>
      <c r="G1059" s="63">
        <v>2.3900000000000001E-2</v>
      </c>
    </row>
    <row r="1060" spans="1:7" x14ac:dyDescent="0.2">
      <c r="A1060" t="s">
        <v>89</v>
      </c>
      <c r="B1060" t="s">
        <v>161</v>
      </c>
      <c r="C1060" t="s">
        <v>73</v>
      </c>
      <c r="D1060" t="s">
        <v>74</v>
      </c>
      <c r="E1060" t="s">
        <v>78</v>
      </c>
      <c r="F1060" s="55">
        <v>62</v>
      </c>
      <c r="G1060" s="63">
        <v>1.83E-2</v>
      </c>
    </row>
    <row r="1061" spans="1:7" x14ac:dyDescent="0.2">
      <c r="A1061" t="s">
        <v>89</v>
      </c>
      <c r="B1061" t="s">
        <v>161</v>
      </c>
      <c r="C1061" t="s">
        <v>73</v>
      </c>
      <c r="D1061" t="s">
        <v>74</v>
      </c>
      <c r="E1061" t="s">
        <v>79</v>
      </c>
      <c r="F1061" s="55">
        <v>69</v>
      </c>
      <c r="G1061" s="63">
        <v>5.7700000000000001E-2</v>
      </c>
    </row>
    <row r="1062" spans="1:7" x14ac:dyDescent="0.2">
      <c r="A1062" t="s">
        <v>89</v>
      </c>
      <c r="B1062" t="s">
        <v>161</v>
      </c>
      <c r="C1062" t="s">
        <v>73</v>
      </c>
      <c r="D1062" t="s">
        <v>74</v>
      </c>
      <c r="E1062" t="s">
        <v>80</v>
      </c>
      <c r="F1062" s="55">
        <v>62</v>
      </c>
      <c r="G1062" s="63">
        <v>1.6E-2</v>
      </c>
    </row>
    <row r="1063" spans="1:7" x14ac:dyDescent="0.2">
      <c r="A1063" t="s">
        <v>89</v>
      </c>
      <c r="B1063" t="s">
        <v>161</v>
      </c>
      <c r="C1063" t="s">
        <v>73</v>
      </c>
      <c r="D1063" t="s">
        <v>74</v>
      </c>
      <c r="E1063" t="s">
        <v>81</v>
      </c>
      <c r="F1063" s="55">
        <v>59</v>
      </c>
      <c r="G1063" s="63">
        <v>1.49E-2</v>
      </c>
    </row>
    <row r="1064" spans="1:7" x14ac:dyDescent="0.2">
      <c r="A1064" t="s">
        <v>89</v>
      </c>
      <c r="B1064" t="s">
        <v>161</v>
      </c>
      <c r="C1064" t="s">
        <v>73</v>
      </c>
      <c r="D1064" t="s">
        <v>74</v>
      </c>
      <c r="E1064" t="s">
        <v>82</v>
      </c>
      <c r="F1064" s="55">
        <v>70</v>
      </c>
      <c r="G1064" s="63">
        <v>3.4799999999999998E-2</v>
      </c>
    </row>
    <row r="1065" spans="1:7" x14ac:dyDescent="0.2">
      <c r="A1065" t="s">
        <v>89</v>
      </c>
      <c r="B1065" t="s">
        <v>161</v>
      </c>
      <c r="C1065" t="s">
        <v>73</v>
      </c>
      <c r="D1065" t="s">
        <v>74</v>
      </c>
      <c r="E1065" t="s">
        <v>83</v>
      </c>
      <c r="F1065" s="55">
        <v>55</v>
      </c>
      <c r="G1065" s="63">
        <v>5.4999999999999997E-3</v>
      </c>
    </row>
    <row r="1066" spans="1:7" x14ac:dyDescent="0.2">
      <c r="A1066" t="s">
        <v>89</v>
      </c>
      <c r="B1066" t="s">
        <v>161</v>
      </c>
      <c r="C1066" t="s">
        <v>73</v>
      </c>
      <c r="D1066" t="s">
        <v>74</v>
      </c>
      <c r="E1066" t="s">
        <v>84</v>
      </c>
      <c r="F1066" s="55">
        <v>63</v>
      </c>
      <c r="G1066" s="63">
        <v>1.17E-2</v>
      </c>
    </row>
    <row r="1067" spans="1:7" x14ac:dyDescent="0.2">
      <c r="A1067" t="s">
        <v>89</v>
      </c>
      <c r="B1067" t="s">
        <v>161</v>
      </c>
      <c r="C1067" t="s">
        <v>73</v>
      </c>
      <c r="D1067" t="s">
        <v>74</v>
      </c>
      <c r="E1067" t="s">
        <v>85</v>
      </c>
      <c r="F1067" s="55">
        <v>69</v>
      </c>
      <c r="G1067" s="63">
        <v>2.0500000000000001E-2</v>
      </c>
    </row>
    <row r="1068" spans="1:7" x14ac:dyDescent="0.2">
      <c r="A1068" t="s">
        <v>89</v>
      </c>
      <c r="B1068" t="s">
        <v>161</v>
      </c>
      <c r="C1068" t="s">
        <v>73</v>
      </c>
      <c r="D1068" t="s">
        <v>74</v>
      </c>
      <c r="E1068" t="s">
        <v>86</v>
      </c>
      <c r="F1068" s="55">
        <v>71</v>
      </c>
      <c r="G1068" s="63">
        <v>2.6599999999999999E-2</v>
      </c>
    </row>
    <row r="1069" spans="1:7" x14ac:dyDescent="0.2">
      <c r="A1069" t="s">
        <v>89</v>
      </c>
      <c r="B1069" t="s">
        <v>161</v>
      </c>
      <c r="C1069" t="s">
        <v>73</v>
      </c>
      <c r="D1069" t="s">
        <v>74</v>
      </c>
      <c r="E1069" t="s">
        <v>87</v>
      </c>
      <c r="F1069" s="55">
        <v>70</v>
      </c>
      <c r="G1069" s="63">
        <v>2.9100000000000001E-2</v>
      </c>
    </row>
    <row r="1070" spans="1:7" x14ac:dyDescent="0.2">
      <c r="A1070" t="s">
        <v>89</v>
      </c>
      <c r="B1070" t="s">
        <v>161</v>
      </c>
      <c r="C1070" t="s">
        <v>73</v>
      </c>
      <c r="D1070" t="s">
        <v>74</v>
      </c>
      <c r="E1070" t="s">
        <v>88</v>
      </c>
      <c r="F1070" s="55">
        <v>58</v>
      </c>
      <c r="G1070" s="63">
        <v>1.14E-2</v>
      </c>
    </row>
    <row r="1071" spans="1:7" x14ac:dyDescent="0.2">
      <c r="A1071" t="s">
        <v>89</v>
      </c>
      <c r="B1071" t="s">
        <v>162</v>
      </c>
      <c r="C1071" t="s">
        <v>73</v>
      </c>
      <c r="D1071" t="s">
        <v>74</v>
      </c>
      <c r="E1071" t="s">
        <v>75</v>
      </c>
      <c r="F1071" s="55">
        <v>71</v>
      </c>
      <c r="G1071" s="63">
        <v>5.1499999999999997E-2</v>
      </c>
    </row>
    <row r="1072" spans="1:7" x14ac:dyDescent="0.2">
      <c r="A1072" t="s">
        <v>89</v>
      </c>
      <c r="B1072" t="s">
        <v>162</v>
      </c>
      <c r="C1072" t="s">
        <v>73</v>
      </c>
      <c r="D1072" t="s">
        <v>74</v>
      </c>
      <c r="E1072" t="s">
        <v>76</v>
      </c>
      <c r="F1072" s="55">
        <v>84</v>
      </c>
      <c r="G1072" s="63">
        <v>3.8999999999999998E-3</v>
      </c>
    </row>
    <row r="1073" spans="1:7" x14ac:dyDescent="0.2">
      <c r="A1073" t="s">
        <v>89</v>
      </c>
      <c r="B1073" t="s">
        <v>162</v>
      </c>
      <c r="C1073" t="s">
        <v>73</v>
      </c>
      <c r="D1073" t="s">
        <v>74</v>
      </c>
      <c r="E1073" t="s">
        <v>77</v>
      </c>
      <c r="F1073" s="55">
        <v>108</v>
      </c>
      <c r="G1073" s="63">
        <v>1.2800000000000001E-2</v>
      </c>
    </row>
    <row r="1074" spans="1:7" x14ac:dyDescent="0.2">
      <c r="A1074" t="s">
        <v>89</v>
      </c>
      <c r="B1074" t="s">
        <v>162</v>
      </c>
      <c r="C1074" t="s">
        <v>73</v>
      </c>
      <c r="D1074" t="s">
        <v>74</v>
      </c>
      <c r="E1074" t="s">
        <v>78</v>
      </c>
      <c r="F1074" s="55">
        <v>102</v>
      </c>
      <c r="G1074" s="63">
        <v>9.9000000000000008E-3</v>
      </c>
    </row>
    <row r="1075" spans="1:7" x14ac:dyDescent="0.2">
      <c r="A1075" t="s">
        <v>89</v>
      </c>
      <c r="B1075" t="s">
        <v>162</v>
      </c>
      <c r="C1075" t="s">
        <v>73</v>
      </c>
      <c r="D1075" t="s">
        <v>74</v>
      </c>
      <c r="E1075" t="s">
        <v>79</v>
      </c>
      <c r="F1075" s="55">
        <v>82</v>
      </c>
      <c r="G1075" s="63">
        <v>3.1600000000000003E-2</v>
      </c>
    </row>
    <row r="1076" spans="1:7" x14ac:dyDescent="0.2">
      <c r="A1076" t="s">
        <v>89</v>
      </c>
      <c r="B1076" t="s">
        <v>162</v>
      </c>
      <c r="C1076" t="s">
        <v>73</v>
      </c>
      <c r="D1076" t="s">
        <v>74</v>
      </c>
      <c r="E1076" t="s">
        <v>80</v>
      </c>
      <c r="F1076" s="55">
        <v>126</v>
      </c>
      <c r="G1076" s="63">
        <v>6.0000000000000001E-3</v>
      </c>
    </row>
    <row r="1077" spans="1:7" x14ac:dyDescent="0.2">
      <c r="A1077" t="s">
        <v>89</v>
      </c>
      <c r="B1077" t="s">
        <v>162</v>
      </c>
      <c r="C1077" t="s">
        <v>73</v>
      </c>
      <c r="D1077" t="s">
        <v>74</v>
      </c>
      <c r="E1077" t="s">
        <v>81</v>
      </c>
      <c r="F1077" s="55">
        <v>118</v>
      </c>
      <c r="G1077" s="63">
        <v>7.3000000000000001E-3</v>
      </c>
    </row>
    <row r="1078" spans="1:7" x14ac:dyDescent="0.2">
      <c r="A1078" t="s">
        <v>89</v>
      </c>
      <c r="B1078" t="s">
        <v>162</v>
      </c>
      <c r="C1078" t="s">
        <v>73</v>
      </c>
      <c r="D1078" t="s">
        <v>74</v>
      </c>
      <c r="E1078" t="s">
        <v>82</v>
      </c>
      <c r="F1078" s="55">
        <v>102</v>
      </c>
      <c r="G1078" s="63">
        <v>1.9400000000000001E-2</v>
      </c>
    </row>
    <row r="1079" spans="1:7" x14ac:dyDescent="0.2">
      <c r="A1079" t="s">
        <v>89</v>
      </c>
      <c r="B1079" t="s">
        <v>162</v>
      </c>
      <c r="C1079" t="s">
        <v>73</v>
      </c>
      <c r="D1079" t="s">
        <v>74</v>
      </c>
      <c r="E1079" t="s">
        <v>83</v>
      </c>
      <c r="F1079" s="55">
        <v>118</v>
      </c>
      <c r="G1079" s="63">
        <v>3.0999999999999999E-3</v>
      </c>
    </row>
    <row r="1080" spans="1:7" x14ac:dyDescent="0.2">
      <c r="A1080" t="s">
        <v>89</v>
      </c>
      <c r="B1080" t="s">
        <v>162</v>
      </c>
      <c r="C1080" t="s">
        <v>73</v>
      </c>
      <c r="D1080" t="s">
        <v>74</v>
      </c>
      <c r="E1080" t="s">
        <v>84</v>
      </c>
      <c r="F1080" s="55">
        <v>127</v>
      </c>
      <c r="G1080" s="63">
        <v>7.0000000000000001E-3</v>
      </c>
    </row>
    <row r="1081" spans="1:7" x14ac:dyDescent="0.2">
      <c r="A1081" t="s">
        <v>89</v>
      </c>
      <c r="B1081" t="s">
        <v>162</v>
      </c>
      <c r="C1081" t="s">
        <v>73</v>
      </c>
      <c r="D1081" t="s">
        <v>74</v>
      </c>
      <c r="E1081" t="s">
        <v>85</v>
      </c>
      <c r="F1081" s="55">
        <v>131</v>
      </c>
      <c r="G1081" s="63">
        <v>7.1000000000000004E-3</v>
      </c>
    </row>
    <row r="1082" spans="1:7" x14ac:dyDescent="0.2">
      <c r="A1082" t="s">
        <v>89</v>
      </c>
      <c r="B1082" t="s">
        <v>162</v>
      </c>
      <c r="C1082" t="s">
        <v>73</v>
      </c>
      <c r="D1082" t="s">
        <v>74</v>
      </c>
      <c r="E1082" t="s">
        <v>86</v>
      </c>
      <c r="F1082" s="55">
        <v>125</v>
      </c>
      <c r="G1082" s="63">
        <v>1.01E-2</v>
      </c>
    </row>
    <row r="1083" spans="1:7" x14ac:dyDescent="0.2">
      <c r="A1083" t="s">
        <v>89</v>
      </c>
      <c r="B1083" t="s">
        <v>162</v>
      </c>
      <c r="C1083" t="s">
        <v>73</v>
      </c>
      <c r="D1083" t="s">
        <v>74</v>
      </c>
      <c r="E1083" t="s">
        <v>87</v>
      </c>
      <c r="F1083" s="55">
        <v>108</v>
      </c>
      <c r="G1083" s="63">
        <v>1.24E-2</v>
      </c>
    </row>
    <row r="1084" spans="1:7" x14ac:dyDescent="0.2">
      <c r="A1084" t="s">
        <v>89</v>
      </c>
      <c r="B1084" t="s">
        <v>162</v>
      </c>
      <c r="C1084" t="s">
        <v>73</v>
      </c>
      <c r="D1084" t="s">
        <v>74</v>
      </c>
      <c r="E1084" t="s">
        <v>88</v>
      </c>
      <c r="F1084" s="55">
        <v>91</v>
      </c>
      <c r="G1084" s="63">
        <v>6.4000000000000003E-3</v>
      </c>
    </row>
    <row r="1085" spans="1:7" x14ac:dyDescent="0.2">
      <c r="A1085" t="s">
        <v>71</v>
      </c>
      <c r="B1085" t="s">
        <v>163</v>
      </c>
      <c r="C1085" t="s">
        <v>73</v>
      </c>
      <c r="D1085" t="s">
        <v>74</v>
      </c>
      <c r="E1085" t="s">
        <v>75</v>
      </c>
      <c r="F1085" s="55">
        <v>92</v>
      </c>
      <c r="G1085" s="63">
        <v>0.1958</v>
      </c>
    </row>
    <row r="1086" spans="1:7" x14ac:dyDescent="0.2">
      <c r="A1086" t="s">
        <v>71</v>
      </c>
      <c r="B1086" t="s">
        <v>163</v>
      </c>
      <c r="C1086" t="s">
        <v>73</v>
      </c>
      <c r="D1086" t="s">
        <v>74</v>
      </c>
      <c r="E1086" t="s">
        <v>76</v>
      </c>
      <c r="F1086" s="55">
        <v>94</v>
      </c>
      <c r="G1086" s="63">
        <v>2.2599999999999999E-2</v>
      </c>
    </row>
    <row r="1087" spans="1:7" x14ac:dyDescent="0.2">
      <c r="A1087" t="s">
        <v>71</v>
      </c>
      <c r="B1087" t="s">
        <v>163</v>
      </c>
      <c r="C1087" t="s">
        <v>73</v>
      </c>
      <c r="D1087" t="s">
        <v>74</v>
      </c>
      <c r="E1087" t="s">
        <v>77</v>
      </c>
      <c r="F1087" s="55">
        <v>95</v>
      </c>
      <c r="G1087" s="63">
        <v>6.3E-2</v>
      </c>
    </row>
    <row r="1088" spans="1:7" x14ac:dyDescent="0.2">
      <c r="A1088" t="s">
        <v>71</v>
      </c>
      <c r="B1088" t="s">
        <v>163</v>
      </c>
      <c r="C1088" t="s">
        <v>73</v>
      </c>
      <c r="D1088" t="s">
        <v>74</v>
      </c>
      <c r="E1088" t="s">
        <v>78</v>
      </c>
      <c r="F1088" s="55">
        <v>99</v>
      </c>
      <c r="G1088" s="63">
        <v>5.7700000000000001E-2</v>
      </c>
    </row>
    <row r="1089" spans="1:7" x14ac:dyDescent="0.2">
      <c r="A1089" t="s">
        <v>71</v>
      </c>
      <c r="B1089" t="s">
        <v>163</v>
      </c>
      <c r="C1089" t="s">
        <v>73</v>
      </c>
      <c r="D1089" t="s">
        <v>74</v>
      </c>
      <c r="E1089" t="s">
        <v>79</v>
      </c>
      <c r="F1089" s="55">
        <v>92</v>
      </c>
      <c r="G1089" s="63">
        <v>0.12640000000000001</v>
      </c>
    </row>
    <row r="1090" spans="1:7" x14ac:dyDescent="0.2">
      <c r="A1090" t="s">
        <v>71</v>
      </c>
      <c r="B1090" t="s">
        <v>163</v>
      </c>
      <c r="C1090" t="s">
        <v>73</v>
      </c>
      <c r="D1090" t="s">
        <v>74</v>
      </c>
      <c r="E1090" t="s">
        <v>80</v>
      </c>
      <c r="F1090" s="55">
        <v>92</v>
      </c>
      <c r="G1090" s="63">
        <v>3.1199999999999999E-2</v>
      </c>
    </row>
    <row r="1091" spans="1:7" x14ac:dyDescent="0.2">
      <c r="A1091" t="s">
        <v>71</v>
      </c>
      <c r="B1091" t="s">
        <v>163</v>
      </c>
      <c r="C1091" t="s">
        <v>73</v>
      </c>
      <c r="D1091" t="s">
        <v>74</v>
      </c>
      <c r="E1091" t="s">
        <v>81</v>
      </c>
      <c r="F1091" s="55">
        <v>91</v>
      </c>
      <c r="G1091" s="63">
        <v>3.5499999999999997E-2</v>
      </c>
    </row>
    <row r="1092" spans="1:7" x14ac:dyDescent="0.2">
      <c r="A1092" t="s">
        <v>71</v>
      </c>
      <c r="B1092" t="s">
        <v>163</v>
      </c>
      <c r="C1092" t="s">
        <v>73</v>
      </c>
      <c r="D1092" t="s">
        <v>74</v>
      </c>
      <c r="E1092" t="s">
        <v>82</v>
      </c>
      <c r="F1092" s="55">
        <v>87</v>
      </c>
      <c r="G1092" s="63">
        <v>0.10440000000000001</v>
      </c>
    </row>
    <row r="1093" spans="1:7" x14ac:dyDescent="0.2">
      <c r="A1093" t="s">
        <v>71</v>
      </c>
      <c r="B1093" t="s">
        <v>163</v>
      </c>
      <c r="C1093" t="s">
        <v>73</v>
      </c>
      <c r="D1093" t="s">
        <v>74</v>
      </c>
      <c r="E1093" t="s">
        <v>83</v>
      </c>
      <c r="F1093" s="55">
        <v>89</v>
      </c>
      <c r="G1093" s="63">
        <v>1.8100000000000002E-2</v>
      </c>
    </row>
    <row r="1094" spans="1:7" x14ac:dyDescent="0.2">
      <c r="A1094" t="s">
        <v>71</v>
      </c>
      <c r="B1094" t="s">
        <v>163</v>
      </c>
      <c r="C1094" t="s">
        <v>73</v>
      </c>
      <c r="D1094" t="s">
        <v>74</v>
      </c>
      <c r="E1094" t="s">
        <v>84</v>
      </c>
      <c r="F1094" s="55">
        <v>100</v>
      </c>
      <c r="G1094" s="63">
        <v>4.3400000000000001E-2</v>
      </c>
    </row>
    <row r="1095" spans="1:7" x14ac:dyDescent="0.2">
      <c r="A1095" t="s">
        <v>71</v>
      </c>
      <c r="B1095" t="s">
        <v>163</v>
      </c>
      <c r="C1095" t="s">
        <v>73</v>
      </c>
      <c r="D1095" t="s">
        <v>74</v>
      </c>
      <c r="E1095" t="s">
        <v>85</v>
      </c>
      <c r="F1095" s="55">
        <v>92</v>
      </c>
      <c r="G1095" s="63">
        <v>3.6600000000000001E-2</v>
      </c>
    </row>
    <row r="1096" spans="1:7" x14ac:dyDescent="0.2">
      <c r="A1096" t="s">
        <v>71</v>
      </c>
      <c r="B1096" t="s">
        <v>163</v>
      </c>
      <c r="C1096" t="s">
        <v>73</v>
      </c>
      <c r="D1096" t="s">
        <v>74</v>
      </c>
      <c r="E1096" t="s">
        <v>86</v>
      </c>
      <c r="F1096" s="55">
        <v>91</v>
      </c>
      <c r="G1096" s="63">
        <v>4.9399999999999999E-2</v>
      </c>
    </row>
    <row r="1097" spans="1:7" x14ac:dyDescent="0.2">
      <c r="A1097" t="s">
        <v>71</v>
      </c>
      <c r="B1097" t="s">
        <v>163</v>
      </c>
      <c r="C1097" t="s">
        <v>73</v>
      </c>
      <c r="D1097" t="s">
        <v>74</v>
      </c>
      <c r="E1097" t="s">
        <v>87</v>
      </c>
      <c r="F1097" s="55">
        <v>90</v>
      </c>
      <c r="G1097" s="63">
        <v>6.0699999999999997E-2</v>
      </c>
    </row>
    <row r="1098" spans="1:7" x14ac:dyDescent="0.2">
      <c r="A1098" t="s">
        <v>71</v>
      </c>
      <c r="B1098" t="s">
        <v>163</v>
      </c>
      <c r="C1098" t="s">
        <v>73</v>
      </c>
      <c r="D1098" t="s">
        <v>74</v>
      </c>
      <c r="E1098" t="s">
        <v>88</v>
      </c>
      <c r="F1098" s="55">
        <v>92</v>
      </c>
      <c r="G1098" s="63">
        <v>3.7100000000000001E-2</v>
      </c>
    </row>
    <row r="1099" spans="1:7" x14ac:dyDescent="0.2">
      <c r="A1099" t="s">
        <v>89</v>
      </c>
      <c r="B1099" t="s">
        <v>164</v>
      </c>
      <c r="C1099" t="s">
        <v>73</v>
      </c>
      <c r="D1099" t="s">
        <v>74</v>
      </c>
      <c r="E1099" t="s">
        <v>75</v>
      </c>
      <c r="F1099" s="55">
        <v>84</v>
      </c>
      <c r="G1099" s="63">
        <v>5.9400000000000001E-2</v>
      </c>
    </row>
    <row r="1100" spans="1:7" x14ac:dyDescent="0.2">
      <c r="A1100" t="s">
        <v>89</v>
      </c>
      <c r="B1100" t="s">
        <v>164</v>
      </c>
      <c r="C1100" t="s">
        <v>73</v>
      </c>
      <c r="D1100" t="s">
        <v>74</v>
      </c>
      <c r="E1100" t="s">
        <v>76</v>
      </c>
      <c r="F1100" s="55">
        <v>74</v>
      </c>
      <c r="G1100" s="63">
        <v>6.7000000000000002E-3</v>
      </c>
    </row>
    <row r="1101" spans="1:7" x14ac:dyDescent="0.2">
      <c r="A1101" t="s">
        <v>89</v>
      </c>
      <c r="B1101" t="s">
        <v>164</v>
      </c>
      <c r="C1101" t="s">
        <v>73</v>
      </c>
      <c r="D1101" t="s">
        <v>74</v>
      </c>
      <c r="E1101" t="s">
        <v>77</v>
      </c>
      <c r="F1101" s="55">
        <v>95</v>
      </c>
      <c r="G1101" s="63">
        <v>1.9300000000000001E-2</v>
      </c>
    </row>
    <row r="1102" spans="1:7" x14ac:dyDescent="0.2">
      <c r="A1102" t="s">
        <v>89</v>
      </c>
      <c r="B1102" t="s">
        <v>164</v>
      </c>
      <c r="C1102" t="s">
        <v>73</v>
      </c>
      <c r="D1102" t="s">
        <v>74</v>
      </c>
      <c r="E1102" t="s">
        <v>78</v>
      </c>
      <c r="F1102" s="55">
        <v>80</v>
      </c>
      <c r="G1102" s="63">
        <v>1.49E-2</v>
      </c>
    </row>
    <row r="1103" spans="1:7" x14ac:dyDescent="0.2">
      <c r="A1103" t="s">
        <v>89</v>
      </c>
      <c r="B1103" t="s">
        <v>164</v>
      </c>
      <c r="C1103" t="s">
        <v>73</v>
      </c>
      <c r="D1103" t="s">
        <v>74</v>
      </c>
      <c r="E1103" t="s">
        <v>79</v>
      </c>
      <c r="F1103" s="55">
        <v>82</v>
      </c>
      <c r="G1103" s="63">
        <v>2.92E-2</v>
      </c>
    </row>
    <row r="1104" spans="1:7" x14ac:dyDescent="0.2">
      <c r="A1104" t="s">
        <v>89</v>
      </c>
      <c r="B1104" t="s">
        <v>164</v>
      </c>
      <c r="C1104" t="s">
        <v>73</v>
      </c>
      <c r="D1104" t="s">
        <v>74</v>
      </c>
      <c r="E1104" t="s">
        <v>80</v>
      </c>
      <c r="F1104" s="55">
        <v>99</v>
      </c>
      <c r="G1104" s="63">
        <v>6.4000000000000003E-3</v>
      </c>
    </row>
    <row r="1105" spans="1:7" x14ac:dyDescent="0.2">
      <c r="A1105" t="s">
        <v>89</v>
      </c>
      <c r="B1105" t="s">
        <v>164</v>
      </c>
      <c r="C1105" t="s">
        <v>73</v>
      </c>
      <c r="D1105" t="s">
        <v>74</v>
      </c>
      <c r="E1105" t="s">
        <v>81</v>
      </c>
      <c r="F1105" s="55">
        <v>93</v>
      </c>
      <c r="G1105" s="63">
        <v>8.0000000000000002E-3</v>
      </c>
    </row>
    <row r="1106" spans="1:7" x14ac:dyDescent="0.2">
      <c r="A1106" t="s">
        <v>89</v>
      </c>
      <c r="B1106" t="s">
        <v>164</v>
      </c>
      <c r="C1106" t="s">
        <v>73</v>
      </c>
      <c r="D1106" t="s">
        <v>74</v>
      </c>
      <c r="E1106" t="s">
        <v>82</v>
      </c>
      <c r="F1106" s="55">
        <v>78</v>
      </c>
      <c r="G1106" s="63">
        <v>2.3900000000000001E-2</v>
      </c>
    </row>
    <row r="1107" spans="1:7" x14ac:dyDescent="0.2">
      <c r="A1107" t="s">
        <v>89</v>
      </c>
      <c r="B1107" t="s">
        <v>164</v>
      </c>
      <c r="C1107" t="s">
        <v>73</v>
      </c>
      <c r="D1107" t="s">
        <v>74</v>
      </c>
      <c r="E1107" t="s">
        <v>83</v>
      </c>
      <c r="F1107" s="55">
        <v>62</v>
      </c>
      <c r="G1107" s="63">
        <v>4.4000000000000003E-3</v>
      </c>
    </row>
    <row r="1108" spans="1:7" x14ac:dyDescent="0.2">
      <c r="A1108" t="s">
        <v>89</v>
      </c>
      <c r="B1108" t="s">
        <v>164</v>
      </c>
      <c r="C1108" t="s">
        <v>73</v>
      </c>
      <c r="D1108" t="s">
        <v>74</v>
      </c>
      <c r="E1108" t="s">
        <v>84</v>
      </c>
      <c r="F1108" s="55">
        <v>82</v>
      </c>
      <c r="G1108" s="63">
        <v>1.09E-2</v>
      </c>
    </row>
    <row r="1109" spans="1:7" x14ac:dyDescent="0.2">
      <c r="A1109" t="s">
        <v>89</v>
      </c>
      <c r="B1109" t="s">
        <v>164</v>
      </c>
      <c r="C1109" t="s">
        <v>73</v>
      </c>
      <c r="D1109" t="s">
        <v>74</v>
      </c>
      <c r="E1109" t="s">
        <v>85</v>
      </c>
      <c r="F1109" s="55">
        <v>80</v>
      </c>
      <c r="G1109" s="63">
        <v>6.1000000000000004E-3</v>
      </c>
    </row>
    <row r="1110" spans="1:7" x14ac:dyDescent="0.2">
      <c r="A1110" t="s">
        <v>89</v>
      </c>
      <c r="B1110" t="s">
        <v>164</v>
      </c>
      <c r="C1110" t="s">
        <v>73</v>
      </c>
      <c r="D1110" t="s">
        <v>74</v>
      </c>
      <c r="E1110" t="s">
        <v>86</v>
      </c>
      <c r="F1110" s="55">
        <v>87</v>
      </c>
      <c r="G1110" s="63">
        <v>7.9000000000000008E-3</v>
      </c>
    </row>
    <row r="1111" spans="1:7" x14ac:dyDescent="0.2">
      <c r="A1111" t="s">
        <v>89</v>
      </c>
      <c r="B1111" t="s">
        <v>164</v>
      </c>
      <c r="C1111" t="s">
        <v>73</v>
      </c>
      <c r="D1111" t="s">
        <v>74</v>
      </c>
      <c r="E1111" t="s">
        <v>87</v>
      </c>
      <c r="F1111" s="55">
        <v>86</v>
      </c>
      <c r="G1111" s="63">
        <v>1.0200000000000001E-2</v>
      </c>
    </row>
    <row r="1112" spans="1:7" x14ac:dyDescent="0.2">
      <c r="A1112" t="s">
        <v>89</v>
      </c>
      <c r="B1112" t="s">
        <v>164</v>
      </c>
      <c r="C1112" t="s">
        <v>73</v>
      </c>
      <c r="D1112" t="s">
        <v>74</v>
      </c>
      <c r="E1112" t="s">
        <v>88</v>
      </c>
      <c r="F1112" s="55">
        <v>72</v>
      </c>
      <c r="G1112" s="63">
        <v>1.24E-2</v>
      </c>
    </row>
    <row r="1113" spans="1:7" x14ac:dyDescent="0.2">
      <c r="A1113" t="s">
        <v>89</v>
      </c>
      <c r="B1113" t="s">
        <v>165</v>
      </c>
      <c r="C1113" t="s">
        <v>73</v>
      </c>
      <c r="D1113" t="s">
        <v>74</v>
      </c>
      <c r="E1113" t="s">
        <v>75</v>
      </c>
      <c r="F1113" s="55">
        <v>72</v>
      </c>
      <c r="G1113" s="63">
        <v>4.3900000000000002E-2</v>
      </c>
    </row>
    <row r="1114" spans="1:7" x14ac:dyDescent="0.2">
      <c r="A1114" t="s">
        <v>89</v>
      </c>
      <c r="B1114" t="s">
        <v>165</v>
      </c>
      <c r="C1114" t="s">
        <v>73</v>
      </c>
      <c r="D1114" t="s">
        <v>74</v>
      </c>
      <c r="E1114" t="s">
        <v>76</v>
      </c>
      <c r="F1114" s="55">
        <v>79</v>
      </c>
      <c r="G1114" s="63">
        <v>5.5999999999999999E-3</v>
      </c>
    </row>
    <row r="1115" spans="1:7" x14ac:dyDescent="0.2">
      <c r="A1115" t="s">
        <v>89</v>
      </c>
      <c r="B1115" t="s">
        <v>165</v>
      </c>
      <c r="C1115" t="s">
        <v>73</v>
      </c>
      <c r="D1115" t="s">
        <v>74</v>
      </c>
      <c r="E1115" t="s">
        <v>77</v>
      </c>
      <c r="F1115" s="55">
        <v>81</v>
      </c>
      <c r="G1115" s="63">
        <v>1.49E-2</v>
      </c>
    </row>
    <row r="1116" spans="1:7" x14ac:dyDescent="0.2">
      <c r="A1116" t="s">
        <v>89</v>
      </c>
      <c r="B1116" t="s">
        <v>165</v>
      </c>
      <c r="C1116" t="s">
        <v>73</v>
      </c>
      <c r="D1116" t="s">
        <v>74</v>
      </c>
      <c r="E1116" t="s">
        <v>78</v>
      </c>
      <c r="F1116" s="55">
        <v>108</v>
      </c>
      <c r="G1116" s="63">
        <v>9.9000000000000008E-3</v>
      </c>
    </row>
    <row r="1117" spans="1:7" x14ac:dyDescent="0.2">
      <c r="A1117" t="s">
        <v>89</v>
      </c>
      <c r="B1117" t="s">
        <v>165</v>
      </c>
      <c r="C1117" t="s">
        <v>73</v>
      </c>
      <c r="D1117" t="s">
        <v>74</v>
      </c>
      <c r="E1117" t="s">
        <v>79</v>
      </c>
      <c r="F1117" s="55">
        <v>65</v>
      </c>
      <c r="G1117" s="63">
        <v>2.1499999999999998E-2</v>
      </c>
    </row>
    <row r="1118" spans="1:7" x14ac:dyDescent="0.2">
      <c r="A1118" t="s">
        <v>89</v>
      </c>
      <c r="B1118" t="s">
        <v>165</v>
      </c>
      <c r="C1118" t="s">
        <v>73</v>
      </c>
      <c r="D1118" t="s">
        <v>74</v>
      </c>
      <c r="E1118" t="s">
        <v>80</v>
      </c>
      <c r="F1118" s="55">
        <v>56</v>
      </c>
      <c r="G1118" s="63">
        <v>6.7000000000000002E-3</v>
      </c>
    </row>
    <row r="1119" spans="1:7" x14ac:dyDescent="0.2">
      <c r="A1119" t="s">
        <v>89</v>
      </c>
      <c r="B1119" t="s">
        <v>165</v>
      </c>
      <c r="C1119" t="s">
        <v>73</v>
      </c>
      <c r="D1119" t="s">
        <v>74</v>
      </c>
      <c r="E1119" t="s">
        <v>81</v>
      </c>
      <c r="F1119" s="55">
        <v>55</v>
      </c>
      <c r="G1119" s="63">
        <v>8.3000000000000001E-3</v>
      </c>
    </row>
    <row r="1120" spans="1:7" x14ac:dyDescent="0.2">
      <c r="A1120" t="s">
        <v>89</v>
      </c>
      <c r="B1120" t="s">
        <v>165</v>
      </c>
      <c r="C1120" t="s">
        <v>73</v>
      </c>
      <c r="D1120" t="s">
        <v>74</v>
      </c>
      <c r="E1120" t="s">
        <v>82</v>
      </c>
      <c r="F1120" s="55">
        <v>74</v>
      </c>
      <c r="G1120" s="63">
        <v>1.5800000000000002E-2</v>
      </c>
    </row>
    <row r="1121" spans="1:7" x14ac:dyDescent="0.2">
      <c r="A1121" t="s">
        <v>89</v>
      </c>
      <c r="B1121" t="s">
        <v>165</v>
      </c>
      <c r="C1121" t="s">
        <v>73</v>
      </c>
      <c r="D1121" t="s">
        <v>74</v>
      </c>
      <c r="E1121" t="s">
        <v>83</v>
      </c>
      <c r="F1121" s="55">
        <v>65</v>
      </c>
      <c r="G1121" s="63">
        <v>4.0000000000000001E-3</v>
      </c>
    </row>
    <row r="1122" spans="1:7" x14ac:dyDescent="0.2">
      <c r="A1122" t="s">
        <v>89</v>
      </c>
      <c r="B1122" t="s">
        <v>165</v>
      </c>
      <c r="C1122" t="s">
        <v>73</v>
      </c>
      <c r="D1122" t="s">
        <v>74</v>
      </c>
      <c r="E1122" t="s">
        <v>84</v>
      </c>
      <c r="F1122" s="55">
        <v>111</v>
      </c>
      <c r="G1122" s="63">
        <v>7.6E-3</v>
      </c>
    </row>
    <row r="1123" spans="1:7" x14ac:dyDescent="0.2">
      <c r="A1123" t="s">
        <v>89</v>
      </c>
      <c r="B1123" t="s">
        <v>165</v>
      </c>
      <c r="C1123" t="s">
        <v>73</v>
      </c>
      <c r="D1123" t="s">
        <v>74</v>
      </c>
      <c r="E1123" t="s">
        <v>85</v>
      </c>
      <c r="F1123" s="55">
        <v>56</v>
      </c>
      <c r="G1123" s="63">
        <v>6.7999999999999996E-3</v>
      </c>
    </row>
    <row r="1124" spans="1:7" x14ac:dyDescent="0.2">
      <c r="A1124" t="s">
        <v>89</v>
      </c>
      <c r="B1124" t="s">
        <v>165</v>
      </c>
      <c r="C1124" t="s">
        <v>73</v>
      </c>
      <c r="D1124" t="s">
        <v>74</v>
      </c>
      <c r="E1124" t="s">
        <v>86</v>
      </c>
      <c r="F1124" s="55">
        <v>61</v>
      </c>
      <c r="G1124" s="63">
        <v>7.1999999999999998E-3</v>
      </c>
    </row>
    <row r="1125" spans="1:7" x14ac:dyDescent="0.2">
      <c r="A1125" t="s">
        <v>89</v>
      </c>
      <c r="B1125" t="s">
        <v>165</v>
      </c>
      <c r="C1125" t="s">
        <v>73</v>
      </c>
      <c r="D1125" t="s">
        <v>74</v>
      </c>
      <c r="E1125" t="s">
        <v>87</v>
      </c>
      <c r="F1125" s="55">
        <v>67</v>
      </c>
      <c r="G1125" s="63">
        <v>7.7999999999999996E-3</v>
      </c>
    </row>
    <row r="1126" spans="1:7" x14ac:dyDescent="0.2">
      <c r="A1126" t="s">
        <v>89</v>
      </c>
      <c r="B1126" t="s">
        <v>165</v>
      </c>
      <c r="C1126" t="s">
        <v>73</v>
      </c>
      <c r="D1126" t="s">
        <v>74</v>
      </c>
      <c r="E1126" t="s">
        <v>88</v>
      </c>
      <c r="F1126" s="55">
        <v>71</v>
      </c>
      <c r="G1126" s="63">
        <v>8.6999999999999994E-3</v>
      </c>
    </row>
    <row r="1127" spans="1:7" x14ac:dyDescent="0.2">
      <c r="A1127" t="s">
        <v>71</v>
      </c>
      <c r="B1127" t="s">
        <v>15</v>
      </c>
      <c r="C1127" t="s">
        <v>73</v>
      </c>
      <c r="D1127" t="s">
        <v>74</v>
      </c>
      <c r="E1127" t="s">
        <v>75</v>
      </c>
      <c r="F1127" s="55">
        <v>85</v>
      </c>
      <c r="G1127" s="63">
        <v>0.22420000000000001</v>
      </c>
    </row>
    <row r="1128" spans="1:7" x14ac:dyDescent="0.2">
      <c r="A1128" t="s">
        <v>71</v>
      </c>
      <c r="B1128" t="s">
        <v>15</v>
      </c>
      <c r="C1128" t="s">
        <v>73</v>
      </c>
      <c r="D1128" t="s">
        <v>74</v>
      </c>
      <c r="E1128" t="s">
        <v>76</v>
      </c>
      <c r="F1128" s="55">
        <v>60</v>
      </c>
      <c r="G1128" s="63">
        <v>2.7199999999999998E-2</v>
      </c>
    </row>
    <row r="1129" spans="1:7" x14ac:dyDescent="0.2">
      <c r="A1129" t="s">
        <v>71</v>
      </c>
      <c r="B1129" t="s">
        <v>15</v>
      </c>
      <c r="C1129" t="s">
        <v>73</v>
      </c>
      <c r="D1129" t="s">
        <v>74</v>
      </c>
      <c r="E1129" t="s">
        <v>77</v>
      </c>
      <c r="F1129" s="55">
        <v>71</v>
      </c>
      <c r="G1129" s="63">
        <v>6.4799999999999996E-2</v>
      </c>
    </row>
    <row r="1130" spans="1:7" x14ac:dyDescent="0.2">
      <c r="A1130" t="s">
        <v>71</v>
      </c>
      <c r="B1130" t="s">
        <v>15</v>
      </c>
      <c r="C1130" t="s">
        <v>73</v>
      </c>
      <c r="D1130" t="s">
        <v>74</v>
      </c>
      <c r="E1130" t="s">
        <v>78</v>
      </c>
      <c r="F1130" s="55">
        <v>65</v>
      </c>
      <c r="G1130" s="63">
        <v>5.21E-2</v>
      </c>
    </row>
    <row r="1131" spans="1:7" x14ac:dyDescent="0.2">
      <c r="A1131" t="s">
        <v>71</v>
      </c>
      <c r="B1131" t="s">
        <v>15</v>
      </c>
      <c r="C1131" t="s">
        <v>73</v>
      </c>
      <c r="D1131" t="s">
        <v>74</v>
      </c>
      <c r="E1131" t="s">
        <v>79</v>
      </c>
      <c r="F1131" s="55">
        <v>93</v>
      </c>
      <c r="G1131" s="63">
        <v>0.14480000000000001</v>
      </c>
    </row>
    <row r="1132" spans="1:7" x14ac:dyDescent="0.2">
      <c r="A1132" t="s">
        <v>71</v>
      </c>
      <c r="B1132" t="s">
        <v>15</v>
      </c>
      <c r="C1132" t="s">
        <v>73</v>
      </c>
      <c r="D1132" t="s">
        <v>74</v>
      </c>
      <c r="E1132" t="s">
        <v>80</v>
      </c>
      <c r="F1132" s="55">
        <v>99</v>
      </c>
      <c r="G1132" s="63">
        <v>0.05</v>
      </c>
    </row>
    <row r="1133" spans="1:7" x14ac:dyDescent="0.2">
      <c r="A1133" t="s">
        <v>71</v>
      </c>
      <c r="B1133" t="s">
        <v>15</v>
      </c>
      <c r="C1133" t="s">
        <v>73</v>
      </c>
      <c r="D1133" t="s">
        <v>74</v>
      </c>
      <c r="E1133" t="s">
        <v>81</v>
      </c>
      <c r="F1133" s="55">
        <v>94</v>
      </c>
      <c r="G1133" s="63">
        <v>5.2600000000000001E-2</v>
      </c>
    </row>
    <row r="1134" spans="1:7" x14ac:dyDescent="0.2">
      <c r="A1134" t="s">
        <v>71</v>
      </c>
      <c r="B1134" t="s">
        <v>15</v>
      </c>
      <c r="C1134" t="s">
        <v>73</v>
      </c>
      <c r="D1134" t="s">
        <v>74</v>
      </c>
      <c r="E1134" t="s">
        <v>82</v>
      </c>
      <c r="F1134" s="55">
        <v>67</v>
      </c>
      <c r="G1134" s="63">
        <v>9.0300000000000005E-2</v>
      </c>
    </row>
    <row r="1135" spans="1:7" x14ac:dyDescent="0.2">
      <c r="A1135" t="s">
        <v>71</v>
      </c>
      <c r="B1135" t="s">
        <v>15</v>
      </c>
      <c r="C1135" t="s">
        <v>73</v>
      </c>
      <c r="D1135" t="s">
        <v>74</v>
      </c>
      <c r="E1135" t="s">
        <v>83</v>
      </c>
      <c r="F1135" s="55">
        <v>86</v>
      </c>
      <c r="G1135" s="63">
        <v>2.4500000000000001E-2</v>
      </c>
    </row>
    <row r="1136" spans="1:7" x14ac:dyDescent="0.2">
      <c r="A1136" t="s">
        <v>71</v>
      </c>
      <c r="B1136" t="s">
        <v>15</v>
      </c>
      <c r="C1136" t="s">
        <v>73</v>
      </c>
      <c r="D1136" t="s">
        <v>74</v>
      </c>
      <c r="E1136" t="s">
        <v>84</v>
      </c>
      <c r="F1136" s="55">
        <v>66</v>
      </c>
      <c r="G1136" s="63">
        <v>4.0599999999999997E-2</v>
      </c>
    </row>
    <row r="1137" spans="1:7" x14ac:dyDescent="0.2">
      <c r="A1137" t="s">
        <v>71</v>
      </c>
      <c r="B1137" t="s">
        <v>15</v>
      </c>
      <c r="C1137" t="s">
        <v>73</v>
      </c>
      <c r="D1137" t="s">
        <v>74</v>
      </c>
      <c r="E1137" t="s">
        <v>85</v>
      </c>
      <c r="F1137" s="55">
        <v>98</v>
      </c>
      <c r="G1137" s="63">
        <v>5.7500000000000002E-2</v>
      </c>
    </row>
    <row r="1138" spans="1:7" x14ac:dyDescent="0.2">
      <c r="A1138" t="s">
        <v>71</v>
      </c>
      <c r="B1138" t="s">
        <v>15</v>
      </c>
      <c r="C1138" t="s">
        <v>73</v>
      </c>
      <c r="D1138" t="s">
        <v>74</v>
      </c>
      <c r="E1138" t="s">
        <v>86</v>
      </c>
      <c r="F1138" s="55">
        <v>92</v>
      </c>
      <c r="G1138" s="63">
        <v>6.9500000000000006E-2</v>
      </c>
    </row>
    <row r="1139" spans="1:7" x14ac:dyDescent="0.2">
      <c r="A1139" t="s">
        <v>71</v>
      </c>
      <c r="B1139" t="s">
        <v>15</v>
      </c>
      <c r="C1139" t="s">
        <v>73</v>
      </c>
      <c r="D1139" t="s">
        <v>74</v>
      </c>
      <c r="E1139" t="s">
        <v>87</v>
      </c>
      <c r="F1139" s="55">
        <v>93</v>
      </c>
      <c r="G1139" s="63">
        <v>6.93E-2</v>
      </c>
    </row>
    <row r="1140" spans="1:7" x14ac:dyDescent="0.2">
      <c r="A1140" t="s">
        <v>71</v>
      </c>
      <c r="B1140" t="s">
        <v>15</v>
      </c>
      <c r="C1140" t="s">
        <v>73</v>
      </c>
      <c r="D1140" t="s">
        <v>74</v>
      </c>
      <c r="E1140" t="s">
        <v>88</v>
      </c>
      <c r="F1140" s="55">
        <v>69</v>
      </c>
      <c r="G1140" s="63">
        <v>4.5900000000000003E-2</v>
      </c>
    </row>
    <row r="1141" spans="1:7" x14ac:dyDescent="0.2">
      <c r="A1141" t="s">
        <v>71</v>
      </c>
      <c r="B1141" t="s">
        <v>166</v>
      </c>
      <c r="C1141" t="s">
        <v>73</v>
      </c>
      <c r="D1141" t="s">
        <v>74</v>
      </c>
      <c r="E1141" t="s">
        <v>75</v>
      </c>
      <c r="F1141" s="55">
        <v>108</v>
      </c>
      <c r="G1141" s="63">
        <v>0.21920000000000001</v>
      </c>
    </row>
    <row r="1142" spans="1:7" x14ac:dyDescent="0.2">
      <c r="A1142" t="s">
        <v>71</v>
      </c>
      <c r="B1142" t="s">
        <v>166</v>
      </c>
      <c r="C1142" t="s">
        <v>73</v>
      </c>
      <c r="D1142" t="s">
        <v>74</v>
      </c>
      <c r="E1142" t="s">
        <v>76</v>
      </c>
      <c r="F1142" s="55">
        <v>110</v>
      </c>
      <c r="G1142" s="63">
        <v>4.9399999999999999E-2</v>
      </c>
    </row>
    <row r="1143" spans="1:7" x14ac:dyDescent="0.2">
      <c r="A1143" t="s">
        <v>71</v>
      </c>
      <c r="B1143" t="s">
        <v>166</v>
      </c>
      <c r="C1143" t="s">
        <v>73</v>
      </c>
      <c r="D1143" t="s">
        <v>74</v>
      </c>
      <c r="E1143" t="s">
        <v>77</v>
      </c>
      <c r="F1143" s="55">
        <v>114</v>
      </c>
      <c r="G1143" s="63">
        <v>0.1119</v>
      </c>
    </row>
    <row r="1144" spans="1:7" x14ac:dyDescent="0.2">
      <c r="A1144" t="s">
        <v>71</v>
      </c>
      <c r="B1144" t="s">
        <v>166</v>
      </c>
      <c r="C1144" t="s">
        <v>73</v>
      </c>
      <c r="D1144" t="s">
        <v>74</v>
      </c>
      <c r="E1144" t="s">
        <v>78</v>
      </c>
      <c r="F1144" s="55">
        <v>107</v>
      </c>
      <c r="G1144" s="63">
        <v>0.1113</v>
      </c>
    </row>
    <row r="1145" spans="1:7" x14ac:dyDescent="0.2">
      <c r="A1145" t="s">
        <v>71</v>
      </c>
      <c r="B1145" t="s">
        <v>166</v>
      </c>
      <c r="C1145" t="s">
        <v>73</v>
      </c>
      <c r="D1145" t="s">
        <v>74</v>
      </c>
      <c r="E1145" t="s">
        <v>79</v>
      </c>
      <c r="F1145" s="55">
        <v>109</v>
      </c>
      <c r="G1145" s="63">
        <v>0.1459</v>
      </c>
    </row>
    <row r="1146" spans="1:7" x14ac:dyDescent="0.2">
      <c r="A1146" t="s">
        <v>71</v>
      </c>
      <c r="B1146" t="s">
        <v>166</v>
      </c>
      <c r="C1146" t="s">
        <v>73</v>
      </c>
      <c r="D1146" t="s">
        <v>74</v>
      </c>
      <c r="E1146" t="s">
        <v>80</v>
      </c>
      <c r="F1146" s="55">
        <v>99</v>
      </c>
      <c r="G1146" s="63">
        <v>5.0900000000000001E-2</v>
      </c>
    </row>
    <row r="1147" spans="1:7" x14ac:dyDescent="0.2">
      <c r="A1147" t="s">
        <v>71</v>
      </c>
      <c r="B1147" t="s">
        <v>166</v>
      </c>
      <c r="C1147" t="s">
        <v>73</v>
      </c>
      <c r="D1147" t="s">
        <v>74</v>
      </c>
      <c r="E1147" t="s">
        <v>81</v>
      </c>
      <c r="F1147" s="55">
        <v>96</v>
      </c>
      <c r="G1147" s="63">
        <v>5.4100000000000002E-2</v>
      </c>
    </row>
    <row r="1148" spans="1:7" x14ac:dyDescent="0.2">
      <c r="A1148" t="s">
        <v>71</v>
      </c>
      <c r="B1148" t="s">
        <v>166</v>
      </c>
      <c r="C1148" t="s">
        <v>73</v>
      </c>
      <c r="D1148" t="s">
        <v>74</v>
      </c>
      <c r="E1148" t="s">
        <v>82</v>
      </c>
      <c r="F1148" s="55">
        <v>107</v>
      </c>
      <c r="G1148" s="63">
        <v>0.10929999999999999</v>
      </c>
    </row>
    <row r="1149" spans="1:7" x14ac:dyDescent="0.2">
      <c r="A1149" t="s">
        <v>71</v>
      </c>
      <c r="B1149" t="s">
        <v>166</v>
      </c>
      <c r="C1149" t="s">
        <v>73</v>
      </c>
      <c r="D1149" t="s">
        <v>74</v>
      </c>
      <c r="E1149" t="s">
        <v>83</v>
      </c>
      <c r="F1149" s="55">
        <v>97</v>
      </c>
      <c r="G1149" s="63">
        <v>3.1800000000000002E-2</v>
      </c>
    </row>
    <row r="1150" spans="1:7" x14ac:dyDescent="0.2">
      <c r="A1150" t="s">
        <v>71</v>
      </c>
      <c r="B1150" t="s">
        <v>166</v>
      </c>
      <c r="C1150" t="s">
        <v>73</v>
      </c>
      <c r="D1150" t="s">
        <v>74</v>
      </c>
      <c r="E1150" t="s">
        <v>84</v>
      </c>
      <c r="F1150" s="55">
        <v>108</v>
      </c>
      <c r="G1150" s="63">
        <v>9.5899999999999999E-2</v>
      </c>
    </row>
    <row r="1151" spans="1:7" x14ac:dyDescent="0.2">
      <c r="A1151" t="s">
        <v>71</v>
      </c>
      <c r="B1151" t="s">
        <v>166</v>
      </c>
      <c r="C1151" t="s">
        <v>73</v>
      </c>
      <c r="D1151" t="s">
        <v>74</v>
      </c>
      <c r="E1151" t="s">
        <v>85</v>
      </c>
      <c r="F1151" s="55">
        <v>104</v>
      </c>
      <c r="G1151" s="63">
        <v>6.3299999999999995E-2</v>
      </c>
    </row>
    <row r="1152" spans="1:7" x14ac:dyDescent="0.2">
      <c r="A1152" t="s">
        <v>71</v>
      </c>
      <c r="B1152" t="s">
        <v>166</v>
      </c>
      <c r="C1152" t="s">
        <v>73</v>
      </c>
      <c r="D1152" t="s">
        <v>74</v>
      </c>
      <c r="E1152" t="s">
        <v>86</v>
      </c>
      <c r="F1152" s="55">
        <v>109</v>
      </c>
      <c r="G1152" s="63">
        <v>7.5700000000000003E-2</v>
      </c>
    </row>
    <row r="1153" spans="1:7" x14ac:dyDescent="0.2">
      <c r="A1153" t="s">
        <v>71</v>
      </c>
      <c r="B1153" t="s">
        <v>166</v>
      </c>
      <c r="C1153" t="s">
        <v>73</v>
      </c>
      <c r="D1153" t="s">
        <v>74</v>
      </c>
      <c r="E1153" t="s">
        <v>87</v>
      </c>
      <c r="F1153" s="55">
        <v>111</v>
      </c>
      <c r="G1153" s="63">
        <v>8.3699999999999997E-2</v>
      </c>
    </row>
    <row r="1154" spans="1:7" x14ac:dyDescent="0.2">
      <c r="A1154" t="s">
        <v>71</v>
      </c>
      <c r="B1154" t="s">
        <v>166</v>
      </c>
      <c r="C1154" t="s">
        <v>73</v>
      </c>
      <c r="D1154" t="s">
        <v>74</v>
      </c>
      <c r="E1154" t="s">
        <v>88</v>
      </c>
      <c r="F1154" s="55">
        <v>106</v>
      </c>
      <c r="G1154" s="63">
        <v>6.9099999999999995E-2</v>
      </c>
    </row>
    <row r="1155" spans="1:7" x14ac:dyDescent="0.2">
      <c r="A1155" t="s">
        <v>71</v>
      </c>
      <c r="B1155" t="s">
        <v>167</v>
      </c>
      <c r="C1155" t="s">
        <v>73</v>
      </c>
      <c r="D1155" t="s">
        <v>74</v>
      </c>
      <c r="E1155" t="s">
        <v>75</v>
      </c>
      <c r="F1155" s="55">
        <v>83</v>
      </c>
      <c r="G1155" s="63">
        <v>0.18740000000000001</v>
      </c>
    </row>
    <row r="1156" spans="1:7" x14ac:dyDescent="0.2">
      <c r="A1156" t="s">
        <v>71</v>
      </c>
      <c r="B1156" t="s">
        <v>167</v>
      </c>
      <c r="C1156" t="s">
        <v>73</v>
      </c>
      <c r="D1156" t="s">
        <v>74</v>
      </c>
      <c r="E1156" t="s">
        <v>76</v>
      </c>
      <c r="F1156" s="55">
        <v>99</v>
      </c>
      <c r="G1156" s="63">
        <v>2.1299999999999999E-2</v>
      </c>
    </row>
    <row r="1157" spans="1:7" x14ac:dyDescent="0.2">
      <c r="A1157" t="s">
        <v>71</v>
      </c>
      <c r="B1157" t="s">
        <v>167</v>
      </c>
      <c r="C1157" t="s">
        <v>73</v>
      </c>
      <c r="D1157" t="s">
        <v>74</v>
      </c>
      <c r="E1157" t="s">
        <v>77</v>
      </c>
      <c r="F1157" s="55">
        <v>89</v>
      </c>
      <c r="G1157" s="63">
        <v>5.74E-2</v>
      </c>
    </row>
    <row r="1158" spans="1:7" x14ac:dyDescent="0.2">
      <c r="A1158" t="s">
        <v>71</v>
      </c>
      <c r="B1158" t="s">
        <v>167</v>
      </c>
      <c r="C1158" t="s">
        <v>73</v>
      </c>
      <c r="D1158" t="s">
        <v>74</v>
      </c>
      <c r="E1158" t="s">
        <v>78</v>
      </c>
      <c r="F1158" s="55">
        <v>90</v>
      </c>
      <c r="G1158" s="63">
        <v>4.6899999999999997E-2</v>
      </c>
    </row>
    <row r="1159" spans="1:7" x14ac:dyDescent="0.2">
      <c r="A1159" t="s">
        <v>71</v>
      </c>
      <c r="B1159" t="s">
        <v>167</v>
      </c>
      <c r="C1159" t="s">
        <v>73</v>
      </c>
      <c r="D1159" t="s">
        <v>74</v>
      </c>
      <c r="E1159" t="s">
        <v>79</v>
      </c>
      <c r="F1159" s="55">
        <v>80</v>
      </c>
      <c r="G1159" s="63">
        <v>0.1198</v>
      </c>
    </row>
    <row r="1160" spans="1:7" x14ac:dyDescent="0.2">
      <c r="A1160" t="s">
        <v>71</v>
      </c>
      <c r="B1160" t="s">
        <v>167</v>
      </c>
      <c r="C1160" t="s">
        <v>73</v>
      </c>
      <c r="D1160" t="s">
        <v>74</v>
      </c>
      <c r="E1160" t="s">
        <v>80</v>
      </c>
      <c r="F1160" s="55">
        <v>77</v>
      </c>
      <c r="G1160" s="63">
        <v>4.07E-2</v>
      </c>
    </row>
    <row r="1161" spans="1:7" x14ac:dyDescent="0.2">
      <c r="A1161" t="s">
        <v>71</v>
      </c>
      <c r="B1161" t="s">
        <v>167</v>
      </c>
      <c r="C1161" t="s">
        <v>73</v>
      </c>
      <c r="D1161" t="s">
        <v>74</v>
      </c>
      <c r="E1161" t="s">
        <v>81</v>
      </c>
      <c r="F1161" s="55">
        <v>74</v>
      </c>
      <c r="G1161" s="63">
        <v>4.3400000000000001E-2</v>
      </c>
    </row>
    <row r="1162" spans="1:7" x14ac:dyDescent="0.2">
      <c r="A1162" t="s">
        <v>71</v>
      </c>
      <c r="B1162" t="s">
        <v>167</v>
      </c>
      <c r="C1162" t="s">
        <v>73</v>
      </c>
      <c r="D1162" t="s">
        <v>74</v>
      </c>
      <c r="E1162" t="s">
        <v>82</v>
      </c>
      <c r="F1162" s="55">
        <v>84</v>
      </c>
      <c r="G1162" s="63">
        <v>9.0399999999999994E-2</v>
      </c>
    </row>
    <row r="1163" spans="1:7" x14ac:dyDescent="0.2">
      <c r="A1163" t="s">
        <v>71</v>
      </c>
      <c r="B1163" t="s">
        <v>167</v>
      </c>
      <c r="C1163" t="s">
        <v>73</v>
      </c>
      <c r="D1163" t="s">
        <v>74</v>
      </c>
      <c r="E1163" t="s">
        <v>83</v>
      </c>
      <c r="F1163" s="55">
        <v>90</v>
      </c>
      <c r="G1163" s="63">
        <v>1.8100000000000002E-2</v>
      </c>
    </row>
    <row r="1164" spans="1:7" x14ac:dyDescent="0.2">
      <c r="A1164" t="s">
        <v>71</v>
      </c>
      <c r="B1164" t="s">
        <v>167</v>
      </c>
      <c r="C1164" t="s">
        <v>73</v>
      </c>
      <c r="D1164" t="s">
        <v>74</v>
      </c>
      <c r="E1164" t="s">
        <v>84</v>
      </c>
      <c r="F1164" s="55">
        <v>93</v>
      </c>
      <c r="G1164" s="63">
        <v>3.5099999999999999E-2</v>
      </c>
    </row>
    <row r="1165" spans="1:7" x14ac:dyDescent="0.2">
      <c r="A1165" t="s">
        <v>71</v>
      </c>
      <c r="B1165" t="s">
        <v>167</v>
      </c>
      <c r="C1165" t="s">
        <v>73</v>
      </c>
      <c r="D1165" t="s">
        <v>74</v>
      </c>
      <c r="E1165" t="s">
        <v>85</v>
      </c>
      <c r="F1165" s="55">
        <v>81</v>
      </c>
      <c r="G1165" s="63">
        <v>4.3799999999999999E-2</v>
      </c>
    </row>
    <row r="1166" spans="1:7" x14ac:dyDescent="0.2">
      <c r="A1166" t="s">
        <v>71</v>
      </c>
      <c r="B1166" t="s">
        <v>167</v>
      </c>
      <c r="C1166" t="s">
        <v>73</v>
      </c>
      <c r="D1166" t="s">
        <v>74</v>
      </c>
      <c r="E1166" t="s">
        <v>86</v>
      </c>
      <c r="F1166" s="55">
        <v>80</v>
      </c>
      <c r="G1166" s="63">
        <v>5.5E-2</v>
      </c>
    </row>
    <row r="1167" spans="1:7" x14ac:dyDescent="0.2">
      <c r="A1167" t="s">
        <v>71</v>
      </c>
      <c r="B1167" t="s">
        <v>167</v>
      </c>
      <c r="C1167" t="s">
        <v>73</v>
      </c>
      <c r="D1167" t="s">
        <v>74</v>
      </c>
      <c r="E1167" t="s">
        <v>87</v>
      </c>
      <c r="F1167" s="55">
        <v>82</v>
      </c>
      <c r="G1167" s="63">
        <v>6.4100000000000004E-2</v>
      </c>
    </row>
    <row r="1168" spans="1:7" x14ac:dyDescent="0.2">
      <c r="A1168" t="s">
        <v>71</v>
      </c>
      <c r="B1168" t="s">
        <v>167</v>
      </c>
      <c r="C1168" t="s">
        <v>73</v>
      </c>
      <c r="D1168" t="s">
        <v>74</v>
      </c>
      <c r="E1168" t="s">
        <v>88</v>
      </c>
      <c r="F1168" s="55">
        <v>89</v>
      </c>
      <c r="G1168" s="63">
        <v>3.6999999999999998E-2</v>
      </c>
    </row>
    <row r="1169" spans="1:7" x14ac:dyDescent="0.2">
      <c r="A1169" t="s">
        <v>89</v>
      </c>
      <c r="B1169" t="s">
        <v>168</v>
      </c>
      <c r="C1169" t="s">
        <v>73</v>
      </c>
      <c r="D1169" t="s">
        <v>74</v>
      </c>
      <c r="E1169" t="s">
        <v>75</v>
      </c>
      <c r="F1169" s="55">
        <v>119</v>
      </c>
      <c r="G1169" s="63">
        <v>7.0499999999999993E-2</v>
      </c>
    </row>
    <row r="1170" spans="1:7" x14ac:dyDescent="0.2">
      <c r="A1170" t="s">
        <v>89</v>
      </c>
      <c r="B1170" t="s">
        <v>168</v>
      </c>
      <c r="C1170" t="s">
        <v>73</v>
      </c>
      <c r="D1170" t="s">
        <v>74</v>
      </c>
      <c r="E1170" t="s">
        <v>76</v>
      </c>
      <c r="F1170" s="55">
        <v>106</v>
      </c>
      <c r="G1170" s="63">
        <v>8.3000000000000001E-3</v>
      </c>
    </row>
    <row r="1171" spans="1:7" x14ac:dyDescent="0.2">
      <c r="A1171" t="s">
        <v>89</v>
      </c>
      <c r="B1171" t="s">
        <v>168</v>
      </c>
      <c r="C1171" t="s">
        <v>73</v>
      </c>
      <c r="D1171" t="s">
        <v>74</v>
      </c>
      <c r="E1171" t="s">
        <v>77</v>
      </c>
      <c r="F1171" s="55">
        <v>120</v>
      </c>
      <c r="G1171" s="63">
        <v>2.5600000000000001E-2</v>
      </c>
    </row>
    <row r="1172" spans="1:7" x14ac:dyDescent="0.2">
      <c r="A1172" t="s">
        <v>89</v>
      </c>
      <c r="B1172" t="s">
        <v>168</v>
      </c>
      <c r="C1172" t="s">
        <v>73</v>
      </c>
      <c r="D1172" t="s">
        <v>74</v>
      </c>
      <c r="E1172" t="s">
        <v>78</v>
      </c>
      <c r="F1172" s="55">
        <v>115</v>
      </c>
      <c r="G1172" s="63">
        <v>2.06E-2</v>
      </c>
    </row>
    <row r="1173" spans="1:7" x14ac:dyDescent="0.2">
      <c r="A1173" t="s">
        <v>89</v>
      </c>
      <c r="B1173" t="s">
        <v>168</v>
      </c>
      <c r="C1173" t="s">
        <v>73</v>
      </c>
      <c r="D1173" t="s">
        <v>74</v>
      </c>
      <c r="E1173" t="s">
        <v>79</v>
      </c>
      <c r="F1173" s="55">
        <v>119</v>
      </c>
      <c r="G1173" s="63">
        <v>4.3400000000000001E-2</v>
      </c>
    </row>
    <row r="1174" spans="1:7" x14ac:dyDescent="0.2">
      <c r="A1174" t="s">
        <v>89</v>
      </c>
      <c r="B1174" t="s">
        <v>168</v>
      </c>
      <c r="C1174" t="s">
        <v>73</v>
      </c>
      <c r="D1174" t="s">
        <v>74</v>
      </c>
      <c r="E1174" t="s">
        <v>80</v>
      </c>
      <c r="F1174" s="55">
        <v>143</v>
      </c>
      <c r="G1174" s="63">
        <v>9.7999999999999997E-3</v>
      </c>
    </row>
    <row r="1175" spans="1:7" x14ac:dyDescent="0.2">
      <c r="A1175" t="s">
        <v>89</v>
      </c>
      <c r="B1175" t="s">
        <v>168</v>
      </c>
      <c r="C1175" t="s">
        <v>73</v>
      </c>
      <c r="D1175" t="s">
        <v>74</v>
      </c>
      <c r="E1175" t="s">
        <v>81</v>
      </c>
      <c r="F1175" s="55">
        <v>125</v>
      </c>
      <c r="G1175" s="63">
        <v>1.35E-2</v>
      </c>
    </row>
    <row r="1176" spans="1:7" x14ac:dyDescent="0.2">
      <c r="A1176" t="s">
        <v>89</v>
      </c>
      <c r="B1176" t="s">
        <v>168</v>
      </c>
      <c r="C1176" t="s">
        <v>73</v>
      </c>
      <c r="D1176" t="s">
        <v>74</v>
      </c>
      <c r="E1176" t="s">
        <v>82</v>
      </c>
      <c r="F1176" s="55">
        <v>115</v>
      </c>
      <c r="G1176" s="63">
        <v>3.5200000000000002E-2</v>
      </c>
    </row>
    <row r="1177" spans="1:7" x14ac:dyDescent="0.2">
      <c r="A1177" t="s">
        <v>89</v>
      </c>
      <c r="B1177" t="s">
        <v>168</v>
      </c>
      <c r="C1177" t="s">
        <v>73</v>
      </c>
      <c r="D1177" t="s">
        <v>74</v>
      </c>
      <c r="E1177" t="s">
        <v>83</v>
      </c>
      <c r="F1177" s="55">
        <v>105</v>
      </c>
      <c r="G1177" s="63">
        <v>6.1999999999999998E-3</v>
      </c>
    </row>
    <row r="1178" spans="1:7" x14ac:dyDescent="0.2">
      <c r="A1178" t="s">
        <v>89</v>
      </c>
      <c r="B1178" t="s">
        <v>168</v>
      </c>
      <c r="C1178" t="s">
        <v>73</v>
      </c>
      <c r="D1178" t="s">
        <v>74</v>
      </c>
      <c r="E1178" t="s">
        <v>84</v>
      </c>
      <c r="F1178" s="55">
        <v>114</v>
      </c>
      <c r="G1178" s="63">
        <v>1.6199999999999999E-2</v>
      </c>
    </row>
    <row r="1179" spans="1:7" x14ac:dyDescent="0.2">
      <c r="A1179" t="s">
        <v>89</v>
      </c>
      <c r="B1179" t="s">
        <v>168</v>
      </c>
      <c r="C1179" t="s">
        <v>73</v>
      </c>
      <c r="D1179" t="s">
        <v>74</v>
      </c>
      <c r="E1179" t="s">
        <v>85</v>
      </c>
      <c r="F1179" s="55">
        <v>125</v>
      </c>
      <c r="G1179" s="63">
        <v>1.17E-2</v>
      </c>
    </row>
    <row r="1180" spans="1:7" x14ac:dyDescent="0.2">
      <c r="A1180" t="s">
        <v>89</v>
      </c>
      <c r="B1180" t="s">
        <v>168</v>
      </c>
      <c r="C1180" t="s">
        <v>73</v>
      </c>
      <c r="D1180" t="s">
        <v>74</v>
      </c>
      <c r="E1180" t="s">
        <v>86</v>
      </c>
      <c r="F1180" s="55">
        <v>116</v>
      </c>
      <c r="G1180" s="63">
        <v>1.6299999999999999E-2</v>
      </c>
    </row>
    <row r="1181" spans="1:7" x14ac:dyDescent="0.2">
      <c r="A1181" t="s">
        <v>89</v>
      </c>
      <c r="B1181" t="s">
        <v>168</v>
      </c>
      <c r="C1181" t="s">
        <v>73</v>
      </c>
      <c r="D1181" t="s">
        <v>74</v>
      </c>
      <c r="E1181" t="s">
        <v>87</v>
      </c>
      <c r="F1181" s="55">
        <v>119</v>
      </c>
      <c r="G1181" s="63">
        <v>2.1299999999999999E-2</v>
      </c>
    </row>
    <row r="1182" spans="1:7" x14ac:dyDescent="0.2">
      <c r="A1182" t="s">
        <v>89</v>
      </c>
      <c r="B1182" t="s">
        <v>168</v>
      </c>
      <c r="C1182" t="s">
        <v>73</v>
      </c>
      <c r="D1182" t="s">
        <v>74</v>
      </c>
      <c r="E1182" t="s">
        <v>88</v>
      </c>
      <c r="F1182" s="55">
        <v>110</v>
      </c>
      <c r="G1182" s="63">
        <v>1.6E-2</v>
      </c>
    </row>
    <row r="1183" spans="1:7" x14ac:dyDescent="0.2">
      <c r="A1183" t="s">
        <v>89</v>
      </c>
      <c r="B1183" t="s">
        <v>169</v>
      </c>
      <c r="C1183" t="s">
        <v>73</v>
      </c>
      <c r="D1183" t="s">
        <v>74</v>
      </c>
      <c r="E1183" t="s">
        <v>75</v>
      </c>
      <c r="F1183" s="55">
        <v>123</v>
      </c>
      <c r="G1183" s="63">
        <v>8.4199999999999997E-2</v>
      </c>
    </row>
    <row r="1184" spans="1:7" x14ac:dyDescent="0.2">
      <c r="A1184" t="s">
        <v>89</v>
      </c>
      <c r="B1184" t="s">
        <v>169</v>
      </c>
      <c r="C1184" t="s">
        <v>73</v>
      </c>
      <c r="D1184" t="s">
        <v>74</v>
      </c>
      <c r="E1184" t="s">
        <v>76</v>
      </c>
      <c r="F1184" s="55">
        <v>131</v>
      </c>
      <c r="G1184" s="63">
        <v>1.4500000000000001E-2</v>
      </c>
    </row>
    <row r="1185" spans="1:7" x14ac:dyDescent="0.2">
      <c r="A1185" t="s">
        <v>89</v>
      </c>
      <c r="B1185" t="s">
        <v>169</v>
      </c>
      <c r="C1185" t="s">
        <v>73</v>
      </c>
      <c r="D1185" t="s">
        <v>74</v>
      </c>
      <c r="E1185" t="s">
        <v>77</v>
      </c>
      <c r="F1185" s="55">
        <v>128</v>
      </c>
      <c r="G1185" s="63">
        <v>0.04</v>
      </c>
    </row>
    <row r="1186" spans="1:7" x14ac:dyDescent="0.2">
      <c r="A1186" t="s">
        <v>89</v>
      </c>
      <c r="B1186" t="s">
        <v>169</v>
      </c>
      <c r="C1186" t="s">
        <v>73</v>
      </c>
      <c r="D1186" t="s">
        <v>74</v>
      </c>
      <c r="E1186" t="s">
        <v>78</v>
      </c>
      <c r="F1186" s="55">
        <v>124</v>
      </c>
      <c r="G1186" s="63">
        <v>3.1399999999999997E-2</v>
      </c>
    </row>
    <row r="1187" spans="1:7" x14ac:dyDescent="0.2">
      <c r="A1187" t="s">
        <v>89</v>
      </c>
      <c r="B1187" t="s">
        <v>169</v>
      </c>
      <c r="C1187" t="s">
        <v>73</v>
      </c>
      <c r="D1187" t="s">
        <v>74</v>
      </c>
      <c r="E1187" t="s">
        <v>79</v>
      </c>
      <c r="F1187" s="55">
        <v>120</v>
      </c>
      <c r="G1187" s="63">
        <v>5.6899999999999999E-2</v>
      </c>
    </row>
    <row r="1188" spans="1:7" x14ac:dyDescent="0.2">
      <c r="A1188" t="s">
        <v>89</v>
      </c>
      <c r="B1188" t="s">
        <v>169</v>
      </c>
      <c r="C1188" t="s">
        <v>73</v>
      </c>
      <c r="D1188" t="s">
        <v>74</v>
      </c>
      <c r="E1188" t="s">
        <v>80</v>
      </c>
      <c r="F1188" s="55">
        <v>110</v>
      </c>
      <c r="G1188" s="63">
        <v>0.02</v>
      </c>
    </row>
    <row r="1189" spans="1:7" x14ac:dyDescent="0.2">
      <c r="A1189" t="s">
        <v>89</v>
      </c>
      <c r="B1189" t="s">
        <v>169</v>
      </c>
      <c r="C1189" t="s">
        <v>73</v>
      </c>
      <c r="D1189" t="s">
        <v>74</v>
      </c>
      <c r="E1189" t="s">
        <v>81</v>
      </c>
      <c r="F1189" s="55">
        <v>106</v>
      </c>
      <c r="G1189" s="63">
        <v>1.8499999999999999E-2</v>
      </c>
    </row>
    <row r="1190" spans="1:7" x14ac:dyDescent="0.2">
      <c r="A1190" t="s">
        <v>89</v>
      </c>
      <c r="B1190" t="s">
        <v>169</v>
      </c>
      <c r="C1190" t="s">
        <v>73</v>
      </c>
      <c r="D1190" t="s">
        <v>74</v>
      </c>
      <c r="E1190" t="s">
        <v>82</v>
      </c>
      <c r="F1190" s="55">
        <v>126</v>
      </c>
      <c r="G1190" s="63">
        <v>4.0399999999999998E-2</v>
      </c>
    </row>
    <row r="1191" spans="1:7" x14ac:dyDescent="0.2">
      <c r="A1191" t="s">
        <v>89</v>
      </c>
      <c r="B1191" t="s">
        <v>169</v>
      </c>
      <c r="C1191" t="s">
        <v>73</v>
      </c>
      <c r="D1191" t="s">
        <v>74</v>
      </c>
      <c r="E1191" t="s">
        <v>83</v>
      </c>
      <c r="F1191" s="55">
        <v>140</v>
      </c>
      <c r="G1191" s="63">
        <v>7.1999999999999998E-3</v>
      </c>
    </row>
    <row r="1192" spans="1:7" x14ac:dyDescent="0.2">
      <c r="A1192" t="s">
        <v>89</v>
      </c>
      <c r="B1192" t="s">
        <v>169</v>
      </c>
      <c r="C1192" t="s">
        <v>73</v>
      </c>
      <c r="D1192" t="s">
        <v>74</v>
      </c>
      <c r="E1192" t="s">
        <v>84</v>
      </c>
      <c r="F1192" s="55">
        <v>124</v>
      </c>
      <c r="G1192" s="63">
        <v>2.6800000000000001E-2</v>
      </c>
    </row>
    <row r="1193" spans="1:7" x14ac:dyDescent="0.2">
      <c r="A1193" t="s">
        <v>89</v>
      </c>
      <c r="B1193" t="s">
        <v>169</v>
      </c>
      <c r="C1193" t="s">
        <v>73</v>
      </c>
      <c r="D1193" t="s">
        <v>74</v>
      </c>
      <c r="E1193" t="s">
        <v>85</v>
      </c>
      <c r="F1193" s="55">
        <v>109</v>
      </c>
      <c r="G1193" s="63">
        <v>2.3599999999999999E-2</v>
      </c>
    </row>
    <row r="1194" spans="1:7" x14ac:dyDescent="0.2">
      <c r="A1194" t="s">
        <v>89</v>
      </c>
      <c r="B1194" t="s">
        <v>169</v>
      </c>
      <c r="C1194" t="s">
        <v>73</v>
      </c>
      <c r="D1194" t="s">
        <v>74</v>
      </c>
      <c r="E1194" t="s">
        <v>86</v>
      </c>
      <c r="F1194" s="55">
        <v>116</v>
      </c>
      <c r="G1194" s="63">
        <v>3.0099999999999998E-2</v>
      </c>
    </row>
    <row r="1195" spans="1:7" x14ac:dyDescent="0.2">
      <c r="A1195" t="s">
        <v>89</v>
      </c>
      <c r="B1195" t="s">
        <v>169</v>
      </c>
      <c r="C1195" t="s">
        <v>73</v>
      </c>
      <c r="D1195" t="s">
        <v>74</v>
      </c>
      <c r="E1195" t="s">
        <v>87</v>
      </c>
      <c r="F1195" s="55">
        <v>121</v>
      </c>
      <c r="G1195" s="63">
        <v>3.32E-2</v>
      </c>
    </row>
    <row r="1196" spans="1:7" x14ac:dyDescent="0.2">
      <c r="A1196" t="s">
        <v>89</v>
      </c>
      <c r="B1196" t="s">
        <v>169</v>
      </c>
      <c r="C1196" t="s">
        <v>73</v>
      </c>
      <c r="D1196" t="s">
        <v>74</v>
      </c>
      <c r="E1196" t="s">
        <v>88</v>
      </c>
      <c r="F1196" s="55">
        <v>133</v>
      </c>
      <c r="G1196" s="63">
        <v>2.0400000000000001E-2</v>
      </c>
    </row>
    <row r="1197" spans="1:7" x14ac:dyDescent="0.2">
      <c r="A1197" t="s">
        <v>71</v>
      </c>
      <c r="B1197" t="s">
        <v>170</v>
      </c>
      <c r="C1197" t="s">
        <v>73</v>
      </c>
      <c r="D1197" t="s">
        <v>74</v>
      </c>
      <c r="E1197" t="s">
        <v>75</v>
      </c>
      <c r="F1197" s="55">
        <v>95</v>
      </c>
      <c r="G1197" s="63">
        <v>0.2165</v>
      </c>
    </row>
    <row r="1198" spans="1:7" x14ac:dyDescent="0.2">
      <c r="A1198" t="s">
        <v>71</v>
      </c>
      <c r="B1198" t="s">
        <v>170</v>
      </c>
      <c r="C1198" t="s">
        <v>73</v>
      </c>
      <c r="D1198" t="s">
        <v>74</v>
      </c>
      <c r="E1198" t="s">
        <v>76</v>
      </c>
      <c r="F1198" s="55">
        <v>92</v>
      </c>
      <c r="G1198" s="63">
        <v>3.9E-2</v>
      </c>
    </row>
    <row r="1199" spans="1:7" x14ac:dyDescent="0.2">
      <c r="A1199" t="s">
        <v>71</v>
      </c>
      <c r="B1199" t="s">
        <v>170</v>
      </c>
      <c r="C1199" t="s">
        <v>73</v>
      </c>
      <c r="D1199" t="s">
        <v>74</v>
      </c>
      <c r="E1199" t="s">
        <v>77</v>
      </c>
      <c r="F1199" s="55">
        <v>101</v>
      </c>
      <c r="G1199" s="63">
        <v>9.0499999999999997E-2</v>
      </c>
    </row>
    <row r="1200" spans="1:7" x14ac:dyDescent="0.2">
      <c r="A1200" t="s">
        <v>71</v>
      </c>
      <c r="B1200" t="s">
        <v>170</v>
      </c>
      <c r="C1200" t="s">
        <v>73</v>
      </c>
      <c r="D1200" t="s">
        <v>74</v>
      </c>
      <c r="E1200" t="s">
        <v>78</v>
      </c>
      <c r="F1200" s="55">
        <v>96</v>
      </c>
      <c r="G1200" s="63">
        <v>7.17E-2</v>
      </c>
    </row>
    <row r="1201" spans="1:7" x14ac:dyDescent="0.2">
      <c r="A1201" t="s">
        <v>71</v>
      </c>
      <c r="B1201" t="s">
        <v>170</v>
      </c>
      <c r="C1201" t="s">
        <v>73</v>
      </c>
      <c r="D1201" t="s">
        <v>74</v>
      </c>
      <c r="E1201" t="s">
        <v>79</v>
      </c>
      <c r="F1201" s="55">
        <v>97</v>
      </c>
      <c r="G1201" s="63">
        <v>0.1462</v>
      </c>
    </row>
    <row r="1202" spans="1:7" x14ac:dyDescent="0.2">
      <c r="A1202" t="s">
        <v>71</v>
      </c>
      <c r="B1202" t="s">
        <v>170</v>
      </c>
      <c r="C1202" t="s">
        <v>73</v>
      </c>
      <c r="D1202" t="s">
        <v>74</v>
      </c>
      <c r="E1202" t="s">
        <v>80</v>
      </c>
      <c r="F1202" s="55">
        <v>96</v>
      </c>
      <c r="G1202" s="63">
        <v>5.6000000000000001E-2</v>
      </c>
    </row>
    <row r="1203" spans="1:7" x14ac:dyDescent="0.2">
      <c r="A1203" t="s">
        <v>71</v>
      </c>
      <c r="B1203" t="s">
        <v>170</v>
      </c>
      <c r="C1203" t="s">
        <v>73</v>
      </c>
      <c r="D1203" t="s">
        <v>74</v>
      </c>
      <c r="E1203" t="s">
        <v>81</v>
      </c>
      <c r="F1203" s="55">
        <v>90</v>
      </c>
      <c r="G1203" s="63">
        <v>6.3299999999999995E-2</v>
      </c>
    </row>
    <row r="1204" spans="1:7" x14ac:dyDescent="0.2">
      <c r="A1204" t="s">
        <v>71</v>
      </c>
      <c r="B1204" t="s">
        <v>170</v>
      </c>
      <c r="C1204" t="s">
        <v>73</v>
      </c>
      <c r="D1204" t="s">
        <v>74</v>
      </c>
      <c r="E1204" t="s">
        <v>82</v>
      </c>
      <c r="F1204" s="55">
        <v>92</v>
      </c>
      <c r="G1204" s="63">
        <v>0.11650000000000001</v>
      </c>
    </row>
    <row r="1205" spans="1:7" x14ac:dyDescent="0.2">
      <c r="A1205" t="s">
        <v>71</v>
      </c>
      <c r="B1205" t="s">
        <v>170</v>
      </c>
      <c r="C1205" t="s">
        <v>73</v>
      </c>
      <c r="D1205" t="s">
        <v>74</v>
      </c>
      <c r="E1205" t="s">
        <v>83</v>
      </c>
      <c r="F1205" s="55">
        <v>91</v>
      </c>
      <c r="G1205" s="63">
        <v>3.4599999999999999E-2</v>
      </c>
    </row>
    <row r="1206" spans="1:7" x14ac:dyDescent="0.2">
      <c r="A1206" t="s">
        <v>71</v>
      </c>
      <c r="B1206" t="s">
        <v>170</v>
      </c>
      <c r="C1206" t="s">
        <v>73</v>
      </c>
      <c r="D1206" t="s">
        <v>74</v>
      </c>
      <c r="E1206" t="s">
        <v>84</v>
      </c>
      <c r="F1206" s="55">
        <v>97</v>
      </c>
      <c r="G1206" s="63">
        <v>5.79E-2</v>
      </c>
    </row>
    <row r="1207" spans="1:7" x14ac:dyDescent="0.2">
      <c r="A1207" t="s">
        <v>71</v>
      </c>
      <c r="B1207" t="s">
        <v>170</v>
      </c>
      <c r="C1207" t="s">
        <v>73</v>
      </c>
      <c r="D1207" t="s">
        <v>74</v>
      </c>
      <c r="E1207" t="s">
        <v>85</v>
      </c>
      <c r="F1207" s="55">
        <v>98</v>
      </c>
      <c r="G1207" s="63">
        <v>5.9799999999999999E-2</v>
      </c>
    </row>
    <row r="1208" spans="1:7" x14ac:dyDescent="0.2">
      <c r="A1208" t="s">
        <v>71</v>
      </c>
      <c r="B1208" t="s">
        <v>170</v>
      </c>
      <c r="C1208" t="s">
        <v>73</v>
      </c>
      <c r="D1208" t="s">
        <v>74</v>
      </c>
      <c r="E1208" t="s">
        <v>86</v>
      </c>
      <c r="F1208" s="55">
        <v>96</v>
      </c>
      <c r="G1208" s="63">
        <v>7.3899999999999993E-2</v>
      </c>
    </row>
    <row r="1209" spans="1:7" x14ac:dyDescent="0.2">
      <c r="A1209" t="s">
        <v>71</v>
      </c>
      <c r="B1209" t="s">
        <v>170</v>
      </c>
      <c r="C1209" t="s">
        <v>73</v>
      </c>
      <c r="D1209" t="s">
        <v>74</v>
      </c>
      <c r="E1209" t="s">
        <v>87</v>
      </c>
      <c r="F1209" s="55">
        <v>97</v>
      </c>
      <c r="G1209" s="63">
        <v>8.1799999999999998E-2</v>
      </c>
    </row>
    <row r="1210" spans="1:7" x14ac:dyDescent="0.2">
      <c r="A1210" t="s">
        <v>71</v>
      </c>
      <c r="B1210" t="s">
        <v>170</v>
      </c>
      <c r="C1210" t="s">
        <v>73</v>
      </c>
      <c r="D1210" t="s">
        <v>74</v>
      </c>
      <c r="E1210" t="s">
        <v>88</v>
      </c>
      <c r="F1210" s="55">
        <v>91</v>
      </c>
      <c r="G1210" s="63">
        <v>6.1499999999999999E-2</v>
      </c>
    </row>
    <row r="1211" spans="1:7" x14ac:dyDescent="0.2">
      <c r="A1211" t="s">
        <v>71</v>
      </c>
      <c r="B1211" t="s">
        <v>16</v>
      </c>
      <c r="C1211" t="s">
        <v>73</v>
      </c>
      <c r="D1211" t="s">
        <v>74</v>
      </c>
      <c r="E1211" t="s">
        <v>75</v>
      </c>
      <c r="F1211" s="55">
        <v>103</v>
      </c>
      <c r="G1211" s="63">
        <v>0.22509999999999999</v>
      </c>
    </row>
    <row r="1212" spans="1:7" x14ac:dyDescent="0.2">
      <c r="A1212" t="s">
        <v>71</v>
      </c>
      <c r="B1212" t="s">
        <v>16</v>
      </c>
      <c r="C1212" t="s">
        <v>73</v>
      </c>
      <c r="D1212" t="s">
        <v>74</v>
      </c>
      <c r="E1212" t="s">
        <v>76</v>
      </c>
      <c r="F1212" s="55">
        <v>111</v>
      </c>
      <c r="G1212" s="63">
        <v>1.9400000000000001E-2</v>
      </c>
    </row>
    <row r="1213" spans="1:7" x14ac:dyDescent="0.2">
      <c r="A1213" t="s">
        <v>71</v>
      </c>
      <c r="B1213" t="s">
        <v>16</v>
      </c>
      <c r="C1213" t="s">
        <v>73</v>
      </c>
      <c r="D1213" t="s">
        <v>74</v>
      </c>
      <c r="E1213" t="s">
        <v>77</v>
      </c>
      <c r="F1213" s="55">
        <v>105</v>
      </c>
      <c r="G1213" s="63">
        <v>5.7500000000000002E-2</v>
      </c>
    </row>
    <row r="1214" spans="1:7" x14ac:dyDescent="0.2">
      <c r="A1214" t="s">
        <v>71</v>
      </c>
      <c r="B1214" t="s">
        <v>16</v>
      </c>
      <c r="C1214" t="s">
        <v>73</v>
      </c>
      <c r="D1214" t="s">
        <v>74</v>
      </c>
      <c r="E1214" t="s">
        <v>78</v>
      </c>
      <c r="F1214" s="55">
        <v>104</v>
      </c>
      <c r="G1214" s="63">
        <v>6.2E-2</v>
      </c>
    </row>
    <row r="1215" spans="1:7" x14ac:dyDescent="0.2">
      <c r="A1215" t="s">
        <v>71</v>
      </c>
      <c r="B1215" t="s">
        <v>16</v>
      </c>
      <c r="C1215" t="s">
        <v>73</v>
      </c>
      <c r="D1215" t="s">
        <v>74</v>
      </c>
      <c r="E1215" t="s">
        <v>79</v>
      </c>
      <c r="F1215" s="55">
        <v>103</v>
      </c>
      <c r="G1215" s="63">
        <v>0.16300000000000001</v>
      </c>
    </row>
    <row r="1216" spans="1:7" x14ac:dyDescent="0.2">
      <c r="A1216" t="s">
        <v>71</v>
      </c>
      <c r="B1216" t="s">
        <v>16</v>
      </c>
      <c r="C1216" t="s">
        <v>73</v>
      </c>
      <c r="D1216" t="s">
        <v>74</v>
      </c>
      <c r="E1216" t="s">
        <v>80</v>
      </c>
      <c r="F1216" s="55">
        <v>97</v>
      </c>
      <c r="G1216" s="63">
        <v>4.8099999999999997E-2</v>
      </c>
    </row>
    <row r="1217" spans="1:7" x14ac:dyDescent="0.2">
      <c r="A1217" t="s">
        <v>71</v>
      </c>
      <c r="B1217" t="s">
        <v>16</v>
      </c>
      <c r="C1217" t="s">
        <v>73</v>
      </c>
      <c r="D1217" t="s">
        <v>74</v>
      </c>
      <c r="E1217" t="s">
        <v>81</v>
      </c>
      <c r="F1217" s="55">
        <v>98</v>
      </c>
      <c r="G1217" s="63">
        <v>4.9500000000000002E-2</v>
      </c>
    </row>
    <row r="1218" spans="1:7" x14ac:dyDescent="0.2">
      <c r="A1218" t="s">
        <v>71</v>
      </c>
      <c r="B1218" t="s">
        <v>16</v>
      </c>
      <c r="C1218" t="s">
        <v>73</v>
      </c>
      <c r="D1218" t="s">
        <v>74</v>
      </c>
      <c r="E1218" t="s">
        <v>82</v>
      </c>
      <c r="F1218" s="55">
        <v>106</v>
      </c>
      <c r="G1218" s="63">
        <v>0.10299999999999999</v>
      </c>
    </row>
    <row r="1219" spans="1:7" x14ac:dyDescent="0.2">
      <c r="A1219" t="s">
        <v>71</v>
      </c>
      <c r="B1219" t="s">
        <v>16</v>
      </c>
      <c r="C1219" t="s">
        <v>73</v>
      </c>
      <c r="D1219" t="s">
        <v>74</v>
      </c>
      <c r="E1219" t="s">
        <v>83</v>
      </c>
      <c r="F1219" s="55">
        <v>102</v>
      </c>
      <c r="G1219" s="63">
        <v>1.9199999999999998E-2</v>
      </c>
    </row>
    <row r="1220" spans="1:7" x14ac:dyDescent="0.2">
      <c r="A1220" t="s">
        <v>71</v>
      </c>
      <c r="B1220" t="s">
        <v>16</v>
      </c>
      <c r="C1220" t="s">
        <v>73</v>
      </c>
      <c r="D1220" t="s">
        <v>74</v>
      </c>
      <c r="E1220" t="s">
        <v>84</v>
      </c>
      <c r="F1220" s="55">
        <v>105</v>
      </c>
      <c r="G1220" s="63">
        <v>3.8800000000000001E-2</v>
      </c>
    </row>
    <row r="1221" spans="1:7" x14ac:dyDescent="0.2">
      <c r="A1221" t="s">
        <v>71</v>
      </c>
      <c r="B1221" t="s">
        <v>16</v>
      </c>
      <c r="C1221" t="s">
        <v>73</v>
      </c>
      <c r="D1221" t="s">
        <v>74</v>
      </c>
      <c r="E1221" t="s">
        <v>85</v>
      </c>
      <c r="F1221" s="55">
        <v>100</v>
      </c>
      <c r="G1221" s="63">
        <v>6.08E-2</v>
      </c>
    </row>
    <row r="1222" spans="1:7" x14ac:dyDescent="0.2">
      <c r="A1222" t="s">
        <v>71</v>
      </c>
      <c r="B1222" t="s">
        <v>16</v>
      </c>
      <c r="C1222" t="s">
        <v>73</v>
      </c>
      <c r="D1222" t="s">
        <v>74</v>
      </c>
      <c r="E1222" t="s">
        <v>86</v>
      </c>
      <c r="F1222" s="55">
        <v>102</v>
      </c>
      <c r="G1222" s="63">
        <v>7.6399999999999996E-2</v>
      </c>
    </row>
    <row r="1223" spans="1:7" x14ac:dyDescent="0.2">
      <c r="A1223" t="s">
        <v>71</v>
      </c>
      <c r="B1223" t="s">
        <v>16</v>
      </c>
      <c r="C1223" t="s">
        <v>73</v>
      </c>
      <c r="D1223" t="s">
        <v>74</v>
      </c>
      <c r="E1223" t="s">
        <v>87</v>
      </c>
      <c r="F1223" s="55">
        <v>103</v>
      </c>
      <c r="G1223" s="63">
        <v>8.9800000000000005E-2</v>
      </c>
    </row>
    <row r="1224" spans="1:7" x14ac:dyDescent="0.2">
      <c r="A1224" t="s">
        <v>71</v>
      </c>
      <c r="B1224" t="s">
        <v>16</v>
      </c>
      <c r="C1224" t="s">
        <v>73</v>
      </c>
      <c r="D1224" t="s">
        <v>74</v>
      </c>
      <c r="E1224" t="s">
        <v>88</v>
      </c>
      <c r="F1224" s="55">
        <v>104</v>
      </c>
      <c r="G1224" s="63">
        <v>3.8600000000000002E-2</v>
      </c>
    </row>
    <row r="1225" spans="1:7" x14ac:dyDescent="0.2">
      <c r="A1225" t="s">
        <v>89</v>
      </c>
      <c r="B1225" t="s">
        <v>171</v>
      </c>
      <c r="C1225" t="s">
        <v>73</v>
      </c>
      <c r="D1225" t="s">
        <v>91</v>
      </c>
      <c r="E1225" t="s">
        <v>75</v>
      </c>
      <c r="F1225" s="55">
        <v>112</v>
      </c>
      <c r="G1225" s="63">
        <v>0.61460000000000004</v>
      </c>
    </row>
    <row r="1226" spans="1:7" x14ac:dyDescent="0.2">
      <c r="A1226" t="s">
        <v>89</v>
      </c>
      <c r="B1226" t="s">
        <v>171</v>
      </c>
      <c r="C1226" t="s">
        <v>73</v>
      </c>
      <c r="D1226" t="s">
        <v>91</v>
      </c>
      <c r="E1226" t="s">
        <v>76</v>
      </c>
      <c r="F1226" s="55">
        <v>93</v>
      </c>
      <c r="G1226" s="63">
        <v>9.1499999999999998E-2</v>
      </c>
    </row>
    <row r="1227" spans="1:7" x14ac:dyDescent="0.2">
      <c r="A1227" t="s">
        <v>89</v>
      </c>
      <c r="B1227" t="s">
        <v>171</v>
      </c>
      <c r="C1227" t="s">
        <v>73</v>
      </c>
      <c r="D1227" t="s">
        <v>91</v>
      </c>
      <c r="E1227" t="s">
        <v>77</v>
      </c>
      <c r="F1227" s="55">
        <v>107</v>
      </c>
      <c r="G1227" s="63">
        <v>0.25490000000000002</v>
      </c>
    </row>
    <row r="1228" spans="1:7" x14ac:dyDescent="0.2">
      <c r="A1228" t="s">
        <v>89</v>
      </c>
      <c r="B1228" t="s">
        <v>171</v>
      </c>
      <c r="C1228" t="s">
        <v>73</v>
      </c>
      <c r="D1228" t="s">
        <v>91</v>
      </c>
      <c r="E1228" t="s">
        <v>78</v>
      </c>
      <c r="F1228" s="55">
        <v>109</v>
      </c>
      <c r="G1228" s="63">
        <v>0.23569999999999999</v>
      </c>
    </row>
    <row r="1229" spans="1:7" x14ac:dyDescent="0.2">
      <c r="A1229" t="s">
        <v>89</v>
      </c>
      <c r="B1229" t="s">
        <v>171</v>
      </c>
      <c r="C1229" t="s">
        <v>73</v>
      </c>
      <c r="D1229" t="s">
        <v>91</v>
      </c>
      <c r="E1229" t="s">
        <v>79</v>
      </c>
      <c r="F1229" s="55">
        <v>117</v>
      </c>
      <c r="G1229" s="63">
        <v>0.4788</v>
      </c>
    </row>
    <row r="1230" spans="1:7" x14ac:dyDescent="0.2">
      <c r="A1230" t="s">
        <v>89</v>
      </c>
      <c r="B1230" t="s">
        <v>171</v>
      </c>
      <c r="C1230" t="s">
        <v>73</v>
      </c>
      <c r="D1230" t="s">
        <v>91</v>
      </c>
      <c r="E1230" t="s">
        <v>80</v>
      </c>
      <c r="F1230" s="55">
        <v>108</v>
      </c>
      <c r="G1230" s="63">
        <v>0.14710000000000001</v>
      </c>
    </row>
    <row r="1231" spans="1:7" x14ac:dyDescent="0.2">
      <c r="A1231" t="s">
        <v>89</v>
      </c>
      <c r="B1231" t="s">
        <v>171</v>
      </c>
      <c r="C1231" t="s">
        <v>73</v>
      </c>
      <c r="D1231" t="s">
        <v>91</v>
      </c>
      <c r="E1231" t="s">
        <v>81</v>
      </c>
      <c r="F1231" s="55">
        <v>107</v>
      </c>
      <c r="G1231" s="63">
        <v>0.1547</v>
      </c>
    </row>
    <row r="1232" spans="1:7" x14ac:dyDescent="0.2">
      <c r="A1232" t="s">
        <v>89</v>
      </c>
      <c r="B1232" t="s">
        <v>171</v>
      </c>
      <c r="C1232" t="s">
        <v>73</v>
      </c>
      <c r="D1232" t="s">
        <v>91</v>
      </c>
      <c r="E1232" t="s">
        <v>82</v>
      </c>
      <c r="F1232" s="55">
        <v>110</v>
      </c>
      <c r="G1232" s="63">
        <v>0.3962</v>
      </c>
    </row>
    <row r="1233" spans="1:7" x14ac:dyDescent="0.2">
      <c r="A1233" t="s">
        <v>89</v>
      </c>
      <c r="B1233" t="s">
        <v>171</v>
      </c>
      <c r="C1233" t="s">
        <v>73</v>
      </c>
      <c r="D1233" t="s">
        <v>91</v>
      </c>
      <c r="E1233" t="s">
        <v>83</v>
      </c>
      <c r="F1233" s="55">
        <v>102</v>
      </c>
      <c r="G1233" s="63">
        <v>7.6700000000000004E-2</v>
      </c>
    </row>
    <row r="1234" spans="1:7" x14ac:dyDescent="0.2">
      <c r="A1234" t="s">
        <v>89</v>
      </c>
      <c r="B1234" t="s">
        <v>171</v>
      </c>
      <c r="C1234" t="s">
        <v>73</v>
      </c>
      <c r="D1234" t="s">
        <v>91</v>
      </c>
      <c r="E1234" t="s">
        <v>84</v>
      </c>
      <c r="F1234" s="55">
        <v>107</v>
      </c>
      <c r="G1234" s="63">
        <v>0.18479999999999999</v>
      </c>
    </row>
    <row r="1235" spans="1:7" x14ac:dyDescent="0.2">
      <c r="A1235" t="s">
        <v>89</v>
      </c>
      <c r="B1235" t="s">
        <v>171</v>
      </c>
      <c r="C1235" t="s">
        <v>73</v>
      </c>
      <c r="D1235" t="s">
        <v>91</v>
      </c>
      <c r="E1235" t="s">
        <v>85</v>
      </c>
      <c r="F1235" s="55">
        <v>109</v>
      </c>
      <c r="G1235" s="63">
        <v>0.18479999999999999</v>
      </c>
    </row>
    <row r="1236" spans="1:7" x14ac:dyDescent="0.2">
      <c r="A1236" t="s">
        <v>89</v>
      </c>
      <c r="B1236" t="s">
        <v>171</v>
      </c>
      <c r="C1236" t="s">
        <v>73</v>
      </c>
      <c r="D1236" t="s">
        <v>91</v>
      </c>
      <c r="E1236" t="s">
        <v>86</v>
      </c>
      <c r="F1236" s="55">
        <v>113</v>
      </c>
      <c r="G1236" s="63">
        <v>0.25440000000000002</v>
      </c>
    </row>
    <row r="1237" spans="1:7" x14ac:dyDescent="0.2">
      <c r="A1237" t="s">
        <v>89</v>
      </c>
      <c r="B1237" t="s">
        <v>171</v>
      </c>
      <c r="C1237" t="s">
        <v>73</v>
      </c>
      <c r="D1237" t="s">
        <v>91</v>
      </c>
      <c r="E1237" t="s">
        <v>87</v>
      </c>
      <c r="F1237" s="55">
        <v>119</v>
      </c>
      <c r="G1237" s="63">
        <v>0.30509999999999998</v>
      </c>
    </row>
    <row r="1238" spans="1:7" x14ac:dyDescent="0.2">
      <c r="A1238" t="s">
        <v>89</v>
      </c>
      <c r="B1238" t="s">
        <v>171</v>
      </c>
      <c r="C1238" t="s">
        <v>73</v>
      </c>
      <c r="D1238" t="s">
        <v>91</v>
      </c>
      <c r="E1238" t="s">
        <v>88</v>
      </c>
      <c r="F1238" s="55">
        <v>102</v>
      </c>
      <c r="G1238" s="63">
        <v>0.17180000000000001</v>
      </c>
    </row>
    <row r="1239" spans="1:7" x14ac:dyDescent="0.2">
      <c r="A1239" t="s">
        <v>89</v>
      </c>
      <c r="B1239" t="s">
        <v>172</v>
      </c>
      <c r="C1239" t="s">
        <v>73</v>
      </c>
      <c r="D1239" t="s">
        <v>74</v>
      </c>
      <c r="E1239" t="s">
        <v>75</v>
      </c>
      <c r="F1239" s="55">
        <v>104</v>
      </c>
      <c r="G1239" s="63">
        <v>0.16969999999999999</v>
      </c>
    </row>
    <row r="1240" spans="1:7" x14ac:dyDescent="0.2">
      <c r="A1240" t="s">
        <v>89</v>
      </c>
      <c r="B1240" t="s">
        <v>172</v>
      </c>
      <c r="C1240" t="s">
        <v>73</v>
      </c>
      <c r="D1240" t="s">
        <v>74</v>
      </c>
      <c r="E1240" t="s">
        <v>76</v>
      </c>
      <c r="F1240" s="55">
        <v>95</v>
      </c>
      <c r="G1240" s="63">
        <v>2.5600000000000001E-2</v>
      </c>
    </row>
    <row r="1241" spans="1:7" x14ac:dyDescent="0.2">
      <c r="A1241" t="s">
        <v>89</v>
      </c>
      <c r="B1241" t="s">
        <v>172</v>
      </c>
      <c r="C1241" t="s">
        <v>73</v>
      </c>
      <c r="D1241" t="s">
        <v>74</v>
      </c>
      <c r="E1241" t="s">
        <v>77</v>
      </c>
      <c r="F1241" s="55">
        <v>105</v>
      </c>
      <c r="G1241" s="63">
        <v>6.1899999999999997E-2</v>
      </c>
    </row>
    <row r="1242" spans="1:7" x14ac:dyDescent="0.2">
      <c r="A1242" t="s">
        <v>89</v>
      </c>
      <c r="B1242" t="s">
        <v>172</v>
      </c>
      <c r="C1242" t="s">
        <v>73</v>
      </c>
      <c r="D1242" t="s">
        <v>74</v>
      </c>
      <c r="E1242" t="s">
        <v>78</v>
      </c>
      <c r="F1242" s="55">
        <v>108</v>
      </c>
      <c r="G1242" s="63">
        <v>4.6300000000000001E-2</v>
      </c>
    </row>
    <row r="1243" spans="1:7" x14ac:dyDescent="0.2">
      <c r="A1243" t="s">
        <v>89</v>
      </c>
      <c r="B1243" t="s">
        <v>172</v>
      </c>
      <c r="C1243" t="s">
        <v>73</v>
      </c>
      <c r="D1243" t="s">
        <v>74</v>
      </c>
      <c r="E1243" t="s">
        <v>79</v>
      </c>
      <c r="F1243" s="55">
        <v>103</v>
      </c>
      <c r="G1243" s="63">
        <v>0.1026</v>
      </c>
    </row>
    <row r="1244" spans="1:7" x14ac:dyDescent="0.2">
      <c r="A1244" t="s">
        <v>89</v>
      </c>
      <c r="B1244" t="s">
        <v>172</v>
      </c>
      <c r="C1244" t="s">
        <v>73</v>
      </c>
      <c r="D1244" t="s">
        <v>74</v>
      </c>
      <c r="E1244" t="s">
        <v>80</v>
      </c>
      <c r="F1244" s="55">
        <v>99</v>
      </c>
      <c r="G1244" s="63">
        <v>3.4500000000000003E-2</v>
      </c>
    </row>
    <row r="1245" spans="1:7" x14ac:dyDescent="0.2">
      <c r="A1245" t="s">
        <v>89</v>
      </c>
      <c r="B1245" t="s">
        <v>172</v>
      </c>
      <c r="C1245" t="s">
        <v>73</v>
      </c>
      <c r="D1245" t="s">
        <v>74</v>
      </c>
      <c r="E1245" t="s">
        <v>81</v>
      </c>
      <c r="F1245" s="55">
        <v>98</v>
      </c>
      <c r="G1245" s="63">
        <v>3.9600000000000003E-2</v>
      </c>
    </row>
    <row r="1246" spans="1:7" x14ac:dyDescent="0.2">
      <c r="A1246" t="s">
        <v>89</v>
      </c>
      <c r="B1246" t="s">
        <v>172</v>
      </c>
      <c r="C1246" t="s">
        <v>73</v>
      </c>
      <c r="D1246" t="s">
        <v>74</v>
      </c>
      <c r="E1246" t="s">
        <v>82</v>
      </c>
      <c r="F1246" s="55">
        <v>112</v>
      </c>
      <c r="G1246" s="63">
        <v>8.8800000000000004E-2</v>
      </c>
    </row>
    <row r="1247" spans="1:7" x14ac:dyDescent="0.2">
      <c r="A1247" t="s">
        <v>89</v>
      </c>
      <c r="B1247" t="s">
        <v>172</v>
      </c>
      <c r="C1247" t="s">
        <v>73</v>
      </c>
      <c r="D1247" t="s">
        <v>74</v>
      </c>
      <c r="E1247" t="s">
        <v>83</v>
      </c>
      <c r="F1247" s="55">
        <v>97</v>
      </c>
      <c r="G1247" s="63">
        <v>2.3099999999999999E-2</v>
      </c>
    </row>
    <row r="1248" spans="1:7" x14ac:dyDescent="0.2">
      <c r="A1248" t="s">
        <v>89</v>
      </c>
      <c r="B1248" t="s">
        <v>172</v>
      </c>
      <c r="C1248" t="s">
        <v>73</v>
      </c>
      <c r="D1248" t="s">
        <v>74</v>
      </c>
      <c r="E1248" t="s">
        <v>84</v>
      </c>
      <c r="F1248" s="55">
        <v>110</v>
      </c>
      <c r="G1248" s="63">
        <v>3.6700000000000003E-2</v>
      </c>
    </row>
    <row r="1249" spans="1:7" x14ac:dyDescent="0.2">
      <c r="A1249" t="s">
        <v>89</v>
      </c>
      <c r="B1249" t="s">
        <v>172</v>
      </c>
      <c r="C1249" t="s">
        <v>73</v>
      </c>
      <c r="D1249" t="s">
        <v>74</v>
      </c>
      <c r="E1249" t="s">
        <v>85</v>
      </c>
      <c r="F1249" s="55">
        <v>103</v>
      </c>
      <c r="G1249" s="63">
        <v>3.4700000000000002E-2</v>
      </c>
    </row>
    <row r="1250" spans="1:7" x14ac:dyDescent="0.2">
      <c r="A1250" t="s">
        <v>89</v>
      </c>
      <c r="B1250" t="s">
        <v>172</v>
      </c>
      <c r="C1250" t="s">
        <v>73</v>
      </c>
      <c r="D1250" t="s">
        <v>74</v>
      </c>
      <c r="E1250" t="s">
        <v>86</v>
      </c>
      <c r="F1250" s="55">
        <v>103</v>
      </c>
      <c r="G1250" s="63">
        <v>4.2799999999999998E-2</v>
      </c>
    </row>
    <row r="1251" spans="1:7" x14ac:dyDescent="0.2">
      <c r="A1251" t="s">
        <v>89</v>
      </c>
      <c r="B1251" t="s">
        <v>172</v>
      </c>
      <c r="C1251" t="s">
        <v>73</v>
      </c>
      <c r="D1251" t="s">
        <v>74</v>
      </c>
      <c r="E1251" t="s">
        <v>87</v>
      </c>
      <c r="F1251" s="55">
        <v>105</v>
      </c>
      <c r="G1251" s="63">
        <v>4.6800000000000001E-2</v>
      </c>
    </row>
    <row r="1252" spans="1:7" x14ac:dyDescent="0.2">
      <c r="A1252" t="s">
        <v>89</v>
      </c>
      <c r="B1252" t="s">
        <v>172</v>
      </c>
      <c r="C1252" t="s">
        <v>73</v>
      </c>
      <c r="D1252" t="s">
        <v>74</v>
      </c>
      <c r="E1252" t="s">
        <v>88</v>
      </c>
      <c r="F1252" s="55">
        <v>102</v>
      </c>
      <c r="G1252" s="63">
        <v>4.2700000000000002E-2</v>
      </c>
    </row>
    <row r="1253" spans="1:7" x14ac:dyDescent="0.2">
      <c r="A1253" t="s">
        <v>89</v>
      </c>
      <c r="B1253" t="s">
        <v>173</v>
      </c>
      <c r="C1253" t="s">
        <v>73</v>
      </c>
      <c r="D1253" t="s">
        <v>74</v>
      </c>
      <c r="E1253" t="s">
        <v>75</v>
      </c>
      <c r="F1253" s="55">
        <v>100</v>
      </c>
      <c r="G1253" s="63">
        <v>6.4799999999999996E-2</v>
      </c>
    </row>
    <row r="1254" spans="1:7" x14ac:dyDescent="0.2">
      <c r="A1254" t="s">
        <v>89</v>
      </c>
      <c r="B1254" t="s">
        <v>173</v>
      </c>
      <c r="C1254" t="s">
        <v>73</v>
      </c>
      <c r="D1254" t="s">
        <v>74</v>
      </c>
      <c r="E1254" t="s">
        <v>76</v>
      </c>
      <c r="F1254" s="55">
        <v>123</v>
      </c>
      <c r="G1254" s="63">
        <v>2.8999999999999998E-3</v>
      </c>
    </row>
    <row r="1255" spans="1:7" x14ac:dyDescent="0.2">
      <c r="A1255" t="s">
        <v>89</v>
      </c>
      <c r="B1255" t="s">
        <v>173</v>
      </c>
      <c r="C1255" t="s">
        <v>73</v>
      </c>
      <c r="D1255" t="s">
        <v>74</v>
      </c>
      <c r="E1255" t="s">
        <v>77</v>
      </c>
      <c r="F1255" s="55">
        <v>95</v>
      </c>
      <c r="G1255" s="63">
        <v>2.0199999999999999E-2</v>
      </c>
    </row>
    <row r="1256" spans="1:7" x14ac:dyDescent="0.2">
      <c r="A1256" t="s">
        <v>89</v>
      </c>
      <c r="B1256" t="s">
        <v>173</v>
      </c>
      <c r="C1256" t="s">
        <v>73</v>
      </c>
      <c r="D1256" t="s">
        <v>74</v>
      </c>
      <c r="E1256" t="s">
        <v>78</v>
      </c>
      <c r="F1256" s="55">
        <v>94</v>
      </c>
      <c r="G1256" s="63">
        <v>1.7399999999999999E-2</v>
      </c>
    </row>
    <row r="1257" spans="1:7" x14ac:dyDescent="0.2">
      <c r="A1257" t="s">
        <v>89</v>
      </c>
      <c r="B1257" t="s">
        <v>173</v>
      </c>
      <c r="C1257" t="s">
        <v>73</v>
      </c>
      <c r="D1257" t="s">
        <v>74</v>
      </c>
      <c r="E1257" t="s">
        <v>79</v>
      </c>
      <c r="F1257" s="55">
        <v>104</v>
      </c>
      <c r="G1257" s="63">
        <v>4.1300000000000003E-2</v>
      </c>
    </row>
    <row r="1258" spans="1:7" x14ac:dyDescent="0.2">
      <c r="A1258" t="s">
        <v>89</v>
      </c>
      <c r="B1258" t="s">
        <v>173</v>
      </c>
      <c r="C1258" t="s">
        <v>73</v>
      </c>
      <c r="D1258" t="s">
        <v>74</v>
      </c>
      <c r="E1258" t="s">
        <v>80</v>
      </c>
      <c r="F1258" s="55">
        <v>90</v>
      </c>
      <c r="G1258" s="63">
        <v>1.7100000000000001E-2</v>
      </c>
    </row>
    <row r="1259" spans="1:7" x14ac:dyDescent="0.2">
      <c r="A1259" t="s">
        <v>89</v>
      </c>
      <c r="B1259" t="s">
        <v>173</v>
      </c>
      <c r="C1259" t="s">
        <v>73</v>
      </c>
      <c r="D1259" t="s">
        <v>74</v>
      </c>
      <c r="E1259" t="s">
        <v>81</v>
      </c>
      <c r="F1259" s="55">
        <v>89</v>
      </c>
      <c r="G1259" s="63">
        <v>1.52E-2</v>
      </c>
    </row>
    <row r="1260" spans="1:7" x14ac:dyDescent="0.2">
      <c r="A1260" t="s">
        <v>89</v>
      </c>
      <c r="B1260" t="s">
        <v>173</v>
      </c>
      <c r="C1260" t="s">
        <v>73</v>
      </c>
      <c r="D1260" t="s">
        <v>74</v>
      </c>
      <c r="E1260" t="s">
        <v>82</v>
      </c>
      <c r="F1260" s="55">
        <v>102</v>
      </c>
      <c r="G1260" s="63">
        <v>3.1199999999999999E-2</v>
      </c>
    </row>
    <row r="1261" spans="1:7" x14ac:dyDescent="0.2">
      <c r="A1261" t="s">
        <v>89</v>
      </c>
      <c r="B1261" t="s">
        <v>173</v>
      </c>
      <c r="C1261" t="s">
        <v>73</v>
      </c>
      <c r="D1261" t="s">
        <v>74</v>
      </c>
      <c r="E1261" t="s">
        <v>83</v>
      </c>
      <c r="F1261" s="55">
        <v>119</v>
      </c>
      <c r="G1261" s="63">
        <v>2.3999999999999998E-3</v>
      </c>
    </row>
    <row r="1262" spans="1:7" x14ac:dyDescent="0.2">
      <c r="A1262" t="s">
        <v>89</v>
      </c>
      <c r="B1262" t="s">
        <v>173</v>
      </c>
      <c r="C1262" t="s">
        <v>73</v>
      </c>
      <c r="D1262" t="s">
        <v>74</v>
      </c>
      <c r="E1262" t="s">
        <v>84</v>
      </c>
      <c r="F1262" s="55">
        <v>93</v>
      </c>
      <c r="G1262" s="63">
        <v>1.3299999999999999E-2</v>
      </c>
    </row>
    <row r="1263" spans="1:7" x14ac:dyDescent="0.2">
      <c r="A1263" t="s">
        <v>89</v>
      </c>
      <c r="B1263" t="s">
        <v>173</v>
      </c>
      <c r="C1263" t="s">
        <v>73</v>
      </c>
      <c r="D1263" t="s">
        <v>74</v>
      </c>
      <c r="E1263" t="s">
        <v>85</v>
      </c>
      <c r="F1263" s="55">
        <v>94</v>
      </c>
      <c r="G1263" s="63">
        <v>1.9199999999999998E-2</v>
      </c>
    </row>
    <row r="1264" spans="1:7" x14ac:dyDescent="0.2">
      <c r="A1264" t="s">
        <v>89</v>
      </c>
      <c r="B1264" t="s">
        <v>173</v>
      </c>
      <c r="C1264" t="s">
        <v>73</v>
      </c>
      <c r="D1264" t="s">
        <v>74</v>
      </c>
      <c r="E1264" t="s">
        <v>86</v>
      </c>
      <c r="F1264" s="55">
        <v>100</v>
      </c>
      <c r="G1264" s="63">
        <v>2.2599999999999999E-2</v>
      </c>
    </row>
    <row r="1265" spans="1:7" x14ac:dyDescent="0.2">
      <c r="A1265" t="s">
        <v>89</v>
      </c>
      <c r="B1265" t="s">
        <v>173</v>
      </c>
      <c r="C1265" t="s">
        <v>73</v>
      </c>
      <c r="D1265" t="s">
        <v>74</v>
      </c>
      <c r="E1265" t="s">
        <v>87</v>
      </c>
      <c r="F1265" s="55">
        <v>108</v>
      </c>
      <c r="G1265" s="63">
        <v>2.47E-2</v>
      </c>
    </row>
    <row r="1266" spans="1:7" x14ac:dyDescent="0.2">
      <c r="A1266" t="s">
        <v>89</v>
      </c>
      <c r="B1266" t="s">
        <v>173</v>
      </c>
      <c r="C1266" t="s">
        <v>73</v>
      </c>
      <c r="D1266" t="s">
        <v>74</v>
      </c>
      <c r="E1266" t="s">
        <v>88</v>
      </c>
      <c r="F1266" s="55">
        <v>95</v>
      </c>
      <c r="G1266" s="63">
        <v>1.06E-2</v>
      </c>
    </row>
    <row r="1267" spans="1:7" x14ac:dyDescent="0.2">
      <c r="A1267" t="s">
        <v>89</v>
      </c>
      <c r="B1267" t="s">
        <v>174</v>
      </c>
      <c r="C1267" t="s">
        <v>73</v>
      </c>
      <c r="D1267" t="s">
        <v>74</v>
      </c>
      <c r="E1267" t="s">
        <v>75</v>
      </c>
      <c r="F1267" s="55">
        <v>109</v>
      </c>
      <c r="G1267" s="63">
        <v>0.15609999999999999</v>
      </c>
    </row>
    <row r="1268" spans="1:7" x14ac:dyDescent="0.2">
      <c r="A1268" t="s">
        <v>89</v>
      </c>
      <c r="B1268" t="s">
        <v>174</v>
      </c>
      <c r="C1268" t="s">
        <v>73</v>
      </c>
      <c r="D1268" t="s">
        <v>74</v>
      </c>
      <c r="E1268" t="s">
        <v>76</v>
      </c>
      <c r="F1268" s="55">
        <v>104</v>
      </c>
      <c r="G1268" s="63">
        <v>1.9300000000000001E-2</v>
      </c>
    </row>
    <row r="1269" spans="1:7" x14ac:dyDescent="0.2">
      <c r="A1269" t="s">
        <v>89</v>
      </c>
      <c r="B1269" t="s">
        <v>174</v>
      </c>
      <c r="C1269" t="s">
        <v>73</v>
      </c>
      <c r="D1269" t="s">
        <v>74</v>
      </c>
      <c r="E1269" t="s">
        <v>77</v>
      </c>
      <c r="F1269" s="55">
        <v>118</v>
      </c>
      <c r="G1269" s="63">
        <v>5.7000000000000002E-2</v>
      </c>
    </row>
    <row r="1270" spans="1:7" x14ac:dyDescent="0.2">
      <c r="A1270" t="s">
        <v>89</v>
      </c>
      <c r="B1270" t="s">
        <v>174</v>
      </c>
      <c r="C1270" t="s">
        <v>73</v>
      </c>
      <c r="D1270" t="s">
        <v>74</v>
      </c>
      <c r="E1270" t="s">
        <v>78</v>
      </c>
      <c r="F1270" s="55">
        <v>110</v>
      </c>
      <c r="G1270" s="63">
        <v>4.6100000000000002E-2</v>
      </c>
    </row>
    <row r="1271" spans="1:7" x14ac:dyDescent="0.2">
      <c r="A1271" t="s">
        <v>89</v>
      </c>
      <c r="B1271" t="s">
        <v>174</v>
      </c>
      <c r="C1271" t="s">
        <v>73</v>
      </c>
      <c r="D1271" t="s">
        <v>74</v>
      </c>
      <c r="E1271" t="s">
        <v>79</v>
      </c>
      <c r="F1271" s="55">
        <v>107</v>
      </c>
      <c r="G1271" s="63">
        <v>9.69E-2</v>
      </c>
    </row>
    <row r="1272" spans="1:7" x14ac:dyDescent="0.2">
      <c r="A1272" t="s">
        <v>89</v>
      </c>
      <c r="B1272" t="s">
        <v>174</v>
      </c>
      <c r="C1272" t="s">
        <v>73</v>
      </c>
      <c r="D1272" t="s">
        <v>74</v>
      </c>
      <c r="E1272" t="s">
        <v>80</v>
      </c>
      <c r="F1272" s="55">
        <v>103</v>
      </c>
      <c r="G1272" s="63">
        <v>2.9600000000000001E-2</v>
      </c>
    </row>
    <row r="1273" spans="1:7" x14ac:dyDescent="0.2">
      <c r="A1273" t="s">
        <v>89</v>
      </c>
      <c r="B1273" t="s">
        <v>174</v>
      </c>
      <c r="C1273" t="s">
        <v>73</v>
      </c>
      <c r="D1273" t="s">
        <v>74</v>
      </c>
      <c r="E1273" t="s">
        <v>81</v>
      </c>
      <c r="F1273" s="55">
        <v>104</v>
      </c>
      <c r="G1273" s="63">
        <v>3.32E-2</v>
      </c>
    </row>
    <row r="1274" spans="1:7" x14ac:dyDescent="0.2">
      <c r="A1274" t="s">
        <v>89</v>
      </c>
      <c r="B1274" t="s">
        <v>174</v>
      </c>
      <c r="C1274" t="s">
        <v>73</v>
      </c>
      <c r="D1274" t="s">
        <v>74</v>
      </c>
      <c r="E1274" t="s">
        <v>82</v>
      </c>
      <c r="F1274" s="55">
        <v>111</v>
      </c>
      <c r="G1274" s="63">
        <v>7.6899999999999996E-2</v>
      </c>
    </row>
    <row r="1275" spans="1:7" x14ac:dyDescent="0.2">
      <c r="A1275" t="s">
        <v>89</v>
      </c>
      <c r="B1275" t="s">
        <v>174</v>
      </c>
      <c r="C1275" t="s">
        <v>73</v>
      </c>
      <c r="D1275" t="s">
        <v>74</v>
      </c>
      <c r="E1275" t="s">
        <v>83</v>
      </c>
      <c r="F1275" s="55">
        <v>111</v>
      </c>
      <c r="G1275" s="63">
        <v>1.6299999999999999E-2</v>
      </c>
    </row>
    <row r="1276" spans="1:7" x14ac:dyDescent="0.2">
      <c r="A1276" t="s">
        <v>89</v>
      </c>
      <c r="B1276" t="s">
        <v>174</v>
      </c>
      <c r="C1276" t="s">
        <v>73</v>
      </c>
      <c r="D1276" t="s">
        <v>74</v>
      </c>
      <c r="E1276" t="s">
        <v>84</v>
      </c>
      <c r="F1276" s="55">
        <v>113</v>
      </c>
      <c r="G1276" s="63">
        <v>3.5900000000000001E-2</v>
      </c>
    </row>
    <row r="1277" spans="1:7" x14ac:dyDescent="0.2">
      <c r="A1277" t="s">
        <v>89</v>
      </c>
      <c r="B1277" t="s">
        <v>174</v>
      </c>
      <c r="C1277" t="s">
        <v>73</v>
      </c>
      <c r="D1277" t="s">
        <v>74</v>
      </c>
      <c r="E1277" t="s">
        <v>85</v>
      </c>
      <c r="F1277" s="55">
        <v>101</v>
      </c>
      <c r="G1277" s="63">
        <v>3.3300000000000003E-2</v>
      </c>
    </row>
    <row r="1278" spans="1:7" x14ac:dyDescent="0.2">
      <c r="A1278" t="s">
        <v>89</v>
      </c>
      <c r="B1278" t="s">
        <v>174</v>
      </c>
      <c r="C1278" t="s">
        <v>73</v>
      </c>
      <c r="D1278" t="s">
        <v>74</v>
      </c>
      <c r="E1278" t="s">
        <v>86</v>
      </c>
      <c r="F1278" s="55">
        <v>104</v>
      </c>
      <c r="G1278" s="63">
        <v>4.2299999999999997E-2</v>
      </c>
    </row>
    <row r="1279" spans="1:7" x14ac:dyDescent="0.2">
      <c r="A1279" t="s">
        <v>89</v>
      </c>
      <c r="B1279" t="s">
        <v>174</v>
      </c>
      <c r="C1279" t="s">
        <v>73</v>
      </c>
      <c r="D1279" t="s">
        <v>74</v>
      </c>
      <c r="E1279" t="s">
        <v>87</v>
      </c>
      <c r="F1279" s="55">
        <v>108</v>
      </c>
      <c r="G1279" s="63">
        <v>4.8599999999999997E-2</v>
      </c>
    </row>
    <row r="1280" spans="1:7" x14ac:dyDescent="0.2">
      <c r="A1280" t="s">
        <v>89</v>
      </c>
      <c r="B1280" t="s">
        <v>174</v>
      </c>
      <c r="C1280" t="s">
        <v>73</v>
      </c>
      <c r="D1280" t="s">
        <v>74</v>
      </c>
      <c r="E1280" t="s">
        <v>88</v>
      </c>
      <c r="F1280" s="55">
        <v>103</v>
      </c>
      <c r="G1280" s="63">
        <v>3.2399999999999998E-2</v>
      </c>
    </row>
    <row r="1281" spans="1:7" x14ac:dyDescent="0.2">
      <c r="A1281" t="s">
        <v>71</v>
      </c>
      <c r="B1281" t="s">
        <v>17</v>
      </c>
      <c r="C1281" t="s">
        <v>73</v>
      </c>
      <c r="D1281" t="s">
        <v>74</v>
      </c>
      <c r="E1281" t="s">
        <v>75</v>
      </c>
      <c r="F1281" s="55">
        <v>103</v>
      </c>
      <c r="G1281" s="63">
        <v>0.2364</v>
      </c>
    </row>
    <row r="1282" spans="1:7" x14ac:dyDescent="0.2">
      <c r="A1282" t="s">
        <v>71</v>
      </c>
      <c r="B1282" t="s">
        <v>17</v>
      </c>
      <c r="C1282" t="s">
        <v>73</v>
      </c>
      <c r="D1282" t="s">
        <v>74</v>
      </c>
      <c r="E1282" t="s">
        <v>76</v>
      </c>
      <c r="F1282" s="55">
        <v>74</v>
      </c>
      <c r="G1282" s="63">
        <v>2.2800000000000001E-2</v>
      </c>
    </row>
    <row r="1283" spans="1:7" x14ac:dyDescent="0.2">
      <c r="A1283" t="s">
        <v>71</v>
      </c>
      <c r="B1283" t="s">
        <v>17</v>
      </c>
      <c r="C1283" t="s">
        <v>73</v>
      </c>
      <c r="D1283" t="s">
        <v>74</v>
      </c>
      <c r="E1283" t="s">
        <v>77</v>
      </c>
      <c r="F1283" s="55">
        <v>107</v>
      </c>
      <c r="G1283" s="63">
        <v>7.22E-2</v>
      </c>
    </row>
    <row r="1284" spans="1:7" x14ac:dyDescent="0.2">
      <c r="A1284" t="s">
        <v>71</v>
      </c>
      <c r="B1284" t="s">
        <v>17</v>
      </c>
      <c r="C1284" t="s">
        <v>73</v>
      </c>
      <c r="D1284" t="s">
        <v>74</v>
      </c>
      <c r="E1284" t="s">
        <v>78</v>
      </c>
      <c r="F1284" s="55">
        <v>112</v>
      </c>
      <c r="G1284" s="63">
        <v>6.9699999999999998E-2</v>
      </c>
    </row>
    <row r="1285" spans="1:7" x14ac:dyDescent="0.2">
      <c r="A1285" t="s">
        <v>71</v>
      </c>
      <c r="B1285" t="s">
        <v>17</v>
      </c>
      <c r="C1285" t="s">
        <v>73</v>
      </c>
      <c r="D1285" t="s">
        <v>74</v>
      </c>
      <c r="E1285" t="s">
        <v>79</v>
      </c>
      <c r="F1285" s="55">
        <v>102</v>
      </c>
      <c r="G1285" s="63">
        <v>0.1691</v>
      </c>
    </row>
    <row r="1286" spans="1:7" x14ac:dyDescent="0.2">
      <c r="A1286" t="s">
        <v>71</v>
      </c>
      <c r="B1286" t="s">
        <v>17</v>
      </c>
      <c r="C1286" t="s">
        <v>73</v>
      </c>
      <c r="D1286" t="s">
        <v>74</v>
      </c>
      <c r="E1286" t="s">
        <v>80</v>
      </c>
      <c r="F1286" s="55">
        <v>98</v>
      </c>
      <c r="G1286" s="63">
        <v>3.2199999999999999E-2</v>
      </c>
    </row>
    <row r="1287" spans="1:7" x14ac:dyDescent="0.2">
      <c r="A1287" t="s">
        <v>71</v>
      </c>
      <c r="B1287" t="s">
        <v>17</v>
      </c>
      <c r="C1287" t="s">
        <v>73</v>
      </c>
      <c r="D1287" t="s">
        <v>74</v>
      </c>
      <c r="E1287" t="s">
        <v>81</v>
      </c>
      <c r="F1287" s="55">
        <v>94</v>
      </c>
      <c r="G1287" s="63">
        <v>3.6299999999999999E-2</v>
      </c>
    </row>
    <row r="1288" spans="1:7" x14ac:dyDescent="0.2">
      <c r="A1288" t="s">
        <v>71</v>
      </c>
      <c r="B1288" t="s">
        <v>17</v>
      </c>
      <c r="C1288" t="s">
        <v>73</v>
      </c>
      <c r="D1288" t="s">
        <v>74</v>
      </c>
      <c r="E1288" t="s">
        <v>82</v>
      </c>
      <c r="F1288" s="55">
        <v>105</v>
      </c>
      <c r="G1288" s="63">
        <v>0.13950000000000001</v>
      </c>
    </row>
    <row r="1289" spans="1:7" x14ac:dyDescent="0.2">
      <c r="A1289" t="s">
        <v>71</v>
      </c>
      <c r="B1289" t="s">
        <v>17</v>
      </c>
      <c r="C1289" t="s">
        <v>73</v>
      </c>
      <c r="D1289" t="s">
        <v>74</v>
      </c>
      <c r="E1289" t="s">
        <v>83</v>
      </c>
      <c r="F1289" s="55">
        <v>86</v>
      </c>
      <c r="G1289" s="63">
        <v>1.7299999999999999E-2</v>
      </c>
    </row>
    <row r="1290" spans="1:7" x14ac:dyDescent="0.2">
      <c r="A1290" t="s">
        <v>71</v>
      </c>
      <c r="B1290" t="s">
        <v>17</v>
      </c>
      <c r="C1290" t="s">
        <v>73</v>
      </c>
      <c r="D1290" t="s">
        <v>74</v>
      </c>
      <c r="E1290" t="s">
        <v>84</v>
      </c>
      <c r="F1290" s="55">
        <v>114</v>
      </c>
      <c r="G1290" s="63">
        <v>4.4999999999999998E-2</v>
      </c>
    </row>
    <row r="1291" spans="1:7" x14ac:dyDescent="0.2">
      <c r="A1291" t="s">
        <v>71</v>
      </c>
      <c r="B1291" t="s">
        <v>17</v>
      </c>
      <c r="C1291" t="s">
        <v>73</v>
      </c>
      <c r="D1291" t="s">
        <v>74</v>
      </c>
      <c r="E1291" t="s">
        <v>85</v>
      </c>
      <c r="F1291" s="55">
        <v>102</v>
      </c>
      <c r="G1291" s="63">
        <v>4.6699999999999998E-2</v>
      </c>
    </row>
    <row r="1292" spans="1:7" x14ac:dyDescent="0.2">
      <c r="A1292" t="s">
        <v>71</v>
      </c>
      <c r="B1292" t="s">
        <v>17</v>
      </c>
      <c r="C1292" t="s">
        <v>73</v>
      </c>
      <c r="D1292" t="s">
        <v>74</v>
      </c>
      <c r="E1292" t="s">
        <v>86</v>
      </c>
      <c r="F1292" s="55">
        <v>99</v>
      </c>
      <c r="G1292" s="63">
        <v>7.3099999999999998E-2</v>
      </c>
    </row>
    <row r="1293" spans="1:7" x14ac:dyDescent="0.2">
      <c r="A1293" t="s">
        <v>71</v>
      </c>
      <c r="B1293" t="s">
        <v>17</v>
      </c>
      <c r="C1293" t="s">
        <v>73</v>
      </c>
      <c r="D1293" t="s">
        <v>74</v>
      </c>
      <c r="E1293" t="s">
        <v>87</v>
      </c>
      <c r="F1293" s="55">
        <v>101</v>
      </c>
      <c r="G1293" s="63">
        <v>0.10009999999999999</v>
      </c>
    </row>
    <row r="1294" spans="1:7" x14ac:dyDescent="0.2">
      <c r="A1294" t="s">
        <v>71</v>
      </c>
      <c r="B1294" t="s">
        <v>17</v>
      </c>
      <c r="C1294" t="s">
        <v>73</v>
      </c>
      <c r="D1294" t="s">
        <v>74</v>
      </c>
      <c r="E1294" t="s">
        <v>88</v>
      </c>
      <c r="F1294" s="55">
        <v>86</v>
      </c>
      <c r="G1294" s="63">
        <v>3.8899999999999997E-2</v>
      </c>
    </row>
    <row r="1295" spans="1:7" x14ac:dyDescent="0.2">
      <c r="A1295" t="s">
        <v>89</v>
      </c>
      <c r="B1295" t="s">
        <v>175</v>
      </c>
      <c r="C1295" t="s">
        <v>73</v>
      </c>
      <c r="D1295" t="s">
        <v>74</v>
      </c>
      <c r="E1295" t="s">
        <v>75</v>
      </c>
      <c r="F1295" s="55">
        <v>115</v>
      </c>
      <c r="G1295" s="63">
        <v>0.1152</v>
      </c>
    </row>
    <row r="1296" spans="1:7" x14ac:dyDescent="0.2">
      <c r="A1296" t="s">
        <v>89</v>
      </c>
      <c r="B1296" t="s">
        <v>175</v>
      </c>
      <c r="C1296" t="s">
        <v>73</v>
      </c>
      <c r="D1296" t="s">
        <v>74</v>
      </c>
      <c r="E1296" t="s">
        <v>76</v>
      </c>
      <c r="F1296" s="55">
        <v>115</v>
      </c>
      <c r="G1296" s="63">
        <v>1.7600000000000001E-2</v>
      </c>
    </row>
    <row r="1297" spans="1:7" x14ac:dyDescent="0.2">
      <c r="A1297" t="s">
        <v>89</v>
      </c>
      <c r="B1297" t="s">
        <v>175</v>
      </c>
      <c r="C1297" t="s">
        <v>73</v>
      </c>
      <c r="D1297" t="s">
        <v>74</v>
      </c>
      <c r="E1297" t="s">
        <v>77</v>
      </c>
      <c r="F1297" s="55">
        <v>121</v>
      </c>
      <c r="G1297" s="63">
        <v>4.6600000000000003E-2</v>
      </c>
    </row>
    <row r="1298" spans="1:7" x14ac:dyDescent="0.2">
      <c r="A1298" t="s">
        <v>89</v>
      </c>
      <c r="B1298" t="s">
        <v>175</v>
      </c>
      <c r="C1298" t="s">
        <v>73</v>
      </c>
      <c r="D1298" t="s">
        <v>74</v>
      </c>
      <c r="E1298" t="s">
        <v>78</v>
      </c>
      <c r="F1298" s="55">
        <v>124</v>
      </c>
      <c r="G1298" s="63">
        <v>3.7999999999999999E-2</v>
      </c>
    </row>
    <row r="1299" spans="1:7" x14ac:dyDescent="0.2">
      <c r="A1299" t="s">
        <v>89</v>
      </c>
      <c r="B1299" t="s">
        <v>175</v>
      </c>
      <c r="C1299" t="s">
        <v>73</v>
      </c>
      <c r="D1299" t="s">
        <v>74</v>
      </c>
      <c r="E1299" t="s">
        <v>79</v>
      </c>
      <c r="F1299" s="55">
        <v>113</v>
      </c>
      <c r="G1299" s="63">
        <v>7.6700000000000004E-2</v>
      </c>
    </row>
    <row r="1300" spans="1:7" x14ac:dyDescent="0.2">
      <c r="A1300" t="s">
        <v>89</v>
      </c>
      <c r="B1300" t="s">
        <v>175</v>
      </c>
      <c r="C1300" t="s">
        <v>73</v>
      </c>
      <c r="D1300" t="s">
        <v>74</v>
      </c>
      <c r="E1300" t="s">
        <v>80</v>
      </c>
      <c r="F1300" s="55">
        <v>104</v>
      </c>
      <c r="G1300" s="63">
        <v>2.41E-2</v>
      </c>
    </row>
    <row r="1301" spans="1:7" x14ac:dyDescent="0.2">
      <c r="A1301" t="s">
        <v>89</v>
      </c>
      <c r="B1301" t="s">
        <v>175</v>
      </c>
      <c r="C1301" t="s">
        <v>73</v>
      </c>
      <c r="D1301" t="s">
        <v>74</v>
      </c>
      <c r="E1301" t="s">
        <v>81</v>
      </c>
      <c r="F1301" s="55">
        <v>104</v>
      </c>
      <c r="G1301" s="63">
        <v>2.6800000000000001E-2</v>
      </c>
    </row>
    <row r="1302" spans="1:7" x14ac:dyDescent="0.2">
      <c r="A1302" t="s">
        <v>89</v>
      </c>
      <c r="B1302" t="s">
        <v>175</v>
      </c>
      <c r="C1302" t="s">
        <v>73</v>
      </c>
      <c r="D1302" t="s">
        <v>74</v>
      </c>
      <c r="E1302" t="s">
        <v>82</v>
      </c>
      <c r="F1302" s="55">
        <v>120</v>
      </c>
      <c r="G1302" s="63">
        <v>5.3800000000000001E-2</v>
      </c>
    </row>
    <row r="1303" spans="1:7" x14ac:dyDescent="0.2">
      <c r="A1303" t="s">
        <v>89</v>
      </c>
      <c r="B1303" t="s">
        <v>175</v>
      </c>
      <c r="C1303" t="s">
        <v>73</v>
      </c>
      <c r="D1303" t="s">
        <v>74</v>
      </c>
      <c r="E1303" t="s">
        <v>83</v>
      </c>
      <c r="F1303" s="55">
        <v>105</v>
      </c>
      <c r="G1303" s="63">
        <v>1.4E-2</v>
      </c>
    </row>
    <row r="1304" spans="1:7" x14ac:dyDescent="0.2">
      <c r="A1304" t="s">
        <v>89</v>
      </c>
      <c r="B1304" t="s">
        <v>175</v>
      </c>
      <c r="C1304" t="s">
        <v>73</v>
      </c>
      <c r="D1304" t="s">
        <v>74</v>
      </c>
      <c r="E1304" t="s">
        <v>84</v>
      </c>
      <c r="F1304" s="55">
        <v>126</v>
      </c>
      <c r="G1304" s="63">
        <v>2.98E-2</v>
      </c>
    </row>
    <row r="1305" spans="1:7" x14ac:dyDescent="0.2">
      <c r="A1305" t="s">
        <v>89</v>
      </c>
      <c r="B1305" t="s">
        <v>175</v>
      </c>
      <c r="C1305" t="s">
        <v>73</v>
      </c>
      <c r="D1305" t="s">
        <v>74</v>
      </c>
      <c r="E1305" t="s">
        <v>85</v>
      </c>
      <c r="F1305" s="55">
        <v>105</v>
      </c>
      <c r="G1305" s="63">
        <v>2.81E-2</v>
      </c>
    </row>
    <row r="1306" spans="1:7" x14ac:dyDescent="0.2">
      <c r="A1306" t="s">
        <v>89</v>
      </c>
      <c r="B1306" t="s">
        <v>175</v>
      </c>
      <c r="C1306" t="s">
        <v>73</v>
      </c>
      <c r="D1306" t="s">
        <v>74</v>
      </c>
      <c r="E1306" t="s">
        <v>86</v>
      </c>
      <c r="F1306" s="55">
        <v>108</v>
      </c>
      <c r="G1306" s="63">
        <v>3.6499999999999998E-2</v>
      </c>
    </row>
    <row r="1307" spans="1:7" x14ac:dyDescent="0.2">
      <c r="A1307" t="s">
        <v>89</v>
      </c>
      <c r="B1307" t="s">
        <v>175</v>
      </c>
      <c r="C1307" t="s">
        <v>73</v>
      </c>
      <c r="D1307" t="s">
        <v>74</v>
      </c>
      <c r="E1307" t="s">
        <v>87</v>
      </c>
      <c r="F1307" s="55">
        <v>115</v>
      </c>
      <c r="G1307" s="63">
        <v>4.1599999999999998E-2</v>
      </c>
    </row>
    <row r="1308" spans="1:7" x14ac:dyDescent="0.2">
      <c r="A1308" t="s">
        <v>89</v>
      </c>
      <c r="B1308" t="s">
        <v>175</v>
      </c>
      <c r="C1308" t="s">
        <v>73</v>
      </c>
      <c r="D1308" t="s">
        <v>74</v>
      </c>
      <c r="E1308" t="s">
        <v>88</v>
      </c>
      <c r="F1308" s="55">
        <v>114</v>
      </c>
      <c r="G1308" s="63">
        <v>2.8299999999999999E-2</v>
      </c>
    </row>
    <row r="1309" spans="1:7" x14ac:dyDescent="0.2">
      <c r="A1309" t="s">
        <v>89</v>
      </c>
      <c r="B1309" t="s">
        <v>176</v>
      </c>
      <c r="C1309" t="s">
        <v>73</v>
      </c>
      <c r="D1309" t="s">
        <v>74</v>
      </c>
      <c r="E1309" t="s">
        <v>75</v>
      </c>
      <c r="F1309" s="55">
        <v>116</v>
      </c>
      <c r="G1309" s="63">
        <v>2.6700000000000002E-2</v>
      </c>
    </row>
    <row r="1310" spans="1:7" x14ac:dyDescent="0.2">
      <c r="A1310" t="s">
        <v>89</v>
      </c>
      <c r="B1310" t="s">
        <v>176</v>
      </c>
      <c r="C1310" t="s">
        <v>73</v>
      </c>
      <c r="D1310" t="s">
        <v>74</v>
      </c>
      <c r="E1310" t="s">
        <v>76</v>
      </c>
      <c r="F1310" s="55">
        <v>141</v>
      </c>
      <c r="G1310" s="63">
        <v>3.5999999999999999E-3</v>
      </c>
    </row>
    <row r="1311" spans="1:7" x14ac:dyDescent="0.2">
      <c r="A1311" t="s">
        <v>89</v>
      </c>
      <c r="B1311" t="s">
        <v>176</v>
      </c>
      <c r="C1311" t="s">
        <v>73</v>
      </c>
      <c r="D1311" t="s">
        <v>74</v>
      </c>
      <c r="E1311" t="s">
        <v>77</v>
      </c>
      <c r="F1311" s="55">
        <v>126</v>
      </c>
      <c r="G1311" s="63">
        <v>0.01</v>
      </c>
    </row>
    <row r="1312" spans="1:7" x14ac:dyDescent="0.2">
      <c r="A1312" t="s">
        <v>89</v>
      </c>
      <c r="B1312" t="s">
        <v>176</v>
      </c>
      <c r="C1312" t="s">
        <v>73</v>
      </c>
      <c r="D1312" t="s">
        <v>74</v>
      </c>
      <c r="E1312" t="s">
        <v>78</v>
      </c>
      <c r="F1312" s="55">
        <v>100</v>
      </c>
      <c r="G1312" s="63">
        <v>7.1000000000000004E-3</v>
      </c>
    </row>
    <row r="1313" spans="1:7" x14ac:dyDescent="0.2">
      <c r="A1313" t="s">
        <v>89</v>
      </c>
      <c r="B1313" t="s">
        <v>176</v>
      </c>
      <c r="C1313" t="s">
        <v>73</v>
      </c>
      <c r="D1313" t="s">
        <v>74</v>
      </c>
      <c r="E1313" t="s">
        <v>79</v>
      </c>
      <c r="F1313" s="55">
        <v>110</v>
      </c>
      <c r="G1313" s="63">
        <v>1.5800000000000002E-2</v>
      </c>
    </row>
    <row r="1314" spans="1:7" x14ac:dyDescent="0.2">
      <c r="A1314" t="s">
        <v>89</v>
      </c>
      <c r="B1314" t="s">
        <v>176</v>
      </c>
      <c r="C1314" t="s">
        <v>73</v>
      </c>
      <c r="D1314" t="s">
        <v>74</v>
      </c>
      <c r="E1314" t="s">
        <v>80</v>
      </c>
      <c r="F1314" s="55">
        <v>130</v>
      </c>
      <c r="G1314" s="63">
        <v>4.1999999999999997E-3</v>
      </c>
    </row>
    <row r="1315" spans="1:7" x14ac:dyDescent="0.2">
      <c r="A1315" t="s">
        <v>89</v>
      </c>
      <c r="B1315" t="s">
        <v>176</v>
      </c>
      <c r="C1315" t="s">
        <v>73</v>
      </c>
      <c r="D1315" t="s">
        <v>74</v>
      </c>
      <c r="E1315" t="s">
        <v>81</v>
      </c>
      <c r="F1315" s="55">
        <v>143</v>
      </c>
      <c r="G1315" s="63">
        <v>5.5999999999999999E-3</v>
      </c>
    </row>
    <row r="1316" spans="1:7" x14ac:dyDescent="0.2">
      <c r="A1316" t="s">
        <v>89</v>
      </c>
      <c r="B1316" t="s">
        <v>176</v>
      </c>
      <c r="C1316" t="s">
        <v>73</v>
      </c>
      <c r="D1316" t="s">
        <v>74</v>
      </c>
      <c r="E1316" t="s">
        <v>82</v>
      </c>
      <c r="F1316" s="55">
        <v>111</v>
      </c>
      <c r="G1316" s="63">
        <v>1.2500000000000001E-2</v>
      </c>
    </row>
    <row r="1317" spans="1:7" x14ac:dyDescent="0.2">
      <c r="A1317" t="s">
        <v>89</v>
      </c>
      <c r="B1317" t="s">
        <v>176</v>
      </c>
      <c r="C1317" t="s">
        <v>73</v>
      </c>
      <c r="D1317" t="s">
        <v>74</v>
      </c>
      <c r="E1317" t="s">
        <v>83</v>
      </c>
      <c r="F1317" s="55">
        <v>105</v>
      </c>
      <c r="G1317" s="63">
        <v>3.0999999999999999E-3</v>
      </c>
    </row>
    <row r="1318" spans="1:7" x14ac:dyDescent="0.2">
      <c r="A1318" t="s">
        <v>89</v>
      </c>
      <c r="B1318" t="s">
        <v>176</v>
      </c>
      <c r="C1318" t="s">
        <v>73</v>
      </c>
      <c r="D1318" t="s">
        <v>74</v>
      </c>
      <c r="E1318" t="s">
        <v>84</v>
      </c>
      <c r="F1318" s="55">
        <v>117</v>
      </c>
      <c r="G1318" s="63">
        <v>5.7999999999999996E-3</v>
      </c>
    </row>
    <row r="1319" spans="1:7" x14ac:dyDescent="0.2">
      <c r="A1319" t="s">
        <v>89</v>
      </c>
      <c r="B1319" t="s">
        <v>176</v>
      </c>
      <c r="C1319" t="s">
        <v>73</v>
      </c>
      <c r="D1319" t="s">
        <v>74</v>
      </c>
      <c r="E1319" t="s">
        <v>85</v>
      </c>
      <c r="F1319" s="55">
        <v>103</v>
      </c>
      <c r="G1319" s="63">
        <v>4.1999999999999997E-3</v>
      </c>
    </row>
    <row r="1320" spans="1:7" x14ac:dyDescent="0.2">
      <c r="A1320" t="s">
        <v>89</v>
      </c>
      <c r="B1320" t="s">
        <v>176</v>
      </c>
      <c r="C1320" t="s">
        <v>73</v>
      </c>
      <c r="D1320" t="s">
        <v>74</v>
      </c>
      <c r="E1320" t="s">
        <v>86</v>
      </c>
      <c r="F1320" s="55">
        <v>127</v>
      </c>
      <c r="G1320" s="63">
        <v>5.5999999999999999E-3</v>
      </c>
    </row>
    <row r="1321" spans="1:7" x14ac:dyDescent="0.2">
      <c r="A1321" t="s">
        <v>89</v>
      </c>
      <c r="B1321" t="s">
        <v>176</v>
      </c>
      <c r="C1321" t="s">
        <v>73</v>
      </c>
      <c r="D1321" t="s">
        <v>74</v>
      </c>
      <c r="E1321" t="s">
        <v>87</v>
      </c>
      <c r="F1321" s="55">
        <v>115</v>
      </c>
      <c r="G1321" s="63">
        <v>7.1999999999999998E-3</v>
      </c>
    </row>
    <row r="1322" spans="1:7" x14ac:dyDescent="0.2">
      <c r="A1322" t="s">
        <v>89</v>
      </c>
      <c r="B1322" t="s">
        <v>176</v>
      </c>
      <c r="C1322" t="s">
        <v>73</v>
      </c>
      <c r="D1322" t="s">
        <v>74</v>
      </c>
      <c r="E1322" t="s">
        <v>88</v>
      </c>
      <c r="F1322" s="55">
        <v>128</v>
      </c>
      <c r="G1322" s="63">
        <v>6.0000000000000001E-3</v>
      </c>
    </row>
    <row r="1323" spans="1:7" x14ac:dyDescent="0.2">
      <c r="A1323" t="s">
        <v>89</v>
      </c>
      <c r="B1323" t="s">
        <v>177</v>
      </c>
      <c r="C1323" t="s">
        <v>73</v>
      </c>
      <c r="D1323" t="s">
        <v>74</v>
      </c>
      <c r="E1323" t="s">
        <v>75</v>
      </c>
      <c r="F1323" s="55">
        <v>117</v>
      </c>
      <c r="G1323" s="63">
        <v>4.8899999999999999E-2</v>
      </c>
    </row>
    <row r="1324" spans="1:7" x14ac:dyDescent="0.2">
      <c r="A1324" t="s">
        <v>89</v>
      </c>
      <c r="B1324" t="s">
        <v>177</v>
      </c>
      <c r="C1324" t="s">
        <v>73</v>
      </c>
      <c r="D1324" t="s">
        <v>74</v>
      </c>
      <c r="E1324" t="s">
        <v>76</v>
      </c>
      <c r="F1324" s="55">
        <v>122</v>
      </c>
      <c r="G1324" s="63">
        <v>9.4999999999999998E-3</v>
      </c>
    </row>
    <row r="1325" spans="1:7" x14ac:dyDescent="0.2">
      <c r="A1325" t="s">
        <v>89</v>
      </c>
      <c r="B1325" t="s">
        <v>177</v>
      </c>
      <c r="C1325" t="s">
        <v>73</v>
      </c>
      <c r="D1325" t="s">
        <v>74</v>
      </c>
      <c r="E1325" t="s">
        <v>77</v>
      </c>
      <c r="F1325" s="55">
        <v>137</v>
      </c>
      <c r="G1325" s="63">
        <v>2.06E-2</v>
      </c>
    </row>
    <row r="1326" spans="1:7" x14ac:dyDescent="0.2">
      <c r="A1326" t="s">
        <v>89</v>
      </c>
      <c r="B1326" t="s">
        <v>177</v>
      </c>
      <c r="C1326" t="s">
        <v>73</v>
      </c>
      <c r="D1326" t="s">
        <v>74</v>
      </c>
      <c r="E1326" t="s">
        <v>78</v>
      </c>
      <c r="F1326" s="55">
        <v>119</v>
      </c>
      <c r="G1326" s="63">
        <v>1.2699999999999999E-2</v>
      </c>
    </row>
    <row r="1327" spans="1:7" x14ac:dyDescent="0.2">
      <c r="A1327" t="s">
        <v>89</v>
      </c>
      <c r="B1327" t="s">
        <v>177</v>
      </c>
      <c r="C1327" t="s">
        <v>73</v>
      </c>
      <c r="D1327" t="s">
        <v>74</v>
      </c>
      <c r="E1327" t="s">
        <v>79</v>
      </c>
      <c r="F1327" s="55">
        <v>108</v>
      </c>
      <c r="G1327" s="63">
        <v>2.87E-2</v>
      </c>
    </row>
    <row r="1328" spans="1:7" x14ac:dyDescent="0.2">
      <c r="A1328" t="s">
        <v>89</v>
      </c>
      <c r="B1328" t="s">
        <v>177</v>
      </c>
      <c r="C1328" t="s">
        <v>73</v>
      </c>
      <c r="D1328" t="s">
        <v>74</v>
      </c>
      <c r="E1328" t="s">
        <v>80</v>
      </c>
      <c r="F1328" s="55">
        <v>114</v>
      </c>
      <c r="G1328" s="63">
        <v>9.7000000000000003E-3</v>
      </c>
    </row>
    <row r="1329" spans="1:7" x14ac:dyDescent="0.2">
      <c r="A1329" t="s">
        <v>89</v>
      </c>
      <c r="B1329" t="s">
        <v>177</v>
      </c>
      <c r="C1329" t="s">
        <v>73</v>
      </c>
      <c r="D1329" t="s">
        <v>74</v>
      </c>
      <c r="E1329" t="s">
        <v>81</v>
      </c>
      <c r="F1329" s="55">
        <v>101</v>
      </c>
      <c r="G1329" s="63">
        <v>1.1599999999999999E-2</v>
      </c>
    </row>
    <row r="1330" spans="1:7" x14ac:dyDescent="0.2">
      <c r="A1330" t="s">
        <v>89</v>
      </c>
      <c r="B1330" t="s">
        <v>177</v>
      </c>
      <c r="C1330" t="s">
        <v>73</v>
      </c>
      <c r="D1330" t="s">
        <v>74</v>
      </c>
      <c r="E1330" t="s">
        <v>82</v>
      </c>
      <c r="F1330" s="55">
        <v>114</v>
      </c>
      <c r="G1330" s="63">
        <v>2.75E-2</v>
      </c>
    </row>
    <row r="1331" spans="1:7" x14ac:dyDescent="0.2">
      <c r="A1331" t="s">
        <v>89</v>
      </c>
      <c r="B1331" t="s">
        <v>177</v>
      </c>
      <c r="C1331" t="s">
        <v>73</v>
      </c>
      <c r="D1331" t="s">
        <v>74</v>
      </c>
      <c r="E1331" t="s">
        <v>83</v>
      </c>
      <c r="F1331" s="55">
        <v>95</v>
      </c>
      <c r="G1331" s="63">
        <v>6.7000000000000002E-3</v>
      </c>
    </row>
    <row r="1332" spans="1:7" x14ac:dyDescent="0.2">
      <c r="A1332" t="s">
        <v>89</v>
      </c>
      <c r="B1332" t="s">
        <v>177</v>
      </c>
      <c r="C1332" t="s">
        <v>73</v>
      </c>
      <c r="D1332" t="s">
        <v>74</v>
      </c>
      <c r="E1332" t="s">
        <v>84</v>
      </c>
      <c r="F1332" s="55">
        <v>120</v>
      </c>
      <c r="G1332" s="63">
        <v>1.06E-2</v>
      </c>
    </row>
    <row r="1333" spans="1:7" x14ac:dyDescent="0.2">
      <c r="A1333" t="s">
        <v>89</v>
      </c>
      <c r="B1333" t="s">
        <v>177</v>
      </c>
      <c r="C1333" t="s">
        <v>73</v>
      </c>
      <c r="D1333" t="s">
        <v>74</v>
      </c>
      <c r="E1333" t="s">
        <v>85</v>
      </c>
      <c r="F1333" s="55">
        <v>113</v>
      </c>
      <c r="G1333" s="63">
        <v>1.0200000000000001E-2</v>
      </c>
    </row>
    <row r="1334" spans="1:7" x14ac:dyDescent="0.2">
      <c r="A1334" t="s">
        <v>89</v>
      </c>
      <c r="B1334" t="s">
        <v>177</v>
      </c>
      <c r="C1334" t="s">
        <v>73</v>
      </c>
      <c r="D1334" t="s">
        <v>74</v>
      </c>
      <c r="E1334" t="s">
        <v>86</v>
      </c>
      <c r="F1334" s="55">
        <v>115</v>
      </c>
      <c r="G1334" s="63">
        <v>1.2500000000000001E-2</v>
      </c>
    </row>
    <row r="1335" spans="1:7" x14ac:dyDescent="0.2">
      <c r="A1335" t="s">
        <v>89</v>
      </c>
      <c r="B1335" t="s">
        <v>177</v>
      </c>
      <c r="C1335" t="s">
        <v>73</v>
      </c>
      <c r="D1335" t="s">
        <v>74</v>
      </c>
      <c r="E1335" t="s">
        <v>87</v>
      </c>
      <c r="F1335" s="55">
        <v>105</v>
      </c>
      <c r="G1335" s="63">
        <v>1.4500000000000001E-2</v>
      </c>
    </row>
    <row r="1336" spans="1:7" x14ac:dyDescent="0.2">
      <c r="A1336" t="s">
        <v>89</v>
      </c>
      <c r="B1336" t="s">
        <v>177</v>
      </c>
      <c r="C1336" t="s">
        <v>73</v>
      </c>
      <c r="D1336" t="s">
        <v>74</v>
      </c>
      <c r="E1336" t="s">
        <v>88</v>
      </c>
      <c r="F1336" s="55">
        <v>115</v>
      </c>
      <c r="G1336" s="63">
        <v>1.41E-2</v>
      </c>
    </row>
    <row r="1337" spans="1:7" x14ac:dyDescent="0.2">
      <c r="A1337" t="s">
        <v>71</v>
      </c>
      <c r="B1337" t="s">
        <v>178</v>
      </c>
      <c r="C1337" t="s">
        <v>73</v>
      </c>
      <c r="D1337" t="s">
        <v>74</v>
      </c>
      <c r="E1337" t="s">
        <v>75</v>
      </c>
      <c r="F1337" s="55">
        <v>91</v>
      </c>
      <c r="G1337" s="63">
        <v>0.27829999999999999</v>
      </c>
    </row>
    <row r="1338" spans="1:7" x14ac:dyDescent="0.2">
      <c r="A1338" t="s">
        <v>71</v>
      </c>
      <c r="B1338" t="s">
        <v>178</v>
      </c>
      <c r="C1338" t="s">
        <v>73</v>
      </c>
      <c r="D1338" t="s">
        <v>74</v>
      </c>
      <c r="E1338" t="s">
        <v>76</v>
      </c>
      <c r="F1338" s="55">
        <v>97</v>
      </c>
      <c r="G1338" s="63">
        <v>4.2000000000000003E-2</v>
      </c>
    </row>
    <row r="1339" spans="1:7" x14ac:dyDescent="0.2">
      <c r="A1339" t="s">
        <v>71</v>
      </c>
      <c r="B1339" t="s">
        <v>178</v>
      </c>
      <c r="C1339" t="s">
        <v>73</v>
      </c>
      <c r="D1339" t="s">
        <v>74</v>
      </c>
      <c r="E1339" t="s">
        <v>77</v>
      </c>
      <c r="F1339" s="55">
        <v>97</v>
      </c>
      <c r="G1339" s="63">
        <v>0.10680000000000001</v>
      </c>
    </row>
    <row r="1340" spans="1:7" x14ac:dyDescent="0.2">
      <c r="A1340" t="s">
        <v>71</v>
      </c>
      <c r="B1340" t="s">
        <v>178</v>
      </c>
      <c r="C1340" t="s">
        <v>73</v>
      </c>
      <c r="D1340" t="s">
        <v>74</v>
      </c>
      <c r="E1340" t="s">
        <v>78</v>
      </c>
      <c r="F1340" s="55">
        <v>94</v>
      </c>
      <c r="G1340" s="63">
        <v>8.9200000000000002E-2</v>
      </c>
    </row>
    <row r="1341" spans="1:7" x14ac:dyDescent="0.2">
      <c r="A1341" t="s">
        <v>71</v>
      </c>
      <c r="B1341" t="s">
        <v>178</v>
      </c>
      <c r="C1341" t="s">
        <v>73</v>
      </c>
      <c r="D1341" t="s">
        <v>74</v>
      </c>
      <c r="E1341" t="s">
        <v>79</v>
      </c>
      <c r="F1341" s="55">
        <v>89</v>
      </c>
      <c r="G1341" s="63">
        <v>0.19489999999999999</v>
      </c>
    </row>
    <row r="1342" spans="1:7" x14ac:dyDescent="0.2">
      <c r="A1342" t="s">
        <v>71</v>
      </c>
      <c r="B1342" t="s">
        <v>178</v>
      </c>
      <c r="C1342" t="s">
        <v>73</v>
      </c>
      <c r="D1342" t="s">
        <v>74</v>
      </c>
      <c r="E1342" t="s">
        <v>80</v>
      </c>
      <c r="F1342" s="55">
        <v>86</v>
      </c>
      <c r="G1342" s="63">
        <v>5.6300000000000003E-2</v>
      </c>
    </row>
    <row r="1343" spans="1:7" x14ac:dyDescent="0.2">
      <c r="A1343" t="s">
        <v>71</v>
      </c>
      <c r="B1343" t="s">
        <v>178</v>
      </c>
      <c r="C1343" t="s">
        <v>73</v>
      </c>
      <c r="D1343" t="s">
        <v>74</v>
      </c>
      <c r="E1343" t="s">
        <v>81</v>
      </c>
      <c r="F1343" s="55">
        <v>86</v>
      </c>
      <c r="G1343" s="63">
        <v>6.3E-2</v>
      </c>
    </row>
    <row r="1344" spans="1:7" x14ac:dyDescent="0.2">
      <c r="A1344" t="s">
        <v>71</v>
      </c>
      <c r="B1344" t="s">
        <v>178</v>
      </c>
      <c r="C1344" t="s">
        <v>73</v>
      </c>
      <c r="D1344" t="s">
        <v>74</v>
      </c>
      <c r="E1344" t="s">
        <v>82</v>
      </c>
      <c r="F1344" s="55">
        <v>89</v>
      </c>
      <c r="G1344" s="63">
        <v>0.13170000000000001</v>
      </c>
    </row>
    <row r="1345" spans="1:7" x14ac:dyDescent="0.2">
      <c r="A1345" t="s">
        <v>71</v>
      </c>
      <c r="B1345" t="s">
        <v>178</v>
      </c>
      <c r="C1345" t="s">
        <v>73</v>
      </c>
      <c r="D1345" t="s">
        <v>74</v>
      </c>
      <c r="E1345" t="s">
        <v>83</v>
      </c>
      <c r="F1345" s="55">
        <v>93</v>
      </c>
      <c r="G1345" s="63">
        <v>3.15E-2</v>
      </c>
    </row>
    <row r="1346" spans="1:7" x14ac:dyDescent="0.2">
      <c r="A1346" t="s">
        <v>71</v>
      </c>
      <c r="B1346" t="s">
        <v>178</v>
      </c>
      <c r="C1346" t="s">
        <v>73</v>
      </c>
      <c r="D1346" t="s">
        <v>74</v>
      </c>
      <c r="E1346" t="s">
        <v>84</v>
      </c>
      <c r="F1346" s="55">
        <v>96</v>
      </c>
      <c r="G1346" s="63">
        <v>6.8900000000000003E-2</v>
      </c>
    </row>
    <row r="1347" spans="1:7" x14ac:dyDescent="0.2">
      <c r="A1347" t="s">
        <v>71</v>
      </c>
      <c r="B1347" t="s">
        <v>178</v>
      </c>
      <c r="C1347" t="s">
        <v>73</v>
      </c>
      <c r="D1347" t="s">
        <v>74</v>
      </c>
      <c r="E1347" t="s">
        <v>85</v>
      </c>
      <c r="F1347" s="55">
        <v>94</v>
      </c>
      <c r="G1347" s="63">
        <v>7.1900000000000006E-2</v>
      </c>
    </row>
    <row r="1348" spans="1:7" x14ac:dyDescent="0.2">
      <c r="A1348" t="s">
        <v>71</v>
      </c>
      <c r="B1348" t="s">
        <v>178</v>
      </c>
      <c r="C1348" t="s">
        <v>73</v>
      </c>
      <c r="D1348" t="s">
        <v>74</v>
      </c>
      <c r="E1348" t="s">
        <v>86</v>
      </c>
      <c r="F1348" s="55">
        <v>87</v>
      </c>
      <c r="G1348" s="63">
        <v>9.4600000000000004E-2</v>
      </c>
    </row>
    <row r="1349" spans="1:7" x14ac:dyDescent="0.2">
      <c r="A1349" t="s">
        <v>71</v>
      </c>
      <c r="B1349" t="s">
        <v>178</v>
      </c>
      <c r="C1349" t="s">
        <v>73</v>
      </c>
      <c r="D1349" t="s">
        <v>74</v>
      </c>
      <c r="E1349" t="s">
        <v>87</v>
      </c>
      <c r="F1349" s="55">
        <v>88</v>
      </c>
      <c r="G1349" s="63">
        <v>0.1061</v>
      </c>
    </row>
    <row r="1350" spans="1:7" x14ac:dyDescent="0.2">
      <c r="A1350" t="s">
        <v>71</v>
      </c>
      <c r="B1350" t="s">
        <v>178</v>
      </c>
      <c r="C1350" t="s">
        <v>73</v>
      </c>
      <c r="D1350" t="s">
        <v>74</v>
      </c>
      <c r="E1350" t="s">
        <v>88</v>
      </c>
      <c r="F1350" s="55">
        <v>94</v>
      </c>
      <c r="G1350" s="63">
        <v>6.2799999999999995E-2</v>
      </c>
    </row>
    <row r="1351" spans="1:7" x14ac:dyDescent="0.2">
      <c r="A1351" t="s">
        <v>71</v>
      </c>
      <c r="B1351" t="s">
        <v>179</v>
      </c>
      <c r="C1351" t="s">
        <v>73</v>
      </c>
      <c r="D1351" t="s">
        <v>74</v>
      </c>
      <c r="E1351" t="s">
        <v>75</v>
      </c>
      <c r="F1351" s="55">
        <v>97</v>
      </c>
      <c r="G1351" s="63">
        <v>0.50670000000000004</v>
      </c>
    </row>
    <row r="1352" spans="1:7" x14ac:dyDescent="0.2">
      <c r="A1352" t="s">
        <v>71</v>
      </c>
      <c r="B1352" t="s">
        <v>179</v>
      </c>
      <c r="C1352" t="s">
        <v>73</v>
      </c>
      <c r="D1352" t="s">
        <v>74</v>
      </c>
      <c r="E1352" t="s">
        <v>76</v>
      </c>
      <c r="F1352" s="55">
        <v>98</v>
      </c>
      <c r="G1352" s="63">
        <v>7.1300000000000002E-2</v>
      </c>
    </row>
    <row r="1353" spans="1:7" x14ac:dyDescent="0.2">
      <c r="A1353" t="s">
        <v>71</v>
      </c>
      <c r="B1353" t="s">
        <v>179</v>
      </c>
      <c r="C1353" t="s">
        <v>73</v>
      </c>
      <c r="D1353" t="s">
        <v>74</v>
      </c>
      <c r="E1353" t="s">
        <v>77</v>
      </c>
      <c r="F1353" s="55">
        <v>101</v>
      </c>
      <c r="G1353" s="63">
        <v>0.1807</v>
      </c>
    </row>
    <row r="1354" spans="1:7" x14ac:dyDescent="0.2">
      <c r="A1354" t="s">
        <v>71</v>
      </c>
      <c r="B1354" t="s">
        <v>179</v>
      </c>
      <c r="C1354" t="s">
        <v>73</v>
      </c>
      <c r="D1354" t="s">
        <v>74</v>
      </c>
      <c r="E1354" t="s">
        <v>78</v>
      </c>
      <c r="F1354" s="55">
        <v>102</v>
      </c>
      <c r="G1354" s="63">
        <v>0.16350000000000001</v>
      </c>
    </row>
    <row r="1355" spans="1:7" x14ac:dyDescent="0.2">
      <c r="A1355" t="s">
        <v>71</v>
      </c>
      <c r="B1355" t="s">
        <v>179</v>
      </c>
      <c r="C1355" t="s">
        <v>73</v>
      </c>
      <c r="D1355" t="s">
        <v>74</v>
      </c>
      <c r="E1355" t="s">
        <v>79</v>
      </c>
      <c r="F1355" s="55">
        <v>96</v>
      </c>
      <c r="G1355" s="63">
        <v>0.371</v>
      </c>
    </row>
    <row r="1356" spans="1:7" x14ac:dyDescent="0.2">
      <c r="A1356" t="s">
        <v>71</v>
      </c>
      <c r="B1356" t="s">
        <v>179</v>
      </c>
      <c r="C1356" t="s">
        <v>73</v>
      </c>
      <c r="D1356" t="s">
        <v>74</v>
      </c>
      <c r="E1356" t="s">
        <v>80</v>
      </c>
      <c r="F1356" s="55">
        <v>93</v>
      </c>
      <c r="G1356" s="63">
        <v>0.1069</v>
      </c>
    </row>
    <row r="1357" spans="1:7" x14ac:dyDescent="0.2">
      <c r="A1357" t="s">
        <v>71</v>
      </c>
      <c r="B1357" t="s">
        <v>179</v>
      </c>
      <c r="C1357" t="s">
        <v>73</v>
      </c>
      <c r="D1357" t="s">
        <v>74</v>
      </c>
      <c r="E1357" t="s">
        <v>81</v>
      </c>
      <c r="F1357" s="55">
        <v>89</v>
      </c>
      <c r="G1357" s="63">
        <v>0.1087</v>
      </c>
    </row>
    <row r="1358" spans="1:7" x14ac:dyDescent="0.2">
      <c r="A1358" t="s">
        <v>71</v>
      </c>
      <c r="B1358" t="s">
        <v>179</v>
      </c>
      <c r="C1358" t="s">
        <v>73</v>
      </c>
      <c r="D1358" t="s">
        <v>74</v>
      </c>
      <c r="E1358" t="s">
        <v>82</v>
      </c>
      <c r="F1358" s="55">
        <v>97</v>
      </c>
      <c r="G1358" s="63">
        <v>0.29060000000000002</v>
      </c>
    </row>
    <row r="1359" spans="1:7" x14ac:dyDescent="0.2">
      <c r="A1359" t="s">
        <v>71</v>
      </c>
      <c r="B1359" t="s">
        <v>179</v>
      </c>
      <c r="C1359" t="s">
        <v>73</v>
      </c>
      <c r="D1359" t="s">
        <v>74</v>
      </c>
      <c r="E1359" t="s">
        <v>83</v>
      </c>
      <c r="F1359" s="55">
        <v>85</v>
      </c>
      <c r="G1359" s="63">
        <v>5.0700000000000002E-2</v>
      </c>
    </row>
    <row r="1360" spans="1:7" x14ac:dyDescent="0.2">
      <c r="A1360" t="s">
        <v>71</v>
      </c>
      <c r="B1360" t="s">
        <v>179</v>
      </c>
      <c r="C1360" t="s">
        <v>73</v>
      </c>
      <c r="D1360" t="s">
        <v>74</v>
      </c>
      <c r="E1360" t="s">
        <v>84</v>
      </c>
      <c r="F1360" s="55">
        <v>102</v>
      </c>
      <c r="G1360" s="63">
        <v>0.1263</v>
      </c>
    </row>
    <row r="1361" spans="1:7" x14ac:dyDescent="0.2">
      <c r="A1361" t="s">
        <v>71</v>
      </c>
      <c r="B1361" t="s">
        <v>179</v>
      </c>
      <c r="C1361" t="s">
        <v>73</v>
      </c>
      <c r="D1361" t="s">
        <v>74</v>
      </c>
      <c r="E1361" t="s">
        <v>85</v>
      </c>
      <c r="F1361" s="55">
        <v>96</v>
      </c>
      <c r="G1361" s="63">
        <v>0.13589999999999999</v>
      </c>
    </row>
    <row r="1362" spans="1:7" x14ac:dyDescent="0.2">
      <c r="A1362" t="s">
        <v>71</v>
      </c>
      <c r="B1362" t="s">
        <v>179</v>
      </c>
      <c r="C1362" t="s">
        <v>73</v>
      </c>
      <c r="D1362" t="s">
        <v>74</v>
      </c>
      <c r="E1362" t="s">
        <v>86</v>
      </c>
      <c r="F1362" s="55">
        <v>94</v>
      </c>
      <c r="G1362" s="63">
        <v>0.18759999999999999</v>
      </c>
    </row>
    <row r="1363" spans="1:7" x14ac:dyDescent="0.2">
      <c r="A1363" t="s">
        <v>71</v>
      </c>
      <c r="B1363" t="s">
        <v>179</v>
      </c>
      <c r="C1363" t="s">
        <v>73</v>
      </c>
      <c r="D1363" t="s">
        <v>74</v>
      </c>
      <c r="E1363" t="s">
        <v>87</v>
      </c>
      <c r="F1363" s="55">
        <v>94</v>
      </c>
      <c r="G1363" s="63">
        <v>0.2117</v>
      </c>
    </row>
    <row r="1364" spans="1:7" x14ac:dyDescent="0.2">
      <c r="A1364" t="s">
        <v>71</v>
      </c>
      <c r="B1364" t="s">
        <v>179</v>
      </c>
      <c r="C1364" t="s">
        <v>73</v>
      </c>
      <c r="D1364" t="s">
        <v>74</v>
      </c>
      <c r="E1364" t="s">
        <v>88</v>
      </c>
      <c r="F1364" s="55">
        <v>95</v>
      </c>
      <c r="G1364" s="63">
        <v>0.1129</v>
      </c>
    </row>
    <row r="1365" spans="1:7" x14ac:dyDescent="0.2">
      <c r="A1365" t="s">
        <v>89</v>
      </c>
      <c r="B1365" t="s">
        <v>180</v>
      </c>
      <c r="C1365" t="s">
        <v>73</v>
      </c>
      <c r="D1365" t="s">
        <v>74</v>
      </c>
      <c r="E1365" t="s">
        <v>75</v>
      </c>
      <c r="F1365" s="55">
        <v>34</v>
      </c>
      <c r="G1365" s="63">
        <v>0.2097</v>
      </c>
    </row>
    <row r="1366" spans="1:7" x14ac:dyDescent="0.2">
      <c r="A1366" t="s">
        <v>89</v>
      </c>
      <c r="B1366" t="s">
        <v>180</v>
      </c>
      <c r="C1366" t="s">
        <v>73</v>
      </c>
      <c r="D1366" t="s">
        <v>74</v>
      </c>
      <c r="E1366" t="s">
        <v>76</v>
      </c>
      <c r="F1366" s="55">
        <v>26</v>
      </c>
      <c r="G1366" s="63">
        <v>1.7299999999999999E-2</v>
      </c>
    </row>
    <row r="1367" spans="1:7" x14ac:dyDescent="0.2">
      <c r="A1367" t="s">
        <v>89</v>
      </c>
      <c r="B1367" t="s">
        <v>180</v>
      </c>
      <c r="C1367" t="s">
        <v>73</v>
      </c>
      <c r="D1367" t="s">
        <v>74</v>
      </c>
      <c r="E1367" t="s">
        <v>77</v>
      </c>
      <c r="F1367" s="55">
        <v>37</v>
      </c>
      <c r="G1367" s="63">
        <v>5.21E-2</v>
      </c>
    </row>
    <row r="1368" spans="1:7" x14ac:dyDescent="0.2">
      <c r="A1368" t="s">
        <v>89</v>
      </c>
      <c r="B1368" t="s">
        <v>180</v>
      </c>
      <c r="C1368" t="s">
        <v>73</v>
      </c>
      <c r="D1368" t="s">
        <v>74</v>
      </c>
      <c r="E1368" t="s">
        <v>78</v>
      </c>
      <c r="F1368" s="55">
        <v>27</v>
      </c>
      <c r="G1368" s="63">
        <v>3.39E-2</v>
      </c>
    </row>
    <row r="1369" spans="1:7" x14ac:dyDescent="0.2">
      <c r="A1369" t="s">
        <v>89</v>
      </c>
      <c r="B1369" t="s">
        <v>180</v>
      </c>
      <c r="C1369" t="s">
        <v>73</v>
      </c>
      <c r="D1369" t="s">
        <v>74</v>
      </c>
      <c r="E1369" t="s">
        <v>79</v>
      </c>
      <c r="F1369" s="55">
        <v>33</v>
      </c>
      <c r="G1369" s="63">
        <v>0.12180000000000001</v>
      </c>
    </row>
    <row r="1370" spans="1:7" x14ac:dyDescent="0.2">
      <c r="A1370" t="s">
        <v>89</v>
      </c>
      <c r="B1370" t="s">
        <v>180</v>
      </c>
      <c r="C1370" t="s">
        <v>73</v>
      </c>
      <c r="D1370" t="s">
        <v>74</v>
      </c>
      <c r="E1370" t="s">
        <v>80</v>
      </c>
      <c r="F1370" s="55">
        <v>33</v>
      </c>
      <c r="G1370" s="63">
        <v>2.0500000000000001E-2</v>
      </c>
    </row>
    <row r="1371" spans="1:7" x14ac:dyDescent="0.2">
      <c r="A1371" t="s">
        <v>89</v>
      </c>
      <c r="B1371" t="s">
        <v>180</v>
      </c>
      <c r="C1371" t="s">
        <v>73</v>
      </c>
      <c r="D1371" t="s">
        <v>74</v>
      </c>
      <c r="E1371" t="s">
        <v>81</v>
      </c>
      <c r="F1371" s="55">
        <v>44</v>
      </c>
      <c r="G1371" s="63">
        <v>2.69E-2</v>
      </c>
    </row>
    <row r="1372" spans="1:7" x14ac:dyDescent="0.2">
      <c r="A1372" t="s">
        <v>89</v>
      </c>
      <c r="B1372" t="s">
        <v>180</v>
      </c>
      <c r="C1372" t="s">
        <v>73</v>
      </c>
      <c r="D1372" t="s">
        <v>74</v>
      </c>
      <c r="E1372" t="s">
        <v>82</v>
      </c>
      <c r="F1372" s="55">
        <v>39</v>
      </c>
      <c r="G1372" s="63">
        <v>0.10150000000000001</v>
      </c>
    </row>
    <row r="1373" spans="1:7" x14ac:dyDescent="0.2">
      <c r="A1373" t="s">
        <v>89</v>
      </c>
      <c r="B1373" t="s">
        <v>180</v>
      </c>
      <c r="C1373" t="s">
        <v>73</v>
      </c>
      <c r="D1373" t="s">
        <v>74</v>
      </c>
      <c r="E1373" t="s">
        <v>83</v>
      </c>
      <c r="F1373" s="55">
        <v>40</v>
      </c>
      <c r="G1373" s="63">
        <v>1.32E-2</v>
      </c>
    </row>
    <row r="1374" spans="1:7" x14ac:dyDescent="0.2">
      <c r="A1374" t="s">
        <v>89</v>
      </c>
      <c r="B1374" t="s">
        <v>180</v>
      </c>
      <c r="C1374" t="s">
        <v>73</v>
      </c>
      <c r="D1374" t="s">
        <v>74</v>
      </c>
      <c r="E1374" t="s">
        <v>84</v>
      </c>
      <c r="F1374" s="55">
        <v>29</v>
      </c>
      <c r="G1374" s="63">
        <v>2.3400000000000001E-2</v>
      </c>
    </row>
    <row r="1375" spans="1:7" x14ac:dyDescent="0.2">
      <c r="A1375" t="s">
        <v>89</v>
      </c>
      <c r="B1375" t="s">
        <v>180</v>
      </c>
      <c r="C1375" t="s">
        <v>73</v>
      </c>
      <c r="D1375" t="s">
        <v>74</v>
      </c>
      <c r="E1375" t="s">
        <v>85</v>
      </c>
      <c r="F1375" s="55">
        <v>30</v>
      </c>
      <c r="G1375" s="63">
        <v>1.9699999999999999E-2</v>
      </c>
    </row>
    <row r="1376" spans="1:7" x14ac:dyDescent="0.2">
      <c r="A1376" t="s">
        <v>89</v>
      </c>
      <c r="B1376" t="s">
        <v>180</v>
      </c>
      <c r="C1376" t="s">
        <v>73</v>
      </c>
      <c r="D1376" t="s">
        <v>74</v>
      </c>
      <c r="E1376" t="s">
        <v>86</v>
      </c>
      <c r="F1376" s="55">
        <v>34</v>
      </c>
      <c r="G1376" s="63">
        <v>3.0099999999999998E-2</v>
      </c>
    </row>
    <row r="1377" spans="1:7" x14ac:dyDescent="0.2">
      <c r="A1377" t="s">
        <v>89</v>
      </c>
      <c r="B1377" t="s">
        <v>180</v>
      </c>
      <c r="C1377" t="s">
        <v>73</v>
      </c>
      <c r="D1377" t="s">
        <v>74</v>
      </c>
      <c r="E1377" t="s">
        <v>87</v>
      </c>
      <c r="F1377" s="55">
        <v>33</v>
      </c>
      <c r="G1377" s="63">
        <v>4.1700000000000001E-2</v>
      </c>
    </row>
    <row r="1378" spans="1:7" x14ac:dyDescent="0.2">
      <c r="A1378" t="s">
        <v>89</v>
      </c>
      <c r="B1378" t="s">
        <v>180</v>
      </c>
      <c r="C1378" t="s">
        <v>73</v>
      </c>
      <c r="D1378" t="s">
        <v>74</v>
      </c>
      <c r="E1378" t="s">
        <v>88</v>
      </c>
      <c r="F1378" s="55">
        <v>30</v>
      </c>
      <c r="G1378" s="63">
        <v>2.9499999999999998E-2</v>
      </c>
    </row>
    <row r="1379" spans="1:7" x14ac:dyDescent="0.2">
      <c r="A1379" t="s">
        <v>71</v>
      </c>
      <c r="B1379" t="s">
        <v>18</v>
      </c>
      <c r="C1379" t="s">
        <v>73</v>
      </c>
      <c r="D1379" t="s">
        <v>74</v>
      </c>
      <c r="E1379" t="s">
        <v>75</v>
      </c>
      <c r="F1379" s="55">
        <v>107</v>
      </c>
      <c r="G1379" s="63">
        <v>0.3846</v>
      </c>
    </row>
    <row r="1380" spans="1:7" x14ac:dyDescent="0.2">
      <c r="A1380" t="s">
        <v>71</v>
      </c>
      <c r="B1380" t="s">
        <v>18</v>
      </c>
      <c r="C1380" t="s">
        <v>73</v>
      </c>
      <c r="D1380" t="s">
        <v>74</v>
      </c>
      <c r="E1380" t="s">
        <v>76</v>
      </c>
      <c r="F1380" s="55">
        <v>107</v>
      </c>
      <c r="G1380" s="63">
        <v>6.4600000000000005E-2</v>
      </c>
    </row>
    <row r="1381" spans="1:7" x14ac:dyDescent="0.2">
      <c r="A1381" t="s">
        <v>71</v>
      </c>
      <c r="B1381" t="s">
        <v>18</v>
      </c>
      <c r="C1381" t="s">
        <v>73</v>
      </c>
      <c r="D1381" t="s">
        <v>74</v>
      </c>
      <c r="E1381" t="s">
        <v>77</v>
      </c>
      <c r="F1381" s="55">
        <v>109</v>
      </c>
      <c r="G1381" s="63">
        <v>0.17510000000000001</v>
      </c>
    </row>
    <row r="1382" spans="1:7" x14ac:dyDescent="0.2">
      <c r="A1382" t="s">
        <v>71</v>
      </c>
      <c r="B1382" t="s">
        <v>18</v>
      </c>
      <c r="C1382" t="s">
        <v>73</v>
      </c>
      <c r="D1382" t="s">
        <v>74</v>
      </c>
      <c r="E1382" t="s">
        <v>78</v>
      </c>
      <c r="F1382" s="55">
        <v>107</v>
      </c>
      <c r="G1382" s="63">
        <v>0.1512</v>
      </c>
    </row>
    <row r="1383" spans="1:7" x14ac:dyDescent="0.2">
      <c r="A1383" t="s">
        <v>71</v>
      </c>
      <c r="B1383" t="s">
        <v>18</v>
      </c>
      <c r="C1383" t="s">
        <v>73</v>
      </c>
      <c r="D1383" t="s">
        <v>74</v>
      </c>
      <c r="E1383" t="s">
        <v>79</v>
      </c>
      <c r="F1383" s="55">
        <v>108</v>
      </c>
      <c r="G1383" s="63">
        <v>0.28639999999999999</v>
      </c>
    </row>
    <row r="1384" spans="1:7" x14ac:dyDescent="0.2">
      <c r="A1384" t="s">
        <v>71</v>
      </c>
      <c r="B1384" t="s">
        <v>18</v>
      </c>
      <c r="C1384" t="s">
        <v>73</v>
      </c>
      <c r="D1384" t="s">
        <v>74</v>
      </c>
      <c r="E1384" t="s">
        <v>80</v>
      </c>
      <c r="F1384" s="55">
        <v>102</v>
      </c>
      <c r="G1384" s="63">
        <v>9.3799999999999994E-2</v>
      </c>
    </row>
    <row r="1385" spans="1:7" x14ac:dyDescent="0.2">
      <c r="A1385" t="s">
        <v>71</v>
      </c>
      <c r="B1385" t="s">
        <v>18</v>
      </c>
      <c r="C1385" t="s">
        <v>73</v>
      </c>
      <c r="D1385" t="s">
        <v>74</v>
      </c>
      <c r="E1385" t="s">
        <v>81</v>
      </c>
      <c r="F1385" s="55">
        <v>102</v>
      </c>
      <c r="G1385" s="63">
        <v>8.9899999999999994E-2</v>
      </c>
    </row>
    <row r="1386" spans="1:7" x14ac:dyDescent="0.2">
      <c r="A1386" t="s">
        <v>71</v>
      </c>
      <c r="B1386" t="s">
        <v>18</v>
      </c>
      <c r="C1386" t="s">
        <v>73</v>
      </c>
      <c r="D1386" t="s">
        <v>74</v>
      </c>
      <c r="E1386" t="s">
        <v>82</v>
      </c>
      <c r="F1386" s="55">
        <v>108</v>
      </c>
      <c r="G1386" s="63">
        <v>0.22509999999999999</v>
      </c>
    </row>
    <row r="1387" spans="1:7" x14ac:dyDescent="0.2">
      <c r="A1387" t="s">
        <v>71</v>
      </c>
      <c r="B1387" t="s">
        <v>18</v>
      </c>
      <c r="C1387" t="s">
        <v>73</v>
      </c>
      <c r="D1387" t="s">
        <v>74</v>
      </c>
      <c r="E1387" t="s">
        <v>83</v>
      </c>
      <c r="F1387" s="55">
        <v>109</v>
      </c>
      <c r="G1387" s="63">
        <v>4.1200000000000001E-2</v>
      </c>
    </row>
    <row r="1388" spans="1:7" x14ac:dyDescent="0.2">
      <c r="A1388" t="s">
        <v>71</v>
      </c>
      <c r="B1388" t="s">
        <v>18</v>
      </c>
      <c r="C1388" t="s">
        <v>73</v>
      </c>
      <c r="D1388" t="s">
        <v>74</v>
      </c>
      <c r="E1388" t="s">
        <v>84</v>
      </c>
      <c r="F1388" s="55">
        <v>108</v>
      </c>
      <c r="G1388" s="63">
        <v>0.122</v>
      </c>
    </row>
    <row r="1389" spans="1:7" x14ac:dyDescent="0.2">
      <c r="A1389" t="s">
        <v>71</v>
      </c>
      <c r="B1389" t="s">
        <v>18</v>
      </c>
      <c r="C1389" t="s">
        <v>73</v>
      </c>
      <c r="D1389" t="s">
        <v>74</v>
      </c>
      <c r="E1389" t="s">
        <v>85</v>
      </c>
      <c r="F1389" s="55">
        <v>104</v>
      </c>
      <c r="G1389" s="63">
        <v>0.1174</v>
      </c>
    </row>
    <row r="1390" spans="1:7" x14ac:dyDescent="0.2">
      <c r="A1390" t="s">
        <v>71</v>
      </c>
      <c r="B1390" t="s">
        <v>18</v>
      </c>
      <c r="C1390" t="s">
        <v>73</v>
      </c>
      <c r="D1390" t="s">
        <v>74</v>
      </c>
      <c r="E1390" t="s">
        <v>86</v>
      </c>
      <c r="F1390" s="55">
        <v>106</v>
      </c>
      <c r="G1390" s="63">
        <v>0.15670000000000001</v>
      </c>
    </row>
    <row r="1391" spans="1:7" x14ac:dyDescent="0.2">
      <c r="A1391" t="s">
        <v>71</v>
      </c>
      <c r="B1391" t="s">
        <v>18</v>
      </c>
      <c r="C1391" t="s">
        <v>73</v>
      </c>
      <c r="D1391" t="s">
        <v>74</v>
      </c>
      <c r="E1391" t="s">
        <v>87</v>
      </c>
      <c r="F1391" s="55">
        <v>110</v>
      </c>
      <c r="G1391" s="63">
        <v>0.18240000000000001</v>
      </c>
    </row>
    <row r="1392" spans="1:7" x14ac:dyDescent="0.2">
      <c r="A1392" t="s">
        <v>71</v>
      </c>
      <c r="B1392" t="s">
        <v>18</v>
      </c>
      <c r="C1392" t="s">
        <v>73</v>
      </c>
      <c r="D1392" t="s">
        <v>74</v>
      </c>
      <c r="E1392" t="s">
        <v>88</v>
      </c>
      <c r="F1392" s="55">
        <v>108</v>
      </c>
      <c r="G1392" s="63">
        <v>9.7500000000000003E-2</v>
      </c>
    </row>
    <row r="1393" spans="1:7" x14ac:dyDescent="0.2">
      <c r="A1393" t="s">
        <v>89</v>
      </c>
      <c r="B1393" t="s">
        <v>181</v>
      </c>
      <c r="C1393" t="s">
        <v>73</v>
      </c>
      <c r="D1393" t="s">
        <v>74</v>
      </c>
      <c r="E1393" t="s">
        <v>75</v>
      </c>
      <c r="F1393" s="55">
        <v>106</v>
      </c>
      <c r="G1393" s="63">
        <v>0.1225</v>
      </c>
    </row>
    <row r="1394" spans="1:7" x14ac:dyDescent="0.2">
      <c r="A1394" t="s">
        <v>89</v>
      </c>
      <c r="B1394" t="s">
        <v>181</v>
      </c>
      <c r="C1394" t="s">
        <v>73</v>
      </c>
      <c r="D1394" t="s">
        <v>74</v>
      </c>
      <c r="E1394" t="s">
        <v>76</v>
      </c>
      <c r="F1394" s="55">
        <v>100</v>
      </c>
      <c r="G1394" s="63">
        <v>3.04E-2</v>
      </c>
    </row>
    <row r="1395" spans="1:7" x14ac:dyDescent="0.2">
      <c r="A1395" t="s">
        <v>89</v>
      </c>
      <c r="B1395" t="s">
        <v>181</v>
      </c>
      <c r="C1395" t="s">
        <v>73</v>
      </c>
      <c r="D1395" t="s">
        <v>74</v>
      </c>
      <c r="E1395" t="s">
        <v>77</v>
      </c>
      <c r="F1395" s="55">
        <v>108</v>
      </c>
      <c r="G1395" s="63">
        <v>6.54E-2</v>
      </c>
    </row>
    <row r="1396" spans="1:7" x14ac:dyDescent="0.2">
      <c r="A1396" t="s">
        <v>89</v>
      </c>
      <c r="B1396" t="s">
        <v>181</v>
      </c>
      <c r="C1396" t="s">
        <v>73</v>
      </c>
      <c r="D1396" t="s">
        <v>74</v>
      </c>
      <c r="E1396" t="s">
        <v>78</v>
      </c>
      <c r="F1396" s="55">
        <v>113</v>
      </c>
      <c r="G1396" s="63">
        <v>5.7099999999999998E-2</v>
      </c>
    </row>
    <row r="1397" spans="1:7" x14ac:dyDescent="0.2">
      <c r="A1397" t="s">
        <v>89</v>
      </c>
      <c r="B1397" t="s">
        <v>181</v>
      </c>
      <c r="C1397" t="s">
        <v>73</v>
      </c>
      <c r="D1397" t="s">
        <v>74</v>
      </c>
      <c r="E1397" t="s">
        <v>79</v>
      </c>
      <c r="F1397" s="55">
        <v>105</v>
      </c>
      <c r="G1397" s="63">
        <v>9.01E-2</v>
      </c>
    </row>
    <row r="1398" spans="1:7" x14ac:dyDescent="0.2">
      <c r="A1398" t="s">
        <v>89</v>
      </c>
      <c r="B1398" t="s">
        <v>181</v>
      </c>
      <c r="C1398" t="s">
        <v>73</v>
      </c>
      <c r="D1398" t="s">
        <v>74</v>
      </c>
      <c r="E1398" t="s">
        <v>80</v>
      </c>
      <c r="F1398" s="55">
        <v>102</v>
      </c>
      <c r="G1398" s="63">
        <v>4.1200000000000001E-2</v>
      </c>
    </row>
    <row r="1399" spans="1:7" x14ac:dyDescent="0.2">
      <c r="A1399" t="s">
        <v>89</v>
      </c>
      <c r="B1399" t="s">
        <v>181</v>
      </c>
      <c r="C1399" t="s">
        <v>73</v>
      </c>
      <c r="D1399" t="s">
        <v>74</v>
      </c>
      <c r="E1399" t="s">
        <v>81</v>
      </c>
      <c r="F1399" s="55">
        <v>95</v>
      </c>
      <c r="G1399" s="63">
        <v>3.8899999999999997E-2</v>
      </c>
    </row>
    <row r="1400" spans="1:7" x14ac:dyDescent="0.2">
      <c r="A1400" t="s">
        <v>89</v>
      </c>
      <c r="B1400" t="s">
        <v>181</v>
      </c>
      <c r="C1400" t="s">
        <v>73</v>
      </c>
      <c r="D1400" t="s">
        <v>74</v>
      </c>
      <c r="E1400" t="s">
        <v>82</v>
      </c>
      <c r="F1400" s="55">
        <v>107</v>
      </c>
      <c r="G1400" s="63">
        <v>8.14E-2</v>
      </c>
    </row>
    <row r="1401" spans="1:7" x14ac:dyDescent="0.2">
      <c r="A1401" t="s">
        <v>89</v>
      </c>
      <c r="B1401" t="s">
        <v>181</v>
      </c>
      <c r="C1401" t="s">
        <v>73</v>
      </c>
      <c r="D1401" t="s">
        <v>74</v>
      </c>
      <c r="E1401" t="s">
        <v>83</v>
      </c>
      <c r="F1401" s="55">
        <v>80</v>
      </c>
      <c r="G1401" s="63">
        <v>1.9400000000000001E-2</v>
      </c>
    </row>
    <row r="1402" spans="1:7" x14ac:dyDescent="0.2">
      <c r="A1402" t="s">
        <v>89</v>
      </c>
      <c r="B1402" t="s">
        <v>181</v>
      </c>
      <c r="C1402" t="s">
        <v>73</v>
      </c>
      <c r="D1402" t="s">
        <v>74</v>
      </c>
      <c r="E1402" t="s">
        <v>84</v>
      </c>
      <c r="F1402" s="55">
        <v>114</v>
      </c>
      <c r="G1402" s="63">
        <v>5.0599999999999999E-2</v>
      </c>
    </row>
    <row r="1403" spans="1:7" x14ac:dyDescent="0.2">
      <c r="A1403" t="s">
        <v>89</v>
      </c>
      <c r="B1403" t="s">
        <v>181</v>
      </c>
      <c r="C1403" t="s">
        <v>73</v>
      </c>
      <c r="D1403" t="s">
        <v>74</v>
      </c>
      <c r="E1403" t="s">
        <v>85</v>
      </c>
      <c r="F1403" s="55">
        <v>105</v>
      </c>
      <c r="G1403" s="63">
        <v>4.9700000000000001E-2</v>
      </c>
    </row>
    <row r="1404" spans="1:7" x14ac:dyDescent="0.2">
      <c r="A1404" t="s">
        <v>89</v>
      </c>
      <c r="B1404" t="s">
        <v>181</v>
      </c>
      <c r="C1404" t="s">
        <v>73</v>
      </c>
      <c r="D1404" t="s">
        <v>74</v>
      </c>
      <c r="E1404" t="s">
        <v>86</v>
      </c>
      <c r="F1404" s="55">
        <v>102</v>
      </c>
      <c r="G1404" s="63">
        <v>5.8099999999999999E-2</v>
      </c>
    </row>
    <row r="1405" spans="1:7" x14ac:dyDescent="0.2">
      <c r="A1405" t="s">
        <v>89</v>
      </c>
      <c r="B1405" t="s">
        <v>181</v>
      </c>
      <c r="C1405" t="s">
        <v>73</v>
      </c>
      <c r="D1405" t="s">
        <v>74</v>
      </c>
      <c r="E1405" t="s">
        <v>87</v>
      </c>
      <c r="F1405" s="55">
        <v>104</v>
      </c>
      <c r="G1405" s="63">
        <v>6.3299999999999995E-2</v>
      </c>
    </row>
    <row r="1406" spans="1:7" x14ac:dyDescent="0.2">
      <c r="A1406" t="s">
        <v>89</v>
      </c>
      <c r="B1406" t="s">
        <v>181</v>
      </c>
      <c r="C1406" t="s">
        <v>73</v>
      </c>
      <c r="D1406" t="s">
        <v>74</v>
      </c>
      <c r="E1406" t="s">
        <v>88</v>
      </c>
      <c r="F1406" s="55">
        <v>99</v>
      </c>
      <c r="G1406" s="63">
        <v>3.8600000000000002E-2</v>
      </c>
    </row>
    <row r="1407" spans="1:7" x14ac:dyDescent="0.2">
      <c r="A1407" t="s">
        <v>71</v>
      </c>
      <c r="B1407" t="s">
        <v>182</v>
      </c>
      <c r="C1407" t="s">
        <v>73</v>
      </c>
      <c r="D1407" t="s">
        <v>74</v>
      </c>
      <c r="E1407" t="s">
        <v>75</v>
      </c>
      <c r="F1407" s="55">
        <v>91</v>
      </c>
      <c r="G1407" s="63">
        <v>0.3473</v>
      </c>
    </row>
    <row r="1408" spans="1:7" x14ac:dyDescent="0.2">
      <c r="A1408" t="s">
        <v>71</v>
      </c>
      <c r="B1408" t="s">
        <v>182</v>
      </c>
      <c r="C1408" t="s">
        <v>73</v>
      </c>
      <c r="D1408" t="s">
        <v>74</v>
      </c>
      <c r="E1408" t="s">
        <v>76</v>
      </c>
      <c r="F1408" s="55">
        <v>94</v>
      </c>
      <c r="G1408" s="63">
        <v>6.5000000000000002E-2</v>
      </c>
    </row>
    <row r="1409" spans="1:7" x14ac:dyDescent="0.2">
      <c r="A1409" t="s">
        <v>71</v>
      </c>
      <c r="B1409" t="s">
        <v>182</v>
      </c>
      <c r="C1409" t="s">
        <v>73</v>
      </c>
      <c r="D1409" t="s">
        <v>74</v>
      </c>
      <c r="E1409" t="s">
        <v>77</v>
      </c>
      <c r="F1409" s="55">
        <v>92</v>
      </c>
      <c r="G1409" s="63">
        <v>0.15529999999999999</v>
      </c>
    </row>
    <row r="1410" spans="1:7" x14ac:dyDescent="0.2">
      <c r="A1410" t="s">
        <v>71</v>
      </c>
      <c r="B1410" t="s">
        <v>182</v>
      </c>
      <c r="C1410" t="s">
        <v>73</v>
      </c>
      <c r="D1410" t="s">
        <v>74</v>
      </c>
      <c r="E1410" t="s">
        <v>78</v>
      </c>
      <c r="F1410" s="55">
        <v>92</v>
      </c>
      <c r="G1410" s="63">
        <v>0.1236</v>
      </c>
    </row>
    <row r="1411" spans="1:7" x14ac:dyDescent="0.2">
      <c r="A1411" t="s">
        <v>71</v>
      </c>
      <c r="B1411" t="s">
        <v>182</v>
      </c>
      <c r="C1411" t="s">
        <v>73</v>
      </c>
      <c r="D1411" t="s">
        <v>74</v>
      </c>
      <c r="E1411" t="s">
        <v>79</v>
      </c>
      <c r="F1411" s="55">
        <v>92</v>
      </c>
      <c r="G1411" s="63">
        <v>0.23369999999999999</v>
      </c>
    </row>
    <row r="1412" spans="1:7" x14ac:dyDescent="0.2">
      <c r="A1412" t="s">
        <v>71</v>
      </c>
      <c r="B1412" t="s">
        <v>182</v>
      </c>
      <c r="C1412" t="s">
        <v>73</v>
      </c>
      <c r="D1412" t="s">
        <v>74</v>
      </c>
      <c r="E1412" t="s">
        <v>80</v>
      </c>
      <c r="F1412" s="55">
        <v>89</v>
      </c>
      <c r="G1412" s="63">
        <v>8.1600000000000006E-2</v>
      </c>
    </row>
    <row r="1413" spans="1:7" x14ac:dyDescent="0.2">
      <c r="A1413" t="s">
        <v>71</v>
      </c>
      <c r="B1413" t="s">
        <v>182</v>
      </c>
      <c r="C1413" t="s">
        <v>73</v>
      </c>
      <c r="D1413" t="s">
        <v>74</v>
      </c>
      <c r="E1413" t="s">
        <v>81</v>
      </c>
      <c r="F1413" s="55">
        <v>87</v>
      </c>
      <c r="G1413" s="63">
        <v>8.4500000000000006E-2</v>
      </c>
    </row>
    <row r="1414" spans="1:7" x14ac:dyDescent="0.2">
      <c r="A1414" t="s">
        <v>71</v>
      </c>
      <c r="B1414" t="s">
        <v>182</v>
      </c>
      <c r="C1414" t="s">
        <v>73</v>
      </c>
      <c r="D1414" t="s">
        <v>74</v>
      </c>
      <c r="E1414" t="s">
        <v>82</v>
      </c>
      <c r="F1414" s="55">
        <v>89</v>
      </c>
      <c r="G1414" s="63">
        <v>0.1784</v>
      </c>
    </row>
    <row r="1415" spans="1:7" x14ac:dyDescent="0.2">
      <c r="A1415" t="s">
        <v>71</v>
      </c>
      <c r="B1415" t="s">
        <v>182</v>
      </c>
      <c r="C1415" t="s">
        <v>73</v>
      </c>
      <c r="D1415" t="s">
        <v>74</v>
      </c>
      <c r="E1415" t="s">
        <v>83</v>
      </c>
      <c r="F1415" s="55">
        <v>90</v>
      </c>
      <c r="G1415" s="63">
        <v>4.8099999999999997E-2</v>
      </c>
    </row>
    <row r="1416" spans="1:7" x14ac:dyDescent="0.2">
      <c r="A1416" t="s">
        <v>71</v>
      </c>
      <c r="B1416" t="s">
        <v>182</v>
      </c>
      <c r="C1416" t="s">
        <v>73</v>
      </c>
      <c r="D1416" t="s">
        <v>74</v>
      </c>
      <c r="E1416" t="s">
        <v>84</v>
      </c>
      <c r="F1416" s="55">
        <v>92</v>
      </c>
      <c r="G1416" s="63">
        <v>9.8500000000000004E-2</v>
      </c>
    </row>
    <row r="1417" spans="1:7" x14ac:dyDescent="0.2">
      <c r="A1417" t="s">
        <v>71</v>
      </c>
      <c r="B1417" t="s">
        <v>182</v>
      </c>
      <c r="C1417" t="s">
        <v>73</v>
      </c>
      <c r="D1417" t="s">
        <v>74</v>
      </c>
      <c r="E1417" t="s">
        <v>85</v>
      </c>
      <c r="F1417" s="55">
        <v>93</v>
      </c>
      <c r="G1417" s="63">
        <v>9.6299999999999997E-2</v>
      </c>
    </row>
    <row r="1418" spans="1:7" x14ac:dyDescent="0.2">
      <c r="A1418" t="s">
        <v>71</v>
      </c>
      <c r="B1418" t="s">
        <v>182</v>
      </c>
      <c r="C1418" t="s">
        <v>73</v>
      </c>
      <c r="D1418" t="s">
        <v>74</v>
      </c>
      <c r="E1418" t="s">
        <v>86</v>
      </c>
      <c r="F1418" s="55">
        <v>93</v>
      </c>
      <c r="G1418" s="63">
        <v>0.125</v>
      </c>
    </row>
    <row r="1419" spans="1:7" x14ac:dyDescent="0.2">
      <c r="A1419" t="s">
        <v>71</v>
      </c>
      <c r="B1419" t="s">
        <v>182</v>
      </c>
      <c r="C1419" t="s">
        <v>73</v>
      </c>
      <c r="D1419" t="s">
        <v>74</v>
      </c>
      <c r="E1419" t="s">
        <v>87</v>
      </c>
      <c r="F1419" s="55">
        <v>93</v>
      </c>
      <c r="G1419" s="63">
        <v>0.13420000000000001</v>
      </c>
    </row>
    <row r="1420" spans="1:7" x14ac:dyDescent="0.2">
      <c r="A1420" t="s">
        <v>71</v>
      </c>
      <c r="B1420" t="s">
        <v>182</v>
      </c>
      <c r="C1420" t="s">
        <v>73</v>
      </c>
      <c r="D1420" t="s">
        <v>74</v>
      </c>
      <c r="E1420" t="s">
        <v>88</v>
      </c>
      <c r="F1420" s="55">
        <v>92</v>
      </c>
      <c r="G1420" s="63">
        <v>9.8299999999999998E-2</v>
      </c>
    </row>
    <row r="1421" spans="1:7" x14ac:dyDescent="0.2">
      <c r="A1421" t="s">
        <v>89</v>
      </c>
      <c r="B1421" t="s">
        <v>183</v>
      </c>
      <c r="C1421" t="s">
        <v>73</v>
      </c>
      <c r="D1421" t="s">
        <v>74</v>
      </c>
      <c r="E1421" t="s">
        <v>75</v>
      </c>
      <c r="F1421" s="55">
        <v>95</v>
      </c>
      <c r="G1421" s="63">
        <v>0.1242</v>
      </c>
    </row>
    <row r="1422" spans="1:7" x14ac:dyDescent="0.2">
      <c r="A1422" t="s">
        <v>89</v>
      </c>
      <c r="B1422" t="s">
        <v>183</v>
      </c>
      <c r="C1422" t="s">
        <v>73</v>
      </c>
      <c r="D1422" t="s">
        <v>74</v>
      </c>
      <c r="E1422" t="s">
        <v>76</v>
      </c>
      <c r="F1422" s="55">
        <v>90</v>
      </c>
      <c r="G1422" s="63">
        <v>2.06E-2</v>
      </c>
    </row>
    <row r="1423" spans="1:7" x14ac:dyDescent="0.2">
      <c r="A1423" t="s">
        <v>89</v>
      </c>
      <c r="B1423" t="s">
        <v>183</v>
      </c>
      <c r="C1423" t="s">
        <v>73</v>
      </c>
      <c r="D1423" t="s">
        <v>74</v>
      </c>
      <c r="E1423" t="s">
        <v>77</v>
      </c>
      <c r="F1423" s="55">
        <v>97</v>
      </c>
      <c r="G1423" s="63">
        <v>4.8899999999999999E-2</v>
      </c>
    </row>
    <row r="1424" spans="1:7" x14ac:dyDescent="0.2">
      <c r="A1424" t="s">
        <v>89</v>
      </c>
      <c r="B1424" t="s">
        <v>183</v>
      </c>
      <c r="C1424" t="s">
        <v>73</v>
      </c>
      <c r="D1424" t="s">
        <v>74</v>
      </c>
      <c r="E1424" t="s">
        <v>78</v>
      </c>
      <c r="F1424" s="55">
        <v>97</v>
      </c>
      <c r="G1424" s="63">
        <v>3.6799999999999999E-2</v>
      </c>
    </row>
    <row r="1425" spans="1:7" x14ac:dyDescent="0.2">
      <c r="A1425" t="s">
        <v>89</v>
      </c>
      <c r="B1425" t="s">
        <v>183</v>
      </c>
      <c r="C1425" t="s">
        <v>73</v>
      </c>
      <c r="D1425" t="s">
        <v>74</v>
      </c>
      <c r="E1425" t="s">
        <v>79</v>
      </c>
      <c r="F1425" s="55">
        <v>93</v>
      </c>
      <c r="G1425" s="63">
        <v>7.7799999999999994E-2</v>
      </c>
    </row>
    <row r="1426" spans="1:7" x14ac:dyDescent="0.2">
      <c r="A1426" t="s">
        <v>89</v>
      </c>
      <c r="B1426" t="s">
        <v>183</v>
      </c>
      <c r="C1426" t="s">
        <v>73</v>
      </c>
      <c r="D1426" t="s">
        <v>74</v>
      </c>
      <c r="E1426" t="s">
        <v>80</v>
      </c>
      <c r="F1426" s="55">
        <v>97</v>
      </c>
      <c r="G1426" s="63">
        <v>2.1999999999999999E-2</v>
      </c>
    </row>
    <row r="1427" spans="1:7" x14ac:dyDescent="0.2">
      <c r="A1427" t="s">
        <v>89</v>
      </c>
      <c r="B1427" t="s">
        <v>183</v>
      </c>
      <c r="C1427" t="s">
        <v>73</v>
      </c>
      <c r="D1427" t="s">
        <v>74</v>
      </c>
      <c r="E1427" t="s">
        <v>81</v>
      </c>
      <c r="F1427" s="55">
        <v>97</v>
      </c>
      <c r="G1427" s="63">
        <v>2.5700000000000001E-2</v>
      </c>
    </row>
    <row r="1428" spans="1:7" x14ac:dyDescent="0.2">
      <c r="A1428" t="s">
        <v>89</v>
      </c>
      <c r="B1428" t="s">
        <v>183</v>
      </c>
      <c r="C1428" t="s">
        <v>73</v>
      </c>
      <c r="D1428" t="s">
        <v>74</v>
      </c>
      <c r="E1428" t="s">
        <v>82</v>
      </c>
      <c r="F1428" s="55">
        <v>92</v>
      </c>
      <c r="G1428" s="63">
        <v>6.7799999999999999E-2</v>
      </c>
    </row>
    <row r="1429" spans="1:7" x14ac:dyDescent="0.2">
      <c r="A1429" t="s">
        <v>89</v>
      </c>
      <c r="B1429" t="s">
        <v>183</v>
      </c>
      <c r="C1429" t="s">
        <v>73</v>
      </c>
      <c r="D1429" t="s">
        <v>74</v>
      </c>
      <c r="E1429" t="s">
        <v>83</v>
      </c>
      <c r="F1429" s="55">
        <v>92</v>
      </c>
      <c r="G1429" s="63">
        <v>1.2999999999999999E-2</v>
      </c>
    </row>
    <row r="1430" spans="1:7" x14ac:dyDescent="0.2">
      <c r="A1430" t="s">
        <v>89</v>
      </c>
      <c r="B1430" t="s">
        <v>183</v>
      </c>
      <c r="C1430" t="s">
        <v>73</v>
      </c>
      <c r="D1430" t="s">
        <v>74</v>
      </c>
      <c r="E1430" t="s">
        <v>84</v>
      </c>
      <c r="F1430" s="55">
        <v>98</v>
      </c>
      <c r="G1430" s="63">
        <v>3.0099999999999998E-2</v>
      </c>
    </row>
    <row r="1431" spans="1:7" x14ac:dyDescent="0.2">
      <c r="A1431" t="s">
        <v>89</v>
      </c>
      <c r="B1431" t="s">
        <v>183</v>
      </c>
      <c r="C1431" t="s">
        <v>73</v>
      </c>
      <c r="D1431" t="s">
        <v>74</v>
      </c>
      <c r="E1431" t="s">
        <v>85</v>
      </c>
      <c r="F1431" s="55">
        <v>93</v>
      </c>
      <c r="G1431" s="63">
        <v>2.4299999999999999E-2</v>
      </c>
    </row>
    <row r="1432" spans="1:7" x14ac:dyDescent="0.2">
      <c r="A1432" t="s">
        <v>89</v>
      </c>
      <c r="B1432" t="s">
        <v>183</v>
      </c>
      <c r="C1432" t="s">
        <v>73</v>
      </c>
      <c r="D1432" t="s">
        <v>74</v>
      </c>
      <c r="E1432" t="s">
        <v>86</v>
      </c>
      <c r="F1432" s="55">
        <v>93</v>
      </c>
      <c r="G1432" s="63">
        <v>3.1600000000000003E-2</v>
      </c>
    </row>
    <row r="1433" spans="1:7" x14ac:dyDescent="0.2">
      <c r="A1433" t="s">
        <v>89</v>
      </c>
      <c r="B1433" t="s">
        <v>183</v>
      </c>
      <c r="C1433" t="s">
        <v>73</v>
      </c>
      <c r="D1433" t="s">
        <v>74</v>
      </c>
      <c r="E1433" t="s">
        <v>87</v>
      </c>
      <c r="F1433" s="55">
        <v>95</v>
      </c>
      <c r="G1433" s="63">
        <v>3.78E-2</v>
      </c>
    </row>
    <row r="1434" spans="1:7" x14ac:dyDescent="0.2">
      <c r="A1434" t="s">
        <v>89</v>
      </c>
      <c r="B1434" t="s">
        <v>183</v>
      </c>
      <c r="C1434" t="s">
        <v>73</v>
      </c>
      <c r="D1434" t="s">
        <v>74</v>
      </c>
      <c r="E1434" t="s">
        <v>88</v>
      </c>
      <c r="F1434" s="55">
        <v>90</v>
      </c>
      <c r="G1434" s="63">
        <v>3.1099999999999999E-2</v>
      </c>
    </row>
    <row r="1435" spans="1:7" x14ac:dyDescent="0.2">
      <c r="A1435" t="s">
        <v>71</v>
      </c>
      <c r="B1435" t="s">
        <v>184</v>
      </c>
      <c r="C1435" t="s">
        <v>73</v>
      </c>
      <c r="D1435" t="s">
        <v>74</v>
      </c>
      <c r="E1435" t="s">
        <v>75</v>
      </c>
      <c r="F1435" s="55">
        <v>111</v>
      </c>
      <c r="G1435" s="63">
        <v>0.40329999999999999</v>
      </c>
    </row>
    <row r="1436" spans="1:7" x14ac:dyDescent="0.2">
      <c r="A1436" t="s">
        <v>71</v>
      </c>
      <c r="B1436" t="s">
        <v>184</v>
      </c>
      <c r="C1436" t="s">
        <v>73</v>
      </c>
      <c r="D1436" t="s">
        <v>74</v>
      </c>
      <c r="E1436" t="s">
        <v>76</v>
      </c>
      <c r="F1436" s="55">
        <v>114</v>
      </c>
      <c r="G1436" s="63">
        <v>0.11509999999999999</v>
      </c>
    </row>
    <row r="1437" spans="1:7" x14ac:dyDescent="0.2">
      <c r="A1437" t="s">
        <v>71</v>
      </c>
      <c r="B1437" t="s">
        <v>184</v>
      </c>
      <c r="C1437" t="s">
        <v>73</v>
      </c>
      <c r="D1437" t="s">
        <v>74</v>
      </c>
      <c r="E1437" t="s">
        <v>77</v>
      </c>
      <c r="F1437" s="55">
        <v>111</v>
      </c>
      <c r="G1437" s="63">
        <v>0.20039999999999999</v>
      </c>
    </row>
    <row r="1438" spans="1:7" x14ac:dyDescent="0.2">
      <c r="A1438" t="s">
        <v>71</v>
      </c>
      <c r="B1438" t="s">
        <v>184</v>
      </c>
      <c r="C1438" t="s">
        <v>73</v>
      </c>
      <c r="D1438" t="s">
        <v>74</v>
      </c>
      <c r="E1438" t="s">
        <v>78</v>
      </c>
      <c r="F1438" s="55">
        <v>111</v>
      </c>
      <c r="G1438" s="63">
        <v>0.14499999999999999</v>
      </c>
    </row>
    <row r="1439" spans="1:7" x14ac:dyDescent="0.2">
      <c r="A1439" t="s">
        <v>71</v>
      </c>
      <c r="B1439" t="s">
        <v>184</v>
      </c>
      <c r="C1439" t="s">
        <v>73</v>
      </c>
      <c r="D1439" t="s">
        <v>74</v>
      </c>
      <c r="E1439" t="s">
        <v>79</v>
      </c>
      <c r="F1439" s="55">
        <v>113</v>
      </c>
      <c r="G1439" s="63">
        <v>0.27679999999999999</v>
      </c>
    </row>
    <row r="1440" spans="1:7" x14ac:dyDescent="0.2">
      <c r="A1440" t="s">
        <v>71</v>
      </c>
      <c r="B1440" t="s">
        <v>184</v>
      </c>
      <c r="C1440" t="s">
        <v>73</v>
      </c>
      <c r="D1440" t="s">
        <v>74</v>
      </c>
      <c r="E1440" t="s">
        <v>80</v>
      </c>
      <c r="F1440" s="55">
        <v>105</v>
      </c>
      <c r="G1440" s="63">
        <v>9.0300000000000005E-2</v>
      </c>
    </row>
    <row r="1441" spans="1:7" x14ac:dyDescent="0.2">
      <c r="A1441" t="s">
        <v>71</v>
      </c>
      <c r="B1441" t="s">
        <v>184</v>
      </c>
      <c r="C1441" t="s">
        <v>73</v>
      </c>
      <c r="D1441" t="s">
        <v>74</v>
      </c>
      <c r="E1441" t="s">
        <v>81</v>
      </c>
      <c r="F1441" s="55">
        <v>106</v>
      </c>
      <c r="G1441" s="63">
        <v>0.1116</v>
      </c>
    </row>
    <row r="1442" spans="1:7" x14ac:dyDescent="0.2">
      <c r="A1442" t="s">
        <v>71</v>
      </c>
      <c r="B1442" t="s">
        <v>184</v>
      </c>
      <c r="C1442" t="s">
        <v>73</v>
      </c>
      <c r="D1442" t="s">
        <v>74</v>
      </c>
      <c r="E1442" t="s">
        <v>82</v>
      </c>
      <c r="F1442" s="55">
        <v>109</v>
      </c>
      <c r="G1442" s="63">
        <v>0.25119999999999998</v>
      </c>
    </row>
    <row r="1443" spans="1:7" x14ac:dyDescent="0.2">
      <c r="A1443" t="s">
        <v>71</v>
      </c>
      <c r="B1443" t="s">
        <v>184</v>
      </c>
      <c r="C1443" t="s">
        <v>73</v>
      </c>
      <c r="D1443" t="s">
        <v>74</v>
      </c>
      <c r="E1443" t="s">
        <v>83</v>
      </c>
      <c r="F1443" s="55">
        <v>113</v>
      </c>
      <c r="G1443" s="63">
        <v>7.3999999999999996E-2</v>
      </c>
    </row>
    <row r="1444" spans="1:7" x14ac:dyDescent="0.2">
      <c r="A1444" t="s">
        <v>71</v>
      </c>
      <c r="B1444" t="s">
        <v>184</v>
      </c>
      <c r="C1444" t="s">
        <v>73</v>
      </c>
      <c r="D1444" t="s">
        <v>74</v>
      </c>
      <c r="E1444" t="s">
        <v>84</v>
      </c>
      <c r="F1444" s="55">
        <v>111</v>
      </c>
      <c r="G1444" s="63">
        <v>0.12089999999999999</v>
      </c>
    </row>
    <row r="1445" spans="1:7" x14ac:dyDescent="0.2">
      <c r="A1445" t="s">
        <v>71</v>
      </c>
      <c r="B1445" t="s">
        <v>184</v>
      </c>
      <c r="C1445" t="s">
        <v>73</v>
      </c>
      <c r="D1445" t="s">
        <v>74</v>
      </c>
      <c r="E1445" t="s">
        <v>85</v>
      </c>
      <c r="F1445" s="55">
        <v>115</v>
      </c>
      <c r="G1445" s="63">
        <v>0.1032</v>
      </c>
    </row>
    <row r="1446" spans="1:7" x14ac:dyDescent="0.2">
      <c r="A1446" t="s">
        <v>71</v>
      </c>
      <c r="B1446" t="s">
        <v>184</v>
      </c>
      <c r="C1446" t="s">
        <v>73</v>
      </c>
      <c r="D1446" t="s">
        <v>74</v>
      </c>
      <c r="E1446" t="s">
        <v>86</v>
      </c>
      <c r="F1446" s="55">
        <v>114</v>
      </c>
      <c r="G1446" s="63">
        <v>0.1313</v>
      </c>
    </row>
    <row r="1447" spans="1:7" x14ac:dyDescent="0.2">
      <c r="A1447" t="s">
        <v>71</v>
      </c>
      <c r="B1447" t="s">
        <v>184</v>
      </c>
      <c r="C1447" t="s">
        <v>73</v>
      </c>
      <c r="D1447" t="s">
        <v>74</v>
      </c>
      <c r="E1447" t="s">
        <v>87</v>
      </c>
      <c r="F1447" s="55">
        <v>113</v>
      </c>
      <c r="G1447" s="63">
        <v>0.1474</v>
      </c>
    </row>
    <row r="1448" spans="1:7" x14ac:dyDescent="0.2">
      <c r="A1448" t="s">
        <v>71</v>
      </c>
      <c r="B1448" t="s">
        <v>184</v>
      </c>
      <c r="C1448" t="s">
        <v>73</v>
      </c>
      <c r="D1448" t="s">
        <v>74</v>
      </c>
      <c r="E1448" t="s">
        <v>88</v>
      </c>
      <c r="F1448" s="55">
        <v>112</v>
      </c>
      <c r="G1448" s="63">
        <v>0.15479999999999999</v>
      </c>
    </row>
    <row r="1449" spans="1:7" x14ac:dyDescent="0.2">
      <c r="A1449" t="s">
        <v>89</v>
      </c>
      <c r="B1449" t="s">
        <v>185</v>
      </c>
      <c r="C1449" t="s">
        <v>73</v>
      </c>
      <c r="D1449" t="s">
        <v>74</v>
      </c>
      <c r="E1449" t="s">
        <v>75</v>
      </c>
      <c r="F1449" s="55">
        <v>15</v>
      </c>
      <c r="G1449" s="63">
        <v>9.7000000000000003E-3</v>
      </c>
    </row>
    <row r="1450" spans="1:7" x14ac:dyDescent="0.2">
      <c r="A1450" t="s">
        <v>89</v>
      </c>
      <c r="B1450" t="s">
        <v>185</v>
      </c>
      <c r="C1450" t="s">
        <v>73</v>
      </c>
      <c r="D1450" t="s">
        <v>74</v>
      </c>
      <c r="E1450" t="s">
        <v>77</v>
      </c>
      <c r="F1450" s="55">
        <v>11</v>
      </c>
      <c r="G1450" s="63">
        <v>2.3E-3</v>
      </c>
    </row>
    <row r="1451" spans="1:7" x14ac:dyDescent="0.2">
      <c r="A1451" t="s">
        <v>89</v>
      </c>
      <c r="B1451" t="s">
        <v>185</v>
      </c>
      <c r="C1451" t="s">
        <v>73</v>
      </c>
      <c r="D1451" t="s">
        <v>74</v>
      </c>
      <c r="E1451" t="s">
        <v>79</v>
      </c>
      <c r="F1451" s="55">
        <v>19</v>
      </c>
      <c r="G1451" s="63">
        <v>3.3999999999999998E-3</v>
      </c>
    </row>
    <row r="1452" spans="1:7" x14ac:dyDescent="0.2">
      <c r="A1452" t="s">
        <v>89</v>
      </c>
      <c r="B1452" t="s">
        <v>185</v>
      </c>
      <c r="C1452" t="s">
        <v>73</v>
      </c>
      <c r="D1452" t="s">
        <v>74</v>
      </c>
      <c r="E1452" t="s">
        <v>82</v>
      </c>
      <c r="F1452" s="55">
        <v>16</v>
      </c>
      <c r="G1452" s="63">
        <v>2.2000000000000001E-3</v>
      </c>
    </row>
    <row r="1453" spans="1:7" x14ac:dyDescent="0.2">
      <c r="A1453" t="s">
        <v>71</v>
      </c>
      <c r="B1453" t="s">
        <v>186</v>
      </c>
      <c r="C1453" t="s">
        <v>73</v>
      </c>
      <c r="D1453" t="s">
        <v>74</v>
      </c>
      <c r="E1453" t="s">
        <v>75</v>
      </c>
      <c r="F1453" s="55">
        <v>104</v>
      </c>
      <c r="G1453" s="63">
        <v>0.22370000000000001</v>
      </c>
    </row>
    <row r="1454" spans="1:7" x14ac:dyDescent="0.2">
      <c r="A1454" t="s">
        <v>71</v>
      </c>
      <c r="B1454" t="s">
        <v>186</v>
      </c>
      <c r="C1454" t="s">
        <v>73</v>
      </c>
      <c r="D1454" t="s">
        <v>74</v>
      </c>
      <c r="E1454" t="s">
        <v>76</v>
      </c>
      <c r="F1454" s="55">
        <v>97</v>
      </c>
      <c r="G1454" s="63">
        <v>2.7400000000000001E-2</v>
      </c>
    </row>
    <row r="1455" spans="1:7" x14ac:dyDescent="0.2">
      <c r="A1455" t="s">
        <v>71</v>
      </c>
      <c r="B1455" t="s">
        <v>186</v>
      </c>
      <c r="C1455" t="s">
        <v>73</v>
      </c>
      <c r="D1455" t="s">
        <v>74</v>
      </c>
      <c r="E1455" t="s">
        <v>77</v>
      </c>
      <c r="F1455" s="55">
        <v>111</v>
      </c>
      <c r="G1455" s="63">
        <v>8.4400000000000003E-2</v>
      </c>
    </row>
    <row r="1456" spans="1:7" x14ac:dyDescent="0.2">
      <c r="A1456" t="s">
        <v>71</v>
      </c>
      <c r="B1456" t="s">
        <v>186</v>
      </c>
      <c r="C1456" t="s">
        <v>73</v>
      </c>
      <c r="D1456" t="s">
        <v>74</v>
      </c>
      <c r="E1456" t="s">
        <v>78</v>
      </c>
      <c r="F1456" s="55">
        <v>108</v>
      </c>
      <c r="G1456" s="63">
        <v>6.7500000000000004E-2</v>
      </c>
    </row>
    <row r="1457" spans="1:7" x14ac:dyDescent="0.2">
      <c r="A1457" t="s">
        <v>71</v>
      </c>
      <c r="B1457" t="s">
        <v>186</v>
      </c>
      <c r="C1457" t="s">
        <v>73</v>
      </c>
      <c r="D1457" t="s">
        <v>74</v>
      </c>
      <c r="E1457" t="s">
        <v>79</v>
      </c>
      <c r="F1457" s="55">
        <v>103</v>
      </c>
      <c r="G1457" s="63">
        <v>0.14299999999999999</v>
      </c>
    </row>
    <row r="1458" spans="1:7" x14ac:dyDescent="0.2">
      <c r="A1458" t="s">
        <v>71</v>
      </c>
      <c r="B1458" t="s">
        <v>186</v>
      </c>
      <c r="C1458" t="s">
        <v>73</v>
      </c>
      <c r="D1458" t="s">
        <v>74</v>
      </c>
      <c r="E1458" t="s">
        <v>80</v>
      </c>
      <c r="F1458" s="55">
        <v>101</v>
      </c>
      <c r="G1458" s="63">
        <v>4.0800000000000003E-2</v>
      </c>
    </row>
    <row r="1459" spans="1:7" x14ac:dyDescent="0.2">
      <c r="A1459" t="s">
        <v>71</v>
      </c>
      <c r="B1459" t="s">
        <v>186</v>
      </c>
      <c r="C1459" t="s">
        <v>73</v>
      </c>
      <c r="D1459" t="s">
        <v>74</v>
      </c>
      <c r="E1459" t="s">
        <v>81</v>
      </c>
      <c r="F1459" s="55">
        <v>98</v>
      </c>
      <c r="G1459" s="63">
        <v>4.3099999999999999E-2</v>
      </c>
    </row>
    <row r="1460" spans="1:7" x14ac:dyDescent="0.2">
      <c r="A1460" t="s">
        <v>71</v>
      </c>
      <c r="B1460" t="s">
        <v>186</v>
      </c>
      <c r="C1460" t="s">
        <v>73</v>
      </c>
      <c r="D1460" t="s">
        <v>74</v>
      </c>
      <c r="E1460" t="s">
        <v>82</v>
      </c>
      <c r="F1460" s="55">
        <v>100</v>
      </c>
      <c r="G1460" s="63">
        <v>0.10249999999999999</v>
      </c>
    </row>
    <row r="1461" spans="1:7" x14ac:dyDescent="0.2">
      <c r="A1461" t="s">
        <v>71</v>
      </c>
      <c r="B1461" t="s">
        <v>186</v>
      </c>
      <c r="C1461" t="s">
        <v>73</v>
      </c>
      <c r="D1461" t="s">
        <v>74</v>
      </c>
      <c r="E1461" t="s">
        <v>83</v>
      </c>
      <c r="F1461" s="55">
        <v>103</v>
      </c>
      <c r="G1461" s="63">
        <v>1.9800000000000002E-2</v>
      </c>
    </row>
    <row r="1462" spans="1:7" x14ac:dyDescent="0.2">
      <c r="A1462" t="s">
        <v>71</v>
      </c>
      <c r="B1462" t="s">
        <v>186</v>
      </c>
      <c r="C1462" t="s">
        <v>73</v>
      </c>
      <c r="D1462" t="s">
        <v>74</v>
      </c>
      <c r="E1462" t="s">
        <v>84</v>
      </c>
      <c r="F1462" s="55">
        <v>111</v>
      </c>
      <c r="G1462" s="63">
        <v>5.0999999999999997E-2</v>
      </c>
    </row>
    <row r="1463" spans="1:7" x14ac:dyDescent="0.2">
      <c r="A1463" t="s">
        <v>71</v>
      </c>
      <c r="B1463" t="s">
        <v>186</v>
      </c>
      <c r="C1463" t="s">
        <v>73</v>
      </c>
      <c r="D1463" t="s">
        <v>74</v>
      </c>
      <c r="E1463" t="s">
        <v>85</v>
      </c>
      <c r="F1463" s="55">
        <v>102</v>
      </c>
      <c r="G1463" s="63">
        <v>4.3799999999999999E-2</v>
      </c>
    </row>
    <row r="1464" spans="1:7" x14ac:dyDescent="0.2">
      <c r="A1464" t="s">
        <v>71</v>
      </c>
      <c r="B1464" t="s">
        <v>186</v>
      </c>
      <c r="C1464" t="s">
        <v>73</v>
      </c>
      <c r="D1464" t="s">
        <v>74</v>
      </c>
      <c r="E1464" t="s">
        <v>86</v>
      </c>
      <c r="F1464" s="55">
        <v>104</v>
      </c>
      <c r="G1464" s="63">
        <v>5.8400000000000001E-2</v>
      </c>
    </row>
    <row r="1465" spans="1:7" x14ac:dyDescent="0.2">
      <c r="A1465" t="s">
        <v>71</v>
      </c>
      <c r="B1465" t="s">
        <v>186</v>
      </c>
      <c r="C1465" t="s">
        <v>73</v>
      </c>
      <c r="D1465" t="s">
        <v>74</v>
      </c>
      <c r="E1465" t="s">
        <v>87</v>
      </c>
      <c r="F1465" s="55">
        <v>106</v>
      </c>
      <c r="G1465" s="63">
        <v>7.0300000000000001E-2</v>
      </c>
    </row>
    <row r="1466" spans="1:7" x14ac:dyDescent="0.2">
      <c r="A1466" t="s">
        <v>71</v>
      </c>
      <c r="B1466" t="s">
        <v>186</v>
      </c>
      <c r="C1466" t="s">
        <v>73</v>
      </c>
      <c r="D1466" t="s">
        <v>74</v>
      </c>
      <c r="E1466" t="s">
        <v>88</v>
      </c>
      <c r="F1466" s="55">
        <v>96</v>
      </c>
      <c r="G1466" s="63">
        <v>4.3799999999999999E-2</v>
      </c>
    </row>
    <row r="1467" spans="1:7" x14ac:dyDescent="0.2">
      <c r="A1467" t="s">
        <v>71</v>
      </c>
      <c r="B1467" t="s">
        <v>187</v>
      </c>
      <c r="C1467" t="s">
        <v>73</v>
      </c>
      <c r="D1467" t="s">
        <v>74</v>
      </c>
      <c r="E1467" t="s">
        <v>75</v>
      </c>
      <c r="F1467" s="55">
        <v>90</v>
      </c>
      <c r="G1467" s="63">
        <v>0.27229999999999999</v>
      </c>
    </row>
    <row r="1468" spans="1:7" x14ac:dyDescent="0.2">
      <c r="A1468" t="s">
        <v>71</v>
      </c>
      <c r="B1468" t="s">
        <v>187</v>
      </c>
      <c r="C1468" t="s">
        <v>73</v>
      </c>
      <c r="D1468" t="s">
        <v>74</v>
      </c>
      <c r="E1468" t="s">
        <v>76</v>
      </c>
      <c r="F1468" s="55">
        <v>96</v>
      </c>
      <c r="G1468" s="63">
        <v>2.24E-2</v>
      </c>
    </row>
    <row r="1469" spans="1:7" x14ac:dyDescent="0.2">
      <c r="A1469" t="s">
        <v>71</v>
      </c>
      <c r="B1469" t="s">
        <v>187</v>
      </c>
      <c r="C1469" t="s">
        <v>73</v>
      </c>
      <c r="D1469" t="s">
        <v>74</v>
      </c>
      <c r="E1469" t="s">
        <v>77</v>
      </c>
      <c r="F1469" s="55">
        <v>99</v>
      </c>
      <c r="G1469" s="63">
        <v>7.3700000000000002E-2</v>
      </c>
    </row>
    <row r="1470" spans="1:7" x14ac:dyDescent="0.2">
      <c r="A1470" t="s">
        <v>71</v>
      </c>
      <c r="B1470" t="s">
        <v>187</v>
      </c>
      <c r="C1470" t="s">
        <v>73</v>
      </c>
      <c r="D1470" t="s">
        <v>74</v>
      </c>
      <c r="E1470" t="s">
        <v>78</v>
      </c>
      <c r="F1470" s="55">
        <v>94</v>
      </c>
      <c r="G1470" s="63">
        <v>6.3899999999999998E-2</v>
      </c>
    </row>
    <row r="1471" spans="1:7" x14ac:dyDescent="0.2">
      <c r="A1471" t="s">
        <v>71</v>
      </c>
      <c r="B1471" t="s">
        <v>187</v>
      </c>
      <c r="C1471" t="s">
        <v>73</v>
      </c>
      <c r="D1471" t="s">
        <v>74</v>
      </c>
      <c r="E1471" t="s">
        <v>79</v>
      </c>
      <c r="F1471" s="55">
        <v>83</v>
      </c>
      <c r="G1471" s="63">
        <v>0.17080000000000001</v>
      </c>
    </row>
    <row r="1472" spans="1:7" x14ac:dyDescent="0.2">
      <c r="A1472" t="s">
        <v>71</v>
      </c>
      <c r="B1472" t="s">
        <v>187</v>
      </c>
      <c r="C1472" t="s">
        <v>73</v>
      </c>
      <c r="D1472" t="s">
        <v>74</v>
      </c>
      <c r="E1472" t="s">
        <v>80</v>
      </c>
      <c r="F1472" s="55">
        <v>92</v>
      </c>
      <c r="G1472" s="63">
        <v>5.0099999999999999E-2</v>
      </c>
    </row>
    <row r="1473" spans="1:7" x14ac:dyDescent="0.2">
      <c r="A1473" t="s">
        <v>71</v>
      </c>
      <c r="B1473" t="s">
        <v>187</v>
      </c>
      <c r="C1473" t="s">
        <v>73</v>
      </c>
      <c r="D1473" t="s">
        <v>74</v>
      </c>
      <c r="E1473" t="s">
        <v>81</v>
      </c>
      <c r="F1473" s="55">
        <v>94</v>
      </c>
      <c r="G1473" s="63">
        <v>5.0200000000000002E-2</v>
      </c>
    </row>
    <row r="1474" spans="1:7" x14ac:dyDescent="0.2">
      <c r="A1474" t="s">
        <v>71</v>
      </c>
      <c r="B1474" t="s">
        <v>187</v>
      </c>
      <c r="C1474" t="s">
        <v>73</v>
      </c>
      <c r="D1474" t="s">
        <v>74</v>
      </c>
      <c r="E1474" t="s">
        <v>82</v>
      </c>
      <c r="F1474" s="55">
        <v>91</v>
      </c>
      <c r="G1474" s="63">
        <v>0.12939999999999999</v>
      </c>
    </row>
    <row r="1475" spans="1:7" x14ac:dyDescent="0.2">
      <c r="A1475" t="s">
        <v>71</v>
      </c>
      <c r="B1475" t="s">
        <v>187</v>
      </c>
      <c r="C1475" t="s">
        <v>73</v>
      </c>
      <c r="D1475" t="s">
        <v>74</v>
      </c>
      <c r="E1475" t="s">
        <v>83</v>
      </c>
      <c r="F1475" s="55">
        <v>83</v>
      </c>
      <c r="G1475" s="63">
        <v>1.6500000000000001E-2</v>
      </c>
    </row>
    <row r="1476" spans="1:7" x14ac:dyDescent="0.2">
      <c r="A1476" t="s">
        <v>71</v>
      </c>
      <c r="B1476" t="s">
        <v>187</v>
      </c>
      <c r="C1476" t="s">
        <v>73</v>
      </c>
      <c r="D1476" t="s">
        <v>74</v>
      </c>
      <c r="E1476" t="s">
        <v>84</v>
      </c>
      <c r="F1476" s="55">
        <v>94</v>
      </c>
      <c r="G1476" s="63">
        <v>4.7899999999999998E-2</v>
      </c>
    </row>
    <row r="1477" spans="1:7" x14ac:dyDescent="0.2">
      <c r="A1477" t="s">
        <v>71</v>
      </c>
      <c r="B1477" t="s">
        <v>187</v>
      </c>
      <c r="C1477" t="s">
        <v>73</v>
      </c>
      <c r="D1477" t="s">
        <v>74</v>
      </c>
      <c r="E1477" t="s">
        <v>85</v>
      </c>
      <c r="F1477" s="55">
        <v>83</v>
      </c>
      <c r="G1477" s="63">
        <v>5.1900000000000002E-2</v>
      </c>
    </row>
    <row r="1478" spans="1:7" x14ac:dyDescent="0.2">
      <c r="A1478" t="s">
        <v>71</v>
      </c>
      <c r="B1478" t="s">
        <v>187</v>
      </c>
      <c r="C1478" t="s">
        <v>73</v>
      </c>
      <c r="D1478" t="s">
        <v>74</v>
      </c>
      <c r="E1478" t="s">
        <v>86</v>
      </c>
      <c r="F1478" s="55">
        <v>82</v>
      </c>
      <c r="G1478" s="63">
        <v>6.6299999999999998E-2</v>
      </c>
    </row>
    <row r="1479" spans="1:7" x14ac:dyDescent="0.2">
      <c r="A1479" t="s">
        <v>71</v>
      </c>
      <c r="B1479" t="s">
        <v>187</v>
      </c>
      <c r="C1479" t="s">
        <v>73</v>
      </c>
      <c r="D1479" t="s">
        <v>74</v>
      </c>
      <c r="E1479" t="s">
        <v>87</v>
      </c>
      <c r="F1479" s="55">
        <v>84</v>
      </c>
      <c r="G1479" s="63">
        <v>7.1900000000000006E-2</v>
      </c>
    </row>
    <row r="1480" spans="1:7" x14ac:dyDescent="0.2">
      <c r="A1480" t="s">
        <v>71</v>
      </c>
      <c r="B1480" t="s">
        <v>187</v>
      </c>
      <c r="C1480" t="s">
        <v>73</v>
      </c>
      <c r="D1480" t="s">
        <v>74</v>
      </c>
      <c r="E1480" t="s">
        <v>88</v>
      </c>
      <c r="F1480" s="55">
        <v>99</v>
      </c>
      <c r="G1480" s="63">
        <v>4.3400000000000001E-2</v>
      </c>
    </row>
    <row r="1481" spans="1:7" x14ac:dyDescent="0.2">
      <c r="A1481" t="s">
        <v>89</v>
      </c>
      <c r="B1481" t="s">
        <v>188</v>
      </c>
      <c r="C1481" t="s">
        <v>73</v>
      </c>
      <c r="D1481" t="s">
        <v>74</v>
      </c>
      <c r="E1481" t="s">
        <v>75</v>
      </c>
      <c r="F1481" s="55">
        <v>19</v>
      </c>
      <c r="G1481" s="63">
        <v>2.2000000000000001E-3</v>
      </c>
    </row>
    <row r="1482" spans="1:7" x14ac:dyDescent="0.2">
      <c r="A1482" t="s">
        <v>71</v>
      </c>
      <c r="B1482" t="s">
        <v>19</v>
      </c>
      <c r="C1482" t="s">
        <v>73</v>
      </c>
      <c r="D1482" t="s">
        <v>74</v>
      </c>
      <c r="E1482" t="s">
        <v>75</v>
      </c>
      <c r="F1482" s="55">
        <v>89</v>
      </c>
      <c r="G1482" s="63">
        <v>0.4264</v>
      </c>
    </row>
    <row r="1483" spans="1:7" x14ac:dyDescent="0.2">
      <c r="A1483" t="s">
        <v>71</v>
      </c>
      <c r="B1483" t="s">
        <v>19</v>
      </c>
      <c r="C1483" t="s">
        <v>73</v>
      </c>
      <c r="D1483" t="s">
        <v>74</v>
      </c>
      <c r="E1483" t="s">
        <v>76</v>
      </c>
      <c r="F1483" s="55">
        <v>91</v>
      </c>
      <c r="G1483" s="63">
        <v>5.7599999999999998E-2</v>
      </c>
    </row>
    <row r="1484" spans="1:7" x14ac:dyDescent="0.2">
      <c r="A1484" t="s">
        <v>71</v>
      </c>
      <c r="B1484" t="s">
        <v>19</v>
      </c>
      <c r="C1484" t="s">
        <v>73</v>
      </c>
      <c r="D1484" t="s">
        <v>74</v>
      </c>
      <c r="E1484" t="s">
        <v>77</v>
      </c>
      <c r="F1484" s="55">
        <v>94</v>
      </c>
      <c r="G1484" s="63">
        <v>0.1681</v>
      </c>
    </row>
    <row r="1485" spans="1:7" x14ac:dyDescent="0.2">
      <c r="A1485" t="s">
        <v>71</v>
      </c>
      <c r="B1485" t="s">
        <v>19</v>
      </c>
      <c r="C1485" t="s">
        <v>73</v>
      </c>
      <c r="D1485" t="s">
        <v>74</v>
      </c>
      <c r="E1485" t="s">
        <v>78</v>
      </c>
      <c r="F1485" s="55">
        <v>88</v>
      </c>
      <c r="G1485" s="63">
        <v>0.1555</v>
      </c>
    </row>
    <row r="1486" spans="1:7" x14ac:dyDescent="0.2">
      <c r="A1486" t="s">
        <v>71</v>
      </c>
      <c r="B1486" t="s">
        <v>19</v>
      </c>
      <c r="C1486" t="s">
        <v>73</v>
      </c>
      <c r="D1486" t="s">
        <v>74</v>
      </c>
      <c r="E1486" t="s">
        <v>79</v>
      </c>
      <c r="F1486" s="55">
        <v>88</v>
      </c>
      <c r="G1486" s="63">
        <v>0.30159999999999998</v>
      </c>
    </row>
    <row r="1487" spans="1:7" x14ac:dyDescent="0.2">
      <c r="A1487" t="s">
        <v>71</v>
      </c>
      <c r="B1487" t="s">
        <v>19</v>
      </c>
      <c r="C1487" t="s">
        <v>73</v>
      </c>
      <c r="D1487" t="s">
        <v>74</v>
      </c>
      <c r="E1487" t="s">
        <v>80</v>
      </c>
      <c r="F1487" s="55">
        <v>86</v>
      </c>
      <c r="G1487" s="63">
        <v>9.7299999999999998E-2</v>
      </c>
    </row>
    <row r="1488" spans="1:7" x14ac:dyDescent="0.2">
      <c r="A1488" t="s">
        <v>71</v>
      </c>
      <c r="B1488" t="s">
        <v>19</v>
      </c>
      <c r="C1488" t="s">
        <v>73</v>
      </c>
      <c r="D1488" t="s">
        <v>74</v>
      </c>
      <c r="E1488" t="s">
        <v>81</v>
      </c>
      <c r="F1488" s="55">
        <v>86</v>
      </c>
      <c r="G1488" s="63">
        <v>0.1047</v>
      </c>
    </row>
    <row r="1489" spans="1:7" x14ac:dyDescent="0.2">
      <c r="A1489" t="s">
        <v>71</v>
      </c>
      <c r="B1489" t="s">
        <v>19</v>
      </c>
      <c r="C1489" t="s">
        <v>73</v>
      </c>
      <c r="D1489" t="s">
        <v>74</v>
      </c>
      <c r="E1489" t="s">
        <v>82</v>
      </c>
      <c r="F1489" s="55">
        <v>90</v>
      </c>
      <c r="G1489" s="63">
        <v>0.22639999999999999</v>
      </c>
    </row>
    <row r="1490" spans="1:7" x14ac:dyDescent="0.2">
      <c r="A1490" t="s">
        <v>71</v>
      </c>
      <c r="B1490" t="s">
        <v>19</v>
      </c>
      <c r="C1490" t="s">
        <v>73</v>
      </c>
      <c r="D1490" t="s">
        <v>74</v>
      </c>
      <c r="E1490" t="s">
        <v>83</v>
      </c>
      <c r="F1490" s="55">
        <v>85</v>
      </c>
      <c r="G1490" s="63">
        <v>4.82E-2</v>
      </c>
    </row>
    <row r="1491" spans="1:7" x14ac:dyDescent="0.2">
      <c r="A1491" t="s">
        <v>71</v>
      </c>
      <c r="B1491" t="s">
        <v>19</v>
      </c>
      <c r="C1491" t="s">
        <v>73</v>
      </c>
      <c r="D1491" t="s">
        <v>74</v>
      </c>
      <c r="E1491" t="s">
        <v>84</v>
      </c>
      <c r="F1491" s="55">
        <v>88</v>
      </c>
      <c r="G1491" s="63">
        <v>0.1227</v>
      </c>
    </row>
    <row r="1492" spans="1:7" x14ac:dyDescent="0.2">
      <c r="A1492" t="s">
        <v>71</v>
      </c>
      <c r="B1492" t="s">
        <v>19</v>
      </c>
      <c r="C1492" t="s">
        <v>73</v>
      </c>
      <c r="D1492" t="s">
        <v>74</v>
      </c>
      <c r="E1492" t="s">
        <v>85</v>
      </c>
      <c r="F1492" s="55">
        <v>87</v>
      </c>
      <c r="G1492" s="63">
        <v>0.10639999999999999</v>
      </c>
    </row>
    <row r="1493" spans="1:7" x14ac:dyDescent="0.2">
      <c r="A1493" t="s">
        <v>71</v>
      </c>
      <c r="B1493" t="s">
        <v>19</v>
      </c>
      <c r="C1493" t="s">
        <v>73</v>
      </c>
      <c r="D1493" t="s">
        <v>74</v>
      </c>
      <c r="E1493" t="s">
        <v>86</v>
      </c>
      <c r="F1493" s="55">
        <v>90</v>
      </c>
      <c r="G1493" s="63">
        <v>0.14019999999999999</v>
      </c>
    </row>
    <row r="1494" spans="1:7" x14ac:dyDescent="0.2">
      <c r="A1494" t="s">
        <v>71</v>
      </c>
      <c r="B1494" t="s">
        <v>19</v>
      </c>
      <c r="C1494" t="s">
        <v>73</v>
      </c>
      <c r="D1494" t="s">
        <v>74</v>
      </c>
      <c r="E1494" t="s">
        <v>87</v>
      </c>
      <c r="F1494" s="55">
        <v>90</v>
      </c>
      <c r="G1494" s="63">
        <v>0.15490000000000001</v>
      </c>
    </row>
    <row r="1495" spans="1:7" x14ac:dyDescent="0.2">
      <c r="A1495" t="s">
        <v>71</v>
      </c>
      <c r="B1495" t="s">
        <v>19</v>
      </c>
      <c r="C1495" t="s">
        <v>73</v>
      </c>
      <c r="D1495" t="s">
        <v>74</v>
      </c>
      <c r="E1495" t="s">
        <v>88</v>
      </c>
      <c r="F1495" s="55">
        <v>90</v>
      </c>
      <c r="G1495" s="63">
        <v>9.6600000000000005E-2</v>
      </c>
    </row>
    <row r="1496" spans="1:7" x14ac:dyDescent="0.2">
      <c r="A1496" t="s">
        <v>71</v>
      </c>
      <c r="B1496" t="s">
        <v>189</v>
      </c>
      <c r="C1496" t="s">
        <v>73</v>
      </c>
      <c r="D1496" t="s">
        <v>74</v>
      </c>
      <c r="E1496" t="s">
        <v>75</v>
      </c>
      <c r="F1496" s="55">
        <v>70</v>
      </c>
      <c r="G1496" s="63">
        <v>0.19539999999999999</v>
      </c>
    </row>
    <row r="1497" spans="1:7" x14ac:dyDescent="0.2">
      <c r="A1497" t="s">
        <v>71</v>
      </c>
      <c r="B1497" t="s">
        <v>189</v>
      </c>
      <c r="C1497" t="s">
        <v>73</v>
      </c>
      <c r="D1497" t="s">
        <v>74</v>
      </c>
      <c r="E1497" t="s">
        <v>76</v>
      </c>
      <c r="F1497" s="55">
        <v>66</v>
      </c>
      <c r="G1497" s="63">
        <v>2.8000000000000001E-2</v>
      </c>
    </row>
    <row r="1498" spans="1:7" x14ac:dyDescent="0.2">
      <c r="A1498" t="s">
        <v>71</v>
      </c>
      <c r="B1498" t="s">
        <v>189</v>
      </c>
      <c r="C1498" t="s">
        <v>73</v>
      </c>
      <c r="D1498" t="s">
        <v>74</v>
      </c>
      <c r="E1498" t="s">
        <v>77</v>
      </c>
      <c r="F1498" s="55">
        <v>62</v>
      </c>
      <c r="G1498" s="63">
        <v>6.9699999999999998E-2</v>
      </c>
    </row>
    <row r="1499" spans="1:7" x14ac:dyDescent="0.2">
      <c r="A1499" t="s">
        <v>71</v>
      </c>
      <c r="B1499" t="s">
        <v>189</v>
      </c>
      <c r="C1499" t="s">
        <v>73</v>
      </c>
      <c r="D1499" t="s">
        <v>74</v>
      </c>
      <c r="E1499" t="s">
        <v>78</v>
      </c>
      <c r="F1499" s="55">
        <v>77</v>
      </c>
      <c r="G1499" s="63">
        <v>5.8599999999999999E-2</v>
      </c>
    </row>
    <row r="1500" spans="1:7" x14ac:dyDescent="0.2">
      <c r="A1500" t="s">
        <v>71</v>
      </c>
      <c r="B1500" t="s">
        <v>189</v>
      </c>
      <c r="C1500" t="s">
        <v>73</v>
      </c>
      <c r="D1500" t="s">
        <v>74</v>
      </c>
      <c r="E1500" t="s">
        <v>79</v>
      </c>
      <c r="F1500" s="55">
        <v>72</v>
      </c>
      <c r="G1500" s="63">
        <v>0.13869999999999999</v>
      </c>
    </row>
    <row r="1501" spans="1:7" x14ac:dyDescent="0.2">
      <c r="A1501" t="s">
        <v>71</v>
      </c>
      <c r="B1501" t="s">
        <v>189</v>
      </c>
      <c r="C1501" t="s">
        <v>73</v>
      </c>
      <c r="D1501" t="s">
        <v>74</v>
      </c>
      <c r="E1501" t="s">
        <v>80</v>
      </c>
      <c r="F1501" s="55">
        <v>72</v>
      </c>
      <c r="G1501" s="63">
        <v>5.21E-2</v>
      </c>
    </row>
    <row r="1502" spans="1:7" x14ac:dyDescent="0.2">
      <c r="A1502" t="s">
        <v>71</v>
      </c>
      <c r="B1502" t="s">
        <v>189</v>
      </c>
      <c r="C1502" t="s">
        <v>73</v>
      </c>
      <c r="D1502" t="s">
        <v>74</v>
      </c>
      <c r="E1502" t="s">
        <v>81</v>
      </c>
      <c r="F1502" s="55">
        <v>70</v>
      </c>
      <c r="G1502" s="63">
        <v>5.16E-2</v>
      </c>
    </row>
    <row r="1503" spans="1:7" x14ac:dyDescent="0.2">
      <c r="A1503" t="s">
        <v>71</v>
      </c>
      <c r="B1503" t="s">
        <v>189</v>
      </c>
      <c r="C1503" t="s">
        <v>73</v>
      </c>
      <c r="D1503" t="s">
        <v>74</v>
      </c>
      <c r="E1503" t="s">
        <v>82</v>
      </c>
      <c r="F1503" s="55">
        <v>74</v>
      </c>
      <c r="G1503" s="63">
        <v>0.1036</v>
      </c>
    </row>
    <row r="1504" spans="1:7" x14ac:dyDescent="0.2">
      <c r="A1504" t="s">
        <v>71</v>
      </c>
      <c r="B1504" t="s">
        <v>189</v>
      </c>
      <c r="C1504" t="s">
        <v>73</v>
      </c>
      <c r="D1504" t="s">
        <v>74</v>
      </c>
      <c r="E1504" t="s">
        <v>83</v>
      </c>
      <c r="F1504" s="55">
        <v>67</v>
      </c>
      <c r="G1504" s="63">
        <v>2.2599999999999999E-2</v>
      </c>
    </row>
    <row r="1505" spans="1:7" x14ac:dyDescent="0.2">
      <c r="A1505" t="s">
        <v>71</v>
      </c>
      <c r="B1505" t="s">
        <v>189</v>
      </c>
      <c r="C1505" t="s">
        <v>73</v>
      </c>
      <c r="D1505" t="s">
        <v>74</v>
      </c>
      <c r="E1505" t="s">
        <v>84</v>
      </c>
      <c r="F1505" s="55">
        <v>78</v>
      </c>
      <c r="G1505" s="63">
        <v>4.4499999999999998E-2</v>
      </c>
    </row>
    <row r="1506" spans="1:7" x14ac:dyDescent="0.2">
      <c r="A1506" t="s">
        <v>71</v>
      </c>
      <c r="B1506" t="s">
        <v>189</v>
      </c>
      <c r="C1506" t="s">
        <v>73</v>
      </c>
      <c r="D1506" t="s">
        <v>74</v>
      </c>
      <c r="E1506" t="s">
        <v>85</v>
      </c>
      <c r="F1506" s="55">
        <v>72</v>
      </c>
      <c r="G1506" s="63">
        <v>5.7299999999999997E-2</v>
      </c>
    </row>
    <row r="1507" spans="1:7" x14ac:dyDescent="0.2">
      <c r="A1507" t="s">
        <v>71</v>
      </c>
      <c r="B1507" t="s">
        <v>189</v>
      </c>
      <c r="C1507" t="s">
        <v>73</v>
      </c>
      <c r="D1507" t="s">
        <v>74</v>
      </c>
      <c r="E1507" t="s">
        <v>86</v>
      </c>
      <c r="F1507" s="55">
        <v>70</v>
      </c>
      <c r="G1507" s="63">
        <v>6.9699999999999998E-2</v>
      </c>
    </row>
    <row r="1508" spans="1:7" x14ac:dyDescent="0.2">
      <c r="A1508" t="s">
        <v>71</v>
      </c>
      <c r="B1508" t="s">
        <v>189</v>
      </c>
      <c r="C1508" t="s">
        <v>73</v>
      </c>
      <c r="D1508" t="s">
        <v>74</v>
      </c>
      <c r="E1508" t="s">
        <v>87</v>
      </c>
      <c r="F1508" s="55">
        <v>72</v>
      </c>
      <c r="G1508" s="63">
        <v>7.9100000000000004E-2</v>
      </c>
    </row>
    <row r="1509" spans="1:7" x14ac:dyDescent="0.2">
      <c r="A1509" t="s">
        <v>71</v>
      </c>
      <c r="B1509" t="s">
        <v>189</v>
      </c>
      <c r="C1509" t="s">
        <v>73</v>
      </c>
      <c r="D1509" t="s">
        <v>74</v>
      </c>
      <c r="E1509" t="s">
        <v>88</v>
      </c>
      <c r="F1509" s="55">
        <v>68</v>
      </c>
      <c r="G1509" s="63">
        <v>4.5400000000000003E-2</v>
      </c>
    </row>
    <row r="1510" spans="1:7" x14ac:dyDescent="0.2">
      <c r="A1510" t="s">
        <v>89</v>
      </c>
      <c r="B1510" t="s">
        <v>190</v>
      </c>
      <c r="C1510" t="s">
        <v>73</v>
      </c>
      <c r="D1510" t="s">
        <v>74</v>
      </c>
      <c r="E1510" t="s">
        <v>75</v>
      </c>
      <c r="F1510" s="55">
        <v>28</v>
      </c>
      <c r="G1510" s="63">
        <v>5.62E-2</v>
      </c>
    </row>
    <row r="1511" spans="1:7" x14ac:dyDescent="0.2">
      <c r="A1511" t="s">
        <v>89</v>
      </c>
      <c r="B1511" t="s">
        <v>190</v>
      </c>
      <c r="C1511" t="s">
        <v>73</v>
      </c>
      <c r="D1511" t="s">
        <v>74</v>
      </c>
      <c r="E1511" t="s">
        <v>76</v>
      </c>
      <c r="F1511" s="55">
        <v>26</v>
      </c>
      <c r="G1511" s="63">
        <v>4.4000000000000003E-3</v>
      </c>
    </row>
    <row r="1512" spans="1:7" x14ac:dyDescent="0.2">
      <c r="A1512" t="s">
        <v>89</v>
      </c>
      <c r="B1512" t="s">
        <v>190</v>
      </c>
      <c r="C1512" t="s">
        <v>73</v>
      </c>
      <c r="D1512" t="s">
        <v>74</v>
      </c>
      <c r="E1512" t="s">
        <v>77</v>
      </c>
      <c r="F1512" s="55">
        <v>21</v>
      </c>
      <c r="G1512" s="63">
        <v>1.47E-2</v>
      </c>
    </row>
    <row r="1513" spans="1:7" x14ac:dyDescent="0.2">
      <c r="A1513" t="s">
        <v>89</v>
      </c>
      <c r="B1513" t="s">
        <v>190</v>
      </c>
      <c r="C1513" t="s">
        <v>73</v>
      </c>
      <c r="D1513" t="s">
        <v>74</v>
      </c>
      <c r="E1513" t="s">
        <v>78</v>
      </c>
      <c r="F1513" s="55">
        <v>31</v>
      </c>
      <c r="G1513" s="63">
        <v>1.01E-2</v>
      </c>
    </row>
    <row r="1514" spans="1:7" x14ac:dyDescent="0.2">
      <c r="A1514" t="s">
        <v>89</v>
      </c>
      <c r="B1514" t="s">
        <v>190</v>
      </c>
      <c r="C1514" t="s">
        <v>73</v>
      </c>
      <c r="D1514" t="s">
        <v>74</v>
      </c>
      <c r="E1514" t="s">
        <v>79</v>
      </c>
      <c r="F1514" s="55">
        <v>28</v>
      </c>
      <c r="G1514" s="63">
        <v>3.0200000000000001E-2</v>
      </c>
    </row>
    <row r="1515" spans="1:7" x14ac:dyDescent="0.2">
      <c r="A1515" t="s">
        <v>89</v>
      </c>
      <c r="B1515" t="s">
        <v>190</v>
      </c>
      <c r="C1515" t="s">
        <v>73</v>
      </c>
      <c r="D1515" t="s">
        <v>74</v>
      </c>
      <c r="E1515" t="s">
        <v>80</v>
      </c>
      <c r="F1515" s="55">
        <v>29</v>
      </c>
      <c r="G1515" s="63">
        <v>6.6E-3</v>
      </c>
    </row>
    <row r="1516" spans="1:7" x14ac:dyDescent="0.2">
      <c r="A1516" t="s">
        <v>89</v>
      </c>
      <c r="B1516" t="s">
        <v>190</v>
      </c>
      <c r="C1516" t="s">
        <v>73</v>
      </c>
      <c r="D1516" t="s">
        <v>74</v>
      </c>
      <c r="E1516" t="s">
        <v>81</v>
      </c>
      <c r="F1516" s="55">
        <v>35</v>
      </c>
      <c r="G1516" s="63">
        <v>8.6E-3</v>
      </c>
    </row>
    <row r="1517" spans="1:7" x14ac:dyDescent="0.2">
      <c r="A1517" t="s">
        <v>89</v>
      </c>
      <c r="B1517" t="s">
        <v>190</v>
      </c>
      <c r="C1517" t="s">
        <v>73</v>
      </c>
      <c r="D1517" t="s">
        <v>74</v>
      </c>
      <c r="E1517" t="s">
        <v>82</v>
      </c>
      <c r="F1517" s="55">
        <v>25</v>
      </c>
      <c r="G1517" s="63">
        <v>2.3800000000000002E-2</v>
      </c>
    </row>
    <row r="1518" spans="1:7" x14ac:dyDescent="0.2">
      <c r="A1518" t="s">
        <v>89</v>
      </c>
      <c r="B1518" t="s">
        <v>190</v>
      </c>
      <c r="C1518" t="s">
        <v>73</v>
      </c>
      <c r="D1518" t="s">
        <v>74</v>
      </c>
      <c r="E1518" t="s">
        <v>83</v>
      </c>
      <c r="F1518" s="55">
        <v>35</v>
      </c>
      <c r="G1518" s="63">
        <v>3.5999999999999999E-3</v>
      </c>
    </row>
    <row r="1519" spans="1:7" x14ac:dyDescent="0.2">
      <c r="A1519" t="s">
        <v>89</v>
      </c>
      <c r="B1519" t="s">
        <v>190</v>
      </c>
      <c r="C1519" t="s">
        <v>73</v>
      </c>
      <c r="D1519" t="s">
        <v>74</v>
      </c>
      <c r="E1519" t="s">
        <v>84</v>
      </c>
      <c r="F1519" s="55">
        <v>31</v>
      </c>
      <c r="G1519" s="63">
        <v>7.4000000000000003E-3</v>
      </c>
    </row>
    <row r="1520" spans="1:7" x14ac:dyDescent="0.2">
      <c r="A1520" t="s">
        <v>89</v>
      </c>
      <c r="B1520" t="s">
        <v>190</v>
      </c>
      <c r="C1520" t="s">
        <v>73</v>
      </c>
      <c r="D1520" t="s">
        <v>74</v>
      </c>
      <c r="E1520" t="s">
        <v>85</v>
      </c>
      <c r="F1520" s="55">
        <v>33</v>
      </c>
      <c r="G1520" s="63">
        <v>6.0000000000000001E-3</v>
      </c>
    </row>
    <row r="1521" spans="1:7" x14ac:dyDescent="0.2">
      <c r="A1521" t="s">
        <v>89</v>
      </c>
      <c r="B1521" t="s">
        <v>190</v>
      </c>
      <c r="C1521" t="s">
        <v>73</v>
      </c>
      <c r="D1521" t="s">
        <v>74</v>
      </c>
      <c r="E1521" t="s">
        <v>86</v>
      </c>
      <c r="F1521" s="55">
        <v>24</v>
      </c>
      <c r="G1521" s="63">
        <v>8.0999999999999996E-3</v>
      </c>
    </row>
    <row r="1522" spans="1:7" x14ac:dyDescent="0.2">
      <c r="A1522" t="s">
        <v>89</v>
      </c>
      <c r="B1522" t="s">
        <v>190</v>
      </c>
      <c r="C1522" t="s">
        <v>73</v>
      </c>
      <c r="D1522" t="s">
        <v>74</v>
      </c>
      <c r="E1522" t="s">
        <v>87</v>
      </c>
      <c r="F1522" s="55">
        <v>26</v>
      </c>
      <c r="G1522" s="63">
        <v>1.01E-2</v>
      </c>
    </row>
    <row r="1523" spans="1:7" x14ac:dyDescent="0.2">
      <c r="A1523" t="s">
        <v>89</v>
      </c>
      <c r="B1523" t="s">
        <v>190</v>
      </c>
      <c r="C1523" t="s">
        <v>73</v>
      </c>
      <c r="D1523" t="s">
        <v>74</v>
      </c>
      <c r="E1523" t="s">
        <v>88</v>
      </c>
      <c r="F1523" s="55">
        <v>27</v>
      </c>
      <c r="G1523" s="63">
        <v>7.4999999999999997E-3</v>
      </c>
    </row>
    <row r="1524" spans="1:7" x14ac:dyDescent="0.2">
      <c r="A1524" t="s">
        <v>89</v>
      </c>
      <c r="B1524" t="s">
        <v>191</v>
      </c>
      <c r="C1524" t="s">
        <v>73</v>
      </c>
      <c r="D1524" t="s">
        <v>91</v>
      </c>
      <c r="E1524" t="s">
        <v>75</v>
      </c>
      <c r="F1524" s="55">
        <v>30</v>
      </c>
      <c r="G1524" s="63">
        <v>0.2147</v>
      </c>
    </row>
    <row r="1525" spans="1:7" x14ac:dyDescent="0.2">
      <c r="A1525" t="s">
        <v>89</v>
      </c>
      <c r="B1525" t="s">
        <v>191</v>
      </c>
      <c r="C1525" t="s">
        <v>73</v>
      </c>
      <c r="D1525" t="s">
        <v>91</v>
      </c>
      <c r="E1525" t="s">
        <v>76</v>
      </c>
      <c r="F1525" s="55">
        <v>35</v>
      </c>
      <c r="G1525" s="63">
        <v>2.5000000000000001E-2</v>
      </c>
    </row>
    <row r="1526" spans="1:7" x14ac:dyDescent="0.2">
      <c r="A1526" t="s">
        <v>89</v>
      </c>
      <c r="B1526" t="s">
        <v>191</v>
      </c>
      <c r="C1526" t="s">
        <v>73</v>
      </c>
      <c r="D1526" t="s">
        <v>91</v>
      </c>
      <c r="E1526" t="s">
        <v>77</v>
      </c>
      <c r="F1526" s="55">
        <v>31</v>
      </c>
      <c r="G1526" s="63">
        <v>7.2999999999999995E-2</v>
      </c>
    </row>
    <row r="1527" spans="1:7" x14ac:dyDescent="0.2">
      <c r="A1527" t="s">
        <v>89</v>
      </c>
      <c r="B1527" t="s">
        <v>191</v>
      </c>
      <c r="C1527" t="s">
        <v>73</v>
      </c>
      <c r="D1527" t="s">
        <v>91</v>
      </c>
      <c r="E1527" t="s">
        <v>78</v>
      </c>
      <c r="F1527" s="55">
        <v>32</v>
      </c>
      <c r="G1527" s="63">
        <v>4.9399999999999999E-2</v>
      </c>
    </row>
    <row r="1528" spans="1:7" x14ac:dyDescent="0.2">
      <c r="A1528" t="s">
        <v>89</v>
      </c>
      <c r="B1528" t="s">
        <v>191</v>
      </c>
      <c r="C1528" t="s">
        <v>73</v>
      </c>
      <c r="D1528" t="s">
        <v>91</v>
      </c>
      <c r="E1528" t="s">
        <v>79</v>
      </c>
      <c r="F1528" s="55">
        <v>26</v>
      </c>
      <c r="G1528" s="63">
        <v>0.1313</v>
      </c>
    </row>
    <row r="1529" spans="1:7" x14ac:dyDescent="0.2">
      <c r="A1529" t="s">
        <v>89</v>
      </c>
      <c r="B1529" t="s">
        <v>191</v>
      </c>
      <c r="C1529" t="s">
        <v>73</v>
      </c>
      <c r="D1529" t="s">
        <v>91</v>
      </c>
      <c r="E1529" t="s">
        <v>80</v>
      </c>
      <c r="F1529" s="55">
        <v>31</v>
      </c>
      <c r="G1529" s="63">
        <v>2.9499999999999998E-2</v>
      </c>
    </row>
    <row r="1530" spans="1:7" x14ac:dyDescent="0.2">
      <c r="A1530" t="s">
        <v>89</v>
      </c>
      <c r="B1530" t="s">
        <v>191</v>
      </c>
      <c r="C1530" t="s">
        <v>73</v>
      </c>
      <c r="D1530" t="s">
        <v>91</v>
      </c>
      <c r="E1530" t="s">
        <v>81</v>
      </c>
      <c r="F1530" s="55">
        <v>37</v>
      </c>
      <c r="G1530" s="63">
        <v>3.7499999999999999E-2</v>
      </c>
    </row>
    <row r="1531" spans="1:7" x14ac:dyDescent="0.2">
      <c r="A1531" t="s">
        <v>89</v>
      </c>
      <c r="B1531" t="s">
        <v>191</v>
      </c>
      <c r="C1531" t="s">
        <v>73</v>
      </c>
      <c r="D1531" t="s">
        <v>91</v>
      </c>
      <c r="E1531" t="s">
        <v>82</v>
      </c>
      <c r="F1531" s="55">
        <v>31</v>
      </c>
      <c r="G1531" s="63">
        <v>0.1096</v>
      </c>
    </row>
    <row r="1532" spans="1:7" x14ac:dyDescent="0.2">
      <c r="A1532" t="s">
        <v>89</v>
      </c>
      <c r="B1532" t="s">
        <v>191</v>
      </c>
      <c r="C1532" t="s">
        <v>73</v>
      </c>
      <c r="D1532" t="s">
        <v>91</v>
      </c>
      <c r="E1532" t="s">
        <v>83</v>
      </c>
      <c r="F1532" s="55">
        <v>43</v>
      </c>
      <c r="G1532" s="63">
        <v>1.72E-2</v>
      </c>
    </row>
    <row r="1533" spans="1:7" x14ac:dyDescent="0.2">
      <c r="A1533" t="s">
        <v>89</v>
      </c>
      <c r="B1533" t="s">
        <v>191</v>
      </c>
      <c r="C1533" t="s">
        <v>73</v>
      </c>
      <c r="D1533" t="s">
        <v>91</v>
      </c>
      <c r="E1533" t="s">
        <v>84</v>
      </c>
      <c r="F1533" s="55">
        <v>37</v>
      </c>
      <c r="G1533" s="63">
        <v>3.5299999999999998E-2</v>
      </c>
    </row>
    <row r="1534" spans="1:7" x14ac:dyDescent="0.2">
      <c r="A1534" t="s">
        <v>89</v>
      </c>
      <c r="B1534" t="s">
        <v>191</v>
      </c>
      <c r="C1534" t="s">
        <v>73</v>
      </c>
      <c r="D1534" t="s">
        <v>91</v>
      </c>
      <c r="E1534" t="s">
        <v>85</v>
      </c>
      <c r="F1534" s="55">
        <v>27</v>
      </c>
      <c r="G1534" s="63">
        <v>2.9399999999999999E-2</v>
      </c>
    </row>
    <row r="1535" spans="1:7" x14ac:dyDescent="0.2">
      <c r="A1535" t="s">
        <v>89</v>
      </c>
      <c r="B1535" t="s">
        <v>191</v>
      </c>
      <c r="C1535" t="s">
        <v>73</v>
      </c>
      <c r="D1535" t="s">
        <v>91</v>
      </c>
      <c r="E1535" t="s">
        <v>86</v>
      </c>
      <c r="F1535" s="55">
        <v>30</v>
      </c>
      <c r="G1535" s="63">
        <v>4.19E-2</v>
      </c>
    </row>
    <row r="1536" spans="1:7" x14ac:dyDescent="0.2">
      <c r="A1536" t="s">
        <v>89</v>
      </c>
      <c r="B1536" t="s">
        <v>191</v>
      </c>
      <c r="C1536" t="s">
        <v>73</v>
      </c>
      <c r="D1536" t="s">
        <v>91</v>
      </c>
      <c r="E1536" t="s">
        <v>87</v>
      </c>
      <c r="F1536" s="55">
        <v>29</v>
      </c>
      <c r="G1536" s="63">
        <v>5.3499999999999999E-2</v>
      </c>
    </row>
    <row r="1537" spans="1:7" x14ac:dyDescent="0.2">
      <c r="A1537" t="s">
        <v>89</v>
      </c>
      <c r="B1537" t="s">
        <v>191</v>
      </c>
      <c r="C1537" t="s">
        <v>73</v>
      </c>
      <c r="D1537" t="s">
        <v>91</v>
      </c>
      <c r="E1537" t="s">
        <v>88</v>
      </c>
      <c r="F1537" s="55">
        <v>36</v>
      </c>
      <c r="G1537" s="63">
        <v>4.2500000000000003E-2</v>
      </c>
    </row>
    <row r="1538" spans="1:7" x14ac:dyDescent="0.2">
      <c r="A1538" t="s">
        <v>89</v>
      </c>
      <c r="B1538" t="s">
        <v>192</v>
      </c>
      <c r="C1538" t="s">
        <v>73</v>
      </c>
      <c r="D1538" t="s">
        <v>74</v>
      </c>
      <c r="E1538" t="s">
        <v>75</v>
      </c>
      <c r="F1538" s="55">
        <v>121</v>
      </c>
      <c r="G1538" s="63">
        <v>0.23069999999999999</v>
      </c>
    </row>
    <row r="1539" spans="1:7" x14ac:dyDescent="0.2">
      <c r="A1539" t="s">
        <v>89</v>
      </c>
      <c r="B1539" t="s">
        <v>192</v>
      </c>
      <c r="C1539" t="s">
        <v>73</v>
      </c>
      <c r="D1539" t="s">
        <v>74</v>
      </c>
      <c r="E1539" t="s">
        <v>76</v>
      </c>
      <c r="F1539" s="55">
        <v>142</v>
      </c>
      <c r="G1539" s="63">
        <v>2.8000000000000001E-2</v>
      </c>
    </row>
    <row r="1540" spans="1:7" x14ac:dyDescent="0.2">
      <c r="A1540" t="s">
        <v>89</v>
      </c>
      <c r="B1540" t="s">
        <v>192</v>
      </c>
      <c r="C1540" t="s">
        <v>73</v>
      </c>
      <c r="D1540" t="s">
        <v>74</v>
      </c>
      <c r="E1540" t="s">
        <v>77</v>
      </c>
      <c r="F1540" s="55">
        <v>128</v>
      </c>
      <c r="G1540" s="63">
        <v>9.6500000000000002E-2</v>
      </c>
    </row>
    <row r="1541" spans="1:7" x14ac:dyDescent="0.2">
      <c r="A1541" t="s">
        <v>89</v>
      </c>
      <c r="B1541" t="s">
        <v>192</v>
      </c>
      <c r="C1541" t="s">
        <v>73</v>
      </c>
      <c r="D1541" t="s">
        <v>74</v>
      </c>
      <c r="E1541" t="s">
        <v>78</v>
      </c>
      <c r="F1541" s="55">
        <v>127</v>
      </c>
      <c r="G1541" s="63">
        <v>7.4499999999999997E-2</v>
      </c>
    </row>
    <row r="1542" spans="1:7" x14ac:dyDescent="0.2">
      <c r="A1542" t="s">
        <v>89</v>
      </c>
      <c r="B1542" t="s">
        <v>192</v>
      </c>
      <c r="C1542" t="s">
        <v>73</v>
      </c>
      <c r="D1542" t="s">
        <v>74</v>
      </c>
      <c r="E1542" t="s">
        <v>79</v>
      </c>
      <c r="F1542" s="55">
        <v>117</v>
      </c>
      <c r="G1542" s="63">
        <v>0.14879999999999999</v>
      </c>
    </row>
    <row r="1543" spans="1:7" x14ac:dyDescent="0.2">
      <c r="A1543" t="s">
        <v>89</v>
      </c>
      <c r="B1543" t="s">
        <v>192</v>
      </c>
      <c r="C1543" t="s">
        <v>73</v>
      </c>
      <c r="D1543" t="s">
        <v>74</v>
      </c>
      <c r="E1543" t="s">
        <v>80</v>
      </c>
      <c r="F1543" s="55">
        <v>112</v>
      </c>
      <c r="G1543" s="63">
        <v>5.0799999999999998E-2</v>
      </c>
    </row>
    <row r="1544" spans="1:7" x14ac:dyDescent="0.2">
      <c r="A1544" t="s">
        <v>89</v>
      </c>
      <c r="B1544" t="s">
        <v>192</v>
      </c>
      <c r="C1544" t="s">
        <v>73</v>
      </c>
      <c r="D1544" t="s">
        <v>74</v>
      </c>
      <c r="E1544" t="s">
        <v>81</v>
      </c>
      <c r="F1544" s="55">
        <v>109</v>
      </c>
      <c r="G1544" s="63">
        <v>5.0500000000000003E-2</v>
      </c>
    </row>
    <row r="1545" spans="1:7" x14ac:dyDescent="0.2">
      <c r="A1545" t="s">
        <v>89</v>
      </c>
      <c r="B1545" t="s">
        <v>192</v>
      </c>
      <c r="C1545" t="s">
        <v>73</v>
      </c>
      <c r="D1545" t="s">
        <v>74</v>
      </c>
      <c r="E1545" t="s">
        <v>82</v>
      </c>
      <c r="F1545" s="55">
        <v>121</v>
      </c>
      <c r="G1545" s="63">
        <v>0.1195</v>
      </c>
    </row>
    <row r="1546" spans="1:7" x14ac:dyDescent="0.2">
      <c r="A1546" t="s">
        <v>89</v>
      </c>
      <c r="B1546" t="s">
        <v>192</v>
      </c>
      <c r="C1546" t="s">
        <v>73</v>
      </c>
      <c r="D1546" t="s">
        <v>74</v>
      </c>
      <c r="E1546" t="s">
        <v>83</v>
      </c>
      <c r="F1546" s="55">
        <v>99</v>
      </c>
      <c r="G1546" s="63">
        <v>1.9300000000000001E-2</v>
      </c>
    </row>
    <row r="1547" spans="1:7" x14ac:dyDescent="0.2">
      <c r="A1547" t="s">
        <v>89</v>
      </c>
      <c r="B1547" t="s">
        <v>192</v>
      </c>
      <c r="C1547" t="s">
        <v>73</v>
      </c>
      <c r="D1547" t="s">
        <v>74</v>
      </c>
      <c r="E1547" t="s">
        <v>84</v>
      </c>
      <c r="F1547" s="55">
        <v>129</v>
      </c>
      <c r="G1547" s="63">
        <v>6.0699999999999997E-2</v>
      </c>
    </row>
    <row r="1548" spans="1:7" x14ac:dyDescent="0.2">
      <c r="A1548" t="s">
        <v>89</v>
      </c>
      <c r="B1548" t="s">
        <v>192</v>
      </c>
      <c r="C1548" t="s">
        <v>73</v>
      </c>
      <c r="D1548" t="s">
        <v>74</v>
      </c>
      <c r="E1548" t="s">
        <v>85</v>
      </c>
      <c r="F1548" s="55">
        <v>116</v>
      </c>
      <c r="G1548" s="63">
        <v>6.0299999999999999E-2</v>
      </c>
    </row>
    <row r="1549" spans="1:7" x14ac:dyDescent="0.2">
      <c r="A1549" t="s">
        <v>89</v>
      </c>
      <c r="B1549" t="s">
        <v>192</v>
      </c>
      <c r="C1549" t="s">
        <v>73</v>
      </c>
      <c r="D1549" t="s">
        <v>74</v>
      </c>
      <c r="E1549" t="s">
        <v>86</v>
      </c>
      <c r="F1549" s="55">
        <v>115</v>
      </c>
      <c r="G1549" s="63">
        <v>7.0999999999999994E-2</v>
      </c>
    </row>
    <row r="1550" spans="1:7" x14ac:dyDescent="0.2">
      <c r="A1550" t="s">
        <v>89</v>
      </c>
      <c r="B1550" t="s">
        <v>192</v>
      </c>
      <c r="C1550" t="s">
        <v>73</v>
      </c>
      <c r="D1550" t="s">
        <v>74</v>
      </c>
      <c r="E1550" t="s">
        <v>87</v>
      </c>
      <c r="F1550" s="55">
        <v>116</v>
      </c>
      <c r="G1550" s="63">
        <v>8.1799999999999998E-2</v>
      </c>
    </row>
    <row r="1551" spans="1:7" x14ac:dyDescent="0.2">
      <c r="A1551" t="s">
        <v>89</v>
      </c>
      <c r="B1551" t="s">
        <v>192</v>
      </c>
      <c r="C1551" t="s">
        <v>73</v>
      </c>
      <c r="D1551" t="s">
        <v>74</v>
      </c>
      <c r="E1551" t="s">
        <v>88</v>
      </c>
      <c r="F1551" s="55">
        <v>133</v>
      </c>
      <c r="G1551" s="63">
        <v>4.87E-2</v>
      </c>
    </row>
    <row r="1552" spans="1:7" x14ac:dyDescent="0.2">
      <c r="A1552" t="s">
        <v>71</v>
      </c>
      <c r="B1552" t="s">
        <v>20</v>
      </c>
      <c r="C1552" t="s">
        <v>73</v>
      </c>
      <c r="D1552" t="s">
        <v>74</v>
      </c>
      <c r="E1552" t="s">
        <v>75</v>
      </c>
      <c r="F1552" s="55">
        <v>106</v>
      </c>
      <c r="G1552" s="63">
        <v>0.56020000000000003</v>
      </c>
    </row>
    <row r="1553" spans="1:7" x14ac:dyDescent="0.2">
      <c r="A1553" t="s">
        <v>71</v>
      </c>
      <c r="B1553" t="s">
        <v>20</v>
      </c>
      <c r="C1553" t="s">
        <v>73</v>
      </c>
      <c r="D1553" t="s">
        <v>74</v>
      </c>
      <c r="E1553" t="s">
        <v>76</v>
      </c>
      <c r="F1553" s="55">
        <v>105</v>
      </c>
      <c r="G1553" s="63">
        <v>0.1404</v>
      </c>
    </row>
    <row r="1554" spans="1:7" x14ac:dyDescent="0.2">
      <c r="A1554" t="s">
        <v>71</v>
      </c>
      <c r="B1554" t="s">
        <v>20</v>
      </c>
      <c r="C1554" t="s">
        <v>73</v>
      </c>
      <c r="D1554" t="s">
        <v>74</v>
      </c>
      <c r="E1554" t="s">
        <v>77</v>
      </c>
      <c r="F1554" s="55">
        <v>110</v>
      </c>
      <c r="G1554" s="63">
        <v>0.3034</v>
      </c>
    </row>
    <row r="1555" spans="1:7" x14ac:dyDescent="0.2">
      <c r="A1555" t="s">
        <v>71</v>
      </c>
      <c r="B1555" t="s">
        <v>20</v>
      </c>
      <c r="C1555" t="s">
        <v>73</v>
      </c>
      <c r="D1555" t="s">
        <v>74</v>
      </c>
      <c r="E1555" t="s">
        <v>78</v>
      </c>
      <c r="F1555" s="55">
        <v>107</v>
      </c>
      <c r="G1555" s="63">
        <v>0.28010000000000002</v>
      </c>
    </row>
    <row r="1556" spans="1:7" x14ac:dyDescent="0.2">
      <c r="A1556" t="s">
        <v>71</v>
      </c>
      <c r="B1556" t="s">
        <v>20</v>
      </c>
      <c r="C1556" t="s">
        <v>73</v>
      </c>
      <c r="D1556" t="s">
        <v>74</v>
      </c>
      <c r="E1556" t="s">
        <v>79</v>
      </c>
      <c r="F1556" s="55">
        <v>105</v>
      </c>
      <c r="G1556" s="63">
        <v>0.43880000000000002</v>
      </c>
    </row>
    <row r="1557" spans="1:7" x14ac:dyDescent="0.2">
      <c r="A1557" t="s">
        <v>71</v>
      </c>
      <c r="B1557" t="s">
        <v>20</v>
      </c>
      <c r="C1557" t="s">
        <v>73</v>
      </c>
      <c r="D1557" t="s">
        <v>74</v>
      </c>
      <c r="E1557" t="s">
        <v>80</v>
      </c>
      <c r="F1557" s="55">
        <v>99</v>
      </c>
      <c r="G1557" s="63">
        <v>0.14990000000000001</v>
      </c>
    </row>
    <row r="1558" spans="1:7" x14ac:dyDescent="0.2">
      <c r="A1558" t="s">
        <v>71</v>
      </c>
      <c r="B1558" t="s">
        <v>20</v>
      </c>
      <c r="C1558" t="s">
        <v>73</v>
      </c>
      <c r="D1558" t="s">
        <v>74</v>
      </c>
      <c r="E1558" t="s">
        <v>81</v>
      </c>
      <c r="F1558" s="55">
        <v>99</v>
      </c>
      <c r="G1558" s="63">
        <v>0.1552</v>
      </c>
    </row>
    <row r="1559" spans="1:7" x14ac:dyDescent="0.2">
      <c r="A1559" t="s">
        <v>71</v>
      </c>
      <c r="B1559" t="s">
        <v>20</v>
      </c>
      <c r="C1559" t="s">
        <v>73</v>
      </c>
      <c r="D1559" t="s">
        <v>74</v>
      </c>
      <c r="E1559" t="s">
        <v>82</v>
      </c>
      <c r="F1559" s="55">
        <v>106</v>
      </c>
      <c r="G1559" s="63">
        <v>0.39190000000000003</v>
      </c>
    </row>
    <row r="1560" spans="1:7" x14ac:dyDescent="0.2">
      <c r="A1560" t="s">
        <v>71</v>
      </c>
      <c r="B1560" t="s">
        <v>20</v>
      </c>
      <c r="C1560" t="s">
        <v>73</v>
      </c>
      <c r="D1560" t="s">
        <v>74</v>
      </c>
      <c r="E1560" t="s">
        <v>83</v>
      </c>
      <c r="F1560" s="55">
        <v>103</v>
      </c>
      <c r="G1560" s="63">
        <v>9.3600000000000003E-2</v>
      </c>
    </row>
    <row r="1561" spans="1:7" x14ac:dyDescent="0.2">
      <c r="A1561" t="s">
        <v>71</v>
      </c>
      <c r="B1561" t="s">
        <v>20</v>
      </c>
      <c r="C1561" t="s">
        <v>73</v>
      </c>
      <c r="D1561" t="s">
        <v>74</v>
      </c>
      <c r="E1561" t="s">
        <v>84</v>
      </c>
      <c r="F1561" s="55">
        <v>108</v>
      </c>
      <c r="G1561" s="63">
        <v>0.2351</v>
      </c>
    </row>
    <row r="1562" spans="1:7" x14ac:dyDescent="0.2">
      <c r="A1562" t="s">
        <v>71</v>
      </c>
      <c r="B1562" t="s">
        <v>20</v>
      </c>
      <c r="C1562" t="s">
        <v>73</v>
      </c>
      <c r="D1562" t="s">
        <v>74</v>
      </c>
      <c r="E1562" t="s">
        <v>85</v>
      </c>
      <c r="F1562" s="55">
        <v>102</v>
      </c>
      <c r="G1562" s="63">
        <v>0.19520000000000001</v>
      </c>
    </row>
    <row r="1563" spans="1:7" x14ac:dyDescent="0.2">
      <c r="A1563" t="s">
        <v>71</v>
      </c>
      <c r="B1563" t="s">
        <v>20</v>
      </c>
      <c r="C1563" t="s">
        <v>73</v>
      </c>
      <c r="D1563" t="s">
        <v>74</v>
      </c>
      <c r="E1563" t="s">
        <v>86</v>
      </c>
      <c r="F1563" s="55">
        <v>103</v>
      </c>
      <c r="G1563" s="63">
        <v>0.25090000000000001</v>
      </c>
    </row>
    <row r="1564" spans="1:7" x14ac:dyDescent="0.2">
      <c r="A1564" t="s">
        <v>71</v>
      </c>
      <c r="B1564" t="s">
        <v>20</v>
      </c>
      <c r="C1564" t="s">
        <v>73</v>
      </c>
      <c r="D1564" t="s">
        <v>74</v>
      </c>
      <c r="E1564" t="s">
        <v>87</v>
      </c>
      <c r="F1564" s="55">
        <v>105</v>
      </c>
      <c r="G1564" s="63">
        <v>0.28799999999999998</v>
      </c>
    </row>
    <row r="1565" spans="1:7" x14ac:dyDescent="0.2">
      <c r="A1565" t="s">
        <v>71</v>
      </c>
      <c r="B1565" t="s">
        <v>20</v>
      </c>
      <c r="C1565" t="s">
        <v>73</v>
      </c>
      <c r="D1565" t="s">
        <v>74</v>
      </c>
      <c r="E1565" t="s">
        <v>88</v>
      </c>
      <c r="F1565" s="55">
        <v>104</v>
      </c>
      <c r="G1565" s="63">
        <v>0.1993</v>
      </c>
    </row>
    <row r="1566" spans="1:7" x14ac:dyDescent="0.2">
      <c r="A1566" t="s">
        <v>71</v>
      </c>
      <c r="B1566" t="s">
        <v>193</v>
      </c>
      <c r="C1566" t="s">
        <v>73</v>
      </c>
      <c r="D1566" t="s">
        <v>74</v>
      </c>
      <c r="E1566" t="s">
        <v>75</v>
      </c>
      <c r="F1566" s="55">
        <v>69</v>
      </c>
      <c r="G1566" s="63">
        <v>0.2717</v>
      </c>
    </row>
    <row r="1567" spans="1:7" x14ac:dyDescent="0.2">
      <c r="A1567" t="s">
        <v>71</v>
      </c>
      <c r="B1567" t="s">
        <v>193</v>
      </c>
      <c r="C1567" t="s">
        <v>73</v>
      </c>
      <c r="D1567" t="s">
        <v>74</v>
      </c>
      <c r="E1567" t="s">
        <v>76</v>
      </c>
      <c r="F1567" s="55">
        <v>56</v>
      </c>
      <c r="G1567" s="63">
        <v>2.2800000000000001E-2</v>
      </c>
    </row>
    <row r="1568" spans="1:7" x14ac:dyDescent="0.2">
      <c r="A1568" t="s">
        <v>71</v>
      </c>
      <c r="B1568" t="s">
        <v>193</v>
      </c>
      <c r="C1568" t="s">
        <v>73</v>
      </c>
      <c r="D1568" t="s">
        <v>74</v>
      </c>
      <c r="E1568" t="s">
        <v>77</v>
      </c>
      <c r="F1568" s="55">
        <v>64</v>
      </c>
      <c r="G1568" s="63">
        <v>7.3200000000000001E-2</v>
      </c>
    </row>
    <row r="1569" spans="1:7" x14ac:dyDescent="0.2">
      <c r="A1569" t="s">
        <v>71</v>
      </c>
      <c r="B1569" t="s">
        <v>193</v>
      </c>
      <c r="C1569" t="s">
        <v>73</v>
      </c>
      <c r="D1569" t="s">
        <v>74</v>
      </c>
      <c r="E1569" t="s">
        <v>78</v>
      </c>
      <c r="F1569" s="55">
        <v>62</v>
      </c>
      <c r="G1569" s="63">
        <v>6.0199999999999997E-2</v>
      </c>
    </row>
    <row r="1570" spans="1:7" x14ac:dyDescent="0.2">
      <c r="A1570" t="s">
        <v>71</v>
      </c>
      <c r="B1570" t="s">
        <v>193</v>
      </c>
      <c r="C1570" t="s">
        <v>73</v>
      </c>
      <c r="D1570" t="s">
        <v>74</v>
      </c>
      <c r="E1570" t="s">
        <v>79</v>
      </c>
      <c r="F1570" s="55">
        <v>74</v>
      </c>
      <c r="G1570" s="63">
        <v>0.20039999999999999</v>
      </c>
    </row>
    <row r="1571" spans="1:7" x14ac:dyDescent="0.2">
      <c r="A1571" t="s">
        <v>71</v>
      </c>
      <c r="B1571" t="s">
        <v>193</v>
      </c>
      <c r="C1571" t="s">
        <v>73</v>
      </c>
      <c r="D1571" t="s">
        <v>74</v>
      </c>
      <c r="E1571" t="s">
        <v>80</v>
      </c>
      <c r="F1571" s="55">
        <v>69</v>
      </c>
      <c r="G1571" s="63">
        <v>5.0999999999999997E-2</v>
      </c>
    </row>
    <row r="1572" spans="1:7" x14ac:dyDescent="0.2">
      <c r="A1572" t="s">
        <v>71</v>
      </c>
      <c r="B1572" t="s">
        <v>193</v>
      </c>
      <c r="C1572" t="s">
        <v>73</v>
      </c>
      <c r="D1572" t="s">
        <v>74</v>
      </c>
      <c r="E1572" t="s">
        <v>81</v>
      </c>
      <c r="F1572" s="55">
        <v>63</v>
      </c>
      <c r="G1572" s="63">
        <v>4.8599999999999997E-2</v>
      </c>
    </row>
    <row r="1573" spans="1:7" x14ac:dyDescent="0.2">
      <c r="A1573" t="s">
        <v>71</v>
      </c>
      <c r="B1573" t="s">
        <v>193</v>
      </c>
      <c r="C1573" t="s">
        <v>73</v>
      </c>
      <c r="D1573" t="s">
        <v>74</v>
      </c>
      <c r="E1573" t="s">
        <v>82</v>
      </c>
      <c r="F1573" s="55">
        <v>69</v>
      </c>
      <c r="G1573" s="63">
        <v>0.12859999999999999</v>
      </c>
    </row>
    <row r="1574" spans="1:7" x14ac:dyDescent="0.2">
      <c r="A1574" t="s">
        <v>71</v>
      </c>
      <c r="B1574" t="s">
        <v>193</v>
      </c>
      <c r="C1574" t="s">
        <v>73</v>
      </c>
      <c r="D1574" t="s">
        <v>74</v>
      </c>
      <c r="E1574" t="s">
        <v>83</v>
      </c>
      <c r="F1574" s="55">
        <v>65</v>
      </c>
      <c r="G1574" s="63">
        <v>1.89E-2</v>
      </c>
    </row>
    <row r="1575" spans="1:7" x14ac:dyDescent="0.2">
      <c r="A1575" t="s">
        <v>71</v>
      </c>
      <c r="B1575" t="s">
        <v>193</v>
      </c>
      <c r="C1575" t="s">
        <v>73</v>
      </c>
      <c r="D1575" t="s">
        <v>74</v>
      </c>
      <c r="E1575" t="s">
        <v>84</v>
      </c>
      <c r="F1575" s="55">
        <v>62</v>
      </c>
      <c r="G1575" s="63">
        <v>4.3700000000000003E-2</v>
      </c>
    </row>
    <row r="1576" spans="1:7" x14ac:dyDescent="0.2">
      <c r="A1576" t="s">
        <v>71</v>
      </c>
      <c r="B1576" t="s">
        <v>193</v>
      </c>
      <c r="C1576" t="s">
        <v>73</v>
      </c>
      <c r="D1576" t="s">
        <v>74</v>
      </c>
      <c r="E1576" t="s">
        <v>85</v>
      </c>
      <c r="F1576" s="55">
        <v>73</v>
      </c>
      <c r="G1576" s="63">
        <v>6.8099999999999994E-2</v>
      </c>
    </row>
    <row r="1577" spans="1:7" x14ac:dyDescent="0.2">
      <c r="A1577" t="s">
        <v>71</v>
      </c>
      <c r="B1577" t="s">
        <v>193</v>
      </c>
      <c r="C1577" t="s">
        <v>73</v>
      </c>
      <c r="D1577" t="s">
        <v>74</v>
      </c>
      <c r="E1577" t="s">
        <v>86</v>
      </c>
      <c r="F1577" s="55">
        <v>75</v>
      </c>
      <c r="G1577" s="63">
        <v>9.1300000000000006E-2</v>
      </c>
    </row>
    <row r="1578" spans="1:7" x14ac:dyDescent="0.2">
      <c r="A1578" t="s">
        <v>71</v>
      </c>
      <c r="B1578" t="s">
        <v>193</v>
      </c>
      <c r="C1578" t="s">
        <v>73</v>
      </c>
      <c r="D1578" t="s">
        <v>74</v>
      </c>
      <c r="E1578" t="s">
        <v>87</v>
      </c>
      <c r="F1578" s="55">
        <v>74</v>
      </c>
      <c r="G1578" s="63">
        <v>0.1041</v>
      </c>
    </row>
    <row r="1579" spans="1:7" x14ac:dyDescent="0.2">
      <c r="A1579" t="s">
        <v>71</v>
      </c>
      <c r="B1579" t="s">
        <v>193</v>
      </c>
      <c r="C1579" t="s">
        <v>73</v>
      </c>
      <c r="D1579" t="s">
        <v>74</v>
      </c>
      <c r="E1579" t="s">
        <v>88</v>
      </c>
      <c r="F1579" s="55">
        <v>59</v>
      </c>
      <c r="G1579" s="63">
        <v>3.9100000000000003E-2</v>
      </c>
    </row>
    <row r="1580" spans="1:7" x14ac:dyDescent="0.2">
      <c r="A1580" t="s">
        <v>89</v>
      </c>
      <c r="B1580" t="s">
        <v>194</v>
      </c>
      <c r="C1580" t="s">
        <v>73</v>
      </c>
      <c r="D1580" t="s">
        <v>74</v>
      </c>
      <c r="E1580" t="s">
        <v>75</v>
      </c>
      <c r="F1580" s="55">
        <v>110</v>
      </c>
      <c r="G1580" s="63">
        <v>2.23E-2</v>
      </c>
    </row>
    <row r="1581" spans="1:7" x14ac:dyDescent="0.2">
      <c r="A1581" t="s">
        <v>89</v>
      </c>
      <c r="B1581" t="s">
        <v>194</v>
      </c>
      <c r="C1581" t="s">
        <v>73</v>
      </c>
      <c r="D1581" t="s">
        <v>74</v>
      </c>
      <c r="E1581" t="s">
        <v>77</v>
      </c>
      <c r="F1581" s="55">
        <v>125</v>
      </c>
      <c r="G1581" s="63">
        <v>6.3E-3</v>
      </c>
    </row>
    <row r="1582" spans="1:7" x14ac:dyDescent="0.2">
      <c r="A1582" t="s">
        <v>89</v>
      </c>
      <c r="B1582" t="s">
        <v>194</v>
      </c>
      <c r="C1582" t="s">
        <v>73</v>
      </c>
      <c r="D1582" t="s">
        <v>74</v>
      </c>
      <c r="E1582" t="s">
        <v>78</v>
      </c>
      <c r="F1582" s="55">
        <v>114</v>
      </c>
      <c r="G1582" s="63">
        <v>4.7999999999999996E-3</v>
      </c>
    </row>
    <row r="1583" spans="1:7" x14ac:dyDescent="0.2">
      <c r="A1583" t="s">
        <v>89</v>
      </c>
      <c r="B1583" t="s">
        <v>194</v>
      </c>
      <c r="C1583" t="s">
        <v>73</v>
      </c>
      <c r="D1583" t="s">
        <v>74</v>
      </c>
      <c r="E1583" t="s">
        <v>79</v>
      </c>
      <c r="F1583" s="55">
        <v>115</v>
      </c>
      <c r="G1583" s="63">
        <v>1.32E-2</v>
      </c>
    </row>
    <row r="1584" spans="1:7" x14ac:dyDescent="0.2">
      <c r="A1584" t="s">
        <v>89</v>
      </c>
      <c r="B1584" t="s">
        <v>194</v>
      </c>
      <c r="C1584" t="s">
        <v>73</v>
      </c>
      <c r="D1584" t="s">
        <v>74</v>
      </c>
      <c r="E1584" t="s">
        <v>80</v>
      </c>
      <c r="F1584" s="55">
        <v>107</v>
      </c>
      <c r="G1584" s="63">
        <v>3.0000000000000001E-3</v>
      </c>
    </row>
    <row r="1585" spans="1:7" x14ac:dyDescent="0.2">
      <c r="A1585" t="s">
        <v>89</v>
      </c>
      <c r="B1585" t="s">
        <v>194</v>
      </c>
      <c r="C1585" t="s">
        <v>73</v>
      </c>
      <c r="D1585" t="s">
        <v>74</v>
      </c>
      <c r="E1585" t="s">
        <v>81</v>
      </c>
      <c r="F1585" s="55">
        <v>107</v>
      </c>
      <c r="G1585" s="63">
        <v>3.7000000000000002E-3</v>
      </c>
    </row>
    <row r="1586" spans="1:7" x14ac:dyDescent="0.2">
      <c r="A1586" t="s">
        <v>89</v>
      </c>
      <c r="B1586" t="s">
        <v>194</v>
      </c>
      <c r="C1586" t="s">
        <v>73</v>
      </c>
      <c r="D1586" t="s">
        <v>74</v>
      </c>
      <c r="E1586" t="s">
        <v>82</v>
      </c>
      <c r="F1586" s="55">
        <v>93</v>
      </c>
      <c r="G1586" s="63">
        <v>7.9000000000000008E-3</v>
      </c>
    </row>
    <row r="1587" spans="1:7" x14ac:dyDescent="0.2">
      <c r="A1587" t="s">
        <v>89</v>
      </c>
      <c r="B1587" t="s">
        <v>194</v>
      </c>
      <c r="C1587" t="s">
        <v>73</v>
      </c>
      <c r="D1587" t="s">
        <v>74</v>
      </c>
      <c r="E1587" t="s">
        <v>84</v>
      </c>
      <c r="F1587" s="55">
        <v>114</v>
      </c>
      <c r="G1587" s="63">
        <v>3.5999999999999999E-3</v>
      </c>
    </row>
    <row r="1588" spans="1:7" x14ac:dyDescent="0.2">
      <c r="A1588" t="s">
        <v>89</v>
      </c>
      <c r="B1588" t="s">
        <v>194</v>
      </c>
      <c r="C1588" t="s">
        <v>73</v>
      </c>
      <c r="D1588" t="s">
        <v>74</v>
      </c>
      <c r="E1588" t="s">
        <v>85</v>
      </c>
      <c r="F1588" s="55">
        <v>118</v>
      </c>
      <c r="G1588" s="63">
        <v>3.3E-3</v>
      </c>
    </row>
    <row r="1589" spans="1:7" x14ac:dyDescent="0.2">
      <c r="A1589" t="s">
        <v>89</v>
      </c>
      <c r="B1589" t="s">
        <v>194</v>
      </c>
      <c r="C1589" t="s">
        <v>73</v>
      </c>
      <c r="D1589" t="s">
        <v>74</v>
      </c>
      <c r="E1589" t="s">
        <v>86</v>
      </c>
      <c r="F1589" s="55">
        <v>108</v>
      </c>
      <c r="G1589" s="63">
        <v>4.8999999999999998E-3</v>
      </c>
    </row>
    <row r="1590" spans="1:7" x14ac:dyDescent="0.2">
      <c r="A1590" t="s">
        <v>89</v>
      </c>
      <c r="B1590" t="s">
        <v>194</v>
      </c>
      <c r="C1590" t="s">
        <v>73</v>
      </c>
      <c r="D1590" t="s">
        <v>74</v>
      </c>
      <c r="E1590" t="s">
        <v>87</v>
      </c>
      <c r="F1590" s="55">
        <v>116</v>
      </c>
      <c r="G1590" s="63">
        <v>5.0000000000000001E-3</v>
      </c>
    </row>
    <row r="1591" spans="1:7" x14ac:dyDescent="0.2">
      <c r="A1591" t="s">
        <v>89</v>
      </c>
      <c r="B1591" t="s">
        <v>194</v>
      </c>
      <c r="C1591" t="s">
        <v>73</v>
      </c>
      <c r="D1591" t="s">
        <v>74</v>
      </c>
      <c r="E1591" t="s">
        <v>88</v>
      </c>
      <c r="F1591" s="55">
        <v>67</v>
      </c>
      <c r="G1591" s="63">
        <v>2.0999999999999999E-3</v>
      </c>
    </row>
    <row r="1592" spans="1:7" x14ac:dyDescent="0.2">
      <c r="A1592" t="s">
        <v>71</v>
      </c>
      <c r="B1592" t="s">
        <v>195</v>
      </c>
      <c r="C1592" t="s">
        <v>73</v>
      </c>
      <c r="D1592" t="s">
        <v>74</v>
      </c>
      <c r="E1592" t="s">
        <v>75</v>
      </c>
      <c r="F1592" s="55">
        <v>106</v>
      </c>
      <c r="G1592" s="63">
        <v>0.29380000000000001</v>
      </c>
    </row>
    <row r="1593" spans="1:7" x14ac:dyDescent="0.2">
      <c r="A1593" t="s">
        <v>71</v>
      </c>
      <c r="B1593" t="s">
        <v>195</v>
      </c>
      <c r="C1593" t="s">
        <v>73</v>
      </c>
      <c r="D1593" t="s">
        <v>74</v>
      </c>
      <c r="E1593" t="s">
        <v>76</v>
      </c>
      <c r="F1593" s="55">
        <v>97</v>
      </c>
      <c r="G1593" s="63">
        <v>2.8899999999999999E-2</v>
      </c>
    </row>
    <row r="1594" spans="1:7" x14ac:dyDescent="0.2">
      <c r="A1594" t="s">
        <v>71</v>
      </c>
      <c r="B1594" t="s">
        <v>195</v>
      </c>
      <c r="C1594" t="s">
        <v>73</v>
      </c>
      <c r="D1594" t="s">
        <v>74</v>
      </c>
      <c r="E1594" t="s">
        <v>77</v>
      </c>
      <c r="F1594" s="55">
        <v>112</v>
      </c>
      <c r="G1594" s="63">
        <v>0.1246</v>
      </c>
    </row>
    <row r="1595" spans="1:7" x14ac:dyDescent="0.2">
      <c r="A1595" t="s">
        <v>71</v>
      </c>
      <c r="B1595" t="s">
        <v>195</v>
      </c>
      <c r="C1595" t="s">
        <v>73</v>
      </c>
      <c r="D1595" t="s">
        <v>74</v>
      </c>
      <c r="E1595" t="s">
        <v>78</v>
      </c>
      <c r="F1595" s="55">
        <v>113</v>
      </c>
      <c r="G1595" s="63">
        <v>0.1096</v>
      </c>
    </row>
    <row r="1596" spans="1:7" x14ac:dyDescent="0.2">
      <c r="A1596" t="s">
        <v>71</v>
      </c>
      <c r="B1596" t="s">
        <v>195</v>
      </c>
      <c r="C1596" t="s">
        <v>73</v>
      </c>
      <c r="D1596" t="s">
        <v>74</v>
      </c>
      <c r="E1596" t="s">
        <v>79</v>
      </c>
      <c r="F1596" s="55">
        <v>104</v>
      </c>
      <c r="G1596" s="63">
        <v>0.20519999999999999</v>
      </c>
    </row>
    <row r="1597" spans="1:7" x14ac:dyDescent="0.2">
      <c r="A1597" t="s">
        <v>71</v>
      </c>
      <c r="B1597" t="s">
        <v>195</v>
      </c>
      <c r="C1597" t="s">
        <v>73</v>
      </c>
      <c r="D1597" t="s">
        <v>74</v>
      </c>
      <c r="E1597" t="s">
        <v>80</v>
      </c>
      <c r="F1597" s="55">
        <v>102</v>
      </c>
      <c r="G1597" s="63">
        <v>6.9699999999999998E-2</v>
      </c>
    </row>
    <row r="1598" spans="1:7" x14ac:dyDescent="0.2">
      <c r="A1598" t="s">
        <v>71</v>
      </c>
      <c r="B1598" t="s">
        <v>195</v>
      </c>
      <c r="C1598" t="s">
        <v>73</v>
      </c>
      <c r="D1598" t="s">
        <v>74</v>
      </c>
      <c r="E1598" t="s">
        <v>81</v>
      </c>
      <c r="F1598" s="55">
        <v>96</v>
      </c>
      <c r="G1598" s="63">
        <v>7.22E-2</v>
      </c>
    </row>
    <row r="1599" spans="1:7" x14ac:dyDescent="0.2">
      <c r="A1599" t="s">
        <v>71</v>
      </c>
      <c r="B1599" t="s">
        <v>195</v>
      </c>
      <c r="C1599" t="s">
        <v>73</v>
      </c>
      <c r="D1599" t="s">
        <v>74</v>
      </c>
      <c r="E1599" t="s">
        <v>82</v>
      </c>
      <c r="F1599" s="55">
        <v>103</v>
      </c>
      <c r="G1599" s="63">
        <v>0.15490000000000001</v>
      </c>
    </row>
    <row r="1600" spans="1:7" x14ac:dyDescent="0.2">
      <c r="A1600" t="s">
        <v>71</v>
      </c>
      <c r="B1600" t="s">
        <v>195</v>
      </c>
      <c r="C1600" t="s">
        <v>73</v>
      </c>
      <c r="D1600" t="s">
        <v>74</v>
      </c>
      <c r="E1600" t="s">
        <v>83</v>
      </c>
      <c r="F1600" s="55">
        <v>101</v>
      </c>
      <c r="G1600" s="63">
        <v>2.86E-2</v>
      </c>
    </row>
    <row r="1601" spans="1:7" x14ac:dyDescent="0.2">
      <c r="A1601" t="s">
        <v>71</v>
      </c>
      <c r="B1601" t="s">
        <v>195</v>
      </c>
      <c r="C1601" t="s">
        <v>73</v>
      </c>
      <c r="D1601" t="s">
        <v>74</v>
      </c>
      <c r="E1601" t="s">
        <v>84</v>
      </c>
      <c r="F1601" s="55">
        <v>113</v>
      </c>
      <c r="G1601" s="63">
        <v>8.77E-2</v>
      </c>
    </row>
    <row r="1602" spans="1:7" x14ac:dyDescent="0.2">
      <c r="A1602" t="s">
        <v>71</v>
      </c>
      <c r="B1602" t="s">
        <v>195</v>
      </c>
      <c r="C1602" t="s">
        <v>73</v>
      </c>
      <c r="D1602" t="s">
        <v>74</v>
      </c>
      <c r="E1602" t="s">
        <v>85</v>
      </c>
      <c r="F1602" s="55">
        <v>104</v>
      </c>
      <c r="G1602" s="63">
        <v>7.9000000000000001E-2</v>
      </c>
    </row>
    <row r="1603" spans="1:7" x14ac:dyDescent="0.2">
      <c r="A1603" t="s">
        <v>71</v>
      </c>
      <c r="B1603" t="s">
        <v>195</v>
      </c>
      <c r="C1603" t="s">
        <v>73</v>
      </c>
      <c r="D1603" t="s">
        <v>74</v>
      </c>
      <c r="E1603" t="s">
        <v>86</v>
      </c>
      <c r="F1603" s="55">
        <v>100</v>
      </c>
      <c r="G1603" s="63">
        <v>0.1019</v>
      </c>
    </row>
    <row r="1604" spans="1:7" x14ac:dyDescent="0.2">
      <c r="A1604" t="s">
        <v>71</v>
      </c>
      <c r="B1604" t="s">
        <v>195</v>
      </c>
      <c r="C1604" t="s">
        <v>73</v>
      </c>
      <c r="D1604" t="s">
        <v>74</v>
      </c>
      <c r="E1604" t="s">
        <v>87</v>
      </c>
      <c r="F1604" s="55">
        <v>102</v>
      </c>
      <c r="G1604" s="63">
        <v>0.1168</v>
      </c>
    </row>
    <row r="1605" spans="1:7" x14ac:dyDescent="0.2">
      <c r="A1605" t="s">
        <v>71</v>
      </c>
      <c r="B1605" t="s">
        <v>195</v>
      </c>
      <c r="C1605" t="s">
        <v>73</v>
      </c>
      <c r="D1605" t="s">
        <v>74</v>
      </c>
      <c r="E1605" t="s">
        <v>88</v>
      </c>
      <c r="F1605" s="55">
        <v>90</v>
      </c>
      <c r="G1605" s="63">
        <v>5.45E-2</v>
      </c>
    </row>
    <row r="1606" spans="1:7" x14ac:dyDescent="0.2">
      <c r="A1606" t="s">
        <v>71</v>
      </c>
      <c r="B1606" t="s">
        <v>72</v>
      </c>
      <c r="C1606" t="s">
        <v>196</v>
      </c>
      <c r="D1606" t="s">
        <v>74</v>
      </c>
      <c r="E1606" t="s">
        <v>75</v>
      </c>
      <c r="F1606" s="55">
        <v>99</v>
      </c>
      <c r="G1606" s="63">
        <v>0.27939999999999998</v>
      </c>
    </row>
    <row r="1607" spans="1:7" x14ac:dyDescent="0.2">
      <c r="A1607" t="s">
        <v>71</v>
      </c>
      <c r="B1607" t="s">
        <v>72</v>
      </c>
      <c r="C1607" t="s">
        <v>196</v>
      </c>
      <c r="D1607" t="s">
        <v>74</v>
      </c>
      <c r="E1607" t="s">
        <v>76</v>
      </c>
      <c r="F1607" s="55">
        <v>102</v>
      </c>
      <c r="G1607" s="63">
        <v>3.56E-2</v>
      </c>
    </row>
    <row r="1608" spans="1:7" x14ac:dyDescent="0.2">
      <c r="A1608" t="s">
        <v>71</v>
      </c>
      <c r="B1608" t="s">
        <v>72</v>
      </c>
      <c r="C1608" t="s">
        <v>196</v>
      </c>
      <c r="D1608" t="s">
        <v>74</v>
      </c>
      <c r="E1608" t="s">
        <v>77</v>
      </c>
      <c r="F1608" s="55">
        <v>104</v>
      </c>
      <c r="G1608" s="63">
        <v>0.1145</v>
      </c>
    </row>
    <row r="1609" spans="1:7" x14ac:dyDescent="0.2">
      <c r="A1609" t="s">
        <v>71</v>
      </c>
      <c r="B1609" t="s">
        <v>72</v>
      </c>
      <c r="C1609" t="s">
        <v>196</v>
      </c>
      <c r="D1609" t="s">
        <v>74</v>
      </c>
      <c r="E1609" t="s">
        <v>78</v>
      </c>
      <c r="F1609" s="55">
        <v>99</v>
      </c>
      <c r="G1609" s="63">
        <v>9.4200000000000006E-2</v>
      </c>
    </row>
    <row r="1610" spans="1:7" x14ac:dyDescent="0.2">
      <c r="A1610" t="s">
        <v>71</v>
      </c>
      <c r="B1610" t="s">
        <v>72</v>
      </c>
      <c r="C1610" t="s">
        <v>196</v>
      </c>
      <c r="D1610" t="s">
        <v>74</v>
      </c>
      <c r="E1610" t="s">
        <v>79</v>
      </c>
      <c r="F1610" s="55">
        <v>97</v>
      </c>
      <c r="G1610" s="63">
        <v>0.20380000000000001</v>
      </c>
    </row>
    <row r="1611" spans="1:7" x14ac:dyDescent="0.2">
      <c r="A1611" t="s">
        <v>71</v>
      </c>
      <c r="B1611" t="s">
        <v>72</v>
      </c>
      <c r="C1611" t="s">
        <v>196</v>
      </c>
      <c r="D1611" t="s">
        <v>74</v>
      </c>
      <c r="E1611" t="s">
        <v>80</v>
      </c>
      <c r="F1611" s="55">
        <v>95</v>
      </c>
      <c r="G1611" s="63">
        <v>8.2400000000000001E-2</v>
      </c>
    </row>
    <row r="1612" spans="1:7" x14ac:dyDescent="0.2">
      <c r="A1612" t="s">
        <v>71</v>
      </c>
      <c r="B1612" t="s">
        <v>72</v>
      </c>
      <c r="C1612" t="s">
        <v>196</v>
      </c>
      <c r="D1612" t="s">
        <v>74</v>
      </c>
      <c r="E1612" t="s">
        <v>81</v>
      </c>
      <c r="F1612" s="55">
        <v>92</v>
      </c>
      <c r="G1612" s="63">
        <v>6.93E-2</v>
      </c>
    </row>
    <row r="1613" spans="1:7" x14ac:dyDescent="0.2">
      <c r="A1613" t="s">
        <v>71</v>
      </c>
      <c r="B1613" t="s">
        <v>72</v>
      </c>
      <c r="C1613" t="s">
        <v>196</v>
      </c>
      <c r="D1613" t="s">
        <v>74</v>
      </c>
      <c r="E1613" t="s">
        <v>82</v>
      </c>
      <c r="F1613" s="55">
        <v>102</v>
      </c>
      <c r="G1613" s="63">
        <v>0.1497</v>
      </c>
    </row>
    <row r="1614" spans="1:7" x14ac:dyDescent="0.2">
      <c r="A1614" t="s">
        <v>71</v>
      </c>
      <c r="B1614" t="s">
        <v>72</v>
      </c>
      <c r="C1614" t="s">
        <v>196</v>
      </c>
      <c r="D1614" t="s">
        <v>74</v>
      </c>
      <c r="E1614" t="s">
        <v>83</v>
      </c>
      <c r="F1614" s="55">
        <v>85</v>
      </c>
      <c r="G1614" s="63">
        <v>2.75E-2</v>
      </c>
    </row>
    <row r="1615" spans="1:7" x14ac:dyDescent="0.2">
      <c r="A1615" t="s">
        <v>71</v>
      </c>
      <c r="B1615" t="s">
        <v>72</v>
      </c>
      <c r="C1615" t="s">
        <v>196</v>
      </c>
      <c r="D1615" t="s">
        <v>74</v>
      </c>
      <c r="E1615" t="s">
        <v>84</v>
      </c>
      <c r="F1615" s="55">
        <v>100</v>
      </c>
      <c r="G1615" s="63">
        <v>7.6200000000000004E-2</v>
      </c>
    </row>
    <row r="1616" spans="1:7" x14ac:dyDescent="0.2">
      <c r="A1616" t="s">
        <v>71</v>
      </c>
      <c r="B1616" t="s">
        <v>72</v>
      </c>
      <c r="C1616" t="s">
        <v>196</v>
      </c>
      <c r="D1616" t="s">
        <v>74</v>
      </c>
      <c r="E1616" t="s">
        <v>85</v>
      </c>
      <c r="F1616" s="55">
        <v>95</v>
      </c>
      <c r="G1616" s="63">
        <v>9.4500000000000001E-2</v>
      </c>
    </row>
    <row r="1617" spans="1:7" x14ac:dyDescent="0.2">
      <c r="A1617" t="s">
        <v>71</v>
      </c>
      <c r="B1617" t="s">
        <v>72</v>
      </c>
      <c r="C1617" t="s">
        <v>196</v>
      </c>
      <c r="D1617" t="s">
        <v>74</v>
      </c>
      <c r="E1617" t="s">
        <v>86</v>
      </c>
      <c r="F1617" s="55">
        <v>97</v>
      </c>
      <c r="G1617" s="63">
        <v>0.1123</v>
      </c>
    </row>
    <row r="1618" spans="1:7" x14ac:dyDescent="0.2">
      <c r="A1618" t="s">
        <v>71</v>
      </c>
      <c r="B1618" t="s">
        <v>72</v>
      </c>
      <c r="C1618" t="s">
        <v>196</v>
      </c>
      <c r="D1618" t="s">
        <v>74</v>
      </c>
      <c r="E1618" t="s">
        <v>87</v>
      </c>
      <c r="F1618" s="55">
        <v>97</v>
      </c>
      <c r="G1618" s="63">
        <v>0.12280000000000001</v>
      </c>
    </row>
    <row r="1619" spans="1:7" x14ac:dyDescent="0.2">
      <c r="A1619" t="s">
        <v>71</v>
      </c>
      <c r="B1619" t="s">
        <v>72</v>
      </c>
      <c r="C1619" t="s">
        <v>196</v>
      </c>
      <c r="D1619" t="s">
        <v>74</v>
      </c>
      <c r="E1619" t="s">
        <v>88</v>
      </c>
      <c r="F1619" s="55">
        <v>98</v>
      </c>
      <c r="G1619" s="63">
        <v>5.7799999999999997E-2</v>
      </c>
    </row>
    <row r="1620" spans="1:7" x14ac:dyDescent="0.2">
      <c r="A1620" t="s">
        <v>89</v>
      </c>
      <c r="B1620" t="s">
        <v>90</v>
      </c>
      <c r="C1620" t="s">
        <v>196</v>
      </c>
      <c r="D1620" t="s">
        <v>91</v>
      </c>
      <c r="E1620" t="s">
        <v>75</v>
      </c>
      <c r="F1620" s="55">
        <v>105</v>
      </c>
      <c r="G1620" s="63">
        <v>0.88529999999999998</v>
      </c>
    </row>
    <row r="1621" spans="1:7" x14ac:dyDescent="0.2">
      <c r="A1621" t="s">
        <v>89</v>
      </c>
      <c r="B1621" t="s">
        <v>90</v>
      </c>
      <c r="C1621" t="s">
        <v>196</v>
      </c>
      <c r="D1621" t="s">
        <v>91</v>
      </c>
      <c r="E1621" t="s">
        <v>76</v>
      </c>
      <c r="F1621" s="55">
        <v>96</v>
      </c>
      <c r="G1621" s="63">
        <v>0.31640000000000001</v>
      </c>
    </row>
    <row r="1622" spans="1:7" x14ac:dyDescent="0.2">
      <c r="A1622" t="s">
        <v>89</v>
      </c>
      <c r="B1622" t="s">
        <v>90</v>
      </c>
      <c r="C1622" t="s">
        <v>196</v>
      </c>
      <c r="D1622" t="s">
        <v>91</v>
      </c>
      <c r="E1622" t="s">
        <v>77</v>
      </c>
      <c r="F1622" s="55">
        <v>105</v>
      </c>
      <c r="G1622" s="63">
        <v>0.54</v>
      </c>
    </row>
    <row r="1623" spans="1:7" x14ac:dyDescent="0.2">
      <c r="A1623" t="s">
        <v>89</v>
      </c>
      <c r="B1623" t="s">
        <v>90</v>
      </c>
      <c r="C1623" t="s">
        <v>196</v>
      </c>
      <c r="D1623" t="s">
        <v>91</v>
      </c>
      <c r="E1623" t="s">
        <v>78</v>
      </c>
      <c r="F1623" s="55">
        <v>112</v>
      </c>
      <c r="G1623" s="63">
        <v>0.59379999999999999</v>
      </c>
    </row>
    <row r="1624" spans="1:7" x14ac:dyDescent="0.2">
      <c r="A1624" t="s">
        <v>89</v>
      </c>
      <c r="B1624" t="s">
        <v>90</v>
      </c>
      <c r="C1624" t="s">
        <v>196</v>
      </c>
      <c r="D1624" t="s">
        <v>91</v>
      </c>
      <c r="E1624" t="s">
        <v>79</v>
      </c>
      <c r="F1624" s="55">
        <v>107</v>
      </c>
      <c r="G1624" s="63">
        <v>0.8206</v>
      </c>
    </row>
    <row r="1625" spans="1:7" x14ac:dyDescent="0.2">
      <c r="A1625" t="s">
        <v>89</v>
      </c>
      <c r="B1625" t="s">
        <v>90</v>
      </c>
      <c r="C1625" t="s">
        <v>196</v>
      </c>
      <c r="D1625" t="s">
        <v>91</v>
      </c>
      <c r="E1625" t="s">
        <v>80</v>
      </c>
      <c r="F1625" s="55">
        <v>102</v>
      </c>
      <c r="G1625" s="63">
        <v>0.4708</v>
      </c>
    </row>
    <row r="1626" spans="1:7" x14ac:dyDescent="0.2">
      <c r="A1626" t="s">
        <v>89</v>
      </c>
      <c r="B1626" t="s">
        <v>90</v>
      </c>
      <c r="C1626" t="s">
        <v>196</v>
      </c>
      <c r="D1626" t="s">
        <v>91</v>
      </c>
      <c r="E1626" t="s">
        <v>81</v>
      </c>
      <c r="F1626" s="55">
        <v>97</v>
      </c>
      <c r="G1626" s="63">
        <v>0.3725</v>
      </c>
    </row>
    <row r="1627" spans="1:7" x14ac:dyDescent="0.2">
      <c r="A1627" t="s">
        <v>89</v>
      </c>
      <c r="B1627" t="s">
        <v>90</v>
      </c>
      <c r="C1627" t="s">
        <v>196</v>
      </c>
      <c r="D1627" t="s">
        <v>91</v>
      </c>
      <c r="E1627" t="s">
        <v>82</v>
      </c>
      <c r="F1627" s="55">
        <v>100</v>
      </c>
      <c r="G1627" s="63">
        <v>0.7107</v>
      </c>
    </row>
    <row r="1628" spans="1:7" x14ac:dyDescent="0.2">
      <c r="A1628" t="s">
        <v>89</v>
      </c>
      <c r="B1628" t="s">
        <v>90</v>
      </c>
      <c r="C1628" t="s">
        <v>196</v>
      </c>
      <c r="D1628" t="s">
        <v>91</v>
      </c>
      <c r="E1628" t="s">
        <v>83</v>
      </c>
      <c r="F1628" s="55">
        <v>93</v>
      </c>
      <c r="G1628" s="63">
        <v>0.20860000000000001</v>
      </c>
    </row>
    <row r="1629" spans="1:7" x14ac:dyDescent="0.2">
      <c r="A1629" t="s">
        <v>89</v>
      </c>
      <c r="B1629" t="s">
        <v>90</v>
      </c>
      <c r="C1629" t="s">
        <v>196</v>
      </c>
      <c r="D1629" t="s">
        <v>91</v>
      </c>
      <c r="E1629" t="s">
        <v>84</v>
      </c>
      <c r="F1629" s="55">
        <v>113</v>
      </c>
      <c r="G1629" s="63">
        <v>0.5121</v>
      </c>
    </row>
    <row r="1630" spans="1:7" x14ac:dyDescent="0.2">
      <c r="A1630" t="s">
        <v>89</v>
      </c>
      <c r="B1630" t="s">
        <v>90</v>
      </c>
      <c r="C1630" t="s">
        <v>196</v>
      </c>
      <c r="D1630" t="s">
        <v>91</v>
      </c>
      <c r="E1630" t="s">
        <v>85</v>
      </c>
      <c r="F1630" s="55">
        <v>105</v>
      </c>
      <c r="G1630" s="63">
        <v>0.6028</v>
      </c>
    </row>
    <row r="1631" spans="1:7" x14ac:dyDescent="0.2">
      <c r="A1631" t="s">
        <v>89</v>
      </c>
      <c r="B1631" t="s">
        <v>90</v>
      </c>
      <c r="C1631" t="s">
        <v>196</v>
      </c>
      <c r="D1631" t="s">
        <v>91</v>
      </c>
      <c r="E1631" t="s">
        <v>86</v>
      </c>
      <c r="F1631" s="55">
        <v>104</v>
      </c>
      <c r="G1631" s="63">
        <v>0.64059999999999995</v>
      </c>
    </row>
    <row r="1632" spans="1:7" x14ac:dyDescent="0.2">
      <c r="A1632" t="s">
        <v>89</v>
      </c>
      <c r="B1632" t="s">
        <v>90</v>
      </c>
      <c r="C1632" t="s">
        <v>196</v>
      </c>
      <c r="D1632" t="s">
        <v>91</v>
      </c>
      <c r="E1632" t="s">
        <v>87</v>
      </c>
      <c r="F1632" s="55">
        <v>105</v>
      </c>
      <c r="G1632" s="63">
        <v>0.66390000000000005</v>
      </c>
    </row>
    <row r="1633" spans="1:7" x14ac:dyDescent="0.2">
      <c r="A1633" t="s">
        <v>89</v>
      </c>
      <c r="B1633" t="s">
        <v>90</v>
      </c>
      <c r="C1633" t="s">
        <v>196</v>
      </c>
      <c r="D1633" t="s">
        <v>91</v>
      </c>
      <c r="E1633" t="s">
        <v>88</v>
      </c>
      <c r="F1633" s="55">
        <v>96</v>
      </c>
      <c r="G1633" s="63">
        <v>0.41799999999999998</v>
      </c>
    </row>
    <row r="1634" spans="1:7" x14ac:dyDescent="0.2">
      <c r="A1634" t="s">
        <v>89</v>
      </c>
      <c r="B1634" t="s">
        <v>93</v>
      </c>
      <c r="C1634" t="s">
        <v>196</v>
      </c>
      <c r="D1634" t="s">
        <v>74</v>
      </c>
      <c r="E1634" t="s">
        <v>75</v>
      </c>
      <c r="F1634" s="55">
        <v>110</v>
      </c>
      <c r="G1634" s="63">
        <v>9.0399999999999994E-2</v>
      </c>
    </row>
    <row r="1635" spans="1:7" x14ac:dyDescent="0.2">
      <c r="A1635" t="s">
        <v>89</v>
      </c>
      <c r="B1635" t="s">
        <v>93</v>
      </c>
      <c r="C1635" t="s">
        <v>196</v>
      </c>
      <c r="D1635" t="s">
        <v>74</v>
      </c>
      <c r="E1635" t="s">
        <v>76</v>
      </c>
      <c r="F1635" s="55">
        <v>105</v>
      </c>
      <c r="G1635" s="63">
        <v>9.9000000000000008E-3</v>
      </c>
    </row>
    <row r="1636" spans="1:7" x14ac:dyDescent="0.2">
      <c r="A1636" t="s">
        <v>89</v>
      </c>
      <c r="B1636" t="s">
        <v>93</v>
      </c>
      <c r="C1636" t="s">
        <v>196</v>
      </c>
      <c r="D1636" t="s">
        <v>74</v>
      </c>
      <c r="E1636" t="s">
        <v>77</v>
      </c>
      <c r="F1636" s="55">
        <v>120</v>
      </c>
      <c r="G1636" s="63">
        <v>3.0099999999999998E-2</v>
      </c>
    </row>
    <row r="1637" spans="1:7" x14ac:dyDescent="0.2">
      <c r="A1637" t="s">
        <v>89</v>
      </c>
      <c r="B1637" t="s">
        <v>93</v>
      </c>
      <c r="C1637" t="s">
        <v>196</v>
      </c>
      <c r="D1637" t="s">
        <v>74</v>
      </c>
      <c r="E1637" t="s">
        <v>78</v>
      </c>
      <c r="F1637" s="55">
        <v>110</v>
      </c>
      <c r="G1637" s="63">
        <v>2.35E-2</v>
      </c>
    </row>
    <row r="1638" spans="1:7" x14ac:dyDescent="0.2">
      <c r="A1638" t="s">
        <v>89</v>
      </c>
      <c r="B1638" t="s">
        <v>93</v>
      </c>
      <c r="C1638" t="s">
        <v>196</v>
      </c>
      <c r="D1638" t="s">
        <v>74</v>
      </c>
      <c r="E1638" t="s">
        <v>79</v>
      </c>
      <c r="F1638" s="55">
        <v>107</v>
      </c>
      <c r="G1638" s="63">
        <v>5.7000000000000002E-2</v>
      </c>
    </row>
    <row r="1639" spans="1:7" x14ac:dyDescent="0.2">
      <c r="A1639" t="s">
        <v>89</v>
      </c>
      <c r="B1639" t="s">
        <v>93</v>
      </c>
      <c r="C1639" t="s">
        <v>196</v>
      </c>
      <c r="D1639" t="s">
        <v>74</v>
      </c>
      <c r="E1639" t="s">
        <v>80</v>
      </c>
      <c r="F1639" s="55">
        <v>107</v>
      </c>
      <c r="G1639" s="63">
        <v>2.1999999999999999E-2</v>
      </c>
    </row>
    <row r="1640" spans="1:7" x14ac:dyDescent="0.2">
      <c r="A1640" t="s">
        <v>89</v>
      </c>
      <c r="B1640" t="s">
        <v>93</v>
      </c>
      <c r="C1640" t="s">
        <v>196</v>
      </c>
      <c r="D1640" t="s">
        <v>74</v>
      </c>
      <c r="E1640" t="s">
        <v>81</v>
      </c>
      <c r="F1640" s="55">
        <v>101</v>
      </c>
      <c r="G1640" s="63">
        <v>2.1399999999999999E-2</v>
      </c>
    </row>
    <row r="1641" spans="1:7" x14ac:dyDescent="0.2">
      <c r="A1641" t="s">
        <v>89</v>
      </c>
      <c r="B1641" t="s">
        <v>93</v>
      </c>
      <c r="C1641" t="s">
        <v>196</v>
      </c>
      <c r="D1641" t="s">
        <v>74</v>
      </c>
      <c r="E1641" t="s">
        <v>82</v>
      </c>
      <c r="F1641" s="55">
        <v>114</v>
      </c>
      <c r="G1641" s="63">
        <v>4.2299999999999997E-2</v>
      </c>
    </row>
    <row r="1642" spans="1:7" x14ac:dyDescent="0.2">
      <c r="A1642" t="s">
        <v>89</v>
      </c>
      <c r="B1642" t="s">
        <v>93</v>
      </c>
      <c r="C1642" t="s">
        <v>196</v>
      </c>
      <c r="D1642" t="s">
        <v>74</v>
      </c>
      <c r="E1642" t="s">
        <v>83</v>
      </c>
      <c r="F1642" s="55">
        <v>96</v>
      </c>
      <c r="G1642" s="63">
        <v>1.03E-2</v>
      </c>
    </row>
    <row r="1643" spans="1:7" x14ac:dyDescent="0.2">
      <c r="A1643" t="s">
        <v>89</v>
      </c>
      <c r="B1643" t="s">
        <v>93</v>
      </c>
      <c r="C1643" t="s">
        <v>196</v>
      </c>
      <c r="D1643" t="s">
        <v>74</v>
      </c>
      <c r="E1643" t="s">
        <v>84</v>
      </c>
      <c r="F1643" s="55">
        <v>113</v>
      </c>
      <c r="G1643" s="63">
        <v>1.8499999999999999E-2</v>
      </c>
    </row>
    <row r="1644" spans="1:7" x14ac:dyDescent="0.2">
      <c r="A1644" t="s">
        <v>89</v>
      </c>
      <c r="B1644" t="s">
        <v>93</v>
      </c>
      <c r="C1644" t="s">
        <v>196</v>
      </c>
      <c r="D1644" t="s">
        <v>74</v>
      </c>
      <c r="E1644" t="s">
        <v>85</v>
      </c>
      <c r="F1644" s="55">
        <v>108</v>
      </c>
      <c r="G1644" s="63">
        <v>2.2499999999999999E-2</v>
      </c>
    </row>
    <row r="1645" spans="1:7" x14ac:dyDescent="0.2">
      <c r="A1645" t="s">
        <v>89</v>
      </c>
      <c r="B1645" t="s">
        <v>93</v>
      </c>
      <c r="C1645" t="s">
        <v>196</v>
      </c>
      <c r="D1645" t="s">
        <v>74</v>
      </c>
      <c r="E1645" t="s">
        <v>86</v>
      </c>
      <c r="F1645" s="55">
        <v>105</v>
      </c>
      <c r="G1645" s="63">
        <v>2.58E-2</v>
      </c>
    </row>
    <row r="1646" spans="1:7" x14ac:dyDescent="0.2">
      <c r="A1646" t="s">
        <v>89</v>
      </c>
      <c r="B1646" t="s">
        <v>93</v>
      </c>
      <c r="C1646" t="s">
        <v>196</v>
      </c>
      <c r="D1646" t="s">
        <v>74</v>
      </c>
      <c r="E1646" t="s">
        <v>87</v>
      </c>
      <c r="F1646" s="55">
        <v>106</v>
      </c>
      <c r="G1646" s="63">
        <v>2.7900000000000001E-2</v>
      </c>
    </row>
    <row r="1647" spans="1:7" x14ac:dyDescent="0.2">
      <c r="A1647" t="s">
        <v>89</v>
      </c>
      <c r="B1647" t="s">
        <v>93</v>
      </c>
      <c r="C1647" t="s">
        <v>196</v>
      </c>
      <c r="D1647" t="s">
        <v>74</v>
      </c>
      <c r="E1647" t="s">
        <v>88</v>
      </c>
      <c r="F1647" s="55">
        <v>97</v>
      </c>
      <c r="G1647" s="63">
        <v>1.67E-2</v>
      </c>
    </row>
    <row r="1648" spans="1:7" x14ac:dyDescent="0.2">
      <c r="A1648" t="s">
        <v>71</v>
      </c>
      <c r="B1648" t="s">
        <v>4</v>
      </c>
      <c r="C1648" t="s">
        <v>196</v>
      </c>
      <c r="D1648" t="s">
        <v>74</v>
      </c>
      <c r="E1648" t="s">
        <v>75</v>
      </c>
      <c r="F1648" s="55">
        <v>98</v>
      </c>
      <c r="G1648" s="63">
        <v>0.39910000000000001</v>
      </c>
    </row>
    <row r="1649" spans="1:7" x14ac:dyDescent="0.2">
      <c r="A1649" t="s">
        <v>71</v>
      </c>
      <c r="B1649" t="s">
        <v>4</v>
      </c>
      <c r="C1649" t="s">
        <v>196</v>
      </c>
      <c r="D1649" t="s">
        <v>74</v>
      </c>
      <c r="E1649" t="s">
        <v>76</v>
      </c>
      <c r="F1649" s="55">
        <v>98</v>
      </c>
      <c r="G1649" s="63">
        <v>4.4499999999999998E-2</v>
      </c>
    </row>
    <row r="1650" spans="1:7" x14ac:dyDescent="0.2">
      <c r="A1650" t="s">
        <v>71</v>
      </c>
      <c r="B1650" t="s">
        <v>4</v>
      </c>
      <c r="C1650" t="s">
        <v>196</v>
      </c>
      <c r="D1650" t="s">
        <v>74</v>
      </c>
      <c r="E1650" t="s">
        <v>77</v>
      </c>
      <c r="F1650" s="55">
        <v>101</v>
      </c>
      <c r="G1650" s="63">
        <v>0.17680000000000001</v>
      </c>
    </row>
    <row r="1651" spans="1:7" x14ac:dyDescent="0.2">
      <c r="A1651" t="s">
        <v>71</v>
      </c>
      <c r="B1651" t="s">
        <v>4</v>
      </c>
      <c r="C1651" t="s">
        <v>196</v>
      </c>
      <c r="D1651" t="s">
        <v>74</v>
      </c>
      <c r="E1651" t="s">
        <v>78</v>
      </c>
      <c r="F1651" s="55">
        <v>98</v>
      </c>
      <c r="G1651" s="63">
        <v>0.1651</v>
      </c>
    </row>
    <row r="1652" spans="1:7" x14ac:dyDescent="0.2">
      <c r="A1652" t="s">
        <v>71</v>
      </c>
      <c r="B1652" t="s">
        <v>4</v>
      </c>
      <c r="C1652" t="s">
        <v>196</v>
      </c>
      <c r="D1652" t="s">
        <v>74</v>
      </c>
      <c r="E1652" t="s">
        <v>79</v>
      </c>
      <c r="F1652" s="55">
        <v>97</v>
      </c>
      <c r="G1652" s="63">
        <v>0.31559999999999999</v>
      </c>
    </row>
    <row r="1653" spans="1:7" x14ac:dyDescent="0.2">
      <c r="A1653" t="s">
        <v>71</v>
      </c>
      <c r="B1653" t="s">
        <v>4</v>
      </c>
      <c r="C1653" t="s">
        <v>196</v>
      </c>
      <c r="D1653" t="s">
        <v>74</v>
      </c>
      <c r="E1653" t="s">
        <v>80</v>
      </c>
      <c r="F1653" s="55">
        <v>95</v>
      </c>
      <c r="G1653" s="63">
        <v>0.1313</v>
      </c>
    </row>
    <row r="1654" spans="1:7" x14ac:dyDescent="0.2">
      <c r="A1654" t="s">
        <v>71</v>
      </c>
      <c r="B1654" t="s">
        <v>4</v>
      </c>
      <c r="C1654" t="s">
        <v>196</v>
      </c>
      <c r="D1654" t="s">
        <v>74</v>
      </c>
      <c r="E1654" t="s">
        <v>81</v>
      </c>
      <c r="F1654" s="55">
        <v>97</v>
      </c>
      <c r="G1654" s="63">
        <v>0.1096</v>
      </c>
    </row>
    <row r="1655" spans="1:7" x14ac:dyDescent="0.2">
      <c r="A1655" t="s">
        <v>71</v>
      </c>
      <c r="B1655" t="s">
        <v>4</v>
      </c>
      <c r="C1655" t="s">
        <v>196</v>
      </c>
      <c r="D1655" t="s">
        <v>74</v>
      </c>
      <c r="E1655" t="s">
        <v>82</v>
      </c>
      <c r="F1655" s="55">
        <v>97</v>
      </c>
      <c r="G1655" s="63">
        <v>0.23</v>
      </c>
    </row>
    <row r="1656" spans="1:7" x14ac:dyDescent="0.2">
      <c r="A1656" t="s">
        <v>71</v>
      </c>
      <c r="B1656" t="s">
        <v>4</v>
      </c>
      <c r="C1656" t="s">
        <v>196</v>
      </c>
      <c r="D1656" t="s">
        <v>74</v>
      </c>
      <c r="E1656" t="s">
        <v>83</v>
      </c>
      <c r="F1656" s="55">
        <v>101</v>
      </c>
      <c r="G1656" s="63">
        <v>4.1200000000000001E-2</v>
      </c>
    </row>
    <row r="1657" spans="1:7" x14ac:dyDescent="0.2">
      <c r="A1657" t="s">
        <v>71</v>
      </c>
      <c r="B1657" t="s">
        <v>4</v>
      </c>
      <c r="C1657" t="s">
        <v>196</v>
      </c>
      <c r="D1657" t="s">
        <v>74</v>
      </c>
      <c r="E1657" t="s">
        <v>84</v>
      </c>
      <c r="F1657" s="55">
        <v>100</v>
      </c>
      <c r="G1657" s="63">
        <v>0.13250000000000001</v>
      </c>
    </row>
    <row r="1658" spans="1:7" x14ac:dyDescent="0.2">
      <c r="A1658" t="s">
        <v>71</v>
      </c>
      <c r="B1658" t="s">
        <v>4</v>
      </c>
      <c r="C1658" t="s">
        <v>196</v>
      </c>
      <c r="D1658" t="s">
        <v>74</v>
      </c>
      <c r="E1658" t="s">
        <v>85</v>
      </c>
      <c r="F1658" s="55">
        <v>95</v>
      </c>
      <c r="G1658" s="63">
        <v>0.15540000000000001</v>
      </c>
    </row>
    <row r="1659" spans="1:7" x14ac:dyDescent="0.2">
      <c r="A1659" t="s">
        <v>71</v>
      </c>
      <c r="B1659" t="s">
        <v>4</v>
      </c>
      <c r="C1659" t="s">
        <v>196</v>
      </c>
      <c r="D1659" t="s">
        <v>74</v>
      </c>
      <c r="E1659" t="s">
        <v>86</v>
      </c>
      <c r="F1659" s="55">
        <v>97</v>
      </c>
      <c r="G1659" s="63">
        <v>0.18479999999999999</v>
      </c>
    </row>
    <row r="1660" spans="1:7" x14ac:dyDescent="0.2">
      <c r="A1660" t="s">
        <v>71</v>
      </c>
      <c r="B1660" t="s">
        <v>4</v>
      </c>
      <c r="C1660" t="s">
        <v>196</v>
      </c>
      <c r="D1660" t="s">
        <v>74</v>
      </c>
      <c r="E1660" t="s">
        <v>87</v>
      </c>
      <c r="F1660" s="55">
        <v>99</v>
      </c>
      <c r="G1660" s="63">
        <v>0.2064</v>
      </c>
    </row>
    <row r="1661" spans="1:7" x14ac:dyDescent="0.2">
      <c r="A1661" t="s">
        <v>71</v>
      </c>
      <c r="B1661" t="s">
        <v>4</v>
      </c>
      <c r="C1661" t="s">
        <v>196</v>
      </c>
      <c r="D1661" t="s">
        <v>74</v>
      </c>
      <c r="E1661" t="s">
        <v>88</v>
      </c>
      <c r="F1661" s="55">
        <v>97</v>
      </c>
      <c r="G1661" s="63">
        <v>8.4900000000000003E-2</v>
      </c>
    </row>
    <row r="1662" spans="1:7" x14ac:dyDescent="0.2">
      <c r="A1662" t="s">
        <v>71</v>
      </c>
      <c r="B1662" t="s">
        <v>94</v>
      </c>
      <c r="C1662" t="s">
        <v>196</v>
      </c>
      <c r="D1662" t="s">
        <v>74</v>
      </c>
      <c r="E1662" t="s">
        <v>75</v>
      </c>
      <c r="F1662" s="55">
        <v>110</v>
      </c>
      <c r="G1662" s="63">
        <v>0.27339999999999998</v>
      </c>
    </row>
    <row r="1663" spans="1:7" x14ac:dyDescent="0.2">
      <c r="A1663" t="s">
        <v>71</v>
      </c>
      <c r="B1663" t="s">
        <v>94</v>
      </c>
      <c r="C1663" t="s">
        <v>196</v>
      </c>
      <c r="D1663" t="s">
        <v>74</v>
      </c>
      <c r="E1663" t="s">
        <v>76</v>
      </c>
      <c r="F1663" s="55">
        <v>110</v>
      </c>
      <c r="G1663" s="63">
        <v>2.5899999999999999E-2</v>
      </c>
    </row>
    <row r="1664" spans="1:7" x14ac:dyDescent="0.2">
      <c r="A1664" t="s">
        <v>71</v>
      </c>
      <c r="B1664" t="s">
        <v>94</v>
      </c>
      <c r="C1664" t="s">
        <v>196</v>
      </c>
      <c r="D1664" t="s">
        <v>74</v>
      </c>
      <c r="E1664" t="s">
        <v>77</v>
      </c>
      <c r="F1664" s="55">
        <v>108</v>
      </c>
      <c r="G1664" s="63">
        <v>8.0399999999999999E-2</v>
      </c>
    </row>
    <row r="1665" spans="1:7" x14ac:dyDescent="0.2">
      <c r="A1665" t="s">
        <v>71</v>
      </c>
      <c r="B1665" t="s">
        <v>94</v>
      </c>
      <c r="C1665" t="s">
        <v>196</v>
      </c>
      <c r="D1665" t="s">
        <v>74</v>
      </c>
      <c r="E1665" t="s">
        <v>78</v>
      </c>
      <c r="F1665" s="55">
        <v>103</v>
      </c>
      <c r="G1665" s="63">
        <v>6.6900000000000001E-2</v>
      </c>
    </row>
    <row r="1666" spans="1:7" x14ac:dyDescent="0.2">
      <c r="A1666" t="s">
        <v>71</v>
      </c>
      <c r="B1666" t="s">
        <v>94</v>
      </c>
      <c r="C1666" t="s">
        <v>196</v>
      </c>
      <c r="D1666" t="s">
        <v>74</v>
      </c>
      <c r="E1666" t="s">
        <v>79</v>
      </c>
      <c r="F1666" s="55">
        <v>114</v>
      </c>
      <c r="G1666" s="63">
        <v>0.16869999999999999</v>
      </c>
    </row>
    <row r="1667" spans="1:7" x14ac:dyDescent="0.2">
      <c r="A1667" t="s">
        <v>71</v>
      </c>
      <c r="B1667" t="s">
        <v>94</v>
      </c>
      <c r="C1667" t="s">
        <v>196</v>
      </c>
      <c r="D1667" t="s">
        <v>74</v>
      </c>
      <c r="E1667" t="s">
        <v>80</v>
      </c>
      <c r="F1667" s="55">
        <v>114</v>
      </c>
      <c r="G1667" s="63">
        <v>5.5300000000000002E-2</v>
      </c>
    </row>
    <row r="1668" spans="1:7" x14ac:dyDescent="0.2">
      <c r="A1668" t="s">
        <v>71</v>
      </c>
      <c r="B1668" t="s">
        <v>94</v>
      </c>
      <c r="C1668" t="s">
        <v>196</v>
      </c>
      <c r="D1668" t="s">
        <v>74</v>
      </c>
      <c r="E1668" t="s">
        <v>81</v>
      </c>
      <c r="F1668" s="55">
        <v>108</v>
      </c>
      <c r="G1668" s="63">
        <v>5.21E-2</v>
      </c>
    </row>
    <row r="1669" spans="1:7" x14ac:dyDescent="0.2">
      <c r="A1669" t="s">
        <v>71</v>
      </c>
      <c r="B1669" t="s">
        <v>94</v>
      </c>
      <c r="C1669" t="s">
        <v>196</v>
      </c>
      <c r="D1669" t="s">
        <v>74</v>
      </c>
      <c r="E1669" t="s">
        <v>82</v>
      </c>
      <c r="F1669" s="55">
        <v>110</v>
      </c>
      <c r="G1669" s="63">
        <v>0.15540000000000001</v>
      </c>
    </row>
    <row r="1670" spans="1:7" x14ac:dyDescent="0.2">
      <c r="A1670" t="s">
        <v>71</v>
      </c>
      <c r="B1670" t="s">
        <v>94</v>
      </c>
      <c r="C1670" t="s">
        <v>196</v>
      </c>
      <c r="D1670" t="s">
        <v>74</v>
      </c>
      <c r="E1670" t="s">
        <v>83</v>
      </c>
      <c r="F1670" s="55">
        <v>106</v>
      </c>
      <c r="G1670" s="63">
        <v>2.3400000000000001E-2</v>
      </c>
    </row>
    <row r="1671" spans="1:7" x14ac:dyDescent="0.2">
      <c r="A1671" t="s">
        <v>71</v>
      </c>
      <c r="B1671" t="s">
        <v>94</v>
      </c>
      <c r="C1671" t="s">
        <v>196</v>
      </c>
      <c r="D1671" t="s">
        <v>74</v>
      </c>
      <c r="E1671" t="s">
        <v>84</v>
      </c>
      <c r="F1671" s="55">
        <v>101</v>
      </c>
      <c r="G1671" s="63">
        <v>5.11E-2</v>
      </c>
    </row>
    <row r="1672" spans="1:7" x14ac:dyDescent="0.2">
      <c r="A1672" t="s">
        <v>71</v>
      </c>
      <c r="B1672" t="s">
        <v>94</v>
      </c>
      <c r="C1672" t="s">
        <v>196</v>
      </c>
      <c r="D1672" t="s">
        <v>74</v>
      </c>
      <c r="E1672" t="s">
        <v>85</v>
      </c>
      <c r="F1672" s="55">
        <v>112</v>
      </c>
      <c r="G1672" s="63">
        <v>6.1699999999999998E-2</v>
      </c>
    </row>
    <row r="1673" spans="1:7" x14ac:dyDescent="0.2">
      <c r="A1673" t="s">
        <v>71</v>
      </c>
      <c r="B1673" t="s">
        <v>94</v>
      </c>
      <c r="C1673" t="s">
        <v>196</v>
      </c>
      <c r="D1673" t="s">
        <v>74</v>
      </c>
      <c r="E1673" t="s">
        <v>86</v>
      </c>
      <c r="F1673" s="55">
        <v>112</v>
      </c>
      <c r="G1673" s="63">
        <v>7.7299999999999994E-2</v>
      </c>
    </row>
    <row r="1674" spans="1:7" x14ac:dyDescent="0.2">
      <c r="A1674" t="s">
        <v>71</v>
      </c>
      <c r="B1674" t="s">
        <v>94</v>
      </c>
      <c r="C1674" t="s">
        <v>196</v>
      </c>
      <c r="D1674" t="s">
        <v>74</v>
      </c>
      <c r="E1674" t="s">
        <v>87</v>
      </c>
      <c r="F1674" s="55">
        <v>113</v>
      </c>
      <c r="G1674" s="63">
        <v>8.6099999999999996E-2</v>
      </c>
    </row>
    <row r="1675" spans="1:7" x14ac:dyDescent="0.2">
      <c r="A1675" t="s">
        <v>71</v>
      </c>
      <c r="B1675" t="s">
        <v>94</v>
      </c>
      <c r="C1675" t="s">
        <v>196</v>
      </c>
      <c r="D1675" t="s">
        <v>74</v>
      </c>
      <c r="E1675" t="s">
        <v>88</v>
      </c>
      <c r="F1675" s="55">
        <v>110</v>
      </c>
      <c r="G1675" s="63">
        <v>4.48E-2</v>
      </c>
    </row>
    <row r="1676" spans="1:7" x14ac:dyDescent="0.2">
      <c r="A1676" t="s">
        <v>89</v>
      </c>
      <c r="B1676" t="s">
        <v>97</v>
      </c>
      <c r="C1676" t="s">
        <v>196</v>
      </c>
      <c r="D1676" t="s">
        <v>74</v>
      </c>
      <c r="E1676" t="s">
        <v>75</v>
      </c>
      <c r="F1676" s="55">
        <v>100</v>
      </c>
      <c r="G1676" s="63">
        <v>0.27889999999999998</v>
      </c>
    </row>
    <row r="1677" spans="1:7" x14ac:dyDescent="0.2">
      <c r="A1677" t="s">
        <v>89</v>
      </c>
      <c r="B1677" t="s">
        <v>97</v>
      </c>
      <c r="C1677" t="s">
        <v>196</v>
      </c>
      <c r="D1677" t="s">
        <v>74</v>
      </c>
      <c r="E1677" t="s">
        <v>76</v>
      </c>
      <c r="F1677" s="55">
        <v>105</v>
      </c>
      <c r="G1677" s="63">
        <v>3.3000000000000002E-2</v>
      </c>
    </row>
    <row r="1678" spans="1:7" x14ac:dyDescent="0.2">
      <c r="A1678" t="s">
        <v>89</v>
      </c>
      <c r="B1678" t="s">
        <v>97</v>
      </c>
      <c r="C1678" t="s">
        <v>196</v>
      </c>
      <c r="D1678" t="s">
        <v>74</v>
      </c>
      <c r="E1678" t="s">
        <v>77</v>
      </c>
      <c r="F1678" s="55">
        <v>104</v>
      </c>
      <c r="G1678" s="63">
        <v>0.1019</v>
      </c>
    </row>
    <row r="1679" spans="1:7" x14ac:dyDescent="0.2">
      <c r="A1679" t="s">
        <v>89</v>
      </c>
      <c r="B1679" t="s">
        <v>97</v>
      </c>
      <c r="C1679" t="s">
        <v>196</v>
      </c>
      <c r="D1679" t="s">
        <v>74</v>
      </c>
      <c r="E1679" t="s">
        <v>78</v>
      </c>
      <c r="F1679" s="55">
        <v>101</v>
      </c>
      <c r="G1679" s="63">
        <v>8.9899999999999994E-2</v>
      </c>
    </row>
    <row r="1680" spans="1:7" x14ac:dyDescent="0.2">
      <c r="A1680" t="s">
        <v>89</v>
      </c>
      <c r="B1680" t="s">
        <v>97</v>
      </c>
      <c r="C1680" t="s">
        <v>196</v>
      </c>
      <c r="D1680" t="s">
        <v>74</v>
      </c>
      <c r="E1680" t="s">
        <v>79</v>
      </c>
      <c r="F1680" s="55">
        <v>99</v>
      </c>
      <c r="G1680" s="63">
        <v>0.20050000000000001</v>
      </c>
    </row>
    <row r="1681" spans="1:7" x14ac:dyDescent="0.2">
      <c r="A1681" t="s">
        <v>89</v>
      </c>
      <c r="B1681" t="s">
        <v>97</v>
      </c>
      <c r="C1681" t="s">
        <v>196</v>
      </c>
      <c r="D1681" t="s">
        <v>74</v>
      </c>
      <c r="E1681" t="s">
        <v>80</v>
      </c>
      <c r="F1681" s="55">
        <v>104</v>
      </c>
      <c r="G1681" s="63">
        <v>7.3099999999999998E-2</v>
      </c>
    </row>
    <row r="1682" spans="1:7" x14ac:dyDescent="0.2">
      <c r="A1682" t="s">
        <v>89</v>
      </c>
      <c r="B1682" t="s">
        <v>97</v>
      </c>
      <c r="C1682" t="s">
        <v>196</v>
      </c>
      <c r="D1682" t="s">
        <v>74</v>
      </c>
      <c r="E1682" t="s">
        <v>81</v>
      </c>
      <c r="F1682" s="55">
        <v>102</v>
      </c>
      <c r="G1682" s="63">
        <v>6.6799999999999998E-2</v>
      </c>
    </row>
    <row r="1683" spans="1:7" x14ac:dyDescent="0.2">
      <c r="A1683" t="s">
        <v>89</v>
      </c>
      <c r="B1683" t="s">
        <v>97</v>
      </c>
      <c r="C1683" t="s">
        <v>196</v>
      </c>
      <c r="D1683" t="s">
        <v>74</v>
      </c>
      <c r="E1683" t="s">
        <v>82</v>
      </c>
      <c r="F1683" s="55">
        <v>94</v>
      </c>
      <c r="G1683" s="63">
        <v>0.11899999999999999</v>
      </c>
    </row>
    <row r="1684" spans="1:7" x14ac:dyDescent="0.2">
      <c r="A1684" t="s">
        <v>89</v>
      </c>
      <c r="B1684" t="s">
        <v>97</v>
      </c>
      <c r="C1684" t="s">
        <v>196</v>
      </c>
      <c r="D1684" t="s">
        <v>74</v>
      </c>
      <c r="E1684" t="s">
        <v>83</v>
      </c>
      <c r="F1684" s="55">
        <v>102</v>
      </c>
      <c r="G1684" s="63">
        <v>3.2300000000000002E-2</v>
      </c>
    </row>
    <row r="1685" spans="1:7" x14ac:dyDescent="0.2">
      <c r="A1685" t="s">
        <v>89</v>
      </c>
      <c r="B1685" t="s">
        <v>97</v>
      </c>
      <c r="C1685" t="s">
        <v>196</v>
      </c>
      <c r="D1685" t="s">
        <v>74</v>
      </c>
      <c r="E1685" t="s">
        <v>84</v>
      </c>
      <c r="F1685" s="55">
        <v>103</v>
      </c>
      <c r="G1685" s="63">
        <v>7.0900000000000005E-2</v>
      </c>
    </row>
    <row r="1686" spans="1:7" x14ac:dyDescent="0.2">
      <c r="A1686" t="s">
        <v>89</v>
      </c>
      <c r="B1686" t="s">
        <v>97</v>
      </c>
      <c r="C1686" t="s">
        <v>196</v>
      </c>
      <c r="D1686" t="s">
        <v>74</v>
      </c>
      <c r="E1686" t="s">
        <v>85</v>
      </c>
      <c r="F1686" s="55">
        <v>98</v>
      </c>
      <c r="G1686" s="63">
        <v>8.8300000000000003E-2</v>
      </c>
    </row>
    <row r="1687" spans="1:7" x14ac:dyDescent="0.2">
      <c r="A1687" t="s">
        <v>89</v>
      </c>
      <c r="B1687" t="s">
        <v>97</v>
      </c>
      <c r="C1687" t="s">
        <v>196</v>
      </c>
      <c r="D1687" t="s">
        <v>74</v>
      </c>
      <c r="E1687" t="s">
        <v>86</v>
      </c>
      <c r="F1687" s="55">
        <v>97</v>
      </c>
      <c r="G1687" s="63">
        <v>0.1041</v>
      </c>
    </row>
    <row r="1688" spans="1:7" x14ac:dyDescent="0.2">
      <c r="A1688" t="s">
        <v>89</v>
      </c>
      <c r="B1688" t="s">
        <v>97</v>
      </c>
      <c r="C1688" t="s">
        <v>196</v>
      </c>
      <c r="D1688" t="s">
        <v>74</v>
      </c>
      <c r="E1688" t="s">
        <v>87</v>
      </c>
      <c r="F1688" s="55">
        <v>99</v>
      </c>
      <c r="G1688" s="63">
        <v>0.11310000000000001</v>
      </c>
    </row>
    <row r="1689" spans="1:7" x14ac:dyDescent="0.2">
      <c r="A1689" t="s">
        <v>89</v>
      </c>
      <c r="B1689" t="s">
        <v>97</v>
      </c>
      <c r="C1689" t="s">
        <v>196</v>
      </c>
      <c r="D1689" t="s">
        <v>74</v>
      </c>
      <c r="E1689" t="s">
        <v>88</v>
      </c>
      <c r="F1689" s="55">
        <v>97</v>
      </c>
      <c r="G1689" s="63">
        <v>5.3699999999999998E-2</v>
      </c>
    </row>
    <row r="1690" spans="1:7" x14ac:dyDescent="0.2">
      <c r="A1690" t="s">
        <v>89</v>
      </c>
      <c r="B1690" t="s">
        <v>99</v>
      </c>
      <c r="C1690" t="s">
        <v>196</v>
      </c>
      <c r="D1690" t="s">
        <v>74</v>
      </c>
      <c r="E1690" t="s">
        <v>75</v>
      </c>
      <c r="F1690" s="55">
        <v>59</v>
      </c>
      <c r="G1690" s="63">
        <v>2.5499999999999998E-2</v>
      </c>
    </row>
    <row r="1691" spans="1:7" x14ac:dyDescent="0.2">
      <c r="A1691" t="s">
        <v>89</v>
      </c>
      <c r="B1691" t="s">
        <v>99</v>
      </c>
      <c r="C1691" t="s">
        <v>196</v>
      </c>
      <c r="D1691" t="s">
        <v>74</v>
      </c>
      <c r="E1691" t="s">
        <v>76</v>
      </c>
      <c r="F1691" s="55">
        <v>38</v>
      </c>
      <c r="G1691" s="63">
        <v>1.6999999999999999E-3</v>
      </c>
    </row>
    <row r="1692" spans="1:7" x14ac:dyDescent="0.2">
      <c r="A1692" t="s">
        <v>89</v>
      </c>
      <c r="B1692" t="s">
        <v>99</v>
      </c>
      <c r="C1692" t="s">
        <v>196</v>
      </c>
      <c r="D1692" t="s">
        <v>74</v>
      </c>
      <c r="E1692" t="s">
        <v>77</v>
      </c>
      <c r="F1692" s="55">
        <v>51</v>
      </c>
      <c r="G1692" s="63">
        <v>6.7999999999999996E-3</v>
      </c>
    </row>
    <row r="1693" spans="1:7" x14ac:dyDescent="0.2">
      <c r="A1693" t="s">
        <v>89</v>
      </c>
      <c r="B1693" t="s">
        <v>99</v>
      </c>
      <c r="C1693" t="s">
        <v>196</v>
      </c>
      <c r="D1693" t="s">
        <v>74</v>
      </c>
      <c r="E1693" t="s">
        <v>78</v>
      </c>
      <c r="F1693" s="55">
        <v>57</v>
      </c>
      <c r="G1693" s="63">
        <v>4.7999999999999996E-3</v>
      </c>
    </row>
    <row r="1694" spans="1:7" x14ac:dyDescent="0.2">
      <c r="A1694" t="s">
        <v>89</v>
      </c>
      <c r="B1694" t="s">
        <v>99</v>
      </c>
      <c r="C1694" t="s">
        <v>196</v>
      </c>
      <c r="D1694" t="s">
        <v>74</v>
      </c>
      <c r="E1694" t="s">
        <v>79</v>
      </c>
      <c r="F1694" s="55">
        <v>64</v>
      </c>
      <c r="G1694" s="63">
        <v>1.4200000000000001E-2</v>
      </c>
    </row>
    <row r="1695" spans="1:7" x14ac:dyDescent="0.2">
      <c r="A1695" t="s">
        <v>89</v>
      </c>
      <c r="B1695" t="s">
        <v>99</v>
      </c>
      <c r="C1695" t="s">
        <v>196</v>
      </c>
      <c r="D1695" t="s">
        <v>74</v>
      </c>
      <c r="E1695" t="s">
        <v>80</v>
      </c>
      <c r="F1695" s="55">
        <v>61</v>
      </c>
      <c r="G1695" s="63">
        <v>5.0000000000000001E-3</v>
      </c>
    </row>
    <row r="1696" spans="1:7" x14ac:dyDescent="0.2">
      <c r="A1696" t="s">
        <v>89</v>
      </c>
      <c r="B1696" t="s">
        <v>99</v>
      </c>
      <c r="C1696" t="s">
        <v>196</v>
      </c>
      <c r="D1696" t="s">
        <v>74</v>
      </c>
      <c r="E1696" t="s">
        <v>81</v>
      </c>
      <c r="F1696" s="55">
        <v>57</v>
      </c>
      <c r="G1696" s="63">
        <v>5.5999999999999999E-3</v>
      </c>
    </row>
    <row r="1697" spans="1:7" x14ac:dyDescent="0.2">
      <c r="A1697" t="s">
        <v>89</v>
      </c>
      <c r="B1697" t="s">
        <v>99</v>
      </c>
      <c r="C1697" t="s">
        <v>196</v>
      </c>
      <c r="D1697" t="s">
        <v>74</v>
      </c>
      <c r="E1697" t="s">
        <v>82</v>
      </c>
      <c r="F1697" s="55">
        <v>61</v>
      </c>
      <c r="G1697" s="63">
        <v>8.8000000000000005E-3</v>
      </c>
    </row>
    <row r="1698" spans="1:7" x14ac:dyDescent="0.2">
      <c r="A1698" t="s">
        <v>89</v>
      </c>
      <c r="B1698" t="s">
        <v>99</v>
      </c>
      <c r="C1698" t="s">
        <v>196</v>
      </c>
      <c r="D1698" t="s">
        <v>74</v>
      </c>
      <c r="E1698" t="s">
        <v>83</v>
      </c>
      <c r="F1698" s="55">
        <v>46</v>
      </c>
      <c r="G1698" s="63">
        <v>1.8E-3</v>
      </c>
    </row>
    <row r="1699" spans="1:7" x14ac:dyDescent="0.2">
      <c r="A1699" t="s">
        <v>89</v>
      </c>
      <c r="B1699" t="s">
        <v>99</v>
      </c>
      <c r="C1699" t="s">
        <v>196</v>
      </c>
      <c r="D1699" t="s">
        <v>74</v>
      </c>
      <c r="E1699" t="s">
        <v>84</v>
      </c>
      <c r="F1699" s="55">
        <v>59</v>
      </c>
      <c r="G1699" s="63">
        <v>3.8999999999999998E-3</v>
      </c>
    </row>
    <row r="1700" spans="1:7" x14ac:dyDescent="0.2">
      <c r="A1700" t="s">
        <v>89</v>
      </c>
      <c r="B1700" t="s">
        <v>99</v>
      </c>
      <c r="C1700" t="s">
        <v>196</v>
      </c>
      <c r="D1700" t="s">
        <v>74</v>
      </c>
      <c r="E1700" t="s">
        <v>85</v>
      </c>
      <c r="F1700" s="55">
        <v>67</v>
      </c>
      <c r="G1700" s="63">
        <v>4.8999999999999998E-3</v>
      </c>
    </row>
    <row r="1701" spans="1:7" x14ac:dyDescent="0.2">
      <c r="A1701" t="s">
        <v>89</v>
      </c>
      <c r="B1701" t="s">
        <v>99</v>
      </c>
      <c r="C1701" t="s">
        <v>196</v>
      </c>
      <c r="D1701" t="s">
        <v>74</v>
      </c>
      <c r="E1701" t="s">
        <v>86</v>
      </c>
      <c r="F1701" s="55">
        <v>64</v>
      </c>
      <c r="G1701" s="63">
        <v>5.4999999999999997E-3</v>
      </c>
    </row>
    <row r="1702" spans="1:7" x14ac:dyDescent="0.2">
      <c r="A1702" t="s">
        <v>89</v>
      </c>
      <c r="B1702" t="s">
        <v>99</v>
      </c>
      <c r="C1702" t="s">
        <v>196</v>
      </c>
      <c r="D1702" t="s">
        <v>74</v>
      </c>
      <c r="E1702" t="s">
        <v>87</v>
      </c>
      <c r="F1702" s="55">
        <v>67</v>
      </c>
      <c r="G1702" s="63">
        <v>5.5999999999999999E-3</v>
      </c>
    </row>
    <row r="1703" spans="1:7" x14ac:dyDescent="0.2">
      <c r="A1703" t="s">
        <v>89</v>
      </c>
      <c r="B1703" t="s">
        <v>99</v>
      </c>
      <c r="C1703" t="s">
        <v>196</v>
      </c>
      <c r="D1703" t="s">
        <v>74</v>
      </c>
      <c r="E1703" t="s">
        <v>88</v>
      </c>
      <c r="F1703" s="55">
        <v>43</v>
      </c>
      <c r="G1703" s="63">
        <v>3.3E-3</v>
      </c>
    </row>
    <row r="1704" spans="1:7" x14ac:dyDescent="0.2">
      <c r="A1704" t="s">
        <v>71</v>
      </c>
      <c r="B1704" t="s">
        <v>100</v>
      </c>
      <c r="C1704" t="s">
        <v>196</v>
      </c>
      <c r="D1704" t="s">
        <v>74</v>
      </c>
      <c r="E1704" t="s">
        <v>75</v>
      </c>
      <c r="F1704" s="55">
        <v>101</v>
      </c>
      <c r="G1704" s="63">
        <v>0.2203</v>
      </c>
    </row>
    <row r="1705" spans="1:7" x14ac:dyDescent="0.2">
      <c r="A1705" t="s">
        <v>71</v>
      </c>
      <c r="B1705" t="s">
        <v>100</v>
      </c>
      <c r="C1705" t="s">
        <v>196</v>
      </c>
      <c r="D1705" t="s">
        <v>74</v>
      </c>
      <c r="E1705" t="s">
        <v>76</v>
      </c>
      <c r="F1705" s="55">
        <v>95</v>
      </c>
      <c r="G1705" s="63">
        <v>1.55E-2</v>
      </c>
    </row>
    <row r="1706" spans="1:7" x14ac:dyDescent="0.2">
      <c r="A1706" t="s">
        <v>71</v>
      </c>
      <c r="B1706" t="s">
        <v>100</v>
      </c>
      <c r="C1706" t="s">
        <v>196</v>
      </c>
      <c r="D1706" t="s">
        <v>74</v>
      </c>
      <c r="E1706" t="s">
        <v>77</v>
      </c>
      <c r="F1706" s="55">
        <v>104</v>
      </c>
      <c r="G1706" s="63">
        <v>5.1200000000000002E-2</v>
      </c>
    </row>
    <row r="1707" spans="1:7" x14ac:dyDescent="0.2">
      <c r="A1707" t="s">
        <v>71</v>
      </c>
      <c r="B1707" t="s">
        <v>100</v>
      </c>
      <c r="C1707" t="s">
        <v>196</v>
      </c>
      <c r="D1707" t="s">
        <v>74</v>
      </c>
      <c r="E1707" t="s">
        <v>78</v>
      </c>
      <c r="F1707" s="55">
        <v>95</v>
      </c>
      <c r="G1707" s="63">
        <v>5.0799999999999998E-2</v>
      </c>
    </row>
    <row r="1708" spans="1:7" x14ac:dyDescent="0.2">
      <c r="A1708" t="s">
        <v>71</v>
      </c>
      <c r="B1708" t="s">
        <v>100</v>
      </c>
      <c r="C1708" t="s">
        <v>196</v>
      </c>
      <c r="D1708" t="s">
        <v>74</v>
      </c>
      <c r="E1708" t="s">
        <v>79</v>
      </c>
      <c r="F1708" s="55">
        <v>100</v>
      </c>
      <c r="G1708" s="63">
        <v>0.16980000000000001</v>
      </c>
    </row>
    <row r="1709" spans="1:7" x14ac:dyDescent="0.2">
      <c r="A1709" t="s">
        <v>71</v>
      </c>
      <c r="B1709" t="s">
        <v>100</v>
      </c>
      <c r="C1709" t="s">
        <v>196</v>
      </c>
      <c r="D1709" t="s">
        <v>74</v>
      </c>
      <c r="E1709" t="s">
        <v>80</v>
      </c>
      <c r="F1709" s="55">
        <v>102</v>
      </c>
      <c r="G1709" s="63">
        <v>5.1400000000000001E-2</v>
      </c>
    </row>
    <row r="1710" spans="1:7" x14ac:dyDescent="0.2">
      <c r="A1710" t="s">
        <v>71</v>
      </c>
      <c r="B1710" t="s">
        <v>100</v>
      </c>
      <c r="C1710" t="s">
        <v>196</v>
      </c>
      <c r="D1710" t="s">
        <v>74</v>
      </c>
      <c r="E1710" t="s">
        <v>81</v>
      </c>
      <c r="F1710" s="55">
        <v>101</v>
      </c>
      <c r="G1710" s="63">
        <v>3.2800000000000003E-2</v>
      </c>
    </row>
    <row r="1711" spans="1:7" x14ac:dyDescent="0.2">
      <c r="A1711" t="s">
        <v>71</v>
      </c>
      <c r="B1711" t="s">
        <v>100</v>
      </c>
      <c r="C1711" t="s">
        <v>196</v>
      </c>
      <c r="D1711" t="s">
        <v>74</v>
      </c>
      <c r="E1711" t="s">
        <v>82</v>
      </c>
      <c r="F1711" s="55">
        <v>105</v>
      </c>
      <c r="G1711" s="63">
        <v>0.1084</v>
      </c>
    </row>
    <row r="1712" spans="1:7" x14ac:dyDescent="0.2">
      <c r="A1712" t="s">
        <v>71</v>
      </c>
      <c r="B1712" t="s">
        <v>100</v>
      </c>
      <c r="C1712" t="s">
        <v>196</v>
      </c>
      <c r="D1712" t="s">
        <v>74</v>
      </c>
      <c r="E1712" t="s">
        <v>83</v>
      </c>
      <c r="F1712" s="55">
        <v>92</v>
      </c>
      <c r="G1712" s="63">
        <v>1.26E-2</v>
      </c>
    </row>
    <row r="1713" spans="1:7" x14ac:dyDescent="0.2">
      <c r="A1713" t="s">
        <v>71</v>
      </c>
      <c r="B1713" t="s">
        <v>100</v>
      </c>
      <c r="C1713" t="s">
        <v>196</v>
      </c>
      <c r="D1713" t="s">
        <v>74</v>
      </c>
      <c r="E1713" t="s">
        <v>84</v>
      </c>
      <c r="F1713" s="55">
        <v>99</v>
      </c>
      <c r="G1713" s="63">
        <v>3.0599999999999999E-2</v>
      </c>
    </row>
    <row r="1714" spans="1:7" x14ac:dyDescent="0.2">
      <c r="A1714" t="s">
        <v>71</v>
      </c>
      <c r="B1714" t="s">
        <v>100</v>
      </c>
      <c r="C1714" t="s">
        <v>196</v>
      </c>
      <c r="D1714" t="s">
        <v>74</v>
      </c>
      <c r="E1714" t="s">
        <v>85</v>
      </c>
      <c r="F1714" s="55">
        <v>98</v>
      </c>
      <c r="G1714" s="63">
        <v>7.9299999999999995E-2</v>
      </c>
    </row>
    <row r="1715" spans="1:7" x14ac:dyDescent="0.2">
      <c r="A1715" t="s">
        <v>71</v>
      </c>
      <c r="B1715" t="s">
        <v>100</v>
      </c>
      <c r="C1715" t="s">
        <v>196</v>
      </c>
      <c r="D1715" t="s">
        <v>74</v>
      </c>
      <c r="E1715" t="s">
        <v>86</v>
      </c>
      <c r="F1715" s="55">
        <v>99</v>
      </c>
      <c r="G1715" s="63">
        <v>0.10249999999999999</v>
      </c>
    </row>
    <row r="1716" spans="1:7" x14ac:dyDescent="0.2">
      <c r="A1716" t="s">
        <v>71</v>
      </c>
      <c r="B1716" t="s">
        <v>100</v>
      </c>
      <c r="C1716" t="s">
        <v>196</v>
      </c>
      <c r="D1716" t="s">
        <v>74</v>
      </c>
      <c r="E1716" t="s">
        <v>87</v>
      </c>
      <c r="F1716" s="55">
        <v>102</v>
      </c>
      <c r="G1716" s="63">
        <v>0.10780000000000001</v>
      </c>
    </row>
    <row r="1717" spans="1:7" x14ac:dyDescent="0.2">
      <c r="A1717" t="s">
        <v>71</v>
      </c>
      <c r="B1717" t="s">
        <v>100</v>
      </c>
      <c r="C1717" t="s">
        <v>196</v>
      </c>
      <c r="D1717" t="s">
        <v>74</v>
      </c>
      <c r="E1717" t="s">
        <v>88</v>
      </c>
      <c r="F1717" s="55">
        <v>92</v>
      </c>
      <c r="G1717" s="63">
        <v>2.46E-2</v>
      </c>
    </row>
    <row r="1718" spans="1:7" x14ac:dyDescent="0.2">
      <c r="A1718" t="s">
        <v>71</v>
      </c>
      <c r="B1718" t="s">
        <v>101</v>
      </c>
      <c r="C1718" t="s">
        <v>196</v>
      </c>
      <c r="D1718" t="s">
        <v>74</v>
      </c>
      <c r="E1718" t="s">
        <v>75</v>
      </c>
      <c r="F1718" s="55">
        <v>59</v>
      </c>
      <c r="G1718" s="63">
        <v>0.15010000000000001</v>
      </c>
    </row>
    <row r="1719" spans="1:7" x14ac:dyDescent="0.2">
      <c r="A1719" t="s">
        <v>71</v>
      </c>
      <c r="B1719" t="s">
        <v>101</v>
      </c>
      <c r="C1719" t="s">
        <v>196</v>
      </c>
      <c r="D1719" t="s">
        <v>74</v>
      </c>
      <c r="E1719" t="s">
        <v>76</v>
      </c>
      <c r="F1719" s="55">
        <v>57</v>
      </c>
      <c r="G1719" s="63">
        <v>1.72E-2</v>
      </c>
    </row>
    <row r="1720" spans="1:7" x14ac:dyDescent="0.2">
      <c r="A1720" t="s">
        <v>71</v>
      </c>
      <c r="B1720" t="s">
        <v>101</v>
      </c>
      <c r="C1720" t="s">
        <v>196</v>
      </c>
      <c r="D1720" t="s">
        <v>74</v>
      </c>
      <c r="E1720" t="s">
        <v>77</v>
      </c>
      <c r="F1720" s="55">
        <v>54</v>
      </c>
      <c r="G1720" s="63">
        <v>4.4900000000000002E-2</v>
      </c>
    </row>
    <row r="1721" spans="1:7" x14ac:dyDescent="0.2">
      <c r="A1721" t="s">
        <v>71</v>
      </c>
      <c r="B1721" t="s">
        <v>101</v>
      </c>
      <c r="C1721" t="s">
        <v>196</v>
      </c>
      <c r="D1721" t="s">
        <v>74</v>
      </c>
      <c r="E1721" t="s">
        <v>78</v>
      </c>
      <c r="F1721" s="55">
        <v>59</v>
      </c>
      <c r="G1721" s="63">
        <v>3.8800000000000001E-2</v>
      </c>
    </row>
    <row r="1722" spans="1:7" x14ac:dyDescent="0.2">
      <c r="A1722" t="s">
        <v>71</v>
      </c>
      <c r="B1722" t="s">
        <v>101</v>
      </c>
      <c r="C1722" t="s">
        <v>196</v>
      </c>
      <c r="D1722" t="s">
        <v>74</v>
      </c>
      <c r="E1722" t="s">
        <v>79</v>
      </c>
      <c r="F1722" s="55">
        <v>61</v>
      </c>
      <c r="G1722" s="63">
        <v>0.1062</v>
      </c>
    </row>
    <row r="1723" spans="1:7" x14ac:dyDescent="0.2">
      <c r="A1723" t="s">
        <v>71</v>
      </c>
      <c r="B1723" t="s">
        <v>101</v>
      </c>
      <c r="C1723" t="s">
        <v>196</v>
      </c>
      <c r="D1723" t="s">
        <v>74</v>
      </c>
      <c r="E1723" t="s">
        <v>80</v>
      </c>
      <c r="F1723" s="55">
        <v>59</v>
      </c>
      <c r="G1723" s="63">
        <v>4.1700000000000001E-2</v>
      </c>
    </row>
    <row r="1724" spans="1:7" x14ac:dyDescent="0.2">
      <c r="A1724" t="s">
        <v>71</v>
      </c>
      <c r="B1724" t="s">
        <v>101</v>
      </c>
      <c r="C1724" t="s">
        <v>196</v>
      </c>
      <c r="D1724" t="s">
        <v>74</v>
      </c>
      <c r="E1724" t="s">
        <v>81</v>
      </c>
      <c r="F1724" s="55">
        <v>57</v>
      </c>
      <c r="G1724" s="63">
        <v>4.02E-2</v>
      </c>
    </row>
    <row r="1725" spans="1:7" x14ac:dyDescent="0.2">
      <c r="A1725" t="s">
        <v>71</v>
      </c>
      <c r="B1725" t="s">
        <v>101</v>
      </c>
      <c r="C1725" t="s">
        <v>196</v>
      </c>
      <c r="D1725" t="s">
        <v>74</v>
      </c>
      <c r="E1725" t="s">
        <v>82</v>
      </c>
      <c r="F1725" s="55">
        <v>61</v>
      </c>
      <c r="G1725" s="63">
        <v>7.0499999999999993E-2</v>
      </c>
    </row>
    <row r="1726" spans="1:7" x14ac:dyDescent="0.2">
      <c r="A1726" t="s">
        <v>71</v>
      </c>
      <c r="B1726" t="s">
        <v>101</v>
      </c>
      <c r="C1726" t="s">
        <v>196</v>
      </c>
      <c r="D1726" t="s">
        <v>74</v>
      </c>
      <c r="E1726" t="s">
        <v>83</v>
      </c>
      <c r="F1726" s="55">
        <v>57</v>
      </c>
      <c r="G1726" s="63">
        <v>1.83E-2</v>
      </c>
    </row>
    <row r="1727" spans="1:7" x14ac:dyDescent="0.2">
      <c r="A1727" t="s">
        <v>71</v>
      </c>
      <c r="B1727" t="s">
        <v>101</v>
      </c>
      <c r="C1727" t="s">
        <v>196</v>
      </c>
      <c r="D1727" t="s">
        <v>74</v>
      </c>
      <c r="E1727" t="s">
        <v>84</v>
      </c>
      <c r="F1727" s="55">
        <v>59</v>
      </c>
      <c r="G1727" s="63">
        <v>2.8000000000000001E-2</v>
      </c>
    </row>
    <row r="1728" spans="1:7" x14ac:dyDescent="0.2">
      <c r="A1728" t="s">
        <v>71</v>
      </c>
      <c r="B1728" t="s">
        <v>101</v>
      </c>
      <c r="C1728" t="s">
        <v>196</v>
      </c>
      <c r="D1728" t="s">
        <v>74</v>
      </c>
      <c r="E1728" t="s">
        <v>85</v>
      </c>
      <c r="F1728" s="55">
        <v>57</v>
      </c>
      <c r="G1728" s="63">
        <v>4.3299999999999998E-2</v>
      </c>
    </row>
    <row r="1729" spans="1:7" x14ac:dyDescent="0.2">
      <c r="A1729" t="s">
        <v>71</v>
      </c>
      <c r="B1729" t="s">
        <v>101</v>
      </c>
      <c r="C1729" t="s">
        <v>196</v>
      </c>
      <c r="D1729" t="s">
        <v>74</v>
      </c>
      <c r="E1729" t="s">
        <v>86</v>
      </c>
      <c r="F1729" s="55">
        <v>59</v>
      </c>
      <c r="G1729" s="63">
        <v>5.2600000000000001E-2</v>
      </c>
    </row>
    <row r="1730" spans="1:7" x14ac:dyDescent="0.2">
      <c r="A1730" t="s">
        <v>71</v>
      </c>
      <c r="B1730" t="s">
        <v>101</v>
      </c>
      <c r="C1730" t="s">
        <v>196</v>
      </c>
      <c r="D1730" t="s">
        <v>74</v>
      </c>
      <c r="E1730" t="s">
        <v>87</v>
      </c>
      <c r="F1730" s="55">
        <v>62</v>
      </c>
      <c r="G1730" s="63">
        <v>5.8400000000000001E-2</v>
      </c>
    </row>
    <row r="1731" spans="1:7" x14ac:dyDescent="0.2">
      <c r="A1731" t="s">
        <v>71</v>
      </c>
      <c r="B1731" t="s">
        <v>101</v>
      </c>
      <c r="C1731" t="s">
        <v>196</v>
      </c>
      <c r="D1731" t="s">
        <v>74</v>
      </c>
      <c r="E1731" t="s">
        <v>88</v>
      </c>
      <c r="F1731" s="55">
        <v>58</v>
      </c>
      <c r="G1731" s="63">
        <v>2.92E-2</v>
      </c>
    </row>
    <row r="1732" spans="1:7" x14ac:dyDescent="0.2">
      <c r="A1732" t="s">
        <v>89</v>
      </c>
      <c r="B1732" t="s">
        <v>102</v>
      </c>
      <c r="C1732" t="s">
        <v>196</v>
      </c>
      <c r="D1732" t="s">
        <v>74</v>
      </c>
      <c r="E1732" t="s">
        <v>75</v>
      </c>
      <c r="F1732" s="55">
        <v>97</v>
      </c>
      <c r="G1732" s="63">
        <v>0.1202</v>
      </c>
    </row>
    <row r="1733" spans="1:7" x14ac:dyDescent="0.2">
      <c r="A1733" t="s">
        <v>89</v>
      </c>
      <c r="B1733" t="s">
        <v>102</v>
      </c>
      <c r="C1733" t="s">
        <v>196</v>
      </c>
      <c r="D1733" t="s">
        <v>74</v>
      </c>
      <c r="E1733" t="s">
        <v>76</v>
      </c>
      <c r="F1733" s="55">
        <v>91</v>
      </c>
      <c r="G1733" s="63">
        <v>1.8200000000000001E-2</v>
      </c>
    </row>
    <row r="1734" spans="1:7" x14ac:dyDescent="0.2">
      <c r="A1734" t="s">
        <v>89</v>
      </c>
      <c r="B1734" t="s">
        <v>102</v>
      </c>
      <c r="C1734" t="s">
        <v>196</v>
      </c>
      <c r="D1734" t="s">
        <v>74</v>
      </c>
      <c r="E1734" t="s">
        <v>77</v>
      </c>
      <c r="F1734" s="55">
        <v>98</v>
      </c>
      <c r="G1734" s="63">
        <v>4.4999999999999998E-2</v>
      </c>
    </row>
    <row r="1735" spans="1:7" x14ac:dyDescent="0.2">
      <c r="A1735" t="s">
        <v>89</v>
      </c>
      <c r="B1735" t="s">
        <v>102</v>
      </c>
      <c r="C1735" t="s">
        <v>196</v>
      </c>
      <c r="D1735" t="s">
        <v>74</v>
      </c>
      <c r="E1735" t="s">
        <v>78</v>
      </c>
      <c r="F1735" s="55">
        <v>90</v>
      </c>
      <c r="G1735" s="63">
        <v>3.44E-2</v>
      </c>
    </row>
    <row r="1736" spans="1:7" x14ac:dyDescent="0.2">
      <c r="A1736" t="s">
        <v>89</v>
      </c>
      <c r="B1736" t="s">
        <v>102</v>
      </c>
      <c r="C1736" t="s">
        <v>196</v>
      </c>
      <c r="D1736" t="s">
        <v>74</v>
      </c>
      <c r="E1736" t="s">
        <v>79</v>
      </c>
      <c r="F1736" s="55">
        <v>98</v>
      </c>
      <c r="G1736" s="63">
        <v>7.1300000000000002E-2</v>
      </c>
    </row>
    <row r="1737" spans="1:7" x14ac:dyDescent="0.2">
      <c r="A1737" t="s">
        <v>89</v>
      </c>
      <c r="B1737" t="s">
        <v>102</v>
      </c>
      <c r="C1737" t="s">
        <v>196</v>
      </c>
      <c r="D1737" t="s">
        <v>74</v>
      </c>
      <c r="E1737" t="s">
        <v>80</v>
      </c>
      <c r="F1737" s="55">
        <v>100</v>
      </c>
      <c r="G1737" s="63">
        <v>2.2200000000000001E-2</v>
      </c>
    </row>
    <row r="1738" spans="1:7" x14ac:dyDescent="0.2">
      <c r="A1738" t="s">
        <v>89</v>
      </c>
      <c r="B1738" t="s">
        <v>102</v>
      </c>
      <c r="C1738" t="s">
        <v>196</v>
      </c>
      <c r="D1738" t="s">
        <v>74</v>
      </c>
      <c r="E1738" t="s">
        <v>81</v>
      </c>
      <c r="F1738" s="55">
        <v>99</v>
      </c>
      <c r="G1738" s="63">
        <v>2.4500000000000001E-2</v>
      </c>
    </row>
    <row r="1739" spans="1:7" x14ac:dyDescent="0.2">
      <c r="A1739" t="s">
        <v>89</v>
      </c>
      <c r="B1739" t="s">
        <v>102</v>
      </c>
      <c r="C1739" t="s">
        <v>196</v>
      </c>
      <c r="D1739" t="s">
        <v>74</v>
      </c>
      <c r="E1739" t="s">
        <v>82</v>
      </c>
      <c r="F1739" s="55">
        <v>102</v>
      </c>
      <c r="G1739" s="63">
        <v>4.82E-2</v>
      </c>
    </row>
    <row r="1740" spans="1:7" x14ac:dyDescent="0.2">
      <c r="A1740" t="s">
        <v>89</v>
      </c>
      <c r="B1740" t="s">
        <v>102</v>
      </c>
      <c r="C1740" t="s">
        <v>196</v>
      </c>
      <c r="D1740" t="s">
        <v>74</v>
      </c>
      <c r="E1740" t="s">
        <v>83</v>
      </c>
      <c r="F1740" s="55">
        <v>95</v>
      </c>
      <c r="G1740" s="63">
        <v>1.3100000000000001E-2</v>
      </c>
    </row>
    <row r="1741" spans="1:7" x14ac:dyDescent="0.2">
      <c r="A1741" t="s">
        <v>89</v>
      </c>
      <c r="B1741" t="s">
        <v>102</v>
      </c>
      <c r="C1741" t="s">
        <v>196</v>
      </c>
      <c r="D1741" t="s">
        <v>74</v>
      </c>
      <c r="E1741" t="s">
        <v>84</v>
      </c>
      <c r="F1741" s="55">
        <v>89</v>
      </c>
      <c r="G1741" s="63">
        <v>2.7699999999999999E-2</v>
      </c>
    </row>
    <row r="1742" spans="1:7" x14ac:dyDescent="0.2">
      <c r="A1742" t="s">
        <v>89</v>
      </c>
      <c r="B1742" t="s">
        <v>102</v>
      </c>
      <c r="C1742" t="s">
        <v>196</v>
      </c>
      <c r="D1742" t="s">
        <v>74</v>
      </c>
      <c r="E1742" t="s">
        <v>85</v>
      </c>
      <c r="F1742" s="55">
        <v>105</v>
      </c>
      <c r="G1742" s="63">
        <v>2.2800000000000001E-2</v>
      </c>
    </row>
    <row r="1743" spans="1:7" x14ac:dyDescent="0.2">
      <c r="A1743" t="s">
        <v>89</v>
      </c>
      <c r="B1743" t="s">
        <v>102</v>
      </c>
      <c r="C1743" t="s">
        <v>196</v>
      </c>
      <c r="D1743" t="s">
        <v>74</v>
      </c>
      <c r="E1743" t="s">
        <v>86</v>
      </c>
      <c r="F1743" s="55">
        <v>98</v>
      </c>
      <c r="G1743" s="63">
        <v>2.8000000000000001E-2</v>
      </c>
    </row>
    <row r="1744" spans="1:7" x14ac:dyDescent="0.2">
      <c r="A1744" t="s">
        <v>89</v>
      </c>
      <c r="B1744" t="s">
        <v>102</v>
      </c>
      <c r="C1744" t="s">
        <v>196</v>
      </c>
      <c r="D1744" t="s">
        <v>74</v>
      </c>
      <c r="E1744" t="s">
        <v>87</v>
      </c>
      <c r="F1744" s="55">
        <v>95</v>
      </c>
      <c r="G1744" s="63">
        <v>3.15E-2</v>
      </c>
    </row>
    <row r="1745" spans="1:7" x14ac:dyDescent="0.2">
      <c r="A1745" t="s">
        <v>89</v>
      </c>
      <c r="B1745" t="s">
        <v>102</v>
      </c>
      <c r="C1745" t="s">
        <v>196</v>
      </c>
      <c r="D1745" t="s">
        <v>74</v>
      </c>
      <c r="E1745" t="s">
        <v>88</v>
      </c>
      <c r="F1745" s="55">
        <v>92</v>
      </c>
      <c r="G1745" s="63">
        <v>2.5100000000000001E-2</v>
      </c>
    </row>
    <row r="1746" spans="1:7" x14ac:dyDescent="0.2">
      <c r="A1746" t="s">
        <v>71</v>
      </c>
      <c r="B1746" t="s">
        <v>104</v>
      </c>
      <c r="C1746" t="s">
        <v>196</v>
      </c>
      <c r="D1746" t="s">
        <v>74</v>
      </c>
      <c r="E1746" t="s">
        <v>75</v>
      </c>
      <c r="F1746" s="55">
        <v>83</v>
      </c>
      <c r="G1746" s="63">
        <v>0.27329999999999999</v>
      </c>
    </row>
    <row r="1747" spans="1:7" x14ac:dyDescent="0.2">
      <c r="A1747" t="s">
        <v>71</v>
      </c>
      <c r="B1747" t="s">
        <v>104</v>
      </c>
      <c r="C1747" t="s">
        <v>196</v>
      </c>
      <c r="D1747" t="s">
        <v>74</v>
      </c>
      <c r="E1747" t="s">
        <v>76</v>
      </c>
      <c r="F1747" s="55">
        <v>83</v>
      </c>
      <c r="G1747" s="63">
        <v>3.6799999999999999E-2</v>
      </c>
    </row>
    <row r="1748" spans="1:7" x14ac:dyDescent="0.2">
      <c r="A1748" t="s">
        <v>71</v>
      </c>
      <c r="B1748" t="s">
        <v>104</v>
      </c>
      <c r="C1748" t="s">
        <v>196</v>
      </c>
      <c r="D1748" t="s">
        <v>74</v>
      </c>
      <c r="E1748" t="s">
        <v>77</v>
      </c>
      <c r="F1748" s="55">
        <v>85</v>
      </c>
      <c r="G1748" s="63">
        <v>0.1009</v>
      </c>
    </row>
    <row r="1749" spans="1:7" x14ac:dyDescent="0.2">
      <c r="A1749" t="s">
        <v>71</v>
      </c>
      <c r="B1749" t="s">
        <v>104</v>
      </c>
      <c r="C1749" t="s">
        <v>196</v>
      </c>
      <c r="D1749" t="s">
        <v>74</v>
      </c>
      <c r="E1749" t="s">
        <v>78</v>
      </c>
      <c r="F1749" s="55">
        <v>84</v>
      </c>
      <c r="G1749" s="63">
        <v>8.8400000000000006E-2</v>
      </c>
    </row>
    <row r="1750" spans="1:7" x14ac:dyDescent="0.2">
      <c r="A1750" t="s">
        <v>71</v>
      </c>
      <c r="B1750" t="s">
        <v>104</v>
      </c>
      <c r="C1750" t="s">
        <v>196</v>
      </c>
      <c r="D1750" t="s">
        <v>74</v>
      </c>
      <c r="E1750" t="s">
        <v>79</v>
      </c>
      <c r="F1750" s="55">
        <v>83</v>
      </c>
      <c r="G1750" s="63">
        <v>0.20660000000000001</v>
      </c>
    </row>
    <row r="1751" spans="1:7" x14ac:dyDescent="0.2">
      <c r="A1751" t="s">
        <v>71</v>
      </c>
      <c r="B1751" t="s">
        <v>104</v>
      </c>
      <c r="C1751" t="s">
        <v>196</v>
      </c>
      <c r="D1751" t="s">
        <v>74</v>
      </c>
      <c r="E1751" t="s">
        <v>80</v>
      </c>
      <c r="F1751" s="55">
        <v>82</v>
      </c>
      <c r="G1751" s="63">
        <v>8.4000000000000005E-2</v>
      </c>
    </row>
    <row r="1752" spans="1:7" x14ac:dyDescent="0.2">
      <c r="A1752" t="s">
        <v>71</v>
      </c>
      <c r="B1752" t="s">
        <v>104</v>
      </c>
      <c r="C1752" t="s">
        <v>196</v>
      </c>
      <c r="D1752" t="s">
        <v>74</v>
      </c>
      <c r="E1752" t="s">
        <v>81</v>
      </c>
      <c r="F1752" s="55">
        <v>82</v>
      </c>
      <c r="G1752" s="63">
        <v>7.1099999999999997E-2</v>
      </c>
    </row>
    <row r="1753" spans="1:7" x14ac:dyDescent="0.2">
      <c r="A1753" t="s">
        <v>71</v>
      </c>
      <c r="B1753" t="s">
        <v>104</v>
      </c>
      <c r="C1753" t="s">
        <v>196</v>
      </c>
      <c r="D1753" t="s">
        <v>74</v>
      </c>
      <c r="E1753" t="s">
        <v>82</v>
      </c>
      <c r="F1753" s="55">
        <v>82</v>
      </c>
      <c r="G1753" s="63">
        <v>0.12590000000000001</v>
      </c>
    </row>
    <row r="1754" spans="1:7" x14ac:dyDescent="0.2">
      <c r="A1754" t="s">
        <v>71</v>
      </c>
      <c r="B1754" t="s">
        <v>104</v>
      </c>
      <c r="C1754" t="s">
        <v>196</v>
      </c>
      <c r="D1754" t="s">
        <v>74</v>
      </c>
      <c r="E1754" t="s">
        <v>83</v>
      </c>
      <c r="F1754" s="55">
        <v>83</v>
      </c>
      <c r="G1754" s="63">
        <v>3.2000000000000001E-2</v>
      </c>
    </row>
    <row r="1755" spans="1:7" x14ac:dyDescent="0.2">
      <c r="A1755" t="s">
        <v>71</v>
      </c>
      <c r="B1755" t="s">
        <v>104</v>
      </c>
      <c r="C1755" t="s">
        <v>196</v>
      </c>
      <c r="D1755" t="s">
        <v>74</v>
      </c>
      <c r="E1755" t="s">
        <v>84</v>
      </c>
      <c r="F1755" s="55">
        <v>85</v>
      </c>
      <c r="G1755" s="63">
        <v>6.9400000000000003E-2</v>
      </c>
    </row>
    <row r="1756" spans="1:7" x14ac:dyDescent="0.2">
      <c r="A1756" t="s">
        <v>71</v>
      </c>
      <c r="B1756" t="s">
        <v>104</v>
      </c>
      <c r="C1756" t="s">
        <v>196</v>
      </c>
      <c r="D1756" t="s">
        <v>74</v>
      </c>
      <c r="E1756" t="s">
        <v>85</v>
      </c>
      <c r="F1756" s="55">
        <v>80</v>
      </c>
      <c r="G1756" s="63">
        <v>0.1004</v>
      </c>
    </row>
    <row r="1757" spans="1:7" x14ac:dyDescent="0.2">
      <c r="A1757" t="s">
        <v>71</v>
      </c>
      <c r="B1757" t="s">
        <v>104</v>
      </c>
      <c r="C1757" t="s">
        <v>196</v>
      </c>
      <c r="D1757" t="s">
        <v>74</v>
      </c>
      <c r="E1757" t="s">
        <v>86</v>
      </c>
      <c r="F1757" s="55">
        <v>81</v>
      </c>
      <c r="G1757" s="63">
        <v>0.1166</v>
      </c>
    </row>
    <row r="1758" spans="1:7" x14ac:dyDescent="0.2">
      <c r="A1758" t="s">
        <v>71</v>
      </c>
      <c r="B1758" t="s">
        <v>104</v>
      </c>
      <c r="C1758" t="s">
        <v>196</v>
      </c>
      <c r="D1758" t="s">
        <v>74</v>
      </c>
      <c r="E1758" t="s">
        <v>87</v>
      </c>
      <c r="F1758" s="55">
        <v>83</v>
      </c>
      <c r="G1758" s="63">
        <v>0.12609999999999999</v>
      </c>
    </row>
    <row r="1759" spans="1:7" x14ac:dyDescent="0.2">
      <c r="A1759" t="s">
        <v>71</v>
      </c>
      <c r="B1759" t="s">
        <v>104</v>
      </c>
      <c r="C1759" t="s">
        <v>196</v>
      </c>
      <c r="D1759" t="s">
        <v>74</v>
      </c>
      <c r="E1759" t="s">
        <v>88</v>
      </c>
      <c r="F1759" s="55">
        <v>82</v>
      </c>
      <c r="G1759" s="63">
        <v>5.4899999999999997E-2</v>
      </c>
    </row>
    <row r="1760" spans="1:7" x14ac:dyDescent="0.2">
      <c r="A1760" t="s">
        <v>71</v>
      </c>
      <c r="B1760" t="s">
        <v>105</v>
      </c>
      <c r="C1760" t="s">
        <v>196</v>
      </c>
      <c r="D1760" t="s">
        <v>74</v>
      </c>
      <c r="E1760" t="s">
        <v>75</v>
      </c>
      <c r="F1760" s="55">
        <v>74</v>
      </c>
      <c r="G1760" s="63">
        <v>4.6199999999999998E-2</v>
      </c>
    </row>
    <row r="1761" spans="1:7" x14ac:dyDescent="0.2">
      <c r="A1761" t="s">
        <v>71</v>
      </c>
      <c r="B1761" t="s">
        <v>105</v>
      </c>
      <c r="C1761" t="s">
        <v>196</v>
      </c>
      <c r="D1761" t="s">
        <v>74</v>
      </c>
      <c r="E1761" t="s">
        <v>76</v>
      </c>
      <c r="F1761" s="55">
        <v>87</v>
      </c>
      <c r="G1761" s="63">
        <v>4.1000000000000003E-3</v>
      </c>
    </row>
    <row r="1762" spans="1:7" x14ac:dyDescent="0.2">
      <c r="A1762" t="s">
        <v>71</v>
      </c>
      <c r="B1762" t="s">
        <v>105</v>
      </c>
      <c r="C1762" t="s">
        <v>196</v>
      </c>
      <c r="D1762" t="s">
        <v>74</v>
      </c>
      <c r="E1762" t="s">
        <v>77</v>
      </c>
      <c r="F1762" s="55">
        <v>78</v>
      </c>
      <c r="G1762" s="63">
        <v>1.1599999999999999E-2</v>
      </c>
    </row>
    <row r="1763" spans="1:7" x14ac:dyDescent="0.2">
      <c r="A1763" t="s">
        <v>71</v>
      </c>
      <c r="B1763" t="s">
        <v>105</v>
      </c>
      <c r="C1763" t="s">
        <v>196</v>
      </c>
      <c r="D1763" t="s">
        <v>74</v>
      </c>
      <c r="E1763" t="s">
        <v>78</v>
      </c>
      <c r="F1763" s="55">
        <v>61</v>
      </c>
      <c r="G1763" s="63">
        <v>8.8000000000000005E-3</v>
      </c>
    </row>
    <row r="1764" spans="1:7" x14ac:dyDescent="0.2">
      <c r="A1764" t="s">
        <v>71</v>
      </c>
      <c r="B1764" t="s">
        <v>105</v>
      </c>
      <c r="C1764" t="s">
        <v>196</v>
      </c>
      <c r="D1764" t="s">
        <v>74</v>
      </c>
      <c r="E1764" t="s">
        <v>79</v>
      </c>
      <c r="F1764" s="55">
        <v>72</v>
      </c>
      <c r="G1764" s="63">
        <v>2.63E-2</v>
      </c>
    </row>
    <row r="1765" spans="1:7" x14ac:dyDescent="0.2">
      <c r="A1765" t="s">
        <v>71</v>
      </c>
      <c r="B1765" t="s">
        <v>105</v>
      </c>
      <c r="C1765" t="s">
        <v>196</v>
      </c>
      <c r="D1765" t="s">
        <v>74</v>
      </c>
      <c r="E1765" t="s">
        <v>80</v>
      </c>
      <c r="F1765" s="55">
        <v>84</v>
      </c>
      <c r="G1765" s="63">
        <v>9.1999999999999998E-3</v>
      </c>
    </row>
    <row r="1766" spans="1:7" x14ac:dyDescent="0.2">
      <c r="A1766" t="s">
        <v>71</v>
      </c>
      <c r="B1766" t="s">
        <v>105</v>
      </c>
      <c r="C1766" t="s">
        <v>196</v>
      </c>
      <c r="D1766" t="s">
        <v>74</v>
      </c>
      <c r="E1766" t="s">
        <v>81</v>
      </c>
      <c r="F1766" s="55">
        <v>76</v>
      </c>
      <c r="G1766" s="63">
        <v>9.2999999999999992E-3</v>
      </c>
    </row>
    <row r="1767" spans="1:7" x14ac:dyDescent="0.2">
      <c r="A1767" t="s">
        <v>71</v>
      </c>
      <c r="B1767" t="s">
        <v>105</v>
      </c>
      <c r="C1767" t="s">
        <v>196</v>
      </c>
      <c r="D1767" t="s">
        <v>74</v>
      </c>
      <c r="E1767" t="s">
        <v>82</v>
      </c>
      <c r="F1767" s="55">
        <v>76</v>
      </c>
      <c r="G1767" s="63">
        <v>1.66E-2</v>
      </c>
    </row>
    <row r="1768" spans="1:7" x14ac:dyDescent="0.2">
      <c r="A1768" t="s">
        <v>71</v>
      </c>
      <c r="B1768" t="s">
        <v>105</v>
      </c>
      <c r="C1768" t="s">
        <v>196</v>
      </c>
      <c r="D1768" t="s">
        <v>74</v>
      </c>
      <c r="E1768" t="s">
        <v>83</v>
      </c>
      <c r="F1768" s="55">
        <v>65</v>
      </c>
      <c r="G1768" s="63">
        <v>3.5999999999999999E-3</v>
      </c>
    </row>
    <row r="1769" spans="1:7" x14ac:dyDescent="0.2">
      <c r="A1769" t="s">
        <v>71</v>
      </c>
      <c r="B1769" t="s">
        <v>105</v>
      </c>
      <c r="C1769" t="s">
        <v>196</v>
      </c>
      <c r="D1769" t="s">
        <v>74</v>
      </c>
      <c r="E1769" t="s">
        <v>84</v>
      </c>
      <c r="F1769" s="55">
        <v>62</v>
      </c>
      <c r="G1769" s="63">
        <v>6.4000000000000003E-3</v>
      </c>
    </row>
    <row r="1770" spans="1:7" x14ac:dyDescent="0.2">
      <c r="A1770" t="s">
        <v>71</v>
      </c>
      <c r="B1770" t="s">
        <v>105</v>
      </c>
      <c r="C1770" t="s">
        <v>196</v>
      </c>
      <c r="D1770" t="s">
        <v>74</v>
      </c>
      <c r="E1770" t="s">
        <v>85</v>
      </c>
      <c r="F1770" s="55">
        <v>76</v>
      </c>
      <c r="G1770" s="63">
        <v>8.6999999999999994E-3</v>
      </c>
    </row>
    <row r="1771" spans="1:7" x14ac:dyDescent="0.2">
      <c r="A1771" t="s">
        <v>71</v>
      </c>
      <c r="B1771" t="s">
        <v>105</v>
      </c>
      <c r="C1771" t="s">
        <v>196</v>
      </c>
      <c r="D1771" t="s">
        <v>74</v>
      </c>
      <c r="E1771" t="s">
        <v>86</v>
      </c>
      <c r="F1771" s="55">
        <v>76</v>
      </c>
      <c r="G1771" s="63">
        <v>1.0999999999999999E-2</v>
      </c>
    </row>
    <row r="1772" spans="1:7" x14ac:dyDescent="0.2">
      <c r="A1772" t="s">
        <v>71</v>
      </c>
      <c r="B1772" t="s">
        <v>105</v>
      </c>
      <c r="C1772" t="s">
        <v>196</v>
      </c>
      <c r="D1772" t="s">
        <v>74</v>
      </c>
      <c r="E1772" t="s">
        <v>87</v>
      </c>
      <c r="F1772" s="55">
        <v>74</v>
      </c>
      <c r="G1772" s="63">
        <v>1.12E-2</v>
      </c>
    </row>
    <row r="1773" spans="1:7" x14ac:dyDescent="0.2">
      <c r="A1773" t="s">
        <v>71</v>
      </c>
      <c r="B1773" t="s">
        <v>105</v>
      </c>
      <c r="C1773" t="s">
        <v>196</v>
      </c>
      <c r="D1773" t="s">
        <v>74</v>
      </c>
      <c r="E1773" t="s">
        <v>88</v>
      </c>
      <c r="F1773" s="55">
        <v>78</v>
      </c>
      <c r="G1773" s="63">
        <v>7.4000000000000003E-3</v>
      </c>
    </row>
    <row r="1774" spans="1:7" x14ac:dyDescent="0.2">
      <c r="A1774" t="s">
        <v>89</v>
      </c>
      <c r="B1774" t="s">
        <v>106</v>
      </c>
      <c r="C1774" t="s">
        <v>196</v>
      </c>
      <c r="D1774" t="s">
        <v>91</v>
      </c>
      <c r="E1774" t="s">
        <v>75</v>
      </c>
      <c r="F1774" s="55">
        <v>106</v>
      </c>
      <c r="G1774" s="63">
        <v>0.88619999999999999</v>
      </c>
    </row>
    <row r="1775" spans="1:7" x14ac:dyDescent="0.2">
      <c r="A1775" t="s">
        <v>89</v>
      </c>
      <c r="B1775" t="s">
        <v>106</v>
      </c>
      <c r="C1775" t="s">
        <v>196</v>
      </c>
      <c r="D1775" t="s">
        <v>91</v>
      </c>
      <c r="E1775" t="s">
        <v>76</v>
      </c>
      <c r="F1775" s="55">
        <v>97</v>
      </c>
      <c r="G1775" s="63">
        <v>0.1996</v>
      </c>
    </row>
    <row r="1776" spans="1:7" x14ac:dyDescent="0.2">
      <c r="A1776" t="s">
        <v>89</v>
      </c>
      <c r="B1776" t="s">
        <v>106</v>
      </c>
      <c r="C1776" t="s">
        <v>196</v>
      </c>
      <c r="D1776" t="s">
        <v>91</v>
      </c>
      <c r="E1776" t="s">
        <v>77</v>
      </c>
      <c r="F1776" s="55">
        <v>107</v>
      </c>
      <c r="G1776" s="63">
        <v>0.4602</v>
      </c>
    </row>
    <row r="1777" spans="1:7" x14ac:dyDescent="0.2">
      <c r="A1777" t="s">
        <v>89</v>
      </c>
      <c r="B1777" t="s">
        <v>106</v>
      </c>
      <c r="C1777" t="s">
        <v>196</v>
      </c>
      <c r="D1777" t="s">
        <v>91</v>
      </c>
      <c r="E1777" t="s">
        <v>78</v>
      </c>
      <c r="F1777" s="55">
        <v>107</v>
      </c>
      <c r="G1777" s="63">
        <v>0.40739999999999998</v>
      </c>
    </row>
    <row r="1778" spans="1:7" x14ac:dyDescent="0.2">
      <c r="A1778" t="s">
        <v>89</v>
      </c>
      <c r="B1778" t="s">
        <v>106</v>
      </c>
      <c r="C1778" t="s">
        <v>196</v>
      </c>
      <c r="D1778" t="s">
        <v>91</v>
      </c>
      <c r="E1778" t="s">
        <v>79</v>
      </c>
      <c r="F1778" s="55">
        <v>108</v>
      </c>
      <c r="G1778" s="63">
        <v>0.80300000000000005</v>
      </c>
    </row>
    <row r="1779" spans="1:7" x14ac:dyDescent="0.2">
      <c r="A1779" t="s">
        <v>89</v>
      </c>
      <c r="B1779" t="s">
        <v>106</v>
      </c>
      <c r="C1779" t="s">
        <v>196</v>
      </c>
      <c r="D1779" t="s">
        <v>91</v>
      </c>
      <c r="E1779" t="s">
        <v>80</v>
      </c>
      <c r="F1779" s="55">
        <v>106</v>
      </c>
      <c r="G1779" s="63">
        <v>0.38069999999999998</v>
      </c>
    </row>
    <row r="1780" spans="1:7" x14ac:dyDescent="0.2">
      <c r="A1780" t="s">
        <v>89</v>
      </c>
      <c r="B1780" t="s">
        <v>106</v>
      </c>
      <c r="C1780" t="s">
        <v>196</v>
      </c>
      <c r="D1780" t="s">
        <v>91</v>
      </c>
      <c r="E1780" t="s">
        <v>81</v>
      </c>
      <c r="F1780" s="55">
        <v>99</v>
      </c>
      <c r="G1780" s="63">
        <v>0.29649999999999999</v>
      </c>
    </row>
    <row r="1781" spans="1:7" x14ac:dyDescent="0.2">
      <c r="A1781" t="s">
        <v>89</v>
      </c>
      <c r="B1781" t="s">
        <v>106</v>
      </c>
      <c r="C1781" t="s">
        <v>196</v>
      </c>
      <c r="D1781" t="s">
        <v>91</v>
      </c>
      <c r="E1781" t="s">
        <v>82</v>
      </c>
      <c r="F1781" s="55">
        <v>103</v>
      </c>
      <c r="G1781" s="63">
        <v>0.68149999999999999</v>
      </c>
    </row>
    <row r="1782" spans="1:7" x14ac:dyDescent="0.2">
      <c r="A1782" t="s">
        <v>89</v>
      </c>
      <c r="B1782" t="s">
        <v>106</v>
      </c>
      <c r="C1782" t="s">
        <v>196</v>
      </c>
      <c r="D1782" t="s">
        <v>91</v>
      </c>
      <c r="E1782" t="s">
        <v>83</v>
      </c>
      <c r="F1782" s="55">
        <v>95</v>
      </c>
      <c r="G1782" s="63">
        <v>0.13519999999999999</v>
      </c>
    </row>
    <row r="1783" spans="1:7" x14ac:dyDescent="0.2">
      <c r="A1783" t="s">
        <v>89</v>
      </c>
      <c r="B1783" t="s">
        <v>106</v>
      </c>
      <c r="C1783" t="s">
        <v>196</v>
      </c>
      <c r="D1783" t="s">
        <v>91</v>
      </c>
      <c r="E1783" t="s">
        <v>84</v>
      </c>
      <c r="F1783" s="55">
        <v>106</v>
      </c>
      <c r="G1783" s="63">
        <v>0.32969999999999999</v>
      </c>
    </row>
    <row r="1784" spans="1:7" x14ac:dyDescent="0.2">
      <c r="A1784" t="s">
        <v>89</v>
      </c>
      <c r="B1784" t="s">
        <v>106</v>
      </c>
      <c r="C1784" t="s">
        <v>196</v>
      </c>
      <c r="D1784" t="s">
        <v>91</v>
      </c>
      <c r="E1784" t="s">
        <v>85</v>
      </c>
      <c r="F1784" s="55">
        <v>107</v>
      </c>
      <c r="G1784" s="63">
        <v>0.53190000000000004</v>
      </c>
    </row>
    <row r="1785" spans="1:7" x14ac:dyDescent="0.2">
      <c r="A1785" t="s">
        <v>89</v>
      </c>
      <c r="B1785" t="s">
        <v>106</v>
      </c>
      <c r="C1785" t="s">
        <v>196</v>
      </c>
      <c r="D1785" t="s">
        <v>91</v>
      </c>
      <c r="E1785" t="s">
        <v>86</v>
      </c>
      <c r="F1785" s="55">
        <v>106</v>
      </c>
      <c r="G1785" s="63">
        <v>0.59789999999999999</v>
      </c>
    </row>
    <row r="1786" spans="1:7" x14ac:dyDescent="0.2">
      <c r="A1786" t="s">
        <v>89</v>
      </c>
      <c r="B1786" t="s">
        <v>106</v>
      </c>
      <c r="C1786" t="s">
        <v>196</v>
      </c>
      <c r="D1786" t="s">
        <v>91</v>
      </c>
      <c r="E1786" t="s">
        <v>87</v>
      </c>
      <c r="F1786" s="55">
        <v>108</v>
      </c>
      <c r="G1786" s="63">
        <v>0.63290000000000002</v>
      </c>
    </row>
    <row r="1787" spans="1:7" x14ac:dyDescent="0.2">
      <c r="A1787" t="s">
        <v>89</v>
      </c>
      <c r="B1787" t="s">
        <v>106</v>
      </c>
      <c r="C1787" t="s">
        <v>196</v>
      </c>
      <c r="D1787" t="s">
        <v>91</v>
      </c>
      <c r="E1787" t="s">
        <v>88</v>
      </c>
      <c r="F1787" s="55">
        <v>98</v>
      </c>
      <c r="G1787" s="63">
        <v>0.30570000000000003</v>
      </c>
    </row>
    <row r="1788" spans="1:7" x14ac:dyDescent="0.2">
      <c r="A1788" t="s">
        <v>89</v>
      </c>
      <c r="B1788" t="s">
        <v>107</v>
      </c>
      <c r="C1788" t="s">
        <v>196</v>
      </c>
      <c r="D1788" t="s">
        <v>74</v>
      </c>
      <c r="E1788" t="s">
        <v>75</v>
      </c>
      <c r="F1788" s="55">
        <v>90</v>
      </c>
      <c r="G1788" s="63">
        <v>9.3200000000000005E-2</v>
      </c>
    </row>
    <row r="1789" spans="1:7" x14ac:dyDescent="0.2">
      <c r="A1789" t="s">
        <v>89</v>
      </c>
      <c r="B1789" t="s">
        <v>107</v>
      </c>
      <c r="C1789" t="s">
        <v>196</v>
      </c>
      <c r="D1789" t="s">
        <v>74</v>
      </c>
      <c r="E1789" t="s">
        <v>76</v>
      </c>
      <c r="F1789" s="55">
        <v>104</v>
      </c>
      <c r="G1789" s="63">
        <v>6.7000000000000002E-3</v>
      </c>
    </row>
    <row r="1790" spans="1:7" x14ac:dyDescent="0.2">
      <c r="A1790" t="s">
        <v>89</v>
      </c>
      <c r="B1790" t="s">
        <v>107</v>
      </c>
      <c r="C1790" t="s">
        <v>196</v>
      </c>
      <c r="D1790" t="s">
        <v>74</v>
      </c>
      <c r="E1790" t="s">
        <v>77</v>
      </c>
      <c r="F1790" s="55">
        <v>100</v>
      </c>
      <c r="G1790" s="63">
        <v>2.3300000000000001E-2</v>
      </c>
    </row>
    <row r="1791" spans="1:7" x14ac:dyDescent="0.2">
      <c r="A1791" t="s">
        <v>89</v>
      </c>
      <c r="B1791" t="s">
        <v>107</v>
      </c>
      <c r="C1791" t="s">
        <v>196</v>
      </c>
      <c r="D1791" t="s">
        <v>74</v>
      </c>
      <c r="E1791" t="s">
        <v>78</v>
      </c>
      <c r="F1791" s="55">
        <v>81</v>
      </c>
      <c r="G1791" s="63">
        <v>2.2599999999999999E-2</v>
      </c>
    </row>
    <row r="1792" spans="1:7" x14ac:dyDescent="0.2">
      <c r="A1792" t="s">
        <v>89</v>
      </c>
      <c r="B1792" t="s">
        <v>107</v>
      </c>
      <c r="C1792" t="s">
        <v>196</v>
      </c>
      <c r="D1792" t="s">
        <v>74</v>
      </c>
      <c r="E1792" t="s">
        <v>79</v>
      </c>
      <c r="F1792" s="55">
        <v>88</v>
      </c>
      <c r="G1792" s="63">
        <v>0.06</v>
      </c>
    </row>
    <row r="1793" spans="1:7" x14ac:dyDescent="0.2">
      <c r="A1793" t="s">
        <v>89</v>
      </c>
      <c r="B1793" t="s">
        <v>107</v>
      </c>
      <c r="C1793" t="s">
        <v>196</v>
      </c>
      <c r="D1793" t="s">
        <v>74</v>
      </c>
      <c r="E1793" t="s">
        <v>80</v>
      </c>
      <c r="F1793" s="55">
        <v>90</v>
      </c>
      <c r="G1793" s="63">
        <v>1.7999999999999999E-2</v>
      </c>
    </row>
    <row r="1794" spans="1:7" x14ac:dyDescent="0.2">
      <c r="A1794" t="s">
        <v>89</v>
      </c>
      <c r="B1794" t="s">
        <v>107</v>
      </c>
      <c r="C1794" t="s">
        <v>196</v>
      </c>
      <c r="D1794" t="s">
        <v>74</v>
      </c>
      <c r="E1794" t="s">
        <v>81</v>
      </c>
      <c r="F1794" s="55">
        <v>89</v>
      </c>
      <c r="G1794" s="63">
        <v>1.7500000000000002E-2</v>
      </c>
    </row>
    <row r="1795" spans="1:7" x14ac:dyDescent="0.2">
      <c r="A1795" t="s">
        <v>89</v>
      </c>
      <c r="B1795" t="s">
        <v>107</v>
      </c>
      <c r="C1795" t="s">
        <v>196</v>
      </c>
      <c r="D1795" t="s">
        <v>74</v>
      </c>
      <c r="E1795" t="s">
        <v>82</v>
      </c>
      <c r="F1795" s="55">
        <v>87</v>
      </c>
      <c r="G1795" s="63">
        <v>3.6200000000000003E-2</v>
      </c>
    </row>
    <row r="1796" spans="1:7" x14ac:dyDescent="0.2">
      <c r="A1796" t="s">
        <v>89</v>
      </c>
      <c r="B1796" t="s">
        <v>107</v>
      </c>
      <c r="C1796" t="s">
        <v>196</v>
      </c>
      <c r="D1796" t="s">
        <v>74</v>
      </c>
      <c r="E1796" t="s">
        <v>83</v>
      </c>
      <c r="F1796" s="55">
        <v>97</v>
      </c>
      <c r="G1796" s="63">
        <v>7.0000000000000001E-3</v>
      </c>
    </row>
    <row r="1797" spans="1:7" x14ac:dyDescent="0.2">
      <c r="A1797" t="s">
        <v>89</v>
      </c>
      <c r="B1797" t="s">
        <v>107</v>
      </c>
      <c r="C1797" t="s">
        <v>196</v>
      </c>
      <c r="D1797" t="s">
        <v>74</v>
      </c>
      <c r="E1797" t="s">
        <v>84</v>
      </c>
      <c r="F1797" s="55">
        <v>81</v>
      </c>
      <c r="G1797" s="63">
        <v>1.38E-2</v>
      </c>
    </row>
    <row r="1798" spans="1:7" x14ac:dyDescent="0.2">
      <c r="A1798" t="s">
        <v>89</v>
      </c>
      <c r="B1798" t="s">
        <v>107</v>
      </c>
      <c r="C1798" t="s">
        <v>196</v>
      </c>
      <c r="D1798" t="s">
        <v>74</v>
      </c>
      <c r="E1798" t="s">
        <v>85</v>
      </c>
      <c r="F1798" s="55">
        <v>92</v>
      </c>
      <c r="G1798" s="63">
        <v>1.9699999999999999E-2</v>
      </c>
    </row>
    <row r="1799" spans="1:7" x14ac:dyDescent="0.2">
      <c r="A1799" t="s">
        <v>89</v>
      </c>
      <c r="B1799" t="s">
        <v>107</v>
      </c>
      <c r="C1799" t="s">
        <v>196</v>
      </c>
      <c r="D1799" t="s">
        <v>74</v>
      </c>
      <c r="E1799" t="s">
        <v>86</v>
      </c>
      <c r="F1799" s="55">
        <v>93</v>
      </c>
      <c r="G1799" s="63">
        <v>2.4899999999999999E-2</v>
      </c>
    </row>
    <row r="1800" spans="1:7" x14ac:dyDescent="0.2">
      <c r="A1800" t="s">
        <v>89</v>
      </c>
      <c r="B1800" t="s">
        <v>107</v>
      </c>
      <c r="C1800" t="s">
        <v>196</v>
      </c>
      <c r="D1800" t="s">
        <v>74</v>
      </c>
      <c r="E1800" t="s">
        <v>87</v>
      </c>
      <c r="F1800" s="55">
        <v>89</v>
      </c>
      <c r="G1800" s="63">
        <v>2.7E-2</v>
      </c>
    </row>
    <row r="1801" spans="1:7" x14ac:dyDescent="0.2">
      <c r="A1801" t="s">
        <v>89</v>
      </c>
      <c r="B1801" t="s">
        <v>107</v>
      </c>
      <c r="C1801" t="s">
        <v>196</v>
      </c>
      <c r="D1801" t="s">
        <v>74</v>
      </c>
      <c r="E1801" t="s">
        <v>88</v>
      </c>
      <c r="F1801" s="55">
        <v>99</v>
      </c>
      <c r="G1801" s="63">
        <v>1.23E-2</v>
      </c>
    </row>
    <row r="1802" spans="1:7" x14ac:dyDescent="0.2">
      <c r="A1802" t="s">
        <v>71</v>
      </c>
      <c r="B1802" t="s">
        <v>5</v>
      </c>
      <c r="C1802" t="s">
        <v>196</v>
      </c>
      <c r="D1802" t="s">
        <v>74</v>
      </c>
      <c r="E1802" t="s">
        <v>75</v>
      </c>
      <c r="F1802" s="55">
        <v>98</v>
      </c>
      <c r="G1802" s="63">
        <v>0.35970000000000002</v>
      </c>
    </row>
    <row r="1803" spans="1:7" x14ac:dyDescent="0.2">
      <c r="A1803" t="s">
        <v>71</v>
      </c>
      <c r="B1803" t="s">
        <v>5</v>
      </c>
      <c r="C1803" t="s">
        <v>196</v>
      </c>
      <c r="D1803" t="s">
        <v>74</v>
      </c>
      <c r="E1803" t="s">
        <v>76</v>
      </c>
      <c r="F1803" s="55">
        <v>97</v>
      </c>
      <c r="G1803" s="63">
        <v>5.6500000000000002E-2</v>
      </c>
    </row>
    <row r="1804" spans="1:7" x14ac:dyDescent="0.2">
      <c r="A1804" t="s">
        <v>71</v>
      </c>
      <c r="B1804" t="s">
        <v>5</v>
      </c>
      <c r="C1804" t="s">
        <v>196</v>
      </c>
      <c r="D1804" t="s">
        <v>74</v>
      </c>
      <c r="E1804" t="s">
        <v>77</v>
      </c>
      <c r="F1804" s="55">
        <v>98</v>
      </c>
      <c r="G1804" s="63">
        <v>0.1273</v>
      </c>
    </row>
    <row r="1805" spans="1:7" x14ac:dyDescent="0.2">
      <c r="A1805" t="s">
        <v>71</v>
      </c>
      <c r="B1805" t="s">
        <v>5</v>
      </c>
      <c r="C1805" t="s">
        <v>196</v>
      </c>
      <c r="D1805" t="s">
        <v>74</v>
      </c>
      <c r="E1805" t="s">
        <v>78</v>
      </c>
      <c r="F1805" s="55">
        <v>100</v>
      </c>
      <c r="G1805" s="63">
        <v>0.14599999999999999</v>
      </c>
    </row>
    <row r="1806" spans="1:7" x14ac:dyDescent="0.2">
      <c r="A1806" t="s">
        <v>71</v>
      </c>
      <c r="B1806" t="s">
        <v>5</v>
      </c>
      <c r="C1806" t="s">
        <v>196</v>
      </c>
      <c r="D1806" t="s">
        <v>74</v>
      </c>
      <c r="E1806" t="s">
        <v>79</v>
      </c>
      <c r="F1806" s="55">
        <v>98</v>
      </c>
      <c r="G1806" s="63">
        <v>0.25409999999999999</v>
      </c>
    </row>
    <row r="1807" spans="1:7" x14ac:dyDescent="0.2">
      <c r="A1807" t="s">
        <v>71</v>
      </c>
      <c r="B1807" t="s">
        <v>5</v>
      </c>
      <c r="C1807" t="s">
        <v>196</v>
      </c>
      <c r="D1807" t="s">
        <v>74</v>
      </c>
      <c r="E1807" t="s">
        <v>80</v>
      </c>
      <c r="F1807" s="55">
        <v>99</v>
      </c>
      <c r="G1807" s="63">
        <v>6.6900000000000001E-2</v>
      </c>
    </row>
    <row r="1808" spans="1:7" x14ac:dyDescent="0.2">
      <c r="A1808" t="s">
        <v>71</v>
      </c>
      <c r="B1808" t="s">
        <v>5</v>
      </c>
      <c r="C1808" t="s">
        <v>196</v>
      </c>
      <c r="D1808" t="s">
        <v>74</v>
      </c>
      <c r="E1808" t="s">
        <v>81</v>
      </c>
      <c r="F1808" s="55">
        <v>96</v>
      </c>
      <c r="G1808" s="63">
        <v>6.3600000000000004E-2</v>
      </c>
    </row>
    <row r="1809" spans="1:7" x14ac:dyDescent="0.2">
      <c r="A1809" t="s">
        <v>71</v>
      </c>
      <c r="B1809" t="s">
        <v>5</v>
      </c>
      <c r="C1809" t="s">
        <v>196</v>
      </c>
      <c r="D1809" t="s">
        <v>74</v>
      </c>
      <c r="E1809" t="s">
        <v>82</v>
      </c>
      <c r="F1809" s="55">
        <v>100</v>
      </c>
      <c r="G1809" s="63">
        <v>0.1812</v>
      </c>
    </row>
    <row r="1810" spans="1:7" x14ac:dyDescent="0.2">
      <c r="A1810" t="s">
        <v>71</v>
      </c>
      <c r="B1810" t="s">
        <v>5</v>
      </c>
      <c r="C1810" t="s">
        <v>196</v>
      </c>
      <c r="D1810" t="s">
        <v>74</v>
      </c>
      <c r="E1810" t="s">
        <v>83</v>
      </c>
      <c r="F1810" s="55">
        <v>96</v>
      </c>
      <c r="G1810" s="63">
        <v>3.6299999999999999E-2</v>
      </c>
    </row>
    <row r="1811" spans="1:7" x14ac:dyDescent="0.2">
      <c r="A1811" t="s">
        <v>71</v>
      </c>
      <c r="B1811" t="s">
        <v>5</v>
      </c>
      <c r="C1811" t="s">
        <v>196</v>
      </c>
      <c r="D1811" t="s">
        <v>74</v>
      </c>
      <c r="E1811" t="s">
        <v>84</v>
      </c>
      <c r="F1811" s="55">
        <v>100</v>
      </c>
      <c r="G1811" s="63">
        <v>0.1099</v>
      </c>
    </row>
    <row r="1812" spans="1:7" x14ac:dyDescent="0.2">
      <c r="A1812" t="s">
        <v>71</v>
      </c>
      <c r="B1812" t="s">
        <v>5</v>
      </c>
      <c r="C1812" t="s">
        <v>196</v>
      </c>
      <c r="D1812" t="s">
        <v>74</v>
      </c>
      <c r="E1812" t="s">
        <v>85</v>
      </c>
      <c r="F1812" s="55">
        <v>98</v>
      </c>
      <c r="G1812" s="63">
        <v>8.4099999999999994E-2</v>
      </c>
    </row>
    <row r="1813" spans="1:7" x14ac:dyDescent="0.2">
      <c r="A1813" t="s">
        <v>71</v>
      </c>
      <c r="B1813" t="s">
        <v>5</v>
      </c>
      <c r="C1813" t="s">
        <v>196</v>
      </c>
      <c r="D1813" t="s">
        <v>74</v>
      </c>
      <c r="E1813" t="s">
        <v>86</v>
      </c>
      <c r="F1813" s="55">
        <v>97</v>
      </c>
      <c r="G1813" s="63">
        <v>0.1085</v>
      </c>
    </row>
    <row r="1814" spans="1:7" x14ac:dyDescent="0.2">
      <c r="A1814" t="s">
        <v>71</v>
      </c>
      <c r="B1814" t="s">
        <v>5</v>
      </c>
      <c r="C1814" t="s">
        <v>196</v>
      </c>
      <c r="D1814" t="s">
        <v>74</v>
      </c>
      <c r="E1814" t="s">
        <v>87</v>
      </c>
      <c r="F1814" s="55">
        <v>98</v>
      </c>
      <c r="G1814" s="63">
        <v>0.12379999999999999</v>
      </c>
    </row>
    <row r="1815" spans="1:7" x14ac:dyDescent="0.2">
      <c r="A1815" t="s">
        <v>71</v>
      </c>
      <c r="B1815" t="s">
        <v>5</v>
      </c>
      <c r="C1815" t="s">
        <v>196</v>
      </c>
      <c r="D1815" t="s">
        <v>74</v>
      </c>
      <c r="E1815" t="s">
        <v>88</v>
      </c>
      <c r="F1815" s="55">
        <v>97</v>
      </c>
      <c r="G1815" s="63">
        <v>8.0199999999999994E-2</v>
      </c>
    </row>
    <row r="1816" spans="1:7" x14ac:dyDescent="0.2">
      <c r="A1816" t="s">
        <v>71</v>
      </c>
      <c r="B1816" t="s">
        <v>6</v>
      </c>
      <c r="C1816" t="s">
        <v>196</v>
      </c>
      <c r="D1816" t="s">
        <v>74</v>
      </c>
      <c r="E1816" t="s">
        <v>75</v>
      </c>
      <c r="F1816" s="55">
        <v>93</v>
      </c>
      <c r="G1816" s="63">
        <v>0.43959999999999999</v>
      </c>
    </row>
    <row r="1817" spans="1:7" x14ac:dyDescent="0.2">
      <c r="A1817" t="s">
        <v>71</v>
      </c>
      <c r="B1817" t="s">
        <v>6</v>
      </c>
      <c r="C1817" t="s">
        <v>196</v>
      </c>
      <c r="D1817" t="s">
        <v>74</v>
      </c>
      <c r="E1817" t="s">
        <v>76</v>
      </c>
      <c r="F1817" s="55">
        <v>91</v>
      </c>
      <c r="G1817" s="63">
        <v>0.11899999999999999</v>
      </c>
    </row>
    <row r="1818" spans="1:7" x14ac:dyDescent="0.2">
      <c r="A1818" t="s">
        <v>71</v>
      </c>
      <c r="B1818" t="s">
        <v>6</v>
      </c>
      <c r="C1818" t="s">
        <v>196</v>
      </c>
      <c r="D1818" t="s">
        <v>74</v>
      </c>
      <c r="E1818" t="s">
        <v>77</v>
      </c>
      <c r="F1818" s="55">
        <v>97</v>
      </c>
      <c r="G1818" s="63">
        <v>0.25109999999999999</v>
      </c>
    </row>
    <row r="1819" spans="1:7" x14ac:dyDescent="0.2">
      <c r="A1819" t="s">
        <v>71</v>
      </c>
      <c r="B1819" t="s">
        <v>6</v>
      </c>
      <c r="C1819" t="s">
        <v>196</v>
      </c>
      <c r="D1819" t="s">
        <v>74</v>
      </c>
      <c r="E1819" t="s">
        <v>78</v>
      </c>
      <c r="F1819" s="55">
        <v>92</v>
      </c>
      <c r="G1819" s="63">
        <v>0.21240000000000001</v>
      </c>
    </row>
    <row r="1820" spans="1:7" x14ac:dyDescent="0.2">
      <c r="A1820" t="s">
        <v>71</v>
      </c>
      <c r="B1820" t="s">
        <v>6</v>
      </c>
      <c r="C1820" t="s">
        <v>196</v>
      </c>
      <c r="D1820" t="s">
        <v>74</v>
      </c>
      <c r="E1820" t="s">
        <v>79</v>
      </c>
      <c r="F1820" s="55">
        <v>92</v>
      </c>
      <c r="G1820" s="63">
        <v>0.33189999999999997</v>
      </c>
    </row>
    <row r="1821" spans="1:7" x14ac:dyDescent="0.2">
      <c r="A1821" t="s">
        <v>71</v>
      </c>
      <c r="B1821" t="s">
        <v>6</v>
      </c>
      <c r="C1821" t="s">
        <v>196</v>
      </c>
      <c r="D1821" t="s">
        <v>74</v>
      </c>
      <c r="E1821" t="s">
        <v>80</v>
      </c>
      <c r="F1821" s="55">
        <v>92</v>
      </c>
      <c r="G1821" s="63">
        <v>0.1661</v>
      </c>
    </row>
    <row r="1822" spans="1:7" x14ac:dyDescent="0.2">
      <c r="A1822" t="s">
        <v>71</v>
      </c>
      <c r="B1822" t="s">
        <v>6</v>
      </c>
      <c r="C1822" t="s">
        <v>196</v>
      </c>
      <c r="D1822" t="s">
        <v>74</v>
      </c>
      <c r="E1822" t="s">
        <v>81</v>
      </c>
      <c r="F1822" s="55">
        <v>91</v>
      </c>
      <c r="G1822" s="63">
        <v>0.14580000000000001</v>
      </c>
    </row>
    <row r="1823" spans="1:7" x14ac:dyDescent="0.2">
      <c r="A1823" t="s">
        <v>71</v>
      </c>
      <c r="B1823" t="s">
        <v>6</v>
      </c>
      <c r="C1823" t="s">
        <v>196</v>
      </c>
      <c r="D1823" t="s">
        <v>74</v>
      </c>
      <c r="E1823" t="s">
        <v>82</v>
      </c>
      <c r="F1823" s="55">
        <v>93</v>
      </c>
      <c r="G1823" s="63">
        <v>0.30940000000000001</v>
      </c>
    </row>
    <row r="1824" spans="1:7" x14ac:dyDescent="0.2">
      <c r="A1824" t="s">
        <v>71</v>
      </c>
      <c r="B1824" t="s">
        <v>6</v>
      </c>
      <c r="C1824" t="s">
        <v>196</v>
      </c>
      <c r="D1824" t="s">
        <v>74</v>
      </c>
      <c r="E1824" t="s">
        <v>83</v>
      </c>
      <c r="F1824" s="55">
        <v>87</v>
      </c>
      <c r="G1824" s="63">
        <v>8.2500000000000004E-2</v>
      </c>
    </row>
    <row r="1825" spans="1:7" x14ac:dyDescent="0.2">
      <c r="A1825" t="s">
        <v>71</v>
      </c>
      <c r="B1825" t="s">
        <v>6</v>
      </c>
      <c r="C1825" t="s">
        <v>196</v>
      </c>
      <c r="D1825" t="s">
        <v>74</v>
      </c>
      <c r="E1825" t="s">
        <v>84</v>
      </c>
      <c r="F1825" s="55">
        <v>93</v>
      </c>
      <c r="G1825" s="63">
        <v>0.1893</v>
      </c>
    </row>
    <row r="1826" spans="1:7" x14ac:dyDescent="0.2">
      <c r="A1826" t="s">
        <v>71</v>
      </c>
      <c r="B1826" t="s">
        <v>6</v>
      </c>
      <c r="C1826" t="s">
        <v>196</v>
      </c>
      <c r="D1826" t="s">
        <v>74</v>
      </c>
      <c r="E1826" t="s">
        <v>85</v>
      </c>
      <c r="F1826" s="55">
        <v>90</v>
      </c>
      <c r="G1826" s="63">
        <v>0.19839999999999999</v>
      </c>
    </row>
    <row r="1827" spans="1:7" x14ac:dyDescent="0.2">
      <c r="A1827" t="s">
        <v>71</v>
      </c>
      <c r="B1827" t="s">
        <v>6</v>
      </c>
      <c r="C1827" t="s">
        <v>196</v>
      </c>
      <c r="D1827" t="s">
        <v>74</v>
      </c>
      <c r="E1827" t="s">
        <v>86</v>
      </c>
      <c r="F1827" s="55">
        <v>90</v>
      </c>
      <c r="G1827" s="63">
        <v>0.2157</v>
      </c>
    </row>
    <row r="1828" spans="1:7" x14ac:dyDescent="0.2">
      <c r="A1828" t="s">
        <v>71</v>
      </c>
      <c r="B1828" t="s">
        <v>6</v>
      </c>
      <c r="C1828" t="s">
        <v>196</v>
      </c>
      <c r="D1828" t="s">
        <v>74</v>
      </c>
      <c r="E1828" t="s">
        <v>87</v>
      </c>
      <c r="F1828" s="55">
        <v>93</v>
      </c>
      <c r="G1828" s="63">
        <v>0.22450000000000001</v>
      </c>
    </row>
    <row r="1829" spans="1:7" x14ac:dyDescent="0.2">
      <c r="A1829" t="s">
        <v>71</v>
      </c>
      <c r="B1829" t="s">
        <v>6</v>
      </c>
      <c r="C1829" t="s">
        <v>196</v>
      </c>
      <c r="D1829" t="s">
        <v>74</v>
      </c>
      <c r="E1829" t="s">
        <v>88</v>
      </c>
      <c r="F1829" s="55">
        <v>91</v>
      </c>
      <c r="G1829" s="63">
        <v>0.16370000000000001</v>
      </c>
    </row>
    <row r="1830" spans="1:7" x14ac:dyDescent="0.2">
      <c r="A1830" t="s">
        <v>71</v>
      </c>
      <c r="B1830" t="s">
        <v>7</v>
      </c>
      <c r="C1830" t="s">
        <v>196</v>
      </c>
      <c r="D1830" t="s">
        <v>74</v>
      </c>
      <c r="E1830" t="s">
        <v>75</v>
      </c>
      <c r="F1830" s="55">
        <v>89</v>
      </c>
      <c r="G1830" s="63">
        <v>0.2382</v>
      </c>
    </row>
    <row r="1831" spans="1:7" x14ac:dyDescent="0.2">
      <c r="A1831" t="s">
        <v>71</v>
      </c>
      <c r="B1831" t="s">
        <v>7</v>
      </c>
      <c r="C1831" t="s">
        <v>196</v>
      </c>
      <c r="D1831" t="s">
        <v>74</v>
      </c>
      <c r="E1831" t="s">
        <v>76</v>
      </c>
      <c r="F1831" s="55">
        <v>84</v>
      </c>
      <c r="G1831" s="63">
        <v>2.3099999999999999E-2</v>
      </c>
    </row>
    <row r="1832" spans="1:7" x14ac:dyDescent="0.2">
      <c r="A1832" t="s">
        <v>71</v>
      </c>
      <c r="B1832" t="s">
        <v>7</v>
      </c>
      <c r="C1832" t="s">
        <v>196</v>
      </c>
      <c r="D1832" t="s">
        <v>74</v>
      </c>
      <c r="E1832" t="s">
        <v>77</v>
      </c>
      <c r="F1832" s="55">
        <v>96</v>
      </c>
      <c r="G1832" s="63">
        <v>8.0100000000000005E-2</v>
      </c>
    </row>
    <row r="1833" spans="1:7" x14ac:dyDescent="0.2">
      <c r="A1833" t="s">
        <v>71</v>
      </c>
      <c r="B1833" t="s">
        <v>7</v>
      </c>
      <c r="C1833" t="s">
        <v>196</v>
      </c>
      <c r="D1833" t="s">
        <v>74</v>
      </c>
      <c r="E1833" t="s">
        <v>78</v>
      </c>
      <c r="F1833" s="55">
        <v>90</v>
      </c>
      <c r="G1833" s="63">
        <v>7.3899999999999993E-2</v>
      </c>
    </row>
    <row r="1834" spans="1:7" x14ac:dyDescent="0.2">
      <c r="A1834" t="s">
        <v>71</v>
      </c>
      <c r="B1834" t="s">
        <v>7</v>
      </c>
      <c r="C1834" t="s">
        <v>196</v>
      </c>
      <c r="D1834" t="s">
        <v>74</v>
      </c>
      <c r="E1834" t="s">
        <v>79</v>
      </c>
      <c r="F1834" s="55">
        <v>88</v>
      </c>
      <c r="G1834" s="63">
        <v>0.1731</v>
      </c>
    </row>
    <row r="1835" spans="1:7" x14ac:dyDescent="0.2">
      <c r="A1835" t="s">
        <v>71</v>
      </c>
      <c r="B1835" t="s">
        <v>7</v>
      </c>
      <c r="C1835" t="s">
        <v>196</v>
      </c>
      <c r="D1835" t="s">
        <v>74</v>
      </c>
      <c r="E1835" t="s">
        <v>80</v>
      </c>
      <c r="F1835" s="55">
        <v>89</v>
      </c>
      <c r="G1835" s="63">
        <v>6.7299999999999999E-2</v>
      </c>
    </row>
    <row r="1836" spans="1:7" x14ac:dyDescent="0.2">
      <c r="A1836" t="s">
        <v>71</v>
      </c>
      <c r="B1836" t="s">
        <v>7</v>
      </c>
      <c r="C1836" t="s">
        <v>196</v>
      </c>
      <c r="D1836" t="s">
        <v>74</v>
      </c>
      <c r="E1836" t="s">
        <v>81</v>
      </c>
      <c r="F1836" s="55">
        <v>85</v>
      </c>
      <c r="G1836" s="63">
        <v>5.3600000000000002E-2</v>
      </c>
    </row>
    <row r="1837" spans="1:7" x14ac:dyDescent="0.2">
      <c r="A1837" t="s">
        <v>71</v>
      </c>
      <c r="B1837" t="s">
        <v>7</v>
      </c>
      <c r="C1837" t="s">
        <v>196</v>
      </c>
      <c r="D1837" t="s">
        <v>74</v>
      </c>
      <c r="E1837" t="s">
        <v>82</v>
      </c>
      <c r="F1837" s="55">
        <v>89</v>
      </c>
      <c r="G1837" s="63">
        <v>0.10780000000000001</v>
      </c>
    </row>
    <row r="1838" spans="1:7" x14ac:dyDescent="0.2">
      <c r="A1838" t="s">
        <v>71</v>
      </c>
      <c r="B1838" t="s">
        <v>7</v>
      </c>
      <c r="C1838" t="s">
        <v>196</v>
      </c>
      <c r="D1838" t="s">
        <v>74</v>
      </c>
      <c r="E1838" t="s">
        <v>83</v>
      </c>
      <c r="F1838" s="55">
        <v>82</v>
      </c>
      <c r="G1838" s="63">
        <v>2.18E-2</v>
      </c>
    </row>
    <row r="1839" spans="1:7" x14ac:dyDescent="0.2">
      <c r="A1839" t="s">
        <v>71</v>
      </c>
      <c r="B1839" t="s">
        <v>7</v>
      </c>
      <c r="C1839" t="s">
        <v>196</v>
      </c>
      <c r="D1839" t="s">
        <v>74</v>
      </c>
      <c r="E1839" t="s">
        <v>84</v>
      </c>
      <c r="F1839" s="55">
        <v>92</v>
      </c>
      <c r="G1839" s="63">
        <v>5.91E-2</v>
      </c>
    </row>
    <row r="1840" spans="1:7" x14ac:dyDescent="0.2">
      <c r="A1840" t="s">
        <v>71</v>
      </c>
      <c r="B1840" t="s">
        <v>7</v>
      </c>
      <c r="C1840" t="s">
        <v>196</v>
      </c>
      <c r="D1840" t="s">
        <v>74</v>
      </c>
      <c r="E1840" t="s">
        <v>85</v>
      </c>
      <c r="F1840" s="55">
        <v>91</v>
      </c>
      <c r="G1840" s="63">
        <v>8.0199999999999994E-2</v>
      </c>
    </row>
    <row r="1841" spans="1:7" x14ac:dyDescent="0.2">
      <c r="A1841" t="s">
        <v>71</v>
      </c>
      <c r="B1841" t="s">
        <v>7</v>
      </c>
      <c r="C1841" t="s">
        <v>196</v>
      </c>
      <c r="D1841" t="s">
        <v>74</v>
      </c>
      <c r="E1841" t="s">
        <v>86</v>
      </c>
      <c r="F1841" s="55">
        <v>83</v>
      </c>
      <c r="G1841" s="63">
        <v>8.3199999999999996E-2</v>
      </c>
    </row>
    <row r="1842" spans="1:7" x14ac:dyDescent="0.2">
      <c r="A1842" t="s">
        <v>71</v>
      </c>
      <c r="B1842" t="s">
        <v>7</v>
      </c>
      <c r="C1842" t="s">
        <v>196</v>
      </c>
      <c r="D1842" t="s">
        <v>74</v>
      </c>
      <c r="E1842" t="s">
        <v>87</v>
      </c>
      <c r="F1842" s="55">
        <v>86</v>
      </c>
      <c r="G1842" s="63">
        <v>8.7599999999999997E-2</v>
      </c>
    </row>
    <row r="1843" spans="1:7" x14ac:dyDescent="0.2">
      <c r="A1843" t="s">
        <v>71</v>
      </c>
      <c r="B1843" t="s">
        <v>7</v>
      </c>
      <c r="C1843" t="s">
        <v>196</v>
      </c>
      <c r="D1843" t="s">
        <v>74</v>
      </c>
      <c r="E1843" t="s">
        <v>88</v>
      </c>
      <c r="F1843" s="55">
        <v>84</v>
      </c>
      <c r="G1843" s="63">
        <v>3.8399999999999997E-2</v>
      </c>
    </row>
    <row r="1844" spans="1:7" x14ac:dyDescent="0.2">
      <c r="A1844" t="s">
        <v>89</v>
      </c>
      <c r="B1844" t="s">
        <v>110</v>
      </c>
      <c r="C1844" t="s">
        <v>196</v>
      </c>
      <c r="D1844" t="s">
        <v>74</v>
      </c>
      <c r="E1844" t="s">
        <v>75</v>
      </c>
      <c r="F1844" s="55">
        <v>105</v>
      </c>
      <c r="G1844" s="63">
        <v>0.10489999999999999</v>
      </c>
    </row>
    <row r="1845" spans="1:7" x14ac:dyDescent="0.2">
      <c r="A1845" t="s">
        <v>89</v>
      </c>
      <c r="B1845" t="s">
        <v>110</v>
      </c>
      <c r="C1845" t="s">
        <v>196</v>
      </c>
      <c r="D1845" t="s">
        <v>74</v>
      </c>
      <c r="E1845" t="s">
        <v>76</v>
      </c>
      <c r="F1845" s="55">
        <v>108</v>
      </c>
      <c r="G1845" s="63">
        <v>1.2E-2</v>
      </c>
    </row>
    <row r="1846" spans="1:7" x14ac:dyDescent="0.2">
      <c r="A1846" t="s">
        <v>89</v>
      </c>
      <c r="B1846" t="s">
        <v>110</v>
      </c>
      <c r="C1846" t="s">
        <v>196</v>
      </c>
      <c r="D1846" t="s">
        <v>74</v>
      </c>
      <c r="E1846" t="s">
        <v>77</v>
      </c>
      <c r="F1846" s="55">
        <v>109</v>
      </c>
      <c r="G1846" s="63">
        <v>3.9100000000000003E-2</v>
      </c>
    </row>
    <row r="1847" spans="1:7" x14ac:dyDescent="0.2">
      <c r="A1847" t="s">
        <v>89</v>
      </c>
      <c r="B1847" t="s">
        <v>110</v>
      </c>
      <c r="C1847" t="s">
        <v>196</v>
      </c>
      <c r="D1847" t="s">
        <v>74</v>
      </c>
      <c r="E1847" t="s">
        <v>78</v>
      </c>
      <c r="F1847" s="55">
        <v>107</v>
      </c>
      <c r="G1847" s="63">
        <v>3.0800000000000001E-2</v>
      </c>
    </row>
    <row r="1848" spans="1:7" x14ac:dyDescent="0.2">
      <c r="A1848" t="s">
        <v>89</v>
      </c>
      <c r="B1848" t="s">
        <v>110</v>
      </c>
      <c r="C1848" t="s">
        <v>196</v>
      </c>
      <c r="D1848" t="s">
        <v>74</v>
      </c>
      <c r="E1848" t="s">
        <v>79</v>
      </c>
      <c r="F1848" s="55">
        <v>104</v>
      </c>
      <c r="G1848" s="63">
        <v>6.9500000000000006E-2</v>
      </c>
    </row>
    <row r="1849" spans="1:7" x14ac:dyDescent="0.2">
      <c r="A1849" t="s">
        <v>89</v>
      </c>
      <c r="B1849" t="s">
        <v>110</v>
      </c>
      <c r="C1849" t="s">
        <v>196</v>
      </c>
      <c r="D1849" t="s">
        <v>74</v>
      </c>
      <c r="E1849" t="s">
        <v>80</v>
      </c>
      <c r="F1849" s="55">
        <v>103</v>
      </c>
      <c r="G1849" s="63">
        <v>2.5600000000000001E-2</v>
      </c>
    </row>
    <row r="1850" spans="1:7" x14ac:dyDescent="0.2">
      <c r="A1850" t="s">
        <v>89</v>
      </c>
      <c r="B1850" t="s">
        <v>110</v>
      </c>
      <c r="C1850" t="s">
        <v>196</v>
      </c>
      <c r="D1850" t="s">
        <v>74</v>
      </c>
      <c r="E1850" t="s">
        <v>81</v>
      </c>
      <c r="F1850" s="55">
        <v>100</v>
      </c>
      <c r="G1850" s="63">
        <v>2.2100000000000002E-2</v>
      </c>
    </row>
    <row r="1851" spans="1:7" x14ac:dyDescent="0.2">
      <c r="A1851" t="s">
        <v>89</v>
      </c>
      <c r="B1851" t="s">
        <v>110</v>
      </c>
      <c r="C1851" t="s">
        <v>196</v>
      </c>
      <c r="D1851" t="s">
        <v>74</v>
      </c>
      <c r="E1851" t="s">
        <v>82</v>
      </c>
      <c r="F1851" s="55">
        <v>104</v>
      </c>
      <c r="G1851" s="63">
        <v>5.1700000000000003E-2</v>
      </c>
    </row>
    <row r="1852" spans="1:7" x14ac:dyDescent="0.2">
      <c r="A1852" t="s">
        <v>89</v>
      </c>
      <c r="B1852" t="s">
        <v>110</v>
      </c>
      <c r="C1852" t="s">
        <v>196</v>
      </c>
      <c r="D1852" t="s">
        <v>74</v>
      </c>
      <c r="E1852" t="s">
        <v>83</v>
      </c>
      <c r="F1852" s="55">
        <v>103</v>
      </c>
      <c r="G1852" s="63">
        <v>8.6E-3</v>
      </c>
    </row>
    <row r="1853" spans="1:7" x14ac:dyDescent="0.2">
      <c r="A1853" t="s">
        <v>89</v>
      </c>
      <c r="B1853" t="s">
        <v>110</v>
      </c>
      <c r="C1853" t="s">
        <v>196</v>
      </c>
      <c r="D1853" t="s">
        <v>74</v>
      </c>
      <c r="E1853" t="s">
        <v>84</v>
      </c>
      <c r="F1853" s="55">
        <v>110</v>
      </c>
      <c r="G1853" s="63">
        <v>2.47E-2</v>
      </c>
    </row>
    <row r="1854" spans="1:7" x14ac:dyDescent="0.2">
      <c r="A1854" t="s">
        <v>89</v>
      </c>
      <c r="B1854" t="s">
        <v>110</v>
      </c>
      <c r="C1854" t="s">
        <v>196</v>
      </c>
      <c r="D1854" t="s">
        <v>74</v>
      </c>
      <c r="E1854" t="s">
        <v>85</v>
      </c>
      <c r="F1854" s="55">
        <v>105</v>
      </c>
      <c r="G1854" s="63">
        <v>2.8299999999999999E-2</v>
      </c>
    </row>
    <row r="1855" spans="1:7" x14ac:dyDescent="0.2">
      <c r="A1855" t="s">
        <v>89</v>
      </c>
      <c r="B1855" t="s">
        <v>110</v>
      </c>
      <c r="C1855" t="s">
        <v>196</v>
      </c>
      <c r="D1855" t="s">
        <v>74</v>
      </c>
      <c r="E1855" t="s">
        <v>86</v>
      </c>
      <c r="F1855" s="55">
        <v>105</v>
      </c>
      <c r="G1855" s="63">
        <v>3.3500000000000002E-2</v>
      </c>
    </row>
    <row r="1856" spans="1:7" x14ac:dyDescent="0.2">
      <c r="A1856" t="s">
        <v>89</v>
      </c>
      <c r="B1856" t="s">
        <v>110</v>
      </c>
      <c r="C1856" t="s">
        <v>196</v>
      </c>
      <c r="D1856" t="s">
        <v>74</v>
      </c>
      <c r="E1856" t="s">
        <v>87</v>
      </c>
      <c r="F1856" s="55">
        <v>104</v>
      </c>
      <c r="G1856" s="63">
        <v>3.6499999999999998E-2</v>
      </c>
    </row>
    <row r="1857" spans="1:7" x14ac:dyDescent="0.2">
      <c r="A1857" t="s">
        <v>89</v>
      </c>
      <c r="B1857" t="s">
        <v>110</v>
      </c>
      <c r="C1857" t="s">
        <v>196</v>
      </c>
      <c r="D1857" t="s">
        <v>74</v>
      </c>
      <c r="E1857" t="s">
        <v>88</v>
      </c>
      <c r="F1857" s="55">
        <v>109</v>
      </c>
      <c r="G1857" s="63">
        <v>1.9099999999999999E-2</v>
      </c>
    </row>
    <row r="1858" spans="1:7" x14ac:dyDescent="0.2">
      <c r="A1858" t="s">
        <v>89</v>
      </c>
      <c r="B1858" t="s">
        <v>111</v>
      </c>
      <c r="C1858" t="s">
        <v>196</v>
      </c>
      <c r="D1858" t="s">
        <v>74</v>
      </c>
      <c r="E1858" t="s">
        <v>75</v>
      </c>
      <c r="F1858" s="55">
        <v>103</v>
      </c>
      <c r="G1858" s="63">
        <v>4.4600000000000001E-2</v>
      </c>
    </row>
    <row r="1859" spans="1:7" x14ac:dyDescent="0.2">
      <c r="A1859" t="s">
        <v>89</v>
      </c>
      <c r="B1859" t="s">
        <v>111</v>
      </c>
      <c r="C1859" t="s">
        <v>196</v>
      </c>
      <c r="D1859" t="s">
        <v>74</v>
      </c>
      <c r="E1859" t="s">
        <v>76</v>
      </c>
      <c r="F1859" s="55">
        <v>91</v>
      </c>
      <c r="G1859" s="63">
        <v>2.8E-3</v>
      </c>
    </row>
    <row r="1860" spans="1:7" x14ac:dyDescent="0.2">
      <c r="A1860" t="s">
        <v>89</v>
      </c>
      <c r="B1860" t="s">
        <v>111</v>
      </c>
      <c r="C1860" t="s">
        <v>196</v>
      </c>
      <c r="D1860" t="s">
        <v>74</v>
      </c>
      <c r="E1860" t="s">
        <v>77</v>
      </c>
      <c r="F1860" s="55">
        <v>105</v>
      </c>
      <c r="G1860" s="63">
        <v>1.12E-2</v>
      </c>
    </row>
    <row r="1861" spans="1:7" x14ac:dyDescent="0.2">
      <c r="A1861" t="s">
        <v>89</v>
      </c>
      <c r="B1861" t="s">
        <v>111</v>
      </c>
      <c r="C1861" t="s">
        <v>196</v>
      </c>
      <c r="D1861" t="s">
        <v>74</v>
      </c>
      <c r="E1861" t="s">
        <v>78</v>
      </c>
      <c r="F1861" s="55">
        <v>114</v>
      </c>
      <c r="G1861" s="63">
        <v>8.0000000000000002E-3</v>
      </c>
    </row>
    <row r="1862" spans="1:7" x14ac:dyDescent="0.2">
      <c r="A1862" t="s">
        <v>89</v>
      </c>
      <c r="B1862" t="s">
        <v>111</v>
      </c>
      <c r="C1862" t="s">
        <v>196</v>
      </c>
      <c r="D1862" t="s">
        <v>74</v>
      </c>
      <c r="E1862" t="s">
        <v>79</v>
      </c>
      <c r="F1862" s="55">
        <v>106</v>
      </c>
      <c r="G1862" s="63">
        <v>2.7699999999999999E-2</v>
      </c>
    </row>
    <row r="1863" spans="1:7" x14ac:dyDescent="0.2">
      <c r="A1863" t="s">
        <v>89</v>
      </c>
      <c r="B1863" t="s">
        <v>111</v>
      </c>
      <c r="C1863" t="s">
        <v>196</v>
      </c>
      <c r="D1863" t="s">
        <v>74</v>
      </c>
      <c r="E1863" t="s">
        <v>80</v>
      </c>
      <c r="F1863" s="55">
        <v>99</v>
      </c>
      <c r="G1863" s="63">
        <v>9.5999999999999992E-3</v>
      </c>
    </row>
    <row r="1864" spans="1:7" x14ac:dyDescent="0.2">
      <c r="A1864" t="s">
        <v>89</v>
      </c>
      <c r="B1864" t="s">
        <v>111</v>
      </c>
      <c r="C1864" t="s">
        <v>196</v>
      </c>
      <c r="D1864" t="s">
        <v>74</v>
      </c>
      <c r="E1864" t="s">
        <v>81</v>
      </c>
      <c r="F1864" s="55">
        <v>95</v>
      </c>
      <c r="G1864" s="63">
        <v>9.1000000000000004E-3</v>
      </c>
    </row>
    <row r="1865" spans="1:7" x14ac:dyDescent="0.2">
      <c r="A1865" t="s">
        <v>89</v>
      </c>
      <c r="B1865" t="s">
        <v>111</v>
      </c>
      <c r="C1865" t="s">
        <v>196</v>
      </c>
      <c r="D1865" t="s">
        <v>74</v>
      </c>
      <c r="E1865" t="s">
        <v>82</v>
      </c>
      <c r="F1865" s="55">
        <v>97</v>
      </c>
      <c r="G1865" s="63">
        <v>1.95E-2</v>
      </c>
    </row>
    <row r="1866" spans="1:7" x14ac:dyDescent="0.2">
      <c r="A1866" t="s">
        <v>89</v>
      </c>
      <c r="B1866" t="s">
        <v>111</v>
      </c>
      <c r="C1866" t="s">
        <v>196</v>
      </c>
      <c r="D1866" t="s">
        <v>74</v>
      </c>
      <c r="E1866" t="s">
        <v>83</v>
      </c>
      <c r="F1866" s="55">
        <v>96</v>
      </c>
      <c r="G1866" s="63">
        <v>2.8E-3</v>
      </c>
    </row>
    <row r="1867" spans="1:7" x14ac:dyDescent="0.2">
      <c r="A1867" t="s">
        <v>89</v>
      </c>
      <c r="B1867" t="s">
        <v>111</v>
      </c>
      <c r="C1867" t="s">
        <v>196</v>
      </c>
      <c r="D1867" t="s">
        <v>74</v>
      </c>
      <c r="E1867" t="s">
        <v>84</v>
      </c>
      <c r="F1867" s="55">
        <v>112</v>
      </c>
      <c r="G1867" s="63">
        <v>6.4999999999999997E-3</v>
      </c>
    </row>
    <row r="1868" spans="1:7" x14ac:dyDescent="0.2">
      <c r="A1868" t="s">
        <v>89</v>
      </c>
      <c r="B1868" t="s">
        <v>111</v>
      </c>
      <c r="C1868" t="s">
        <v>196</v>
      </c>
      <c r="D1868" t="s">
        <v>74</v>
      </c>
      <c r="E1868" t="s">
        <v>85</v>
      </c>
      <c r="F1868" s="55">
        <v>102</v>
      </c>
      <c r="G1868" s="63">
        <v>1.0500000000000001E-2</v>
      </c>
    </row>
    <row r="1869" spans="1:7" x14ac:dyDescent="0.2">
      <c r="A1869" t="s">
        <v>89</v>
      </c>
      <c r="B1869" t="s">
        <v>111</v>
      </c>
      <c r="C1869" t="s">
        <v>196</v>
      </c>
      <c r="D1869" t="s">
        <v>74</v>
      </c>
      <c r="E1869" t="s">
        <v>86</v>
      </c>
      <c r="F1869" s="55">
        <v>112</v>
      </c>
      <c r="G1869" s="63">
        <v>1.15E-2</v>
      </c>
    </row>
    <row r="1870" spans="1:7" x14ac:dyDescent="0.2">
      <c r="A1870" t="s">
        <v>89</v>
      </c>
      <c r="B1870" t="s">
        <v>111</v>
      </c>
      <c r="C1870" t="s">
        <v>196</v>
      </c>
      <c r="D1870" t="s">
        <v>74</v>
      </c>
      <c r="E1870" t="s">
        <v>87</v>
      </c>
      <c r="F1870" s="55">
        <v>108</v>
      </c>
      <c r="G1870" s="63">
        <v>1.2200000000000001E-2</v>
      </c>
    </row>
    <row r="1871" spans="1:7" x14ac:dyDescent="0.2">
      <c r="A1871" t="s">
        <v>89</v>
      </c>
      <c r="B1871" t="s">
        <v>111</v>
      </c>
      <c r="C1871" t="s">
        <v>196</v>
      </c>
      <c r="D1871" t="s">
        <v>74</v>
      </c>
      <c r="E1871" t="s">
        <v>88</v>
      </c>
      <c r="F1871" s="55">
        <v>86</v>
      </c>
      <c r="G1871" s="63">
        <v>5.4000000000000003E-3</v>
      </c>
    </row>
    <row r="1872" spans="1:7" x14ac:dyDescent="0.2">
      <c r="A1872" t="s">
        <v>89</v>
      </c>
      <c r="B1872" t="s">
        <v>113</v>
      </c>
      <c r="C1872" t="s">
        <v>196</v>
      </c>
      <c r="D1872" t="s">
        <v>91</v>
      </c>
      <c r="E1872" t="s">
        <v>75</v>
      </c>
      <c r="F1872" s="55">
        <v>96</v>
      </c>
      <c r="G1872" s="63">
        <v>0.47320000000000001</v>
      </c>
    </row>
    <row r="1873" spans="1:7" x14ac:dyDescent="0.2">
      <c r="A1873" t="s">
        <v>89</v>
      </c>
      <c r="B1873" t="s">
        <v>113</v>
      </c>
      <c r="C1873" t="s">
        <v>196</v>
      </c>
      <c r="D1873" t="s">
        <v>91</v>
      </c>
      <c r="E1873" t="s">
        <v>76</v>
      </c>
      <c r="F1873" s="55">
        <v>91</v>
      </c>
      <c r="G1873" s="63">
        <v>5.4100000000000002E-2</v>
      </c>
    </row>
    <row r="1874" spans="1:7" x14ac:dyDescent="0.2">
      <c r="A1874" t="s">
        <v>89</v>
      </c>
      <c r="B1874" t="s">
        <v>113</v>
      </c>
      <c r="C1874" t="s">
        <v>196</v>
      </c>
      <c r="D1874" t="s">
        <v>91</v>
      </c>
      <c r="E1874" t="s">
        <v>77</v>
      </c>
      <c r="F1874" s="55">
        <v>89</v>
      </c>
      <c r="G1874" s="63">
        <v>0.1678</v>
      </c>
    </row>
    <row r="1875" spans="1:7" x14ac:dyDescent="0.2">
      <c r="A1875" t="s">
        <v>89</v>
      </c>
      <c r="B1875" t="s">
        <v>113</v>
      </c>
      <c r="C1875" t="s">
        <v>196</v>
      </c>
      <c r="D1875" t="s">
        <v>91</v>
      </c>
      <c r="E1875" t="s">
        <v>78</v>
      </c>
      <c r="F1875" s="55">
        <v>101</v>
      </c>
      <c r="G1875" s="63">
        <v>0.1772</v>
      </c>
    </row>
    <row r="1876" spans="1:7" x14ac:dyDescent="0.2">
      <c r="A1876" t="s">
        <v>89</v>
      </c>
      <c r="B1876" t="s">
        <v>113</v>
      </c>
      <c r="C1876" t="s">
        <v>196</v>
      </c>
      <c r="D1876" t="s">
        <v>91</v>
      </c>
      <c r="E1876" t="s">
        <v>79</v>
      </c>
      <c r="F1876" s="55">
        <v>98</v>
      </c>
      <c r="G1876" s="63">
        <v>0.36120000000000002</v>
      </c>
    </row>
    <row r="1877" spans="1:7" x14ac:dyDescent="0.2">
      <c r="A1877" t="s">
        <v>89</v>
      </c>
      <c r="B1877" t="s">
        <v>113</v>
      </c>
      <c r="C1877" t="s">
        <v>196</v>
      </c>
      <c r="D1877" t="s">
        <v>91</v>
      </c>
      <c r="E1877" t="s">
        <v>80</v>
      </c>
      <c r="F1877" s="55">
        <v>94</v>
      </c>
      <c r="G1877" s="63">
        <v>0.14319999999999999</v>
      </c>
    </row>
    <row r="1878" spans="1:7" x14ac:dyDescent="0.2">
      <c r="A1878" t="s">
        <v>89</v>
      </c>
      <c r="B1878" t="s">
        <v>113</v>
      </c>
      <c r="C1878" t="s">
        <v>196</v>
      </c>
      <c r="D1878" t="s">
        <v>91</v>
      </c>
      <c r="E1878" t="s">
        <v>81</v>
      </c>
      <c r="F1878" s="55">
        <v>93</v>
      </c>
      <c r="G1878" s="63">
        <v>0.1153</v>
      </c>
    </row>
    <row r="1879" spans="1:7" x14ac:dyDescent="0.2">
      <c r="A1879" t="s">
        <v>89</v>
      </c>
      <c r="B1879" t="s">
        <v>113</v>
      </c>
      <c r="C1879" t="s">
        <v>196</v>
      </c>
      <c r="D1879" t="s">
        <v>91</v>
      </c>
      <c r="E1879" t="s">
        <v>82</v>
      </c>
      <c r="F1879" s="55">
        <v>98</v>
      </c>
      <c r="G1879" s="63">
        <v>0.23619999999999999</v>
      </c>
    </row>
    <row r="1880" spans="1:7" x14ac:dyDescent="0.2">
      <c r="A1880" t="s">
        <v>89</v>
      </c>
      <c r="B1880" t="s">
        <v>113</v>
      </c>
      <c r="C1880" t="s">
        <v>196</v>
      </c>
      <c r="D1880" t="s">
        <v>91</v>
      </c>
      <c r="E1880" t="s">
        <v>83</v>
      </c>
      <c r="F1880" s="55">
        <v>90</v>
      </c>
      <c r="G1880" s="63">
        <v>4.1500000000000002E-2</v>
      </c>
    </row>
    <row r="1881" spans="1:7" x14ac:dyDescent="0.2">
      <c r="A1881" t="s">
        <v>89</v>
      </c>
      <c r="B1881" t="s">
        <v>113</v>
      </c>
      <c r="C1881" t="s">
        <v>196</v>
      </c>
      <c r="D1881" t="s">
        <v>91</v>
      </c>
      <c r="E1881" t="s">
        <v>84</v>
      </c>
      <c r="F1881" s="55">
        <v>101</v>
      </c>
      <c r="G1881" s="63">
        <v>0.14280000000000001</v>
      </c>
    </row>
    <row r="1882" spans="1:7" x14ac:dyDescent="0.2">
      <c r="A1882" t="s">
        <v>89</v>
      </c>
      <c r="B1882" t="s">
        <v>113</v>
      </c>
      <c r="C1882" t="s">
        <v>196</v>
      </c>
      <c r="D1882" t="s">
        <v>91</v>
      </c>
      <c r="E1882" t="s">
        <v>85</v>
      </c>
      <c r="F1882" s="55">
        <v>96</v>
      </c>
      <c r="G1882" s="63">
        <v>0.1691</v>
      </c>
    </row>
    <row r="1883" spans="1:7" x14ac:dyDescent="0.2">
      <c r="A1883" t="s">
        <v>89</v>
      </c>
      <c r="B1883" t="s">
        <v>113</v>
      </c>
      <c r="C1883" t="s">
        <v>196</v>
      </c>
      <c r="D1883" t="s">
        <v>91</v>
      </c>
      <c r="E1883" t="s">
        <v>86</v>
      </c>
      <c r="F1883" s="55">
        <v>99</v>
      </c>
      <c r="G1883" s="63">
        <v>0.17630000000000001</v>
      </c>
    </row>
    <row r="1884" spans="1:7" x14ac:dyDescent="0.2">
      <c r="A1884" t="s">
        <v>89</v>
      </c>
      <c r="B1884" t="s">
        <v>113</v>
      </c>
      <c r="C1884" t="s">
        <v>196</v>
      </c>
      <c r="D1884" t="s">
        <v>91</v>
      </c>
      <c r="E1884" t="s">
        <v>87</v>
      </c>
      <c r="F1884" s="55">
        <v>99</v>
      </c>
      <c r="G1884" s="63">
        <v>0.18060000000000001</v>
      </c>
    </row>
    <row r="1885" spans="1:7" x14ac:dyDescent="0.2">
      <c r="A1885" t="s">
        <v>89</v>
      </c>
      <c r="B1885" t="s">
        <v>113</v>
      </c>
      <c r="C1885" t="s">
        <v>196</v>
      </c>
      <c r="D1885" t="s">
        <v>91</v>
      </c>
      <c r="E1885" t="s">
        <v>88</v>
      </c>
      <c r="F1885" s="55">
        <v>90</v>
      </c>
      <c r="G1885" s="63">
        <v>8.2199999999999995E-2</v>
      </c>
    </row>
    <row r="1886" spans="1:7" x14ac:dyDescent="0.2">
      <c r="A1886" t="s">
        <v>89</v>
      </c>
      <c r="B1886" t="s">
        <v>115</v>
      </c>
      <c r="C1886" t="s">
        <v>196</v>
      </c>
      <c r="D1886" t="s">
        <v>74</v>
      </c>
      <c r="E1886" t="s">
        <v>75</v>
      </c>
      <c r="F1886" s="55">
        <v>107</v>
      </c>
      <c r="G1886" s="63">
        <v>0.1105</v>
      </c>
    </row>
    <row r="1887" spans="1:7" x14ac:dyDescent="0.2">
      <c r="A1887" t="s">
        <v>89</v>
      </c>
      <c r="B1887" t="s">
        <v>115</v>
      </c>
      <c r="C1887" t="s">
        <v>196</v>
      </c>
      <c r="D1887" t="s">
        <v>74</v>
      </c>
      <c r="E1887" t="s">
        <v>76</v>
      </c>
      <c r="F1887" s="55">
        <v>108</v>
      </c>
      <c r="G1887" s="63">
        <v>1.14E-2</v>
      </c>
    </row>
    <row r="1888" spans="1:7" x14ac:dyDescent="0.2">
      <c r="A1888" t="s">
        <v>89</v>
      </c>
      <c r="B1888" t="s">
        <v>115</v>
      </c>
      <c r="C1888" t="s">
        <v>196</v>
      </c>
      <c r="D1888" t="s">
        <v>74</v>
      </c>
      <c r="E1888" t="s">
        <v>77</v>
      </c>
      <c r="F1888" s="55">
        <v>105</v>
      </c>
      <c r="G1888" s="63">
        <v>3.5799999999999998E-2</v>
      </c>
    </row>
    <row r="1889" spans="1:7" x14ac:dyDescent="0.2">
      <c r="A1889" t="s">
        <v>89</v>
      </c>
      <c r="B1889" t="s">
        <v>115</v>
      </c>
      <c r="C1889" t="s">
        <v>196</v>
      </c>
      <c r="D1889" t="s">
        <v>74</v>
      </c>
      <c r="E1889" t="s">
        <v>78</v>
      </c>
      <c r="F1889" s="55">
        <v>110</v>
      </c>
      <c r="G1889" s="63">
        <v>2.8500000000000001E-2</v>
      </c>
    </row>
    <row r="1890" spans="1:7" x14ac:dyDescent="0.2">
      <c r="A1890" t="s">
        <v>89</v>
      </c>
      <c r="B1890" t="s">
        <v>115</v>
      </c>
      <c r="C1890" t="s">
        <v>196</v>
      </c>
      <c r="D1890" t="s">
        <v>74</v>
      </c>
      <c r="E1890" t="s">
        <v>79</v>
      </c>
      <c r="F1890" s="55">
        <v>108</v>
      </c>
      <c r="G1890" s="63">
        <v>7.0499999999999993E-2</v>
      </c>
    </row>
    <row r="1891" spans="1:7" x14ac:dyDescent="0.2">
      <c r="A1891" t="s">
        <v>89</v>
      </c>
      <c r="B1891" t="s">
        <v>115</v>
      </c>
      <c r="C1891" t="s">
        <v>196</v>
      </c>
      <c r="D1891" t="s">
        <v>74</v>
      </c>
      <c r="E1891" t="s">
        <v>80</v>
      </c>
      <c r="F1891" s="55">
        <v>106</v>
      </c>
      <c r="G1891" s="63">
        <v>2.3800000000000002E-2</v>
      </c>
    </row>
    <row r="1892" spans="1:7" x14ac:dyDescent="0.2">
      <c r="A1892" t="s">
        <v>89</v>
      </c>
      <c r="B1892" t="s">
        <v>115</v>
      </c>
      <c r="C1892" t="s">
        <v>196</v>
      </c>
      <c r="D1892" t="s">
        <v>74</v>
      </c>
      <c r="E1892" t="s">
        <v>81</v>
      </c>
      <c r="F1892" s="55">
        <v>102</v>
      </c>
      <c r="G1892" s="63">
        <v>2.3199999999999998E-2</v>
      </c>
    </row>
    <row r="1893" spans="1:7" x14ac:dyDescent="0.2">
      <c r="A1893" t="s">
        <v>89</v>
      </c>
      <c r="B1893" t="s">
        <v>115</v>
      </c>
      <c r="C1893" t="s">
        <v>196</v>
      </c>
      <c r="D1893" t="s">
        <v>74</v>
      </c>
      <c r="E1893" t="s">
        <v>82</v>
      </c>
      <c r="F1893" s="55">
        <v>106</v>
      </c>
      <c r="G1893" s="63">
        <v>4.9500000000000002E-2</v>
      </c>
    </row>
    <row r="1894" spans="1:7" x14ac:dyDescent="0.2">
      <c r="A1894" t="s">
        <v>89</v>
      </c>
      <c r="B1894" t="s">
        <v>115</v>
      </c>
      <c r="C1894" t="s">
        <v>196</v>
      </c>
      <c r="D1894" t="s">
        <v>74</v>
      </c>
      <c r="E1894" t="s">
        <v>83</v>
      </c>
      <c r="F1894" s="55">
        <v>102</v>
      </c>
      <c r="G1894" s="63">
        <v>1.0200000000000001E-2</v>
      </c>
    </row>
    <row r="1895" spans="1:7" x14ac:dyDescent="0.2">
      <c r="A1895" t="s">
        <v>89</v>
      </c>
      <c r="B1895" t="s">
        <v>115</v>
      </c>
      <c r="C1895" t="s">
        <v>196</v>
      </c>
      <c r="D1895" t="s">
        <v>74</v>
      </c>
      <c r="E1895" t="s">
        <v>84</v>
      </c>
      <c r="F1895" s="55">
        <v>110</v>
      </c>
      <c r="G1895" s="63">
        <v>2.2100000000000002E-2</v>
      </c>
    </row>
    <row r="1896" spans="1:7" x14ac:dyDescent="0.2">
      <c r="A1896" t="s">
        <v>89</v>
      </c>
      <c r="B1896" t="s">
        <v>115</v>
      </c>
      <c r="C1896" t="s">
        <v>196</v>
      </c>
      <c r="D1896" t="s">
        <v>74</v>
      </c>
      <c r="E1896" t="s">
        <v>85</v>
      </c>
      <c r="F1896" s="55">
        <v>106</v>
      </c>
      <c r="G1896" s="63">
        <v>2.5899999999999999E-2</v>
      </c>
    </row>
    <row r="1897" spans="1:7" x14ac:dyDescent="0.2">
      <c r="A1897" t="s">
        <v>89</v>
      </c>
      <c r="B1897" t="s">
        <v>115</v>
      </c>
      <c r="C1897" t="s">
        <v>196</v>
      </c>
      <c r="D1897" t="s">
        <v>74</v>
      </c>
      <c r="E1897" t="s">
        <v>86</v>
      </c>
      <c r="F1897" s="55">
        <v>107</v>
      </c>
      <c r="G1897" s="63">
        <v>3.0499999999999999E-2</v>
      </c>
    </row>
    <row r="1898" spans="1:7" x14ac:dyDescent="0.2">
      <c r="A1898" t="s">
        <v>89</v>
      </c>
      <c r="B1898" t="s">
        <v>115</v>
      </c>
      <c r="C1898" t="s">
        <v>196</v>
      </c>
      <c r="D1898" t="s">
        <v>74</v>
      </c>
      <c r="E1898" t="s">
        <v>87</v>
      </c>
      <c r="F1898" s="55">
        <v>108</v>
      </c>
      <c r="G1898" s="63">
        <v>3.5000000000000003E-2</v>
      </c>
    </row>
    <row r="1899" spans="1:7" x14ac:dyDescent="0.2">
      <c r="A1899" t="s">
        <v>89</v>
      </c>
      <c r="B1899" t="s">
        <v>115</v>
      </c>
      <c r="C1899" t="s">
        <v>196</v>
      </c>
      <c r="D1899" t="s">
        <v>74</v>
      </c>
      <c r="E1899" t="s">
        <v>88</v>
      </c>
      <c r="F1899" s="55">
        <v>103</v>
      </c>
      <c r="G1899" s="63">
        <v>1.95E-2</v>
      </c>
    </row>
    <row r="1900" spans="1:7" x14ac:dyDescent="0.2">
      <c r="A1900" t="s">
        <v>89</v>
      </c>
      <c r="B1900" t="s">
        <v>116</v>
      </c>
      <c r="C1900" t="s">
        <v>196</v>
      </c>
      <c r="D1900" t="s">
        <v>74</v>
      </c>
      <c r="E1900" t="s">
        <v>75</v>
      </c>
      <c r="F1900" s="55">
        <v>102</v>
      </c>
      <c r="G1900" s="63">
        <v>8.8099999999999998E-2</v>
      </c>
    </row>
    <row r="1901" spans="1:7" x14ac:dyDescent="0.2">
      <c r="A1901" t="s">
        <v>89</v>
      </c>
      <c r="B1901" t="s">
        <v>116</v>
      </c>
      <c r="C1901" t="s">
        <v>196</v>
      </c>
      <c r="D1901" t="s">
        <v>74</v>
      </c>
      <c r="E1901" t="s">
        <v>76</v>
      </c>
      <c r="F1901" s="55">
        <v>59</v>
      </c>
      <c r="G1901" s="63">
        <v>4.7000000000000002E-3</v>
      </c>
    </row>
    <row r="1902" spans="1:7" x14ac:dyDescent="0.2">
      <c r="A1902" t="s">
        <v>89</v>
      </c>
      <c r="B1902" t="s">
        <v>116</v>
      </c>
      <c r="C1902" t="s">
        <v>196</v>
      </c>
      <c r="D1902" t="s">
        <v>74</v>
      </c>
      <c r="E1902" t="s">
        <v>77</v>
      </c>
      <c r="F1902" s="55">
        <v>90</v>
      </c>
      <c r="G1902" s="63">
        <v>1.7399999999999999E-2</v>
      </c>
    </row>
    <row r="1903" spans="1:7" x14ac:dyDescent="0.2">
      <c r="A1903" t="s">
        <v>89</v>
      </c>
      <c r="B1903" t="s">
        <v>116</v>
      </c>
      <c r="C1903" t="s">
        <v>196</v>
      </c>
      <c r="D1903" t="s">
        <v>74</v>
      </c>
      <c r="E1903" t="s">
        <v>78</v>
      </c>
      <c r="F1903" s="55">
        <v>94</v>
      </c>
      <c r="G1903" s="63">
        <v>1.6199999999999999E-2</v>
      </c>
    </row>
    <row r="1904" spans="1:7" x14ac:dyDescent="0.2">
      <c r="A1904" t="s">
        <v>89</v>
      </c>
      <c r="B1904" t="s">
        <v>116</v>
      </c>
      <c r="C1904" t="s">
        <v>196</v>
      </c>
      <c r="D1904" t="s">
        <v>74</v>
      </c>
      <c r="E1904" t="s">
        <v>79</v>
      </c>
      <c r="F1904" s="55">
        <v>105</v>
      </c>
      <c r="G1904" s="63">
        <v>5.8400000000000001E-2</v>
      </c>
    </row>
    <row r="1905" spans="1:7" x14ac:dyDescent="0.2">
      <c r="A1905" t="s">
        <v>89</v>
      </c>
      <c r="B1905" t="s">
        <v>116</v>
      </c>
      <c r="C1905" t="s">
        <v>196</v>
      </c>
      <c r="D1905" t="s">
        <v>74</v>
      </c>
      <c r="E1905" t="s">
        <v>80</v>
      </c>
      <c r="F1905" s="55">
        <v>119</v>
      </c>
      <c r="G1905" s="63">
        <v>1.7399999999999999E-2</v>
      </c>
    </row>
    <row r="1906" spans="1:7" x14ac:dyDescent="0.2">
      <c r="A1906" t="s">
        <v>89</v>
      </c>
      <c r="B1906" t="s">
        <v>116</v>
      </c>
      <c r="C1906" t="s">
        <v>196</v>
      </c>
      <c r="D1906" t="s">
        <v>74</v>
      </c>
      <c r="E1906" t="s">
        <v>81</v>
      </c>
      <c r="F1906" s="55">
        <v>106</v>
      </c>
      <c r="G1906" s="63">
        <v>1.5699999999999999E-2</v>
      </c>
    </row>
    <row r="1907" spans="1:7" x14ac:dyDescent="0.2">
      <c r="A1907" t="s">
        <v>89</v>
      </c>
      <c r="B1907" t="s">
        <v>116</v>
      </c>
      <c r="C1907" t="s">
        <v>196</v>
      </c>
      <c r="D1907" t="s">
        <v>74</v>
      </c>
      <c r="E1907" t="s">
        <v>82</v>
      </c>
      <c r="F1907" s="55">
        <v>92</v>
      </c>
      <c r="G1907" s="63">
        <v>3.1199999999999999E-2</v>
      </c>
    </row>
    <row r="1908" spans="1:7" x14ac:dyDescent="0.2">
      <c r="A1908" t="s">
        <v>89</v>
      </c>
      <c r="B1908" t="s">
        <v>116</v>
      </c>
      <c r="C1908" t="s">
        <v>196</v>
      </c>
      <c r="D1908" t="s">
        <v>74</v>
      </c>
      <c r="E1908" t="s">
        <v>83</v>
      </c>
      <c r="F1908" s="55">
        <v>87</v>
      </c>
      <c r="G1908" s="63">
        <v>5.3E-3</v>
      </c>
    </row>
    <row r="1909" spans="1:7" x14ac:dyDescent="0.2">
      <c r="A1909" t="s">
        <v>89</v>
      </c>
      <c r="B1909" t="s">
        <v>116</v>
      </c>
      <c r="C1909" t="s">
        <v>196</v>
      </c>
      <c r="D1909" t="s">
        <v>74</v>
      </c>
      <c r="E1909" t="s">
        <v>84</v>
      </c>
      <c r="F1909" s="55">
        <v>98</v>
      </c>
      <c r="G1909" s="63">
        <v>1.0699999999999999E-2</v>
      </c>
    </row>
    <row r="1910" spans="1:7" x14ac:dyDescent="0.2">
      <c r="A1910" t="s">
        <v>89</v>
      </c>
      <c r="B1910" t="s">
        <v>116</v>
      </c>
      <c r="C1910" t="s">
        <v>196</v>
      </c>
      <c r="D1910" t="s">
        <v>74</v>
      </c>
      <c r="E1910" t="s">
        <v>85</v>
      </c>
      <c r="F1910" s="55">
        <v>107</v>
      </c>
      <c r="G1910" s="63">
        <v>1.9E-2</v>
      </c>
    </row>
    <row r="1911" spans="1:7" x14ac:dyDescent="0.2">
      <c r="A1911" t="s">
        <v>89</v>
      </c>
      <c r="B1911" t="s">
        <v>116</v>
      </c>
      <c r="C1911" t="s">
        <v>196</v>
      </c>
      <c r="D1911" t="s">
        <v>74</v>
      </c>
      <c r="E1911" t="s">
        <v>86</v>
      </c>
      <c r="F1911" s="55">
        <v>104</v>
      </c>
      <c r="G1911" s="63">
        <v>2.29E-2</v>
      </c>
    </row>
    <row r="1912" spans="1:7" x14ac:dyDescent="0.2">
      <c r="A1912" t="s">
        <v>89</v>
      </c>
      <c r="B1912" t="s">
        <v>116</v>
      </c>
      <c r="C1912" t="s">
        <v>196</v>
      </c>
      <c r="D1912" t="s">
        <v>74</v>
      </c>
      <c r="E1912" t="s">
        <v>87</v>
      </c>
      <c r="F1912" s="55">
        <v>105</v>
      </c>
      <c r="G1912" s="63">
        <v>2.64E-2</v>
      </c>
    </row>
    <row r="1913" spans="1:7" x14ac:dyDescent="0.2">
      <c r="A1913" t="s">
        <v>89</v>
      </c>
      <c r="B1913" t="s">
        <v>116</v>
      </c>
      <c r="C1913" t="s">
        <v>196</v>
      </c>
      <c r="D1913" t="s">
        <v>74</v>
      </c>
      <c r="E1913" t="s">
        <v>88</v>
      </c>
      <c r="F1913" s="55">
        <v>69</v>
      </c>
      <c r="G1913" s="63">
        <v>9.1999999999999998E-3</v>
      </c>
    </row>
    <row r="1914" spans="1:7" x14ac:dyDescent="0.2">
      <c r="A1914" t="s">
        <v>71</v>
      </c>
      <c r="B1914" t="s">
        <v>117</v>
      </c>
      <c r="C1914" t="s">
        <v>196</v>
      </c>
      <c r="D1914" t="s">
        <v>74</v>
      </c>
      <c r="E1914" t="s">
        <v>75</v>
      </c>
      <c r="F1914" s="55">
        <v>107</v>
      </c>
      <c r="G1914" s="63">
        <v>0.30649999999999999</v>
      </c>
    </row>
    <row r="1915" spans="1:7" x14ac:dyDescent="0.2">
      <c r="A1915" t="s">
        <v>71</v>
      </c>
      <c r="B1915" t="s">
        <v>117</v>
      </c>
      <c r="C1915" t="s">
        <v>196</v>
      </c>
      <c r="D1915" t="s">
        <v>74</v>
      </c>
      <c r="E1915" t="s">
        <v>76</v>
      </c>
      <c r="F1915" s="55">
        <v>104</v>
      </c>
      <c r="G1915" s="63">
        <v>3.9100000000000003E-2</v>
      </c>
    </row>
    <row r="1916" spans="1:7" x14ac:dyDescent="0.2">
      <c r="A1916" t="s">
        <v>71</v>
      </c>
      <c r="B1916" t="s">
        <v>117</v>
      </c>
      <c r="C1916" t="s">
        <v>196</v>
      </c>
      <c r="D1916" t="s">
        <v>74</v>
      </c>
      <c r="E1916" t="s">
        <v>77</v>
      </c>
      <c r="F1916" s="55">
        <v>111</v>
      </c>
      <c r="G1916" s="63">
        <v>0.1187</v>
      </c>
    </row>
    <row r="1917" spans="1:7" x14ac:dyDescent="0.2">
      <c r="A1917" t="s">
        <v>71</v>
      </c>
      <c r="B1917" t="s">
        <v>117</v>
      </c>
      <c r="C1917" t="s">
        <v>196</v>
      </c>
      <c r="D1917" t="s">
        <v>74</v>
      </c>
      <c r="E1917" t="s">
        <v>78</v>
      </c>
      <c r="F1917" s="55">
        <v>108</v>
      </c>
      <c r="G1917" s="63">
        <v>0.1053</v>
      </c>
    </row>
    <row r="1918" spans="1:7" x14ac:dyDescent="0.2">
      <c r="A1918" t="s">
        <v>71</v>
      </c>
      <c r="B1918" t="s">
        <v>117</v>
      </c>
      <c r="C1918" t="s">
        <v>196</v>
      </c>
      <c r="D1918" t="s">
        <v>74</v>
      </c>
      <c r="E1918" t="s">
        <v>79</v>
      </c>
      <c r="F1918" s="55">
        <v>108</v>
      </c>
      <c r="G1918" s="63">
        <v>0.2233</v>
      </c>
    </row>
    <row r="1919" spans="1:7" x14ac:dyDescent="0.2">
      <c r="A1919" t="s">
        <v>71</v>
      </c>
      <c r="B1919" t="s">
        <v>117</v>
      </c>
      <c r="C1919" t="s">
        <v>196</v>
      </c>
      <c r="D1919" t="s">
        <v>74</v>
      </c>
      <c r="E1919" t="s">
        <v>80</v>
      </c>
      <c r="F1919" s="55">
        <v>101</v>
      </c>
      <c r="G1919" s="63">
        <v>8.7900000000000006E-2</v>
      </c>
    </row>
    <row r="1920" spans="1:7" x14ac:dyDescent="0.2">
      <c r="A1920" t="s">
        <v>71</v>
      </c>
      <c r="B1920" t="s">
        <v>117</v>
      </c>
      <c r="C1920" t="s">
        <v>196</v>
      </c>
      <c r="D1920" t="s">
        <v>74</v>
      </c>
      <c r="E1920" t="s">
        <v>81</v>
      </c>
      <c r="F1920" s="55">
        <v>97</v>
      </c>
      <c r="G1920" s="63">
        <v>7.5600000000000001E-2</v>
      </c>
    </row>
    <row r="1921" spans="1:7" x14ac:dyDescent="0.2">
      <c r="A1921" t="s">
        <v>71</v>
      </c>
      <c r="B1921" t="s">
        <v>117</v>
      </c>
      <c r="C1921" t="s">
        <v>196</v>
      </c>
      <c r="D1921" t="s">
        <v>74</v>
      </c>
      <c r="E1921" t="s">
        <v>82</v>
      </c>
      <c r="F1921" s="55">
        <v>107</v>
      </c>
      <c r="G1921" s="63">
        <v>0.17030000000000001</v>
      </c>
    </row>
    <row r="1922" spans="1:7" x14ac:dyDescent="0.2">
      <c r="A1922" t="s">
        <v>71</v>
      </c>
      <c r="B1922" t="s">
        <v>117</v>
      </c>
      <c r="C1922" t="s">
        <v>196</v>
      </c>
      <c r="D1922" t="s">
        <v>74</v>
      </c>
      <c r="E1922" t="s">
        <v>83</v>
      </c>
      <c r="F1922" s="55">
        <v>99</v>
      </c>
      <c r="G1922" s="63">
        <v>3.27E-2</v>
      </c>
    </row>
    <row r="1923" spans="1:7" x14ac:dyDescent="0.2">
      <c r="A1923" t="s">
        <v>71</v>
      </c>
      <c r="B1923" t="s">
        <v>117</v>
      </c>
      <c r="C1923" t="s">
        <v>196</v>
      </c>
      <c r="D1923" t="s">
        <v>74</v>
      </c>
      <c r="E1923" t="s">
        <v>84</v>
      </c>
      <c r="F1923" s="55">
        <v>110</v>
      </c>
      <c r="G1923" s="63">
        <v>8.2900000000000001E-2</v>
      </c>
    </row>
    <row r="1924" spans="1:7" x14ac:dyDescent="0.2">
      <c r="A1924" t="s">
        <v>71</v>
      </c>
      <c r="B1924" t="s">
        <v>117</v>
      </c>
      <c r="C1924" t="s">
        <v>196</v>
      </c>
      <c r="D1924" t="s">
        <v>74</v>
      </c>
      <c r="E1924" t="s">
        <v>85</v>
      </c>
      <c r="F1924" s="55">
        <v>104</v>
      </c>
      <c r="G1924" s="63">
        <v>0.1048</v>
      </c>
    </row>
    <row r="1925" spans="1:7" x14ac:dyDescent="0.2">
      <c r="A1925" t="s">
        <v>71</v>
      </c>
      <c r="B1925" t="s">
        <v>117</v>
      </c>
      <c r="C1925" t="s">
        <v>196</v>
      </c>
      <c r="D1925" t="s">
        <v>74</v>
      </c>
      <c r="E1925" t="s">
        <v>86</v>
      </c>
      <c r="F1925" s="55">
        <v>106</v>
      </c>
      <c r="G1925" s="63">
        <v>0.12720000000000001</v>
      </c>
    </row>
    <row r="1926" spans="1:7" x14ac:dyDescent="0.2">
      <c r="A1926" t="s">
        <v>71</v>
      </c>
      <c r="B1926" t="s">
        <v>117</v>
      </c>
      <c r="C1926" t="s">
        <v>196</v>
      </c>
      <c r="D1926" t="s">
        <v>74</v>
      </c>
      <c r="E1926" t="s">
        <v>87</v>
      </c>
      <c r="F1926" s="55">
        <v>110</v>
      </c>
      <c r="G1926" s="63">
        <v>0.14130000000000001</v>
      </c>
    </row>
    <row r="1927" spans="1:7" x14ac:dyDescent="0.2">
      <c r="A1927" t="s">
        <v>71</v>
      </c>
      <c r="B1927" t="s">
        <v>117</v>
      </c>
      <c r="C1927" t="s">
        <v>196</v>
      </c>
      <c r="D1927" t="s">
        <v>74</v>
      </c>
      <c r="E1927" t="s">
        <v>88</v>
      </c>
      <c r="F1927" s="55">
        <v>102</v>
      </c>
      <c r="G1927" s="63">
        <v>6.1800000000000001E-2</v>
      </c>
    </row>
    <row r="1928" spans="1:7" x14ac:dyDescent="0.2">
      <c r="A1928" t="s">
        <v>89</v>
      </c>
      <c r="B1928" t="s">
        <v>119</v>
      </c>
      <c r="C1928" t="s">
        <v>196</v>
      </c>
      <c r="D1928" t="s">
        <v>74</v>
      </c>
      <c r="E1928" t="s">
        <v>75</v>
      </c>
      <c r="F1928" s="55">
        <v>106</v>
      </c>
      <c r="G1928" s="63">
        <v>0.12790000000000001</v>
      </c>
    </row>
    <row r="1929" spans="1:7" x14ac:dyDescent="0.2">
      <c r="A1929" t="s">
        <v>89</v>
      </c>
      <c r="B1929" t="s">
        <v>119</v>
      </c>
      <c r="C1929" t="s">
        <v>196</v>
      </c>
      <c r="D1929" t="s">
        <v>74</v>
      </c>
      <c r="E1929" t="s">
        <v>76</v>
      </c>
      <c r="F1929" s="55">
        <v>103</v>
      </c>
      <c r="G1929" s="63">
        <v>1.1599999999999999E-2</v>
      </c>
    </row>
    <row r="1930" spans="1:7" x14ac:dyDescent="0.2">
      <c r="A1930" t="s">
        <v>89</v>
      </c>
      <c r="B1930" t="s">
        <v>119</v>
      </c>
      <c r="C1930" t="s">
        <v>196</v>
      </c>
      <c r="D1930" t="s">
        <v>74</v>
      </c>
      <c r="E1930" t="s">
        <v>77</v>
      </c>
      <c r="F1930" s="55">
        <v>107</v>
      </c>
      <c r="G1930" s="63">
        <v>3.9600000000000003E-2</v>
      </c>
    </row>
    <row r="1931" spans="1:7" x14ac:dyDescent="0.2">
      <c r="A1931" t="s">
        <v>89</v>
      </c>
      <c r="B1931" t="s">
        <v>119</v>
      </c>
      <c r="C1931" t="s">
        <v>196</v>
      </c>
      <c r="D1931" t="s">
        <v>74</v>
      </c>
      <c r="E1931" t="s">
        <v>78</v>
      </c>
      <c r="F1931" s="55">
        <v>104</v>
      </c>
      <c r="G1931" s="63">
        <v>2.8799999999999999E-2</v>
      </c>
    </row>
    <row r="1932" spans="1:7" x14ac:dyDescent="0.2">
      <c r="A1932" t="s">
        <v>89</v>
      </c>
      <c r="B1932" t="s">
        <v>119</v>
      </c>
      <c r="C1932" t="s">
        <v>196</v>
      </c>
      <c r="D1932" t="s">
        <v>74</v>
      </c>
      <c r="E1932" t="s">
        <v>79</v>
      </c>
      <c r="F1932" s="55">
        <v>107</v>
      </c>
      <c r="G1932" s="63">
        <v>7.2099999999999997E-2</v>
      </c>
    </row>
    <row r="1933" spans="1:7" x14ac:dyDescent="0.2">
      <c r="A1933" t="s">
        <v>89</v>
      </c>
      <c r="B1933" t="s">
        <v>119</v>
      </c>
      <c r="C1933" t="s">
        <v>196</v>
      </c>
      <c r="D1933" t="s">
        <v>74</v>
      </c>
      <c r="E1933" t="s">
        <v>80</v>
      </c>
      <c r="F1933" s="55">
        <v>113</v>
      </c>
      <c r="G1933" s="63">
        <v>2.4400000000000002E-2</v>
      </c>
    </row>
    <row r="1934" spans="1:7" x14ac:dyDescent="0.2">
      <c r="A1934" t="s">
        <v>89</v>
      </c>
      <c r="B1934" t="s">
        <v>119</v>
      </c>
      <c r="C1934" t="s">
        <v>196</v>
      </c>
      <c r="D1934" t="s">
        <v>74</v>
      </c>
      <c r="E1934" t="s">
        <v>81</v>
      </c>
      <c r="F1934" s="55">
        <v>107</v>
      </c>
      <c r="G1934" s="63">
        <v>2.4500000000000001E-2</v>
      </c>
    </row>
    <row r="1935" spans="1:7" x14ac:dyDescent="0.2">
      <c r="A1935" t="s">
        <v>89</v>
      </c>
      <c r="B1935" t="s">
        <v>119</v>
      </c>
      <c r="C1935" t="s">
        <v>196</v>
      </c>
      <c r="D1935" t="s">
        <v>74</v>
      </c>
      <c r="E1935" t="s">
        <v>82</v>
      </c>
      <c r="F1935" s="55">
        <v>104</v>
      </c>
      <c r="G1935" s="63">
        <v>4.9700000000000001E-2</v>
      </c>
    </row>
    <row r="1936" spans="1:7" x14ac:dyDescent="0.2">
      <c r="A1936" t="s">
        <v>89</v>
      </c>
      <c r="B1936" t="s">
        <v>119</v>
      </c>
      <c r="C1936" t="s">
        <v>196</v>
      </c>
      <c r="D1936" t="s">
        <v>74</v>
      </c>
      <c r="E1936" t="s">
        <v>83</v>
      </c>
      <c r="F1936" s="55">
        <v>103</v>
      </c>
      <c r="G1936" s="63">
        <v>1.0800000000000001E-2</v>
      </c>
    </row>
    <row r="1937" spans="1:7" x14ac:dyDescent="0.2">
      <c r="A1937" t="s">
        <v>89</v>
      </c>
      <c r="B1937" t="s">
        <v>119</v>
      </c>
      <c r="C1937" t="s">
        <v>196</v>
      </c>
      <c r="D1937" t="s">
        <v>74</v>
      </c>
      <c r="E1937" t="s">
        <v>84</v>
      </c>
      <c r="F1937" s="55">
        <v>105</v>
      </c>
      <c r="G1937" s="63">
        <v>2.2100000000000002E-2</v>
      </c>
    </row>
    <row r="1938" spans="1:7" x14ac:dyDescent="0.2">
      <c r="A1938" t="s">
        <v>89</v>
      </c>
      <c r="B1938" t="s">
        <v>119</v>
      </c>
      <c r="C1938" t="s">
        <v>196</v>
      </c>
      <c r="D1938" t="s">
        <v>74</v>
      </c>
      <c r="E1938" t="s">
        <v>85</v>
      </c>
      <c r="F1938" s="55">
        <v>112</v>
      </c>
      <c r="G1938" s="63">
        <v>2.47E-2</v>
      </c>
    </row>
    <row r="1939" spans="1:7" x14ac:dyDescent="0.2">
      <c r="A1939" t="s">
        <v>89</v>
      </c>
      <c r="B1939" t="s">
        <v>119</v>
      </c>
      <c r="C1939" t="s">
        <v>196</v>
      </c>
      <c r="D1939" t="s">
        <v>74</v>
      </c>
      <c r="E1939" t="s">
        <v>86</v>
      </c>
      <c r="F1939" s="55">
        <v>107</v>
      </c>
      <c r="G1939" s="63">
        <v>2.86E-2</v>
      </c>
    </row>
    <row r="1940" spans="1:7" x14ac:dyDescent="0.2">
      <c r="A1940" t="s">
        <v>89</v>
      </c>
      <c r="B1940" t="s">
        <v>119</v>
      </c>
      <c r="C1940" t="s">
        <v>196</v>
      </c>
      <c r="D1940" t="s">
        <v>74</v>
      </c>
      <c r="E1940" t="s">
        <v>87</v>
      </c>
      <c r="F1940" s="55">
        <v>107</v>
      </c>
      <c r="G1940" s="63">
        <v>3.09E-2</v>
      </c>
    </row>
    <row r="1941" spans="1:7" x14ac:dyDescent="0.2">
      <c r="A1941" t="s">
        <v>89</v>
      </c>
      <c r="B1941" t="s">
        <v>119</v>
      </c>
      <c r="C1941" t="s">
        <v>196</v>
      </c>
      <c r="D1941" t="s">
        <v>74</v>
      </c>
      <c r="E1941" t="s">
        <v>88</v>
      </c>
      <c r="F1941" s="55">
        <v>104</v>
      </c>
      <c r="G1941" s="63">
        <v>2.0199999999999999E-2</v>
      </c>
    </row>
    <row r="1942" spans="1:7" x14ac:dyDescent="0.2">
      <c r="A1942" t="s">
        <v>89</v>
      </c>
      <c r="B1942" t="s">
        <v>120</v>
      </c>
      <c r="C1942" t="s">
        <v>196</v>
      </c>
      <c r="D1942" t="s">
        <v>74</v>
      </c>
      <c r="E1942" t="s">
        <v>75</v>
      </c>
      <c r="F1942" s="55">
        <v>66</v>
      </c>
      <c r="G1942" s="63">
        <v>0.19409999999999999</v>
      </c>
    </row>
    <row r="1943" spans="1:7" x14ac:dyDescent="0.2">
      <c r="A1943" t="s">
        <v>89</v>
      </c>
      <c r="B1943" t="s">
        <v>120</v>
      </c>
      <c r="C1943" t="s">
        <v>196</v>
      </c>
      <c r="D1943" t="s">
        <v>74</v>
      </c>
      <c r="E1943" t="s">
        <v>76</v>
      </c>
      <c r="F1943" s="55">
        <v>64</v>
      </c>
      <c r="G1943" s="63">
        <v>2.1499999999999998E-2</v>
      </c>
    </row>
    <row r="1944" spans="1:7" x14ac:dyDescent="0.2">
      <c r="A1944" t="s">
        <v>89</v>
      </c>
      <c r="B1944" t="s">
        <v>120</v>
      </c>
      <c r="C1944" t="s">
        <v>196</v>
      </c>
      <c r="D1944" t="s">
        <v>74</v>
      </c>
      <c r="E1944" t="s">
        <v>77</v>
      </c>
      <c r="F1944" s="55">
        <v>69</v>
      </c>
      <c r="G1944" s="63">
        <v>6.3500000000000001E-2</v>
      </c>
    </row>
    <row r="1945" spans="1:7" x14ac:dyDescent="0.2">
      <c r="A1945" t="s">
        <v>89</v>
      </c>
      <c r="B1945" t="s">
        <v>120</v>
      </c>
      <c r="C1945" t="s">
        <v>196</v>
      </c>
      <c r="D1945" t="s">
        <v>74</v>
      </c>
      <c r="E1945" t="s">
        <v>78</v>
      </c>
      <c r="F1945" s="55">
        <v>65</v>
      </c>
      <c r="G1945" s="63">
        <v>5.0500000000000003E-2</v>
      </c>
    </row>
    <row r="1946" spans="1:7" x14ac:dyDescent="0.2">
      <c r="A1946" t="s">
        <v>89</v>
      </c>
      <c r="B1946" t="s">
        <v>120</v>
      </c>
      <c r="C1946" t="s">
        <v>196</v>
      </c>
      <c r="D1946" t="s">
        <v>74</v>
      </c>
      <c r="E1946" t="s">
        <v>79</v>
      </c>
      <c r="F1946" s="55">
        <v>64</v>
      </c>
      <c r="G1946" s="63">
        <v>0.1195</v>
      </c>
    </row>
    <row r="1947" spans="1:7" x14ac:dyDescent="0.2">
      <c r="A1947" t="s">
        <v>89</v>
      </c>
      <c r="B1947" t="s">
        <v>120</v>
      </c>
      <c r="C1947" t="s">
        <v>196</v>
      </c>
      <c r="D1947" t="s">
        <v>74</v>
      </c>
      <c r="E1947" t="s">
        <v>80</v>
      </c>
      <c r="F1947" s="55">
        <v>67</v>
      </c>
      <c r="G1947" s="63">
        <v>2.7099999999999999E-2</v>
      </c>
    </row>
    <row r="1948" spans="1:7" x14ac:dyDescent="0.2">
      <c r="A1948" t="s">
        <v>89</v>
      </c>
      <c r="B1948" t="s">
        <v>120</v>
      </c>
      <c r="C1948" t="s">
        <v>196</v>
      </c>
      <c r="D1948" t="s">
        <v>74</v>
      </c>
      <c r="E1948" t="s">
        <v>81</v>
      </c>
      <c r="F1948" s="55">
        <v>68</v>
      </c>
      <c r="G1948" s="63">
        <v>2.7E-2</v>
      </c>
    </row>
    <row r="1949" spans="1:7" x14ac:dyDescent="0.2">
      <c r="A1949" t="s">
        <v>89</v>
      </c>
      <c r="B1949" t="s">
        <v>120</v>
      </c>
      <c r="C1949" t="s">
        <v>196</v>
      </c>
      <c r="D1949" t="s">
        <v>74</v>
      </c>
      <c r="E1949" t="s">
        <v>82</v>
      </c>
      <c r="F1949" s="55">
        <v>66</v>
      </c>
      <c r="G1949" s="63">
        <v>8.8900000000000007E-2</v>
      </c>
    </row>
    <row r="1950" spans="1:7" x14ac:dyDescent="0.2">
      <c r="A1950" t="s">
        <v>89</v>
      </c>
      <c r="B1950" t="s">
        <v>120</v>
      </c>
      <c r="C1950" t="s">
        <v>196</v>
      </c>
      <c r="D1950" t="s">
        <v>74</v>
      </c>
      <c r="E1950" t="s">
        <v>83</v>
      </c>
      <c r="F1950" s="55">
        <v>72</v>
      </c>
      <c r="G1950" s="63">
        <v>1.26E-2</v>
      </c>
    </row>
    <row r="1951" spans="1:7" x14ac:dyDescent="0.2">
      <c r="A1951" t="s">
        <v>89</v>
      </c>
      <c r="B1951" t="s">
        <v>120</v>
      </c>
      <c r="C1951" t="s">
        <v>196</v>
      </c>
      <c r="D1951" t="s">
        <v>74</v>
      </c>
      <c r="E1951" t="s">
        <v>84</v>
      </c>
      <c r="F1951" s="55">
        <v>66</v>
      </c>
      <c r="G1951" s="63">
        <v>3.8800000000000001E-2</v>
      </c>
    </row>
    <row r="1952" spans="1:7" x14ac:dyDescent="0.2">
      <c r="A1952" t="s">
        <v>89</v>
      </c>
      <c r="B1952" t="s">
        <v>120</v>
      </c>
      <c r="C1952" t="s">
        <v>196</v>
      </c>
      <c r="D1952" t="s">
        <v>74</v>
      </c>
      <c r="E1952" t="s">
        <v>85</v>
      </c>
      <c r="F1952" s="55">
        <v>61</v>
      </c>
      <c r="G1952" s="63">
        <v>2.9499999999999998E-2</v>
      </c>
    </row>
    <row r="1953" spans="1:7" x14ac:dyDescent="0.2">
      <c r="A1953" t="s">
        <v>89</v>
      </c>
      <c r="B1953" t="s">
        <v>120</v>
      </c>
      <c r="C1953" t="s">
        <v>196</v>
      </c>
      <c r="D1953" t="s">
        <v>74</v>
      </c>
      <c r="E1953" t="s">
        <v>86</v>
      </c>
      <c r="F1953" s="55">
        <v>59</v>
      </c>
      <c r="G1953" s="63">
        <v>3.9300000000000002E-2</v>
      </c>
    </row>
    <row r="1954" spans="1:7" x14ac:dyDescent="0.2">
      <c r="A1954" t="s">
        <v>89</v>
      </c>
      <c r="B1954" t="s">
        <v>120</v>
      </c>
      <c r="C1954" t="s">
        <v>196</v>
      </c>
      <c r="D1954" t="s">
        <v>74</v>
      </c>
      <c r="E1954" t="s">
        <v>87</v>
      </c>
      <c r="F1954" s="55">
        <v>63</v>
      </c>
      <c r="G1954" s="63">
        <v>5.0999999999999997E-2</v>
      </c>
    </row>
    <row r="1955" spans="1:7" x14ac:dyDescent="0.2">
      <c r="A1955" t="s">
        <v>89</v>
      </c>
      <c r="B1955" t="s">
        <v>120</v>
      </c>
      <c r="C1955" t="s">
        <v>196</v>
      </c>
      <c r="D1955" t="s">
        <v>74</v>
      </c>
      <c r="E1955" t="s">
        <v>88</v>
      </c>
      <c r="F1955" s="55">
        <v>65</v>
      </c>
      <c r="G1955" s="63">
        <v>3.2599999999999997E-2</v>
      </c>
    </row>
    <row r="1956" spans="1:7" x14ac:dyDescent="0.2">
      <c r="A1956" t="s">
        <v>89</v>
      </c>
      <c r="B1956" t="s">
        <v>121</v>
      </c>
      <c r="C1956" t="s">
        <v>196</v>
      </c>
      <c r="D1956" t="s">
        <v>74</v>
      </c>
      <c r="E1956" t="s">
        <v>75</v>
      </c>
      <c r="F1956" s="55">
        <v>66</v>
      </c>
      <c r="G1956" s="63">
        <v>5.2999999999999999E-2</v>
      </c>
    </row>
    <row r="1957" spans="1:7" x14ac:dyDescent="0.2">
      <c r="A1957" t="s">
        <v>89</v>
      </c>
      <c r="B1957" t="s">
        <v>121</v>
      </c>
      <c r="C1957" t="s">
        <v>196</v>
      </c>
      <c r="D1957" t="s">
        <v>74</v>
      </c>
      <c r="E1957" t="s">
        <v>76</v>
      </c>
      <c r="F1957" s="55">
        <v>60</v>
      </c>
      <c r="G1957" s="63">
        <v>5.4000000000000003E-3</v>
      </c>
    </row>
    <row r="1958" spans="1:7" x14ac:dyDescent="0.2">
      <c r="A1958" t="s">
        <v>89</v>
      </c>
      <c r="B1958" t="s">
        <v>121</v>
      </c>
      <c r="C1958" t="s">
        <v>196</v>
      </c>
      <c r="D1958" t="s">
        <v>74</v>
      </c>
      <c r="E1958" t="s">
        <v>77</v>
      </c>
      <c r="F1958" s="55">
        <v>66</v>
      </c>
      <c r="G1958" s="63">
        <v>1.5699999999999999E-2</v>
      </c>
    </row>
    <row r="1959" spans="1:7" x14ac:dyDescent="0.2">
      <c r="A1959" t="s">
        <v>89</v>
      </c>
      <c r="B1959" t="s">
        <v>121</v>
      </c>
      <c r="C1959" t="s">
        <v>196</v>
      </c>
      <c r="D1959" t="s">
        <v>74</v>
      </c>
      <c r="E1959" t="s">
        <v>78</v>
      </c>
      <c r="F1959" s="55">
        <v>58</v>
      </c>
      <c r="G1959" s="63">
        <v>1.11E-2</v>
      </c>
    </row>
    <row r="1960" spans="1:7" x14ac:dyDescent="0.2">
      <c r="A1960" t="s">
        <v>89</v>
      </c>
      <c r="B1960" t="s">
        <v>121</v>
      </c>
      <c r="C1960" t="s">
        <v>196</v>
      </c>
      <c r="D1960" t="s">
        <v>74</v>
      </c>
      <c r="E1960" t="s">
        <v>79</v>
      </c>
      <c r="F1960" s="55">
        <v>64</v>
      </c>
      <c r="G1960" s="63">
        <v>3.09E-2</v>
      </c>
    </row>
    <row r="1961" spans="1:7" x14ac:dyDescent="0.2">
      <c r="A1961" t="s">
        <v>89</v>
      </c>
      <c r="B1961" t="s">
        <v>121</v>
      </c>
      <c r="C1961" t="s">
        <v>196</v>
      </c>
      <c r="D1961" t="s">
        <v>74</v>
      </c>
      <c r="E1961" t="s">
        <v>80</v>
      </c>
      <c r="F1961" s="55">
        <v>78</v>
      </c>
      <c r="G1961" s="63">
        <v>8.6999999999999994E-3</v>
      </c>
    </row>
    <row r="1962" spans="1:7" x14ac:dyDescent="0.2">
      <c r="A1962" t="s">
        <v>89</v>
      </c>
      <c r="B1962" t="s">
        <v>121</v>
      </c>
      <c r="C1962" t="s">
        <v>196</v>
      </c>
      <c r="D1962" t="s">
        <v>74</v>
      </c>
      <c r="E1962" t="s">
        <v>81</v>
      </c>
      <c r="F1962" s="55">
        <v>78</v>
      </c>
      <c r="G1962" s="63">
        <v>9.4999999999999998E-3</v>
      </c>
    </row>
    <row r="1963" spans="1:7" x14ac:dyDescent="0.2">
      <c r="A1963" t="s">
        <v>89</v>
      </c>
      <c r="B1963" t="s">
        <v>121</v>
      </c>
      <c r="C1963" t="s">
        <v>196</v>
      </c>
      <c r="D1963" t="s">
        <v>74</v>
      </c>
      <c r="E1963" t="s">
        <v>82</v>
      </c>
      <c r="F1963" s="55">
        <v>64</v>
      </c>
      <c r="G1963" s="63">
        <v>1.9400000000000001E-2</v>
      </c>
    </row>
    <row r="1964" spans="1:7" x14ac:dyDescent="0.2">
      <c r="A1964" t="s">
        <v>89</v>
      </c>
      <c r="B1964" t="s">
        <v>121</v>
      </c>
      <c r="C1964" t="s">
        <v>196</v>
      </c>
      <c r="D1964" t="s">
        <v>74</v>
      </c>
      <c r="E1964" t="s">
        <v>83</v>
      </c>
      <c r="F1964" s="55">
        <v>77</v>
      </c>
      <c r="G1964" s="63">
        <v>4.1999999999999997E-3</v>
      </c>
    </row>
    <row r="1965" spans="1:7" x14ac:dyDescent="0.2">
      <c r="A1965" t="s">
        <v>89</v>
      </c>
      <c r="B1965" t="s">
        <v>121</v>
      </c>
      <c r="C1965" t="s">
        <v>196</v>
      </c>
      <c r="D1965" t="s">
        <v>74</v>
      </c>
      <c r="E1965" t="s">
        <v>84</v>
      </c>
      <c r="F1965" s="55">
        <v>59</v>
      </c>
      <c r="G1965" s="63">
        <v>8.2000000000000007E-3</v>
      </c>
    </row>
    <row r="1966" spans="1:7" x14ac:dyDescent="0.2">
      <c r="A1966" t="s">
        <v>89</v>
      </c>
      <c r="B1966" t="s">
        <v>121</v>
      </c>
      <c r="C1966" t="s">
        <v>196</v>
      </c>
      <c r="D1966" t="s">
        <v>74</v>
      </c>
      <c r="E1966" t="s">
        <v>85</v>
      </c>
      <c r="F1966" s="55">
        <v>65</v>
      </c>
      <c r="G1966" s="63">
        <v>8.6999999999999994E-3</v>
      </c>
    </row>
    <row r="1967" spans="1:7" x14ac:dyDescent="0.2">
      <c r="A1967" t="s">
        <v>89</v>
      </c>
      <c r="B1967" t="s">
        <v>121</v>
      </c>
      <c r="C1967" t="s">
        <v>196</v>
      </c>
      <c r="D1967" t="s">
        <v>74</v>
      </c>
      <c r="E1967" t="s">
        <v>86</v>
      </c>
      <c r="F1967" s="55">
        <v>64</v>
      </c>
      <c r="G1967" s="63">
        <v>9.9000000000000008E-3</v>
      </c>
    </row>
    <row r="1968" spans="1:7" x14ac:dyDescent="0.2">
      <c r="A1968" t="s">
        <v>89</v>
      </c>
      <c r="B1968" t="s">
        <v>121</v>
      </c>
      <c r="C1968" t="s">
        <v>196</v>
      </c>
      <c r="D1968" t="s">
        <v>74</v>
      </c>
      <c r="E1968" t="s">
        <v>87</v>
      </c>
      <c r="F1968" s="55">
        <v>65</v>
      </c>
      <c r="G1968" s="63">
        <v>1.26E-2</v>
      </c>
    </row>
    <row r="1969" spans="1:7" x14ac:dyDescent="0.2">
      <c r="A1969" t="s">
        <v>89</v>
      </c>
      <c r="B1969" t="s">
        <v>121</v>
      </c>
      <c r="C1969" t="s">
        <v>196</v>
      </c>
      <c r="D1969" t="s">
        <v>74</v>
      </c>
      <c r="E1969" t="s">
        <v>88</v>
      </c>
      <c r="F1969" s="55">
        <v>66</v>
      </c>
      <c r="G1969" s="63">
        <v>8.3999999999999995E-3</v>
      </c>
    </row>
    <row r="1970" spans="1:7" x14ac:dyDescent="0.2">
      <c r="A1970" t="s">
        <v>71</v>
      </c>
      <c r="B1970" t="s">
        <v>8</v>
      </c>
      <c r="C1970" t="s">
        <v>196</v>
      </c>
      <c r="D1970" t="s">
        <v>74</v>
      </c>
      <c r="E1970" t="s">
        <v>75</v>
      </c>
      <c r="F1970" s="55">
        <v>91</v>
      </c>
      <c r="G1970" s="63">
        <v>0.30769999999999997</v>
      </c>
    </row>
    <row r="1971" spans="1:7" x14ac:dyDescent="0.2">
      <c r="A1971" t="s">
        <v>71</v>
      </c>
      <c r="B1971" t="s">
        <v>8</v>
      </c>
      <c r="C1971" t="s">
        <v>196</v>
      </c>
      <c r="D1971" t="s">
        <v>74</v>
      </c>
      <c r="E1971" t="s">
        <v>76</v>
      </c>
      <c r="F1971" s="55">
        <v>87</v>
      </c>
      <c r="G1971" s="63">
        <v>3.1099999999999999E-2</v>
      </c>
    </row>
    <row r="1972" spans="1:7" x14ac:dyDescent="0.2">
      <c r="A1972" t="s">
        <v>71</v>
      </c>
      <c r="B1972" t="s">
        <v>8</v>
      </c>
      <c r="C1972" t="s">
        <v>196</v>
      </c>
      <c r="D1972" t="s">
        <v>74</v>
      </c>
      <c r="E1972" t="s">
        <v>77</v>
      </c>
      <c r="F1972" s="55">
        <v>91</v>
      </c>
      <c r="G1972" s="63">
        <v>9.8000000000000004E-2</v>
      </c>
    </row>
    <row r="1973" spans="1:7" x14ac:dyDescent="0.2">
      <c r="A1973" t="s">
        <v>71</v>
      </c>
      <c r="B1973" t="s">
        <v>8</v>
      </c>
      <c r="C1973" t="s">
        <v>196</v>
      </c>
      <c r="D1973" t="s">
        <v>74</v>
      </c>
      <c r="E1973" t="s">
        <v>78</v>
      </c>
      <c r="F1973" s="55">
        <v>89</v>
      </c>
      <c r="G1973" s="63">
        <v>8.2500000000000004E-2</v>
      </c>
    </row>
    <row r="1974" spans="1:7" x14ac:dyDescent="0.2">
      <c r="A1974" t="s">
        <v>71</v>
      </c>
      <c r="B1974" t="s">
        <v>8</v>
      </c>
      <c r="C1974" t="s">
        <v>196</v>
      </c>
      <c r="D1974" t="s">
        <v>74</v>
      </c>
      <c r="E1974" t="s">
        <v>79</v>
      </c>
      <c r="F1974" s="55">
        <v>90</v>
      </c>
      <c r="G1974" s="63">
        <v>0.22120000000000001</v>
      </c>
    </row>
    <row r="1975" spans="1:7" x14ac:dyDescent="0.2">
      <c r="A1975" t="s">
        <v>71</v>
      </c>
      <c r="B1975" t="s">
        <v>8</v>
      </c>
      <c r="C1975" t="s">
        <v>196</v>
      </c>
      <c r="D1975" t="s">
        <v>74</v>
      </c>
      <c r="E1975" t="s">
        <v>80</v>
      </c>
      <c r="F1975" s="55">
        <v>91</v>
      </c>
      <c r="G1975" s="63">
        <v>7.5499999999999998E-2</v>
      </c>
    </row>
    <row r="1976" spans="1:7" x14ac:dyDescent="0.2">
      <c r="A1976" t="s">
        <v>71</v>
      </c>
      <c r="B1976" t="s">
        <v>8</v>
      </c>
      <c r="C1976" t="s">
        <v>196</v>
      </c>
      <c r="D1976" t="s">
        <v>74</v>
      </c>
      <c r="E1976" t="s">
        <v>81</v>
      </c>
      <c r="F1976" s="55">
        <v>93</v>
      </c>
      <c r="G1976" s="63">
        <v>6.4799999999999996E-2</v>
      </c>
    </row>
    <row r="1977" spans="1:7" x14ac:dyDescent="0.2">
      <c r="A1977" t="s">
        <v>71</v>
      </c>
      <c r="B1977" t="s">
        <v>8</v>
      </c>
      <c r="C1977" t="s">
        <v>196</v>
      </c>
      <c r="D1977" t="s">
        <v>74</v>
      </c>
      <c r="E1977" t="s">
        <v>82</v>
      </c>
      <c r="F1977" s="55">
        <v>93</v>
      </c>
      <c r="G1977" s="63">
        <v>0.15010000000000001</v>
      </c>
    </row>
    <row r="1978" spans="1:7" x14ac:dyDescent="0.2">
      <c r="A1978" t="s">
        <v>71</v>
      </c>
      <c r="B1978" t="s">
        <v>8</v>
      </c>
      <c r="C1978" t="s">
        <v>196</v>
      </c>
      <c r="D1978" t="s">
        <v>74</v>
      </c>
      <c r="E1978" t="s">
        <v>83</v>
      </c>
      <c r="F1978" s="55">
        <v>91</v>
      </c>
      <c r="G1978" s="63">
        <v>2.7900000000000001E-2</v>
      </c>
    </row>
    <row r="1979" spans="1:7" x14ac:dyDescent="0.2">
      <c r="A1979" t="s">
        <v>71</v>
      </c>
      <c r="B1979" t="s">
        <v>8</v>
      </c>
      <c r="C1979" t="s">
        <v>196</v>
      </c>
      <c r="D1979" t="s">
        <v>74</v>
      </c>
      <c r="E1979" t="s">
        <v>84</v>
      </c>
      <c r="F1979" s="55">
        <v>92</v>
      </c>
      <c r="G1979" s="63">
        <v>6.1899999999999997E-2</v>
      </c>
    </row>
    <row r="1980" spans="1:7" x14ac:dyDescent="0.2">
      <c r="A1980" t="s">
        <v>71</v>
      </c>
      <c r="B1980" t="s">
        <v>8</v>
      </c>
      <c r="C1980" t="s">
        <v>196</v>
      </c>
      <c r="D1980" t="s">
        <v>74</v>
      </c>
      <c r="E1980" t="s">
        <v>85</v>
      </c>
      <c r="F1980" s="55">
        <v>87</v>
      </c>
      <c r="G1980" s="63">
        <v>8.3799999999999999E-2</v>
      </c>
    </row>
    <row r="1981" spans="1:7" x14ac:dyDescent="0.2">
      <c r="A1981" t="s">
        <v>71</v>
      </c>
      <c r="B1981" t="s">
        <v>8</v>
      </c>
      <c r="C1981" t="s">
        <v>196</v>
      </c>
      <c r="D1981" t="s">
        <v>74</v>
      </c>
      <c r="E1981" t="s">
        <v>86</v>
      </c>
      <c r="F1981" s="55">
        <v>90</v>
      </c>
      <c r="G1981" s="63">
        <v>9.8900000000000002E-2</v>
      </c>
    </row>
    <row r="1982" spans="1:7" x14ac:dyDescent="0.2">
      <c r="A1982" t="s">
        <v>71</v>
      </c>
      <c r="B1982" t="s">
        <v>8</v>
      </c>
      <c r="C1982" t="s">
        <v>196</v>
      </c>
      <c r="D1982" t="s">
        <v>74</v>
      </c>
      <c r="E1982" t="s">
        <v>87</v>
      </c>
      <c r="F1982" s="55">
        <v>92</v>
      </c>
      <c r="G1982" s="63">
        <v>0.11020000000000001</v>
      </c>
    </row>
    <row r="1983" spans="1:7" x14ac:dyDescent="0.2">
      <c r="A1983" t="s">
        <v>71</v>
      </c>
      <c r="B1983" t="s">
        <v>8</v>
      </c>
      <c r="C1983" t="s">
        <v>196</v>
      </c>
      <c r="D1983" t="s">
        <v>74</v>
      </c>
      <c r="E1983" t="s">
        <v>88</v>
      </c>
      <c r="F1983" s="55">
        <v>88</v>
      </c>
      <c r="G1983" s="63">
        <v>5.0599999999999999E-2</v>
      </c>
    </row>
    <row r="1984" spans="1:7" x14ac:dyDescent="0.2">
      <c r="A1984" t="s">
        <v>71</v>
      </c>
      <c r="B1984" t="s">
        <v>9</v>
      </c>
      <c r="C1984" t="s">
        <v>196</v>
      </c>
      <c r="D1984" t="s">
        <v>74</v>
      </c>
      <c r="E1984" t="s">
        <v>75</v>
      </c>
      <c r="F1984" s="55">
        <v>81</v>
      </c>
      <c r="G1984" s="63">
        <v>0.41420000000000001</v>
      </c>
    </row>
    <row r="1985" spans="1:7" x14ac:dyDescent="0.2">
      <c r="A1985" t="s">
        <v>71</v>
      </c>
      <c r="B1985" t="s">
        <v>9</v>
      </c>
      <c r="C1985" t="s">
        <v>196</v>
      </c>
      <c r="D1985" t="s">
        <v>74</v>
      </c>
      <c r="E1985" t="s">
        <v>76</v>
      </c>
      <c r="F1985" s="55">
        <v>81</v>
      </c>
      <c r="G1985" s="63">
        <v>7.3200000000000001E-2</v>
      </c>
    </row>
    <row r="1986" spans="1:7" x14ac:dyDescent="0.2">
      <c r="A1986" t="s">
        <v>71</v>
      </c>
      <c r="B1986" t="s">
        <v>9</v>
      </c>
      <c r="C1986" t="s">
        <v>196</v>
      </c>
      <c r="D1986" t="s">
        <v>74</v>
      </c>
      <c r="E1986" t="s">
        <v>77</v>
      </c>
      <c r="F1986" s="55">
        <v>78</v>
      </c>
      <c r="G1986" s="63">
        <v>0.16</v>
      </c>
    </row>
    <row r="1987" spans="1:7" x14ac:dyDescent="0.2">
      <c r="A1987" t="s">
        <v>71</v>
      </c>
      <c r="B1987" t="s">
        <v>9</v>
      </c>
      <c r="C1987" t="s">
        <v>196</v>
      </c>
      <c r="D1987" t="s">
        <v>74</v>
      </c>
      <c r="E1987" t="s">
        <v>78</v>
      </c>
      <c r="F1987" s="55">
        <v>85</v>
      </c>
      <c r="G1987" s="63">
        <v>0.154</v>
      </c>
    </row>
    <row r="1988" spans="1:7" x14ac:dyDescent="0.2">
      <c r="A1988" t="s">
        <v>71</v>
      </c>
      <c r="B1988" t="s">
        <v>9</v>
      </c>
      <c r="C1988" t="s">
        <v>196</v>
      </c>
      <c r="D1988" t="s">
        <v>74</v>
      </c>
      <c r="E1988" t="s">
        <v>79</v>
      </c>
      <c r="F1988" s="55">
        <v>81</v>
      </c>
      <c r="G1988" s="63">
        <v>0.33439999999999998</v>
      </c>
    </row>
    <row r="1989" spans="1:7" x14ac:dyDescent="0.2">
      <c r="A1989" t="s">
        <v>71</v>
      </c>
      <c r="B1989" t="s">
        <v>9</v>
      </c>
      <c r="C1989" t="s">
        <v>196</v>
      </c>
      <c r="D1989" t="s">
        <v>74</v>
      </c>
      <c r="E1989" t="s">
        <v>80</v>
      </c>
      <c r="F1989" s="55">
        <v>79</v>
      </c>
      <c r="G1989" s="63">
        <v>0.1321</v>
      </c>
    </row>
    <row r="1990" spans="1:7" x14ac:dyDescent="0.2">
      <c r="A1990" t="s">
        <v>71</v>
      </c>
      <c r="B1990" t="s">
        <v>9</v>
      </c>
      <c r="C1990" t="s">
        <v>196</v>
      </c>
      <c r="D1990" t="s">
        <v>74</v>
      </c>
      <c r="E1990" t="s">
        <v>81</v>
      </c>
      <c r="F1990" s="55">
        <v>80</v>
      </c>
      <c r="G1990" s="63">
        <v>0.1056</v>
      </c>
    </row>
    <row r="1991" spans="1:7" x14ac:dyDescent="0.2">
      <c r="A1991" t="s">
        <v>71</v>
      </c>
      <c r="B1991" t="s">
        <v>9</v>
      </c>
      <c r="C1991" t="s">
        <v>196</v>
      </c>
      <c r="D1991" t="s">
        <v>74</v>
      </c>
      <c r="E1991" t="s">
        <v>82</v>
      </c>
      <c r="F1991" s="55">
        <v>81</v>
      </c>
      <c r="G1991" s="63">
        <v>0.26419999999999999</v>
      </c>
    </row>
    <row r="1992" spans="1:7" x14ac:dyDescent="0.2">
      <c r="A1992" t="s">
        <v>71</v>
      </c>
      <c r="B1992" t="s">
        <v>9</v>
      </c>
      <c r="C1992" t="s">
        <v>196</v>
      </c>
      <c r="D1992" t="s">
        <v>74</v>
      </c>
      <c r="E1992" t="s">
        <v>83</v>
      </c>
      <c r="F1992" s="55">
        <v>82</v>
      </c>
      <c r="G1992" s="63">
        <v>5.0999999999999997E-2</v>
      </c>
    </row>
    <row r="1993" spans="1:7" x14ac:dyDescent="0.2">
      <c r="A1993" t="s">
        <v>71</v>
      </c>
      <c r="B1993" t="s">
        <v>9</v>
      </c>
      <c r="C1993" t="s">
        <v>196</v>
      </c>
      <c r="D1993" t="s">
        <v>74</v>
      </c>
      <c r="E1993" t="s">
        <v>84</v>
      </c>
      <c r="F1993" s="55">
        <v>87</v>
      </c>
      <c r="G1993" s="63">
        <v>0.11990000000000001</v>
      </c>
    </row>
    <row r="1994" spans="1:7" x14ac:dyDescent="0.2">
      <c r="A1994" t="s">
        <v>71</v>
      </c>
      <c r="B1994" t="s">
        <v>9</v>
      </c>
      <c r="C1994" t="s">
        <v>196</v>
      </c>
      <c r="D1994" t="s">
        <v>74</v>
      </c>
      <c r="E1994" t="s">
        <v>85</v>
      </c>
      <c r="F1994" s="55">
        <v>78</v>
      </c>
      <c r="G1994" s="63">
        <v>0.17080000000000001</v>
      </c>
    </row>
    <row r="1995" spans="1:7" x14ac:dyDescent="0.2">
      <c r="A1995" t="s">
        <v>71</v>
      </c>
      <c r="B1995" t="s">
        <v>9</v>
      </c>
      <c r="C1995" t="s">
        <v>196</v>
      </c>
      <c r="D1995" t="s">
        <v>74</v>
      </c>
      <c r="E1995" t="s">
        <v>86</v>
      </c>
      <c r="F1995" s="55">
        <v>80</v>
      </c>
      <c r="G1995" s="63">
        <v>0.20499999999999999</v>
      </c>
    </row>
    <row r="1996" spans="1:7" x14ac:dyDescent="0.2">
      <c r="A1996" t="s">
        <v>71</v>
      </c>
      <c r="B1996" t="s">
        <v>9</v>
      </c>
      <c r="C1996" t="s">
        <v>196</v>
      </c>
      <c r="D1996" t="s">
        <v>74</v>
      </c>
      <c r="E1996" t="s">
        <v>87</v>
      </c>
      <c r="F1996" s="55">
        <v>80</v>
      </c>
      <c r="G1996" s="63">
        <v>0.22459999999999999</v>
      </c>
    </row>
    <row r="1997" spans="1:7" x14ac:dyDescent="0.2">
      <c r="A1997" t="s">
        <v>71</v>
      </c>
      <c r="B1997" t="s">
        <v>9</v>
      </c>
      <c r="C1997" t="s">
        <v>196</v>
      </c>
      <c r="D1997" t="s">
        <v>74</v>
      </c>
      <c r="E1997" t="s">
        <v>88</v>
      </c>
      <c r="F1997" s="55">
        <v>82</v>
      </c>
      <c r="G1997" s="63">
        <v>0.1062</v>
      </c>
    </row>
    <row r="1998" spans="1:7" x14ac:dyDescent="0.2">
      <c r="A1998" t="s">
        <v>71</v>
      </c>
      <c r="B1998" t="s">
        <v>122</v>
      </c>
      <c r="C1998" t="s">
        <v>196</v>
      </c>
      <c r="D1998" t="s">
        <v>74</v>
      </c>
      <c r="E1998" t="s">
        <v>75</v>
      </c>
      <c r="F1998" s="55">
        <v>28</v>
      </c>
      <c r="G1998" s="63">
        <v>3.7900000000000003E-2</v>
      </c>
    </row>
    <row r="1999" spans="1:7" x14ac:dyDescent="0.2">
      <c r="A1999" t="s">
        <v>71</v>
      </c>
      <c r="B1999" t="s">
        <v>122</v>
      </c>
      <c r="C1999" t="s">
        <v>196</v>
      </c>
      <c r="D1999" t="s">
        <v>74</v>
      </c>
      <c r="E1999" t="s">
        <v>76</v>
      </c>
      <c r="F1999" s="55">
        <v>34</v>
      </c>
      <c r="G1999" s="63">
        <v>2.7000000000000001E-3</v>
      </c>
    </row>
    <row r="2000" spans="1:7" x14ac:dyDescent="0.2">
      <c r="A2000" t="s">
        <v>71</v>
      </c>
      <c r="B2000" t="s">
        <v>122</v>
      </c>
      <c r="C2000" t="s">
        <v>196</v>
      </c>
      <c r="D2000" t="s">
        <v>74</v>
      </c>
      <c r="E2000" t="s">
        <v>77</v>
      </c>
      <c r="F2000" s="55">
        <v>27</v>
      </c>
      <c r="G2000" s="63">
        <v>1.01E-2</v>
      </c>
    </row>
    <row r="2001" spans="1:7" x14ac:dyDescent="0.2">
      <c r="A2001" t="s">
        <v>71</v>
      </c>
      <c r="B2001" t="s">
        <v>122</v>
      </c>
      <c r="C2001" t="s">
        <v>196</v>
      </c>
      <c r="D2001" t="s">
        <v>74</v>
      </c>
      <c r="E2001" t="s">
        <v>78</v>
      </c>
      <c r="F2001" s="55">
        <v>26</v>
      </c>
      <c r="G2001" s="63">
        <v>7.4999999999999997E-3</v>
      </c>
    </row>
    <row r="2002" spans="1:7" x14ac:dyDescent="0.2">
      <c r="A2002" t="s">
        <v>71</v>
      </c>
      <c r="B2002" t="s">
        <v>122</v>
      </c>
      <c r="C2002" t="s">
        <v>196</v>
      </c>
      <c r="D2002" t="s">
        <v>74</v>
      </c>
      <c r="E2002" t="s">
        <v>79</v>
      </c>
      <c r="F2002" s="55">
        <v>28</v>
      </c>
      <c r="G2002" s="63">
        <v>2.18E-2</v>
      </c>
    </row>
    <row r="2003" spans="1:7" x14ac:dyDescent="0.2">
      <c r="A2003" t="s">
        <v>71</v>
      </c>
      <c r="B2003" t="s">
        <v>122</v>
      </c>
      <c r="C2003" t="s">
        <v>196</v>
      </c>
      <c r="D2003" t="s">
        <v>74</v>
      </c>
      <c r="E2003" t="s">
        <v>80</v>
      </c>
      <c r="F2003" s="55">
        <v>22</v>
      </c>
      <c r="G2003" s="63">
        <v>6.0000000000000001E-3</v>
      </c>
    </row>
    <row r="2004" spans="1:7" x14ac:dyDescent="0.2">
      <c r="A2004" t="s">
        <v>71</v>
      </c>
      <c r="B2004" t="s">
        <v>122</v>
      </c>
      <c r="C2004" t="s">
        <v>196</v>
      </c>
      <c r="D2004" t="s">
        <v>74</v>
      </c>
      <c r="E2004" t="s">
        <v>81</v>
      </c>
      <c r="F2004" s="55">
        <v>20</v>
      </c>
      <c r="G2004" s="63">
        <v>6.8999999999999999E-3</v>
      </c>
    </row>
    <row r="2005" spans="1:7" x14ac:dyDescent="0.2">
      <c r="A2005" t="s">
        <v>71</v>
      </c>
      <c r="B2005" t="s">
        <v>122</v>
      </c>
      <c r="C2005" t="s">
        <v>196</v>
      </c>
      <c r="D2005" t="s">
        <v>74</v>
      </c>
      <c r="E2005" t="s">
        <v>82</v>
      </c>
      <c r="F2005" s="55">
        <v>30</v>
      </c>
      <c r="G2005" s="63">
        <v>1.55E-2</v>
      </c>
    </row>
    <row r="2006" spans="1:7" x14ac:dyDescent="0.2">
      <c r="A2006" t="s">
        <v>71</v>
      </c>
      <c r="B2006" t="s">
        <v>122</v>
      </c>
      <c r="C2006" t="s">
        <v>196</v>
      </c>
      <c r="D2006" t="s">
        <v>74</v>
      </c>
      <c r="E2006" t="s">
        <v>83</v>
      </c>
      <c r="F2006" s="55">
        <v>26</v>
      </c>
      <c r="G2006" s="63">
        <v>2.7000000000000001E-3</v>
      </c>
    </row>
    <row r="2007" spans="1:7" x14ac:dyDescent="0.2">
      <c r="A2007" t="s">
        <v>71</v>
      </c>
      <c r="B2007" t="s">
        <v>122</v>
      </c>
      <c r="C2007" t="s">
        <v>196</v>
      </c>
      <c r="D2007" t="s">
        <v>74</v>
      </c>
      <c r="E2007" t="s">
        <v>84</v>
      </c>
      <c r="F2007" s="55">
        <v>26</v>
      </c>
      <c r="G2007" s="63">
        <v>5.5999999999999999E-3</v>
      </c>
    </row>
    <row r="2008" spans="1:7" x14ac:dyDescent="0.2">
      <c r="A2008" t="s">
        <v>71</v>
      </c>
      <c r="B2008" t="s">
        <v>122</v>
      </c>
      <c r="C2008" t="s">
        <v>196</v>
      </c>
      <c r="D2008" t="s">
        <v>74</v>
      </c>
      <c r="E2008" t="s">
        <v>85</v>
      </c>
      <c r="F2008" s="55">
        <v>25</v>
      </c>
      <c r="G2008" s="63">
        <v>6.1000000000000004E-3</v>
      </c>
    </row>
    <row r="2009" spans="1:7" x14ac:dyDescent="0.2">
      <c r="A2009" t="s">
        <v>71</v>
      </c>
      <c r="B2009" t="s">
        <v>122</v>
      </c>
      <c r="C2009" t="s">
        <v>196</v>
      </c>
      <c r="D2009" t="s">
        <v>74</v>
      </c>
      <c r="E2009" t="s">
        <v>86</v>
      </c>
      <c r="F2009" s="55">
        <v>27</v>
      </c>
      <c r="G2009" s="63">
        <v>7.4999999999999997E-3</v>
      </c>
    </row>
    <row r="2010" spans="1:7" x14ac:dyDescent="0.2">
      <c r="A2010" t="s">
        <v>71</v>
      </c>
      <c r="B2010" t="s">
        <v>122</v>
      </c>
      <c r="C2010" t="s">
        <v>196</v>
      </c>
      <c r="D2010" t="s">
        <v>74</v>
      </c>
      <c r="E2010" t="s">
        <v>87</v>
      </c>
      <c r="F2010" s="55">
        <v>28</v>
      </c>
      <c r="G2010" s="63">
        <v>8.0999999999999996E-3</v>
      </c>
    </row>
    <row r="2011" spans="1:7" x14ac:dyDescent="0.2">
      <c r="A2011" t="s">
        <v>71</v>
      </c>
      <c r="B2011" t="s">
        <v>122</v>
      </c>
      <c r="C2011" t="s">
        <v>196</v>
      </c>
      <c r="D2011" t="s">
        <v>74</v>
      </c>
      <c r="E2011" t="s">
        <v>88</v>
      </c>
      <c r="F2011" s="55">
        <v>31</v>
      </c>
      <c r="G2011" s="63">
        <v>5.7999999999999996E-3</v>
      </c>
    </row>
    <row r="2012" spans="1:7" x14ac:dyDescent="0.2">
      <c r="A2012" t="s">
        <v>71</v>
      </c>
      <c r="B2012" t="s">
        <v>123</v>
      </c>
      <c r="C2012" t="s">
        <v>196</v>
      </c>
      <c r="D2012" t="s">
        <v>74</v>
      </c>
      <c r="E2012" t="s">
        <v>75</v>
      </c>
      <c r="F2012" s="55">
        <v>87</v>
      </c>
      <c r="G2012" s="63">
        <v>0.29980000000000001</v>
      </c>
    </row>
    <row r="2013" spans="1:7" x14ac:dyDescent="0.2">
      <c r="A2013" t="s">
        <v>71</v>
      </c>
      <c r="B2013" t="s">
        <v>123</v>
      </c>
      <c r="C2013" t="s">
        <v>196</v>
      </c>
      <c r="D2013" t="s">
        <v>74</v>
      </c>
      <c r="E2013" t="s">
        <v>76</v>
      </c>
      <c r="F2013" s="55">
        <v>92</v>
      </c>
      <c r="G2013" s="63">
        <v>3.5099999999999999E-2</v>
      </c>
    </row>
    <row r="2014" spans="1:7" x14ac:dyDescent="0.2">
      <c r="A2014" t="s">
        <v>71</v>
      </c>
      <c r="B2014" t="s">
        <v>123</v>
      </c>
      <c r="C2014" t="s">
        <v>196</v>
      </c>
      <c r="D2014" t="s">
        <v>74</v>
      </c>
      <c r="E2014" t="s">
        <v>77</v>
      </c>
      <c r="F2014" s="55">
        <v>87</v>
      </c>
      <c r="G2014" s="63">
        <v>0.1096</v>
      </c>
    </row>
    <row r="2015" spans="1:7" x14ac:dyDescent="0.2">
      <c r="A2015" t="s">
        <v>71</v>
      </c>
      <c r="B2015" t="s">
        <v>123</v>
      </c>
      <c r="C2015" t="s">
        <v>196</v>
      </c>
      <c r="D2015" t="s">
        <v>74</v>
      </c>
      <c r="E2015" t="s">
        <v>78</v>
      </c>
      <c r="F2015" s="55">
        <v>85</v>
      </c>
      <c r="G2015" s="63">
        <v>9.6100000000000005E-2</v>
      </c>
    </row>
    <row r="2016" spans="1:7" x14ac:dyDescent="0.2">
      <c r="A2016" t="s">
        <v>71</v>
      </c>
      <c r="B2016" t="s">
        <v>123</v>
      </c>
      <c r="C2016" t="s">
        <v>196</v>
      </c>
      <c r="D2016" t="s">
        <v>74</v>
      </c>
      <c r="E2016" t="s">
        <v>79</v>
      </c>
      <c r="F2016" s="55">
        <v>88</v>
      </c>
      <c r="G2016" s="63">
        <v>0.20979999999999999</v>
      </c>
    </row>
    <row r="2017" spans="1:7" x14ac:dyDescent="0.2">
      <c r="A2017" t="s">
        <v>71</v>
      </c>
      <c r="B2017" t="s">
        <v>123</v>
      </c>
      <c r="C2017" t="s">
        <v>196</v>
      </c>
      <c r="D2017" t="s">
        <v>74</v>
      </c>
      <c r="E2017" t="s">
        <v>80</v>
      </c>
      <c r="F2017" s="55">
        <v>89</v>
      </c>
      <c r="G2017" s="63">
        <v>6.5299999999999997E-2</v>
      </c>
    </row>
    <row r="2018" spans="1:7" x14ac:dyDescent="0.2">
      <c r="A2018" t="s">
        <v>71</v>
      </c>
      <c r="B2018" t="s">
        <v>123</v>
      </c>
      <c r="C2018" t="s">
        <v>196</v>
      </c>
      <c r="D2018" t="s">
        <v>74</v>
      </c>
      <c r="E2018" t="s">
        <v>81</v>
      </c>
      <c r="F2018" s="55">
        <v>87</v>
      </c>
      <c r="G2018" s="63">
        <v>5.8299999999999998E-2</v>
      </c>
    </row>
    <row r="2019" spans="1:7" x14ac:dyDescent="0.2">
      <c r="A2019" t="s">
        <v>71</v>
      </c>
      <c r="B2019" t="s">
        <v>123</v>
      </c>
      <c r="C2019" t="s">
        <v>196</v>
      </c>
      <c r="D2019" t="s">
        <v>74</v>
      </c>
      <c r="E2019" t="s">
        <v>82</v>
      </c>
      <c r="F2019" s="55">
        <v>87</v>
      </c>
      <c r="G2019" s="63">
        <v>0.15959999999999999</v>
      </c>
    </row>
    <row r="2020" spans="1:7" x14ac:dyDescent="0.2">
      <c r="A2020" t="s">
        <v>71</v>
      </c>
      <c r="B2020" t="s">
        <v>123</v>
      </c>
      <c r="C2020" t="s">
        <v>196</v>
      </c>
      <c r="D2020" t="s">
        <v>74</v>
      </c>
      <c r="E2020" t="s">
        <v>83</v>
      </c>
      <c r="F2020" s="55">
        <v>90</v>
      </c>
      <c r="G2020" s="63">
        <v>2.64E-2</v>
      </c>
    </row>
    <row r="2021" spans="1:7" x14ac:dyDescent="0.2">
      <c r="A2021" t="s">
        <v>71</v>
      </c>
      <c r="B2021" t="s">
        <v>123</v>
      </c>
      <c r="C2021" t="s">
        <v>196</v>
      </c>
      <c r="D2021" t="s">
        <v>74</v>
      </c>
      <c r="E2021" t="s">
        <v>84</v>
      </c>
      <c r="F2021" s="55">
        <v>86</v>
      </c>
      <c r="G2021" s="63">
        <v>7.2800000000000004E-2</v>
      </c>
    </row>
    <row r="2022" spans="1:7" x14ac:dyDescent="0.2">
      <c r="A2022" t="s">
        <v>71</v>
      </c>
      <c r="B2022" t="s">
        <v>123</v>
      </c>
      <c r="C2022" t="s">
        <v>196</v>
      </c>
      <c r="D2022" t="s">
        <v>74</v>
      </c>
      <c r="E2022" t="s">
        <v>85</v>
      </c>
      <c r="F2022" s="55">
        <v>88</v>
      </c>
      <c r="G2022" s="63">
        <v>8.3799999999999999E-2</v>
      </c>
    </row>
    <row r="2023" spans="1:7" x14ac:dyDescent="0.2">
      <c r="A2023" t="s">
        <v>71</v>
      </c>
      <c r="B2023" t="s">
        <v>123</v>
      </c>
      <c r="C2023" t="s">
        <v>196</v>
      </c>
      <c r="D2023" t="s">
        <v>74</v>
      </c>
      <c r="E2023" t="s">
        <v>86</v>
      </c>
      <c r="F2023" s="55">
        <v>89</v>
      </c>
      <c r="G2023" s="63">
        <v>0.1019</v>
      </c>
    </row>
    <row r="2024" spans="1:7" x14ac:dyDescent="0.2">
      <c r="A2024" t="s">
        <v>71</v>
      </c>
      <c r="B2024" t="s">
        <v>123</v>
      </c>
      <c r="C2024" t="s">
        <v>196</v>
      </c>
      <c r="D2024" t="s">
        <v>74</v>
      </c>
      <c r="E2024" t="s">
        <v>87</v>
      </c>
      <c r="F2024" s="55">
        <v>88</v>
      </c>
      <c r="G2024" s="63">
        <v>0.11609999999999999</v>
      </c>
    </row>
    <row r="2025" spans="1:7" x14ac:dyDescent="0.2">
      <c r="A2025" t="s">
        <v>71</v>
      </c>
      <c r="B2025" t="s">
        <v>123</v>
      </c>
      <c r="C2025" t="s">
        <v>196</v>
      </c>
      <c r="D2025" t="s">
        <v>74</v>
      </c>
      <c r="E2025" t="s">
        <v>88</v>
      </c>
      <c r="F2025" s="55">
        <v>92</v>
      </c>
      <c r="G2025" s="63">
        <v>5.7000000000000002E-2</v>
      </c>
    </row>
    <row r="2026" spans="1:7" x14ac:dyDescent="0.2">
      <c r="A2026" t="s">
        <v>89</v>
      </c>
      <c r="B2026" t="s">
        <v>124</v>
      </c>
      <c r="C2026" t="s">
        <v>196</v>
      </c>
      <c r="D2026" t="s">
        <v>74</v>
      </c>
      <c r="E2026" t="s">
        <v>75</v>
      </c>
      <c r="F2026" s="55">
        <v>90</v>
      </c>
      <c r="G2026" s="63">
        <v>9.5100000000000004E-2</v>
      </c>
    </row>
    <row r="2027" spans="1:7" x14ac:dyDescent="0.2">
      <c r="A2027" t="s">
        <v>89</v>
      </c>
      <c r="B2027" t="s">
        <v>124</v>
      </c>
      <c r="C2027" t="s">
        <v>196</v>
      </c>
      <c r="D2027" t="s">
        <v>74</v>
      </c>
      <c r="E2027" t="s">
        <v>76</v>
      </c>
      <c r="F2027" s="55">
        <v>101</v>
      </c>
      <c r="G2027" s="63">
        <v>8.6999999999999994E-3</v>
      </c>
    </row>
    <row r="2028" spans="1:7" x14ac:dyDescent="0.2">
      <c r="A2028" t="s">
        <v>89</v>
      </c>
      <c r="B2028" t="s">
        <v>124</v>
      </c>
      <c r="C2028" t="s">
        <v>196</v>
      </c>
      <c r="D2028" t="s">
        <v>74</v>
      </c>
      <c r="E2028" t="s">
        <v>77</v>
      </c>
      <c r="F2028" s="55">
        <v>87</v>
      </c>
      <c r="G2028" s="63">
        <v>2.9100000000000001E-2</v>
      </c>
    </row>
    <row r="2029" spans="1:7" x14ac:dyDescent="0.2">
      <c r="A2029" t="s">
        <v>89</v>
      </c>
      <c r="B2029" t="s">
        <v>124</v>
      </c>
      <c r="C2029" t="s">
        <v>196</v>
      </c>
      <c r="D2029" t="s">
        <v>74</v>
      </c>
      <c r="E2029" t="s">
        <v>78</v>
      </c>
      <c r="F2029" s="55">
        <v>79</v>
      </c>
      <c r="G2029" s="63">
        <v>2.2200000000000001E-2</v>
      </c>
    </row>
    <row r="2030" spans="1:7" x14ac:dyDescent="0.2">
      <c r="A2030" t="s">
        <v>89</v>
      </c>
      <c r="B2030" t="s">
        <v>124</v>
      </c>
      <c r="C2030" t="s">
        <v>196</v>
      </c>
      <c r="D2030" t="s">
        <v>74</v>
      </c>
      <c r="E2030" t="s">
        <v>79</v>
      </c>
      <c r="F2030" s="55">
        <v>94</v>
      </c>
      <c r="G2030" s="63">
        <v>5.7000000000000002E-2</v>
      </c>
    </row>
    <row r="2031" spans="1:7" x14ac:dyDescent="0.2">
      <c r="A2031" t="s">
        <v>89</v>
      </c>
      <c r="B2031" t="s">
        <v>124</v>
      </c>
      <c r="C2031" t="s">
        <v>196</v>
      </c>
      <c r="D2031" t="s">
        <v>74</v>
      </c>
      <c r="E2031" t="s">
        <v>80</v>
      </c>
      <c r="F2031" s="55">
        <v>88</v>
      </c>
      <c r="G2031" s="63">
        <v>1.49E-2</v>
      </c>
    </row>
    <row r="2032" spans="1:7" x14ac:dyDescent="0.2">
      <c r="A2032" t="s">
        <v>89</v>
      </c>
      <c r="B2032" t="s">
        <v>124</v>
      </c>
      <c r="C2032" t="s">
        <v>196</v>
      </c>
      <c r="D2032" t="s">
        <v>74</v>
      </c>
      <c r="E2032" t="s">
        <v>81</v>
      </c>
      <c r="F2032" s="55">
        <v>93</v>
      </c>
      <c r="G2032" s="63">
        <v>1.5599999999999999E-2</v>
      </c>
    </row>
    <row r="2033" spans="1:7" x14ac:dyDescent="0.2">
      <c r="A2033" t="s">
        <v>89</v>
      </c>
      <c r="B2033" t="s">
        <v>124</v>
      </c>
      <c r="C2033" t="s">
        <v>196</v>
      </c>
      <c r="D2033" t="s">
        <v>74</v>
      </c>
      <c r="E2033" t="s">
        <v>82</v>
      </c>
      <c r="F2033" s="55">
        <v>91</v>
      </c>
      <c r="G2033" s="63">
        <v>3.5700000000000003E-2</v>
      </c>
    </row>
    <row r="2034" spans="1:7" x14ac:dyDescent="0.2">
      <c r="A2034" t="s">
        <v>89</v>
      </c>
      <c r="B2034" t="s">
        <v>124</v>
      </c>
      <c r="C2034" t="s">
        <v>196</v>
      </c>
      <c r="D2034" t="s">
        <v>74</v>
      </c>
      <c r="E2034" t="s">
        <v>83</v>
      </c>
      <c r="F2034" s="55">
        <v>105</v>
      </c>
      <c r="G2034" s="63">
        <v>7.0000000000000001E-3</v>
      </c>
    </row>
    <row r="2035" spans="1:7" x14ac:dyDescent="0.2">
      <c r="A2035" t="s">
        <v>89</v>
      </c>
      <c r="B2035" t="s">
        <v>124</v>
      </c>
      <c r="C2035" t="s">
        <v>196</v>
      </c>
      <c r="D2035" t="s">
        <v>74</v>
      </c>
      <c r="E2035" t="s">
        <v>84</v>
      </c>
      <c r="F2035" s="55">
        <v>77</v>
      </c>
      <c r="G2035" s="63">
        <v>1.49E-2</v>
      </c>
    </row>
    <row r="2036" spans="1:7" x14ac:dyDescent="0.2">
      <c r="A2036" t="s">
        <v>89</v>
      </c>
      <c r="B2036" t="s">
        <v>124</v>
      </c>
      <c r="C2036" t="s">
        <v>196</v>
      </c>
      <c r="D2036" t="s">
        <v>74</v>
      </c>
      <c r="E2036" t="s">
        <v>85</v>
      </c>
      <c r="F2036" s="55">
        <v>93</v>
      </c>
      <c r="G2036" s="63">
        <v>1.66E-2</v>
      </c>
    </row>
    <row r="2037" spans="1:7" x14ac:dyDescent="0.2">
      <c r="A2037" t="s">
        <v>89</v>
      </c>
      <c r="B2037" t="s">
        <v>124</v>
      </c>
      <c r="C2037" t="s">
        <v>196</v>
      </c>
      <c r="D2037" t="s">
        <v>74</v>
      </c>
      <c r="E2037" t="s">
        <v>86</v>
      </c>
      <c r="F2037" s="55">
        <v>92</v>
      </c>
      <c r="G2037" s="63">
        <v>2.1100000000000001E-2</v>
      </c>
    </row>
    <row r="2038" spans="1:7" x14ac:dyDescent="0.2">
      <c r="A2038" t="s">
        <v>89</v>
      </c>
      <c r="B2038" t="s">
        <v>124</v>
      </c>
      <c r="C2038" t="s">
        <v>196</v>
      </c>
      <c r="D2038" t="s">
        <v>74</v>
      </c>
      <c r="E2038" t="s">
        <v>87</v>
      </c>
      <c r="F2038" s="55">
        <v>88</v>
      </c>
      <c r="G2038" s="63">
        <v>2.2599999999999999E-2</v>
      </c>
    </row>
    <row r="2039" spans="1:7" x14ac:dyDescent="0.2">
      <c r="A2039" t="s">
        <v>89</v>
      </c>
      <c r="B2039" t="s">
        <v>124</v>
      </c>
      <c r="C2039" t="s">
        <v>196</v>
      </c>
      <c r="D2039" t="s">
        <v>74</v>
      </c>
      <c r="E2039" t="s">
        <v>88</v>
      </c>
      <c r="F2039" s="55">
        <v>101</v>
      </c>
      <c r="G2039" s="63">
        <v>1.4200000000000001E-2</v>
      </c>
    </row>
    <row r="2040" spans="1:7" x14ac:dyDescent="0.2">
      <c r="A2040" t="s">
        <v>89</v>
      </c>
      <c r="B2040" t="s">
        <v>125</v>
      </c>
      <c r="C2040" t="s">
        <v>196</v>
      </c>
      <c r="D2040" t="s">
        <v>74</v>
      </c>
      <c r="E2040" t="s">
        <v>75</v>
      </c>
      <c r="F2040" s="55">
        <v>90</v>
      </c>
      <c r="G2040" s="63">
        <v>0.08</v>
      </c>
    </row>
    <row r="2041" spans="1:7" x14ac:dyDescent="0.2">
      <c r="A2041" t="s">
        <v>89</v>
      </c>
      <c r="B2041" t="s">
        <v>125</v>
      </c>
      <c r="C2041" t="s">
        <v>196</v>
      </c>
      <c r="D2041" t="s">
        <v>74</v>
      </c>
      <c r="E2041" t="s">
        <v>76</v>
      </c>
      <c r="F2041" s="55">
        <v>105</v>
      </c>
      <c r="G2041" s="63">
        <v>5.7999999999999996E-3</v>
      </c>
    </row>
    <row r="2042" spans="1:7" x14ac:dyDescent="0.2">
      <c r="A2042" t="s">
        <v>89</v>
      </c>
      <c r="B2042" t="s">
        <v>125</v>
      </c>
      <c r="C2042" t="s">
        <v>196</v>
      </c>
      <c r="D2042" t="s">
        <v>74</v>
      </c>
      <c r="E2042" t="s">
        <v>77</v>
      </c>
      <c r="F2042" s="55">
        <v>95</v>
      </c>
      <c r="G2042" s="63">
        <v>2.0500000000000001E-2</v>
      </c>
    </row>
    <row r="2043" spans="1:7" x14ac:dyDescent="0.2">
      <c r="A2043" t="s">
        <v>89</v>
      </c>
      <c r="B2043" t="s">
        <v>125</v>
      </c>
      <c r="C2043" t="s">
        <v>196</v>
      </c>
      <c r="D2043" t="s">
        <v>74</v>
      </c>
      <c r="E2043" t="s">
        <v>78</v>
      </c>
      <c r="F2043" s="55">
        <v>89</v>
      </c>
      <c r="G2043" s="63">
        <v>1.7500000000000002E-2</v>
      </c>
    </row>
    <row r="2044" spans="1:7" x14ac:dyDescent="0.2">
      <c r="A2044" t="s">
        <v>89</v>
      </c>
      <c r="B2044" t="s">
        <v>125</v>
      </c>
      <c r="C2044" t="s">
        <v>196</v>
      </c>
      <c r="D2044" t="s">
        <v>74</v>
      </c>
      <c r="E2044" t="s">
        <v>79</v>
      </c>
      <c r="F2044" s="55">
        <v>84</v>
      </c>
      <c r="G2044" s="63">
        <v>5.28E-2</v>
      </c>
    </row>
    <row r="2045" spans="1:7" x14ac:dyDescent="0.2">
      <c r="A2045" t="s">
        <v>89</v>
      </c>
      <c r="B2045" t="s">
        <v>125</v>
      </c>
      <c r="C2045" t="s">
        <v>196</v>
      </c>
      <c r="D2045" t="s">
        <v>74</v>
      </c>
      <c r="E2045" t="s">
        <v>80</v>
      </c>
      <c r="F2045" s="55">
        <v>96</v>
      </c>
      <c r="G2045" s="63">
        <v>1.21E-2</v>
      </c>
    </row>
    <row r="2046" spans="1:7" x14ac:dyDescent="0.2">
      <c r="A2046" t="s">
        <v>89</v>
      </c>
      <c r="B2046" t="s">
        <v>125</v>
      </c>
      <c r="C2046" t="s">
        <v>196</v>
      </c>
      <c r="D2046" t="s">
        <v>74</v>
      </c>
      <c r="E2046" t="s">
        <v>81</v>
      </c>
      <c r="F2046" s="55">
        <v>94</v>
      </c>
      <c r="G2046" s="63">
        <v>1.18E-2</v>
      </c>
    </row>
    <row r="2047" spans="1:7" x14ac:dyDescent="0.2">
      <c r="A2047" t="s">
        <v>89</v>
      </c>
      <c r="B2047" t="s">
        <v>125</v>
      </c>
      <c r="C2047" t="s">
        <v>196</v>
      </c>
      <c r="D2047" t="s">
        <v>74</v>
      </c>
      <c r="E2047" t="s">
        <v>82</v>
      </c>
      <c r="F2047" s="55">
        <v>85</v>
      </c>
      <c r="G2047" s="63">
        <v>3.2300000000000002E-2</v>
      </c>
    </row>
    <row r="2048" spans="1:7" x14ac:dyDescent="0.2">
      <c r="A2048" t="s">
        <v>89</v>
      </c>
      <c r="B2048" t="s">
        <v>125</v>
      </c>
      <c r="C2048" t="s">
        <v>196</v>
      </c>
      <c r="D2048" t="s">
        <v>74</v>
      </c>
      <c r="E2048" t="s">
        <v>83</v>
      </c>
      <c r="F2048" s="55">
        <v>97</v>
      </c>
      <c r="G2048" s="63">
        <v>5.1999999999999998E-3</v>
      </c>
    </row>
    <row r="2049" spans="1:7" x14ac:dyDescent="0.2">
      <c r="A2049" t="s">
        <v>89</v>
      </c>
      <c r="B2049" t="s">
        <v>125</v>
      </c>
      <c r="C2049" t="s">
        <v>196</v>
      </c>
      <c r="D2049" t="s">
        <v>74</v>
      </c>
      <c r="E2049" t="s">
        <v>84</v>
      </c>
      <c r="F2049" s="55">
        <v>93</v>
      </c>
      <c r="G2049" s="63">
        <v>1.26E-2</v>
      </c>
    </row>
    <row r="2050" spans="1:7" x14ac:dyDescent="0.2">
      <c r="A2050" t="s">
        <v>89</v>
      </c>
      <c r="B2050" t="s">
        <v>125</v>
      </c>
      <c r="C2050" t="s">
        <v>196</v>
      </c>
      <c r="D2050" t="s">
        <v>74</v>
      </c>
      <c r="E2050" t="s">
        <v>85</v>
      </c>
      <c r="F2050" s="55">
        <v>87</v>
      </c>
      <c r="G2050" s="63">
        <v>1.49E-2</v>
      </c>
    </row>
    <row r="2051" spans="1:7" x14ac:dyDescent="0.2">
      <c r="A2051" t="s">
        <v>89</v>
      </c>
      <c r="B2051" t="s">
        <v>125</v>
      </c>
      <c r="C2051" t="s">
        <v>196</v>
      </c>
      <c r="D2051" t="s">
        <v>74</v>
      </c>
      <c r="E2051" t="s">
        <v>86</v>
      </c>
      <c r="F2051" s="55">
        <v>87</v>
      </c>
      <c r="G2051" s="63">
        <v>2.0299999999999999E-2</v>
      </c>
    </row>
    <row r="2052" spans="1:7" x14ac:dyDescent="0.2">
      <c r="A2052" t="s">
        <v>89</v>
      </c>
      <c r="B2052" t="s">
        <v>125</v>
      </c>
      <c r="C2052" t="s">
        <v>196</v>
      </c>
      <c r="D2052" t="s">
        <v>74</v>
      </c>
      <c r="E2052" t="s">
        <v>87</v>
      </c>
      <c r="F2052" s="55">
        <v>84</v>
      </c>
      <c r="G2052" s="63">
        <v>2.47E-2</v>
      </c>
    </row>
    <row r="2053" spans="1:7" x14ac:dyDescent="0.2">
      <c r="A2053" t="s">
        <v>89</v>
      </c>
      <c r="B2053" t="s">
        <v>125</v>
      </c>
      <c r="C2053" t="s">
        <v>196</v>
      </c>
      <c r="D2053" t="s">
        <v>74</v>
      </c>
      <c r="E2053" t="s">
        <v>88</v>
      </c>
      <c r="F2053" s="55">
        <v>101</v>
      </c>
      <c r="G2053" s="63">
        <v>9.9000000000000008E-3</v>
      </c>
    </row>
    <row r="2054" spans="1:7" x14ac:dyDescent="0.2">
      <c r="A2054" t="s">
        <v>71</v>
      </c>
      <c r="B2054" t="s">
        <v>10</v>
      </c>
      <c r="C2054" t="s">
        <v>196</v>
      </c>
      <c r="D2054" t="s">
        <v>74</v>
      </c>
      <c r="E2054" t="s">
        <v>75</v>
      </c>
      <c r="F2054" s="55">
        <v>103</v>
      </c>
      <c r="G2054" s="63">
        <v>0.33879999999999999</v>
      </c>
    </row>
    <row r="2055" spans="1:7" x14ac:dyDescent="0.2">
      <c r="A2055" t="s">
        <v>71</v>
      </c>
      <c r="B2055" t="s">
        <v>10</v>
      </c>
      <c r="C2055" t="s">
        <v>196</v>
      </c>
      <c r="D2055" t="s">
        <v>74</v>
      </c>
      <c r="E2055" t="s">
        <v>76</v>
      </c>
      <c r="F2055" s="55">
        <v>96</v>
      </c>
      <c r="G2055" s="63">
        <v>4.5999999999999999E-2</v>
      </c>
    </row>
    <row r="2056" spans="1:7" x14ac:dyDescent="0.2">
      <c r="A2056" t="s">
        <v>71</v>
      </c>
      <c r="B2056" t="s">
        <v>10</v>
      </c>
      <c r="C2056" t="s">
        <v>196</v>
      </c>
      <c r="D2056" t="s">
        <v>74</v>
      </c>
      <c r="E2056" t="s">
        <v>77</v>
      </c>
      <c r="F2056" s="55">
        <v>103</v>
      </c>
      <c r="G2056" s="63">
        <v>0.14000000000000001</v>
      </c>
    </row>
    <row r="2057" spans="1:7" x14ac:dyDescent="0.2">
      <c r="A2057" t="s">
        <v>71</v>
      </c>
      <c r="B2057" t="s">
        <v>10</v>
      </c>
      <c r="C2057" t="s">
        <v>196</v>
      </c>
      <c r="D2057" t="s">
        <v>74</v>
      </c>
      <c r="E2057" t="s">
        <v>78</v>
      </c>
      <c r="F2057" s="55">
        <v>99</v>
      </c>
      <c r="G2057" s="63">
        <v>0.12920000000000001</v>
      </c>
    </row>
    <row r="2058" spans="1:7" x14ac:dyDescent="0.2">
      <c r="A2058" t="s">
        <v>71</v>
      </c>
      <c r="B2058" t="s">
        <v>10</v>
      </c>
      <c r="C2058" t="s">
        <v>196</v>
      </c>
      <c r="D2058" t="s">
        <v>74</v>
      </c>
      <c r="E2058" t="s">
        <v>79</v>
      </c>
      <c r="F2058" s="55">
        <v>102</v>
      </c>
      <c r="G2058" s="63">
        <v>0.25659999999999999</v>
      </c>
    </row>
    <row r="2059" spans="1:7" x14ac:dyDescent="0.2">
      <c r="A2059" t="s">
        <v>71</v>
      </c>
      <c r="B2059" t="s">
        <v>10</v>
      </c>
      <c r="C2059" t="s">
        <v>196</v>
      </c>
      <c r="D2059" t="s">
        <v>74</v>
      </c>
      <c r="E2059" t="s">
        <v>80</v>
      </c>
      <c r="F2059" s="55">
        <v>103</v>
      </c>
      <c r="G2059" s="63">
        <v>0.1085</v>
      </c>
    </row>
    <row r="2060" spans="1:7" x14ac:dyDescent="0.2">
      <c r="A2060" t="s">
        <v>71</v>
      </c>
      <c r="B2060" t="s">
        <v>10</v>
      </c>
      <c r="C2060" t="s">
        <v>196</v>
      </c>
      <c r="D2060" t="s">
        <v>74</v>
      </c>
      <c r="E2060" t="s">
        <v>81</v>
      </c>
      <c r="F2060" s="55">
        <v>102</v>
      </c>
      <c r="G2060" s="63">
        <v>8.9599999999999999E-2</v>
      </c>
    </row>
    <row r="2061" spans="1:7" x14ac:dyDescent="0.2">
      <c r="A2061" t="s">
        <v>71</v>
      </c>
      <c r="B2061" t="s">
        <v>10</v>
      </c>
      <c r="C2061" t="s">
        <v>196</v>
      </c>
      <c r="D2061" t="s">
        <v>74</v>
      </c>
      <c r="E2061" t="s">
        <v>82</v>
      </c>
      <c r="F2061" s="55">
        <v>106</v>
      </c>
      <c r="G2061" s="63">
        <v>0.20399999999999999</v>
      </c>
    </row>
    <row r="2062" spans="1:7" x14ac:dyDescent="0.2">
      <c r="A2062" t="s">
        <v>71</v>
      </c>
      <c r="B2062" t="s">
        <v>10</v>
      </c>
      <c r="C2062" t="s">
        <v>196</v>
      </c>
      <c r="D2062" t="s">
        <v>74</v>
      </c>
      <c r="E2062" t="s">
        <v>83</v>
      </c>
      <c r="F2062" s="55">
        <v>100</v>
      </c>
      <c r="G2062" s="63">
        <v>3.6600000000000001E-2</v>
      </c>
    </row>
    <row r="2063" spans="1:7" x14ac:dyDescent="0.2">
      <c r="A2063" t="s">
        <v>71</v>
      </c>
      <c r="B2063" t="s">
        <v>10</v>
      </c>
      <c r="C2063" t="s">
        <v>196</v>
      </c>
      <c r="D2063" t="s">
        <v>74</v>
      </c>
      <c r="E2063" t="s">
        <v>84</v>
      </c>
      <c r="F2063" s="55">
        <v>100</v>
      </c>
      <c r="G2063" s="63">
        <v>0.10440000000000001</v>
      </c>
    </row>
    <row r="2064" spans="1:7" x14ac:dyDescent="0.2">
      <c r="A2064" t="s">
        <v>71</v>
      </c>
      <c r="B2064" t="s">
        <v>10</v>
      </c>
      <c r="C2064" t="s">
        <v>196</v>
      </c>
      <c r="D2064" t="s">
        <v>74</v>
      </c>
      <c r="E2064" t="s">
        <v>85</v>
      </c>
      <c r="F2064" s="55">
        <v>100</v>
      </c>
      <c r="G2064" s="63">
        <v>0.12970000000000001</v>
      </c>
    </row>
    <row r="2065" spans="1:7" x14ac:dyDescent="0.2">
      <c r="A2065" t="s">
        <v>71</v>
      </c>
      <c r="B2065" t="s">
        <v>10</v>
      </c>
      <c r="C2065" t="s">
        <v>196</v>
      </c>
      <c r="D2065" t="s">
        <v>74</v>
      </c>
      <c r="E2065" t="s">
        <v>86</v>
      </c>
      <c r="F2065" s="55">
        <v>102</v>
      </c>
      <c r="G2065" s="63">
        <v>0.1545</v>
      </c>
    </row>
    <row r="2066" spans="1:7" x14ac:dyDescent="0.2">
      <c r="A2066" t="s">
        <v>71</v>
      </c>
      <c r="B2066" t="s">
        <v>10</v>
      </c>
      <c r="C2066" t="s">
        <v>196</v>
      </c>
      <c r="D2066" t="s">
        <v>74</v>
      </c>
      <c r="E2066" t="s">
        <v>87</v>
      </c>
      <c r="F2066" s="55">
        <v>104</v>
      </c>
      <c r="G2066" s="63">
        <v>0.1666</v>
      </c>
    </row>
    <row r="2067" spans="1:7" x14ac:dyDescent="0.2">
      <c r="A2067" t="s">
        <v>71</v>
      </c>
      <c r="B2067" t="s">
        <v>10</v>
      </c>
      <c r="C2067" t="s">
        <v>196</v>
      </c>
      <c r="D2067" t="s">
        <v>74</v>
      </c>
      <c r="E2067" t="s">
        <v>88</v>
      </c>
      <c r="F2067" s="55">
        <v>99</v>
      </c>
      <c r="G2067" s="63">
        <v>8.2900000000000001E-2</v>
      </c>
    </row>
    <row r="2068" spans="1:7" x14ac:dyDescent="0.2">
      <c r="A2068" t="s">
        <v>89</v>
      </c>
      <c r="B2068" t="s">
        <v>126</v>
      </c>
      <c r="C2068" t="s">
        <v>196</v>
      </c>
      <c r="D2068" t="s">
        <v>91</v>
      </c>
      <c r="E2068" t="s">
        <v>75</v>
      </c>
      <c r="F2068" s="55">
        <v>99</v>
      </c>
      <c r="G2068" s="63">
        <v>0.74539999999999995</v>
      </c>
    </row>
    <row r="2069" spans="1:7" x14ac:dyDescent="0.2">
      <c r="A2069" t="s">
        <v>89</v>
      </c>
      <c r="B2069" t="s">
        <v>126</v>
      </c>
      <c r="C2069" t="s">
        <v>196</v>
      </c>
      <c r="D2069" t="s">
        <v>91</v>
      </c>
      <c r="E2069" t="s">
        <v>76</v>
      </c>
      <c r="F2069" s="55">
        <v>94</v>
      </c>
      <c r="G2069" s="63">
        <v>0.13950000000000001</v>
      </c>
    </row>
    <row r="2070" spans="1:7" x14ac:dyDescent="0.2">
      <c r="A2070" t="s">
        <v>89</v>
      </c>
      <c r="B2070" t="s">
        <v>126</v>
      </c>
      <c r="C2070" t="s">
        <v>196</v>
      </c>
      <c r="D2070" t="s">
        <v>91</v>
      </c>
      <c r="E2070" t="s">
        <v>77</v>
      </c>
      <c r="F2070" s="55">
        <v>96</v>
      </c>
      <c r="G2070" s="63">
        <v>0.31590000000000001</v>
      </c>
    </row>
    <row r="2071" spans="1:7" x14ac:dyDescent="0.2">
      <c r="A2071" t="s">
        <v>89</v>
      </c>
      <c r="B2071" t="s">
        <v>126</v>
      </c>
      <c r="C2071" t="s">
        <v>196</v>
      </c>
      <c r="D2071" t="s">
        <v>91</v>
      </c>
      <c r="E2071" t="s">
        <v>78</v>
      </c>
      <c r="F2071" s="55">
        <v>95</v>
      </c>
      <c r="G2071" s="63">
        <v>0.28520000000000001</v>
      </c>
    </row>
    <row r="2072" spans="1:7" x14ac:dyDescent="0.2">
      <c r="A2072" t="s">
        <v>89</v>
      </c>
      <c r="B2072" t="s">
        <v>126</v>
      </c>
      <c r="C2072" t="s">
        <v>196</v>
      </c>
      <c r="D2072" t="s">
        <v>91</v>
      </c>
      <c r="E2072" t="s">
        <v>79</v>
      </c>
      <c r="F2072" s="55">
        <v>103</v>
      </c>
      <c r="G2072" s="63">
        <v>0.63859999999999995</v>
      </c>
    </row>
    <row r="2073" spans="1:7" x14ac:dyDescent="0.2">
      <c r="A2073" t="s">
        <v>89</v>
      </c>
      <c r="B2073" t="s">
        <v>126</v>
      </c>
      <c r="C2073" t="s">
        <v>196</v>
      </c>
      <c r="D2073" t="s">
        <v>91</v>
      </c>
      <c r="E2073" t="s">
        <v>80</v>
      </c>
      <c r="F2073" s="55">
        <v>96</v>
      </c>
      <c r="G2073" s="63">
        <v>0.2094</v>
      </c>
    </row>
    <row r="2074" spans="1:7" x14ac:dyDescent="0.2">
      <c r="A2074" t="s">
        <v>89</v>
      </c>
      <c r="B2074" t="s">
        <v>126</v>
      </c>
      <c r="C2074" t="s">
        <v>196</v>
      </c>
      <c r="D2074" t="s">
        <v>91</v>
      </c>
      <c r="E2074" t="s">
        <v>81</v>
      </c>
      <c r="F2074" s="55">
        <v>92</v>
      </c>
      <c r="G2074" s="63">
        <v>0.17519999999999999</v>
      </c>
    </row>
    <row r="2075" spans="1:7" x14ac:dyDescent="0.2">
      <c r="A2075" t="s">
        <v>89</v>
      </c>
      <c r="B2075" t="s">
        <v>126</v>
      </c>
      <c r="C2075" t="s">
        <v>196</v>
      </c>
      <c r="D2075" t="s">
        <v>91</v>
      </c>
      <c r="E2075" t="s">
        <v>82</v>
      </c>
      <c r="F2075" s="55">
        <v>104</v>
      </c>
      <c r="G2075" s="63">
        <v>0.46700000000000003</v>
      </c>
    </row>
    <row r="2076" spans="1:7" x14ac:dyDescent="0.2">
      <c r="A2076" t="s">
        <v>89</v>
      </c>
      <c r="B2076" t="s">
        <v>126</v>
      </c>
      <c r="C2076" t="s">
        <v>196</v>
      </c>
      <c r="D2076" t="s">
        <v>91</v>
      </c>
      <c r="E2076" t="s">
        <v>83</v>
      </c>
      <c r="F2076" s="55">
        <v>91</v>
      </c>
      <c r="G2076" s="63">
        <v>8.8999999999999996E-2</v>
      </c>
    </row>
    <row r="2077" spans="1:7" x14ac:dyDescent="0.2">
      <c r="A2077" t="s">
        <v>89</v>
      </c>
      <c r="B2077" t="s">
        <v>126</v>
      </c>
      <c r="C2077" t="s">
        <v>196</v>
      </c>
      <c r="D2077" t="s">
        <v>91</v>
      </c>
      <c r="E2077" t="s">
        <v>84</v>
      </c>
      <c r="F2077" s="55">
        <v>94</v>
      </c>
      <c r="G2077" s="63">
        <v>0.2228</v>
      </c>
    </row>
    <row r="2078" spans="1:7" x14ac:dyDescent="0.2">
      <c r="A2078" t="s">
        <v>89</v>
      </c>
      <c r="B2078" t="s">
        <v>126</v>
      </c>
      <c r="C2078" t="s">
        <v>196</v>
      </c>
      <c r="D2078" t="s">
        <v>91</v>
      </c>
      <c r="E2078" t="s">
        <v>85</v>
      </c>
      <c r="F2078" s="55">
        <v>99</v>
      </c>
      <c r="G2078" s="63">
        <v>0.309</v>
      </c>
    </row>
    <row r="2079" spans="1:7" x14ac:dyDescent="0.2">
      <c r="A2079" t="s">
        <v>89</v>
      </c>
      <c r="B2079" t="s">
        <v>126</v>
      </c>
      <c r="C2079" t="s">
        <v>196</v>
      </c>
      <c r="D2079" t="s">
        <v>91</v>
      </c>
      <c r="E2079" t="s">
        <v>86</v>
      </c>
      <c r="F2079" s="55">
        <v>101</v>
      </c>
      <c r="G2079" s="63">
        <v>0.44290000000000002</v>
      </c>
    </row>
    <row r="2080" spans="1:7" x14ac:dyDescent="0.2">
      <c r="A2080" t="s">
        <v>89</v>
      </c>
      <c r="B2080" t="s">
        <v>126</v>
      </c>
      <c r="C2080" t="s">
        <v>196</v>
      </c>
      <c r="D2080" t="s">
        <v>91</v>
      </c>
      <c r="E2080" t="s">
        <v>87</v>
      </c>
      <c r="F2080" s="55">
        <v>104</v>
      </c>
      <c r="G2080" s="63">
        <v>0.4642</v>
      </c>
    </row>
    <row r="2081" spans="1:7" x14ac:dyDescent="0.2">
      <c r="A2081" t="s">
        <v>89</v>
      </c>
      <c r="B2081" t="s">
        <v>126</v>
      </c>
      <c r="C2081" t="s">
        <v>196</v>
      </c>
      <c r="D2081" t="s">
        <v>91</v>
      </c>
      <c r="E2081" t="s">
        <v>88</v>
      </c>
      <c r="F2081" s="55">
        <v>94</v>
      </c>
      <c r="G2081" s="63">
        <v>0.1867</v>
      </c>
    </row>
    <row r="2082" spans="1:7" x14ac:dyDescent="0.2">
      <c r="A2082" t="s">
        <v>89</v>
      </c>
      <c r="B2082" t="s">
        <v>127</v>
      </c>
      <c r="C2082" t="s">
        <v>196</v>
      </c>
      <c r="D2082" t="s">
        <v>74</v>
      </c>
      <c r="E2082" t="s">
        <v>75</v>
      </c>
      <c r="F2082" s="55">
        <v>109</v>
      </c>
      <c r="G2082" s="63">
        <v>0.17899999999999999</v>
      </c>
    </row>
    <row r="2083" spans="1:7" x14ac:dyDescent="0.2">
      <c r="A2083" t="s">
        <v>89</v>
      </c>
      <c r="B2083" t="s">
        <v>127</v>
      </c>
      <c r="C2083" t="s">
        <v>196</v>
      </c>
      <c r="D2083" t="s">
        <v>74</v>
      </c>
      <c r="E2083" t="s">
        <v>76</v>
      </c>
      <c r="F2083" s="55">
        <v>102</v>
      </c>
      <c r="G2083" s="63">
        <v>3.7199999999999997E-2</v>
      </c>
    </row>
    <row r="2084" spans="1:7" x14ac:dyDescent="0.2">
      <c r="A2084" t="s">
        <v>89</v>
      </c>
      <c r="B2084" t="s">
        <v>127</v>
      </c>
      <c r="C2084" t="s">
        <v>196</v>
      </c>
      <c r="D2084" t="s">
        <v>74</v>
      </c>
      <c r="E2084" t="s">
        <v>77</v>
      </c>
      <c r="F2084" s="55">
        <v>110</v>
      </c>
      <c r="G2084" s="63">
        <v>7.6499999999999999E-2</v>
      </c>
    </row>
    <row r="2085" spans="1:7" x14ac:dyDescent="0.2">
      <c r="A2085" t="s">
        <v>89</v>
      </c>
      <c r="B2085" t="s">
        <v>127</v>
      </c>
      <c r="C2085" t="s">
        <v>196</v>
      </c>
      <c r="D2085" t="s">
        <v>74</v>
      </c>
      <c r="E2085" t="s">
        <v>78</v>
      </c>
      <c r="F2085" s="55">
        <v>117</v>
      </c>
      <c r="G2085" s="63">
        <v>6.3399999999999998E-2</v>
      </c>
    </row>
    <row r="2086" spans="1:7" x14ac:dyDescent="0.2">
      <c r="A2086" t="s">
        <v>89</v>
      </c>
      <c r="B2086" t="s">
        <v>127</v>
      </c>
      <c r="C2086" t="s">
        <v>196</v>
      </c>
      <c r="D2086" t="s">
        <v>74</v>
      </c>
      <c r="E2086" t="s">
        <v>79</v>
      </c>
      <c r="F2086" s="55">
        <v>104</v>
      </c>
      <c r="G2086" s="63">
        <v>0.1179</v>
      </c>
    </row>
    <row r="2087" spans="1:7" x14ac:dyDescent="0.2">
      <c r="A2087" t="s">
        <v>89</v>
      </c>
      <c r="B2087" t="s">
        <v>127</v>
      </c>
      <c r="C2087" t="s">
        <v>196</v>
      </c>
      <c r="D2087" t="s">
        <v>74</v>
      </c>
      <c r="E2087" t="s">
        <v>80</v>
      </c>
      <c r="F2087" s="55">
        <v>107</v>
      </c>
      <c r="G2087" s="63">
        <v>3.7999999999999999E-2</v>
      </c>
    </row>
    <row r="2088" spans="1:7" x14ac:dyDescent="0.2">
      <c r="A2088" t="s">
        <v>89</v>
      </c>
      <c r="B2088" t="s">
        <v>127</v>
      </c>
      <c r="C2088" t="s">
        <v>196</v>
      </c>
      <c r="D2088" t="s">
        <v>74</v>
      </c>
      <c r="E2088" t="s">
        <v>81</v>
      </c>
      <c r="F2088" s="55">
        <v>104</v>
      </c>
      <c r="G2088" s="63">
        <v>3.78E-2</v>
      </c>
    </row>
    <row r="2089" spans="1:7" x14ac:dyDescent="0.2">
      <c r="A2089" t="s">
        <v>89</v>
      </c>
      <c r="B2089" t="s">
        <v>127</v>
      </c>
      <c r="C2089" t="s">
        <v>196</v>
      </c>
      <c r="D2089" t="s">
        <v>74</v>
      </c>
      <c r="E2089" t="s">
        <v>82</v>
      </c>
      <c r="F2089" s="55">
        <v>100</v>
      </c>
      <c r="G2089" s="63">
        <v>7.2999999999999995E-2</v>
      </c>
    </row>
    <row r="2090" spans="1:7" x14ac:dyDescent="0.2">
      <c r="A2090" t="s">
        <v>89</v>
      </c>
      <c r="B2090" t="s">
        <v>127</v>
      </c>
      <c r="C2090" t="s">
        <v>196</v>
      </c>
      <c r="D2090" t="s">
        <v>74</v>
      </c>
      <c r="E2090" t="s">
        <v>83</v>
      </c>
      <c r="F2090" s="55">
        <v>95</v>
      </c>
      <c r="G2090" s="63">
        <v>2.29E-2</v>
      </c>
    </row>
    <row r="2091" spans="1:7" x14ac:dyDescent="0.2">
      <c r="A2091" t="s">
        <v>89</v>
      </c>
      <c r="B2091" t="s">
        <v>127</v>
      </c>
      <c r="C2091" t="s">
        <v>196</v>
      </c>
      <c r="D2091" t="s">
        <v>74</v>
      </c>
      <c r="E2091" t="s">
        <v>84</v>
      </c>
      <c r="F2091" s="55">
        <v>118</v>
      </c>
      <c r="G2091" s="63">
        <v>5.4399999999999997E-2</v>
      </c>
    </row>
    <row r="2092" spans="1:7" x14ac:dyDescent="0.2">
      <c r="A2092" t="s">
        <v>89</v>
      </c>
      <c r="B2092" t="s">
        <v>127</v>
      </c>
      <c r="C2092" t="s">
        <v>196</v>
      </c>
      <c r="D2092" t="s">
        <v>74</v>
      </c>
      <c r="E2092" t="s">
        <v>85</v>
      </c>
      <c r="F2092" s="55">
        <v>104</v>
      </c>
      <c r="G2092" s="63">
        <v>4.5499999999999999E-2</v>
      </c>
    </row>
    <row r="2093" spans="1:7" x14ac:dyDescent="0.2">
      <c r="A2093" t="s">
        <v>89</v>
      </c>
      <c r="B2093" t="s">
        <v>127</v>
      </c>
      <c r="C2093" t="s">
        <v>196</v>
      </c>
      <c r="D2093" t="s">
        <v>74</v>
      </c>
      <c r="E2093" t="s">
        <v>86</v>
      </c>
      <c r="F2093" s="55">
        <v>106</v>
      </c>
      <c r="G2093" s="63">
        <v>5.2400000000000002E-2</v>
      </c>
    </row>
    <row r="2094" spans="1:7" x14ac:dyDescent="0.2">
      <c r="A2094" t="s">
        <v>89</v>
      </c>
      <c r="B2094" t="s">
        <v>127</v>
      </c>
      <c r="C2094" t="s">
        <v>196</v>
      </c>
      <c r="D2094" t="s">
        <v>74</v>
      </c>
      <c r="E2094" t="s">
        <v>87</v>
      </c>
      <c r="F2094" s="55">
        <v>103</v>
      </c>
      <c r="G2094" s="63">
        <v>5.6800000000000003E-2</v>
      </c>
    </row>
    <row r="2095" spans="1:7" x14ac:dyDescent="0.2">
      <c r="A2095" t="s">
        <v>89</v>
      </c>
      <c r="B2095" t="s">
        <v>127</v>
      </c>
      <c r="C2095" t="s">
        <v>196</v>
      </c>
      <c r="D2095" t="s">
        <v>74</v>
      </c>
      <c r="E2095" t="s">
        <v>88</v>
      </c>
      <c r="F2095" s="55">
        <v>101</v>
      </c>
      <c r="G2095" s="63">
        <v>4.7500000000000001E-2</v>
      </c>
    </row>
    <row r="2096" spans="1:7" x14ac:dyDescent="0.2">
      <c r="A2096" t="s">
        <v>71</v>
      </c>
      <c r="B2096" t="s">
        <v>11</v>
      </c>
      <c r="C2096" t="s">
        <v>196</v>
      </c>
      <c r="D2096" t="s">
        <v>74</v>
      </c>
      <c r="E2096" t="s">
        <v>75</v>
      </c>
      <c r="F2096" s="55">
        <v>92</v>
      </c>
      <c r="G2096" s="63">
        <v>0.35809999999999997</v>
      </c>
    </row>
    <row r="2097" spans="1:7" x14ac:dyDescent="0.2">
      <c r="A2097" t="s">
        <v>71</v>
      </c>
      <c r="B2097" t="s">
        <v>11</v>
      </c>
      <c r="C2097" t="s">
        <v>196</v>
      </c>
      <c r="D2097" t="s">
        <v>74</v>
      </c>
      <c r="E2097" t="s">
        <v>76</v>
      </c>
      <c r="F2097" s="55">
        <v>90</v>
      </c>
      <c r="G2097" s="63">
        <v>4.2000000000000003E-2</v>
      </c>
    </row>
    <row r="2098" spans="1:7" x14ac:dyDescent="0.2">
      <c r="A2098" t="s">
        <v>71</v>
      </c>
      <c r="B2098" t="s">
        <v>11</v>
      </c>
      <c r="C2098" t="s">
        <v>196</v>
      </c>
      <c r="D2098" t="s">
        <v>74</v>
      </c>
      <c r="E2098" t="s">
        <v>77</v>
      </c>
      <c r="F2098" s="55">
        <v>95</v>
      </c>
      <c r="G2098" s="63">
        <v>0.1479</v>
      </c>
    </row>
    <row r="2099" spans="1:7" x14ac:dyDescent="0.2">
      <c r="A2099" t="s">
        <v>71</v>
      </c>
      <c r="B2099" t="s">
        <v>11</v>
      </c>
      <c r="C2099" t="s">
        <v>196</v>
      </c>
      <c r="D2099" t="s">
        <v>74</v>
      </c>
      <c r="E2099" t="s">
        <v>78</v>
      </c>
      <c r="F2099" s="55">
        <v>92</v>
      </c>
      <c r="G2099" s="63">
        <v>0.1303</v>
      </c>
    </row>
    <row r="2100" spans="1:7" x14ac:dyDescent="0.2">
      <c r="A2100" t="s">
        <v>71</v>
      </c>
      <c r="B2100" t="s">
        <v>11</v>
      </c>
      <c r="C2100" t="s">
        <v>196</v>
      </c>
      <c r="D2100" t="s">
        <v>74</v>
      </c>
      <c r="E2100" t="s">
        <v>79</v>
      </c>
      <c r="F2100" s="55">
        <v>93</v>
      </c>
      <c r="G2100" s="63">
        <v>0.26879999999999998</v>
      </c>
    </row>
    <row r="2101" spans="1:7" x14ac:dyDescent="0.2">
      <c r="A2101" t="s">
        <v>71</v>
      </c>
      <c r="B2101" t="s">
        <v>11</v>
      </c>
      <c r="C2101" t="s">
        <v>196</v>
      </c>
      <c r="D2101" t="s">
        <v>74</v>
      </c>
      <c r="E2101" t="s">
        <v>80</v>
      </c>
      <c r="F2101" s="55">
        <v>91</v>
      </c>
      <c r="G2101" s="63">
        <v>0.10920000000000001</v>
      </c>
    </row>
    <row r="2102" spans="1:7" x14ac:dyDescent="0.2">
      <c r="A2102" t="s">
        <v>71</v>
      </c>
      <c r="B2102" t="s">
        <v>11</v>
      </c>
      <c r="C2102" t="s">
        <v>196</v>
      </c>
      <c r="D2102" t="s">
        <v>74</v>
      </c>
      <c r="E2102" t="s">
        <v>81</v>
      </c>
      <c r="F2102" s="55">
        <v>90</v>
      </c>
      <c r="G2102" s="63">
        <v>8.6199999999999999E-2</v>
      </c>
    </row>
    <row r="2103" spans="1:7" x14ac:dyDescent="0.2">
      <c r="A2103" t="s">
        <v>71</v>
      </c>
      <c r="B2103" t="s">
        <v>11</v>
      </c>
      <c r="C2103" t="s">
        <v>196</v>
      </c>
      <c r="D2103" t="s">
        <v>74</v>
      </c>
      <c r="E2103" t="s">
        <v>82</v>
      </c>
      <c r="F2103" s="55">
        <v>89</v>
      </c>
      <c r="G2103" s="63">
        <v>0.17399999999999999</v>
      </c>
    </row>
    <row r="2104" spans="1:7" x14ac:dyDescent="0.2">
      <c r="A2104" t="s">
        <v>71</v>
      </c>
      <c r="B2104" t="s">
        <v>11</v>
      </c>
      <c r="C2104" t="s">
        <v>196</v>
      </c>
      <c r="D2104" t="s">
        <v>74</v>
      </c>
      <c r="E2104" t="s">
        <v>83</v>
      </c>
      <c r="F2104" s="55">
        <v>87</v>
      </c>
      <c r="G2104" s="63">
        <v>2.87E-2</v>
      </c>
    </row>
    <row r="2105" spans="1:7" x14ac:dyDescent="0.2">
      <c r="A2105" t="s">
        <v>71</v>
      </c>
      <c r="B2105" t="s">
        <v>11</v>
      </c>
      <c r="C2105" t="s">
        <v>196</v>
      </c>
      <c r="D2105" t="s">
        <v>74</v>
      </c>
      <c r="E2105" t="s">
        <v>84</v>
      </c>
      <c r="F2105" s="55">
        <v>94</v>
      </c>
      <c r="G2105" s="63">
        <v>0.1033</v>
      </c>
    </row>
    <row r="2106" spans="1:7" x14ac:dyDescent="0.2">
      <c r="A2106" t="s">
        <v>71</v>
      </c>
      <c r="B2106" t="s">
        <v>11</v>
      </c>
      <c r="C2106" t="s">
        <v>196</v>
      </c>
      <c r="D2106" t="s">
        <v>74</v>
      </c>
      <c r="E2106" t="s">
        <v>85</v>
      </c>
      <c r="F2106" s="55">
        <v>91</v>
      </c>
      <c r="G2106" s="63">
        <v>0.1265</v>
      </c>
    </row>
    <row r="2107" spans="1:7" x14ac:dyDescent="0.2">
      <c r="A2107" t="s">
        <v>71</v>
      </c>
      <c r="B2107" t="s">
        <v>11</v>
      </c>
      <c r="C2107" t="s">
        <v>196</v>
      </c>
      <c r="D2107" t="s">
        <v>74</v>
      </c>
      <c r="E2107" t="s">
        <v>86</v>
      </c>
      <c r="F2107" s="55">
        <v>93</v>
      </c>
      <c r="G2107" s="63">
        <v>0.14940000000000001</v>
      </c>
    </row>
    <row r="2108" spans="1:7" x14ac:dyDescent="0.2">
      <c r="A2108" t="s">
        <v>71</v>
      </c>
      <c r="B2108" t="s">
        <v>11</v>
      </c>
      <c r="C2108" t="s">
        <v>196</v>
      </c>
      <c r="D2108" t="s">
        <v>74</v>
      </c>
      <c r="E2108" t="s">
        <v>87</v>
      </c>
      <c r="F2108" s="55">
        <v>96</v>
      </c>
      <c r="G2108" s="63">
        <v>0.1643</v>
      </c>
    </row>
    <row r="2109" spans="1:7" x14ac:dyDescent="0.2">
      <c r="A2109" t="s">
        <v>71</v>
      </c>
      <c r="B2109" t="s">
        <v>11</v>
      </c>
      <c r="C2109" t="s">
        <v>196</v>
      </c>
      <c r="D2109" t="s">
        <v>74</v>
      </c>
      <c r="E2109" t="s">
        <v>88</v>
      </c>
      <c r="F2109" s="55">
        <v>90</v>
      </c>
      <c r="G2109" s="63">
        <v>6.7000000000000004E-2</v>
      </c>
    </row>
    <row r="2110" spans="1:7" x14ac:dyDescent="0.2">
      <c r="A2110" t="s">
        <v>71</v>
      </c>
      <c r="B2110" t="s">
        <v>129</v>
      </c>
      <c r="C2110" t="s">
        <v>196</v>
      </c>
      <c r="D2110" t="s">
        <v>74</v>
      </c>
      <c r="E2110" t="s">
        <v>75</v>
      </c>
      <c r="F2110" s="55">
        <v>108</v>
      </c>
      <c r="G2110" s="63">
        <v>0.37459999999999999</v>
      </c>
    </row>
    <row r="2111" spans="1:7" x14ac:dyDescent="0.2">
      <c r="A2111" t="s">
        <v>71</v>
      </c>
      <c r="B2111" t="s">
        <v>129</v>
      </c>
      <c r="C2111" t="s">
        <v>196</v>
      </c>
      <c r="D2111" t="s">
        <v>74</v>
      </c>
      <c r="E2111" t="s">
        <v>76</v>
      </c>
      <c r="F2111" s="55">
        <v>104</v>
      </c>
      <c r="G2111" s="63">
        <v>0.14280000000000001</v>
      </c>
    </row>
    <row r="2112" spans="1:7" x14ac:dyDescent="0.2">
      <c r="A2112" t="s">
        <v>71</v>
      </c>
      <c r="B2112" t="s">
        <v>129</v>
      </c>
      <c r="C2112" t="s">
        <v>196</v>
      </c>
      <c r="D2112" t="s">
        <v>74</v>
      </c>
      <c r="E2112" t="s">
        <v>77</v>
      </c>
      <c r="F2112" s="55">
        <v>109</v>
      </c>
      <c r="G2112" s="63">
        <v>0.2412</v>
      </c>
    </row>
    <row r="2113" spans="1:7" x14ac:dyDescent="0.2">
      <c r="A2113" t="s">
        <v>71</v>
      </c>
      <c r="B2113" t="s">
        <v>129</v>
      </c>
      <c r="C2113" t="s">
        <v>196</v>
      </c>
      <c r="D2113" t="s">
        <v>74</v>
      </c>
      <c r="E2113" t="s">
        <v>78</v>
      </c>
      <c r="F2113" s="55">
        <v>111</v>
      </c>
      <c r="G2113" s="63">
        <v>0.22850000000000001</v>
      </c>
    </row>
    <row r="2114" spans="1:7" x14ac:dyDescent="0.2">
      <c r="A2114" t="s">
        <v>71</v>
      </c>
      <c r="B2114" t="s">
        <v>129</v>
      </c>
      <c r="C2114" t="s">
        <v>196</v>
      </c>
      <c r="D2114" t="s">
        <v>74</v>
      </c>
      <c r="E2114" t="s">
        <v>79</v>
      </c>
      <c r="F2114" s="55">
        <v>108</v>
      </c>
      <c r="G2114" s="63">
        <v>0.29959999999999998</v>
      </c>
    </row>
    <row r="2115" spans="1:7" x14ac:dyDescent="0.2">
      <c r="A2115" t="s">
        <v>71</v>
      </c>
      <c r="B2115" t="s">
        <v>129</v>
      </c>
      <c r="C2115" t="s">
        <v>196</v>
      </c>
      <c r="D2115" t="s">
        <v>74</v>
      </c>
      <c r="E2115" t="s">
        <v>80</v>
      </c>
      <c r="F2115" s="55">
        <v>106</v>
      </c>
      <c r="G2115" s="63">
        <v>0.1767</v>
      </c>
    </row>
    <row r="2116" spans="1:7" x14ac:dyDescent="0.2">
      <c r="A2116" t="s">
        <v>71</v>
      </c>
      <c r="B2116" t="s">
        <v>129</v>
      </c>
      <c r="C2116" t="s">
        <v>196</v>
      </c>
      <c r="D2116" t="s">
        <v>74</v>
      </c>
      <c r="E2116" t="s">
        <v>81</v>
      </c>
      <c r="F2116" s="55">
        <v>104</v>
      </c>
      <c r="G2116" s="63">
        <v>0.1497</v>
      </c>
    </row>
    <row r="2117" spans="1:7" x14ac:dyDescent="0.2">
      <c r="A2117" t="s">
        <v>71</v>
      </c>
      <c r="B2117" t="s">
        <v>129</v>
      </c>
      <c r="C2117" t="s">
        <v>196</v>
      </c>
      <c r="D2117" t="s">
        <v>74</v>
      </c>
      <c r="E2117" t="s">
        <v>82</v>
      </c>
      <c r="F2117" s="55">
        <v>106</v>
      </c>
      <c r="G2117" s="63">
        <v>0.27310000000000001</v>
      </c>
    </row>
    <row r="2118" spans="1:7" x14ac:dyDescent="0.2">
      <c r="A2118" t="s">
        <v>71</v>
      </c>
      <c r="B2118" t="s">
        <v>129</v>
      </c>
      <c r="C2118" t="s">
        <v>196</v>
      </c>
      <c r="D2118" t="s">
        <v>74</v>
      </c>
      <c r="E2118" t="s">
        <v>83</v>
      </c>
      <c r="F2118" s="55">
        <v>104</v>
      </c>
      <c r="G2118" s="63">
        <v>9.8599999999999993E-2</v>
      </c>
    </row>
    <row r="2119" spans="1:7" x14ac:dyDescent="0.2">
      <c r="A2119" t="s">
        <v>71</v>
      </c>
      <c r="B2119" t="s">
        <v>129</v>
      </c>
      <c r="C2119" t="s">
        <v>196</v>
      </c>
      <c r="D2119" t="s">
        <v>74</v>
      </c>
      <c r="E2119" t="s">
        <v>84</v>
      </c>
      <c r="F2119" s="55">
        <v>112</v>
      </c>
      <c r="G2119" s="63">
        <v>0.2079</v>
      </c>
    </row>
    <row r="2120" spans="1:7" x14ac:dyDescent="0.2">
      <c r="A2120" t="s">
        <v>71</v>
      </c>
      <c r="B2120" t="s">
        <v>129</v>
      </c>
      <c r="C2120" t="s">
        <v>196</v>
      </c>
      <c r="D2120" t="s">
        <v>74</v>
      </c>
      <c r="E2120" t="s">
        <v>85</v>
      </c>
      <c r="F2120" s="55">
        <v>108</v>
      </c>
      <c r="G2120" s="63">
        <v>0.21160000000000001</v>
      </c>
    </row>
    <row r="2121" spans="1:7" x14ac:dyDescent="0.2">
      <c r="A2121" t="s">
        <v>71</v>
      </c>
      <c r="B2121" t="s">
        <v>129</v>
      </c>
      <c r="C2121" t="s">
        <v>196</v>
      </c>
      <c r="D2121" t="s">
        <v>74</v>
      </c>
      <c r="E2121" t="s">
        <v>86</v>
      </c>
      <c r="F2121" s="55">
        <v>109</v>
      </c>
      <c r="G2121" s="63">
        <v>0.22320000000000001</v>
      </c>
    </row>
    <row r="2122" spans="1:7" x14ac:dyDescent="0.2">
      <c r="A2122" t="s">
        <v>71</v>
      </c>
      <c r="B2122" t="s">
        <v>129</v>
      </c>
      <c r="C2122" t="s">
        <v>196</v>
      </c>
      <c r="D2122" t="s">
        <v>74</v>
      </c>
      <c r="E2122" t="s">
        <v>87</v>
      </c>
      <c r="F2122" s="55">
        <v>107</v>
      </c>
      <c r="G2122" s="63">
        <v>0.23069999999999999</v>
      </c>
    </row>
    <row r="2123" spans="1:7" x14ac:dyDescent="0.2">
      <c r="A2123" t="s">
        <v>71</v>
      </c>
      <c r="B2123" t="s">
        <v>129</v>
      </c>
      <c r="C2123" t="s">
        <v>196</v>
      </c>
      <c r="D2123" t="s">
        <v>74</v>
      </c>
      <c r="E2123" t="s">
        <v>88</v>
      </c>
      <c r="F2123" s="55">
        <v>103</v>
      </c>
      <c r="G2123" s="63">
        <v>0.1744</v>
      </c>
    </row>
    <row r="2124" spans="1:7" x14ac:dyDescent="0.2">
      <c r="A2124" t="s">
        <v>71</v>
      </c>
      <c r="B2124" t="s">
        <v>12</v>
      </c>
      <c r="C2124" t="s">
        <v>196</v>
      </c>
      <c r="D2124" t="s">
        <v>74</v>
      </c>
      <c r="E2124" t="s">
        <v>75</v>
      </c>
      <c r="F2124" s="55">
        <v>101</v>
      </c>
      <c r="G2124" s="63">
        <v>0.25840000000000002</v>
      </c>
    </row>
    <row r="2125" spans="1:7" x14ac:dyDescent="0.2">
      <c r="A2125" t="s">
        <v>71</v>
      </c>
      <c r="B2125" t="s">
        <v>12</v>
      </c>
      <c r="C2125" t="s">
        <v>196</v>
      </c>
      <c r="D2125" t="s">
        <v>74</v>
      </c>
      <c r="E2125" t="s">
        <v>76</v>
      </c>
      <c r="F2125" s="55">
        <v>90</v>
      </c>
      <c r="G2125" s="63">
        <v>1.6299999999999999E-2</v>
      </c>
    </row>
    <row r="2126" spans="1:7" x14ac:dyDescent="0.2">
      <c r="A2126" t="s">
        <v>71</v>
      </c>
      <c r="B2126" t="s">
        <v>12</v>
      </c>
      <c r="C2126" t="s">
        <v>196</v>
      </c>
      <c r="D2126" t="s">
        <v>74</v>
      </c>
      <c r="E2126" t="s">
        <v>77</v>
      </c>
      <c r="F2126" s="55">
        <v>96</v>
      </c>
      <c r="G2126" s="63">
        <v>6.3299999999999995E-2</v>
      </c>
    </row>
    <row r="2127" spans="1:7" x14ac:dyDescent="0.2">
      <c r="A2127" t="s">
        <v>71</v>
      </c>
      <c r="B2127" t="s">
        <v>12</v>
      </c>
      <c r="C2127" t="s">
        <v>196</v>
      </c>
      <c r="D2127" t="s">
        <v>74</v>
      </c>
      <c r="E2127" t="s">
        <v>78</v>
      </c>
      <c r="F2127" s="55">
        <v>98</v>
      </c>
      <c r="G2127" s="63">
        <v>6.9599999999999995E-2</v>
      </c>
    </row>
    <row r="2128" spans="1:7" x14ac:dyDescent="0.2">
      <c r="A2128" t="s">
        <v>71</v>
      </c>
      <c r="B2128" t="s">
        <v>12</v>
      </c>
      <c r="C2128" t="s">
        <v>196</v>
      </c>
      <c r="D2128" t="s">
        <v>74</v>
      </c>
      <c r="E2128" t="s">
        <v>79</v>
      </c>
      <c r="F2128" s="55">
        <v>105</v>
      </c>
      <c r="G2128" s="63">
        <v>0.18720000000000001</v>
      </c>
    </row>
    <row r="2129" spans="1:7" x14ac:dyDescent="0.2">
      <c r="A2129" t="s">
        <v>71</v>
      </c>
      <c r="B2129" t="s">
        <v>12</v>
      </c>
      <c r="C2129" t="s">
        <v>196</v>
      </c>
      <c r="D2129" t="s">
        <v>74</v>
      </c>
      <c r="E2129" t="s">
        <v>80</v>
      </c>
      <c r="F2129" s="55">
        <v>94</v>
      </c>
      <c r="G2129" s="63">
        <v>4.2299999999999997E-2</v>
      </c>
    </row>
    <row r="2130" spans="1:7" x14ac:dyDescent="0.2">
      <c r="A2130" t="s">
        <v>71</v>
      </c>
      <c r="B2130" t="s">
        <v>12</v>
      </c>
      <c r="C2130" t="s">
        <v>196</v>
      </c>
      <c r="D2130" t="s">
        <v>74</v>
      </c>
      <c r="E2130" t="s">
        <v>81</v>
      </c>
      <c r="F2130" s="55">
        <v>93</v>
      </c>
      <c r="G2130" s="63">
        <v>3.3300000000000003E-2</v>
      </c>
    </row>
    <row r="2131" spans="1:7" x14ac:dyDescent="0.2">
      <c r="A2131" t="s">
        <v>71</v>
      </c>
      <c r="B2131" t="s">
        <v>12</v>
      </c>
      <c r="C2131" t="s">
        <v>196</v>
      </c>
      <c r="D2131" t="s">
        <v>74</v>
      </c>
      <c r="E2131" t="s">
        <v>82</v>
      </c>
      <c r="F2131" s="55">
        <v>101</v>
      </c>
      <c r="G2131" s="63">
        <v>0.1535</v>
      </c>
    </row>
    <row r="2132" spans="1:7" x14ac:dyDescent="0.2">
      <c r="A2132" t="s">
        <v>71</v>
      </c>
      <c r="B2132" t="s">
        <v>12</v>
      </c>
      <c r="C2132" t="s">
        <v>196</v>
      </c>
      <c r="D2132" t="s">
        <v>74</v>
      </c>
      <c r="E2132" t="s">
        <v>83</v>
      </c>
      <c r="F2132" s="55">
        <v>93</v>
      </c>
      <c r="G2132" s="63">
        <v>1.2800000000000001E-2</v>
      </c>
    </row>
    <row r="2133" spans="1:7" x14ac:dyDescent="0.2">
      <c r="A2133" t="s">
        <v>71</v>
      </c>
      <c r="B2133" t="s">
        <v>12</v>
      </c>
      <c r="C2133" t="s">
        <v>196</v>
      </c>
      <c r="D2133" t="s">
        <v>74</v>
      </c>
      <c r="E2133" t="s">
        <v>84</v>
      </c>
      <c r="F2133" s="55">
        <v>97</v>
      </c>
      <c r="G2133" s="63">
        <v>4.1399999999999999E-2</v>
      </c>
    </row>
    <row r="2134" spans="1:7" x14ac:dyDescent="0.2">
      <c r="A2134" t="s">
        <v>71</v>
      </c>
      <c r="B2134" t="s">
        <v>12</v>
      </c>
      <c r="C2134" t="s">
        <v>196</v>
      </c>
      <c r="D2134" t="s">
        <v>74</v>
      </c>
      <c r="E2134" t="s">
        <v>85</v>
      </c>
      <c r="F2134" s="55">
        <v>94</v>
      </c>
      <c r="G2134" s="63">
        <v>6.2399999999999997E-2</v>
      </c>
    </row>
    <row r="2135" spans="1:7" x14ac:dyDescent="0.2">
      <c r="A2135" t="s">
        <v>71</v>
      </c>
      <c r="B2135" t="s">
        <v>12</v>
      </c>
      <c r="C2135" t="s">
        <v>196</v>
      </c>
      <c r="D2135" t="s">
        <v>74</v>
      </c>
      <c r="E2135" t="s">
        <v>86</v>
      </c>
      <c r="F2135" s="55">
        <v>102</v>
      </c>
      <c r="G2135" s="63">
        <v>9.6000000000000002E-2</v>
      </c>
    </row>
    <row r="2136" spans="1:7" x14ac:dyDescent="0.2">
      <c r="A2136" t="s">
        <v>71</v>
      </c>
      <c r="B2136" t="s">
        <v>12</v>
      </c>
      <c r="C2136" t="s">
        <v>196</v>
      </c>
      <c r="D2136" t="s">
        <v>74</v>
      </c>
      <c r="E2136" t="s">
        <v>87</v>
      </c>
      <c r="F2136" s="55">
        <v>106</v>
      </c>
      <c r="G2136" s="63">
        <v>0.12130000000000001</v>
      </c>
    </row>
    <row r="2137" spans="1:7" x14ac:dyDescent="0.2">
      <c r="A2137" t="s">
        <v>71</v>
      </c>
      <c r="B2137" t="s">
        <v>12</v>
      </c>
      <c r="C2137" t="s">
        <v>196</v>
      </c>
      <c r="D2137" t="s">
        <v>74</v>
      </c>
      <c r="E2137" t="s">
        <v>88</v>
      </c>
      <c r="F2137" s="55">
        <v>95</v>
      </c>
      <c r="G2137" s="63">
        <v>2.7900000000000001E-2</v>
      </c>
    </row>
    <row r="2138" spans="1:7" x14ac:dyDescent="0.2">
      <c r="A2138" t="s">
        <v>71</v>
      </c>
      <c r="B2138" t="s">
        <v>132</v>
      </c>
      <c r="C2138" t="s">
        <v>196</v>
      </c>
      <c r="D2138" t="s">
        <v>74</v>
      </c>
      <c r="E2138" t="s">
        <v>75</v>
      </c>
      <c r="F2138" s="55">
        <v>84</v>
      </c>
      <c r="G2138" s="63">
        <v>0.30740000000000001</v>
      </c>
    </row>
    <row r="2139" spans="1:7" x14ac:dyDescent="0.2">
      <c r="A2139" t="s">
        <v>71</v>
      </c>
      <c r="B2139" t="s">
        <v>132</v>
      </c>
      <c r="C2139" t="s">
        <v>196</v>
      </c>
      <c r="D2139" t="s">
        <v>74</v>
      </c>
      <c r="E2139" t="s">
        <v>76</v>
      </c>
      <c r="F2139" s="55">
        <v>87</v>
      </c>
      <c r="G2139" s="63">
        <v>2.1000000000000001E-2</v>
      </c>
    </row>
    <row r="2140" spans="1:7" x14ac:dyDescent="0.2">
      <c r="A2140" t="s">
        <v>71</v>
      </c>
      <c r="B2140" t="s">
        <v>132</v>
      </c>
      <c r="C2140" t="s">
        <v>196</v>
      </c>
      <c r="D2140" t="s">
        <v>74</v>
      </c>
      <c r="E2140" t="s">
        <v>77</v>
      </c>
      <c r="F2140" s="55">
        <v>89</v>
      </c>
      <c r="G2140" s="63">
        <v>0.1056</v>
      </c>
    </row>
    <row r="2141" spans="1:7" x14ac:dyDescent="0.2">
      <c r="A2141" t="s">
        <v>71</v>
      </c>
      <c r="B2141" t="s">
        <v>132</v>
      </c>
      <c r="C2141" t="s">
        <v>196</v>
      </c>
      <c r="D2141" t="s">
        <v>74</v>
      </c>
      <c r="E2141" t="s">
        <v>78</v>
      </c>
      <c r="F2141" s="55">
        <v>84</v>
      </c>
      <c r="G2141" s="63">
        <v>0.1048</v>
      </c>
    </row>
    <row r="2142" spans="1:7" x14ac:dyDescent="0.2">
      <c r="A2142" t="s">
        <v>71</v>
      </c>
      <c r="B2142" t="s">
        <v>132</v>
      </c>
      <c r="C2142" t="s">
        <v>196</v>
      </c>
      <c r="D2142" t="s">
        <v>74</v>
      </c>
      <c r="E2142" t="s">
        <v>79</v>
      </c>
      <c r="F2142" s="55">
        <v>83</v>
      </c>
      <c r="G2142" s="63">
        <v>0.22459999999999999</v>
      </c>
    </row>
    <row r="2143" spans="1:7" x14ac:dyDescent="0.2">
      <c r="A2143" t="s">
        <v>71</v>
      </c>
      <c r="B2143" t="s">
        <v>132</v>
      </c>
      <c r="C2143" t="s">
        <v>196</v>
      </c>
      <c r="D2143" t="s">
        <v>74</v>
      </c>
      <c r="E2143" t="s">
        <v>80</v>
      </c>
      <c r="F2143" s="55">
        <v>90</v>
      </c>
      <c r="G2143" s="63">
        <v>5.7200000000000001E-2</v>
      </c>
    </row>
    <row r="2144" spans="1:7" x14ac:dyDescent="0.2">
      <c r="A2144" t="s">
        <v>71</v>
      </c>
      <c r="B2144" t="s">
        <v>132</v>
      </c>
      <c r="C2144" t="s">
        <v>196</v>
      </c>
      <c r="D2144" t="s">
        <v>74</v>
      </c>
      <c r="E2144" t="s">
        <v>81</v>
      </c>
      <c r="F2144" s="55">
        <v>88</v>
      </c>
      <c r="G2144" s="63">
        <v>4.4999999999999998E-2</v>
      </c>
    </row>
    <row r="2145" spans="1:7" x14ac:dyDescent="0.2">
      <c r="A2145" t="s">
        <v>71</v>
      </c>
      <c r="B2145" t="s">
        <v>132</v>
      </c>
      <c r="C2145" t="s">
        <v>196</v>
      </c>
      <c r="D2145" t="s">
        <v>74</v>
      </c>
      <c r="E2145" t="s">
        <v>82</v>
      </c>
      <c r="F2145" s="55">
        <v>83</v>
      </c>
      <c r="G2145" s="63">
        <v>0.1552</v>
      </c>
    </row>
    <row r="2146" spans="1:7" x14ac:dyDescent="0.2">
      <c r="A2146" t="s">
        <v>71</v>
      </c>
      <c r="B2146" t="s">
        <v>132</v>
      </c>
      <c r="C2146" t="s">
        <v>196</v>
      </c>
      <c r="D2146" t="s">
        <v>74</v>
      </c>
      <c r="E2146" t="s">
        <v>83</v>
      </c>
      <c r="F2146" s="55">
        <v>86</v>
      </c>
      <c r="G2146" s="63">
        <v>1.47E-2</v>
      </c>
    </row>
    <row r="2147" spans="1:7" x14ac:dyDescent="0.2">
      <c r="A2147" t="s">
        <v>71</v>
      </c>
      <c r="B2147" t="s">
        <v>132</v>
      </c>
      <c r="C2147" t="s">
        <v>196</v>
      </c>
      <c r="D2147" t="s">
        <v>74</v>
      </c>
      <c r="E2147" t="s">
        <v>84</v>
      </c>
      <c r="F2147" s="55">
        <v>84</v>
      </c>
      <c r="G2147" s="63">
        <v>8.0399999999999999E-2</v>
      </c>
    </row>
    <row r="2148" spans="1:7" x14ac:dyDescent="0.2">
      <c r="A2148" t="s">
        <v>71</v>
      </c>
      <c r="B2148" t="s">
        <v>132</v>
      </c>
      <c r="C2148" t="s">
        <v>196</v>
      </c>
      <c r="D2148" t="s">
        <v>74</v>
      </c>
      <c r="E2148" t="s">
        <v>85</v>
      </c>
      <c r="F2148" s="55">
        <v>80</v>
      </c>
      <c r="G2148" s="63">
        <v>7.3599999999999999E-2</v>
      </c>
    </row>
    <row r="2149" spans="1:7" x14ac:dyDescent="0.2">
      <c r="A2149" t="s">
        <v>71</v>
      </c>
      <c r="B2149" t="s">
        <v>132</v>
      </c>
      <c r="C2149" t="s">
        <v>196</v>
      </c>
      <c r="D2149" t="s">
        <v>74</v>
      </c>
      <c r="E2149" t="s">
        <v>86</v>
      </c>
      <c r="F2149" s="55">
        <v>84</v>
      </c>
      <c r="G2149" s="63">
        <v>0.1095</v>
      </c>
    </row>
    <row r="2150" spans="1:7" x14ac:dyDescent="0.2">
      <c r="A2150" t="s">
        <v>71</v>
      </c>
      <c r="B2150" t="s">
        <v>132</v>
      </c>
      <c r="C2150" t="s">
        <v>196</v>
      </c>
      <c r="D2150" t="s">
        <v>74</v>
      </c>
      <c r="E2150" t="s">
        <v>87</v>
      </c>
      <c r="F2150" s="55">
        <v>82</v>
      </c>
      <c r="G2150" s="63">
        <v>0.12790000000000001</v>
      </c>
    </row>
    <row r="2151" spans="1:7" x14ac:dyDescent="0.2">
      <c r="A2151" t="s">
        <v>71</v>
      </c>
      <c r="B2151" t="s">
        <v>132</v>
      </c>
      <c r="C2151" t="s">
        <v>196</v>
      </c>
      <c r="D2151" t="s">
        <v>74</v>
      </c>
      <c r="E2151" t="s">
        <v>88</v>
      </c>
      <c r="F2151" s="55">
        <v>84</v>
      </c>
      <c r="G2151" s="63">
        <v>4.0099999999999997E-2</v>
      </c>
    </row>
    <row r="2152" spans="1:7" x14ac:dyDescent="0.2">
      <c r="A2152" t="s">
        <v>89</v>
      </c>
      <c r="B2152" t="s">
        <v>134</v>
      </c>
      <c r="C2152" t="s">
        <v>196</v>
      </c>
      <c r="D2152" t="s">
        <v>74</v>
      </c>
      <c r="E2152" t="s">
        <v>75</v>
      </c>
      <c r="F2152" s="55">
        <v>99</v>
      </c>
      <c r="G2152" s="63">
        <v>0.10299999999999999</v>
      </c>
    </row>
    <row r="2153" spans="1:7" x14ac:dyDescent="0.2">
      <c r="A2153" t="s">
        <v>89</v>
      </c>
      <c r="B2153" t="s">
        <v>134</v>
      </c>
      <c r="C2153" t="s">
        <v>196</v>
      </c>
      <c r="D2153" t="s">
        <v>74</v>
      </c>
      <c r="E2153" t="s">
        <v>76</v>
      </c>
      <c r="F2153" s="55">
        <v>105</v>
      </c>
      <c r="G2153" s="63">
        <v>1.2200000000000001E-2</v>
      </c>
    </row>
    <row r="2154" spans="1:7" x14ac:dyDescent="0.2">
      <c r="A2154" t="s">
        <v>89</v>
      </c>
      <c r="B2154" t="s">
        <v>134</v>
      </c>
      <c r="C2154" t="s">
        <v>196</v>
      </c>
      <c r="D2154" t="s">
        <v>74</v>
      </c>
      <c r="E2154" t="s">
        <v>77</v>
      </c>
      <c r="F2154" s="55">
        <v>105</v>
      </c>
      <c r="G2154" s="63">
        <v>3.4500000000000003E-2</v>
      </c>
    </row>
    <row r="2155" spans="1:7" x14ac:dyDescent="0.2">
      <c r="A2155" t="s">
        <v>89</v>
      </c>
      <c r="B2155" t="s">
        <v>134</v>
      </c>
      <c r="C2155" t="s">
        <v>196</v>
      </c>
      <c r="D2155" t="s">
        <v>74</v>
      </c>
      <c r="E2155" t="s">
        <v>78</v>
      </c>
      <c r="F2155" s="55">
        <v>96</v>
      </c>
      <c r="G2155" s="63">
        <v>2.7799999999999998E-2</v>
      </c>
    </row>
    <row r="2156" spans="1:7" x14ac:dyDescent="0.2">
      <c r="A2156" t="s">
        <v>89</v>
      </c>
      <c r="B2156" t="s">
        <v>134</v>
      </c>
      <c r="C2156" t="s">
        <v>196</v>
      </c>
      <c r="D2156" t="s">
        <v>74</v>
      </c>
      <c r="E2156" t="s">
        <v>79</v>
      </c>
      <c r="F2156" s="55">
        <v>96</v>
      </c>
      <c r="G2156" s="63">
        <v>6.9400000000000003E-2</v>
      </c>
    </row>
    <row r="2157" spans="1:7" x14ac:dyDescent="0.2">
      <c r="A2157" t="s">
        <v>89</v>
      </c>
      <c r="B2157" t="s">
        <v>134</v>
      </c>
      <c r="C2157" t="s">
        <v>196</v>
      </c>
      <c r="D2157" t="s">
        <v>74</v>
      </c>
      <c r="E2157" t="s">
        <v>80</v>
      </c>
      <c r="F2157" s="55">
        <v>98</v>
      </c>
      <c r="G2157" s="63">
        <v>2.8799999999999999E-2</v>
      </c>
    </row>
    <row r="2158" spans="1:7" x14ac:dyDescent="0.2">
      <c r="A2158" t="s">
        <v>89</v>
      </c>
      <c r="B2158" t="s">
        <v>134</v>
      </c>
      <c r="C2158" t="s">
        <v>196</v>
      </c>
      <c r="D2158" t="s">
        <v>74</v>
      </c>
      <c r="E2158" t="s">
        <v>81</v>
      </c>
      <c r="F2158" s="55">
        <v>97</v>
      </c>
      <c r="G2158" s="63">
        <v>2.63E-2</v>
      </c>
    </row>
    <row r="2159" spans="1:7" x14ac:dyDescent="0.2">
      <c r="A2159" t="s">
        <v>89</v>
      </c>
      <c r="B2159" t="s">
        <v>134</v>
      </c>
      <c r="C2159" t="s">
        <v>196</v>
      </c>
      <c r="D2159" t="s">
        <v>74</v>
      </c>
      <c r="E2159" t="s">
        <v>82</v>
      </c>
      <c r="F2159" s="55">
        <v>103</v>
      </c>
      <c r="G2159" s="63">
        <v>4.4299999999999999E-2</v>
      </c>
    </row>
    <row r="2160" spans="1:7" x14ac:dyDescent="0.2">
      <c r="A2160" t="s">
        <v>89</v>
      </c>
      <c r="B2160" t="s">
        <v>134</v>
      </c>
      <c r="C2160" t="s">
        <v>196</v>
      </c>
      <c r="D2160" t="s">
        <v>74</v>
      </c>
      <c r="E2160" t="s">
        <v>83</v>
      </c>
      <c r="F2160" s="55">
        <v>100</v>
      </c>
      <c r="G2160" s="63">
        <v>1.15E-2</v>
      </c>
    </row>
    <row r="2161" spans="1:7" x14ac:dyDescent="0.2">
      <c r="A2161" t="s">
        <v>89</v>
      </c>
      <c r="B2161" t="s">
        <v>134</v>
      </c>
      <c r="C2161" t="s">
        <v>196</v>
      </c>
      <c r="D2161" t="s">
        <v>74</v>
      </c>
      <c r="E2161" t="s">
        <v>84</v>
      </c>
      <c r="F2161" s="55">
        <v>99</v>
      </c>
      <c r="G2161" s="63">
        <v>2.1600000000000001E-2</v>
      </c>
    </row>
    <row r="2162" spans="1:7" x14ac:dyDescent="0.2">
      <c r="A2162" t="s">
        <v>89</v>
      </c>
      <c r="B2162" t="s">
        <v>134</v>
      </c>
      <c r="C2162" t="s">
        <v>196</v>
      </c>
      <c r="D2162" t="s">
        <v>74</v>
      </c>
      <c r="E2162" t="s">
        <v>85</v>
      </c>
      <c r="F2162" s="55">
        <v>97</v>
      </c>
      <c r="G2162" s="63">
        <v>3.2199999999999999E-2</v>
      </c>
    </row>
    <row r="2163" spans="1:7" x14ac:dyDescent="0.2">
      <c r="A2163" t="s">
        <v>89</v>
      </c>
      <c r="B2163" t="s">
        <v>134</v>
      </c>
      <c r="C2163" t="s">
        <v>196</v>
      </c>
      <c r="D2163" t="s">
        <v>74</v>
      </c>
      <c r="E2163" t="s">
        <v>86</v>
      </c>
      <c r="F2163" s="55">
        <v>95</v>
      </c>
      <c r="G2163" s="63">
        <v>3.5900000000000001E-2</v>
      </c>
    </row>
    <row r="2164" spans="1:7" x14ac:dyDescent="0.2">
      <c r="A2164" t="s">
        <v>89</v>
      </c>
      <c r="B2164" t="s">
        <v>134</v>
      </c>
      <c r="C2164" t="s">
        <v>196</v>
      </c>
      <c r="D2164" t="s">
        <v>74</v>
      </c>
      <c r="E2164" t="s">
        <v>87</v>
      </c>
      <c r="F2164" s="55">
        <v>95</v>
      </c>
      <c r="G2164" s="63">
        <v>3.7699999999999997E-2</v>
      </c>
    </row>
    <row r="2165" spans="1:7" x14ac:dyDescent="0.2">
      <c r="A2165" t="s">
        <v>89</v>
      </c>
      <c r="B2165" t="s">
        <v>134</v>
      </c>
      <c r="C2165" t="s">
        <v>196</v>
      </c>
      <c r="D2165" t="s">
        <v>74</v>
      </c>
      <c r="E2165" t="s">
        <v>88</v>
      </c>
      <c r="F2165" s="55">
        <v>104</v>
      </c>
      <c r="G2165" s="63">
        <v>1.9199999999999998E-2</v>
      </c>
    </row>
    <row r="2166" spans="1:7" x14ac:dyDescent="0.2">
      <c r="A2166" t="s">
        <v>89</v>
      </c>
      <c r="B2166" t="s">
        <v>136</v>
      </c>
      <c r="C2166" t="s">
        <v>196</v>
      </c>
      <c r="D2166" t="s">
        <v>74</v>
      </c>
      <c r="E2166" t="s">
        <v>75</v>
      </c>
      <c r="F2166" s="55">
        <v>86</v>
      </c>
      <c r="G2166" s="63">
        <v>0.11020000000000001</v>
      </c>
    </row>
    <row r="2167" spans="1:7" x14ac:dyDescent="0.2">
      <c r="A2167" t="s">
        <v>89</v>
      </c>
      <c r="B2167" t="s">
        <v>136</v>
      </c>
      <c r="C2167" t="s">
        <v>196</v>
      </c>
      <c r="D2167" t="s">
        <v>74</v>
      </c>
      <c r="E2167" t="s">
        <v>76</v>
      </c>
      <c r="F2167" s="55">
        <v>81</v>
      </c>
      <c r="G2167" s="63">
        <v>1.3299999999999999E-2</v>
      </c>
    </row>
    <row r="2168" spans="1:7" x14ac:dyDescent="0.2">
      <c r="A2168" t="s">
        <v>89</v>
      </c>
      <c r="B2168" t="s">
        <v>136</v>
      </c>
      <c r="C2168" t="s">
        <v>196</v>
      </c>
      <c r="D2168" t="s">
        <v>74</v>
      </c>
      <c r="E2168" t="s">
        <v>77</v>
      </c>
      <c r="F2168" s="55">
        <v>89</v>
      </c>
      <c r="G2168" s="63">
        <v>4.4699999999999997E-2</v>
      </c>
    </row>
    <row r="2169" spans="1:7" x14ac:dyDescent="0.2">
      <c r="A2169" t="s">
        <v>89</v>
      </c>
      <c r="B2169" t="s">
        <v>136</v>
      </c>
      <c r="C2169" t="s">
        <v>196</v>
      </c>
      <c r="D2169" t="s">
        <v>74</v>
      </c>
      <c r="E2169" t="s">
        <v>78</v>
      </c>
      <c r="F2169" s="55">
        <v>84</v>
      </c>
      <c r="G2169" s="63">
        <v>2.58E-2</v>
      </c>
    </row>
    <row r="2170" spans="1:7" x14ac:dyDescent="0.2">
      <c r="A2170" t="s">
        <v>89</v>
      </c>
      <c r="B2170" t="s">
        <v>136</v>
      </c>
      <c r="C2170" t="s">
        <v>196</v>
      </c>
      <c r="D2170" t="s">
        <v>74</v>
      </c>
      <c r="E2170" t="s">
        <v>79</v>
      </c>
      <c r="F2170" s="55">
        <v>85</v>
      </c>
      <c r="G2170" s="63">
        <v>6.2799999999999995E-2</v>
      </c>
    </row>
    <row r="2171" spans="1:7" x14ac:dyDescent="0.2">
      <c r="A2171" t="s">
        <v>89</v>
      </c>
      <c r="B2171" t="s">
        <v>136</v>
      </c>
      <c r="C2171" t="s">
        <v>196</v>
      </c>
      <c r="D2171" t="s">
        <v>74</v>
      </c>
      <c r="E2171" t="s">
        <v>80</v>
      </c>
      <c r="F2171" s="55">
        <v>89</v>
      </c>
      <c r="G2171" s="63">
        <v>2.5499999999999998E-2</v>
      </c>
    </row>
    <row r="2172" spans="1:7" x14ac:dyDescent="0.2">
      <c r="A2172" t="s">
        <v>89</v>
      </c>
      <c r="B2172" t="s">
        <v>136</v>
      </c>
      <c r="C2172" t="s">
        <v>196</v>
      </c>
      <c r="D2172" t="s">
        <v>74</v>
      </c>
      <c r="E2172" t="s">
        <v>81</v>
      </c>
      <c r="F2172" s="55">
        <v>88</v>
      </c>
      <c r="G2172" s="63">
        <v>2.3599999999999999E-2</v>
      </c>
    </row>
    <row r="2173" spans="1:7" x14ac:dyDescent="0.2">
      <c r="A2173" t="s">
        <v>89</v>
      </c>
      <c r="B2173" t="s">
        <v>136</v>
      </c>
      <c r="C2173" t="s">
        <v>196</v>
      </c>
      <c r="D2173" t="s">
        <v>74</v>
      </c>
      <c r="E2173" t="s">
        <v>82</v>
      </c>
      <c r="F2173" s="55">
        <v>86</v>
      </c>
      <c r="G2173" s="63">
        <v>4.3200000000000002E-2</v>
      </c>
    </row>
    <row r="2174" spans="1:7" x14ac:dyDescent="0.2">
      <c r="A2174" t="s">
        <v>89</v>
      </c>
      <c r="B2174" t="s">
        <v>136</v>
      </c>
      <c r="C2174" t="s">
        <v>196</v>
      </c>
      <c r="D2174" t="s">
        <v>74</v>
      </c>
      <c r="E2174" t="s">
        <v>83</v>
      </c>
      <c r="F2174" s="55">
        <v>74</v>
      </c>
      <c r="G2174" s="63">
        <v>9.4999999999999998E-3</v>
      </c>
    </row>
    <row r="2175" spans="1:7" x14ac:dyDescent="0.2">
      <c r="A2175" t="s">
        <v>89</v>
      </c>
      <c r="B2175" t="s">
        <v>136</v>
      </c>
      <c r="C2175" t="s">
        <v>196</v>
      </c>
      <c r="D2175" t="s">
        <v>74</v>
      </c>
      <c r="E2175" t="s">
        <v>84</v>
      </c>
      <c r="F2175" s="55">
        <v>84</v>
      </c>
      <c r="G2175" s="63">
        <v>2.0299999999999999E-2</v>
      </c>
    </row>
    <row r="2176" spans="1:7" x14ac:dyDescent="0.2">
      <c r="A2176" t="s">
        <v>89</v>
      </c>
      <c r="B2176" t="s">
        <v>136</v>
      </c>
      <c r="C2176" t="s">
        <v>196</v>
      </c>
      <c r="D2176" t="s">
        <v>74</v>
      </c>
      <c r="E2176" t="s">
        <v>85</v>
      </c>
      <c r="F2176" s="55">
        <v>86</v>
      </c>
      <c r="G2176" s="63">
        <v>2.5999999999999999E-2</v>
      </c>
    </row>
    <row r="2177" spans="1:7" x14ac:dyDescent="0.2">
      <c r="A2177" t="s">
        <v>89</v>
      </c>
      <c r="B2177" t="s">
        <v>136</v>
      </c>
      <c r="C2177" t="s">
        <v>196</v>
      </c>
      <c r="D2177" t="s">
        <v>74</v>
      </c>
      <c r="E2177" t="s">
        <v>86</v>
      </c>
      <c r="F2177" s="55">
        <v>86</v>
      </c>
      <c r="G2177" s="63">
        <v>2.9000000000000001E-2</v>
      </c>
    </row>
    <row r="2178" spans="1:7" x14ac:dyDescent="0.2">
      <c r="A2178" t="s">
        <v>89</v>
      </c>
      <c r="B2178" t="s">
        <v>136</v>
      </c>
      <c r="C2178" t="s">
        <v>196</v>
      </c>
      <c r="D2178" t="s">
        <v>74</v>
      </c>
      <c r="E2178" t="s">
        <v>87</v>
      </c>
      <c r="F2178" s="55">
        <v>86</v>
      </c>
      <c r="G2178" s="63">
        <v>3.1E-2</v>
      </c>
    </row>
    <row r="2179" spans="1:7" x14ac:dyDescent="0.2">
      <c r="A2179" t="s">
        <v>89</v>
      </c>
      <c r="B2179" t="s">
        <v>136</v>
      </c>
      <c r="C2179" t="s">
        <v>196</v>
      </c>
      <c r="D2179" t="s">
        <v>74</v>
      </c>
      <c r="E2179" t="s">
        <v>88</v>
      </c>
      <c r="F2179" s="55">
        <v>84</v>
      </c>
      <c r="G2179" s="63">
        <v>2.12E-2</v>
      </c>
    </row>
    <row r="2180" spans="1:7" x14ac:dyDescent="0.2">
      <c r="A2180" t="s">
        <v>89</v>
      </c>
      <c r="B2180" t="s">
        <v>137</v>
      </c>
      <c r="C2180" t="s">
        <v>196</v>
      </c>
      <c r="D2180" t="s">
        <v>74</v>
      </c>
      <c r="E2180" t="s">
        <v>75</v>
      </c>
      <c r="F2180" s="55">
        <v>106</v>
      </c>
      <c r="G2180" s="63">
        <v>9.7500000000000003E-2</v>
      </c>
    </row>
    <row r="2181" spans="1:7" x14ac:dyDescent="0.2">
      <c r="A2181" t="s">
        <v>89</v>
      </c>
      <c r="B2181" t="s">
        <v>137</v>
      </c>
      <c r="C2181" t="s">
        <v>196</v>
      </c>
      <c r="D2181" t="s">
        <v>74</v>
      </c>
      <c r="E2181" t="s">
        <v>76</v>
      </c>
      <c r="F2181" s="55">
        <v>110</v>
      </c>
      <c r="G2181" s="63">
        <v>1.06E-2</v>
      </c>
    </row>
    <row r="2182" spans="1:7" x14ac:dyDescent="0.2">
      <c r="A2182" t="s">
        <v>89</v>
      </c>
      <c r="B2182" t="s">
        <v>137</v>
      </c>
      <c r="C2182" t="s">
        <v>196</v>
      </c>
      <c r="D2182" t="s">
        <v>74</v>
      </c>
      <c r="E2182" t="s">
        <v>77</v>
      </c>
      <c r="F2182" s="55">
        <v>112</v>
      </c>
      <c r="G2182" s="63">
        <v>3.5700000000000003E-2</v>
      </c>
    </row>
    <row r="2183" spans="1:7" x14ac:dyDescent="0.2">
      <c r="A2183" t="s">
        <v>89</v>
      </c>
      <c r="B2183" t="s">
        <v>137</v>
      </c>
      <c r="C2183" t="s">
        <v>196</v>
      </c>
      <c r="D2183" t="s">
        <v>74</v>
      </c>
      <c r="E2183" t="s">
        <v>78</v>
      </c>
      <c r="F2183" s="55">
        <v>108</v>
      </c>
      <c r="G2183" s="63">
        <v>2.9100000000000001E-2</v>
      </c>
    </row>
    <row r="2184" spans="1:7" x14ac:dyDescent="0.2">
      <c r="A2184" t="s">
        <v>89</v>
      </c>
      <c r="B2184" t="s">
        <v>137</v>
      </c>
      <c r="C2184" t="s">
        <v>196</v>
      </c>
      <c r="D2184" t="s">
        <v>74</v>
      </c>
      <c r="E2184" t="s">
        <v>79</v>
      </c>
      <c r="F2184" s="55">
        <v>102</v>
      </c>
      <c r="G2184" s="63">
        <v>6.3100000000000003E-2</v>
      </c>
    </row>
    <row r="2185" spans="1:7" x14ac:dyDescent="0.2">
      <c r="A2185" t="s">
        <v>89</v>
      </c>
      <c r="B2185" t="s">
        <v>137</v>
      </c>
      <c r="C2185" t="s">
        <v>196</v>
      </c>
      <c r="D2185" t="s">
        <v>74</v>
      </c>
      <c r="E2185" t="s">
        <v>80</v>
      </c>
      <c r="F2185" s="55">
        <v>107</v>
      </c>
      <c r="G2185" s="63">
        <v>2.3400000000000001E-2</v>
      </c>
    </row>
    <row r="2186" spans="1:7" x14ac:dyDescent="0.2">
      <c r="A2186" t="s">
        <v>89</v>
      </c>
      <c r="B2186" t="s">
        <v>137</v>
      </c>
      <c r="C2186" t="s">
        <v>196</v>
      </c>
      <c r="D2186" t="s">
        <v>74</v>
      </c>
      <c r="E2186" t="s">
        <v>81</v>
      </c>
      <c r="F2186" s="55">
        <v>108</v>
      </c>
      <c r="G2186" s="63">
        <v>2.1600000000000001E-2</v>
      </c>
    </row>
    <row r="2187" spans="1:7" x14ac:dyDescent="0.2">
      <c r="A2187" t="s">
        <v>89</v>
      </c>
      <c r="B2187" t="s">
        <v>137</v>
      </c>
      <c r="C2187" t="s">
        <v>196</v>
      </c>
      <c r="D2187" t="s">
        <v>74</v>
      </c>
      <c r="E2187" t="s">
        <v>82</v>
      </c>
      <c r="F2187" s="55">
        <v>107</v>
      </c>
      <c r="G2187" s="63">
        <v>3.9800000000000002E-2</v>
      </c>
    </row>
    <row r="2188" spans="1:7" x14ac:dyDescent="0.2">
      <c r="A2188" t="s">
        <v>89</v>
      </c>
      <c r="B2188" t="s">
        <v>137</v>
      </c>
      <c r="C2188" t="s">
        <v>196</v>
      </c>
      <c r="D2188" t="s">
        <v>74</v>
      </c>
      <c r="E2188" t="s">
        <v>83</v>
      </c>
      <c r="F2188" s="55">
        <v>100</v>
      </c>
      <c r="G2188" s="63">
        <v>8.9999999999999993E-3</v>
      </c>
    </row>
    <row r="2189" spans="1:7" x14ac:dyDescent="0.2">
      <c r="A2189" t="s">
        <v>89</v>
      </c>
      <c r="B2189" t="s">
        <v>137</v>
      </c>
      <c r="C2189" t="s">
        <v>196</v>
      </c>
      <c r="D2189" t="s">
        <v>74</v>
      </c>
      <c r="E2189" t="s">
        <v>84</v>
      </c>
      <c r="F2189" s="55">
        <v>109</v>
      </c>
      <c r="G2189" s="63">
        <v>2.29E-2</v>
      </c>
    </row>
    <row r="2190" spans="1:7" x14ac:dyDescent="0.2">
      <c r="A2190" t="s">
        <v>89</v>
      </c>
      <c r="B2190" t="s">
        <v>137</v>
      </c>
      <c r="C2190" t="s">
        <v>196</v>
      </c>
      <c r="D2190" t="s">
        <v>74</v>
      </c>
      <c r="E2190" t="s">
        <v>85</v>
      </c>
      <c r="F2190" s="55">
        <v>99</v>
      </c>
      <c r="G2190" s="63">
        <v>2.5000000000000001E-2</v>
      </c>
    </row>
    <row r="2191" spans="1:7" x14ac:dyDescent="0.2">
      <c r="A2191" t="s">
        <v>89</v>
      </c>
      <c r="B2191" t="s">
        <v>137</v>
      </c>
      <c r="C2191" t="s">
        <v>196</v>
      </c>
      <c r="D2191" t="s">
        <v>74</v>
      </c>
      <c r="E2191" t="s">
        <v>86</v>
      </c>
      <c r="F2191" s="55">
        <v>102</v>
      </c>
      <c r="G2191" s="63">
        <v>2.92E-2</v>
      </c>
    </row>
    <row r="2192" spans="1:7" x14ac:dyDescent="0.2">
      <c r="A2192" t="s">
        <v>89</v>
      </c>
      <c r="B2192" t="s">
        <v>137</v>
      </c>
      <c r="C2192" t="s">
        <v>196</v>
      </c>
      <c r="D2192" t="s">
        <v>74</v>
      </c>
      <c r="E2192" t="s">
        <v>87</v>
      </c>
      <c r="F2192" s="55">
        <v>103</v>
      </c>
      <c r="G2192" s="63">
        <v>3.1800000000000002E-2</v>
      </c>
    </row>
    <row r="2193" spans="1:7" x14ac:dyDescent="0.2">
      <c r="A2193" t="s">
        <v>89</v>
      </c>
      <c r="B2193" t="s">
        <v>137</v>
      </c>
      <c r="C2193" t="s">
        <v>196</v>
      </c>
      <c r="D2193" t="s">
        <v>74</v>
      </c>
      <c r="E2193" t="s">
        <v>88</v>
      </c>
      <c r="F2193" s="55">
        <v>111</v>
      </c>
      <c r="G2193" s="63">
        <v>1.8200000000000001E-2</v>
      </c>
    </row>
    <row r="2194" spans="1:7" x14ac:dyDescent="0.2">
      <c r="A2194" t="s">
        <v>71</v>
      </c>
      <c r="B2194" t="s">
        <v>138</v>
      </c>
      <c r="C2194" t="s">
        <v>196</v>
      </c>
      <c r="D2194" t="s">
        <v>74</v>
      </c>
      <c r="E2194" t="s">
        <v>75</v>
      </c>
      <c r="F2194" s="55">
        <v>30</v>
      </c>
      <c r="G2194" s="63">
        <v>2.5000000000000001E-2</v>
      </c>
    </row>
    <row r="2195" spans="1:7" x14ac:dyDescent="0.2">
      <c r="A2195" t="s">
        <v>71</v>
      </c>
      <c r="B2195" t="s">
        <v>138</v>
      </c>
      <c r="C2195" t="s">
        <v>196</v>
      </c>
      <c r="D2195" t="s">
        <v>74</v>
      </c>
      <c r="E2195" t="s">
        <v>76</v>
      </c>
      <c r="F2195" s="55">
        <v>45</v>
      </c>
      <c r="G2195" s="63">
        <v>1.9E-3</v>
      </c>
    </row>
    <row r="2196" spans="1:7" x14ac:dyDescent="0.2">
      <c r="A2196" t="s">
        <v>71</v>
      </c>
      <c r="B2196" t="s">
        <v>138</v>
      </c>
      <c r="C2196" t="s">
        <v>196</v>
      </c>
      <c r="D2196" t="s">
        <v>74</v>
      </c>
      <c r="E2196" t="s">
        <v>77</v>
      </c>
      <c r="F2196" s="55">
        <v>30</v>
      </c>
      <c r="G2196" s="63">
        <v>7.3000000000000001E-3</v>
      </c>
    </row>
    <row r="2197" spans="1:7" x14ac:dyDescent="0.2">
      <c r="A2197" t="s">
        <v>71</v>
      </c>
      <c r="B2197" t="s">
        <v>138</v>
      </c>
      <c r="C2197" t="s">
        <v>196</v>
      </c>
      <c r="D2197" t="s">
        <v>74</v>
      </c>
      <c r="E2197" t="s">
        <v>78</v>
      </c>
      <c r="F2197" s="55">
        <v>27</v>
      </c>
      <c r="G2197" s="63">
        <v>4.8999999999999998E-3</v>
      </c>
    </row>
    <row r="2198" spans="1:7" x14ac:dyDescent="0.2">
      <c r="A2198" t="s">
        <v>71</v>
      </c>
      <c r="B2198" t="s">
        <v>138</v>
      </c>
      <c r="C2198" t="s">
        <v>196</v>
      </c>
      <c r="D2198" t="s">
        <v>74</v>
      </c>
      <c r="E2198" t="s">
        <v>79</v>
      </c>
      <c r="F2198" s="55">
        <v>30</v>
      </c>
      <c r="G2198" s="63">
        <v>1.4200000000000001E-2</v>
      </c>
    </row>
    <row r="2199" spans="1:7" x14ac:dyDescent="0.2">
      <c r="A2199" t="s">
        <v>71</v>
      </c>
      <c r="B2199" t="s">
        <v>138</v>
      </c>
      <c r="C2199" t="s">
        <v>196</v>
      </c>
      <c r="D2199" t="s">
        <v>74</v>
      </c>
      <c r="E2199" t="s">
        <v>80</v>
      </c>
      <c r="F2199" s="55">
        <v>29</v>
      </c>
      <c r="G2199" s="63">
        <v>4.5999999999999999E-3</v>
      </c>
    </row>
    <row r="2200" spans="1:7" x14ac:dyDescent="0.2">
      <c r="A2200" t="s">
        <v>71</v>
      </c>
      <c r="B2200" t="s">
        <v>138</v>
      </c>
      <c r="C2200" t="s">
        <v>196</v>
      </c>
      <c r="D2200" t="s">
        <v>74</v>
      </c>
      <c r="E2200" t="s">
        <v>81</v>
      </c>
      <c r="F2200" s="55">
        <v>37</v>
      </c>
      <c r="G2200" s="63">
        <v>5.1000000000000004E-3</v>
      </c>
    </row>
    <row r="2201" spans="1:7" x14ac:dyDescent="0.2">
      <c r="A2201" t="s">
        <v>71</v>
      </c>
      <c r="B2201" t="s">
        <v>138</v>
      </c>
      <c r="C2201" t="s">
        <v>196</v>
      </c>
      <c r="D2201" t="s">
        <v>74</v>
      </c>
      <c r="E2201" t="s">
        <v>82</v>
      </c>
      <c r="F2201" s="55">
        <v>31</v>
      </c>
      <c r="G2201" s="63">
        <v>1.03E-2</v>
      </c>
    </row>
    <row r="2202" spans="1:7" x14ac:dyDescent="0.2">
      <c r="A2202" t="s">
        <v>71</v>
      </c>
      <c r="B2202" t="s">
        <v>138</v>
      </c>
      <c r="C2202" t="s">
        <v>196</v>
      </c>
      <c r="D2202" t="s">
        <v>74</v>
      </c>
      <c r="E2202" t="s">
        <v>83</v>
      </c>
      <c r="F2202" s="55">
        <v>42</v>
      </c>
      <c r="G2202" s="63">
        <v>2E-3</v>
      </c>
    </row>
    <row r="2203" spans="1:7" x14ac:dyDescent="0.2">
      <c r="A2203" t="s">
        <v>71</v>
      </c>
      <c r="B2203" t="s">
        <v>138</v>
      </c>
      <c r="C2203" t="s">
        <v>196</v>
      </c>
      <c r="D2203" t="s">
        <v>74</v>
      </c>
      <c r="E2203" t="s">
        <v>84</v>
      </c>
      <c r="F2203" s="55">
        <v>26</v>
      </c>
      <c r="G2203" s="63">
        <v>3.7000000000000002E-3</v>
      </c>
    </row>
    <row r="2204" spans="1:7" x14ac:dyDescent="0.2">
      <c r="A2204" t="s">
        <v>71</v>
      </c>
      <c r="B2204" t="s">
        <v>138</v>
      </c>
      <c r="C2204" t="s">
        <v>196</v>
      </c>
      <c r="D2204" t="s">
        <v>74</v>
      </c>
      <c r="E2204" t="s">
        <v>85</v>
      </c>
      <c r="F2204" s="55">
        <v>26</v>
      </c>
      <c r="G2204" s="63">
        <v>4.4000000000000003E-3</v>
      </c>
    </row>
    <row r="2205" spans="1:7" x14ac:dyDescent="0.2">
      <c r="A2205" t="s">
        <v>71</v>
      </c>
      <c r="B2205" t="s">
        <v>138</v>
      </c>
      <c r="C2205" t="s">
        <v>196</v>
      </c>
      <c r="D2205" t="s">
        <v>74</v>
      </c>
      <c r="E2205" t="s">
        <v>86</v>
      </c>
      <c r="F2205" s="55">
        <v>25</v>
      </c>
      <c r="G2205" s="63">
        <v>5.1999999999999998E-3</v>
      </c>
    </row>
    <row r="2206" spans="1:7" x14ac:dyDescent="0.2">
      <c r="A2206" t="s">
        <v>71</v>
      </c>
      <c r="B2206" t="s">
        <v>138</v>
      </c>
      <c r="C2206" t="s">
        <v>196</v>
      </c>
      <c r="D2206" t="s">
        <v>74</v>
      </c>
      <c r="E2206" t="s">
        <v>87</v>
      </c>
      <c r="F2206" s="55">
        <v>32</v>
      </c>
      <c r="G2206" s="63">
        <v>6.4000000000000003E-3</v>
      </c>
    </row>
    <row r="2207" spans="1:7" x14ac:dyDescent="0.2">
      <c r="A2207" t="s">
        <v>71</v>
      </c>
      <c r="B2207" t="s">
        <v>138</v>
      </c>
      <c r="C2207" t="s">
        <v>196</v>
      </c>
      <c r="D2207" t="s">
        <v>74</v>
      </c>
      <c r="E2207" t="s">
        <v>88</v>
      </c>
      <c r="F2207" s="55">
        <v>49</v>
      </c>
      <c r="G2207" s="63">
        <v>3.8E-3</v>
      </c>
    </row>
    <row r="2208" spans="1:7" x14ac:dyDescent="0.2">
      <c r="A2208" t="s">
        <v>71</v>
      </c>
      <c r="B2208" t="s">
        <v>139</v>
      </c>
      <c r="C2208" t="s">
        <v>196</v>
      </c>
      <c r="D2208" t="s">
        <v>74</v>
      </c>
      <c r="E2208" t="s">
        <v>75</v>
      </c>
      <c r="F2208" s="55">
        <v>103</v>
      </c>
      <c r="G2208" s="63">
        <v>0.24310000000000001</v>
      </c>
    </row>
    <row r="2209" spans="1:7" x14ac:dyDescent="0.2">
      <c r="A2209" t="s">
        <v>71</v>
      </c>
      <c r="B2209" t="s">
        <v>139</v>
      </c>
      <c r="C2209" t="s">
        <v>196</v>
      </c>
      <c r="D2209" t="s">
        <v>74</v>
      </c>
      <c r="E2209" t="s">
        <v>76</v>
      </c>
      <c r="F2209" s="55">
        <v>99</v>
      </c>
      <c r="G2209" s="63">
        <v>2.4299999999999999E-2</v>
      </c>
    </row>
    <row r="2210" spans="1:7" x14ac:dyDescent="0.2">
      <c r="A2210" t="s">
        <v>71</v>
      </c>
      <c r="B2210" t="s">
        <v>139</v>
      </c>
      <c r="C2210" t="s">
        <v>196</v>
      </c>
      <c r="D2210" t="s">
        <v>74</v>
      </c>
      <c r="E2210" t="s">
        <v>77</v>
      </c>
      <c r="F2210" s="55">
        <v>108</v>
      </c>
      <c r="G2210" s="63">
        <v>0.1</v>
      </c>
    </row>
    <row r="2211" spans="1:7" x14ac:dyDescent="0.2">
      <c r="A2211" t="s">
        <v>71</v>
      </c>
      <c r="B2211" t="s">
        <v>139</v>
      </c>
      <c r="C2211" t="s">
        <v>196</v>
      </c>
      <c r="D2211" t="s">
        <v>74</v>
      </c>
      <c r="E2211" t="s">
        <v>78</v>
      </c>
      <c r="F2211" s="55">
        <v>104</v>
      </c>
      <c r="G2211" s="63">
        <v>0.1038</v>
      </c>
    </row>
    <row r="2212" spans="1:7" x14ac:dyDescent="0.2">
      <c r="A2212" t="s">
        <v>71</v>
      </c>
      <c r="B2212" t="s">
        <v>139</v>
      </c>
      <c r="C2212" t="s">
        <v>196</v>
      </c>
      <c r="D2212" t="s">
        <v>74</v>
      </c>
      <c r="E2212" t="s">
        <v>79</v>
      </c>
      <c r="F2212" s="55">
        <v>98</v>
      </c>
      <c r="G2212" s="63">
        <v>0.1636</v>
      </c>
    </row>
    <row r="2213" spans="1:7" x14ac:dyDescent="0.2">
      <c r="A2213" t="s">
        <v>71</v>
      </c>
      <c r="B2213" t="s">
        <v>139</v>
      </c>
      <c r="C2213" t="s">
        <v>196</v>
      </c>
      <c r="D2213" t="s">
        <v>74</v>
      </c>
      <c r="E2213" t="s">
        <v>80</v>
      </c>
      <c r="F2213" s="55">
        <v>101</v>
      </c>
      <c r="G2213" s="63">
        <v>5.3400000000000003E-2</v>
      </c>
    </row>
    <row r="2214" spans="1:7" x14ac:dyDescent="0.2">
      <c r="A2214" t="s">
        <v>71</v>
      </c>
      <c r="B2214" t="s">
        <v>139</v>
      </c>
      <c r="C2214" t="s">
        <v>196</v>
      </c>
      <c r="D2214" t="s">
        <v>74</v>
      </c>
      <c r="E2214" t="s">
        <v>81</v>
      </c>
      <c r="F2214" s="55">
        <v>101</v>
      </c>
      <c r="G2214" s="63">
        <v>4.4499999999999998E-2</v>
      </c>
    </row>
    <row r="2215" spans="1:7" x14ac:dyDescent="0.2">
      <c r="A2215" t="s">
        <v>71</v>
      </c>
      <c r="B2215" t="s">
        <v>139</v>
      </c>
      <c r="C2215" t="s">
        <v>196</v>
      </c>
      <c r="D2215" t="s">
        <v>74</v>
      </c>
      <c r="E2215" t="s">
        <v>82</v>
      </c>
      <c r="F2215" s="55">
        <v>103</v>
      </c>
      <c r="G2215" s="63">
        <v>0.16539999999999999</v>
      </c>
    </row>
    <row r="2216" spans="1:7" x14ac:dyDescent="0.2">
      <c r="A2216" t="s">
        <v>71</v>
      </c>
      <c r="B2216" t="s">
        <v>139</v>
      </c>
      <c r="C2216" t="s">
        <v>196</v>
      </c>
      <c r="D2216" t="s">
        <v>74</v>
      </c>
      <c r="E2216" t="s">
        <v>83</v>
      </c>
      <c r="F2216" s="55">
        <v>100</v>
      </c>
      <c r="G2216" s="63">
        <v>1.8700000000000001E-2</v>
      </c>
    </row>
    <row r="2217" spans="1:7" x14ac:dyDescent="0.2">
      <c r="A2217" t="s">
        <v>71</v>
      </c>
      <c r="B2217" t="s">
        <v>139</v>
      </c>
      <c r="C2217" t="s">
        <v>196</v>
      </c>
      <c r="D2217" t="s">
        <v>74</v>
      </c>
      <c r="E2217" t="s">
        <v>84</v>
      </c>
      <c r="F2217" s="55">
        <v>106</v>
      </c>
      <c r="G2217" s="63">
        <v>8.9899999999999994E-2</v>
      </c>
    </row>
    <row r="2218" spans="1:7" x14ac:dyDescent="0.2">
      <c r="A2218" t="s">
        <v>71</v>
      </c>
      <c r="B2218" t="s">
        <v>139</v>
      </c>
      <c r="C2218" t="s">
        <v>196</v>
      </c>
      <c r="D2218" t="s">
        <v>74</v>
      </c>
      <c r="E2218" t="s">
        <v>85</v>
      </c>
      <c r="F2218" s="55">
        <v>97</v>
      </c>
      <c r="G2218" s="63">
        <v>6.6000000000000003E-2</v>
      </c>
    </row>
    <row r="2219" spans="1:7" x14ac:dyDescent="0.2">
      <c r="A2219" t="s">
        <v>71</v>
      </c>
      <c r="B2219" t="s">
        <v>139</v>
      </c>
      <c r="C2219" t="s">
        <v>196</v>
      </c>
      <c r="D2219" t="s">
        <v>74</v>
      </c>
      <c r="E2219" t="s">
        <v>86</v>
      </c>
      <c r="F2219" s="55">
        <v>98</v>
      </c>
      <c r="G2219" s="63">
        <v>7.9899999999999999E-2</v>
      </c>
    </row>
    <row r="2220" spans="1:7" x14ac:dyDescent="0.2">
      <c r="A2220" t="s">
        <v>71</v>
      </c>
      <c r="B2220" t="s">
        <v>139</v>
      </c>
      <c r="C2220" t="s">
        <v>196</v>
      </c>
      <c r="D2220" t="s">
        <v>74</v>
      </c>
      <c r="E2220" t="s">
        <v>87</v>
      </c>
      <c r="F2220" s="55">
        <v>100</v>
      </c>
      <c r="G2220" s="63">
        <v>8.8599999999999998E-2</v>
      </c>
    </row>
    <row r="2221" spans="1:7" x14ac:dyDescent="0.2">
      <c r="A2221" t="s">
        <v>71</v>
      </c>
      <c r="B2221" t="s">
        <v>139</v>
      </c>
      <c r="C2221" t="s">
        <v>196</v>
      </c>
      <c r="D2221" t="s">
        <v>74</v>
      </c>
      <c r="E2221" t="s">
        <v>88</v>
      </c>
      <c r="F2221" s="55">
        <v>100</v>
      </c>
      <c r="G2221" s="63">
        <v>4.2200000000000001E-2</v>
      </c>
    </row>
    <row r="2222" spans="1:7" x14ac:dyDescent="0.2">
      <c r="A2222" t="s">
        <v>71</v>
      </c>
      <c r="B2222" t="s">
        <v>141</v>
      </c>
      <c r="C2222" t="s">
        <v>196</v>
      </c>
      <c r="D2222" t="s">
        <v>74</v>
      </c>
      <c r="E2222" t="s">
        <v>75</v>
      </c>
      <c r="F2222" s="55">
        <v>112</v>
      </c>
      <c r="G2222" s="63">
        <v>0.1638</v>
      </c>
    </row>
    <row r="2223" spans="1:7" x14ac:dyDescent="0.2">
      <c r="A2223" t="s">
        <v>71</v>
      </c>
      <c r="B2223" t="s">
        <v>141</v>
      </c>
      <c r="C2223" t="s">
        <v>196</v>
      </c>
      <c r="D2223" t="s">
        <v>74</v>
      </c>
      <c r="E2223" t="s">
        <v>76</v>
      </c>
      <c r="F2223" s="55">
        <v>109</v>
      </c>
      <c r="G2223" s="63">
        <v>2.2100000000000002E-2</v>
      </c>
    </row>
    <row r="2224" spans="1:7" x14ac:dyDescent="0.2">
      <c r="A2224" t="s">
        <v>71</v>
      </c>
      <c r="B2224" t="s">
        <v>141</v>
      </c>
      <c r="C2224" t="s">
        <v>196</v>
      </c>
      <c r="D2224" t="s">
        <v>74</v>
      </c>
      <c r="E2224" t="s">
        <v>77</v>
      </c>
      <c r="F2224" s="55">
        <v>115</v>
      </c>
      <c r="G2224" s="63">
        <v>7.51E-2</v>
      </c>
    </row>
    <row r="2225" spans="1:7" x14ac:dyDescent="0.2">
      <c r="A2225" t="s">
        <v>71</v>
      </c>
      <c r="B2225" t="s">
        <v>141</v>
      </c>
      <c r="C2225" t="s">
        <v>196</v>
      </c>
      <c r="D2225" t="s">
        <v>74</v>
      </c>
      <c r="E2225" t="s">
        <v>78</v>
      </c>
      <c r="F2225" s="55">
        <v>118</v>
      </c>
      <c r="G2225" s="63">
        <v>6.5100000000000005E-2</v>
      </c>
    </row>
    <row r="2226" spans="1:7" x14ac:dyDescent="0.2">
      <c r="A2226" t="s">
        <v>71</v>
      </c>
      <c r="B2226" t="s">
        <v>141</v>
      </c>
      <c r="C2226" t="s">
        <v>196</v>
      </c>
      <c r="D2226" t="s">
        <v>74</v>
      </c>
      <c r="E2226" t="s">
        <v>79</v>
      </c>
      <c r="F2226" s="55">
        <v>112</v>
      </c>
      <c r="G2226" s="63">
        <v>0.115</v>
      </c>
    </row>
    <row r="2227" spans="1:7" x14ac:dyDescent="0.2">
      <c r="A2227" t="s">
        <v>71</v>
      </c>
      <c r="B2227" t="s">
        <v>141</v>
      </c>
      <c r="C2227" t="s">
        <v>196</v>
      </c>
      <c r="D2227" t="s">
        <v>74</v>
      </c>
      <c r="E2227" t="s">
        <v>80</v>
      </c>
      <c r="F2227" s="55">
        <v>106</v>
      </c>
      <c r="G2227" s="63">
        <v>4.99E-2</v>
      </c>
    </row>
    <row r="2228" spans="1:7" x14ac:dyDescent="0.2">
      <c r="A2228" t="s">
        <v>71</v>
      </c>
      <c r="B2228" t="s">
        <v>141</v>
      </c>
      <c r="C2228" t="s">
        <v>196</v>
      </c>
      <c r="D2228" t="s">
        <v>74</v>
      </c>
      <c r="E2228" t="s">
        <v>81</v>
      </c>
      <c r="F2228" s="55">
        <v>99</v>
      </c>
      <c r="G2228" s="63">
        <v>4.4499999999999998E-2</v>
      </c>
    </row>
    <row r="2229" spans="1:7" x14ac:dyDescent="0.2">
      <c r="A2229" t="s">
        <v>71</v>
      </c>
      <c r="B2229" t="s">
        <v>141</v>
      </c>
      <c r="C2229" t="s">
        <v>196</v>
      </c>
      <c r="D2229" t="s">
        <v>74</v>
      </c>
      <c r="E2229" t="s">
        <v>82</v>
      </c>
      <c r="F2229" s="55">
        <v>113</v>
      </c>
      <c r="G2229" s="63">
        <v>7.9500000000000001E-2</v>
      </c>
    </row>
    <row r="2230" spans="1:7" x14ac:dyDescent="0.2">
      <c r="A2230" t="s">
        <v>71</v>
      </c>
      <c r="B2230" t="s">
        <v>141</v>
      </c>
      <c r="C2230" t="s">
        <v>196</v>
      </c>
      <c r="D2230" t="s">
        <v>74</v>
      </c>
      <c r="E2230" t="s">
        <v>83</v>
      </c>
      <c r="F2230" s="55">
        <v>103</v>
      </c>
      <c r="G2230" s="63">
        <v>1.9699999999999999E-2</v>
      </c>
    </row>
    <row r="2231" spans="1:7" x14ac:dyDescent="0.2">
      <c r="A2231" t="s">
        <v>71</v>
      </c>
      <c r="B2231" t="s">
        <v>141</v>
      </c>
      <c r="C2231" t="s">
        <v>196</v>
      </c>
      <c r="D2231" t="s">
        <v>74</v>
      </c>
      <c r="E2231" t="s">
        <v>84</v>
      </c>
      <c r="F2231" s="55">
        <v>115</v>
      </c>
      <c r="G2231" s="63">
        <v>5.4199999999999998E-2</v>
      </c>
    </row>
    <row r="2232" spans="1:7" x14ac:dyDescent="0.2">
      <c r="A2232" t="s">
        <v>71</v>
      </c>
      <c r="B2232" t="s">
        <v>141</v>
      </c>
      <c r="C2232" t="s">
        <v>196</v>
      </c>
      <c r="D2232" t="s">
        <v>74</v>
      </c>
      <c r="E2232" t="s">
        <v>85</v>
      </c>
      <c r="F2232" s="55">
        <v>108</v>
      </c>
      <c r="G2232" s="63">
        <v>5.5199999999999999E-2</v>
      </c>
    </row>
    <row r="2233" spans="1:7" x14ac:dyDescent="0.2">
      <c r="A2233" t="s">
        <v>71</v>
      </c>
      <c r="B2233" t="s">
        <v>141</v>
      </c>
      <c r="C2233" t="s">
        <v>196</v>
      </c>
      <c r="D2233" t="s">
        <v>74</v>
      </c>
      <c r="E2233" t="s">
        <v>86</v>
      </c>
      <c r="F2233" s="55">
        <v>108</v>
      </c>
      <c r="G2233" s="63">
        <v>6.3700000000000007E-2</v>
      </c>
    </row>
    <row r="2234" spans="1:7" x14ac:dyDescent="0.2">
      <c r="A2234" t="s">
        <v>71</v>
      </c>
      <c r="B2234" t="s">
        <v>141</v>
      </c>
      <c r="C2234" t="s">
        <v>196</v>
      </c>
      <c r="D2234" t="s">
        <v>74</v>
      </c>
      <c r="E2234" t="s">
        <v>87</v>
      </c>
      <c r="F2234" s="55">
        <v>106</v>
      </c>
      <c r="G2234" s="63">
        <v>6.8699999999999997E-2</v>
      </c>
    </row>
    <row r="2235" spans="1:7" x14ac:dyDescent="0.2">
      <c r="A2235" t="s">
        <v>71</v>
      </c>
      <c r="B2235" t="s">
        <v>141</v>
      </c>
      <c r="C2235" t="s">
        <v>196</v>
      </c>
      <c r="D2235" t="s">
        <v>74</v>
      </c>
      <c r="E2235" t="s">
        <v>88</v>
      </c>
      <c r="F2235" s="55">
        <v>108</v>
      </c>
      <c r="G2235" s="63">
        <v>3.0700000000000002E-2</v>
      </c>
    </row>
    <row r="2236" spans="1:7" x14ac:dyDescent="0.2">
      <c r="A2236" t="s">
        <v>71</v>
      </c>
      <c r="B2236" t="s">
        <v>13</v>
      </c>
      <c r="C2236" t="s">
        <v>196</v>
      </c>
      <c r="D2236" t="s">
        <v>74</v>
      </c>
      <c r="E2236" t="s">
        <v>75</v>
      </c>
      <c r="F2236" s="55">
        <v>114</v>
      </c>
      <c r="G2236" s="63">
        <v>0.29110000000000003</v>
      </c>
    </row>
    <row r="2237" spans="1:7" x14ac:dyDescent="0.2">
      <c r="A2237" t="s">
        <v>71</v>
      </c>
      <c r="B2237" t="s">
        <v>13</v>
      </c>
      <c r="C2237" t="s">
        <v>196</v>
      </c>
      <c r="D2237" t="s">
        <v>74</v>
      </c>
      <c r="E2237" t="s">
        <v>76</v>
      </c>
      <c r="F2237" s="55">
        <v>105</v>
      </c>
      <c r="G2237" s="63">
        <v>4.58E-2</v>
      </c>
    </row>
    <row r="2238" spans="1:7" x14ac:dyDescent="0.2">
      <c r="A2238" t="s">
        <v>71</v>
      </c>
      <c r="B2238" t="s">
        <v>13</v>
      </c>
      <c r="C2238" t="s">
        <v>196</v>
      </c>
      <c r="D2238" t="s">
        <v>74</v>
      </c>
      <c r="E2238" t="s">
        <v>77</v>
      </c>
      <c r="F2238" s="55">
        <v>111</v>
      </c>
      <c r="G2238" s="63">
        <v>0.1368</v>
      </c>
    </row>
    <row r="2239" spans="1:7" x14ac:dyDescent="0.2">
      <c r="A2239" t="s">
        <v>71</v>
      </c>
      <c r="B2239" t="s">
        <v>13</v>
      </c>
      <c r="C2239" t="s">
        <v>196</v>
      </c>
      <c r="D2239" t="s">
        <v>74</v>
      </c>
      <c r="E2239" t="s">
        <v>78</v>
      </c>
      <c r="F2239" s="55">
        <v>116</v>
      </c>
      <c r="G2239" s="63">
        <v>0.12590000000000001</v>
      </c>
    </row>
    <row r="2240" spans="1:7" x14ac:dyDescent="0.2">
      <c r="A2240" t="s">
        <v>71</v>
      </c>
      <c r="B2240" t="s">
        <v>13</v>
      </c>
      <c r="C2240" t="s">
        <v>196</v>
      </c>
      <c r="D2240" t="s">
        <v>74</v>
      </c>
      <c r="E2240" t="s">
        <v>79</v>
      </c>
      <c r="F2240" s="55">
        <v>117</v>
      </c>
      <c r="G2240" s="63">
        <v>0.23230000000000001</v>
      </c>
    </row>
    <row r="2241" spans="1:7" x14ac:dyDescent="0.2">
      <c r="A2241" t="s">
        <v>71</v>
      </c>
      <c r="B2241" t="s">
        <v>13</v>
      </c>
      <c r="C2241" t="s">
        <v>196</v>
      </c>
      <c r="D2241" t="s">
        <v>74</v>
      </c>
      <c r="E2241" t="s">
        <v>80</v>
      </c>
      <c r="F2241" s="55">
        <v>108</v>
      </c>
      <c r="G2241" s="63">
        <v>0.1042</v>
      </c>
    </row>
    <row r="2242" spans="1:7" x14ac:dyDescent="0.2">
      <c r="A2242" t="s">
        <v>71</v>
      </c>
      <c r="B2242" t="s">
        <v>13</v>
      </c>
      <c r="C2242" t="s">
        <v>196</v>
      </c>
      <c r="D2242" t="s">
        <v>74</v>
      </c>
      <c r="E2242" t="s">
        <v>81</v>
      </c>
      <c r="F2242" s="55">
        <v>108</v>
      </c>
      <c r="G2242" s="63">
        <v>8.9300000000000004E-2</v>
      </c>
    </row>
    <row r="2243" spans="1:7" x14ac:dyDescent="0.2">
      <c r="A2243" t="s">
        <v>71</v>
      </c>
      <c r="B2243" t="s">
        <v>13</v>
      </c>
      <c r="C2243" t="s">
        <v>196</v>
      </c>
      <c r="D2243" t="s">
        <v>74</v>
      </c>
      <c r="E2243" t="s">
        <v>82</v>
      </c>
      <c r="F2243" s="55">
        <v>114</v>
      </c>
      <c r="G2243" s="63">
        <v>0.1822</v>
      </c>
    </row>
    <row r="2244" spans="1:7" x14ac:dyDescent="0.2">
      <c r="A2244" t="s">
        <v>71</v>
      </c>
      <c r="B2244" t="s">
        <v>13</v>
      </c>
      <c r="C2244" t="s">
        <v>196</v>
      </c>
      <c r="D2244" t="s">
        <v>74</v>
      </c>
      <c r="E2244" t="s">
        <v>83</v>
      </c>
      <c r="F2244" s="55">
        <v>108</v>
      </c>
      <c r="G2244" s="63">
        <v>4.2999999999999997E-2</v>
      </c>
    </row>
    <row r="2245" spans="1:7" x14ac:dyDescent="0.2">
      <c r="A2245" t="s">
        <v>71</v>
      </c>
      <c r="B2245" t="s">
        <v>13</v>
      </c>
      <c r="C2245" t="s">
        <v>196</v>
      </c>
      <c r="D2245" t="s">
        <v>74</v>
      </c>
      <c r="E2245" t="s">
        <v>84</v>
      </c>
      <c r="F2245" s="55">
        <v>116</v>
      </c>
      <c r="G2245" s="63">
        <v>0.1067</v>
      </c>
    </row>
    <row r="2246" spans="1:7" x14ac:dyDescent="0.2">
      <c r="A2246" t="s">
        <v>71</v>
      </c>
      <c r="B2246" t="s">
        <v>13</v>
      </c>
      <c r="C2246" t="s">
        <v>196</v>
      </c>
      <c r="D2246" t="s">
        <v>74</v>
      </c>
      <c r="E2246" t="s">
        <v>85</v>
      </c>
      <c r="F2246" s="55">
        <v>109</v>
      </c>
      <c r="G2246" s="63">
        <v>0.1275</v>
      </c>
    </row>
    <row r="2247" spans="1:7" x14ac:dyDescent="0.2">
      <c r="A2247" t="s">
        <v>71</v>
      </c>
      <c r="B2247" t="s">
        <v>13</v>
      </c>
      <c r="C2247" t="s">
        <v>196</v>
      </c>
      <c r="D2247" t="s">
        <v>74</v>
      </c>
      <c r="E2247" t="s">
        <v>86</v>
      </c>
      <c r="F2247" s="55">
        <v>113</v>
      </c>
      <c r="G2247" s="63">
        <v>0.15820000000000001</v>
      </c>
    </row>
    <row r="2248" spans="1:7" x14ac:dyDescent="0.2">
      <c r="A2248" t="s">
        <v>71</v>
      </c>
      <c r="B2248" t="s">
        <v>13</v>
      </c>
      <c r="C2248" t="s">
        <v>196</v>
      </c>
      <c r="D2248" t="s">
        <v>74</v>
      </c>
      <c r="E2248" t="s">
        <v>87</v>
      </c>
      <c r="F2248" s="55">
        <v>120</v>
      </c>
      <c r="G2248" s="63">
        <v>0.16420000000000001</v>
      </c>
    </row>
    <row r="2249" spans="1:7" x14ac:dyDescent="0.2">
      <c r="A2249" t="s">
        <v>71</v>
      </c>
      <c r="B2249" t="s">
        <v>13</v>
      </c>
      <c r="C2249" t="s">
        <v>196</v>
      </c>
      <c r="D2249" t="s">
        <v>74</v>
      </c>
      <c r="E2249" t="s">
        <v>88</v>
      </c>
      <c r="F2249" s="55">
        <v>106</v>
      </c>
      <c r="G2249" s="63">
        <v>7.6399999999999996E-2</v>
      </c>
    </row>
    <row r="2250" spans="1:7" x14ac:dyDescent="0.2">
      <c r="A2250" t="s">
        <v>89</v>
      </c>
      <c r="B2250" t="s">
        <v>143</v>
      </c>
      <c r="C2250" t="s">
        <v>196</v>
      </c>
      <c r="D2250" t="s">
        <v>74</v>
      </c>
      <c r="E2250" t="s">
        <v>75</v>
      </c>
      <c r="F2250" s="55">
        <v>121</v>
      </c>
      <c r="G2250" s="63">
        <v>0.21240000000000001</v>
      </c>
    </row>
    <row r="2251" spans="1:7" x14ac:dyDescent="0.2">
      <c r="A2251" t="s">
        <v>89</v>
      </c>
      <c r="B2251" t="s">
        <v>143</v>
      </c>
      <c r="C2251" t="s">
        <v>196</v>
      </c>
      <c r="D2251" t="s">
        <v>74</v>
      </c>
      <c r="E2251" t="s">
        <v>76</v>
      </c>
      <c r="F2251" s="55">
        <v>123</v>
      </c>
      <c r="G2251" s="63">
        <v>3.8199999999999998E-2</v>
      </c>
    </row>
    <row r="2252" spans="1:7" x14ac:dyDescent="0.2">
      <c r="A2252" t="s">
        <v>89</v>
      </c>
      <c r="B2252" t="s">
        <v>143</v>
      </c>
      <c r="C2252" t="s">
        <v>196</v>
      </c>
      <c r="D2252" t="s">
        <v>74</v>
      </c>
      <c r="E2252" t="s">
        <v>77</v>
      </c>
      <c r="F2252" s="55">
        <v>122</v>
      </c>
      <c r="G2252" s="63">
        <v>9.4799999999999995E-2</v>
      </c>
    </row>
    <row r="2253" spans="1:7" x14ac:dyDescent="0.2">
      <c r="A2253" t="s">
        <v>89</v>
      </c>
      <c r="B2253" t="s">
        <v>143</v>
      </c>
      <c r="C2253" t="s">
        <v>196</v>
      </c>
      <c r="D2253" t="s">
        <v>74</v>
      </c>
      <c r="E2253" t="s">
        <v>78</v>
      </c>
      <c r="F2253" s="55">
        <v>120</v>
      </c>
      <c r="G2253" s="63">
        <v>8.3799999999999999E-2</v>
      </c>
    </row>
    <row r="2254" spans="1:7" x14ac:dyDescent="0.2">
      <c r="A2254" t="s">
        <v>89</v>
      </c>
      <c r="B2254" t="s">
        <v>143</v>
      </c>
      <c r="C2254" t="s">
        <v>196</v>
      </c>
      <c r="D2254" t="s">
        <v>74</v>
      </c>
      <c r="E2254" t="s">
        <v>79</v>
      </c>
      <c r="F2254" s="55">
        <v>123</v>
      </c>
      <c r="G2254" s="63">
        <v>0.15709999999999999</v>
      </c>
    </row>
    <row r="2255" spans="1:7" x14ac:dyDescent="0.2">
      <c r="A2255" t="s">
        <v>89</v>
      </c>
      <c r="B2255" t="s">
        <v>143</v>
      </c>
      <c r="C2255" t="s">
        <v>196</v>
      </c>
      <c r="D2255" t="s">
        <v>74</v>
      </c>
      <c r="E2255" t="s">
        <v>80</v>
      </c>
      <c r="F2255" s="55">
        <v>119</v>
      </c>
      <c r="G2255" s="63">
        <v>6.7199999999999996E-2</v>
      </c>
    </row>
    <row r="2256" spans="1:7" x14ac:dyDescent="0.2">
      <c r="A2256" t="s">
        <v>89</v>
      </c>
      <c r="B2256" t="s">
        <v>143</v>
      </c>
      <c r="C2256" t="s">
        <v>196</v>
      </c>
      <c r="D2256" t="s">
        <v>74</v>
      </c>
      <c r="E2256" t="s">
        <v>81</v>
      </c>
      <c r="F2256" s="55">
        <v>118</v>
      </c>
      <c r="G2256" s="63">
        <v>6.4199999999999993E-2</v>
      </c>
    </row>
    <row r="2257" spans="1:7" x14ac:dyDescent="0.2">
      <c r="A2257" t="s">
        <v>89</v>
      </c>
      <c r="B2257" t="s">
        <v>143</v>
      </c>
      <c r="C2257" t="s">
        <v>196</v>
      </c>
      <c r="D2257" t="s">
        <v>74</v>
      </c>
      <c r="E2257" t="s">
        <v>82</v>
      </c>
      <c r="F2257" s="55">
        <v>121</v>
      </c>
      <c r="G2257" s="63">
        <v>0.1255</v>
      </c>
    </row>
    <row r="2258" spans="1:7" x14ac:dyDescent="0.2">
      <c r="A2258" t="s">
        <v>89</v>
      </c>
      <c r="B2258" t="s">
        <v>143</v>
      </c>
      <c r="C2258" t="s">
        <v>196</v>
      </c>
      <c r="D2258" t="s">
        <v>74</v>
      </c>
      <c r="E2258" t="s">
        <v>83</v>
      </c>
      <c r="F2258" s="55">
        <v>122</v>
      </c>
      <c r="G2258" s="63">
        <v>3.6200000000000003E-2</v>
      </c>
    </row>
    <row r="2259" spans="1:7" x14ac:dyDescent="0.2">
      <c r="A2259" t="s">
        <v>89</v>
      </c>
      <c r="B2259" t="s">
        <v>143</v>
      </c>
      <c r="C2259" t="s">
        <v>196</v>
      </c>
      <c r="D2259" t="s">
        <v>74</v>
      </c>
      <c r="E2259" t="s">
        <v>84</v>
      </c>
      <c r="F2259" s="55">
        <v>120</v>
      </c>
      <c r="G2259" s="63">
        <v>6.8599999999999994E-2</v>
      </c>
    </row>
    <row r="2260" spans="1:7" x14ac:dyDescent="0.2">
      <c r="A2260" t="s">
        <v>89</v>
      </c>
      <c r="B2260" t="s">
        <v>143</v>
      </c>
      <c r="C2260" t="s">
        <v>196</v>
      </c>
      <c r="D2260" t="s">
        <v>74</v>
      </c>
      <c r="E2260" t="s">
        <v>85</v>
      </c>
      <c r="F2260" s="55">
        <v>122</v>
      </c>
      <c r="G2260" s="63">
        <v>7.3499999999999996E-2</v>
      </c>
    </row>
    <row r="2261" spans="1:7" x14ac:dyDescent="0.2">
      <c r="A2261" t="s">
        <v>89</v>
      </c>
      <c r="B2261" t="s">
        <v>143</v>
      </c>
      <c r="C2261" t="s">
        <v>196</v>
      </c>
      <c r="D2261" t="s">
        <v>74</v>
      </c>
      <c r="E2261" t="s">
        <v>86</v>
      </c>
      <c r="F2261" s="55">
        <v>125</v>
      </c>
      <c r="G2261" s="63">
        <v>9.11E-2</v>
      </c>
    </row>
    <row r="2262" spans="1:7" x14ac:dyDescent="0.2">
      <c r="A2262" t="s">
        <v>89</v>
      </c>
      <c r="B2262" t="s">
        <v>143</v>
      </c>
      <c r="C2262" t="s">
        <v>196</v>
      </c>
      <c r="D2262" t="s">
        <v>74</v>
      </c>
      <c r="E2262" t="s">
        <v>87</v>
      </c>
      <c r="F2262" s="55">
        <v>125</v>
      </c>
      <c r="G2262" s="63">
        <v>9.8199999999999996E-2</v>
      </c>
    </row>
    <row r="2263" spans="1:7" x14ac:dyDescent="0.2">
      <c r="A2263" t="s">
        <v>89</v>
      </c>
      <c r="B2263" t="s">
        <v>143</v>
      </c>
      <c r="C2263" t="s">
        <v>196</v>
      </c>
      <c r="D2263" t="s">
        <v>74</v>
      </c>
      <c r="E2263" t="s">
        <v>88</v>
      </c>
      <c r="F2263" s="55">
        <v>121</v>
      </c>
      <c r="G2263" s="63">
        <v>5.6800000000000003E-2</v>
      </c>
    </row>
    <row r="2264" spans="1:7" x14ac:dyDescent="0.2">
      <c r="A2264" t="s">
        <v>71</v>
      </c>
      <c r="B2264" t="s">
        <v>144</v>
      </c>
      <c r="C2264" t="s">
        <v>196</v>
      </c>
      <c r="D2264" t="s">
        <v>74</v>
      </c>
      <c r="E2264" t="s">
        <v>75</v>
      </c>
      <c r="F2264" s="55">
        <v>101</v>
      </c>
      <c r="G2264" s="63">
        <v>0.1522</v>
      </c>
    </row>
    <row r="2265" spans="1:7" x14ac:dyDescent="0.2">
      <c r="A2265" t="s">
        <v>71</v>
      </c>
      <c r="B2265" t="s">
        <v>144</v>
      </c>
      <c r="C2265" t="s">
        <v>196</v>
      </c>
      <c r="D2265" t="s">
        <v>74</v>
      </c>
      <c r="E2265" t="s">
        <v>76</v>
      </c>
      <c r="F2265" s="55">
        <v>96</v>
      </c>
      <c r="G2265" s="63">
        <v>2.0400000000000001E-2</v>
      </c>
    </row>
    <row r="2266" spans="1:7" x14ac:dyDescent="0.2">
      <c r="A2266" t="s">
        <v>71</v>
      </c>
      <c r="B2266" t="s">
        <v>144</v>
      </c>
      <c r="C2266" t="s">
        <v>196</v>
      </c>
      <c r="D2266" t="s">
        <v>74</v>
      </c>
      <c r="E2266" t="s">
        <v>77</v>
      </c>
      <c r="F2266" s="55">
        <v>104</v>
      </c>
      <c r="G2266" s="63">
        <v>5.4199999999999998E-2</v>
      </c>
    </row>
    <row r="2267" spans="1:7" x14ac:dyDescent="0.2">
      <c r="A2267" t="s">
        <v>71</v>
      </c>
      <c r="B2267" t="s">
        <v>144</v>
      </c>
      <c r="C2267" t="s">
        <v>196</v>
      </c>
      <c r="D2267" t="s">
        <v>74</v>
      </c>
      <c r="E2267" t="s">
        <v>78</v>
      </c>
      <c r="F2267" s="55">
        <v>101</v>
      </c>
      <c r="G2267" s="63">
        <v>4.0599999999999997E-2</v>
      </c>
    </row>
    <row r="2268" spans="1:7" x14ac:dyDescent="0.2">
      <c r="A2268" t="s">
        <v>71</v>
      </c>
      <c r="B2268" t="s">
        <v>144</v>
      </c>
      <c r="C2268" t="s">
        <v>196</v>
      </c>
      <c r="D2268" t="s">
        <v>74</v>
      </c>
      <c r="E2268" t="s">
        <v>79</v>
      </c>
      <c r="F2268" s="55">
        <v>102</v>
      </c>
      <c r="G2268" s="63">
        <v>9.35E-2</v>
      </c>
    </row>
    <row r="2269" spans="1:7" x14ac:dyDescent="0.2">
      <c r="A2269" t="s">
        <v>71</v>
      </c>
      <c r="B2269" t="s">
        <v>144</v>
      </c>
      <c r="C2269" t="s">
        <v>196</v>
      </c>
      <c r="D2269" t="s">
        <v>74</v>
      </c>
      <c r="E2269" t="s">
        <v>80</v>
      </c>
      <c r="F2269" s="55">
        <v>100</v>
      </c>
      <c r="G2269" s="63">
        <v>3.8899999999999997E-2</v>
      </c>
    </row>
    <row r="2270" spans="1:7" x14ac:dyDescent="0.2">
      <c r="A2270" t="s">
        <v>71</v>
      </c>
      <c r="B2270" t="s">
        <v>144</v>
      </c>
      <c r="C2270" t="s">
        <v>196</v>
      </c>
      <c r="D2270" t="s">
        <v>74</v>
      </c>
      <c r="E2270" t="s">
        <v>81</v>
      </c>
      <c r="F2270" s="55">
        <v>97</v>
      </c>
      <c r="G2270" s="63">
        <v>3.9600000000000003E-2</v>
      </c>
    </row>
    <row r="2271" spans="1:7" x14ac:dyDescent="0.2">
      <c r="A2271" t="s">
        <v>71</v>
      </c>
      <c r="B2271" t="s">
        <v>144</v>
      </c>
      <c r="C2271" t="s">
        <v>196</v>
      </c>
      <c r="D2271" t="s">
        <v>74</v>
      </c>
      <c r="E2271" t="s">
        <v>82</v>
      </c>
      <c r="F2271" s="55">
        <v>102</v>
      </c>
      <c r="G2271" s="63">
        <v>6.0699999999999997E-2</v>
      </c>
    </row>
    <row r="2272" spans="1:7" x14ac:dyDescent="0.2">
      <c r="A2272" t="s">
        <v>71</v>
      </c>
      <c r="B2272" t="s">
        <v>144</v>
      </c>
      <c r="C2272" t="s">
        <v>196</v>
      </c>
      <c r="D2272" t="s">
        <v>74</v>
      </c>
      <c r="E2272" t="s">
        <v>83</v>
      </c>
      <c r="F2272" s="55">
        <v>99</v>
      </c>
      <c r="G2272" s="63">
        <v>1.9599999999999999E-2</v>
      </c>
    </row>
    <row r="2273" spans="1:7" x14ac:dyDescent="0.2">
      <c r="A2273" t="s">
        <v>71</v>
      </c>
      <c r="B2273" t="s">
        <v>144</v>
      </c>
      <c r="C2273" t="s">
        <v>196</v>
      </c>
      <c r="D2273" t="s">
        <v>74</v>
      </c>
      <c r="E2273" t="s">
        <v>84</v>
      </c>
      <c r="F2273" s="55">
        <v>103</v>
      </c>
      <c r="G2273" s="63">
        <v>3.2000000000000001E-2</v>
      </c>
    </row>
    <row r="2274" spans="1:7" x14ac:dyDescent="0.2">
      <c r="A2274" t="s">
        <v>71</v>
      </c>
      <c r="B2274" t="s">
        <v>144</v>
      </c>
      <c r="C2274" t="s">
        <v>196</v>
      </c>
      <c r="D2274" t="s">
        <v>74</v>
      </c>
      <c r="E2274" t="s">
        <v>85</v>
      </c>
      <c r="F2274" s="55">
        <v>98</v>
      </c>
      <c r="G2274" s="63">
        <v>3.78E-2</v>
      </c>
    </row>
    <row r="2275" spans="1:7" x14ac:dyDescent="0.2">
      <c r="A2275" t="s">
        <v>71</v>
      </c>
      <c r="B2275" t="s">
        <v>144</v>
      </c>
      <c r="C2275" t="s">
        <v>196</v>
      </c>
      <c r="D2275" t="s">
        <v>74</v>
      </c>
      <c r="E2275" t="s">
        <v>86</v>
      </c>
      <c r="F2275" s="55">
        <v>101</v>
      </c>
      <c r="G2275" s="63">
        <v>4.0800000000000003E-2</v>
      </c>
    </row>
    <row r="2276" spans="1:7" x14ac:dyDescent="0.2">
      <c r="A2276" t="s">
        <v>71</v>
      </c>
      <c r="B2276" t="s">
        <v>144</v>
      </c>
      <c r="C2276" t="s">
        <v>196</v>
      </c>
      <c r="D2276" t="s">
        <v>74</v>
      </c>
      <c r="E2276" t="s">
        <v>87</v>
      </c>
      <c r="F2276" s="55">
        <v>107</v>
      </c>
      <c r="G2276" s="63">
        <v>4.41E-2</v>
      </c>
    </row>
    <row r="2277" spans="1:7" x14ac:dyDescent="0.2">
      <c r="A2277" t="s">
        <v>71</v>
      </c>
      <c r="B2277" t="s">
        <v>144</v>
      </c>
      <c r="C2277" t="s">
        <v>196</v>
      </c>
      <c r="D2277" t="s">
        <v>74</v>
      </c>
      <c r="E2277" t="s">
        <v>88</v>
      </c>
      <c r="F2277" s="55">
        <v>95</v>
      </c>
      <c r="G2277" s="63">
        <v>3.2199999999999999E-2</v>
      </c>
    </row>
    <row r="2278" spans="1:7" x14ac:dyDescent="0.2">
      <c r="A2278" t="s">
        <v>71</v>
      </c>
      <c r="B2278" t="s">
        <v>14</v>
      </c>
      <c r="C2278" t="s">
        <v>196</v>
      </c>
      <c r="D2278" t="s">
        <v>74</v>
      </c>
      <c r="E2278" t="s">
        <v>75</v>
      </c>
      <c r="F2278" s="55">
        <v>102</v>
      </c>
      <c r="G2278" s="63">
        <v>0.39529999999999998</v>
      </c>
    </row>
    <row r="2279" spans="1:7" x14ac:dyDescent="0.2">
      <c r="A2279" t="s">
        <v>71</v>
      </c>
      <c r="B2279" t="s">
        <v>14</v>
      </c>
      <c r="C2279" t="s">
        <v>196</v>
      </c>
      <c r="D2279" t="s">
        <v>74</v>
      </c>
      <c r="E2279" t="s">
        <v>76</v>
      </c>
      <c r="F2279" s="55">
        <v>96</v>
      </c>
      <c r="G2279" s="63">
        <v>6.4699999999999994E-2</v>
      </c>
    </row>
    <row r="2280" spans="1:7" x14ac:dyDescent="0.2">
      <c r="A2280" t="s">
        <v>71</v>
      </c>
      <c r="B2280" t="s">
        <v>14</v>
      </c>
      <c r="C2280" t="s">
        <v>196</v>
      </c>
      <c r="D2280" t="s">
        <v>74</v>
      </c>
      <c r="E2280" t="s">
        <v>77</v>
      </c>
      <c r="F2280" s="55">
        <v>104</v>
      </c>
      <c r="G2280" s="63">
        <v>0.18729999999999999</v>
      </c>
    </row>
    <row r="2281" spans="1:7" x14ac:dyDescent="0.2">
      <c r="A2281" t="s">
        <v>71</v>
      </c>
      <c r="B2281" t="s">
        <v>14</v>
      </c>
      <c r="C2281" t="s">
        <v>196</v>
      </c>
      <c r="D2281" t="s">
        <v>74</v>
      </c>
      <c r="E2281" t="s">
        <v>78</v>
      </c>
      <c r="F2281" s="55">
        <v>103</v>
      </c>
      <c r="G2281" s="63">
        <v>0.17549999999999999</v>
      </c>
    </row>
    <row r="2282" spans="1:7" x14ac:dyDescent="0.2">
      <c r="A2282" t="s">
        <v>71</v>
      </c>
      <c r="B2282" t="s">
        <v>14</v>
      </c>
      <c r="C2282" t="s">
        <v>196</v>
      </c>
      <c r="D2282" t="s">
        <v>74</v>
      </c>
      <c r="E2282" t="s">
        <v>79</v>
      </c>
      <c r="F2282" s="55">
        <v>102</v>
      </c>
      <c r="G2282" s="63">
        <v>0.32319999999999999</v>
      </c>
    </row>
    <row r="2283" spans="1:7" x14ac:dyDescent="0.2">
      <c r="A2283" t="s">
        <v>71</v>
      </c>
      <c r="B2283" t="s">
        <v>14</v>
      </c>
      <c r="C2283" t="s">
        <v>196</v>
      </c>
      <c r="D2283" t="s">
        <v>74</v>
      </c>
      <c r="E2283" t="s">
        <v>80</v>
      </c>
      <c r="F2283" s="55">
        <v>101</v>
      </c>
      <c r="G2283" s="63">
        <v>0.15359999999999999</v>
      </c>
    </row>
    <row r="2284" spans="1:7" x14ac:dyDescent="0.2">
      <c r="A2284" t="s">
        <v>71</v>
      </c>
      <c r="B2284" t="s">
        <v>14</v>
      </c>
      <c r="C2284" t="s">
        <v>196</v>
      </c>
      <c r="D2284" t="s">
        <v>74</v>
      </c>
      <c r="E2284" t="s">
        <v>81</v>
      </c>
      <c r="F2284" s="55">
        <v>97</v>
      </c>
      <c r="G2284" s="63">
        <v>0.1203</v>
      </c>
    </row>
    <row r="2285" spans="1:7" x14ac:dyDescent="0.2">
      <c r="A2285" t="s">
        <v>71</v>
      </c>
      <c r="B2285" t="s">
        <v>14</v>
      </c>
      <c r="C2285" t="s">
        <v>196</v>
      </c>
      <c r="D2285" t="s">
        <v>74</v>
      </c>
      <c r="E2285" t="s">
        <v>82</v>
      </c>
      <c r="F2285" s="55">
        <v>100</v>
      </c>
      <c r="G2285" s="63">
        <v>0.24429999999999999</v>
      </c>
    </row>
    <row r="2286" spans="1:7" x14ac:dyDescent="0.2">
      <c r="A2286" t="s">
        <v>71</v>
      </c>
      <c r="B2286" t="s">
        <v>14</v>
      </c>
      <c r="C2286" t="s">
        <v>196</v>
      </c>
      <c r="D2286" t="s">
        <v>74</v>
      </c>
      <c r="E2286" t="s">
        <v>83</v>
      </c>
      <c r="F2286" s="55">
        <v>96</v>
      </c>
      <c r="G2286" s="63">
        <v>5.6399999999999999E-2</v>
      </c>
    </row>
    <row r="2287" spans="1:7" x14ac:dyDescent="0.2">
      <c r="A2287" t="s">
        <v>71</v>
      </c>
      <c r="B2287" t="s">
        <v>14</v>
      </c>
      <c r="C2287" t="s">
        <v>196</v>
      </c>
      <c r="D2287" t="s">
        <v>74</v>
      </c>
      <c r="E2287" t="s">
        <v>84</v>
      </c>
      <c r="F2287" s="55">
        <v>104</v>
      </c>
      <c r="G2287" s="63">
        <v>0.14560000000000001</v>
      </c>
    </row>
    <row r="2288" spans="1:7" x14ac:dyDescent="0.2">
      <c r="A2288" t="s">
        <v>71</v>
      </c>
      <c r="B2288" t="s">
        <v>14</v>
      </c>
      <c r="C2288" t="s">
        <v>196</v>
      </c>
      <c r="D2288" t="s">
        <v>74</v>
      </c>
      <c r="E2288" t="s">
        <v>85</v>
      </c>
      <c r="F2288" s="55">
        <v>100</v>
      </c>
      <c r="G2288" s="63">
        <v>0.18690000000000001</v>
      </c>
    </row>
    <row r="2289" spans="1:7" x14ac:dyDescent="0.2">
      <c r="A2289" t="s">
        <v>71</v>
      </c>
      <c r="B2289" t="s">
        <v>14</v>
      </c>
      <c r="C2289" t="s">
        <v>196</v>
      </c>
      <c r="D2289" t="s">
        <v>74</v>
      </c>
      <c r="E2289" t="s">
        <v>86</v>
      </c>
      <c r="F2289" s="55">
        <v>101</v>
      </c>
      <c r="G2289" s="63">
        <v>0.21890000000000001</v>
      </c>
    </row>
    <row r="2290" spans="1:7" x14ac:dyDescent="0.2">
      <c r="A2290" t="s">
        <v>71</v>
      </c>
      <c r="B2290" t="s">
        <v>14</v>
      </c>
      <c r="C2290" t="s">
        <v>196</v>
      </c>
      <c r="D2290" t="s">
        <v>74</v>
      </c>
      <c r="E2290" t="s">
        <v>87</v>
      </c>
      <c r="F2290" s="55">
        <v>103</v>
      </c>
      <c r="G2290" s="63">
        <v>0.23169999999999999</v>
      </c>
    </row>
    <row r="2291" spans="1:7" x14ac:dyDescent="0.2">
      <c r="A2291" t="s">
        <v>71</v>
      </c>
      <c r="B2291" t="s">
        <v>14</v>
      </c>
      <c r="C2291" t="s">
        <v>196</v>
      </c>
      <c r="D2291" t="s">
        <v>74</v>
      </c>
      <c r="E2291" t="s">
        <v>88</v>
      </c>
      <c r="F2291" s="55">
        <v>96</v>
      </c>
      <c r="G2291" s="63">
        <v>9.8699999999999996E-2</v>
      </c>
    </row>
    <row r="2292" spans="1:7" x14ac:dyDescent="0.2">
      <c r="A2292" t="s">
        <v>89</v>
      </c>
      <c r="B2292" t="s">
        <v>145</v>
      </c>
      <c r="C2292" t="s">
        <v>196</v>
      </c>
      <c r="D2292" t="s">
        <v>74</v>
      </c>
      <c r="E2292" t="s">
        <v>75</v>
      </c>
      <c r="F2292" s="55">
        <v>102</v>
      </c>
      <c r="G2292" s="63">
        <v>0.1636</v>
      </c>
    </row>
    <row r="2293" spans="1:7" x14ac:dyDescent="0.2">
      <c r="A2293" t="s">
        <v>89</v>
      </c>
      <c r="B2293" t="s">
        <v>145</v>
      </c>
      <c r="C2293" t="s">
        <v>196</v>
      </c>
      <c r="D2293" t="s">
        <v>74</v>
      </c>
      <c r="E2293" t="s">
        <v>76</v>
      </c>
      <c r="F2293" s="55">
        <v>103</v>
      </c>
      <c r="G2293" s="63">
        <v>2.23E-2</v>
      </c>
    </row>
    <row r="2294" spans="1:7" x14ac:dyDescent="0.2">
      <c r="A2294" t="s">
        <v>89</v>
      </c>
      <c r="B2294" t="s">
        <v>145</v>
      </c>
      <c r="C2294" t="s">
        <v>196</v>
      </c>
      <c r="D2294" t="s">
        <v>74</v>
      </c>
      <c r="E2294" t="s">
        <v>77</v>
      </c>
      <c r="F2294" s="55">
        <v>99</v>
      </c>
      <c r="G2294" s="63">
        <v>5.4600000000000003E-2</v>
      </c>
    </row>
    <row r="2295" spans="1:7" x14ac:dyDescent="0.2">
      <c r="A2295" t="s">
        <v>89</v>
      </c>
      <c r="B2295" t="s">
        <v>145</v>
      </c>
      <c r="C2295" t="s">
        <v>196</v>
      </c>
      <c r="D2295" t="s">
        <v>74</v>
      </c>
      <c r="E2295" t="s">
        <v>78</v>
      </c>
      <c r="F2295" s="55">
        <v>103</v>
      </c>
      <c r="G2295" s="63">
        <v>5.2900000000000003E-2</v>
      </c>
    </row>
    <row r="2296" spans="1:7" x14ac:dyDescent="0.2">
      <c r="A2296" t="s">
        <v>89</v>
      </c>
      <c r="B2296" t="s">
        <v>145</v>
      </c>
      <c r="C2296" t="s">
        <v>196</v>
      </c>
      <c r="D2296" t="s">
        <v>74</v>
      </c>
      <c r="E2296" t="s">
        <v>79</v>
      </c>
      <c r="F2296" s="55">
        <v>103</v>
      </c>
      <c r="G2296" s="63">
        <v>0.1173</v>
      </c>
    </row>
    <row r="2297" spans="1:7" x14ac:dyDescent="0.2">
      <c r="A2297" t="s">
        <v>89</v>
      </c>
      <c r="B2297" t="s">
        <v>145</v>
      </c>
      <c r="C2297" t="s">
        <v>196</v>
      </c>
      <c r="D2297" t="s">
        <v>74</v>
      </c>
      <c r="E2297" t="s">
        <v>80</v>
      </c>
      <c r="F2297" s="55">
        <v>104</v>
      </c>
      <c r="G2297" s="63">
        <v>5.4699999999999999E-2</v>
      </c>
    </row>
    <row r="2298" spans="1:7" x14ac:dyDescent="0.2">
      <c r="A2298" t="s">
        <v>89</v>
      </c>
      <c r="B2298" t="s">
        <v>145</v>
      </c>
      <c r="C2298" t="s">
        <v>196</v>
      </c>
      <c r="D2298" t="s">
        <v>74</v>
      </c>
      <c r="E2298" t="s">
        <v>81</v>
      </c>
      <c r="F2298" s="55">
        <v>102</v>
      </c>
      <c r="G2298" s="63">
        <v>4.8099999999999997E-2</v>
      </c>
    </row>
    <row r="2299" spans="1:7" x14ac:dyDescent="0.2">
      <c r="A2299" t="s">
        <v>89</v>
      </c>
      <c r="B2299" t="s">
        <v>145</v>
      </c>
      <c r="C2299" t="s">
        <v>196</v>
      </c>
      <c r="D2299" t="s">
        <v>74</v>
      </c>
      <c r="E2299" t="s">
        <v>82</v>
      </c>
      <c r="F2299" s="55">
        <v>97</v>
      </c>
      <c r="G2299" s="63">
        <v>7.8200000000000006E-2</v>
      </c>
    </row>
    <row r="2300" spans="1:7" x14ac:dyDescent="0.2">
      <c r="A2300" t="s">
        <v>89</v>
      </c>
      <c r="B2300" t="s">
        <v>145</v>
      </c>
      <c r="C2300" t="s">
        <v>196</v>
      </c>
      <c r="D2300" t="s">
        <v>74</v>
      </c>
      <c r="E2300" t="s">
        <v>83</v>
      </c>
      <c r="F2300" s="55">
        <v>104</v>
      </c>
      <c r="G2300" s="63">
        <v>2.1299999999999999E-2</v>
      </c>
    </row>
    <row r="2301" spans="1:7" x14ac:dyDescent="0.2">
      <c r="A2301" t="s">
        <v>89</v>
      </c>
      <c r="B2301" t="s">
        <v>145</v>
      </c>
      <c r="C2301" t="s">
        <v>196</v>
      </c>
      <c r="D2301" t="s">
        <v>74</v>
      </c>
      <c r="E2301" t="s">
        <v>84</v>
      </c>
      <c r="F2301" s="55">
        <v>102</v>
      </c>
      <c r="G2301" s="63">
        <v>4.0500000000000001E-2</v>
      </c>
    </row>
    <row r="2302" spans="1:7" x14ac:dyDescent="0.2">
      <c r="A2302" t="s">
        <v>89</v>
      </c>
      <c r="B2302" t="s">
        <v>145</v>
      </c>
      <c r="C2302" t="s">
        <v>196</v>
      </c>
      <c r="D2302" t="s">
        <v>74</v>
      </c>
      <c r="E2302" t="s">
        <v>85</v>
      </c>
      <c r="F2302" s="55">
        <v>105</v>
      </c>
      <c r="G2302" s="63">
        <v>6.0400000000000002E-2</v>
      </c>
    </row>
    <row r="2303" spans="1:7" x14ac:dyDescent="0.2">
      <c r="A2303" t="s">
        <v>89</v>
      </c>
      <c r="B2303" t="s">
        <v>145</v>
      </c>
      <c r="C2303" t="s">
        <v>196</v>
      </c>
      <c r="D2303" t="s">
        <v>74</v>
      </c>
      <c r="E2303" t="s">
        <v>86</v>
      </c>
      <c r="F2303" s="55">
        <v>102</v>
      </c>
      <c r="G2303" s="63">
        <v>6.6000000000000003E-2</v>
      </c>
    </row>
    <row r="2304" spans="1:7" x14ac:dyDescent="0.2">
      <c r="A2304" t="s">
        <v>89</v>
      </c>
      <c r="B2304" t="s">
        <v>145</v>
      </c>
      <c r="C2304" t="s">
        <v>196</v>
      </c>
      <c r="D2304" t="s">
        <v>74</v>
      </c>
      <c r="E2304" t="s">
        <v>87</v>
      </c>
      <c r="F2304" s="55">
        <v>104</v>
      </c>
      <c r="G2304" s="63">
        <v>6.8599999999999994E-2</v>
      </c>
    </row>
    <row r="2305" spans="1:7" x14ac:dyDescent="0.2">
      <c r="A2305" t="s">
        <v>89</v>
      </c>
      <c r="B2305" t="s">
        <v>145</v>
      </c>
      <c r="C2305" t="s">
        <v>196</v>
      </c>
      <c r="D2305" t="s">
        <v>74</v>
      </c>
      <c r="E2305" t="s">
        <v>88</v>
      </c>
      <c r="F2305" s="55">
        <v>103</v>
      </c>
      <c r="G2305" s="63">
        <v>3.8100000000000002E-2</v>
      </c>
    </row>
    <row r="2306" spans="1:7" x14ac:dyDescent="0.2">
      <c r="A2306" t="s">
        <v>71</v>
      </c>
      <c r="B2306" t="s">
        <v>146</v>
      </c>
      <c r="C2306" t="s">
        <v>196</v>
      </c>
      <c r="D2306" t="s">
        <v>74</v>
      </c>
      <c r="E2306" t="s">
        <v>75</v>
      </c>
      <c r="F2306" s="55">
        <v>90</v>
      </c>
      <c r="G2306" s="63">
        <v>0.18959999999999999</v>
      </c>
    </row>
    <row r="2307" spans="1:7" x14ac:dyDescent="0.2">
      <c r="A2307" t="s">
        <v>71</v>
      </c>
      <c r="B2307" t="s">
        <v>146</v>
      </c>
      <c r="C2307" t="s">
        <v>196</v>
      </c>
      <c r="D2307" t="s">
        <v>74</v>
      </c>
      <c r="E2307" t="s">
        <v>76</v>
      </c>
      <c r="F2307" s="55">
        <v>91</v>
      </c>
      <c r="G2307" s="63">
        <v>3.3300000000000003E-2</v>
      </c>
    </row>
    <row r="2308" spans="1:7" x14ac:dyDescent="0.2">
      <c r="A2308" t="s">
        <v>71</v>
      </c>
      <c r="B2308" t="s">
        <v>146</v>
      </c>
      <c r="C2308" t="s">
        <v>196</v>
      </c>
      <c r="D2308" t="s">
        <v>74</v>
      </c>
      <c r="E2308" t="s">
        <v>77</v>
      </c>
      <c r="F2308" s="55">
        <v>93</v>
      </c>
      <c r="G2308" s="63">
        <v>8.1799999999999998E-2</v>
      </c>
    </row>
    <row r="2309" spans="1:7" x14ac:dyDescent="0.2">
      <c r="A2309" t="s">
        <v>71</v>
      </c>
      <c r="B2309" t="s">
        <v>146</v>
      </c>
      <c r="C2309" t="s">
        <v>196</v>
      </c>
      <c r="D2309" t="s">
        <v>74</v>
      </c>
      <c r="E2309" t="s">
        <v>78</v>
      </c>
      <c r="F2309" s="55">
        <v>90</v>
      </c>
      <c r="G2309" s="63">
        <v>6.6900000000000001E-2</v>
      </c>
    </row>
    <row r="2310" spans="1:7" x14ac:dyDescent="0.2">
      <c r="A2310" t="s">
        <v>71</v>
      </c>
      <c r="B2310" t="s">
        <v>146</v>
      </c>
      <c r="C2310" t="s">
        <v>196</v>
      </c>
      <c r="D2310" t="s">
        <v>74</v>
      </c>
      <c r="E2310" t="s">
        <v>79</v>
      </c>
      <c r="F2310" s="55">
        <v>90</v>
      </c>
      <c r="G2310" s="63">
        <v>0.13070000000000001</v>
      </c>
    </row>
    <row r="2311" spans="1:7" x14ac:dyDescent="0.2">
      <c r="A2311" t="s">
        <v>71</v>
      </c>
      <c r="B2311" t="s">
        <v>146</v>
      </c>
      <c r="C2311" t="s">
        <v>196</v>
      </c>
      <c r="D2311" t="s">
        <v>74</v>
      </c>
      <c r="E2311" t="s">
        <v>80</v>
      </c>
      <c r="F2311" s="55">
        <v>88</v>
      </c>
      <c r="G2311" s="63">
        <v>6.1100000000000002E-2</v>
      </c>
    </row>
    <row r="2312" spans="1:7" x14ac:dyDescent="0.2">
      <c r="A2312" t="s">
        <v>71</v>
      </c>
      <c r="B2312" t="s">
        <v>146</v>
      </c>
      <c r="C2312" t="s">
        <v>196</v>
      </c>
      <c r="D2312" t="s">
        <v>74</v>
      </c>
      <c r="E2312" t="s">
        <v>81</v>
      </c>
      <c r="F2312" s="55">
        <v>87</v>
      </c>
      <c r="G2312" s="63">
        <v>5.9200000000000003E-2</v>
      </c>
    </row>
    <row r="2313" spans="1:7" x14ac:dyDescent="0.2">
      <c r="A2313" t="s">
        <v>71</v>
      </c>
      <c r="B2313" t="s">
        <v>146</v>
      </c>
      <c r="C2313" t="s">
        <v>196</v>
      </c>
      <c r="D2313" t="s">
        <v>74</v>
      </c>
      <c r="E2313" t="s">
        <v>82</v>
      </c>
      <c r="F2313" s="55">
        <v>92</v>
      </c>
      <c r="G2313" s="63">
        <v>9.4899999999999998E-2</v>
      </c>
    </row>
    <row r="2314" spans="1:7" x14ac:dyDescent="0.2">
      <c r="A2314" t="s">
        <v>71</v>
      </c>
      <c r="B2314" t="s">
        <v>146</v>
      </c>
      <c r="C2314" t="s">
        <v>196</v>
      </c>
      <c r="D2314" t="s">
        <v>74</v>
      </c>
      <c r="E2314" t="s">
        <v>83</v>
      </c>
      <c r="F2314" s="55">
        <v>88</v>
      </c>
      <c r="G2314" s="63">
        <v>3.1699999999999999E-2</v>
      </c>
    </row>
    <row r="2315" spans="1:7" x14ac:dyDescent="0.2">
      <c r="A2315" t="s">
        <v>71</v>
      </c>
      <c r="B2315" t="s">
        <v>146</v>
      </c>
      <c r="C2315" t="s">
        <v>196</v>
      </c>
      <c r="D2315" t="s">
        <v>74</v>
      </c>
      <c r="E2315" t="s">
        <v>84</v>
      </c>
      <c r="F2315" s="55">
        <v>89</v>
      </c>
      <c r="G2315" s="63">
        <v>5.4899999999999997E-2</v>
      </c>
    </row>
    <row r="2316" spans="1:7" x14ac:dyDescent="0.2">
      <c r="A2316" t="s">
        <v>71</v>
      </c>
      <c r="B2316" t="s">
        <v>146</v>
      </c>
      <c r="C2316" t="s">
        <v>196</v>
      </c>
      <c r="D2316" t="s">
        <v>74</v>
      </c>
      <c r="E2316" t="s">
        <v>85</v>
      </c>
      <c r="F2316" s="55">
        <v>89</v>
      </c>
      <c r="G2316" s="63">
        <v>6.5600000000000006E-2</v>
      </c>
    </row>
    <row r="2317" spans="1:7" x14ac:dyDescent="0.2">
      <c r="A2317" t="s">
        <v>71</v>
      </c>
      <c r="B2317" t="s">
        <v>146</v>
      </c>
      <c r="C2317" t="s">
        <v>196</v>
      </c>
      <c r="D2317" t="s">
        <v>74</v>
      </c>
      <c r="E2317" t="s">
        <v>86</v>
      </c>
      <c r="F2317" s="55">
        <v>91</v>
      </c>
      <c r="G2317" s="63">
        <v>7.2700000000000001E-2</v>
      </c>
    </row>
    <row r="2318" spans="1:7" x14ac:dyDescent="0.2">
      <c r="A2318" t="s">
        <v>71</v>
      </c>
      <c r="B2318" t="s">
        <v>146</v>
      </c>
      <c r="C2318" t="s">
        <v>196</v>
      </c>
      <c r="D2318" t="s">
        <v>74</v>
      </c>
      <c r="E2318" t="s">
        <v>87</v>
      </c>
      <c r="F2318" s="55">
        <v>90</v>
      </c>
      <c r="G2318" s="63">
        <v>7.6999999999999999E-2</v>
      </c>
    </row>
    <row r="2319" spans="1:7" x14ac:dyDescent="0.2">
      <c r="A2319" t="s">
        <v>71</v>
      </c>
      <c r="B2319" t="s">
        <v>146</v>
      </c>
      <c r="C2319" t="s">
        <v>196</v>
      </c>
      <c r="D2319" t="s">
        <v>74</v>
      </c>
      <c r="E2319" t="s">
        <v>88</v>
      </c>
      <c r="F2319" s="55">
        <v>90</v>
      </c>
      <c r="G2319" s="63">
        <v>4.9200000000000001E-2</v>
      </c>
    </row>
    <row r="2320" spans="1:7" x14ac:dyDescent="0.2">
      <c r="A2320" t="s">
        <v>89</v>
      </c>
      <c r="B2320" t="s">
        <v>147</v>
      </c>
      <c r="C2320" t="s">
        <v>196</v>
      </c>
      <c r="D2320" t="s">
        <v>91</v>
      </c>
      <c r="E2320" t="s">
        <v>75</v>
      </c>
      <c r="F2320" s="55">
        <v>107</v>
      </c>
      <c r="G2320" s="63">
        <v>0.27850000000000003</v>
      </c>
    </row>
    <row r="2321" spans="1:7" x14ac:dyDescent="0.2">
      <c r="A2321" t="s">
        <v>89</v>
      </c>
      <c r="B2321" t="s">
        <v>147</v>
      </c>
      <c r="C2321" t="s">
        <v>196</v>
      </c>
      <c r="D2321" t="s">
        <v>91</v>
      </c>
      <c r="E2321" t="s">
        <v>76</v>
      </c>
      <c r="F2321" s="55">
        <v>105</v>
      </c>
      <c r="G2321" s="63">
        <v>3.9100000000000003E-2</v>
      </c>
    </row>
    <row r="2322" spans="1:7" x14ac:dyDescent="0.2">
      <c r="A2322" t="s">
        <v>89</v>
      </c>
      <c r="B2322" t="s">
        <v>147</v>
      </c>
      <c r="C2322" t="s">
        <v>196</v>
      </c>
      <c r="D2322" t="s">
        <v>91</v>
      </c>
      <c r="E2322" t="s">
        <v>77</v>
      </c>
      <c r="F2322" s="55">
        <v>109</v>
      </c>
      <c r="G2322" s="63">
        <v>0.12909999999999999</v>
      </c>
    </row>
    <row r="2323" spans="1:7" x14ac:dyDescent="0.2">
      <c r="A2323" t="s">
        <v>89</v>
      </c>
      <c r="B2323" t="s">
        <v>147</v>
      </c>
      <c r="C2323" t="s">
        <v>196</v>
      </c>
      <c r="D2323" t="s">
        <v>91</v>
      </c>
      <c r="E2323" t="s">
        <v>78</v>
      </c>
      <c r="F2323" s="55">
        <v>106</v>
      </c>
      <c r="G2323" s="63">
        <v>0.1143</v>
      </c>
    </row>
    <row r="2324" spans="1:7" x14ac:dyDescent="0.2">
      <c r="A2324" t="s">
        <v>89</v>
      </c>
      <c r="B2324" t="s">
        <v>147</v>
      </c>
      <c r="C2324" t="s">
        <v>196</v>
      </c>
      <c r="D2324" t="s">
        <v>91</v>
      </c>
      <c r="E2324" t="s">
        <v>79</v>
      </c>
      <c r="F2324" s="55">
        <v>108</v>
      </c>
      <c r="G2324" s="63">
        <v>0.21659999999999999</v>
      </c>
    </row>
    <row r="2325" spans="1:7" x14ac:dyDescent="0.2">
      <c r="A2325" t="s">
        <v>89</v>
      </c>
      <c r="B2325" t="s">
        <v>147</v>
      </c>
      <c r="C2325" t="s">
        <v>196</v>
      </c>
      <c r="D2325" t="s">
        <v>91</v>
      </c>
      <c r="E2325" t="s">
        <v>80</v>
      </c>
      <c r="F2325" s="55">
        <v>104</v>
      </c>
      <c r="G2325" s="63">
        <v>9.8599999999999993E-2</v>
      </c>
    </row>
    <row r="2326" spans="1:7" x14ac:dyDescent="0.2">
      <c r="A2326" t="s">
        <v>89</v>
      </c>
      <c r="B2326" t="s">
        <v>147</v>
      </c>
      <c r="C2326" t="s">
        <v>196</v>
      </c>
      <c r="D2326" t="s">
        <v>91</v>
      </c>
      <c r="E2326" t="s">
        <v>81</v>
      </c>
      <c r="F2326" s="55">
        <v>101</v>
      </c>
      <c r="G2326" s="63">
        <v>8.3599999999999994E-2</v>
      </c>
    </row>
    <row r="2327" spans="1:7" x14ac:dyDescent="0.2">
      <c r="A2327" t="s">
        <v>89</v>
      </c>
      <c r="B2327" t="s">
        <v>147</v>
      </c>
      <c r="C2327" t="s">
        <v>196</v>
      </c>
      <c r="D2327" t="s">
        <v>91</v>
      </c>
      <c r="E2327" t="s">
        <v>82</v>
      </c>
      <c r="F2327" s="55">
        <v>109</v>
      </c>
      <c r="G2327" s="63">
        <v>0.15040000000000001</v>
      </c>
    </row>
    <row r="2328" spans="1:7" x14ac:dyDescent="0.2">
      <c r="A2328" t="s">
        <v>89</v>
      </c>
      <c r="B2328" t="s">
        <v>147</v>
      </c>
      <c r="C2328" t="s">
        <v>196</v>
      </c>
      <c r="D2328" t="s">
        <v>91</v>
      </c>
      <c r="E2328" t="s">
        <v>83</v>
      </c>
      <c r="F2328" s="55">
        <v>99</v>
      </c>
      <c r="G2328" s="63">
        <v>3.0200000000000001E-2</v>
      </c>
    </row>
    <row r="2329" spans="1:7" x14ac:dyDescent="0.2">
      <c r="A2329" t="s">
        <v>89</v>
      </c>
      <c r="B2329" t="s">
        <v>147</v>
      </c>
      <c r="C2329" t="s">
        <v>196</v>
      </c>
      <c r="D2329" t="s">
        <v>91</v>
      </c>
      <c r="E2329" t="s">
        <v>84</v>
      </c>
      <c r="F2329" s="55">
        <v>106</v>
      </c>
      <c r="G2329" s="63">
        <v>9.7199999999999995E-2</v>
      </c>
    </row>
    <row r="2330" spans="1:7" x14ac:dyDescent="0.2">
      <c r="A2330" t="s">
        <v>89</v>
      </c>
      <c r="B2330" t="s">
        <v>147</v>
      </c>
      <c r="C2330" t="s">
        <v>196</v>
      </c>
      <c r="D2330" t="s">
        <v>91</v>
      </c>
      <c r="E2330" t="s">
        <v>85</v>
      </c>
      <c r="F2330" s="55">
        <v>106</v>
      </c>
      <c r="G2330" s="63">
        <v>0.1169</v>
      </c>
    </row>
    <row r="2331" spans="1:7" x14ac:dyDescent="0.2">
      <c r="A2331" t="s">
        <v>89</v>
      </c>
      <c r="B2331" t="s">
        <v>147</v>
      </c>
      <c r="C2331" t="s">
        <v>196</v>
      </c>
      <c r="D2331" t="s">
        <v>91</v>
      </c>
      <c r="E2331" t="s">
        <v>86</v>
      </c>
      <c r="F2331" s="55">
        <v>108</v>
      </c>
      <c r="G2331" s="63">
        <v>0.1356</v>
      </c>
    </row>
    <row r="2332" spans="1:7" x14ac:dyDescent="0.2">
      <c r="A2332" t="s">
        <v>89</v>
      </c>
      <c r="B2332" t="s">
        <v>147</v>
      </c>
      <c r="C2332" t="s">
        <v>196</v>
      </c>
      <c r="D2332" t="s">
        <v>91</v>
      </c>
      <c r="E2332" t="s">
        <v>87</v>
      </c>
      <c r="F2332" s="55">
        <v>108</v>
      </c>
      <c r="G2332" s="63">
        <v>0.14460000000000001</v>
      </c>
    </row>
    <row r="2333" spans="1:7" x14ac:dyDescent="0.2">
      <c r="A2333" t="s">
        <v>89</v>
      </c>
      <c r="B2333" t="s">
        <v>147</v>
      </c>
      <c r="C2333" t="s">
        <v>196</v>
      </c>
      <c r="D2333" t="s">
        <v>91</v>
      </c>
      <c r="E2333" t="s">
        <v>88</v>
      </c>
      <c r="F2333" s="55">
        <v>104</v>
      </c>
      <c r="G2333" s="63">
        <v>5.8799999999999998E-2</v>
      </c>
    </row>
    <row r="2334" spans="1:7" x14ac:dyDescent="0.2">
      <c r="A2334" t="s">
        <v>71</v>
      </c>
      <c r="B2334" t="s">
        <v>149</v>
      </c>
      <c r="C2334" t="s">
        <v>196</v>
      </c>
      <c r="D2334" t="s">
        <v>74</v>
      </c>
      <c r="E2334" t="s">
        <v>75</v>
      </c>
      <c r="F2334" s="55">
        <v>101</v>
      </c>
      <c r="G2334" s="63">
        <v>0.27500000000000002</v>
      </c>
    </row>
    <row r="2335" spans="1:7" x14ac:dyDescent="0.2">
      <c r="A2335" t="s">
        <v>71</v>
      </c>
      <c r="B2335" t="s">
        <v>149</v>
      </c>
      <c r="C2335" t="s">
        <v>196</v>
      </c>
      <c r="D2335" t="s">
        <v>74</v>
      </c>
      <c r="E2335" t="s">
        <v>76</v>
      </c>
      <c r="F2335" s="55">
        <v>98</v>
      </c>
      <c r="G2335" s="63">
        <v>3.1E-2</v>
      </c>
    </row>
    <row r="2336" spans="1:7" x14ac:dyDescent="0.2">
      <c r="A2336" t="s">
        <v>71</v>
      </c>
      <c r="B2336" t="s">
        <v>149</v>
      </c>
      <c r="C2336" t="s">
        <v>196</v>
      </c>
      <c r="D2336" t="s">
        <v>74</v>
      </c>
      <c r="E2336" t="s">
        <v>77</v>
      </c>
      <c r="F2336" s="55">
        <v>112</v>
      </c>
      <c r="G2336" s="63">
        <v>0.1095</v>
      </c>
    </row>
    <row r="2337" spans="1:7" x14ac:dyDescent="0.2">
      <c r="A2337" t="s">
        <v>71</v>
      </c>
      <c r="B2337" t="s">
        <v>149</v>
      </c>
      <c r="C2337" t="s">
        <v>196</v>
      </c>
      <c r="D2337" t="s">
        <v>74</v>
      </c>
      <c r="E2337" t="s">
        <v>78</v>
      </c>
      <c r="F2337" s="55">
        <v>113</v>
      </c>
      <c r="G2337" s="63">
        <v>9.5000000000000001E-2</v>
      </c>
    </row>
    <row r="2338" spans="1:7" x14ac:dyDescent="0.2">
      <c r="A2338" t="s">
        <v>71</v>
      </c>
      <c r="B2338" t="s">
        <v>149</v>
      </c>
      <c r="C2338" t="s">
        <v>196</v>
      </c>
      <c r="D2338" t="s">
        <v>74</v>
      </c>
      <c r="E2338" t="s">
        <v>79</v>
      </c>
      <c r="F2338" s="55">
        <v>101</v>
      </c>
      <c r="G2338" s="63">
        <v>0.20419999999999999</v>
      </c>
    </row>
    <row r="2339" spans="1:7" x14ac:dyDescent="0.2">
      <c r="A2339" t="s">
        <v>71</v>
      </c>
      <c r="B2339" t="s">
        <v>149</v>
      </c>
      <c r="C2339" t="s">
        <v>196</v>
      </c>
      <c r="D2339" t="s">
        <v>74</v>
      </c>
      <c r="E2339" t="s">
        <v>80</v>
      </c>
      <c r="F2339" s="55">
        <v>100</v>
      </c>
      <c r="G2339" s="63">
        <v>8.7900000000000006E-2</v>
      </c>
    </row>
    <row r="2340" spans="1:7" x14ac:dyDescent="0.2">
      <c r="A2340" t="s">
        <v>71</v>
      </c>
      <c r="B2340" t="s">
        <v>149</v>
      </c>
      <c r="C2340" t="s">
        <v>196</v>
      </c>
      <c r="D2340" t="s">
        <v>74</v>
      </c>
      <c r="E2340" t="s">
        <v>81</v>
      </c>
      <c r="F2340" s="55">
        <v>100</v>
      </c>
      <c r="G2340" s="63">
        <v>7.4099999999999999E-2</v>
      </c>
    </row>
    <row r="2341" spans="1:7" x14ac:dyDescent="0.2">
      <c r="A2341" t="s">
        <v>71</v>
      </c>
      <c r="B2341" t="s">
        <v>149</v>
      </c>
      <c r="C2341" t="s">
        <v>196</v>
      </c>
      <c r="D2341" t="s">
        <v>74</v>
      </c>
      <c r="E2341" t="s">
        <v>82</v>
      </c>
      <c r="F2341" s="55">
        <v>78</v>
      </c>
      <c r="G2341" s="63">
        <v>0.1341</v>
      </c>
    </row>
    <row r="2342" spans="1:7" x14ac:dyDescent="0.2">
      <c r="A2342" t="s">
        <v>71</v>
      </c>
      <c r="B2342" t="s">
        <v>149</v>
      </c>
      <c r="C2342" t="s">
        <v>196</v>
      </c>
      <c r="D2342" t="s">
        <v>74</v>
      </c>
      <c r="E2342" t="s">
        <v>83</v>
      </c>
      <c r="F2342" s="55">
        <v>104</v>
      </c>
      <c r="G2342" s="63">
        <v>2.93E-2</v>
      </c>
    </row>
    <row r="2343" spans="1:7" x14ac:dyDescent="0.2">
      <c r="A2343" t="s">
        <v>71</v>
      </c>
      <c r="B2343" t="s">
        <v>149</v>
      </c>
      <c r="C2343" t="s">
        <v>196</v>
      </c>
      <c r="D2343" t="s">
        <v>74</v>
      </c>
      <c r="E2343" t="s">
        <v>84</v>
      </c>
      <c r="F2343" s="55">
        <v>114</v>
      </c>
      <c r="G2343" s="63">
        <v>7.7799999999999994E-2</v>
      </c>
    </row>
    <row r="2344" spans="1:7" x14ac:dyDescent="0.2">
      <c r="A2344" t="s">
        <v>71</v>
      </c>
      <c r="B2344" t="s">
        <v>149</v>
      </c>
      <c r="C2344" t="s">
        <v>196</v>
      </c>
      <c r="D2344" t="s">
        <v>74</v>
      </c>
      <c r="E2344" t="s">
        <v>85</v>
      </c>
      <c r="F2344" s="55">
        <v>101</v>
      </c>
      <c r="G2344" s="63">
        <v>9.8299999999999998E-2</v>
      </c>
    </row>
    <row r="2345" spans="1:7" x14ac:dyDescent="0.2">
      <c r="A2345" t="s">
        <v>71</v>
      </c>
      <c r="B2345" t="s">
        <v>149</v>
      </c>
      <c r="C2345" t="s">
        <v>196</v>
      </c>
      <c r="D2345" t="s">
        <v>74</v>
      </c>
      <c r="E2345" t="s">
        <v>86</v>
      </c>
      <c r="F2345" s="55">
        <v>102</v>
      </c>
      <c r="G2345" s="63">
        <v>0.1179</v>
      </c>
    </row>
    <row r="2346" spans="1:7" x14ac:dyDescent="0.2">
      <c r="A2346" t="s">
        <v>71</v>
      </c>
      <c r="B2346" t="s">
        <v>149</v>
      </c>
      <c r="C2346" t="s">
        <v>196</v>
      </c>
      <c r="D2346" t="s">
        <v>74</v>
      </c>
      <c r="E2346" t="s">
        <v>87</v>
      </c>
      <c r="F2346" s="55">
        <v>101</v>
      </c>
      <c r="G2346" s="63">
        <v>0.1275</v>
      </c>
    </row>
    <row r="2347" spans="1:7" x14ac:dyDescent="0.2">
      <c r="A2347" t="s">
        <v>71</v>
      </c>
      <c r="B2347" t="s">
        <v>149</v>
      </c>
      <c r="C2347" t="s">
        <v>196</v>
      </c>
      <c r="D2347" t="s">
        <v>74</v>
      </c>
      <c r="E2347" t="s">
        <v>88</v>
      </c>
      <c r="F2347" s="55">
        <v>94</v>
      </c>
      <c r="G2347" s="63">
        <v>4.9599999999999998E-2</v>
      </c>
    </row>
    <row r="2348" spans="1:7" x14ac:dyDescent="0.2">
      <c r="A2348" t="s">
        <v>89</v>
      </c>
      <c r="B2348" t="s">
        <v>150</v>
      </c>
      <c r="C2348" t="s">
        <v>196</v>
      </c>
      <c r="D2348" t="s">
        <v>74</v>
      </c>
      <c r="E2348" t="s">
        <v>75</v>
      </c>
      <c r="F2348" s="55">
        <v>96</v>
      </c>
      <c r="G2348" s="63">
        <v>4.5400000000000003E-2</v>
      </c>
    </row>
    <row r="2349" spans="1:7" x14ac:dyDescent="0.2">
      <c r="A2349" t="s">
        <v>89</v>
      </c>
      <c r="B2349" t="s">
        <v>150</v>
      </c>
      <c r="C2349" t="s">
        <v>196</v>
      </c>
      <c r="D2349" t="s">
        <v>74</v>
      </c>
      <c r="E2349" t="s">
        <v>76</v>
      </c>
      <c r="F2349" s="55">
        <v>100</v>
      </c>
      <c r="G2349" s="63">
        <v>3.7000000000000002E-3</v>
      </c>
    </row>
    <row r="2350" spans="1:7" x14ac:dyDescent="0.2">
      <c r="A2350" t="s">
        <v>89</v>
      </c>
      <c r="B2350" t="s">
        <v>150</v>
      </c>
      <c r="C2350" t="s">
        <v>196</v>
      </c>
      <c r="D2350" t="s">
        <v>74</v>
      </c>
      <c r="E2350" t="s">
        <v>77</v>
      </c>
      <c r="F2350" s="55">
        <v>85</v>
      </c>
      <c r="G2350" s="63">
        <v>1.06E-2</v>
      </c>
    </row>
    <row r="2351" spans="1:7" x14ac:dyDescent="0.2">
      <c r="A2351" t="s">
        <v>89</v>
      </c>
      <c r="B2351" t="s">
        <v>150</v>
      </c>
      <c r="C2351" t="s">
        <v>196</v>
      </c>
      <c r="D2351" t="s">
        <v>74</v>
      </c>
      <c r="E2351" t="s">
        <v>78</v>
      </c>
      <c r="F2351" s="55">
        <v>88</v>
      </c>
      <c r="G2351" s="63">
        <v>8.3999999999999995E-3</v>
      </c>
    </row>
    <row r="2352" spans="1:7" x14ac:dyDescent="0.2">
      <c r="A2352" t="s">
        <v>89</v>
      </c>
      <c r="B2352" t="s">
        <v>150</v>
      </c>
      <c r="C2352" t="s">
        <v>196</v>
      </c>
      <c r="D2352" t="s">
        <v>74</v>
      </c>
      <c r="E2352" t="s">
        <v>79</v>
      </c>
      <c r="F2352" s="55">
        <v>99</v>
      </c>
      <c r="G2352" s="63">
        <v>2.7199999999999998E-2</v>
      </c>
    </row>
    <row r="2353" spans="1:7" x14ac:dyDescent="0.2">
      <c r="A2353" t="s">
        <v>89</v>
      </c>
      <c r="B2353" t="s">
        <v>150</v>
      </c>
      <c r="C2353" t="s">
        <v>196</v>
      </c>
      <c r="D2353" t="s">
        <v>74</v>
      </c>
      <c r="E2353" t="s">
        <v>80</v>
      </c>
      <c r="F2353" s="55">
        <v>106</v>
      </c>
      <c r="G2353" s="63">
        <v>8.0000000000000002E-3</v>
      </c>
    </row>
    <row r="2354" spans="1:7" x14ac:dyDescent="0.2">
      <c r="A2354" t="s">
        <v>89</v>
      </c>
      <c r="B2354" t="s">
        <v>150</v>
      </c>
      <c r="C2354" t="s">
        <v>196</v>
      </c>
      <c r="D2354" t="s">
        <v>74</v>
      </c>
      <c r="E2354" t="s">
        <v>81</v>
      </c>
      <c r="F2354" s="55">
        <v>96</v>
      </c>
      <c r="G2354" s="63">
        <v>8.3999999999999995E-3</v>
      </c>
    </row>
    <row r="2355" spans="1:7" x14ac:dyDescent="0.2">
      <c r="A2355" t="s">
        <v>89</v>
      </c>
      <c r="B2355" t="s">
        <v>150</v>
      </c>
      <c r="C2355" t="s">
        <v>196</v>
      </c>
      <c r="D2355" t="s">
        <v>74</v>
      </c>
      <c r="E2355" t="s">
        <v>82</v>
      </c>
      <c r="F2355" s="55">
        <v>100</v>
      </c>
      <c r="G2355" s="63">
        <v>1.7500000000000002E-2</v>
      </c>
    </row>
    <row r="2356" spans="1:7" x14ac:dyDescent="0.2">
      <c r="A2356" t="s">
        <v>89</v>
      </c>
      <c r="B2356" t="s">
        <v>150</v>
      </c>
      <c r="C2356" t="s">
        <v>196</v>
      </c>
      <c r="D2356" t="s">
        <v>74</v>
      </c>
      <c r="E2356" t="s">
        <v>83</v>
      </c>
      <c r="F2356" s="55">
        <v>102</v>
      </c>
      <c r="G2356" s="63">
        <v>3.5999999999999999E-3</v>
      </c>
    </row>
    <row r="2357" spans="1:7" x14ac:dyDescent="0.2">
      <c r="A2357" t="s">
        <v>89</v>
      </c>
      <c r="B2357" t="s">
        <v>150</v>
      </c>
      <c r="C2357" t="s">
        <v>196</v>
      </c>
      <c r="D2357" t="s">
        <v>74</v>
      </c>
      <c r="E2357" t="s">
        <v>84</v>
      </c>
      <c r="F2357" s="55">
        <v>84</v>
      </c>
      <c r="G2357" s="63">
        <v>6.1999999999999998E-3</v>
      </c>
    </row>
    <row r="2358" spans="1:7" x14ac:dyDescent="0.2">
      <c r="A2358" t="s">
        <v>89</v>
      </c>
      <c r="B2358" t="s">
        <v>150</v>
      </c>
      <c r="C2358" t="s">
        <v>196</v>
      </c>
      <c r="D2358" t="s">
        <v>74</v>
      </c>
      <c r="E2358" t="s">
        <v>85</v>
      </c>
      <c r="F2358" s="55">
        <v>98</v>
      </c>
      <c r="G2358" s="63">
        <v>8.8999999999999999E-3</v>
      </c>
    </row>
    <row r="2359" spans="1:7" x14ac:dyDescent="0.2">
      <c r="A2359" t="s">
        <v>89</v>
      </c>
      <c r="B2359" t="s">
        <v>150</v>
      </c>
      <c r="C2359" t="s">
        <v>196</v>
      </c>
      <c r="D2359" t="s">
        <v>74</v>
      </c>
      <c r="E2359" t="s">
        <v>86</v>
      </c>
      <c r="F2359" s="55">
        <v>100</v>
      </c>
      <c r="G2359" s="63">
        <v>1.0200000000000001E-2</v>
      </c>
    </row>
    <row r="2360" spans="1:7" x14ac:dyDescent="0.2">
      <c r="A2360" t="s">
        <v>89</v>
      </c>
      <c r="B2360" t="s">
        <v>150</v>
      </c>
      <c r="C2360" t="s">
        <v>196</v>
      </c>
      <c r="D2360" t="s">
        <v>74</v>
      </c>
      <c r="E2360" t="s">
        <v>87</v>
      </c>
      <c r="F2360" s="55">
        <v>99</v>
      </c>
      <c r="G2360" s="63">
        <v>1.15E-2</v>
      </c>
    </row>
    <row r="2361" spans="1:7" x14ac:dyDescent="0.2">
      <c r="A2361" t="s">
        <v>89</v>
      </c>
      <c r="B2361" t="s">
        <v>150</v>
      </c>
      <c r="C2361" t="s">
        <v>196</v>
      </c>
      <c r="D2361" t="s">
        <v>74</v>
      </c>
      <c r="E2361" t="s">
        <v>88</v>
      </c>
      <c r="F2361" s="55">
        <v>103</v>
      </c>
      <c r="G2361" s="63">
        <v>6.3E-3</v>
      </c>
    </row>
    <row r="2362" spans="1:7" x14ac:dyDescent="0.2">
      <c r="A2362" t="s">
        <v>71</v>
      </c>
      <c r="B2362" t="s">
        <v>151</v>
      </c>
      <c r="C2362" t="s">
        <v>196</v>
      </c>
      <c r="D2362" t="s">
        <v>74</v>
      </c>
      <c r="E2362" t="s">
        <v>75</v>
      </c>
      <c r="F2362" s="55">
        <v>113</v>
      </c>
      <c r="G2362" s="63">
        <v>0.1351</v>
      </c>
    </row>
    <row r="2363" spans="1:7" x14ac:dyDescent="0.2">
      <c r="A2363" t="s">
        <v>71</v>
      </c>
      <c r="B2363" t="s">
        <v>151</v>
      </c>
      <c r="C2363" t="s">
        <v>196</v>
      </c>
      <c r="D2363" t="s">
        <v>74</v>
      </c>
      <c r="E2363" t="s">
        <v>76</v>
      </c>
      <c r="F2363" s="55">
        <v>104</v>
      </c>
      <c r="G2363" s="63">
        <v>1.7399999999999999E-2</v>
      </c>
    </row>
    <row r="2364" spans="1:7" x14ac:dyDescent="0.2">
      <c r="A2364" t="s">
        <v>71</v>
      </c>
      <c r="B2364" t="s">
        <v>151</v>
      </c>
      <c r="C2364" t="s">
        <v>196</v>
      </c>
      <c r="D2364" t="s">
        <v>74</v>
      </c>
      <c r="E2364" t="s">
        <v>77</v>
      </c>
      <c r="F2364" s="55">
        <v>114</v>
      </c>
      <c r="G2364" s="63">
        <v>5.5300000000000002E-2</v>
      </c>
    </row>
    <row r="2365" spans="1:7" x14ac:dyDescent="0.2">
      <c r="A2365" t="s">
        <v>71</v>
      </c>
      <c r="B2365" t="s">
        <v>151</v>
      </c>
      <c r="C2365" t="s">
        <v>196</v>
      </c>
      <c r="D2365" t="s">
        <v>74</v>
      </c>
      <c r="E2365" t="s">
        <v>78</v>
      </c>
      <c r="F2365" s="55">
        <v>112</v>
      </c>
      <c r="G2365" s="63">
        <v>4.6699999999999998E-2</v>
      </c>
    </row>
    <row r="2366" spans="1:7" x14ac:dyDescent="0.2">
      <c r="A2366" t="s">
        <v>71</v>
      </c>
      <c r="B2366" t="s">
        <v>151</v>
      </c>
      <c r="C2366" t="s">
        <v>196</v>
      </c>
      <c r="D2366" t="s">
        <v>74</v>
      </c>
      <c r="E2366" t="s">
        <v>79</v>
      </c>
      <c r="F2366" s="55">
        <v>113</v>
      </c>
      <c r="G2366" s="63">
        <v>9.5299999999999996E-2</v>
      </c>
    </row>
    <row r="2367" spans="1:7" x14ac:dyDescent="0.2">
      <c r="A2367" t="s">
        <v>71</v>
      </c>
      <c r="B2367" t="s">
        <v>151</v>
      </c>
      <c r="C2367" t="s">
        <v>196</v>
      </c>
      <c r="D2367" t="s">
        <v>74</v>
      </c>
      <c r="E2367" t="s">
        <v>80</v>
      </c>
      <c r="F2367" s="55">
        <v>118</v>
      </c>
      <c r="G2367" s="63">
        <v>3.7600000000000001E-2</v>
      </c>
    </row>
    <row r="2368" spans="1:7" x14ac:dyDescent="0.2">
      <c r="A2368" t="s">
        <v>71</v>
      </c>
      <c r="B2368" t="s">
        <v>151</v>
      </c>
      <c r="C2368" t="s">
        <v>196</v>
      </c>
      <c r="D2368" t="s">
        <v>74</v>
      </c>
      <c r="E2368" t="s">
        <v>81</v>
      </c>
      <c r="F2368" s="55">
        <v>115</v>
      </c>
      <c r="G2368" s="63">
        <v>3.1899999999999998E-2</v>
      </c>
    </row>
    <row r="2369" spans="1:7" x14ac:dyDescent="0.2">
      <c r="A2369" t="s">
        <v>71</v>
      </c>
      <c r="B2369" t="s">
        <v>151</v>
      </c>
      <c r="C2369" t="s">
        <v>196</v>
      </c>
      <c r="D2369" t="s">
        <v>74</v>
      </c>
      <c r="E2369" t="s">
        <v>82</v>
      </c>
      <c r="F2369" s="55">
        <v>111</v>
      </c>
      <c r="G2369" s="63">
        <v>7.2099999999999997E-2</v>
      </c>
    </row>
    <row r="2370" spans="1:7" x14ac:dyDescent="0.2">
      <c r="A2370" t="s">
        <v>71</v>
      </c>
      <c r="B2370" t="s">
        <v>151</v>
      </c>
      <c r="C2370" t="s">
        <v>196</v>
      </c>
      <c r="D2370" t="s">
        <v>74</v>
      </c>
      <c r="E2370" t="s">
        <v>83</v>
      </c>
      <c r="F2370" s="55">
        <v>113</v>
      </c>
      <c r="G2370" s="63">
        <v>1.43E-2</v>
      </c>
    </row>
    <row r="2371" spans="1:7" x14ac:dyDescent="0.2">
      <c r="A2371" t="s">
        <v>71</v>
      </c>
      <c r="B2371" t="s">
        <v>151</v>
      </c>
      <c r="C2371" t="s">
        <v>196</v>
      </c>
      <c r="D2371" t="s">
        <v>74</v>
      </c>
      <c r="E2371" t="s">
        <v>84</v>
      </c>
      <c r="F2371" s="55">
        <v>112</v>
      </c>
      <c r="G2371" s="63">
        <v>3.7999999999999999E-2</v>
      </c>
    </row>
    <row r="2372" spans="1:7" x14ac:dyDescent="0.2">
      <c r="A2372" t="s">
        <v>71</v>
      </c>
      <c r="B2372" t="s">
        <v>151</v>
      </c>
      <c r="C2372" t="s">
        <v>196</v>
      </c>
      <c r="D2372" t="s">
        <v>74</v>
      </c>
      <c r="E2372" t="s">
        <v>85</v>
      </c>
      <c r="F2372" s="55">
        <v>111</v>
      </c>
      <c r="G2372" s="63">
        <v>4.4499999999999998E-2</v>
      </c>
    </row>
    <row r="2373" spans="1:7" x14ac:dyDescent="0.2">
      <c r="A2373" t="s">
        <v>71</v>
      </c>
      <c r="B2373" t="s">
        <v>151</v>
      </c>
      <c r="C2373" t="s">
        <v>196</v>
      </c>
      <c r="D2373" t="s">
        <v>74</v>
      </c>
      <c r="E2373" t="s">
        <v>86</v>
      </c>
      <c r="F2373" s="55">
        <v>114</v>
      </c>
      <c r="G2373" s="63">
        <v>5.3900000000000003E-2</v>
      </c>
    </row>
    <row r="2374" spans="1:7" x14ac:dyDescent="0.2">
      <c r="A2374" t="s">
        <v>71</v>
      </c>
      <c r="B2374" t="s">
        <v>151</v>
      </c>
      <c r="C2374" t="s">
        <v>196</v>
      </c>
      <c r="D2374" t="s">
        <v>74</v>
      </c>
      <c r="E2374" t="s">
        <v>87</v>
      </c>
      <c r="F2374" s="55">
        <v>117</v>
      </c>
      <c r="G2374" s="63">
        <v>5.74E-2</v>
      </c>
    </row>
    <row r="2375" spans="1:7" x14ac:dyDescent="0.2">
      <c r="A2375" t="s">
        <v>71</v>
      </c>
      <c r="B2375" t="s">
        <v>151</v>
      </c>
      <c r="C2375" t="s">
        <v>196</v>
      </c>
      <c r="D2375" t="s">
        <v>74</v>
      </c>
      <c r="E2375" t="s">
        <v>88</v>
      </c>
      <c r="F2375" s="55">
        <v>110</v>
      </c>
      <c r="G2375" s="63">
        <v>2.92E-2</v>
      </c>
    </row>
    <row r="2376" spans="1:7" x14ac:dyDescent="0.2">
      <c r="A2376" t="s">
        <v>71</v>
      </c>
      <c r="B2376" t="s">
        <v>152</v>
      </c>
      <c r="C2376" t="s">
        <v>196</v>
      </c>
      <c r="D2376" t="s">
        <v>74</v>
      </c>
      <c r="E2376" t="s">
        <v>75</v>
      </c>
      <c r="F2376" s="55">
        <v>101</v>
      </c>
      <c r="G2376" s="63">
        <v>0.27050000000000002</v>
      </c>
    </row>
    <row r="2377" spans="1:7" x14ac:dyDescent="0.2">
      <c r="A2377" t="s">
        <v>71</v>
      </c>
      <c r="B2377" t="s">
        <v>152</v>
      </c>
      <c r="C2377" t="s">
        <v>196</v>
      </c>
      <c r="D2377" t="s">
        <v>74</v>
      </c>
      <c r="E2377" t="s">
        <v>76</v>
      </c>
      <c r="F2377" s="55">
        <v>98</v>
      </c>
      <c r="G2377" s="63">
        <v>9.1700000000000004E-2</v>
      </c>
    </row>
    <row r="2378" spans="1:7" x14ac:dyDescent="0.2">
      <c r="A2378" t="s">
        <v>71</v>
      </c>
      <c r="B2378" t="s">
        <v>152</v>
      </c>
      <c r="C2378" t="s">
        <v>196</v>
      </c>
      <c r="D2378" t="s">
        <v>74</v>
      </c>
      <c r="E2378" t="s">
        <v>77</v>
      </c>
      <c r="F2378" s="55">
        <v>102</v>
      </c>
      <c r="G2378" s="63">
        <v>0.16389999999999999</v>
      </c>
    </row>
    <row r="2379" spans="1:7" x14ac:dyDescent="0.2">
      <c r="A2379" t="s">
        <v>71</v>
      </c>
      <c r="B2379" t="s">
        <v>152</v>
      </c>
      <c r="C2379" t="s">
        <v>196</v>
      </c>
      <c r="D2379" t="s">
        <v>74</v>
      </c>
      <c r="E2379" t="s">
        <v>78</v>
      </c>
      <c r="F2379" s="55">
        <v>103</v>
      </c>
      <c r="G2379" s="63">
        <v>0.1467</v>
      </c>
    </row>
    <row r="2380" spans="1:7" x14ac:dyDescent="0.2">
      <c r="A2380" t="s">
        <v>71</v>
      </c>
      <c r="B2380" t="s">
        <v>152</v>
      </c>
      <c r="C2380" t="s">
        <v>196</v>
      </c>
      <c r="D2380" t="s">
        <v>74</v>
      </c>
      <c r="E2380" t="s">
        <v>79</v>
      </c>
      <c r="F2380" s="55">
        <v>101</v>
      </c>
      <c r="G2380" s="63">
        <v>0.2072</v>
      </c>
    </row>
    <row r="2381" spans="1:7" x14ac:dyDescent="0.2">
      <c r="A2381" t="s">
        <v>71</v>
      </c>
      <c r="B2381" t="s">
        <v>152</v>
      </c>
      <c r="C2381" t="s">
        <v>196</v>
      </c>
      <c r="D2381" t="s">
        <v>74</v>
      </c>
      <c r="E2381" t="s">
        <v>80</v>
      </c>
      <c r="F2381" s="55">
        <v>100</v>
      </c>
      <c r="G2381" s="63">
        <v>0.1192</v>
      </c>
    </row>
    <row r="2382" spans="1:7" x14ac:dyDescent="0.2">
      <c r="A2382" t="s">
        <v>71</v>
      </c>
      <c r="B2382" t="s">
        <v>152</v>
      </c>
      <c r="C2382" t="s">
        <v>196</v>
      </c>
      <c r="D2382" t="s">
        <v>74</v>
      </c>
      <c r="E2382" t="s">
        <v>81</v>
      </c>
      <c r="F2382" s="55">
        <v>98</v>
      </c>
      <c r="G2382" s="63">
        <v>0.10539999999999999</v>
      </c>
    </row>
    <row r="2383" spans="1:7" x14ac:dyDescent="0.2">
      <c r="A2383" t="s">
        <v>71</v>
      </c>
      <c r="B2383" t="s">
        <v>152</v>
      </c>
      <c r="C2383" t="s">
        <v>196</v>
      </c>
      <c r="D2383" t="s">
        <v>74</v>
      </c>
      <c r="E2383" t="s">
        <v>82</v>
      </c>
      <c r="F2383" s="55">
        <v>100</v>
      </c>
      <c r="G2383" s="63">
        <v>0.1754</v>
      </c>
    </row>
    <row r="2384" spans="1:7" x14ac:dyDescent="0.2">
      <c r="A2384" t="s">
        <v>71</v>
      </c>
      <c r="B2384" t="s">
        <v>152</v>
      </c>
      <c r="C2384" t="s">
        <v>196</v>
      </c>
      <c r="D2384" t="s">
        <v>74</v>
      </c>
      <c r="E2384" t="s">
        <v>83</v>
      </c>
      <c r="F2384" s="55">
        <v>96</v>
      </c>
      <c r="G2384" s="63">
        <v>6.6900000000000001E-2</v>
      </c>
    </row>
    <row r="2385" spans="1:7" x14ac:dyDescent="0.2">
      <c r="A2385" t="s">
        <v>71</v>
      </c>
      <c r="B2385" t="s">
        <v>152</v>
      </c>
      <c r="C2385" t="s">
        <v>196</v>
      </c>
      <c r="D2385" t="s">
        <v>74</v>
      </c>
      <c r="E2385" t="s">
        <v>84</v>
      </c>
      <c r="F2385" s="55">
        <v>103</v>
      </c>
      <c r="G2385" s="63">
        <v>0.1338</v>
      </c>
    </row>
    <row r="2386" spans="1:7" x14ac:dyDescent="0.2">
      <c r="A2386" t="s">
        <v>71</v>
      </c>
      <c r="B2386" t="s">
        <v>152</v>
      </c>
      <c r="C2386" t="s">
        <v>196</v>
      </c>
      <c r="D2386" t="s">
        <v>74</v>
      </c>
      <c r="E2386" t="s">
        <v>85</v>
      </c>
      <c r="F2386" s="55">
        <v>101</v>
      </c>
      <c r="G2386" s="63">
        <v>0.13519999999999999</v>
      </c>
    </row>
    <row r="2387" spans="1:7" x14ac:dyDescent="0.2">
      <c r="A2387" t="s">
        <v>71</v>
      </c>
      <c r="B2387" t="s">
        <v>152</v>
      </c>
      <c r="C2387" t="s">
        <v>196</v>
      </c>
      <c r="D2387" t="s">
        <v>74</v>
      </c>
      <c r="E2387" t="s">
        <v>86</v>
      </c>
      <c r="F2387" s="55">
        <v>102</v>
      </c>
      <c r="G2387" s="63">
        <v>0.1434</v>
      </c>
    </row>
    <row r="2388" spans="1:7" x14ac:dyDescent="0.2">
      <c r="A2388" t="s">
        <v>71</v>
      </c>
      <c r="B2388" t="s">
        <v>152</v>
      </c>
      <c r="C2388" t="s">
        <v>196</v>
      </c>
      <c r="D2388" t="s">
        <v>74</v>
      </c>
      <c r="E2388" t="s">
        <v>87</v>
      </c>
      <c r="F2388" s="55">
        <v>102</v>
      </c>
      <c r="G2388" s="63">
        <v>0.1492</v>
      </c>
    </row>
    <row r="2389" spans="1:7" x14ac:dyDescent="0.2">
      <c r="A2389" t="s">
        <v>71</v>
      </c>
      <c r="B2389" t="s">
        <v>152</v>
      </c>
      <c r="C2389" t="s">
        <v>196</v>
      </c>
      <c r="D2389" t="s">
        <v>74</v>
      </c>
      <c r="E2389" t="s">
        <v>88</v>
      </c>
      <c r="F2389" s="55">
        <v>98</v>
      </c>
      <c r="G2389" s="63">
        <v>0.112</v>
      </c>
    </row>
    <row r="2390" spans="1:7" x14ac:dyDescent="0.2">
      <c r="A2390" t="s">
        <v>71</v>
      </c>
      <c r="B2390" t="s">
        <v>153</v>
      </c>
      <c r="C2390" t="s">
        <v>196</v>
      </c>
      <c r="D2390" t="s">
        <v>74</v>
      </c>
      <c r="E2390" t="s">
        <v>75</v>
      </c>
      <c r="F2390" s="55">
        <v>94</v>
      </c>
      <c r="G2390" s="63">
        <v>0.1057</v>
      </c>
    </row>
    <row r="2391" spans="1:7" x14ac:dyDescent="0.2">
      <c r="A2391" t="s">
        <v>71</v>
      </c>
      <c r="B2391" t="s">
        <v>153</v>
      </c>
      <c r="C2391" t="s">
        <v>196</v>
      </c>
      <c r="D2391" t="s">
        <v>74</v>
      </c>
      <c r="E2391" t="s">
        <v>76</v>
      </c>
      <c r="F2391" s="55">
        <v>81</v>
      </c>
      <c r="G2391" s="63">
        <v>1.04E-2</v>
      </c>
    </row>
    <row r="2392" spans="1:7" x14ac:dyDescent="0.2">
      <c r="A2392" t="s">
        <v>71</v>
      </c>
      <c r="B2392" t="s">
        <v>153</v>
      </c>
      <c r="C2392" t="s">
        <v>196</v>
      </c>
      <c r="D2392" t="s">
        <v>74</v>
      </c>
      <c r="E2392" t="s">
        <v>77</v>
      </c>
      <c r="F2392" s="55">
        <v>105</v>
      </c>
      <c r="G2392" s="63">
        <v>4.3499999999999997E-2</v>
      </c>
    </row>
    <row r="2393" spans="1:7" x14ac:dyDescent="0.2">
      <c r="A2393" t="s">
        <v>71</v>
      </c>
      <c r="B2393" t="s">
        <v>153</v>
      </c>
      <c r="C2393" t="s">
        <v>196</v>
      </c>
      <c r="D2393" t="s">
        <v>74</v>
      </c>
      <c r="E2393" t="s">
        <v>78</v>
      </c>
      <c r="F2393" s="55">
        <v>95</v>
      </c>
      <c r="G2393" s="63">
        <v>3.7999999999999999E-2</v>
      </c>
    </row>
    <row r="2394" spans="1:7" x14ac:dyDescent="0.2">
      <c r="A2394" t="s">
        <v>71</v>
      </c>
      <c r="B2394" t="s">
        <v>153</v>
      </c>
      <c r="C2394" t="s">
        <v>196</v>
      </c>
      <c r="D2394" t="s">
        <v>74</v>
      </c>
      <c r="E2394" t="s">
        <v>79</v>
      </c>
      <c r="F2394" s="55">
        <v>87</v>
      </c>
      <c r="G2394" s="63">
        <v>6.7500000000000004E-2</v>
      </c>
    </row>
    <row r="2395" spans="1:7" x14ac:dyDescent="0.2">
      <c r="A2395" t="s">
        <v>71</v>
      </c>
      <c r="B2395" t="s">
        <v>153</v>
      </c>
      <c r="C2395" t="s">
        <v>196</v>
      </c>
      <c r="D2395" t="s">
        <v>74</v>
      </c>
      <c r="E2395" t="s">
        <v>80</v>
      </c>
      <c r="F2395" s="55">
        <v>88</v>
      </c>
      <c r="G2395" s="63">
        <v>1.8800000000000001E-2</v>
      </c>
    </row>
    <row r="2396" spans="1:7" x14ac:dyDescent="0.2">
      <c r="A2396" t="s">
        <v>71</v>
      </c>
      <c r="B2396" t="s">
        <v>153</v>
      </c>
      <c r="C2396" t="s">
        <v>196</v>
      </c>
      <c r="D2396" t="s">
        <v>74</v>
      </c>
      <c r="E2396" t="s">
        <v>81</v>
      </c>
      <c r="F2396" s="55">
        <v>89</v>
      </c>
      <c r="G2396" s="63">
        <v>1.8200000000000001E-2</v>
      </c>
    </row>
    <row r="2397" spans="1:7" x14ac:dyDescent="0.2">
      <c r="A2397" t="s">
        <v>71</v>
      </c>
      <c r="B2397" t="s">
        <v>153</v>
      </c>
      <c r="C2397" t="s">
        <v>196</v>
      </c>
      <c r="D2397" t="s">
        <v>74</v>
      </c>
      <c r="E2397" t="s">
        <v>82</v>
      </c>
      <c r="F2397" s="55">
        <v>90</v>
      </c>
      <c r="G2397" s="63">
        <v>5.21E-2</v>
      </c>
    </row>
    <row r="2398" spans="1:7" x14ac:dyDescent="0.2">
      <c r="A2398" t="s">
        <v>71</v>
      </c>
      <c r="B2398" t="s">
        <v>153</v>
      </c>
      <c r="C2398" t="s">
        <v>196</v>
      </c>
      <c r="D2398" t="s">
        <v>74</v>
      </c>
      <c r="E2398" t="s">
        <v>83</v>
      </c>
      <c r="F2398" s="55">
        <v>85</v>
      </c>
      <c r="G2398" s="63">
        <v>8.2000000000000007E-3</v>
      </c>
    </row>
    <row r="2399" spans="1:7" x14ac:dyDescent="0.2">
      <c r="A2399" t="s">
        <v>71</v>
      </c>
      <c r="B2399" t="s">
        <v>153</v>
      </c>
      <c r="C2399" t="s">
        <v>196</v>
      </c>
      <c r="D2399" t="s">
        <v>74</v>
      </c>
      <c r="E2399" t="s">
        <v>84</v>
      </c>
      <c r="F2399" s="55">
        <v>96</v>
      </c>
      <c r="G2399" s="63">
        <v>3.1699999999999999E-2</v>
      </c>
    </row>
    <row r="2400" spans="1:7" x14ac:dyDescent="0.2">
      <c r="A2400" t="s">
        <v>71</v>
      </c>
      <c r="B2400" t="s">
        <v>153</v>
      </c>
      <c r="C2400" t="s">
        <v>196</v>
      </c>
      <c r="D2400" t="s">
        <v>74</v>
      </c>
      <c r="E2400" t="s">
        <v>85</v>
      </c>
      <c r="F2400" s="55">
        <v>88</v>
      </c>
      <c r="G2400" s="63">
        <v>2.1100000000000001E-2</v>
      </c>
    </row>
    <row r="2401" spans="1:7" x14ac:dyDescent="0.2">
      <c r="A2401" t="s">
        <v>71</v>
      </c>
      <c r="B2401" t="s">
        <v>153</v>
      </c>
      <c r="C2401" t="s">
        <v>196</v>
      </c>
      <c r="D2401" t="s">
        <v>74</v>
      </c>
      <c r="E2401" t="s">
        <v>86</v>
      </c>
      <c r="F2401" s="55">
        <v>87</v>
      </c>
      <c r="G2401" s="63">
        <v>2.8799999999999999E-2</v>
      </c>
    </row>
    <row r="2402" spans="1:7" x14ac:dyDescent="0.2">
      <c r="A2402" t="s">
        <v>71</v>
      </c>
      <c r="B2402" t="s">
        <v>153</v>
      </c>
      <c r="C2402" t="s">
        <v>196</v>
      </c>
      <c r="D2402" t="s">
        <v>74</v>
      </c>
      <c r="E2402" t="s">
        <v>87</v>
      </c>
      <c r="F2402" s="55">
        <v>84</v>
      </c>
      <c r="G2402" s="63">
        <v>3.4099999999999998E-2</v>
      </c>
    </row>
    <row r="2403" spans="1:7" x14ac:dyDescent="0.2">
      <c r="A2403" t="s">
        <v>71</v>
      </c>
      <c r="B2403" t="s">
        <v>153</v>
      </c>
      <c r="C2403" t="s">
        <v>196</v>
      </c>
      <c r="D2403" t="s">
        <v>74</v>
      </c>
      <c r="E2403" t="s">
        <v>88</v>
      </c>
      <c r="F2403" s="55">
        <v>83</v>
      </c>
      <c r="G2403" s="63">
        <v>1.5900000000000001E-2</v>
      </c>
    </row>
    <row r="2404" spans="1:7" x14ac:dyDescent="0.2">
      <c r="A2404" t="s">
        <v>89</v>
      </c>
      <c r="B2404" t="s">
        <v>154</v>
      </c>
      <c r="C2404" t="s">
        <v>196</v>
      </c>
      <c r="D2404" t="s">
        <v>74</v>
      </c>
      <c r="E2404" t="s">
        <v>75</v>
      </c>
      <c r="F2404" s="55">
        <v>105</v>
      </c>
      <c r="G2404" s="63">
        <v>0.16650000000000001</v>
      </c>
    </row>
    <row r="2405" spans="1:7" x14ac:dyDescent="0.2">
      <c r="A2405" t="s">
        <v>89</v>
      </c>
      <c r="B2405" t="s">
        <v>154</v>
      </c>
      <c r="C2405" t="s">
        <v>196</v>
      </c>
      <c r="D2405" t="s">
        <v>74</v>
      </c>
      <c r="E2405" t="s">
        <v>76</v>
      </c>
      <c r="F2405" s="55">
        <v>101</v>
      </c>
      <c r="G2405" s="63">
        <v>2.5000000000000001E-2</v>
      </c>
    </row>
    <row r="2406" spans="1:7" x14ac:dyDescent="0.2">
      <c r="A2406" t="s">
        <v>89</v>
      </c>
      <c r="B2406" t="s">
        <v>154</v>
      </c>
      <c r="C2406" t="s">
        <v>196</v>
      </c>
      <c r="D2406" t="s">
        <v>74</v>
      </c>
      <c r="E2406" t="s">
        <v>77</v>
      </c>
      <c r="F2406" s="55">
        <v>112</v>
      </c>
      <c r="G2406" s="63">
        <v>6.8099999999999994E-2</v>
      </c>
    </row>
    <row r="2407" spans="1:7" x14ac:dyDescent="0.2">
      <c r="A2407" t="s">
        <v>89</v>
      </c>
      <c r="B2407" t="s">
        <v>154</v>
      </c>
      <c r="C2407" t="s">
        <v>196</v>
      </c>
      <c r="D2407" t="s">
        <v>74</v>
      </c>
      <c r="E2407" t="s">
        <v>78</v>
      </c>
      <c r="F2407" s="55">
        <v>102</v>
      </c>
      <c r="G2407" s="63">
        <v>0.06</v>
      </c>
    </row>
    <row r="2408" spans="1:7" x14ac:dyDescent="0.2">
      <c r="A2408" t="s">
        <v>89</v>
      </c>
      <c r="B2408" t="s">
        <v>154</v>
      </c>
      <c r="C2408" t="s">
        <v>196</v>
      </c>
      <c r="D2408" t="s">
        <v>74</v>
      </c>
      <c r="E2408" t="s">
        <v>79</v>
      </c>
      <c r="F2408" s="55">
        <v>104</v>
      </c>
      <c r="G2408" s="63">
        <v>0.1202</v>
      </c>
    </row>
    <row r="2409" spans="1:7" x14ac:dyDescent="0.2">
      <c r="A2409" t="s">
        <v>89</v>
      </c>
      <c r="B2409" t="s">
        <v>154</v>
      </c>
      <c r="C2409" t="s">
        <v>196</v>
      </c>
      <c r="D2409" t="s">
        <v>74</v>
      </c>
      <c r="E2409" t="s">
        <v>80</v>
      </c>
      <c r="F2409" s="55">
        <v>102</v>
      </c>
      <c r="G2409" s="63">
        <v>4.7100000000000003E-2</v>
      </c>
    </row>
    <row r="2410" spans="1:7" x14ac:dyDescent="0.2">
      <c r="A2410" t="s">
        <v>89</v>
      </c>
      <c r="B2410" t="s">
        <v>154</v>
      </c>
      <c r="C2410" t="s">
        <v>196</v>
      </c>
      <c r="D2410" t="s">
        <v>74</v>
      </c>
      <c r="E2410" t="s">
        <v>81</v>
      </c>
      <c r="F2410" s="55">
        <v>102</v>
      </c>
      <c r="G2410" s="63">
        <v>4.2200000000000001E-2</v>
      </c>
    </row>
    <row r="2411" spans="1:7" x14ac:dyDescent="0.2">
      <c r="A2411" t="s">
        <v>89</v>
      </c>
      <c r="B2411" t="s">
        <v>154</v>
      </c>
      <c r="C2411" t="s">
        <v>196</v>
      </c>
      <c r="D2411" t="s">
        <v>74</v>
      </c>
      <c r="E2411" t="s">
        <v>82</v>
      </c>
      <c r="F2411" s="55">
        <v>103</v>
      </c>
      <c r="G2411" s="63">
        <v>9.0399999999999994E-2</v>
      </c>
    </row>
    <row r="2412" spans="1:7" x14ac:dyDescent="0.2">
      <c r="A2412" t="s">
        <v>89</v>
      </c>
      <c r="B2412" t="s">
        <v>154</v>
      </c>
      <c r="C2412" t="s">
        <v>196</v>
      </c>
      <c r="D2412" t="s">
        <v>74</v>
      </c>
      <c r="E2412" t="s">
        <v>83</v>
      </c>
      <c r="F2412" s="55">
        <v>101</v>
      </c>
      <c r="G2412" s="63">
        <v>2.1000000000000001E-2</v>
      </c>
    </row>
    <row r="2413" spans="1:7" x14ac:dyDescent="0.2">
      <c r="A2413" t="s">
        <v>89</v>
      </c>
      <c r="B2413" t="s">
        <v>154</v>
      </c>
      <c r="C2413" t="s">
        <v>196</v>
      </c>
      <c r="D2413" t="s">
        <v>74</v>
      </c>
      <c r="E2413" t="s">
        <v>84</v>
      </c>
      <c r="F2413" s="55">
        <v>104</v>
      </c>
      <c r="G2413" s="63">
        <v>4.8899999999999999E-2</v>
      </c>
    </row>
    <row r="2414" spans="1:7" x14ac:dyDescent="0.2">
      <c r="A2414" t="s">
        <v>89</v>
      </c>
      <c r="B2414" t="s">
        <v>154</v>
      </c>
      <c r="C2414" t="s">
        <v>196</v>
      </c>
      <c r="D2414" t="s">
        <v>74</v>
      </c>
      <c r="E2414" t="s">
        <v>85</v>
      </c>
      <c r="F2414" s="55">
        <v>103</v>
      </c>
      <c r="G2414" s="63">
        <v>5.33E-2</v>
      </c>
    </row>
    <row r="2415" spans="1:7" x14ac:dyDescent="0.2">
      <c r="A2415" t="s">
        <v>89</v>
      </c>
      <c r="B2415" t="s">
        <v>154</v>
      </c>
      <c r="C2415" t="s">
        <v>196</v>
      </c>
      <c r="D2415" t="s">
        <v>74</v>
      </c>
      <c r="E2415" t="s">
        <v>86</v>
      </c>
      <c r="F2415" s="55">
        <v>105</v>
      </c>
      <c r="G2415" s="63">
        <v>6.3299999999999995E-2</v>
      </c>
    </row>
    <row r="2416" spans="1:7" x14ac:dyDescent="0.2">
      <c r="A2416" t="s">
        <v>89</v>
      </c>
      <c r="B2416" t="s">
        <v>154</v>
      </c>
      <c r="C2416" t="s">
        <v>196</v>
      </c>
      <c r="D2416" t="s">
        <v>74</v>
      </c>
      <c r="E2416" t="s">
        <v>87</v>
      </c>
      <c r="F2416" s="55">
        <v>104</v>
      </c>
      <c r="G2416" s="63">
        <v>7.1099999999999997E-2</v>
      </c>
    </row>
    <row r="2417" spans="1:7" x14ac:dyDescent="0.2">
      <c r="A2417" t="s">
        <v>89</v>
      </c>
      <c r="B2417" t="s">
        <v>154</v>
      </c>
      <c r="C2417" t="s">
        <v>196</v>
      </c>
      <c r="D2417" t="s">
        <v>74</v>
      </c>
      <c r="E2417" t="s">
        <v>88</v>
      </c>
      <c r="F2417" s="55">
        <v>101</v>
      </c>
      <c r="G2417" s="63">
        <v>0.04</v>
      </c>
    </row>
    <row r="2418" spans="1:7" x14ac:dyDescent="0.2">
      <c r="A2418" t="s">
        <v>71</v>
      </c>
      <c r="B2418" t="s">
        <v>155</v>
      </c>
      <c r="C2418" t="s">
        <v>196</v>
      </c>
      <c r="D2418" t="s">
        <v>74</v>
      </c>
      <c r="E2418" t="s">
        <v>75</v>
      </c>
      <c r="F2418" s="55">
        <v>90</v>
      </c>
      <c r="G2418" s="63">
        <v>0.19750000000000001</v>
      </c>
    </row>
    <row r="2419" spans="1:7" x14ac:dyDescent="0.2">
      <c r="A2419" t="s">
        <v>71</v>
      </c>
      <c r="B2419" t="s">
        <v>155</v>
      </c>
      <c r="C2419" t="s">
        <v>196</v>
      </c>
      <c r="D2419" t="s">
        <v>74</v>
      </c>
      <c r="E2419" t="s">
        <v>76</v>
      </c>
      <c r="F2419" s="55">
        <v>95</v>
      </c>
      <c r="G2419" s="63">
        <v>1.8599999999999998E-2</v>
      </c>
    </row>
    <row r="2420" spans="1:7" x14ac:dyDescent="0.2">
      <c r="A2420" t="s">
        <v>71</v>
      </c>
      <c r="B2420" t="s">
        <v>155</v>
      </c>
      <c r="C2420" t="s">
        <v>196</v>
      </c>
      <c r="D2420" t="s">
        <v>74</v>
      </c>
      <c r="E2420" t="s">
        <v>77</v>
      </c>
      <c r="F2420" s="55">
        <v>96</v>
      </c>
      <c r="G2420" s="63">
        <v>5.6300000000000003E-2</v>
      </c>
    </row>
    <row r="2421" spans="1:7" x14ac:dyDescent="0.2">
      <c r="A2421" t="s">
        <v>71</v>
      </c>
      <c r="B2421" t="s">
        <v>155</v>
      </c>
      <c r="C2421" t="s">
        <v>196</v>
      </c>
      <c r="D2421" t="s">
        <v>74</v>
      </c>
      <c r="E2421" t="s">
        <v>78</v>
      </c>
      <c r="F2421" s="55">
        <v>94</v>
      </c>
      <c r="G2421" s="63">
        <v>5.3800000000000001E-2</v>
      </c>
    </row>
    <row r="2422" spans="1:7" x14ac:dyDescent="0.2">
      <c r="A2422" t="s">
        <v>71</v>
      </c>
      <c r="B2422" t="s">
        <v>155</v>
      </c>
      <c r="C2422" t="s">
        <v>196</v>
      </c>
      <c r="D2422" t="s">
        <v>74</v>
      </c>
      <c r="E2422" t="s">
        <v>79</v>
      </c>
      <c r="F2422" s="55">
        <v>80</v>
      </c>
      <c r="G2422" s="63">
        <v>0.1404</v>
      </c>
    </row>
    <row r="2423" spans="1:7" x14ac:dyDescent="0.2">
      <c r="A2423" t="s">
        <v>71</v>
      </c>
      <c r="B2423" t="s">
        <v>155</v>
      </c>
      <c r="C2423" t="s">
        <v>196</v>
      </c>
      <c r="D2423" t="s">
        <v>74</v>
      </c>
      <c r="E2423" t="s">
        <v>80</v>
      </c>
      <c r="F2423" s="55">
        <v>81</v>
      </c>
      <c r="G2423" s="63">
        <v>5.0299999999999997E-2</v>
      </c>
    </row>
    <row r="2424" spans="1:7" x14ac:dyDescent="0.2">
      <c r="A2424" t="s">
        <v>71</v>
      </c>
      <c r="B2424" t="s">
        <v>155</v>
      </c>
      <c r="C2424" t="s">
        <v>196</v>
      </c>
      <c r="D2424" t="s">
        <v>74</v>
      </c>
      <c r="E2424" t="s">
        <v>81</v>
      </c>
      <c r="F2424" s="55">
        <v>89</v>
      </c>
      <c r="G2424" s="63">
        <v>4.5100000000000001E-2</v>
      </c>
    </row>
    <row r="2425" spans="1:7" x14ac:dyDescent="0.2">
      <c r="A2425" t="s">
        <v>71</v>
      </c>
      <c r="B2425" t="s">
        <v>155</v>
      </c>
      <c r="C2425" t="s">
        <v>196</v>
      </c>
      <c r="D2425" t="s">
        <v>74</v>
      </c>
      <c r="E2425" t="s">
        <v>82</v>
      </c>
      <c r="F2425" s="55">
        <v>99</v>
      </c>
      <c r="G2425" s="63">
        <v>9.06E-2</v>
      </c>
    </row>
    <row r="2426" spans="1:7" x14ac:dyDescent="0.2">
      <c r="A2426" t="s">
        <v>71</v>
      </c>
      <c r="B2426" t="s">
        <v>155</v>
      </c>
      <c r="C2426" t="s">
        <v>196</v>
      </c>
      <c r="D2426" t="s">
        <v>74</v>
      </c>
      <c r="E2426" t="s">
        <v>83</v>
      </c>
      <c r="F2426" s="55">
        <v>94</v>
      </c>
      <c r="G2426" s="63">
        <v>1.8100000000000002E-2</v>
      </c>
    </row>
    <row r="2427" spans="1:7" x14ac:dyDescent="0.2">
      <c r="A2427" t="s">
        <v>71</v>
      </c>
      <c r="B2427" t="s">
        <v>155</v>
      </c>
      <c r="C2427" t="s">
        <v>196</v>
      </c>
      <c r="D2427" t="s">
        <v>74</v>
      </c>
      <c r="E2427" t="s">
        <v>84</v>
      </c>
      <c r="F2427" s="55">
        <v>96</v>
      </c>
      <c r="G2427" s="63">
        <v>4.1700000000000001E-2</v>
      </c>
    </row>
    <row r="2428" spans="1:7" x14ac:dyDescent="0.2">
      <c r="A2428" t="s">
        <v>71</v>
      </c>
      <c r="B2428" t="s">
        <v>155</v>
      </c>
      <c r="C2428" t="s">
        <v>196</v>
      </c>
      <c r="D2428" t="s">
        <v>74</v>
      </c>
      <c r="E2428" t="s">
        <v>85</v>
      </c>
      <c r="F2428" s="55">
        <v>79</v>
      </c>
      <c r="G2428" s="63">
        <v>5.4800000000000001E-2</v>
      </c>
    </row>
    <row r="2429" spans="1:7" x14ac:dyDescent="0.2">
      <c r="A2429" t="s">
        <v>71</v>
      </c>
      <c r="B2429" t="s">
        <v>155</v>
      </c>
      <c r="C2429" t="s">
        <v>196</v>
      </c>
      <c r="D2429" t="s">
        <v>74</v>
      </c>
      <c r="E2429" t="s">
        <v>86</v>
      </c>
      <c r="F2429" s="55">
        <v>79</v>
      </c>
      <c r="G2429" s="63">
        <v>6.2799999999999995E-2</v>
      </c>
    </row>
    <row r="2430" spans="1:7" x14ac:dyDescent="0.2">
      <c r="A2430" t="s">
        <v>71</v>
      </c>
      <c r="B2430" t="s">
        <v>155</v>
      </c>
      <c r="C2430" t="s">
        <v>196</v>
      </c>
      <c r="D2430" t="s">
        <v>74</v>
      </c>
      <c r="E2430" t="s">
        <v>87</v>
      </c>
      <c r="F2430" s="55">
        <v>79</v>
      </c>
      <c r="G2430" s="63">
        <v>7.2099999999999997E-2</v>
      </c>
    </row>
    <row r="2431" spans="1:7" x14ac:dyDescent="0.2">
      <c r="A2431" t="s">
        <v>71</v>
      </c>
      <c r="B2431" t="s">
        <v>155</v>
      </c>
      <c r="C2431" t="s">
        <v>196</v>
      </c>
      <c r="D2431" t="s">
        <v>74</v>
      </c>
      <c r="E2431" t="s">
        <v>88</v>
      </c>
      <c r="F2431" s="55">
        <v>94</v>
      </c>
      <c r="G2431" s="63">
        <v>3.04E-2</v>
      </c>
    </row>
    <row r="2432" spans="1:7" x14ac:dyDescent="0.2">
      <c r="A2432" t="s">
        <v>71</v>
      </c>
      <c r="B2432" t="s">
        <v>156</v>
      </c>
      <c r="C2432" t="s">
        <v>196</v>
      </c>
      <c r="D2432" t="s">
        <v>74</v>
      </c>
      <c r="E2432" t="s">
        <v>75</v>
      </c>
      <c r="F2432" s="55">
        <v>68</v>
      </c>
      <c r="G2432" s="63">
        <v>3.6900000000000002E-2</v>
      </c>
    </row>
    <row r="2433" spans="1:7" x14ac:dyDescent="0.2">
      <c r="A2433" t="s">
        <v>71</v>
      </c>
      <c r="B2433" t="s">
        <v>156</v>
      </c>
      <c r="C2433" t="s">
        <v>196</v>
      </c>
      <c r="D2433" t="s">
        <v>74</v>
      </c>
      <c r="E2433" t="s">
        <v>76</v>
      </c>
      <c r="F2433" s="55">
        <v>79</v>
      </c>
      <c r="G2433" s="63">
        <v>2.7000000000000001E-3</v>
      </c>
    </row>
    <row r="2434" spans="1:7" x14ac:dyDescent="0.2">
      <c r="A2434" t="s">
        <v>71</v>
      </c>
      <c r="B2434" t="s">
        <v>156</v>
      </c>
      <c r="C2434" t="s">
        <v>196</v>
      </c>
      <c r="D2434" t="s">
        <v>74</v>
      </c>
      <c r="E2434" t="s">
        <v>77</v>
      </c>
      <c r="F2434" s="55">
        <v>95</v>
      </c>
      <c r="G2434" s="63">
        <v>8.9999999999999993E-3</v>
      </c>
    </row>
    <row r="2435" spans="1:7" x14ac:dyDescent="0.2">
      <c r="A2435" t="s">
        <v>71</v>
      </c>
      <c r="B2435" t="s">
        <v>156</v>
      </c>
      <c r="C2435" t="s">
        <v>196</v>
      </c>
      <c r="D2435" t="s">
        <v>74</v>
      </c>
      <c r="E2435" t="s">
        <v>78</v>
      </c>
      <c r="F2435" s="55">
        <v>76</v>
      </c>
      <c r="G2435" s="63">
        <v>6.6E-3</v>
      </c>
    </row>
    <row r="2436" spans="1:7" x14ac:dyDescent="0.2">
      <c r="A2436" t="s">
        <v>71</v>
      </c>
      <c r="B2436" t="s">
        <v>156</v>
      </c>
      <c r="C2436" t="s">
        <v>196</v>
      </c>
      <c r="D2436" t="s">
        <v>74</v>
      </c>
      <c r="E2436" t="s">
        <v>79</v>
      </c>
      <c r="F2436" s="55">
        <v>71</v>
      </c>
      <c r="G2436" s="63">
        <v>2.0299999999999999E-2</v>
      </c>
    </row>
    <row r="2437" spans="1:7" x14ac:dyDescent="0.2">
      <c r="A2437" t="s">
        <v>71</v>
      </c>
      <c r="B2437" t="s">
        <v>156</v>
      </c>
      <c r="C2437" t="s">
        <v>196</v>
      </c>
      <c r="D2437" t="s">
        <v>74</v>
      </c>
      <c r="E2437" t="s">
        <v>80</v>
      </c>
      <c r="F2437" s="55">
        <v>58</v>
      </c>
      <c r="G2437" s="63">
        <v>5.5999999999999999E-3</v>
      </c>
    </row>
    <row r="2438" spans="1:7" x14ac:dyDescent="0.2">
      <c r="A2438" t="s">
        <v>71</v>
      </c>
      <c r="B2438" t="s">
        <v>156</v>
      </c>
      <c r="C2438" t="s">
        <v>196</v>
      </c>
      <c r="D2438" t="s">
        <v>74</v>
      </c>
      <c r="E2438" t="s">
        <v>81</v>
      </c>
      <c r="F2438" s="55">
        <v>51</v>
      </c>
      <c r="G2438" s="63">
        <v>6.4000000000000003E-3</v>
      </c>
    </row>
    <row r="2439" spans="1:7" x14ac:dyDescent="0.2">
      <c r="A2439" t="s">
        <v>71</v>
      </c>
      <c r="B2439" t="s">
        <v>156</v>
      </c>
      <c r="C2439" t="s">
        <v>196</v>
      </c>
      <c r="D2439" t="s">
        <v>74</v>
      </c>
      <c r="E2439" t="s">
        <v>82</v>
      </c>
      <c r="F2439" s="55">
        <v>66</v>
      </c>
      <c r="G2439" s="63">
        <v>1.2200000000000001E-2</v>
      </c>
    </row>
    <row r="2440" spans="1:7" x14ac:dyDescent="0.2">
      <c r="A2440" t="s">
        <v>71</v>
      </c>
      <c r="B2440" t="s">
        <v>156</v>
      </c>
      <c r="C2440" t="s">
        <v>196</v>
      </c>
      <c r="D2440" t="s">
        <v>74</v>
      </c>
      <c r="E2440" t="s">
        <v>83</v>
      </c>
      <c r="F2440" s="55">
        <v>49</v>
      </c>
      <c r="G2440" s="63">
        <v>2.5000000000000001E-3</v>
      </c>
    </row>
    <row r="2441" spans="1:7" x14ac:dyDescent="0.2">
      <c r="A2441" t="s">
        <v>71</v>
      </c>
      <c r="B2441" t="s">
        <v>156</v>
      </c>
      <c r="C2441" t="s">
        <v>196</v>
      </c>
      <c r="D2441" t="s">
        <v>74</v>
      </c>
      <c r="E2441" t="s">
        <v>84</v>
      </c>
      <c r="F2441" s="55">
        <v>78</v>
      </c>
      <c r="G2441" s="63">
        <v>4.7000000000000002E-3</v>
      </c>
    </row>
    <row r="2442" spans="1:7" x14ac:dyDescent="0.2">
      <c r="A2442" t="s">
        <v>71</v>
      </c>
      <c r="B2442" t="s">
        <v>156</v>
      </c>
      <c r="C2442" t="s">
        <v>196</v>
      </c>
      <c r="D2442" t="s">
        <v>74</v>
      </c>
      <c r="E2442" t="s">
        <v>85</v>
      </c>
      <c r="F2442" s="55">
        <v>59</v>
      </c>
      <c r="G2442" s="63">
        <v>5.4000000000000003E-3</v>
      </c>
    </row>
    <row r="2443" spans="1:7" x14ac:dyDescent="0.2">
      <c r="A2443" t="s">
        <v>71</v>
      </c>
      <c r="B2443" t="s">
        <v>156</v>
      </c>
      <c r="C2443" t="s">
        <v>196</v>
      </c>
      <c r="D2443" t="s">
        <v>74</v>
      </c>
      <c r="E2443" t="s">
        <v>86</v>
      </c>
      <c r="F2443" s="55">
        <v>70</v>
      </c>
      <c r="G2443" s="63">
        <v>6.7000000000000002E-3</v>
      </c>
    </row>
    <row r="2444" spans="1:7" x14ac:dyDescent="0.2">
      <c r="A2444" t="s">
        <v>71</v>
      </c>
      <c r="B2444" t="s">
        <v>156</v>
      </c>
      <c r="C2444" t="s">
        <v>196</v>
      </c>
      <c r="D2444" t="s">
        <v>74</v>
      </c>
      <c r="E2444" t="s">
        <v>87</v>
      </c>
      <c r="F2444" s="55">
        <v>74</v>
      </c>
      <c r="G2444" s="63">
        <v>8.0000000000000002E-3</v>
      </c>
    </row>
    <row r="2445" spans="1:7" x14ac:dyDescent="0.2">
      <c r="A2445" t="s">
        <v>71</v>
      </c>
      <c r="B2445" t="s">
        <v>156</v>
      </c>
      <c r="C2445" t="s">
        <v>196</v>
      </c>
      <c r="D2445" t="s">
        <v>74</v>
      </c>
      <c r="E2445" t="s">
        <v>88</v>
      </c>
      <c r="F2445" s="55">
        <v>60</v>
      </c>
      <c r="G2445" s="63">
        <v>4.7000000000000002E-3</v>
      </c>
    </row>
    <row r="2446" spans="1:7" x14ac:dyDescent="0.2">
      <c r="A2446" t="s">
        <v>89</v>
      </c>
      <c r="B2446" t="s">
        <v>157</v>
      </c>
      <c r="C2446" t="s">
        <v>196</v>
      </c>
      <c r="D2446" t="s">
        <v>74</v>
      </c>
      <c r="E2446" t="s">
        <v>75</v>
      </c>
      <c r="F2446" s="55">
        <v>121</v>
      </c>
      <c r="G2446" s="63">
        <v>0.10059999999999999</v>
      </c>
    </row>
    <row r="2447" spans="1:7" x14ac:dyDescent="0.2">
      <c r="A2447" t="s">
        <v>89</v>
      </c>
      <c r="B2447" t="s">
        <v>157</v>
      </c>
      <c r="C2447" t="s">
        <v>196</v>
      </c>
      <c r="D2447" t="s">
        <v>74</v>
      </c>
      <c r="E2447" t="s">
        <v>76</v>
      </c>
      <c r="F2447" s="55">
        <v>136</v>
      </c>
      <c r="G2447" s="63">
        <v>1.0500000000000001E-2</v>
      </c>
    </row>
    <row r="2448" spans="1:7" x14ac:dyDescent="0.2">
      <c r="A2448" t="s">
        <v>89</v>
      </c>
      <c r="B2448" t="s">
        <v>157</v>
      </c>
      <c r="C2448" t="s">
        <v>196</v>
      </c>
      <c r="D2448" t="s">
        <v>74</v>
      </c>
      <c r="E2448" t="s">
        <v>77</v>
      </c>
      <c r="F2448" s="55">
        <v>118</v>
      </c>
      <c r="G2448" s="63">
        <v>3.9899999999999998E-2</v>
      </c>
    </row>
    <row r="2449" spans="1:7" x14ac:dyDescent="0.2">
      <c r="A2449" t="s">
        <v>89</v>
      </c>
      <c r="B2449" t="s">
        <v>157</v>
      </c>
      <c r="C2449" t="s">
        <v>196</v>
      </c>
      <c r="D2449" t="s">
        <v>74</v>
      </c>
      <c r="E2449" t="s">
        <v>78</v>
      </c>
      <c r="F2449" s="55">
        <v>119</v>
      </c>
      <c r="G2449" s="63">
        <v>3.2199999999999999E-2</v>
      </c>
    </row>
    <row r="2450" spans="1:7" x14ac:dyDescent="0.2">
      <c r="A2450" t="s">
        <v>89</v>
      </c>
      <c r="B2450" t="s">
        <v>157</v>
      </c>
      <c r="C2450" t="s">
        <v>196</v>
      </c>
      <c r="D2450" t="s">
        <v>74</v>
      </c>
      <c r="E2450" t="s">
        <v>79</v>
      </c>
      <c r="F2450" s="55">
        <v>123</v>
      </c>
      <c r="G2450" s="63">
        <v>6.8900000000000003E-2</v>
      </c>
    </row>
    <row r="2451" spans="1:7" x14ac:dyDescent="0.2">
      <c r="A2451" t="s">
        <v>89</v>
      </c>
      <c r="B2451" t="s">
        <v>157</v>
      </c>
      <c r="C2451" t="s">
        <v>196</v>
      </c>
      <c r="D2451" t="s">
        <v>74</v>
      </c>
      <c r="E2451" t="s">
        <v>80</v>
      </c>
      <c r="F2451" s="55">
        <v>121</v>
      </c>
      <c r="G2451" s="63">
        <v>2.7099999999999999E-2</v>
      </c>
    </row>
    <row r="2452" spans="1:7" x14ac:dyDescent="0.2">
      <c r="A2452" t="s">
        <v>89</v>
      </c>
      <c r="B2452" t="s">
        <v>157</v>
      </c>
      <c r="C2452" t="s">
        <v>196</v>
      </c>
      <c r="D2452" t="s">
        <v>74</v>
      </c>
      <c r="E2452" t="s">
        <v>81</v>
      </c>
      <c r="F2452" s="55">
        <v>117</v>
      </c>
      <c r="G2452" s="63">
        <v>2.07E-2</v>
      </c>
    </row>
    <row r="2453" spans="1:7" x14ac:dyDescent="0.2">
      <c r="A2453" t="s">
        <v>89</v>
      </c>
      <c r="B2453" t="s">
        <v>157</v>
      </c>
      <c r="C2453" t="s">
        <v>196</v>
      </c>
      <c r="D2453" t="s">
        <v>74</v>
      </c>
      <c r="E2453" t="s">
        <v>82</v>
      </c>
      <c r="F2453" s="55">
        <v>120</v>
      </c>
      <c r="G2453" s="63">
        <v>4.5999999999999999E-2</v>
      </c>
    </row>
    <row r="2454" spans="1:7" x14ac:dyDescent="0.2">
      <c r="A2454" t="s">
        <v>89</v>
      </c>
      <c r="B2454" t="s">
        <v>157</v>
      </c>
      <c r="C2454" t="s">
        <v>196</v>
      </c>
      <c r="D2454" t="s">
        <v>74</v>
      </c>
      <c r="E2454" t="s">
        <v>83</v>
      </c>
      <c r="F2454" s="55">
        <v>113</v>
      </c>
      <c r="G2454" s="63">
        <v>6.7000000000000002E-3</v>
      </c>
    </row>
    <row r="2455" spans="1:7" x14ac:dyDescent="0.2">
      <c r="A2455" t="s">
        <v>89</v>
      </c>
      <c r="B2455" t="s">
        <v>157</v>
      </c>
      <c r="C2455" t="s">
        <v>196</v>
      </c>
      <c r="D2455" t="s">
        <v>74</v>
      </c>
      <c r="E2455" t="s">
        <v>84</v>
      </c>
      <c r="F2455" s="55">
        <v>123</v>
      </c>
      <c r="G2455" s="63">
        <v>2.6100000000000002E-2</v>
      </c>
    </row>
    <row r="2456" spans="1:7" x14ac:dyDescent="0.2">
      <c r="A2456" t="s">
        <v>89</v>
      </c>
      <c r="B2456" t="s">
        <v>157</v>
      </c>
      <c r="C2456" t="s">
        <v>196</v>
      </c>
      <c r="D2456" t="s">
        <v>74</v>
      </c>
      <c r="E2456" t="s">
        <v>85</v>
      </c>
      <c r="F2456" s="55">
        <v>116</v>
      </c>
      <c r="G2456" s="63">
        <v>3.04E-2</v>
      </c>
    </row>
    <row r="2457" spans="1:7" x14ac:dyDescent="0.2">
      <c r="A2457" t="s">
        <v>89</v>
      </c>
      <c r="B2457" t="s">
        <v>157</v>
      </c>
      <c r="C2457" t="s">
        <v>196</v>
      </c>
      <c r="D2457" t="s">
        <v>74</v>
      </c>
      <c r="E2457" t="s">
        <v>86</v>
      </c>
      <c r="F2457" s="55">
        <v>122</v>
      </c>
      <c r="G2457" s="63">
        <v>3.5799999999999998E-2</v>
      </c>
    </row>
    <row r="2458" spans="1:7" x14ac:dyDescent="0.2">
      <c r="A2458" t="s">
        <v>89</v>
      </c>
      <c r="B2458" t="s">
        <v>157</v>
      </c>
      <c r="C2458" t="s">
        <v>196</v>
      </c>
      <c r="D2458" t="s">
        <v>74</v>
      </c>
      <c r="E2458" t="s">
        <v>87</v>
      </c>
      <c r="F2458" s="55">
        <v>127</v>
      </c>
      <c r="G2458" s="63">
        <v>3.95E-2</v>
      </c>
    </row>
    <row r="2459" spans="1:7" x14ac:dyDescent="0.2">
      <c r="A2459" t="s">
        <v>89</v>
      </c>
      <c r="B2459" t="s">
        <v>157</v>
      </c>
      <c r="C2459" t="s">
        <v>196</v>
      </c>
      <c r="D2459" t="s">
        <v>74</v>
      </c>
      <c r="E2459" t="s">
        <v>88</v>
      </c>
      <c r="F2459" s="55">
        <v>125</v>
      </c>
      <c r="G2459" s="63">
        <v>1.6400000000000001E-2</v>
      </c>
    </row>
    <row r="2460" spans="1:7" x14ac:dyDescent="0.2">
      <c r="A2460" t="s">
        <v>89</v>
      </c>
      <c r="B2460" t="s">
        <v>158</v>
      </c>
      <c r="C2460" t="s">
        <v>196</v>
      </c>
      <c r="D2460" t="s">
        <v>91</v>
      </c>
      <c r="E2460" t="s">
        <v>75</v>
      </c>
      <c r="F2460" s="55">
        <v>105</v>
      </c>
      <c r="G2460" s="63">
        <v>0.97</v>
      </c>
    </row>
    <row r="2461" spans="1:7" x14ac:dyDescent="0.2">
      <c r="A2461" t="s">
        <v>89</v>
      </c>
      <c r="B2461" t="s">
        <v>158</v>
      </c>
      <c r="C2461" t="s">
        <v>196</v>
      </c>
      <c r="D2461" t="s">
        <v>91</v>
      </c>
      <c r="E2461" t="s">
        <v>76</v>
      </c>
      <c r="F2461" s="55">
        <v>97</v>
      </c>
      <c r="G2461" s="63">
        <v>0.31890000000000002</v>
      </c>
    </row>
    <row r="2462" spans="1:7" x14ac:dyDescent="0.2">
      <c r="A2462" t="s">
        <v>89</v>
      </c>
      <c r="B2462" t="s">
        <v>158</v>
      </c>
      <c r="C2462" t="s">
        <v>196</v>
      </c>
      <c r="D2462" t="s">
        <v>91</v>
      </c>
      <c r="E2462" t="s">
        <v>77</v>
      </c>
      <c r="F2462" s="55">
        <v>108</v>
      </c>
      <c r="G2462" s="63">
        <v>0.64649999999999996</v>
      </c>
    </row>
    <row r="2463" spans="1:7" x14ac:dyDescent="0.2">
      <c r="A2463" t="s">
        <v>89</v>
      </c>
      <c r="B2463" t="s">
        <v>158</v>
      </c>
      <c r="C2463" t="s">
        <v>196</v>
      </c>
      <c r="D2463" t="s">
        <v>91</v>
      </c>
      <c r="E2463" t="s">
        <v>78</v>
      </c>
      <c r="F2463" s="55">
        <v>111</v>
      </c>
      <c r="G2463" s="63">
        <v>0.64370000000000005</v>
      </c>
    </row>
    <row r="2464" spans="1:7" x14ac:dyDescent="0.2">
      <c r="A2464" t="s">
        <v>89</v>
      </c>
      <c r="B2464" t="s">
        <v>158</v>
      </c>
      <c r="C2464" t="s">
        <v>196</v>
      </c>
      <c r="D2464" t="s">
        <v>91</v>
      </c>
      <c r="E2464" t="s">
        <v>79</v>
      </c>
      <c r="F2464" s="55">
        <v>105</v>
      </c>
      <c r="G2464" s="63">
        <v>0.94269999999999998</v>
      </c>
    </row>
    <row r="2465" spans="1:7" x14ac:dyDescent="0.2">
      <c r="A2465" t="s">
        <v>89</v>
      </c>
      <c r="B2465" t="s">
        <v>158</v>
      </c>
      <c r="C2465" t="s">
        <v>196</v>
      </c>
      <c r="D2465" t="s">
        <v>91</v>
      </c>
      <c r="E2465" t="s">
        <v>80</v>
      </c>
      <c r="F2465" s="55">
        <v>105</v>
      </c>
      <c r="G2465" s="63">
        <v>0.57450000000000001</v>
      </c>
    </row>
    <row r="2466" spans="1:7" x14ac:dyDescent="0.2">
      <c r="A2466" t="s">
        <v>89</v>
      </c>
      <c r="B2466" t="s">
        <v>158</v>
      </c>
      <c r="C2466" t="s">
        <v>196</v>
      </c>
      <c r="D2466" t="s">
        <v>91</v>
      </c>
      <c r="E2466" t="s">
        <v>81</v>
      </c>
      <c r="F2466" s="55">
        <v>102</v>
      </c>
      <c r="G2466" s="63">
        <v>0.44969999999999999</v>
      </c>
    </row>
    <row r="2467" spans="1:7" x14ac:dyDescent="0.2">
      <c r="A2467" t="s">
        <v>89</v>
      </c>
      <c r="B2467" t="s">
        <v>158</v>
      </c>
      <c r="C2467" t="s">
        <v>196</v>
      </c>
      <c r="D2467" t="s">
        <v>91</v>
      </c>
      <c r="E2467" t="s">
        <v>82</v>
      </c>
      <c r="F2467" s="55">
        <v>103</v>
      </c>
      <c r="G2467" s="63">
        <v>0.8821</v>
      </c>
    </row>
    <row r="2468" spans="1:7" x14ac:dyDescent="0.2">
      <c r="A2468" t="s">
        <v>89</v>
      </c>
      <c r="B2468" t="s">
        <v>158</v>
      </c>
      <c r="C2468" t="s">
        <v>196</v>
      </c>
      <c r="D2468" t="s">
        <v>91</v>
      </c>
      <c r="E2468" t="s">
        <v>83</v>
      </c>
      <c r="F2468" s="55">
        <v>97</v>
      </c>
      <c r="G2468" s="63">
        <v>0.21160000000000001</v>
      </c>
    </row>
    <row r="2469" spans="1:7" x14ac:dyDescent="0.2">
      <c r="A2469" t="s">
        <v>89</v>
      </c>
      <c r="B2469" t="s">
        <v>158</v>
      </c>
      <c r="C2469" t="s">
        <v>196</v>
      </c>
      <c r="D2469" t="s">
        <v>91</v>
      </c>
      <c r="E2469" t="s">
        <v>84</v>
      </c>
      <c r="F2469" s="55">
        <v>111</v>
      </c>
      <c r="G2469" s="63">
        <v>0.57399999999999995</v>
      </c>
    </row>
    <row r="2470" spans="1:7" x14ac:dyDescent="0.2">
      <c r="A2470" t="s">
        <v>89</v>
      </c>
      <c r="B2470" t="s">
        <v>158</v>
      </c>
      <c r="C2470" t="s">
        <v>196</v>
      </c>
      <c r="D2470" t="s">
        <v>91</v>
      </c>
      <c r="E2470" t="s">
        <v>85</v>
      </c>
      <c r="F2470" s="55">
        <v>106</v>
      </c>
      <c r="G2470" s="63">
        <v>0.7319</v>
      </c>
    </row>
    <row r="2471" spans="1:7" x14ac:dyDescent="0.2">
      <c r="A2471" t="s">
        <v>89</v>
      </c>
      <c r="B2471" t="s">
        <v>158</v>
      </c>
      <c r="C2471" t="s">
        <v>196</v>
      </c>
      <c r="D2471" t="s">
        <v>91</v>
      </c>
      <c r="E2471" t="s">
        <v>86</v>
      </c>
      <c r="F2471" s="55">
        <v>105</v>
      </c>
      <c r="G2471" s="63">
        <v>0.8357</v>
      </c>
    </row>
    <row r="2472" spans="1:7" x14ac:dyDescent="0.2">
      <c r="A2472" t="s">
        <v>89</v>
      </c>
      <c r="B2472" t="s">
        <v>158</v>
      </c>
      <c r="C2472" t="s">
        <v>196</v>
      </c>
      <c r="D2472" t="s">
        <v>91</v>
      </c>
      <c r="E2472" t="s">
        <v>87</v>
      </c>
      <c r="F2472" s="55">
        <v>106</v>
      </c>
      <c r="G2472" s="63">
        <v>0.85770000000000002</v>
      </c>
    </row>
    <row r="2473" spans="1:7" x14ac:dyDescent="0.2">
      <c r="A2473" t="s">
        <v>89</v>
      </c>
      <c r="B2473" t="s">
        <v>158</v>
      </c>
      <c r="C2473" t="s">
        <v>196</v>
      </c>
      <c r="D2473" t="s">
        <v>91</v>
      </c>
      <c r="E2473" t="s">
        <v>88</v>
      </c>
      <c r="F2473" s="55">
        <v>98</v>
      </c>
      <c r="G2473" s="63">
        <v>0.47510000000000002</v>
      </c>
    </row>
    <row r="2474" spans="1:7" x14ac:dyDescent="0.2">
      <c r="A2474" t="s">
        <v>71</v>
      </c>
      <c r="B2474" t="s">
        <v>159</v>
      </c>
      <c r="C2474" t="s">
        <v>196</v>
      </c>
      <c r="D2474" t="s">
        <v>74</v>
      </c>
      <c r="E2474" t="s">
        <v>75</v>
      </c>
      <c r="F2474" s="55">
        <v>103</v>
      </c>
      <c r="G2474" s="63">
        <v>0.26150000000000001</v>
      </c>
    </row>
    <row r="2475" spans="1:7" x14ac:dyDescent="0.2">
      <c r="A2475" t="s">
        <v>71</v>
      </c>
      <c r="B2475" t="s">
        <v>159</v>
      </c>
      <c r="C2475" t="s">
        <v>196</v>
      </c>
      <c r="D2475" t="s">
        <v>74</v>
      </c>
      <c r="E2475" t="s">
        <v>76</v>
      </c>
      <c r="F2475" s="55">
        <v>95</v>
      </c>
      <c r="G2475" s="63">
        <v>2.0799999999999999E-2</v>
      </c>
    </row>
    <row r="2476" spans="1:7" x14ac:dyDescent="0.2">
      <c r="A2476" t="s">
        <v>71</v>
      </c>
      <c r="B2476" t="s">
        <v>159</v>
      </c>
      <c r="C2476" t="s">
        <v>196</v>
      </c>
      <c r="D2476" t="s">
        <v>74</v>
      </c>
      <c r="E2476" t="s">
        <v>77</v>
      </c>
      <c r="F2476" s="55">
        <v>108</v>
      </c>
      <c r="G2476" s="63">
        <v>0.10150000000000001</v>
      </c>
    </row>
    <row r="2477" spans="1:7" x14ac:dyDescent="0.2">
      <c r="A2477" t="s">
        <v>71</v>
      </c>
      <c r="B2477" t="s">
        <v>159</v>
      </c>
      <c r="C2477" t="s">
        <v>196</v>
      </c>
      <c r="D2477" t="s">
        <v>74</v>
      </c>
      <c r="E2477" t="s">
        <v>78</v>
      </c>
      <c r="F2477" s="55">
        <v>107</v>
      </c>
      <c r="G2477" s="63">
        <v>8.6199999999999999E-2</v>
      </c>
    </row>
    <row r="2478" spans="1:7" x14ac:dyDescent="0.2">
      <c r="A2478" t="s">
        <v>71</v>
      </c>
      <c r="B2478" t="s">
        <v>159</v>
      </c>
      <c r="C2478" t="s">
        <v>196</v>
      </c>
      <c r="D2478" t="s">
        <v>74</v>
      </c>
      <c r="E2478" t="s">
        <v>79</v>
      </c>
      <c r="F2478" s="55">
        <v>103</v>
      </c>
      <c r="G2478" s="63">
        <v>0.1918</v>
      </c>
    </row>
    <row r="2479" spans="1:7" x14ac:dyDescent="0.2">
      <c r="A2479" t="s">
        <v>71</v>
      </c>
      <c r="B2479" t="s">
        <v>159</v>
      </c>
      <c r="C2479" t="s">
        <v>196</v>
      </c>
      <c r="D2479" t="s">
        <v>74</v>
      </c>
      <c r="E2479" t="s">
        <v>80</v>
      </c>
      <c r="F2479" s="55">
        <v>98</v>
      </c>
      <c r="G2479" s="63">
        <v>6.83E-2</v>
      </c>
    </row>
    <row r="2480" spans="1:7" x14ac:dyDescent="0.2">
      <c r="A2480" t="s">
        <v>71</v>
      </c>
      <c r="B2480" t="s">
        <v>159</v>
      </c>
      <c r="C2480" t="s">
        <v>196</v>
      </c>
      <c r="D2480" t="s">
        <v>74</v>
      </c>
      <c r="E2480" t="s">
        <v>81</v>
      </c>
      <c r="F2480" s="55">
        <v>93</v>
      </c>
      <c r="G2480" s="63">
        <v>6.0499999999999998E-2</v>
      </c>
    </row>
    <row r="2481" spans="1:7" x14ac:dyDescent="0.2">
      <c r="A2481" t="s">
        <v>71</v>
      </c>
      <c r="B2481" t="s">
        <v>159</v>
      </c>
      <c r="C2481" t="s">
        <v>196</v>
      </c>
      <c r="D2481" t="s">
        <v>74</v>
      </c>
      <c r="E2481" t="s">
        <v>82</v>
      </c>
      <c r="F2481" s="55">
        <v>104</v>
      </c>
      <c r="G2481" s="63">
        <v>0.1182</v>
      </c>
    </row>
    <row r="2482" spans="1:7" x14ac:dyDescent="0.2">
      <c r="A2482" t="s">
        <v>71</v>
      </c>
      <c r="B2482" t="s">
        <v>159</v>
      </c>
      <c r="C2482" t="s">
        <v>196</v>
      </c>
      <c r="D2482" t="s">
        <v>74</v>
      </c>
      <c r="E2482" t="s">
        <v>83</v>
      </c>
      <c r="F2482" s="55">
        <v>90</v>
      </c>
      <c r="G2482" s="63">
        <v>2.4400000000000002E-2</v>
      </c>
    </row>
    <row r="2483" spans="1:7" x14ac:dyDescent="0.2">
      <c r="A2483" t="s">
        <v>71</v>
      </c>
      <c r="B2483" t="s">
        <v>159</v>
      </c>
      <c r="C2483" t="s">
        <v>196</v>
      </c>
      <c r="D2483" t="s">
        <v>74</v>
      </c>
      <c r="E2483" t="s">
        <v>84</v>
      </c>
      <c r="F2483" s="55">
        <v>108</v>
      </c>
      <c r="G2483" s="63">
        <v>6.83E-2</v>
      </c>
    </row>
    <row r="2484" spans="1:7" x14ac:dyDescent="0.2">
      <c r="A2484" t="s">
        <v>71</v>
      </c>
      <c r="B2484" t="s">
        <v>159</v>
      </c>
      <c r="C2484" t="s">
        <v>196</v>
      </c>
      <c r="D2484" t="s">
        <v>74</v>
      </c>
      <c r="E2484" t="s">
        <v>85</v>
      </c>
      <c r="F2484" s="55">
        <v>98</v>
      </c>
      <c r="G2484" s="63">
        <v>8.0500000000000002E-2</v>
      </c>
    </row>
    <row r="2485" spans="1:7" x14ac:dyDescent="0.2">
      <c r="A2485" t="s">
        <v>71</v>
      </c>
      <c r="B2485" t="s">
        <v>159</v>
      </c>
      <c r="C2485" t="s">
        <v>196</v>
      </c>
      <c r="D2485" t="s">
        <v>74</v>
      </c>
      <c r="E2485" t="s">
        <v>86</v>
      </c>
      <c r="F2485" s="55">
        <v>103</v>
      </c>
      <c r="G2485" s="63">
        <v>9.9099999999999994E-2</v>
      </c>
    </row>
    <row r="2486" spans="1:7" x14ac:dyDescent="0.2">
      <c r="A2486" t="s">
        <v>71</v>
      </c>
      <c r="B2486" t="s">
        <v>159</v>
      </c>
      <c r="C2486" t="s">
        <v>196</v>
      </c>
      <c r="D2486" t="s">
        <v>74</v>
      </c>
      <c r="E2486" t="s">
        <v>87</v>
      </c>
      <c r="F2486" s="55">
        <v>106</v>
      </c>
      <c r="G2486" s="63">
        <v>0.111</v>
      </c>
    </row>
    <row r="2487" spans="1:7" x14ac:dyDescent="0.2">
      <c r="A2487" t="s">
        <v>71</v>
      </c>
      <c r="B2487" t="s">
        <v>159</v>
      </c>
      <c r="C2487" t="s">
        <v>196</v>
      </c>
      <c r="D2487" t="s">
        <v>74</v>
      </c>
      <c r="E2487" t="s">
        <v>88</v>
      </c>
      <c r="F2487" s="55">
        <v>92</v>
      </c>
      <c r="G2487" s="63">
        <v>3.6200000000000003E-2</v>
      </c>
    </row>
    <row r="2488" spans="1:7" x14ac:dyDescent="0.2">
      <c r="A2488" t="s">
        <v>89</v>
      </c>
      <c r="B2488" t="s">
        <v>161</v>
      </c>
      <c r="C2488" t="s">
        <v>196</v>
      </c>
      <c r="D2488" t="s">
        <v>74</v>
      </c>
      <c r="E2488" t="s">
        <v>75</v>
      </c>
      <c r="F2488" s="55">
        <v>70</v>
      </c>
      <c r="G2488" s="63">
        <v>8.0399999999999999E-2</v>
      </c>
    </row>
    <row r="2489" spans="1:7" x14ac:dyDescent="0.2">
      <c r="A2489" t="s">
        <v>89</v>
      </c>
      <c r="B2489" t="s">
        <v>161</v>
      </c>
      <c r="C2489" t="s">
        <v>196</v>
      </c>
      <c r="D2489" t="s">
        <v>74</v>
      </c>
      <c r="E2489" t="s">
        <v>76</v>
      </c>
      <c r="F2489" s="55">
        <v>71</v>
      </c>
      <c r="G2489" s="63">
        <v>6.8999999999999999E-3</v>
      </c>
    </row>
    <row r="2490" spans="1:7" x14ac:dyDescent="0.2">
      <c r="A2490" t="s">
        <v>89</v>
      </c>
      <c r="B2490" t="s">
        <v>161</v>
      </c>
      <c r="C2490" t="s">
        <v>196</v>
      </c>
      <c r="D2490" t="s">
        <v>74</v>
      </c>
      <c r="E2490" t="s">
        <v>77</v>
      </c>
      <c r="F2490" s="55">
        <v>70</v>
      </c>
      <c r="G2490" s="63">
        <v>2.2800000000000001E-2</v>
      </c>
    </row>
    <row r="2491" spans="1:7" x14ac:dyDescent="0.2">
      <c r="A2491" t="s">
        <v>89</v>
      </c>
      <c r="B2491" t="s">
        <v>161</v>
      </c>
      <c r="C2491" t="s">
        <v>196</v>
      </c>
      <c r="D2491" t="s">
        <v>74</v>
      </c>
      <c r="E2491" t="s">
        <v>78</v>
      </c>
      <c r="F2491" s="55">
        <v>74</v>
      </c>
      <c r="G2491" s="63">
        <v>1.9599999999999999E-2</v>
      </c>
    </row>
    <row r="2492" spans="1:7" x14ac:dyDescent="0.2">
      <c r="A2492" t="s">
        <v>89</v>
      </c>
      <c r="B2492" t="s">
        <v>161</v>
      </c>
      <c r="C2492" t="s">
        <v>196</v>
      </c>
      <c r="D2492" t="s">
        <v>74</v>
      </c>
      <c r="E2492" t="s">
        <v>79</v>
      </c>
      <c r="F2492" s="55">
        <v>70</v>
      </c>
      <c r="G2492" s="63">
        <v>5.57E-2</v>
      </c>
    </row>
    <row r="2493" spans="1:7" x14ac:dyDescent="0.2">
      <c r="A2493" t="s">
        <v>89</v>
      </c>
      <c r="B2493" t="s">
        <v>161</v>
      </c>
      <c r="C2493" t="s">
        <v>196</v>
      </c>
      <c r="D2493" t="s">
        <v>74</v>
      </c>
      <c r="E2493" t="s">
        <v>80</v>
      </c>
      <c r="F2493" s="55">
        <v>65</v>
      </c>
      <c r="G2493" s="63">
        <v>1.83E-2</v>
      </c>
    </row>
    <row r="2494" spans="1:7" x14ac:dyDescent="0.2">
      <c r="A2494" t="s">
        <v>89</v>
      </c>
      <c r="B2494" t="s">
        <v>161</v>
      </c>
      <c r="C2494" t="s">
        <v>196</v>
      </c>
      <c r="D2494" t="s">
        <v>74</v>
      </c>
      <c r="E2494" t="s">
        <v>81</v>
      </c>
      <c r="F2494" s="55">
        <v>68</v>
      </c>
      <c r="G2494" s="63">
        <v>1.52E-2</v>
      </c>
    </row>
    <row r="2495" spans="1:7" x14ac:dyDescent="0.2">
      <c r="A2495" t="s">
        <v>89</v>
      </c>
      <c r="B2495" t="s">
        <v>161</v>
      </c>
      <c r="C2495" t="s">
        <v>196</v>
      </c>
      <c r="D2495" t="s">
        <v>74</v>
      </c>
      <c r="E2495" t="s">
        <v>82</v>
      </c>
      <c r="F2495" s="55">
        <v>68</v>
      </c>
      <c r="G2495" s="63">
        <v>3.1399999999999997E-2</v>
      </c>
    </row>
    <row r="2496" spans="1:7" x14ac:dyDescent="0.2">
      <c r="A2496" t="s">
        <v>89</v>
      </c>
      <c r="B2496" t="s">
        <v>161</v>
      </c>
      <c r="C2496" t="s">
        <v>196</v>
      </c>
      <c r="D2496" t="s">
        <v>74</v>
      </c>
      <c r="E2496" t="s">
        <v>83</v>
      </c>
      <c r="F2496" s="55">
        <v>73</v>
      </c>
      <c r="G2496" s="63">
        <v>6.1000000000000004E-3</v>
      </c>
    </row>
    <row r="2497" spans="1:7" x14ac:dyDescent="0.2">
      <c r="A2497" t="s">
        <v>89</v>
      </c>
      <c r="B2497" t="s">
        <v>161</v>
      </c>
      <c r="C2497" t="s">
        <v>196</v>
      </c>
      <c r="D2497" t="s">
        <v>74</v>
      </c>
      <c r="E2497" t="s">
        <v>84</v>
      </c>
      <c r="F2497" s="55">
        <v>74</v>
      </c>
      <c r="G2497" s="63">
        <v>1.46E-2</v>
      </c>
    </row>
    <row r="2498" spans="1:7" x14ac:dyDescent="0.2">
      <c r="A2498" t="s">
        <v>89</v>
      </c>
      <c r="B2498" t="s">
        <v>161</v>
      </c>
      <c r="C2498" t="s">
        <v>196</v>
      </c>
      <c r="D2498" t="s">
        <v>74</v>
      </c>
      <c r="E2498" t="s">
        <v>85</v>
      </c>
      <c r="F2498" s="55">
        <v>70</v>
      </c>
      <c r="G2498" s="63">
        <v>2.1999999999999999E-2</v>
      </c>
    </row>
    <row r="2499" spans="1:7" x14ac:dyDescent="0.2">
      <c r="A2499" t="s">
        <v>89</v>
      </c>
      <c r="B2499" t="s">
        <v>161</v>
      </c>
      <c r="C2499" t="s">
        <v>196</v>
      </c>
      <c r="D2499" t="s">
        <v>74</v>
      </c>
      <c r="E2499" t="s">
        <v>86</v>
      </c>
      <c r="F2499" s="55">
        <v>69</v>
      </c>
      <c r="G2499" s="63">
        <v>2.5999999999999999E-2</v>
      </c>
    </row>
    <row r="2500" spans="1:7" x14ac:dyDescent="0.2">
      <c r="A2500" t="s">
        <v>89</v>
      </c>
      <c r="B2500" t="s">
        <v>161</v>
      </c>
      <c r="C2500" t="s">
        <v>196</v>
      </c>
      <c r="D2500" t="s">
        <v>74</v>
      </c>
      <c r="E2500" t="s">
        <v>87</v>
      </c>
      <c r="F2500" s="55">
        <v>71</v>
      </c>
      <c r="G2500" s="63">
        <v>2.76E-2</v>
      </c>
    </row>
    <row r="2501" spans="1:7" x14ac:dyDescent="0.2">
      <c r="A2501" t="s">
        <v>89</v>
      </c>
      <c r="B2501" t="s">
        <v>161</v>
      </c>
      <c r="C2501" t="s">
        <v>196</v>
      </c>
      <c r="D2501" t="s">
        <v>74</v>
      </c>
      <c r="E2501" t="s">
        <v>88</v>
      </c>
      <c r="F2501" s="55">
        <v>69</v>
      </c>
      <c r="G2501" s="63">
        <v>1.1299999999999999E-2</v>
      </c>
    </row>
    <row r="2502" spans="1:7" x14ac:dyDescent="0.2">
      <c r="A2502" t="s">
        <v>71</v>
      </c>
      <c r="B2502" t="s">
        <v>162</v>
      </c>
      <c r="C2502" t="s">
        <v>196</v>
      </c>
      <c r="D2502" t="s">
        <v>74</v>
      </c>
      <c r="E2502" t="s">
        <v>75</v>
      </c>
      <c r="F2502" s="55">
        <v>104</v>
      </c>
      <c r="G2502" s="63">
        <v>7.5600000000000001E-2</v>
      </c>
    </row>
    <row r="2503" spans="1:7" x14ac:dyDescent="0.2">
      <c r="A2503" t="s">
        <v>71</v>
      </c>
      <c r="B2503" t="s">
        <v>162</v>
      </c>
      <c r="C2503" t="s">
        <v>196</v>
      </c>
      <c r="D2503" t="s">
        <v>74</v>
      </c>
      <c r="E2503" t="s">
        <v>76</v>
      </c>
      <c r="F2503" s="55">
        <v>102</v>
      </c>
      <c r="G2503" s="63">
        <v>6.6E-3</v>
      </c>
    </row>
    <row r="2504" spans="1:7" x14ac:dyDescent="0.2">
      <c r="A2504" t="s">
        <v>71</v>
      </c>
      <c r="B2504" t="s">
        <v>162</v>
      </c>
      <c r="C2504" t="s">
        <v>196</v>
      </c>
      <c r="D2504" t="s">
        <v>74</v>
      </c>
      <c r="E2504" t="s">
        <v>77</v>
      </c>
      <c r="F2504" s="55">
        <v>109</v>
      </c>
      <c r="G2504" s="63">
        <v>2.18E-2</v>
      </c>
    </row>
    <row r="2505" spans="1:7" x14ac:dyDescent="0.2">
      <c r="A2505" t="s">
        <v>71</v>
      </c>
      <c r="B2505" t="s">
        <v>162</v>
      </c>
      <c r="C2505" t="s">
        <v>196</v>
      </c>
      <c r="D2505" t="s">
        <v>74</v>
      </c>
      <c r="E2505" t="s">
        <v>78</v>
      </c>
      <c r="F2505" s="55">
        <v>109</v>
      </c>
      <c r="G2505" s="63">
        <v>1.9300000000000001E-2</v>
      </c>
    </row>
    <row r="2506" spans="1:7" x14ac:dyDescent="0.2">
      <c r="A2506" t="s">
        <v>71</v>
      </c>
      <c r="B2506" t="s">
        <v>162</v>
      </c>
      <c r="C2506" t="s">
        <v>196</v>
      </c>
      <c r="D2506" t="s">
        <v>74</v>
      </c>
      <c r="E2506" t="s">
        <v>79</v>
      </c>
      <c r="F2506" s="55">
        <v>102</v>
      </c>
      <c r="G2506" s="63">
        <v>5.1900000000000002E-2</v>
      </c>
    </row>
    <row r="2507" spans="1:7" x14ac:dyDescent="0.2">
      <c r="A2507" t="s">
        <v>71</v>
      </c>
      <c r="B2507" t="s">
        <v>162</v>
      </c>
      <c r="C2507" t="s">
        <v>196</v>
      </c>
      <c r="D2507" t="s">
        <v>74</v>
      </c>
      <c r="E2507" t="s">
        <v>80</v>
      </c>
      <c r="F2507" s="55">
        <v>104</v>
      </c>
      <c r="G2507" s="63">
        <v>1.46E-2</v>
      </c>
    </row>
    <row r="2508" spans="1:7" x14ac:dyDescent="0.2">
      <c r="A2508" t="s">
        <v>71</v>
      </c>
      <c r="B2508" t="s">
        <v>162</v>
      </c>
      <c r="C2508" t="s">
        <v>196</v>
      </c>
      <c r="D2508" t="s">
        <v>74</v>
      </c>
      <c r="E2508" t="s">
        <v>81</v>
      </c>
      <c r="F2508" s="55">
        <v>106</v>
      </c>
      <c r="G2508" s="63">
        <v>1.35E-2</v>
      </c>
    </row>
    <row r="2509" spans="1:7" x14ac:dyDescent="0.2">
      <c r="A2509" t="s">
        <v>71</v>
      </c>
      <c r="B2509" t="s">
        <v>162</v>
      </c>
      <c r="C2509" t="s">
        <v>196</v>
      </c>
      <c r="D2509" t="s">
        <v>74</v>
      </c>
      <c r="E2509" t="s">
        <v>82</v>
      </c>
      <c r="F2509" s="55">
        <v>107</v>
      </c>
      <c r="G2509" s="63">
        <v>3.2099999999999997E-2</v>
      </c>
    </row>
    <row r="2510" spans="1:7" x14ac:dyDescent="0.2">
      <c r="A2510" t="s">
        <v>71</v>
      </c>
      <c r="B2510" t="s">
        <v>162</v>
      </c>
      <c r="C2510" t="s">
        <v>196</v>
      </c>
      <c r="D2510" t="s">
        <v>74</v>
      </c>
      <c r="E2510" t="s">
        <v>83</v>
      </c>
      <c r="F2510" s="55">
        <v>107</v>
      </c>
      <c r="G2510" s="63">
        <v>5.5999999999999999E-3</v>
      </c>
    </row>
    <row r="2511" spans="1:7" x14ac:dyDescent="0.2">
      <c r="A2511" t="s">
        <v>71</v>
      </c>
      <c r="B2511" t="s">
        <v>162</v>
      </c>
      <c r="C2511" t="s">
        <v>196</v>
      </c>
      <c r="D2511" t="s">
        <v>74</v>
      </c>
      <c r="E2511" t="s">
        <v>84</v>
      </c>
      <c r="F2511" s="55">
        <v>111</v>
      </c>
      <c r="G2511" s="63">
        <v>1.3599999999999999E-2</v>
      </c>
    </row>
    <row r="2512" spans="1:7" x14ac:dyDescent="0.2">
      <c r="A2512" t="s">
        <v>71</v>
      </c>
      <c r="B2512" t="s">
        <v>162</v>
      </c>
      <c r="C2512" t="s">
        <v>196</v>
      </c>
      <c r="D2512" t="s">
        <v>74</v>
      </c>
      <c r="E2512" t="s">
        <v>85</v>
      </c>
      <c r="F2512" s="55">
        <v>98</v>
      </c>
      <c r="G2512" s="63">
        <v>1.6E-2</v>
      </c>
    </row>
    <row r="2513" spans="1:7" x14ac:dyDescent="0.2">
      <c r="A2513" t="s">
        <v>71</v>
      </c>
      <c r="B2513" t="s">
        <v>162</v>
      </c>
      <c r="C2513" t="s">
        <v>196</v>
      </c>
      <c r="D2513" t="s">
        <v>74</v>
      </c>
      <c r="E2513" t="s">
        <v>86</v>
      </c>
      <c r="F2513" s="55">
        <v>98</v>
      </c>
      <c r="G2513" s="63">
        <v>2.18E-2</v>
      </c>
    </row>
    <row r="2514" spans="1:7" x14ac:dyDescent="0.2">
      <c r="A2514" t="s">
        <v>71</v>
      </c>
      <c r="B2514" t="s">
        <v>162</v>
      </c>
      <c r="C2514" t="s">
        <v>196</v>
      </c>
      <c r="D2514" t="s">
        <v>74</v>
      </c>
      <c r="E2514" t="s">
        <v>87</v>
      </c>
      <c r="F2514" s="55">
        <v>104</v>
      </c>
      <c r="G2514" s="63">
        <v>2.7400000000000001E-2</v>
      </c>
    </row>
    <row r="2515" spans="1:7" x14ac:dyDescent="0.2">
      <c r="A2515" t="s">
        <v>71</v>
      </c>
      <c r="B2515" t="s">
        <v>162</v>
      </c>
      <c r="C2515" t="s">
        <v>196</v>
      </c>
      <c r="D2515" t="s">
        <v>74</v>
      </c>
      <c r="E2515" t="s">
        <v>88</v>
      </c>
      <c r="F2515" s="55">
        <v>107</v>
      </c>
      <c r="G2515" s="63">
        <v>1.0699999999999999E-2</v>
      </c>
    </row>
    <row r="2516" spans="1:7" x14ac:dyDescent="0.2">
      <c r="A2516" t="s">
        <v>71</v>
      </c>
      <c r="B2516" t="s">
        <v>163</v>
      </c>
      <c r="C2516" t="s">
        <v>196</v>
      </c>
      <c r="D2516" t="s">
        <v>74</v>
      </c>
      <c r="E2516" t="s">
        <v>75</v>
      </c>
      <c r="F2516" s="55">
        <v>90</v>
      </c>
      <c r="G2516" s="63">
        <v>0.1313</v>
      </c>
    </row>
    <row r="2517" spans="1:7" x14ac:dyDescent="0.2">
      <c r="A2517" t="s">
        <v>71</v>
      </c>
      <c r="B2517" t="s">
        <v>163</v>
      </c>
      <c r="C2517" t="s">
        <v>196</v>
      </c>
      <c r="D2517" t="s">
        <v>74</v>
      </c>
      <c r="E2517" t="s">
        <v>76</v>
      </c>
      <c r="F2517" s="55">
        <v>90</v>
      </c>
      <c r="G2517" s="63">
        <v>1.55E-2</v>
      </c>
    </row>
    <row r="2518" spans="1:7" x14ac:dyDescent="0.2">
      <c r="A2518" t="s">
        <v>71</v>
      </c>
      <c r="B2518" t="s">
        <v>163</v>
      </c>
      <c r="C2518" t="s">
        <v>196</v>
      </c>
      <c r="D2518" t="s">
        <v>74</v>
      </c>
      <c r="E2518" t="s">
        <v>77</v>
      </c>
      <c r="F2518" s="55">
        <v>98</v>
      </c>
      <c r="G2518" s="63">
        <v>4.5999999999999999E-2</v>
      </c>
    </row>
    <row r="2519" spans="1:7" x14ac:dyDescent="0.2">
      <c r="A2519" t="s">
        <v>71</v>
      </c>
      <c r="B2519" t="s">
        <v>163</v>
      </c>
      <c r="C2519" t="s">
        <v>196</v>
      </c>
      <c r="D2519" t="s">
        <v>74</v>
      </c>
      <c r="E2519" t="s">
        <v>78</v>
      </c>
      <c r="F2519" s="55">
        <v>90</v>
      </c>
      <c r="G2519" s="63">
        <v>3.7199999999999997E-2</v>
      </c>
    </row>
    <row r="2520" spans="1:7" x14ac:dyDescent="0.2">
      <c r="A2520" t="s">
        <v>71</v>
      </c>
      <c r="B2520" t="s">
        <v>163</v>
      </c>
      <c r="C2520" t="s">
        <v>196</v>
      </c>
      <c r="D2520" t="s">
        <v>74</v>
      </c>
      <c r="E2520" t="s">
        <v>79</v>
      </c>
      <c r="F2520" s="55">
        <v>87</v>
      </c>
      <c r="G2520" s="63">
        <v>8.4699999999999998E-2</v>
      </c>
    </row>
    <row r="2521" spans="1:7" x14ac:dyDescent="0.2">
      <c r="A2521" t="s">
        <v>71</v>
      </c>
      <c r="B2521" t="s">
        <v>163</v>
      </c>
      <c r="C2521" t="s">
        <v>196</v>
      </c>
      <c r="D2521" t="s">
        <v>74</v>
      </c>
      <c r="E2521" t="s">
        <v>80</v>
      </c>
      <c r="F2521" s="55">
        <v>82</v>
      </c>
      <c r="G2521" s="63">
        <v>2.7199999999999998E-2</v>
      </c>
    </row>
    <row r="2522" spans="1:7" x14ac:dyDescent="0.2">
      <c r="A2522" t="s">
        <v>71</v>
      </c>
      <c r="B2522" t="s">
        <v>163</v>
      </c>
      <c r="C2522" t="s">
        <v>196</v>
      </c>
      <c r="D2522" t="s">
        <v>74</v>
      </c>
      <c r="E2522" t="s">
        <v>81</v>
      </c>
      <c r="F2522" s="55">
        <v>86</v>
      </c>
      <c r="G2522" s="63">
        <v>2.4899999999999999E-2</v>
      </c>
    </row>
    <row r="2523" spans="1:7" x14ac:dyDescent="0.2">
      <c r="A2523" t="s">
        <v>71</v>
      </c>
      <c r="B2523" t="s">
        <v>163</v>
      </c>
      <c r="C2523" t="s">
        <v>196</v>
      </c>
      <c r="D2523" t="s">
        <v>74</v>
      </c>
      <c r="E2523" t="s">
        <v>82</v>
      </c>
      <c r="F2523" s="55">
        <v>89</v>
      </c>
      <c r="G2523" s="63">
        <v>6.6900000000000001E-2</v>
      </c>
    </row>
    <row r="2524" spans="1:7" x14ac:dyDescent="0.2">
      <c r="A2524" t="s">
        <v>71</v>
      </c>
      <c r="B2524" t="s">
        <v>163</v>
      </c>
      <c r="C2524" t="s">
        <v>196</v>
      </c>
      <c r="D2524" t="s">
        <v>74</v>
      </c>
      <c r="E2524" t="s">
        <v>83</v>
      </c>
      <c r="F2524" s="55">
        <v>80</v>
      </c>
      <c r="G2524" s="63">
        <v>1.0800000000000001E-2</v>
      </c>
    </row>
    <row r="2525" spans="1:7" x14ac:dyDescent="0.2">
      <c r="A2525" t="s">
        <v>71</v>
      </c>
      <c r="B2525" t="s">
        <v>163</v>
      </c>
      <c r="C2525" t="s">
        <v>196</v>
      </c>
      <c r="D2525" t="s">
        <v>74</v>
      </c>
      <c r="E2525" t="s">
        <v>84</v>
      </c>
      <c r="F2525" s="55">
        <v>90</v>
      </c>
      <c r="G2525" s="63">
        <v>2.9000000000000001E-2</v>
      </c>
    </row>
    <row r="2526" spans="1:7" x14ac:dyDescent="0.2">
      <c r="A2526" t="s">
        <v>71</v>
      </c>
      <c r="B2526" t="s">
        <v>163</v>
      </c>
      <c r="C2526" t="s">
        <v>196</v>
      </c>
      <c r="D2526" t="s">
        <v>74</v>
      </c>
      <c r="E2526" t="s">
        <v>85</v>
      </c>
      <c r="F2526" s="55">
        <v>84</v>
      </c>
      <c r="G2526" s="63">
        <v>3.0099999999999998E-2</v>
      </c>
    </row>
    <row r="2527" spans="1:7" x14ac:dyDescent="0.2">
      <c r="A2527" t="s">
        <v>71</v>
      </c>
      <c r="B2527" t="s">
        <v>163</v>
      </c>
      <c r="C2527" t="s">
        <v>196</v>
      </c>
      <c r="D2527" t="s">
        <v>74</v>
      </c>
      <c r="E2527" t="s">
        <v>86</v>
      </c>
      <c r="F2527" s="55">
        <v>88</v>
      </c>
      <c r="G2527" s="63">
        <v>3.7900000000000003E-2</v>
      </c>
    </row>
    <row r="2528" spans="1:7" x14ac:dyDescent="0.2">
      <c r="A2528" t="s">
        <v>71</v>
      </c>
      <c r="B2528" t="s">
        <v>163</v>
      </c>
      <c r="C2528" t="s">
        <v>196</v>
      </c>
      <c r="D2528" t="s">
        <v>74</v>
      </c>
      <c r="E2528" t="s">
        <v>87</v>
      </c>
      <c r="F2528" s="55">
        <v>85</v>
      </c>
      <c r="G2528" s="63">
        <v>4.1700000000000001E-2</v>
      </c>
    </row>
    <row r="2529" spans="1:7" x14ac:dyDescent="0.2">
      <c r="A2529" t="s">
        <v>71</v>
      </c>
      <c r="B2529" t="s">
        <v>163</v>
      </c>
      <c r="C2529" t="s">
        <v>196</v>
      </c>
      <c r="D2529" t="s">
        <v>74</v>
      </c>
      <c r="E2529" t="s">
        <v>88</v>
      </c>
      <c r="F2529" s="55">
        <v>87</v>
      </c>
      <c r="G2529" s="63">
        <v>2.3900000000000001E-2</v>
      </c>
    </row>
    <row r="2530" spans="1:7" x14ac:dyDescent="0.2">
      <c r="A2530" t="s">
        <v>89</v>
      </c>
      <c r="B2530" t="s">
        <v>164</v>
      </c>
      <c r="C2530" t="s">
        <v>196</v>
      </c>
      <c r="D2530" t="s">
        <v>74</v>
      </c>
      <c r="E2530" t="s">
        <v>75</v>
      </c>
      <c r="F2530" s="55">
        <v>62</v>
      </c>
      <c r="G2530" s="63">
        <v>3.1300000000000001E-2</v>
      </c>
    </row>
    <row r="2531" spans="1:7" x14ac:dyDescent="0.2">
      <c r="A2531" t="s">
        <v>89</v>
      </c>
      <c r="B2531" t="s">
        <v>164</v>
      </c>
      <c r="C2531" t="s">
        <v>196</v>
      </c>
      <c r="D2531" t="s">
        <v>74</v>
      </c>
      <c r="E2531" t="s">
        <v>76</v>
      </c>
      <c r="F2531" s="55">
        <v>51</v>
      </c>
      <c r="G2531" s="63">
        <v>3.3999999999999998E-3</v>
      </c>
    </row>
    <row r="2532" spans="1:7" x14ac:dyDescent="0.2">
      <c r="A2532" t="s">
        <v>89</v>
      </c>
      <c r="B2532" t="s">
        <v>164</v>
      </c>
      <c r="C2532" t="s">
        <v>196</v>
      </c>
      <c r="D2532" t="s">
        <v>74</v>
      </c>
      <c r="E2532" t="s">
        <v>77</v>
      </c>
      <c r="F2532" s="55">
        <v>67</v>
      </c>
      <c r="G2532" s="63">
        <v>1.03E-2</v>
      </c>
    </row>
    <row r="2533" spans="1:7" x14ac:dyDescent="0.2">
      <c r="A2533" t="s">
        <v>89</v>
      </c>
      <c r="B2533" t="s">
        <v>164</v>
      </c>
      <c r="C2533" t="s">
        <v>196</v>
      </c>
      <c r="D2533" t="s">
        <v>74</v>
      </c>
      <c r="E2533" t="s">
        <v>78</v>
      </c>
      <c r="F2533" s="55">
        <v>63</v>
      </c>
      <c r="G2533" s="63">
        <v>8.5000000000000006E-3</v>
      </c>
    </row>
    <row r="2534" spans="1:7" x14ac:dyDescent="0.2">
      <c r="A2534" t="s">
        <v>89</v>
      </c>
      <c r="B2534" t="s">
        <v>164</v>
      </c>
      <c r="C2534" t="s">
        <v>196</v>
      </c>
      <c r="D2534" t="s">
        <v>74</v>
      </c>
      <c r="E2534" t="s">
        <v>79</v>
      </c>
      <c r="F2534" s="55">
        <v>61</v>
      </c>
      <c r="G2534" s="63">
        <v>1.6199999999999999E-2</v>
      </c>
    </row>
    <row r="2535" spans="1:7" x14ac:dyDescent="0.2">
      <c r="A2535" t="s">
        <v>89</v>
      </c>
      <c r="B2535" t="s">
        <v>164</v>
      </c>
      <c r="C2535" t="s">
        <v>196</v>
      </c>
      <c r="D2535" t="s">
        <v>74</v>
      </c>
      <c r="E2535" t="s">
        <v>80</v>
      </c>
      <c r="F2535" s="55">
        <v>58</v>
      </c>
      <c r="G2535" s="63">
        <v>3.5999999999999999E-3</v>
      </c>
    </row>
    <row r="2536" spans="1:7" x14ac:dyDescent="0.2">
      <c r="A2536" t="s">
        <v>89</v>
      </c>
      <c r="B2536" t="s">
        <v>164</v>
      </c>
      <c r="C2536" t="s">
        <v>196</v>
      </c>
      <c r="D2536" t="s">
        <v>74</v>
      </c>
      <c r="E2536" t="s">
        <v>81</v>
      </c>
      <c r="F2536" s="55">
        <v>43</v>
      </c>
      <c r="G2536" s="63">
        <v>3.5999999999999999E-3</v>
      </c>
    </row>
    <row r="2537" spans="1:7" x14ac:dyDescent="0.2">
      <c r="A2537" t="s">
        <v>89</v>
      </c>
      <c r="B2537" t="s">
        <v>164</v>
      </c>
      <c r="C2537" t="s">
        <v>196</v>
      </c>
      <c r="D2537" t="s">
        <v>74</v>
      </c>
      <c r="E2537" t="s">
        <v>82</v>
      </c>
      <c r="F2537" s="55">
        <v>65</v>
      </c>
      <c r="G2537" s="63">
        <v>1.1900000000000001E-2</v>
      </c>
    </row>
    <row r="2538" spans="1:7" x14ac:dyDescent="0.2">
      <c r="A2538" t="s">
        <v>89</v>
      </c>
      <c r="B2538" t="s">
        <v>164</v>
      </c>
      <c r="C2538" t="s">
        <v>196</v>
      </c>
      <c r="D2538" t="s">
        <v>74</v>
      </c>
      <c r="E2538" t="s">
        <v>83</v>
      </c>
      <c r="F2538" s="55">
        <v>45</v>
      </c>
      <c r="G2538" s="63">
        <v>1.6999999999999999E-3</v>
      </c>
    </row>
    <row r="2539" spans="1:7" x14ac:dyDescent="0.2">
      <c r="A2539" t="s">
        <v>89</v>
      </c>
      <c r="B2539" t="s">
        <v>164</v>
      </c>
      <c r="C2539" t="s">
        <v>196</v>
      </c>
      <c r="D2539" t="s">
        <v>74</v>
      </c>
      <c r="E2539" t="s">
        <v>84</v>
      </c>
      <c r="F2539" s="55">
        <v>64</v>
      </c>
      <c r="G2539" s="63">
        <v>6.7999999999999996E-3</v>
      </c>
    </row>
    <row r="2540" spans="1:7" x14ac:dyDescent="0.2">
      <c r="A2540" t="s">
        <v>89</v>
      </c>
      <c r="B2540" t="s">
        <v>164</v>
      </c>
      <c r="C2540" t="s">
        <v>196</v>
      </c>
      <c r="D2540" t="s">
        <v>74</v>
      </c>
      <c r="E2540" t="s">
        <v>85</v>
      </c>
      <c r="F2540" s="55">
        <v>63</v>
      </c>
      <c r="G2540" s="63">
        <v>3.8999999999999998E-3</v>
      </c>
    </row>
    <row r="2541" spans="1:7" x14ac:dyDescent="0.2">
      <c r="A2541" t="s">
        <v>89</v>
      </c>
      <c r="B2541" t="s">
        <v>164</v>
      </c>
      <c r="C2541" t="s">
        <v>196</v>
      </c>
      <c r="D2541" t="s">
        <v>74</v>
      </c>
      <c r="E2541" t="s">
        <v>86</v>
      </c>
      <c r="F2541" s="55">
        <v>62</v>
      </c>
      <c r="G2541" s="63">
        <v>4.8999999999999998E-3</v>
      </c>
    </row>
    <row r="2542" spans="1:7" x14ac:dyDescent="0.2">
      <c r="A2542" t="s">
        <v>89</v>
      </c>
      <c r="B2542" t="s">
        <v>164</v>
      </c>
      <c r="C2542" t="s">
        <v>196</v>
      </c>
      <c r="D2542" t="s">
        <v>74</v>
      </c>
      <c r="E2542" t="s">
        <v>87</v>
      </c>
      <c r="F2542" s="55">
        <v>60</v>
      </c>
      <c r="G2542" s="63">
        <v>6.1999999999999998E-3</v>
      </c>
    </row>
    <row r="2543" spans="1:7" x14ac:dyDescent="0.2">
      <c r="A2543" t="s">
        <v>89</v>
      </c>
      <c r="B2543" t="s">
        <v>164</v>
      </c>
      <c r="C2543" t="s">
        <v>196</v>
      </c>
      <c r="D2543" t="s">
        <v>74</v>
      </c>
      <c r="E2543" t="s">
        <v>88</v>
      </c>
      <c r="F2543" s="55">
        <v>53</v>
      </c>
      <c r="G2543" s="63">
        <v>5.7999999999999996E-3</v>
      </c>
    </row>
    <row r="2544" spans="1:7" x14ac:dyDescent="0.2">
      <c r="A2544" t="s">
        <v>89</v>
      </c>
      <c r="B2544" t="s">
        <v>165</v>
      </c>
      <c r="C2544" t="s">
        <v>196</v>
      </c>
      <c r="D2544" t="s">
        <v>74</v>
      </c>
      <c r="E2544" t="s">
        <v>75</v>
      </c>
      <c r="F2544" s="55">
        <v>67</v>
      </c>
      <c r="G2544" s="63">
        <v>2.87E-2</v>
      </c>
    </row>
    <row r="2545" spans="1:7" x14ac:dyDescent="0.2">
      <c r="A2545" t="s">
        <v>89</v>
      </c>
      <c r="B2545" t="s">
        <v>165</v>
      </c>
      <c r="C2545" t="s">
        <v>196</v>
      </c>
      <c r="D2545" t="s">
        <v>74</v>
      </c>
      <c r="E2545" t="s">
        <v>76</v>
      </c>
      <c r="F2545" s="55">
        <v>75</v>
      </c>
      <c r="G2545" s="63">
        <v>3.8999999999999998E-3</v>
      </c>
    </row>
    <row r="2546" spans="1:7" x14ac:dyDescent="0.2">
      <c r="A2546" t="s">
        <v>89</v>
      </c>
      <c r="B2546" t="s">
        <v>165</v>
      </c>
      <c r="C2546" t="s">
        <v>196</v>
      </c>
      <c r="D2546" t="s">
        <v>74</v>
      </c>
      <c r="E2546" t="s">
        <v>77</v>
      </c>
      <c r="F2546" s="55">
        <v>72</v>
      </c>
      <c r="G2546" s="63">
        <v>9.1000000000000004E-3</v>
      </c>
    </row>
    <row r="2547" spans="1:7" x14ac:dyDescent="0.2">
      <c r="A2547" t="s">
        <v>89</v>
      </c>
      <c r="B2547" t="s">
        <v>165</v>
      </c>
      <c r="C2547" t="s">
        <v>196</v>
      </c>
      <c r="D2547" t="s">
        <v>74</v>
      </c>
      <c r="E2547" t="s">
        <v>78</v>
      </c>
      <c r="F2547" s="55">
        <v>62</v>
      </c>
      <c r="G2547" s="63">
        <v>6.6E-3</v>
      </c>
    </row>
    <row r="2548" spans="1:7" x14ac:dyDescent="0.2">
      <c r="A2548" t="s">
        <v>89</v>
      </c>
      <c r="B2548" t="s">
        <v>165</v>
      </c>
      <c r="C2548" t="s">
        <v>196</v>
      </c>
      <c r="D2548" t="s">
        <v>74</v>
      </c>
      <c r="E2548" t="s">
        <v>79</v>
      </c>
      <c r="F2548" s="55">
        <v>66</v>
      </c>
      <c r="G2548" s="63">
        <v>1.5900000000000001E-2</v>
      </c>
    </row>
    <row r="2549" spans="1:7" x14ac:dyDescent="0.2">
      <c r="A2549" t="s">
        <v>89</v>
      </c>
      <c r="B2549" t="s">
        <v>165</v>
      </c>
      <c r="C2549" t="s">
        <v>196</v>
      </c>
      <c r="D2549" t="s">
        <v>74</v>
      </c>
      <c r="E2549" t="s">
        <v>80</v>
      </c>
      <c r="F2549" s="55">
        <v>58</v>
      </c>
      <c r="G2549" s="63">
        <v>5.8999999999999999E-3</v>
      </c>
    </row>
    <row r="2550" spans="1:7" x14ac:dyDescent="0.2">
      <c r="A2550" t="s">
        <v>89</v>
      </c>
      <c r="B2550" t="s">
        <v>165</v>
      </c>
      <c r="C2550" t="s">
        <v>196</v>
      </c>
      <c r="D2550" t="s">
        <v>74</v>
      </c>
      <c r="E2550" t="s">
        <v>81</v>
      </c>
      <c r="F2550" s="55">
        <v>60</v>
      </c>
      <c r="G2550" s="63">
        <v>5.7999999999999996E-3</v>
      </c>
    </row>
    <row r="2551" spans="1:7" x14ac:dyDescent="0.2">
      <c r="A2551" t="s">
        <v>89</v>
      </c>
      <c r="B2551" t="s">
        <v>165</v>
      </c>
      <c r="C2551" t="s">
        <v>196</v>
      </c>
      <c r="D2551" t="s">
        <v>74</v>
      </c>
      <c r="E2551" t="s">
        <v>82</v>
      </c>
      <c r="F2551" s="55">
        <v>69</v>
      </c>
      <c r="G2551" s="63">
        <v>1.12E-2</v>
      </c>
    </row>
    <row r="2552" spans="1:7" x14ac:dyDescent="0.2">
      <c r="A2552" t="s">
        <v>89</v>
      </c>
      <c r="B2552" t="s">
        <v>165</v>
      </c>
      <c r="C2552" t="s">
        <v>196</v>
      </c>
      <c r="D2552" t="s">
        <v>74</v>
      </c>
      <c r="E2552" t="s">
        <v>83</v>
      </c>
      <c r="F2552" s="55">
        <v>62</v>
      </c>
      <c r="G2552" s="63">
        <v>2.5999999999999999E-3</v>
      </c>
    </row>
    <row r="2553" spans="1:7" x14ac:dyDescent="0.2">
      <c r="A2553" t="s">
        <v>89</v>
      </c>
      <c r="B2553" t="s">
        <v>165</v>
      </c>
      <c r="C2553" t="s">
        <v>196</v>
      </c>
      <c r="D2553" t="s">
        <v>74</v>
      </c>
      <c r="E2553" t="s">
        <v>84</v>
      </c>
      <c r="F2553" s="55">
        <v>65</v>
      </c>
      <c r="G2553" s="63">
        <v>5.0000000000000001E-3</v>
      </c>
    </row>
    <row r="2554" spans="1:7" x14ac:dyDescent="0.2">
      <c r="A2554" t="s">
        <v>89</v>
      </c>
      <c r="B2554" t="s">
        <v>165</v>
      </c>
      <c r="C2554" t="s">
        <v>196</v>
      </c>
      <c r="D2554" t="s">
        <v>74</v>
      </c>
      <c r="E2554" t="s">
        <v>85</v>
      </c>
      <c r="F2554" s="55">
        <v>67</v>
      </c>
      <c r="G2554" s="63">
        <v>5.4000000000000003E-3</v>
      </c>
    </row>
    <row r="2555" spans="1:7" x14ac:dyDescent="0.2">
      <c r="A2555" t="s">
        <v>89</v>
      </c>
      <c r="B2555" t="s">
        <v>165</v>
      </c>
      <c r="C2555" t="s">
        <v>196</v>
      </c>
      <c r="D2555" t="s">
        <v>74</v>
      </c>
      <c r="E2555" t="s">
        <v>86</v>
      </c>
      <c r="F2555" s="55">
        <v>73</v>
      </c>
      <c r="G2555" s="63">
        <v>6.0000000000000001E-3</v>
      </c>
    </row>
    <row r="2556" spans="1:7" x14ac:dyDescent="0.2">
      <c r="A2556" t="s">
        <v>89</v>
      </c>
      <c r="B2556" t="s">
        <v>165</v>
      </c>
      <c r="C2556" t="s">
        <v>196</v>
      </c>
      <c r="D2556" t="s">
        <v>74</v>
      </c>
      <c r="E2556" t="s">
        <v>87</v>
      </c>
      <c r="F2556" s="55">
        <v>66</v>
      </c>
      <c r="G2556" s="63">
        <v>6.8999999999999999E-3</v>
      </c>
    </row>
    <row r="2557" spans="1:7" x14ac:dyDescent="0.2">
      <c r="A2557" t="s">
        <v>89</v>
      </c>
      <c r="B2557" t="s">
        <v>165</v>
      </c>
      <c r="C2557" t="s">
        <v>196</v>
      </c>
      <c r="D2557" t="s">
        <v>74</v>
      </c>
      <c r="E2557" t="s">
        <v>88</v>
      </c>
      <c r="F2557" s="55">
        <v>71</v>
      </c>
      <c r="G2557" s="63">
        <v>5.4999999999999997E-3</v>
      </c>
    </row>
    <row r="2558" spans="1:7" x14ac:dyDescent="0.2">
      <c r="A2558" t="s">
        <v>71</v>
      </c>
      <c r="B2558" t="s">
        <v>15</v>
      </c>
      <c r="C2558" t="s">
        <v>196</v>
      </c>
      <c r="D2558" t="s">
        <v>74</v>
      </c>
      <c r="E2558" t="s">
        <v>75</v>
      </c>
      <c r="F2558" s="55">
        <v>92</v>
      </c>
      <c r="G2558" s="63">
        <v>0.2384</v>
      </c>
    </row>
    <row r="2559" spans="1:7" x14ac:dyDescent="0.2">
      <c r="A2559" t="s">
        <v>71</v>
      </c>
      <c r="B2559" t="s">
        <v>15</v>
      </c>
      <c r="C2559" t="s">
        <v>196</v>
      </c>
      <c r="D2559" t="s">
        <v>74</v>
      </c>
      <c r="E2559" t="s">
        <v>76</v>
      </c>
      <c r="F2559" s="55">
        <v>77</v>
      </c>
      <c r="G2559" s="63">
        <v>2.5999999999999999E-2</v>
      </c>
    </row>
    <row r="2560" spans="1:7" x14ac:dyDescent="0.2">
      <c r="A2560" t="s">
        <v>71</v>
      </c>
      <c r="B2560" t="s">
        <v>15</v>
      </c>
      <c r="C2560" t="s">
        <v>196</v>
      </c>
      <c r="D2560" t="s">
        <v>74</v>
      </c>
      <c r="E2560" t="s">
        <v>77</v>
      </c>
      <c r="F2560" s="55">
        <v>74</v>
      </c>
      <c r="G2560" s="63">
        <v>6.2100000000000002E-2</v>
      </c>
    </row>
    <row r="2561" spans="1:7" x14ac:dyDescent="0.2">
      <c r="A2561" t="s">
        <v>71</v>
      </c>
      <c r="B2561" t="s">
        <v>15</v>
      </c>
      <c r="C2561" t="s">
        <v>196</v>
      </c>
      <c r="D2561" t="s">
        <v>74</v>
      </c>
      <c r="E2561" t="s">
        <v>78</v>
      </c>
      <c r="F2561" s="55">
        <v>68</v>
      </c>
      <c r="G2561" s="63">
        <v>5.16E-2</v>
      </c>
    </row>
    <row r="2562" spans="1:7" x14ac:dyDescent="0.2">
      <c r="A2562" t="s">
        <v>71</v>
      </c>
      <c r="B2562" t="s">
        <v>15</v>
      </c>
      <c r="C2562" t="s">
        <v>196</v>
      </c>
      <c r="D2562" t="s">
        <v>74</v>
      </c>
      <c r="E2562" t="s">
        <v>79</v>
      </c>
      <c r="F2562" s="55">
        <v>97</v>
      </c>
      <c r="G2562" s="63">
        <v>0.16919999999999999</v>
      </c>
    </row>
    <row r="2563" spans="1:7" x14ac:dyDescent="0.2">
      <c r="A2563" t="s">
        <v>71</v>
      </c>
      <c r="B2563" t="s">
        <v>15</v>
      </c>
      <c r="C2563" t="s">
        <v>196</v>
      </c>
      <c r="D2563" t="s">
        <v>74</v>
      </c>
      <c r="E2563" t="s">
        <v>80</v>
      </c>
      <c r="F2563" s="55">
        <v>100</v>
      </c>
      <c r="G2563" s="63">
        <v>8.3500000000000005E-2</v>
      </c>
    </row>
    <row r="2564" spans="1:7" x14ac:dyDescent="0.2">
      <c r="A2564" t="s">
        <v>71</v>
      </c>
      <c r="B2564" t="s">
        <v>15</v>
      </c>
      <c r="C2564" t="s">
        <v>196</v>
      </c>
      <c r="D2564" t="s">
        <v>74</v>
      </c>
      <c r="E2564" t="s">
        <v>81</v>
      </c>
      <c r="F2564" s="55">
        <v>97</v>
      </c>
      <c r="G2564" s="63">
        <v>7.17E-2</v>
      </c>
    </row>
    <row r="2565" spans="1:7" x14ac:dyDescent="0.2">
      <c r="A2565" t="s">
        <v>71</v>
      </c>
      <c r="B2565" t="s">
        <v>15</v>
      </c>
      <c r="C2565" t="s">
        <v>196</v>
      </c>
      <c r="D2565" t="s">
        <v>74</v>
      </c>
      <c r="E2565" t="s">
        <v>82</v>
      </c>
      <c r="F2565" s="55">
        <v>70</v>
      </c>
      <c r="G2565" s="63">
        <v>9.0999999999999998E-2</v>
      </c>
    </row>
    <row r="2566" spans="1:7" x14ac:dyDescent="0.2">
      <c r="A2566" t="s">
        <v>71</v>
      </c>
      <c r="B2566" t="s">
        <v>15</v>
      </c>
      <c r="C2566" t="s">
        <v>196</v>
      </c>
      <c r="D2566" t="s">
        <v>74</v>
      </c>
      <c r="E2566" t="s">
        <v>83</v>
      </c>
      <c r="F2566" s="55">
        <v>96</v>
      </c>
      <c r="G2566" s="63">
        <v>2.9100000000000001E-2</v>
      </c>
    </row>
    <row r="2567" spans="1:7" x14ac:dyDescent="0.2">
      <c r="A2567" t="s">
        <v>71</v>
      </c>
      <c r="B2567" t="s">
        <v>15</v>
      </c>
      <c r="C2567" t="s">
        <v>196</v>
      </c>
      <c r="D2567" t="s">
        <v>74</v>
      </c>
      <c r="E2567" t="s">
        <v>84</v>
      </c>
      <c r="F2567" s="55">
        <v>69</v>
      </c>
      <c r="G2567" s="63">
        <v>3.9300000000000002E-2</v>
      </c>
    </row>
    <row r="2568" spans="1:7" x14ac:dyDescent="0.2">
      <c r="A2568" t="s">
        <v>71</v>
      </c>
      <c r="B2568" t="s">
        <v>15</v>
      </c>
      <c r="C2568" t="s">
        <v>196</v>
      </c>
      <c r="D2568" t="s">
        <v>74</v>
      </c>
      <c r="E2568" t="s">
        <v>85</v>
      </c>
      <c r="F2568" s="55">
        <v>101</v>
      </c>
      <c r="G2568" s="63">
        <v>8.6499999999999994E-2</v>
      </c>
    </row>
    <row r="2569" spans="1:7" x14ac:dyDescent="0.2">
      <c r="A2569" t="s">
        <v>71</v>
      </c>
      <c r="B2569" t="s">
        <v>15</v>
      </c>
      <c r="C2569" t="s">
        <v>196</v>
      </c>
      <c r="D2569" t="s">
        <v>74</v>
      </c>
      <c r="E2569" t="s">
        <v>86</v>
      </c>
      <c r="F2569" s="55">
        <v>99</v>
      </c>
      <c r="G2569" s="63">
        <v>9.6100000000000005E-2</v>
      </c>
    </row>
    <row r="2570" spans="1:7" x14ac:dyDescent="0.2">
      <c r="A2570" t="s">
        <v>71</v>
      </c>
      <c r="B2570" t="s">
        <v>15</v>
      </c>
      <c r="C2570" t="s">
        <v>196</v>
      </c>
      <c r="D2570" t="s">
        <v>74</v>
      </c>
      <c r="E2570" t="s">
        <v>87</v>
      </c>
      <c r="F2570" s="55">
        <v>95</v>
      </c>
      <c r="G2570" s="63">
        <v>8.7300000000000003E-2</v>
      </c>
    </row>
    <row r="2571" spans="1:7" x14ac:dyDescent="0.2">
      <c r="A2571" t="s">
        <v>71</v>
      </c>
      <c r="B2571" t="s">
        <v>15</v>
      </c>
      <c r="C2571" t="s">
        <v>196</v>
      </c>
      <c r="D2571" t="s">
        <v>74</v>
      </c>
      <c r="E2571" t="s">
        <v>88</v>
      </c>
      <c r="F2571" s="55">
        <v>85</v>
      </c>
      <c r="G2571" s="63">
        <v>4.3099999999999999E-2</v>
      </c>
    </row>
    <row r="2572" spans="1:7" x14ac:dyDescent="0.2">
      <c r="A2572" t="s">
        <v>71</v>
      </c>
      <c r="B2572" t="s">
        <v>166</v>
      </c>
      <c r="C2572" t="s">
        <v>196</v>
      </c>
      <c r="D2572" t="s">
        <v>74</v>
      </c>
      <c r="E2572" t="s">
        <v>75</v>
      </c>
      <c r="F2572" s="55">
        <v>108</v>
      </c>
      <c r="G2572" s="63">
        <v>0.19620000000000001</v>
      </c>
    </row>
    <row r="2573" spans="1:7" x14ac:dyDescent="0.2">
      <c r="A2573" t="s">
        <v>71</v>
      </c>
      <c r="B2573" t="s">
        <v>166</v>
      </c>
      <c r="C2573" t="s">
        <v>196</v>
      </c>
      <c r="D2573" t="s">
        <v>74</v>
      </c>
      <c r="E2573" t="s">
        <v>76</v>
      </c>
      <c r="F2573" s="55">
        <v>107</v>
      </c>
      <c r="G2573" s="63">
        <v>3.4000000000000002E-2</v>
      </c>
    </row>
    <row r="2574" spans="1:7" x14ac:dyDescent="0.2">
      <c r="A2574" t="s">
        <v>71</v>
      </c>
      <c r="B2574" t="s">
        <v>166</v>
      </c>
      <c r="C2574" t="s">
        <v>196</v>
      </c>
      <c r="D2574" t="s">
        <v>74</v>
      </c>
      <c r="E2574" t="s">
        <v>77</v>
      </c>
      <c r="F2574" s="55">
        <v>112</v>
      </c>
      <c r="G2574" s="63">
        <v>7.51E-2</v>
      </c>
    </row>
    <row r="2575" spans="1:7" x14ac:dyDescent="0.2">
      <c r="A2575" t="s">
        <v>71</v>
      </c>
      <c r="B2575" t="s">
        <v>166</v>
      </c>
      <c r="C2575" t="s">
        <v>196</v>
      </c>
      <c r="D2575" t="s">
        <v>74</v>
      </c>
      <c r="E2575" t="s">
        <v>78</v>
      </c>
      <c r="F2575" s="55">
        <v>106</v>
      </c>
      <c r="G2575" s="63">
        <v>7.4300000000000005E-2</v>
      </c>
    </row>
    <row r="2576" spans="1:7" x14ac:dyDescent="0.2">
      <c r="A2576" t="s">
        <v>71</v>
      </c>
      <c r="B2576" t="s">
        <v>166</v>
      </c>
      <c r="C2576" t="s">
        <v>196</v>
      </c>
      <c r="D2576" t="s">
        <v>74</v>
      </c>
      <c r="E2576" t="s">
        <v>79</v>
      </c>
      <c r="F2576" s="55">
        <v>109</v>
      </c>
      <c r="G2576" s="63">
        <v>0.14599999999999999</v>
      </c>
    </row>
    <row r="2577" spans="1:7" x14ac:dyDescent="0.2">
      <c r="A2577" t="s">
        <v>71</v>
      </c>
      <c r="B2577" t="s">
        <v>166</v>
      </c>
      <c r="C2577" t="s">
        <v>196</v>
      </c>
      <c r="D2577" t="s">
        <v>74</v>
      </c>
      <c r="E2577" t="s">
        <v>80</v>
      </c>
      <c r="F2577" s="55">
        <v>103</v>
      </c>
      <c r="G2577" s="63">
        <v>7.0800000000000002E-2</v>
      </c>
    </row>
    <row r="2578" spans="1:7" x14ac:dyDescent="0.2">
      <c r="A2578" t="s">
        <v>71</v>
      </c>
      <c r="B2578" t="s">
        <v>166</v>
      </c>
      <c r="C2578" t="s">
        <v>196</v>
      </c>
      <c r="D2578" t="s">
        <v>74</v>
      </c>
      <c r="E2578" t="s">
        <v>81</v>
      </c>
      <c r="F2578" s="55">
        <v>103</v>
      </c>
      <c r="G2578" s="63">
        <v>6.4199999999999993E-2</v>
      </c>
    </row>
    <row r="2579" spans="1:7" x14ac:dyDescent="0.2">
      <c r="A2579" t="s">
        <v>71</v>
      </c>
      <c r="B2579" t="s">
        <v>166</v>
      </c>
      <c r="C2579" t="s">
        <v>196</v>
      </c>
      <c r="D2579" t="s">
        <v>74</v>
      </c>
      <c r="E2579" t="s">
        <v>82</v>
      </c>
      <c r="F2579" s="55">
        <v>108</v>
      </c>
      <c r="G2579" s="63">
        <v>0.1024</v>
      </c>
    </row>
    <row r="2580" spans="1:7" x14ac:dyDescent="0.2">
      <c r="A2580" t="s">
        <v>71</v>
      </c>
      <c r="B2580" t="s">
        <v>166</v>
      </c>
      <c r="C2580" t="s">
        <v>196</v>
      </c>
      <c r="D2580" t="s">
        <v>74</v>
      </c>
      <c r="E2580" t="s">
        <v>83</v>
      </c>
      <c r="F2580" s="55">
        <v>104</v>
      </c>
      <c r="G2580" s="63">
        <v>3.3599999999999998E-2</v>
      </c>
    </row>
    <row r="2581" spans="1:7" x14ac:dyDescent="0.2">
      <c r="A2581" t="s">
        <v>71</v>
      </c>
      <c r="B2581" t="s">
        <v>166</v>
      </c>
      <c r="C2581" t="s">
        <v>196</v>
      </c>
      <c r="D2581" t="s">
        <v>74</v>
      </c>
      <c r="E2581" t="s">
        <v>84</v>
      </c>
      <c r="F2581" s="55">
        <v>104</v>
      </c>
      <c r="G2581" s="63">
        <v>5.9700000000000003E-2</v>
      </c>
    </row>
    <row r="2582" spans="1:7" x14ac:dyDescent="0.2">
      <c r="A2582" t="s">
        <v>71</v>
      </c>
      <c r="B2582" t="s">
        <v>166</v>
      </c>
      <c r="C2582" t="s">
        <v>196</v>
      </c>
      <c r="D2582" t="s">
        <v>74</v>
      </c>
      <c r="E2582" t="s">
        <v>85</v>
      </c>
      <c r="F2582" s="55">
        <v>105</v>
      </c>
      <c r="G2582" s="63">
        <v>8.2900000000000001E-2</v>
      </c>
    </row>
    <row r="2583" spans="1:7" x14ac:dyDescent="0.2">
      <c r="A2583" t="s">
        <v>71</v>
      </c>
      <c r="B2583" t="s">
        <v>166</v>
      </c>
      <c r="C2583" t="s">
        <v>196</v>
      </c>
      <c r="D2583" t="s">
        <v>74</v>
      </c>
      <c r="E2583" t="s">
        <v>86</v>
      </c>
      <c r="F2583" s="55">
        <v>111</v>
      </c>
      <c r="G2583" s="63">
        <v>9.06E-2</v>
      </c>
    </row>
    <row r="2584" spans="1:7" x14ac:dyDescent="0.2">
      <c r="A2584" t="s">
        <v>71</v>
      </c>
      <c r="B2584" t="s">
        <v>166</v>
      </c>
      <c r="C2584" t="s">
        <v>196</v>
      </c>
      <c r="D2584" t="s">
        <v>74</v>
      </c>
      <c r="E2584" t="s">
        <v>87</v>
      </c>
      <c r="F2584" s="55">
        <v>111</v>
      </c>
      <c r="G2584" s="63">
        <v>9.3899999999999997E-2</v>
      </c>
    </row>
    <row r="2585" spans="1:7" x14ac:dyDescent="0.2">
      <c r="A2585" t="s">
        <v>71</v>
      </c>
      <c r="B2585" t="s">
        <v>166</v>
      </c>
      <c r="C2585" t="s">
        <v>196</v>
      </c>
      <c r="D2585" t="s">
        <v>74</v>
      </c>
      <c r="E2585" t="s">
        <v>88</v>
      </c>
      <c r="F2585" s="55">
        <v>105</v>
      </c>
      <c r="G2585" s="63">
        <v>5.3699999999999998E-2</v>
      </c>
    </row>
    <row r="2586" spans="1:7" x14ac:dyDescent="0.2">
      <c r="A2586" t="s">
        <v>71</v>
      </c>
      <c r="B2586" t="s">
        <v>167</v>
      </c>
      <c r="C2586" t="s">
        <v>196</v>
      </c>
      <c r="D2586" t="s">
        <v>74</v>
      </c>
      <c r="E2586" t="s">
        <v>75</v>
      </c>
      <c r="F2586" s="55">
        <v>84</v>
      </c>
      <c r="G2586" s="63">
        <v>0.2261</v>
      </c>
    </row>
    <row r="2587" spans="1:7" x14ac:dyDescent="0.2">
      <c r="A2587" t="s">
        <v>71</v>
      </c>
      <c r="B2587" t="s">
        <v>167</v>
      </c>
      <c r="C2587" t="s">
        <v>196</v>
      </c>
      <c r="D2587" t="s">
        <v>74</v>
      </c>
      <c r="E2587" t="s">
        <v>76</v>
      </c>
      <c r="F2587" s="55">
        <v>76</v>
      </c>
      <c r="G2587" s="63">
        <v>2.23E-2</v>
      </c>
    </row>
    <row r="2588" spans="1:7" x14ac:dyDescent="0.2">
      <c r="A2588" t="s">
        <v>71</v>
      </c>
      <c r="B2588" t="s">
        <v>167</v>
      </c>
      <c r="C2588" t="s">
        <v>196</v>
      </c>
      <c r="D2588" t="s">
        <v>74</v>
      </c>
      <c r="E2588" t="s">
        <v>77</v>
      </c>
      <c r="F2588" s="55">
        <v>91</v>
      </c>
      <c r="G2588" s="63">
        <v>7.0300000000000001E-2</v>
      </c>
    </row>
    <row r="2589" spans="1:7" x14ac:dyDescent="0.2">
      <c r="A2589" t="s">
        <v>71</v>
      </c>
      <c r="B2589" t="s">
        <v>167</v>
      </c>
      <c r="C2589" t="s">
        <v>196</v>
      </c>
      <c r="D2589" t="s">
        <v>74</v>
      </c>
      <c r="E2589" t="s">
        <v>78</v>
      </c>
      <c r="F2589" s="55">
        <v>89</v>
      </c>
      <c r="G2589" s="63">
        <v>5.6000000000000001E-2</v>
      </c>
    </row>
    <row r="2590" spans="1:7" x14ac:dyDescent="0.2">
      <c r="A2590" t="s">
        <v>71</v>
      </c>
      <c r="B2590" t="s">
        <v>167</v>
      </c>
      <c r="C2590" t="s">
        <v>196</v>
      </c>
      <c r="D2590" t="s">
        <v>74</v>
      </c>
      <c r="E2590" t="s">
        <v>79</v>
      </c>
      <c r="F2590" s="55">
        <v>84</v>
      </c>
      <c r="G2590" s="63">
        <v>0.14460000000000001</v>
      </c>
    </row>
    <row r="2591" spans="1:7" x14ac:dyDescent="0.2">
      <c r="A2591" t="s">
        <v>71</v>
      </c>
      <c r="B2591" t="s">
        <v>167</v>
      </c>
      <c r="C2591" t="s">
        <v>196</v>
      </c>
      <c r="D2591" t="s">
        <v>74</v>
      </c>
      <c r="E2591" t="s">
        <v>80</v>
      </c>
      <c r="F2591" s="55">
        <v>82</v>
      </c>
      <c r="G2591" s="63">
        <v>5.0700000000000002E-2</v>
      </c>
    </row>
    <row r="2592" spans="1:7" x14ac:dyDescent="0.2">
      <c r="A2592" t="s">
        <v>71</v>
      </c>
      <c r="B2592" t="s">
        <v>167</v>
      </c>
      <c r="C2592" t="s">
        <v>196</v>
      </c>
      <c r="D2592" t="s">
        <v>74</v>
      </c>
      <c r="E2592" t="s">
        <v>81</v>
      </c>
      <c r="F2592" s="55">
        <v>80</v>
      </c>
      <c r="G2592" s="63">
        <v>4.99E-2</v>
      </c>
    </row>
    <row r="2593" spans="1:7" x14ac:dyDescent="0.2">
      <c r="A2593" t="s">
        <v>71</v>
      </c>
      <c r="B2593" t="s">
        <v>167</v>
      </c>
      <c r="C2593" t="s">
        <v>196</v>
      </c>
      <c r="D2593" t="s">
        <v>74</v>
      </c>
      <c r="E2593" t="s">
        <v>82</v>
      </c>
      <c r="F2593" s="55">
        <v>82</v>
      </c>
      <c r="G2593" s="63">
        <v>0.1008</v>
      </c>
    </row>
    <row r="2594" spans="1:7" x14ac:dyDescent="0.2">
      <c r="A2594" t="s">
        <v>71</v>
      </c>
      <c r="B2594" t="s">
        <v>167</v>
      </c>
      <c r="C2594" t="s">
        <v>196</v>
      </c>
      <c r="D2594" t="s">
        <v>74</v>
      </c>
      <c r="E2594" t="s">
        <v>83</v>
      </c>
      <c r="F2594" s="55">
        <v>82</v>
      </c>
      <c r="G2594" s="63">
        <v>2.2599999999999999E-2</v>
      </c>
    </row>
    <row r="2595" spans="1:7" x14ac:dyDescent="0.2">
      <c r="A2595" t="s">
        <v>71</v>
      </c>
      <c r="B2595" t="s">
        <v>167</v>
      </c>
      <c r="C2595" t="s">
        <v>196</v>
      </c>
      <c r="D2595" t="s">
        <v>74</v>
      </c>
      <c r="E2595" t="s">
        <v>84</v>
      </c>
      <c r="F2595" s="55">
        <v>91</v>
      </c>
      <c r="G2595" s="63">
        <v>4.2500000000000003E-2</v>
      </c>
    </row>
    <row r="2596" spans="1:7" x14ac:dyDescent="0.2">
      <c r="A2596" t="s">
        <v>71</v>
      </c>
      <c r="B2596" t="s">
        <v>167</v>
      </c>
      <c r="C2596" t="s">
        <v>196</v>
      </c>
      <c r="D2596" t="s">
        <v>74</v>
      </c>
      <c r="E2596" t="s">
        <v>85</v>
      </c>
      <c r="F2596" s="55">
        <v>81</v>
      </c>
      <c r="G2596" s="63">
        <v>5.4899999999999997E-2</v>
      </c>
    </row>
    <row r="2597" spans="1:7" x14ac:dyDescent="0.2">
      <c r="A2597" t="s">
        <v>71</v>
      </c>
      <c r="B2597" t="s">
        <v>167</v>
      </c>
      <c r="C2597" t="s">
        <v>196</v>
      </c>
      <c r="D2597" t="s">
        <v>74</v>
      </c>
      <c r="E2597" t="s">
        <v>86</v>
      </c>
      <c r="F2597" s="55">
        <v>86</v>
      </c>
      <c r="G2597" s="63">
        <v>6.7400000000000002E-2</v>
      </c>
    </row>
    <row r="2598" spans="1:7" x14ac:dyDescent="0.2">
      <c r="A2598" t="s">
        <v>71</v>
      </c>
      <c r="B2598" t="s">
        <v>167</v>
      </c>
      <c r="C2598" t="s">
        <v>196</v>
      </c>
      <c r="D2598" t="s">
        <v>74</v>
      </c>
      <c r="E2598" t="s">
        <v>87</v>
      </c>
      <c r="F2598" s="55">
        <v>86</v>
      </c>
      <c r="G2598" s="63">
        <v>7.4300000000000005E-2</v>
      </c>
    </row>
    <row r="2599" spans="1:7" x14ac:dyDescent="0.2">
      <c r="A2599" t="s">
        <v>71</v>
      </c>
      <c r="B2599" t="s">
        <v>167</v>
      </c>
      <c r="C2599" t="s">
        <v>196</v>
      </c>
      <c r="D2599" t="s">
        <v>74</v>
      </c>
      <c r="E2599" t="s">
        <v>88</v>
      </c>
      <c r="F2599" s="55">
        <v>74</v>
      </c>
      <c r="G2599" s="63">
        <v>3.7199999999999997E-2</v>
      </c>
    </row>
    <row r="2600" spans="1:7" x14ac:dyDescent="0.2">
      <c r="A2600" t="s">
        <v>89</v>
      </c>
      <c r="B2600" t="s">
        <v>168</v>
      </c>
      <c r="C2600" t="s">
        <v>196</v>
      </c>
      <c r="D2600" t="s">
        <v>74</v>
      </c>
      <c r="E2600" t="s">
        <v>75</v>
      </c>
      <c r="F2600" s="55">
        <v>122</v>
      </c>
      <c r="G2600" s="63">
        <v>5.5899999999999998E-2</v>
      </c>
    </row>
    <row r="2601" spans="1:7" x14ac:dyDescent="0.2">
      <c r="A2601" t="s">
        <v>89</v>
      </c>
      <c r="B2601" t="s">
        <v>168</v>
      </c>
      <c r="C2601" t="s">
        <v>196</v>
      </c>
      <c r="D2601" t="s">
        <v>74</v>
      </c>
      <c r="E2601" t="s">
        <v>76</v>
      </c>
      <c r="F2601" s="55">
        <v>128</v>
      </c>
      <c r="G2601" s="63">
        <v>7.0000000000000001E-3</v>
      </c>
    </row>
    <row r="2602" spans="1:7" x14ac:dyDescent="0.2">
      <c r="A2602" t="s">
        <v>89</v>
      </c>
      <c r="B2602" t="s">
        <v>168</v>
      </c>
      <c r="C2602" t="s">
        <v>196</v>
      </c>
      <c r="D2602" t="s">
        <v>74</v>
      </c>
      <c r="E2602" t="s">
        <v>77</v>
      </c>
      <c r="F2602" s="55">
        <v>134</v>
      </c>
      <c r="G2602" s="63">
        <v>1.9800000000000002E-2</v>
      </c>
    </row>
    <row r="2603" spans="1:7" x14ac:dyDescent="0.2">
      <c r="A2603" t="s">
        <v>89</v>
      </c>
      <c r="B2603" t="s">
        <v>168</v>
      </c>
      <c r="C2603" t="s">
        <v>196</v>
      </c>
      <c r="D2603" t="s">
        <v>74</v>
      </c>
      <c r="E2603" t="s">
        <v>78</v>
      </c>
      <c r="F2603" s="55">
        <v>125</v>
      </c>
      <c r="G2603" s="63">
        <v>1.54E-2</v>
      </c>
    </row>
    <row r="2604" spans="1:7" x14ac:dyDescent="0.2">
      <c r="A2604" t="s">
        <v>89</v>
      </c>
      <c r="B2604" t="s">
        <v>168</v>
      </c>
      <c r="C2604" t="s">
        <v>196</v>
      </c>
      <c r="D2604" t="s">
        <v>74</v>
      </c>
      <c r="E2604" t="s">
        <v>79</v>
      </c>
      <c r="F2604" s="55">
        <v>122</v>
      </c>
      <c r="G2604" s="63">
        <v>3.3799999999999997E-2</v>
      </c>
    </row>
    <row r="2605" spans="1:7" x14ac:dyDescent="0.2">
      <c r="A2605" t="s">
        <v>89</v>
      </c>
      <c r="B2605" t="s">
        <v>168</v>
      </c>
      <c r="C2605" t="s">
        <v>196</v>
      </c>
      <c r="D2605" t="s">
        <v>74</v>
      </c>
      <c r="E2605" t="s">
        <v>80</v>
      </c>
      <c r="F2605" s="55">
        <v>117</v>
      </c>
      <c r="G2605" s="63">
        <v>1.14E-2</v>
      </c>
    </row>
    <row r="2606" spans="1:7" x14ac:dyDescent="0.2">
      <c r="A2606" t="s">
        <v>89</v>
      </c>
      <c r="B2606" t="s">
        <v>168</v>
      </c>
      <c r="C2606" t="s">
        <v>196</v>
      </c>
      <c r="D2606" t="s">
        <v>74</v>
      </c>
      <c r="E2606" t="s">
        <v>81</v>
      </c>
      <c r="F2606" s="55">
        <v>123</v>
      </c>
      <c r="G2606" s="63">
        <v>1.2E-2</v>
      </c>
    </row>
    <row r="2607" spans="1:7" x14ac:dyDescent="0.2">
      <c r="A2607" t="s">
        <v>89</v>
      </c>
      <c r="B2607" t="s">
        <v>168</v>
      </c>
      <c r="C2607" t="s">
        <v>196</v>
      </c>
      <c r="D2607" t="s">
        <v>74</v>
      </c>
      <c r="E2607" t="s">
        <v>82</v>
      </c>
      <c r="F2607" s="55">
        <v>112</v>
      </c>
      <c r="G2607" s="63">
        <v>2.53E-2</v>
      </c>
    </row>
    <row r="2608" spans="1:7" x14ac:dyDescent="0.2">
      <c r="A2608" t="s">
        <v>89</v>
      </c>
      <c r="B2608" t="s">
        <v>168</v>
      </c>
      <c r="C2608" t="s">
        <v>196</v>
      </c>
      <c r="D2608" t="s">
        <v>74</v>
      </c>
      <c r="E2608" t="s">
        <v>83</v>
      </c>
      <c r="F2608" s="55">
        <v>128</v>
      </c>
      <c r="G2608" s="63">
        <v>5.5999999999999999E-3</v>
      </c>
    </row>
    <row r="2609" spans="1:7" x14ac:dyDescent="0.2">
      <c r="A2609" t="s">
        <v>89</v>
      </c>
      <c r="B2609" t="s">
        <v>168</v>
      </c>
      <c r="C2609" t="s">
        <v>196</v>
      </c>
      <c r="D2609" t="s">
        <v>74</v>
      </c>
      <c r="E2609" t="s">
        <v>84</v>
      </c>
      <c r="F2609" s="55">
        <v>130</v>
      </c>
      <c r="G2609" s="63">
        <v>1.2200000000000001E-2</v>
      </c>
    </row>
    <row r="2610" spans="1:7" x14ac:dyDescent="0.2">
      <c r="A2610" t="s">
        <v>89</v>
      </c>
      <c r="B2610" t="s">
        <v>168</v>
      </c>
      <c r="C2610" t="s">
        <v>196</v>
      </c>
      <c r="D2610" t="s">
        <v>74</v>
      </c>
      <c r="E2610" t="s">
        <v>85</v>
      </c>
      <c r="F2610" s="55">
        <v>109</v>
      </c>
      <c r="G2610" s="63">
        <v>1.1299999999999999E-2</v>
      </c>
    </row>
    <row r="2611" spans="1:7" x14ac:dyDescent="0.2">
      <c r="A2611" t="s">
        <v>89</v>
      </c>
      <c r="B2611" t="s">
        <v>168</v>
      </c>
      <c r="C2611" t="s">
        <v>196</v>
      </c>
      <c r="D2611" t="s">
        <v>74</v>
      </c>
      <c r="E2611" t="s">
        <v>86</v>
      </c>
      <c r="F2611" s="55">
        <v>117</v>
      </c>
      <c r="G2611" s="63">
        <v>1.34E-2</v>
      </c>
    </row>
    <row r="2612" spans="1:7" x14ac:dyDescent="0.2">
      <c r="A2612" t="s">
        <v>89</v>
      </c>
      <c r="B2612" t="s">
        <v>168</v>
      </c>
      <c r="C2612" t="s">
        <v>196</v>
      </c>
      <c r="D2612" t="s">
        <v>74</v>
      </c>
      <c r="E2612" t="s">
        <v>87</v>
      </c>
      <c r="F2612" s="55">
        <v>127</v>
      </c>
      <c r="G2612" s="63">
        <v>1.5800000000000002E-2</v>
      </c>
    </row>
    <row r="2613" spans="1:7" x14ac:dyDescent="0.2">
      <c r="A2613" t="s">
        <v>89</v>
      </c>
      <c r="B2613" t="s">
        <v>168</v>
      </c>
      <c r="C2613" t="s">
        <v>196</v>
      </c>
      <c r="D2613" t="s">
        <v>74</v>
      </c>
      <c r="E2613" t="s">
        <v>88</v>
      </c>
      <c r="F2613" s="55">
        <v>124</v>
      </c>
      <c r="G2613" s="63">
        <v>1.21E-2</v>
      </c>
    </row>
    <row r="2614" spans="1:7" x14ac:dyDescent="0.2">
      <c r="A2614" t="s">
        <v>89</v>
      </c>
      <c r="B2614" t="s">
        <v>169</v>
      </c>
      <c r="C2614" t="s">
        <v>196</v>
      </c>
      <c r="D2614" t="s">
        <v>74</v>
      </c>
      <c r="E2614" t="s">
        <v>75</v>
      </c>
      <c r="F2614" s="55">
        <v>120</v>
      </c>
      <c r="G2614" s="63">
        <v>0.1016</v>
      </c>
    </row>
    <row r="2615" spans="1:7" x14ac:dyDescent="0.2">
      <c r="A2615" t="s">
        <v>89</v>
      </c>
      <c r="B2615" t="s">
        <v>169</v>
      </c>
      <c r="C2615" t="s">
        <v>196</v>
      </c>
      <c r="D2615" t="s">
        <v>74</v>
      </c>
      <c r="E2615" t="s">
        <v>76</v>
      </c>
      <c r="F2615" s="55">
        <v>121</v>
      </c>
      <c r="G2615" s="63">
        <v>1.2500000000000001E-2</v>
      </c>
    </row>
    <row r="2616" spans="1:7" x14ac:dyDescent="0.2">
      <c r="A2616" t="s">
        <v>89</v>
      </c>
      <c r="B2616" t="s">
        <v>169</v>
      </c>
      <c r="C2616" t="s">
        <v>196</v>
      </c>
      <c r="D2616" t="s">
        <v>74</v>
      </c>
      <c r="E2616" t="s">
        <v>77</v>
      </c>
      <c r="F2616" s="55">
        <v>120</v>
      </c>
      <c r="G2616" s="63">
        <v>4.0800000000000003E-2</v>
      </c>
    </row>
    <row r="2617" spans="1:7" x14ac:dyDescent="0.2">
      <c r="A2617" t="s">
        <v>89</v>
      </c>
      <c r="B2617" t="s">
        <v>169</v>
      </c>
      <c r="C2617" t="s">
        <v>196</v>
      </c>
      <c r="D2617" t="s">
        <v>74</v>
      </c>
      <c r="E2617" t="s">
        <v>78</v>
      </c>
      <c r="F2617" s="55">
        <v>120</v>
      </c>
      <c r="G2617" s="63">
        <v>3.3300000000000003E-2</v>
      </c>
    </row>
    <row r="2618" spans="1:7" x14ac:dyDescent="0.2">
      <c r="A2618" t="s">
        <v>89</v>
      </c>
      <c r="B2618" t="s">
        <v>169</v>
      </c>
      <c r="C2618" t="s">
        <v>196</v>
      </c>
      <c r="D2618" t="s">
        <v>74</v>
      </c>
      <c r="E2618" t="s">
        <v>79</v>
      </c>
      <c r="F2618" s="55">
        <v>122</v>
      </c>
      <c r="G2618" s="63">
        <v>7.17E-2</v>
      </c>
    </row>
    <row r="2619" spans="1:7" x14ac:dyDescent="0.2">
      <c r="A2619" t="s">
        <v>89</v>
      </c>
      <c r="B2619" t="s">
        <v>169</v>
      </c>
      <c r="C2619" t="s">
        <v>196</v>
      </c>
      <c r="D2619" t="s">
        <v>74</v>
      </c>
      <c r="E2619" t="s">
        <v>80</v>
      </c>
      <c r="F2619" s="55">
        <v>110</v>
      </c>
      <c r="G2619" s="63">
        <v>2.8000000000000001E-2</v>
      </c>
    </row>
    <row r="2620" spans="1:7" x14ac:dyDescent="0.2">
      <c r="A2620" t="s">
        <v>89</v>
      </c>
      <c r="B2620" t="s">
        <v>169</v>
      </c>
      <c r="C2620" t="s">
        <v>196</v>
      </c>
      <c r="D2620" t="s">
        <v>74</v>
      </c>
      <c r="E2620" t="s">
        <v>81</v>
      </c>
      <c r="F2620" s="55">
        <v>112</v>
      </c>
      <c r="G2620" s="63">
        <v>2.2700000000000001E-2</v>
      </c>
    </row>
    <row r="2621" spans="1:7" x14ac:dyDescent="0.2">
      <c r="A2621" t="s">
        <v>89</v>
      </c>
      <c r="B2621" t="s">
        <v>169</v>
      </c>
      <c r="C2621" t="s">
        <v>196</v>
      </c>
      <c r="D2621" t="s">
        <v>74</v>
      </c>
      <c r="E2621" t="s">
        <v>82</v>
      </c>
      <c r="F2621" s="55">
        <v>120</v>
      </c>
      <c r="G2621" s="63">
        <v>4.6800000000000001E-2</v>
      </c>
    </row>
    <row r="2622" spans="1:7" x14ac:dyDescent="0.2">
      <c r="A2622" t="s">
        <v>89</v>
      </c>
      <c r="B2622" t="s">
        <v>169</v>
      </c>
      <c r="C2622" t="s">
        <v>196</v>
      </c>
      <c r="D2622" t="s">
        <v>74</v>
      </c>
      <c r="E2622" t="s">
        <v>83</v>
      </c>
      <c r="F2622" s="55">
        <v>120</v>
      </c>
      <c r="G2622" s="63">
        <v>8.8999999999999999E-3</v>
      </c>
    </row>
    <row r="2623" spans="1:7" x14ac:dyDescent="0.2">
      <c r="A2623" t="s">
        <v>89</v>
      </c>
      <c r="B2623" t="s">
        <v>169</v>
      </c>
      <c r="C2623" t="s">
        <v>196</v>
      </c>
      <c r="D2623" t="s">
        <v>74</v>
      </c>
      <c r="E2623" t="s">
        <v>84</v>
      </c>
      <c r="F2623" s="55">
        <v>120</v>
      </c>
      <c r="G2623" s="63">
        <v>2.7900000000000001E-2</v>
      </c>
    </row>
    <row r="2624" spans="1:7" x14ac:dyDescent="0.2">
      <c r="A2624" t="s">
        <v>89</v>
      </c>
      <c r="B2624" t="s">
        <v>169</v>
      </c>
      <c r="C2624" t="s">
        <v>196</v>
      </c>
      <c r="D2624" t="s">
        <v>74</v>
      </c>
      <c r="E2624" t="s">
        <v>85</v>
      </c>
      <c r="F2624" s="55">
        <v>119</v>
      </c>
      <c r="G2624" s="63">
        <v>3.2399999999999998E-2</v>
      </c>
    </row>
    <row r="2625" spans="1:7" x14ac:dyDescent="0.2">
      <c r="A2625" t="s">
        <v>89</v>
      </c>
      <c r="B2625" t="s">
        <v>169</v>
      </c>
      <c r="C2625" t="s">
        <v>196</v>
      </c>
      <c r="D2625" t="s">
        <v>74</v>
      </c>
      <c r="E2625" t="s">
        <v>86</v>
      </c>
      <c r="F2625" s="55">
        <v>121</v>
      </c>
      <c r="G2625" s="63">
        <v>3.85E-2</v>
      </c>
    </row>
    <row r="2626" spans="1:7" x14ac:dyDescent="0.2">
      <c r="A2626" t="s">
        <v>89</v>
      </c>
      <c r="B2626" t="s">
        <v>169</v>
      </c>
      <c r="C2626" t="s">
        <v>196</v>
      </c>
      <c r="D2626" t="s">
        <v>74</v>
      </c>
      <c r="E2626" t="s">
        <v>87</v>
      </c>
      <c r="F2626" s="55">
        <v>124</v>
      </c>
      <c r="G2626" s="63">
        <v>4.24E-2</v>
      </c>
    </row>
    <row r="2627" spans="1:7" x14ac:dyDescent="0.2">
      <c r="A2627" t="s">
        <v>89</v>
      </c>
      <c r="B2627" t="s">
        <v>169</v>
      </c>
      <c r="C2627" t="s">
        <v>196</v>
      </c>
      <c r="D2627" t="s">
        <v>74</v>
      </c>
      <c r="E2627" t="s">
        <v>88</v>
      </c>
      <c r="F2627" s="55">
        <v>118</v>
      </c>
      <c r="G2627" s="63">
        <v>1.8100000000000002E-2</v>
      </c>
    </row>
    <row r="2628" spans="1:7" x14ac:dyDescent="0.2">
      <c r="A2628" t="s">
        <v>71</v>
      </c>
      <c r="B2628" t="s">
        <v>170</v>
      </c>
      <c r="C2628" t="s">
        <v>196</v>
      </c>
      <c r="D2628" t="s">
        <v>74</v>
      </c>
      <c r="E2628" t="s">
        <v>75</v>
      </c>
      <c r="F2628" s="55">
        <v>96</v>
      </c>
      <c r="G2628" s="63">
        <v>0.19170000000000001</v>
      </c>
    </row>
    <row r="2629" spans="1:7" x14ac:dyDescent="0.2">
      <c r="A2629" t="s">
        <v>71</v>
      </c>
      <c r="B2629" t="s">
        <v>170</v>
      </c>
      <c r="C2629" t="s">
        <v>196</v>
      </c>
      <c r="D2629" t="s">
        <v>74</v>
      </c>
      <c r="E2629" t="s">
        <v>76</v>
      </c>
      <c r="F2629" s="55">
        <v>97</v>
      </c>
      <c r="G2629" s="63">
        <v>3.1099999999999999E-2</v>
      </c>
    </row>
    <row r="2630" spans="1:7" x14ac:dyDescent="0.2">
      <c r="A2630" t="s">
        <v>71</v>
      </c>
      <c r="B2630" t="s">
        <v>170</v>
      </c>
      <c r="C2630" t="s">
        <v>196</v>
      </c>
      <c r="D2630" t="s">
        <v>74</v>
      </c>
      <c r="E2630" t="s">
        <v>77</v>
      </c>
      <c r="F2630" s="55">
        <v>96</v>
      </c>
      <c r="G2630" s="63">
        <v>7.6600000000000001E-2</v>
      </c>
    </row>
    <row r="2631" spans="1:7" x14ac:dyDescent="0.2">
      <c r="A2631" t="s">
        <v>71</v>
      </c>
      <c r="B2631" t="s">
        <v>170</v>
      </c>
      <c r="C2631" t="s">
        <v>196</v>
      </c>
      <c r="D2631" t="s">
        <v>74</v>
      </c>
      <c r="E2631" t="s">
        <v>78</v>
      </c>
      <c r="F2631" s="55">
        <v>95</v>
      </c>
      <c r="G2631" s="63">
        <v>6.2199999999999998E-2</v>
      </c>
    </row>
    <row r="2632" spans="1:7" x14ac:dyDescent="0.2">
      <c r="A2632" t="s">
        <v>71</v>
      </c>
      <c r="B2632" t="s">
        <v>170</v>
      </c>
      <c r="C2632" t="s">
        <v>196</v>
      </c>
      <c r="D2632" t="s">
        <v>74</v>
      </c>
      <c r="E2632" t="s">
        <v>79</v>
      </c>
      <c r="F2632" s="55">
        <v>98</v>
      </c>
      <c r="G2632" s="63">
        <v>0.13489999999999999</v>
      </c>
    </row>
    <row r="2633" spans="1:7" x14ac:dyDescent="0.2">
      <c r="A2633" t="s">
        <v>71</v>
      </c>
      <c r="B2633" t="s">
        <v>170</v>
      </c>
      <c r="C2633" t="s">
        <v>196</v>
      </c>
      <c r="D2633" t="s">
        <v>74</v>
      </c>
      <c r="E2633" t="s">
        <v>80</v>
      </c>
      <c r="F2633" s="55">
        <v>94</v>
      </c>
      <c r="G2633" s="63">
        <v>5.9900000000000002E-2</v>
      </c>
    </row>
    <row r="2634" spans="1:7" x14ac:dyDescent="0.2">
      <c r="A2634" t="s">
        <v>71</v>
      </c>
      <c r="B2634" t="s">
        <v>170</v>
      </c>
      <c r="C2634" t="s">
        <v>196</v>
      </c>
      <c r="D2634" t="s">
        <v>74</v>
      </c>
      <c r="E2634" t="s">
        <v>81</v>
      </c>
      <c r="F2634" s="55">
        <v>94</v>
      </c>
      <c r="G2634" s="63">
        <v>5.9200000000000003E-2</v>
      </c>
    </row>
    <row r="2635" spans="1:7" x14ac:dyDescent="0.2">
      <c r="A2635" t="s">
        <v>71</v>
      </c>
      <c r="B2635" t="s">
        <v>170</v>
      </c>
      <c r="C2635" t="s">
        <v>196</v>
      </c>
      <c r="D2635" t="s">
        <v>74</v>
      </c>
      <c r="E2635" t="s">
        <v>82</v>
      </c>
      <c r="F2635" s="55">
        <v>95</v>
      </c>
      <c r="G2635" s="63">
        <v>9.64E-2</v>
      </c>
    </row>
    <row r="2636" spans="1:7" x14ac:dyDescent="0.2">
      <c r="A2636" t="s">
        <v>71</v>
      </c>
      <c r="B2636" t="s">
        <v>170</v>
      </c>
      <c r="C2636" t="s">
        <v>196</v>
      </c>
      <c r="D2636" t="s">
        <v>74</v>
      </c>
      <c r="E2636" t="s">
        <v>83</v>
      </c>
      <c r="F2636" s="55">
        <v>97</v>
      </c>
      <c r="G2636" s="63">
        <v>3.1800000000000002E-2</v>
      </c>
    </row>
    <row r="2637" spans="1:7" x14ac:dyDescent="0.2">
      <c r="A2637" t="s">
        <v>71</v>
      </c>
      <c r="B2637" t="s">
        <v>170</v>
      </c>
      <c r="C2637" t="s">
        <v>196</v>
      </c>
      <c r="D2637" t="s">
        <v>74</v>
      </c>
      <c r="E2637" t="s">
        <v>84</v>
      </c>
      <c r="F2637" s="55">
        <v>95</v>
      </c>
      <c r="G2637" s="63">
        <v>5.1400000000000001E-2</v>
      </c>
    </row>
    <row r="2638" spans="1:7" x14ac:dyDescent="0.2">
      <c r="A2638" t="s">
        <v>71</v>
      </c>
      <c r="B2638" t="s">
        <v>170</v>
      </c>
      <c r="C2638" t="s">
        <v>196</v>
      </c>
      <c r="D2638" t="s">
        <v>74</v>
      </c>
      <c r="E2638" t="s">
        <v>85</v>
      </c>
      <c r="F2638" s="55">
        <v>95</v>
      </c>
      <c r="G2638" s="63">
        <v>6.4500000000000002E-2</v>
      </c>
    </row>
    <row r="2639" spans="1:7" x14ac:dyDescent="0.2">
      <c r="A2639" t="s">
        <v>71</v>
      </c>
      <c r="B2639" t="s">
        <v>170</v>
      </c>
      <c r="C2639" t="s">
        <v>196</v>
      </c>
      <c r="D2639" t="s">
        <v>74</v>
      </c>
      <c r="E2639" t="s">
        <v>86</v>
      </c>
      <c r="F2639" s="55">
        <v>97</v>
      </c>
      <c r="G2639" s="63">
        <v>7.4499999999999997E-2</v>
      </c>
    </row>
    <row r="2640" spans="1:7" x14ac:dyDescent="0.2">
      <c r="A2640" t="s">
        <v>71</v>
      </c>
      <c r="B2640" t="s">
        <v>170</v>
      </c>
      <c r="C2640" t="s">
        <v>196</v>
      </c>
      <c r="D2640" t="s">
        <v>74</v>
      </c>
      <c r="E2640" t="s">
        <v>87</v>
      </c>
      <c r="F2640" s="55">
        <v>99</v>
      </c>
      <c r="G2640" s="63">
        <v>7.9100000000000004E-2</v>
      </c>
    </row>
    <row r="2641" spans="1:7" x14ac:dyDescent="0.2">
      <c r="A2641" t="s">
        <v>71</v>
      </c>
      <c r="B2641" t="s">
        <v>170</v>
      </c>
      <c r="C2641" t="s">
        <v>196</v>
      </c>
      <c r="D2641" t="s">
        <v>74</v>
      </c>
      <c r="E2641" t="s">
        <v>88</v>
      </c>
      <c r="F2641" s="55">
        <v>97</v>
      </c>
      <c r="G2641" s="63">
        <v>4.9000000000000002E-2</v>
      </c>
    </row>
    <row r="2642" spans="1:7" x14ac:dyDescent="0.2">
      <c r="A2642" t="s">
        <v>71</v>
      </c>
      <c r="B2642" t="s">
        <v>16</v>
      </c>
      <c r="C2642" t="s">
        <v>196</v>
      </c>
      <c r="D2642" t="s">
        <v>74</v>
      </c>
      <c r="E2642" t="s">
        <v>75</v>
      </c>
      <c r="F2642" s="55">
        <v>101</v>
      </c>
      <c r="G2642" s="63">
        <v>0.19689999999999999</v>
      </c>
    </row>
    <row r="2643" spans="1:7" x14ac:dyDescent="0.2">
      <c r="A2643" t="s">
        <v>71</v>
      </c>
      <c r="B2643" t="s">
        <v>16</v>
      </c>
      <c r="C2643" t="s">
        <v>196</v>
      </c>
      <c r="D2643" t="s">
        <v>74</v>
      </c>
      <c r="E2643" t="s">
        <v>76</v>
      </c>
      <c r="F2643" s="55">
        <v>104</v>
      </c>
      <c r="G2643" s="63">
        <v>1.8100000000000002E-2</v>
      </c>
    </row>
    <row r="2644" spans="1:7" x14ac:dyDescent="0.2">
      <c r="A2644" t="s">
        <v>71</v>
      </c>
      <c r="B2644" t="s">
        <v>16</v>
      </c>
      <c r="C2644" t="s">
        <v>196</v>
      </c>
      <c r="D2644" t="s">
        <v>74</v>
      </c>
      <c r="E2644" t="s">
        <v>77</v>
      </c>
      <c r="F2644" s="55">
        <v>104</v>
      </c>
      <c r="G2644" s="63">
        <v>5.0700000000000002E-2</v>
      </c>
    </row>
    <row r="2645" spans="1:7" x14ac:dyDescent="0.2">
      <c r="A2645" t="s">
        <v>71</v>
      </c>
      <c r="B2645" t="s">
        <v>16</v>
      </c>
      <c r="C2645" t="s">
        <v>196</v>
      </c>
      <c r="D2645" t="s">
        <v>74</v>
      </c>
      <c r="E2645" t="s">
        <v>78</v>
      </c>
      <c r="F2645" s="55">
        <v>103</v>
      </c>
      <c r="G2645" s="63">
        <v>5.8700000000000002E-2</v>
      </c>
    </row>
    <row r="2646" spans="1:7" x14ac:dyDescent="0.2">
      <c r="A2646" t="s">
        <v>71</v>
      </c>
      <c r="B2646" t="s">
        <v>16</v>
      </c>
      <c r="C2646" t="s">
        <v>196</v>
      </c>
      <c r="D2646" t="s">
        <v>74</v>
      </c>
      <c r="E2646" t="s">
        <v>79</v>
      </c>
      <c r="F2646" s="55">
        <v>99</v>
      </c>
      <c r="G2646" s="63">
        <v>0.1477</v>
      </c>
    </row>
    <row r="2647" spans="1:7" x14ac:dyDescent="0.2">
      <c r="A2647" t="s">
        <v>71</v>
      </c>
      <c r="B2647" t="s">
        <v>16</v>
      </c>
      <c r="C2647" t="s">
        <v>196</v>
      </c>
      <c r="D2647" t="s">
        <v>74</v>
      </c>
      <c r="E2647" t="s">
        <v>80</v>
      </c>
      <c r="F2647" s="55">
        <v>96</v>
      </c>
      <c r="G2647" s="63">
        <v>6.2300000000000001E-2</v>
      </c>
    </row>
    <row r="2648" spans="1:7" x14ac:dyDescent="0.2">
      <c r="A2648" t="s">
        <v>71</v>
      </c>
      <c r="B2648" t="s">
        <v>16</v>
      </c>
      <c r="C2648" t="s">
        <v>196</v>
      </c>
      <c r="D2648" t="s">
        <v>74</v>
      </c>
      <c r="E2648" t="s">
        <v>81</v>
      </c>
      <c r="F2648" s="55">
        <v>98</v>
      </c>
      <c r="G2648" s="63">
        <v>5.3600000000000002E-2</v>
      </c>
    </row>
    <row r="2649" spans="1:7" x14ac:dyDescent="0.2">
      <c r="A2649" t="s">
        <v>71</v>
      </c>
      <c r="B2649" t="s">
        <v>16</v>
      </c>
      <c r="C2649" t="s">
        <v>196</v>
      </c>
      <c r="D2649" t="s">
        <v>74</v>
      </c>
      <c r="E2649" t="s">
        <v>82</v>
      </c>
      <c r="F2649" s="55">
        <v>104</v>
      </c>
      <c r="G2649" s="63">
        <v>9.0800000000000006E-2</v>
      </c>
    </row>
    <row r="2650" spans="1:7" x14ac:dyDescent="0.2">
      <c r="A2650" t="s">
        <v>71</v>
      </c>
      <c r="B2650" t="s">
        <v>16</v>
      </c>
      <c r="C2650" t="s">
        <v>196</v>
      </c>
      <c r="D2650" t="s">
        <v>74</v>
      </c>
      <c r="E2650" t="s">
        <v>83</v>
      </c>
      <c r="F2650" s="55">
        <v>101</v>
      </c>
      <c r="G2650" s="63">
        <v>2.06E-2</v>
      </c>
    </row>
    <row r="2651" spans="1:7" x14ac:dyDescent="0.2">
      <c r="A2651" t="s">
        <v>71</v>
      </c>
      <c r="B2651" t="s">
        <v>16</v>
      </c>
      <c r="C2651" t="s">
        <v>196</v>
      </c>
      <c r="D2651" t="s">
        <v>74</v>
      </c>
      <c r="E2651" t="s">
        <v>84</v>
      </c>
      <c r="F2651" s="55">
        <v>104</v>
      </c>
      <c r="G2651" s="63">
        <v>3.6700000000000003E-2</v>
      </c>
    </row>
    <row r="2652" spans="1:7" x14ac:dyDescent="0.2">
      <c r="A2652" t="s">
        <v>71</v>
      </c>
      <c r="B2652" t="s">
        <v>16</v>
      </c>
      <c r="C2652" t="s">
        <v>196</v>
      </c>
      <c r="D2652" t="s">
        <v>74</v>
      </c>
      <c r="E2652" t="s">
        <v>85</v>
      </c>
      <c r="F2652" s="55">
        <v>96</v>
      </c>
      <c r="G2652" s="63">
        <v>7.0699999999999999E-2</v>
      </c>
    </row>
    <row r="2653" spans="1:7" x14ac:dyDescent="0.2">
      <c r="A2653" t="s">
        <v>71</v>
      </c>
      <c r="B2653" t="s">
        <v>16</v>
      </c>
      <c r="C2653" t="s">
        <v>196</v>
      </c>
      <c r="D2653" t="s">
        <v>74</v>
      </c>
      <c r="E2653" t="s">
        <v>86</v>
      </c>
      <c r="F2653" s="55">
        <v>99</v>
      </c>
      <c r="G2653" s="63">
        <v>8.0100000000000005E-2</v>
      </c>
    </row>
    <row r="2654" spans="1:7" x14ac:dyDescent="0.2">
      <c r="A2654" t="s">
        <v>71</v>
      </c>
      <c r="B2654" t="s">
        <v>16</v>
      </c>
      <c r="C2654" t="s">
        <v>196</v>
      </c>
      <c r="D2654" t="s">
        <v>74</v>
      </c>
      <c r="E2654" t="s">
        <v>87</v>
      </c>
      <c r="F2654" s="55">
        <v>101</v>
      </c>
      <c r="G2654" s="63">
        <v>8.7599999999999997E-2</v>
      </c>
    </row>
    <row r="2655" spans="1:7" x14ac:dyDescent="0.2">
      <c r="A2655" t="s">
        <v>71</v>
      </c>
      <c r="B2655" t="s">
        <v>16</v>
      </c>
      <c r="C2655" t="s">
        <v>196</v>
      </c>
      <c r="D2655" t="s">
        <v>74</v>
      </c>
      <c r="E2655" t="s">
        <v>88</v>
      </c>
      <c r="F2655" s="55">
        <v>102</v>
      </c>
      <c r="G2655" s="63">
        <v>3.49E-2</v>
      </c>
    </row>
    <row r="2656" spans="1:7" x14ac:dyDescent="0.2">
      <c r="A2656" t="s">
        <v>89</v>
      </c>
      <c r="B2656" t="s">
        <v>171</v>
      </c>
      <c r="C2656" t="s">
        <v>196</v>
      </c>
      <c r="D2656" t="s">
        <v>91</v>
      </c>
      <c r="E2656" t="s">
        <v>75</v>
      </c>
      <c r="F2656" s="55">
        <v>108</v>
      </c>
      <c r="G2656" s="63">
        <v>0.63360000000000005</v>
      </c>
    </row>
    <row r="2657" spans="1:7" x14ac:dyDescent="0.2">
      <c r="A2657" t="s">
        <v>89</v>
      </c>
      <c r="B2657" t="s">
        <v>171</v>
      </c>
      <c r="C2657" t="s">
        <v>196</v>
      </c>
      <c r="D2657" t="s">
        <v>91</v>
      </c>
      <c r="E2657" t="s">
        <v>76</v>
      </c>
      <c r="F2657" s="55">
        <v>88</v>
      </c>
      <c r="G2657" s="63">
        <v>0.09</v>
      </c>
    </row>
    <row r="2658" spans="1:7" x14ac:dyDescent="0.2">
      <c r="A2658" t="s">
        <v>89</v>
      </c>
      <c r="B2658" t="s">
        <v>171</v>
      </c>
      <c r="C2658" t="s">
        <v>196</v>
      </c>
      <c r="D2658" t="s">
        <v>91</v>
      </c>
      <c r="E2658" t="s">
        <v>77</v>
      </c>
      <c r="F2658" s="55">
        <v>104</v>
      </c>
      <c r="G2658" s="63">
        <v>0.27639999999999998</v>
      </c>
    </row>
    <row r="2659" spans="1:7" x14ac:dyDescent="0.2">
      <c r="A2659" t="s">
        <v>89</v>
      </c>
      <c r="B2659" t="s">
        <v>171</v>
      </c>
      <c r="C2659" t="s">
        <v>196</v>
      </c>
      <c r="D2659" t="s">
        <v>91</v>
      </c>
      <c r="E2659" t="s">
        <v>78</v>
      </c>
      <c r="F2659" s="55">
        <v>107</v>
      </c>
      <c r="G2659" s="63">
        <v>0.24879999999999999</v>
      </c>
    </row>
    <row r="2660" spans="1:7" x14ac:dyDescent="0.2">
      <c r="A2660" t="s">
        <v>89</v>
      </c>
      <c r="B2660" t="s">
        <v>171</v>
      </c>
      <c r="C2660" t="s">
        <v>196</v>
      </c>
      <c r="D2660" t="s">
        <v>91</v>
      </c>
      <c r="E2660" t="s">
        <v>79</v>
      </c>
      <c r="F2660" s="55">
        <v>112</v>
      </c>
      <c r="G2660" s="63">
        <v>0.50939999999999996</v>
      </c>
    </row>
    <row r="2661" spans="1:7" x14ac:dyDescent="0.2">
      <c r="A2661" t="s">
        <v>89</v>
      </c>
      <c r="B2661" t="s">
        <v>171</v>
      </c>
      <c r="C2661" t="s">
        <v>196</v>
      </c>
      <c r="D2661" t="s">
        <v>91</v>
      </c>
      <c r="E2661" t="s">
        <v>80</v>
      </c>
      <c r="F2661" s="55">
        <v>104</v>
      </c>
      <c r="G2661" s="63">
        <v>0.19040000000000001</v>
      </c>
    </row>
    <row r="2662" spans="1:7" x14ac:dyDescent="0.2">
      <c r="A2662" t="s">
        <v>89</v>
      </c>
      <c r="B2662" t="s">
        <v>171</v>
      </c>
      <c r="C2662" t="s">
        <v>196</v>
      </c>
      <c r="D2662" t="s">
        <v>91</v>
      </c>
      <c r="E2662" t="s">
        <v>81</v>
      </c>
      <c r="F2662" s="55">
        <v>102</v>
      </c>
      <c r="G2662" s="63">
        <v>0.17080000000000001</v>
      </c>
    </row>
    <row r="2663" spans="1:7" x14ac:dyDescent="0.2">
      <c r="A2663" t="s">
        <v>89</v>
      </c>
      <c r="B2663" t="s">
        <v>171</v>
      </c>
      <c r="C2663" t="s">
        <v>196</v>
      </c>
      <c r="D2663" t="s">
        <v>91</v>
      </c>
      <c r="E2663" t="s">
        <v>82</v>
      </c>
      <c r="F2663" s="55">
        <v>105</v>
      </c>
      <c r="G2663" s="63">
        <v>0.4022</v>
      </c>
    </row>
    <row r="2664" spans="1:7" x14ac:dyDescent="0.2">
      <c r="A2664" t="s">
        <v>89</v>
      </c>
      <c r="B2664" t="s">
        <v>171</v>
      </c>
      <c r="C2664" t="s">
        <v>196</v>
      </c>
      <c r="D2664" t="s">
        <v>91</v>
      </c>
      <c r="E2664" t="s">
        <v>83</v>
      </c>
      <c r="F2664" s="55">
        <v>99</v>
      </c>
      <c r="G2664" s="63">
        <v>7.4899999999999994E-2</v>
      </c>
    </row>
    <row r="2665" spans="1:7" x14ac:dyDescent="0.2">
      <c r="A2665" t="s">
        <v>89</v>
      </c>
      <c r="B2665" t="s">
        <v>171</v>
      </c>
      <c r="C2665" t="s">
        <v>196</v>
      </c>
      <c r="D2665" t="s">
        <v>91</v>
      </c>
      <c r="E2665" t="s">
        <v>84</v>
      </c>
      <c r="F2665" s="55">
        <v>109</v>
      </c>
      <c r="G2665" s="63">
        <v>0.2001</v>
      </c>
    </row>
    <row r="2666" spans="1:7" x14ac:dyDescent="0.2">
      <c r="A2666" t="s">
        <v>89</v>
      </c>
      <c r="B2666" t="s">
        <v>171</v>
      </c>
      <c r="C2666" t="s">
        <v>196</v>
      </c>
      <c r="D2666" t="s">
        <v>91</v>
      </c>
      <c r="E2666" t="s">
        <v>85</v>
      </c>
      <c r="F2666" s="55">
        <v>106</v>
      </c>
      <c r="G2666" s="63">
        <v>0.2452</v>
      </c>
    </row>
    <row r="2667" spans="1:7" x14ac:dyDescent="0.2">
      <c r="A2667" t="s">
        <v>89</v>
      </c>
      <c r="B2667" t="s">
        <v>171</v>
      </c>
      <c r="C2667" t="s">
        <v>196</v>
      </c>
      <c r="D2667" t="s">
        <v>91</v>
      </c>
      <c r="E2667" t="s">
        <v>86</v>
      </c>
      <c r="F2667" s="55">
        <v>111</v>
      </c>
      <c r="G2667" s="63">
        <v>0.31340000000000001</v>
      </c>
    </row>
    <row r="2668" spans="1:7" x14ac:dyDescent="0.2">
      <c r="A2668" t="s">
        <v>89</v>
      </c>
      <c r="B2668" t="s">
        <v>171</v>
      </c>
      <c r="C2668" t="s">
        <v>196</v>
      </c>
      <c r="D2668" t="s">
        <v>91</v>
      </c>
      <c r="E2668" t="s">
        <v>87</v>
      </c>
      <c r="F2668" s="55">
        <v>114</v>
      </c>
      <c r="G2668" s="63">
        <v>0.35270000000000001</v>
      </c>
    </row>
    <row r="2669" spans="1:7" x14ac:dyDescent="0.2">
      <c r="A2669" t="s">
        <v>89</v>
      </c>
      <c r="B2669" t="s">
        <v>171</v>
      </c>
      <c r="C2669" t="s">
        <v>196</v>
      </c>
      <c r="D2669" t="s">
        <v>91</v>
      </c>
      <c r="E2669" t="s">
        <v>88</v>
      </c>
      <c r="F2669" s="55">
        <v>93</v>
      </c>
      <c r="G2669" s="63">
        <v>0.1457</v>
      </c>
    </row>
    <row r="2670" spans="1:7" x14ac:dyDescent="0.2">
      <c r="A2670" t="s">
        <v>89</v>
      </c>
      <c r="B2670" t="s">
        <v>172</v>
      </c>
      <c r="C2670" t="s">
        <v>196</v>
      </c>
      <c r="D2670" t="s">
        <v>74</v>
      </c>
      <c r="E2670" t="s">
        <v>75</v>
      </c>
      <c r="F2670" s="55">
        <v>107</v>
      </c>
      <c r="G2670" s="63">
        <v>0.1265</v>
      </c>
    </row>
    <row r="2671" spans="1:7" x14ac:dyDescent="0.2">
      <c r="A2671" t="s">
        <v>89</v>
      </c>
      <c r="B2671" t="s">
        <v>172</v>
      </c>
      <c r="C2671" t="s">
        <v>196</v>
      </c>
      <c r="D2671" t="s">
        <v>74</v>
      </c>
      <c r="E2671" t="s">
        <v>76</v>
      </c>
      <c r="F2671" s="55">
        <v>100</v>
      </c>
      <c r="G2671" s="63">
        <v>1.4800000000000001E-2</v>
      </c>
    </row>
    <row r="2672" spans="1:7" x14ac:dyDescent="0.2">
      <c r="A2672" t="s">
        <v>89</v>
      </c>
      <c r="B2672" t="s">
        <v>172</v>
      </c>
      <c r="C2672" t="s">
        <v>196</v>
      </c>
      <c r="D2672" t="s">
        <v>74</v>
      </c>
      <c r="E2672" t="s">
        <v>77</v>
      </c>
      <c r="F2672" s="55">
        <v>113</v>
      </c>
      <c r="G2672" s="63">
        <v>3.8199999999999998E-2</v>
      </c>
    </row>
    <row r="2673" spans="1:7" x14ac:dyDescent="0.2">
      <c r="A2673" t="s">
        <v>89</v>
      </c>
      <c r="B2673" t="s">
        <v>172</v>
      </c>
      <c r="C2673" t="s">
        <v>196</v>
      </c>
      <c r="D2673" t="s">
        <v>74</v>
      </c>
      <c r="E2673" t="s">
        <v>78</v>
      </c>
      <c r="F2673" s="55">
        <v>108</v>
      </c>
      <c r="G2673" s="63">
        <v>3.04E-2</v>
      </c>
    </row>
    <row r="2674" spans="1:7" x14ac:dyDescent="0.2">
      <c r="A2674" t="s">
        <v>89</v>
      </c>
      <c r="B2674" t="s">
        <v>172</v>
      </c>
      <c r="C2674" t="s">
        <v>196</v>
      </c>
      <c r="D2674" t="s">
        <v>74</v>
      </c>
      <c r="E2674" t="s">
        <v>79</v>
      </c>
      <c r="F2674" s="55">
        <v>104</v>
      </c>
      <c r="G2674" s="63">
        <v>7.2400000000000006E-2</v>
      </c>
    </row>
    <row r="2675" spans="1:7" x14ac:dyDescent="0.2">
      <c r="A2675" t="s">
        <v>89</v>
      </c>
      <c r="B2675" t="s">
        <v>172</v>
      </c>
      <c r="C2675" t="s">
        <v>196</v>
      </c>
      <c r="D2675" t="s">
        <v>74</v>
      </c>
      <c r="E2675" t="s">
        <v>80</v>
      </c>
      <c r="F2675" s="55">
        <v>101</v>
      </c>
      <c r="G2675" s="63">
        <v>2.6100000000000002E-2</v>
      </c>
    </row>
    <row r="2676" spans="1:7" x14ac:dyDescent="0.2">
      <c r="A2676" t="s">
        <v>89</v>
      </c>
      <c r="B2676" t="s">
        <v>172</v>
      </c>
      <c r="C2676" t="s">
        <v>196</v>
      </c>
      <c r="D2676" t="s">
        <v>74</v>
      </c>
      <c r="E2676" t="s">
        <v>81</v>
      </c>
      <c r="F2676" s="55">
        <v>106</v>
      </c>
      <c r="G2676" s="63">
        <v>2.7799999999999998E-2</v>
      </c>
    </row>
    <row r="2677" spans="1:7" x14ac:dyDescent="0.2">
      <c r="A2677" t="s">
        <v>89</v>
      </c>
      <c r="B2677" t="s">
        <v>172</v>
      </c>
      <c r="C2677" t="s">
        <v>196</v>
      </c>
      <c r="D2677" t="s">
        <v>74</v>
      </c>
      <c r="E2677" t="s">
        <v>82</v>
      </c>
      <c r="F2677" s="55">
        <v>110</v>
      </c>
      <c r="G2677" s="63">
        <v>5.7299999999999997E-2</v>
      </c>
    </row>
    <row r="2678" spans="1:7" x14ac:dyDescent="0.2">
      <c r="A2678" t="s">
        <v>89</v>
      </c>
      <c r="B2678" t="s">
        <v>172</v>
      </c>
      <c r="C2678" t="s">
        <v>196</v>
      </c>
      <c r="D2678" t="s">
        <v>74</v>
      </c>
      <c r="E2678" t="s">
        <v>83</v>
      </c>
      <c r="F2678" s="55">
        <v>103</v>
      </c>
      <c r="G2678" s="63">
        <v>1.43E-2</v>
      </c>
    </row>
    <row r="2679" spans="1:7" x14ac:dyDescent="0.2">
      <c r="A2679" t="s">
        <v>89</v>
      </c>
      <c r="B2679" t="s">
        <v>172</v>
      </c>
      <c r="C2679" t="s">
        <v>196</v>
      </c>
      <c r="D2679" t="s">
        <v>74</v>
      </c>
      <c r="E2679" t="s">
        <v>84</v>
      </c>
      <c r="F2679" s="55">
        <v>108</v>
      </c>
      <c r="G2679" s="63">
        <v>2.4500000000000001E-2</v>
      </c>
    </row>
    <row r="2680" spans="1:7" x14ac:dyDescent="0.2">
      <c r="A2680" t="s">
        <v>89</v>
      </c>
      <c r="B2680" t="s">
        <v>172</v>
      </c>
      <c r="C2680" t="s">
        <v>196</v>
      </c>
      <c r="D2680" t="s">
        <v>74</v>
      </c>
      <c r="E2680" t="s">
        <v>85</v>
      </c>
      <c r="F2680" s="55">
        <v>99</v>
      </c>
      <c r="G2680" s="63">
        <v>2.7099999999999999E-2</v>
      </c>
    </row>
    <row r="2681" spans="1:7" x14ac:dyDescent="0.2">
      <c r="A2681" t="s">
        <v>89</v>
      </c>
      <c r="B2681" t="s">
        <v>172</v>
      </c>
      <c r="C2681" t="s">
        <v>196</v>
      </c>
      <c r="D2681" t="s">
        <v>74</v>
      </c>
      <c r="E2681" t="s">
        <v>86</v>
      </c>
      <c r="F2681" s="55">
        <v>105</v>
      </c>
      <c r="G2681" s="63">
        <v>3.0200000000000001E-2</v>
      </c>
    </row>
    <row r="2682" spans="1:7" x14ac:dyDescent="0.2">
      <c r="A2682" t="s">
        <v>89</v>
      </c>
      <c r="B2682" t="s">
        <v>172</v>
      </c>
      <c r="C2682" t="s">
        <v>196</v>
      </c>
      <c r="D2682" t="s">
        <v>74</v>
      </c>
      <c r="E2682" t="s">
        <v>87</v>
      </c>
      <c r="F2682" s="55">
        <v>106</v>
      </c>
      <c r="G2682" s="63">
        <v>3.2000000000000001E-2</v>
      </c>
    </row>
    <row r="2683" spans="1:7" x14ac:dyDescent="0.2">
      <c r="A2683" t="s">
        <v>89</v>
      </c>
      <c r="B2683" t="s">
        <v>172</v>
      </c>
      <c r="C2683" t="s">
        <v>196</v>
      </c>
      <c r="D2683" t="s">
        <v>74</v>
      </c>
      <c r="E2683" t="s">
        <v>88</v>
      </c>
      <c r="F2683" s="55">
        <v>108</v>
      </c>
      <c r="G2683" s="63">
        <v>2.4899999999999999E-2</v>
      </c>
    </row>
    <row r="2684" spans="1:7" x14ac:dyDescent="0.2">
      <c r="A2684" t="s">
        <v>89</v>
      </c>
      <c r="B2684" t="s">
        <v>173</v>
      </c>
      <c r="C2684" t="s">
        <v>196</v>
      </c>
      <c r="D2684" t="s">
        <v>74</v>
      </c>
      <c r="E2684" t="s">
        <v>75</v>
      </c>
      <c r="F2684" s="55">
        <v>109</v>
      </c>
      <c r="G2684" s="63">
        <v>7.4899999999999994E-2</v>
      </c>
    </row>
    <row r="2685" spans="1:7" x14ac:dyDescent="0.2">
      <c r="A2685" t="s">
        <v>89</v>
      </c>
      <c r="B2685" t="s">
        <v>173</v>
      </c>
      <c r="C2685" t="s">
        <v>196</v>
      </c>
      <c r="D2685" t="s">
        <v>74</v>
      </c>
      <c r="E2685" t="s">
        <v>76</v>
      </c>
      <c r="F2685" s="55">
        <v>103</v>
      </c>
      <c r="G2685" s="63">
        <v>5.1000000000000004E-3</v>
      </c>
    </row>
    <row r="2686" spans="1:7" x14ac:dyDescent="0.2">
      <c r="A2686" t="s">
        <v>89</v>
      </c>
      <c r="B2686" t="s">
        <v>173</v>
      </c>
      <c r="C2686" t="s">
        <v>196</v>
      </c>
      <c r="D2686" t="s">
        <v>74</v>
      </c>
      <c r="E2686" t="s">
        <v>77</v>
      </c>
      <c r="F2686" s="55">
        <v>112</v>
      </c>
      <c r="G2686" s="63">
        <v>2.3E-2</v>
      </c>
    </row>
    <row r="2687" spans="1:7" x14ac:dyDescent="0.2">
      <c r="A2687" t="s">
        <v>89</v>
      </c>
      <c r="B2687" t="s">
        <v>173</v>
      </c>
      <c r="C2687" t="s">
        <v>196</v>
      </c>
      <c r="D2687" t="s">
        <v>74</v>
      </c>
      <c r="E2687" t="s">
        <v>78</v>
      </c>
      <c r="F2687" s="55">
        <v>101</v>
      </c>
      <c r="G2687" s="63">
        <v>1.9300000000000001E-2</v>
      </c>
    </row>
    <row r="2688" spans="1:7" x14ac:dyDescent="0.2">
      <c r="A2688" t="s">
        <v>89</v>
      </c>
      <c r="B2688" t="s">
        <v>173</v>
      </c>
      <c r="C2688" t="s">
        <v>196</v>
      </c>
      <c r="D2688" t="s">
        <v>74</v>
      </c>
      <c r="E2688" t="s">
        <v>79</v>
      </c>
      <c r="F2688" s="55">
        <v>110</v>
      </c>
      <c r="G2688" s="63">
        <v>4.87E-2</v>
      </c>
    </row>
    <row r="2689" spans="1:7" x14ac:dyDescent="0.2">
      <c r="A2689" t="s">
        <v>89</v>
      </c>
      <c r="B2689" t="s">
        <v>173</v>
      </c>
      <c r="C2689" t="s">
        <v>196</v>
      </c>
      <c r="D2689" t="s">
        <v>74</v>
      </c>
      <c r="E2689" t="s">
        <v>80</v>
      </c>
      <c r="F2689" s="55">
        <v>111</v>
      </c>
      <c r="G2689" s="63">
        <v>2.46E-2</v>
      </c>
    </row>
    <row r="2690" spans="1:7" x14ac:dyDescent="0.2">
      <c r="A2690" t="s">
        <v>89</v>
      </c>
      <c r="B2690" t="s">
        <v>173</v>
      </c>
      <c r="C2690" t="s">
        <v>196</v>
      </c>
      <c r="D2690" t="s">
        <v>74</v>
      </c>
      <c r="E2690" t="s">
        <v>81</v>
      </c>
      <c r="F2690" s="55">
        <v>105</v>
      </c>
      <c r="G2690" s="63">
        <v>1.9699999999999999E-2</v>
      </c>
    </row>
    <row r="2691" spans="1:7" x14ac:dyDescent="0.2">
      <c r="A2691" t="s">
        <v>89</v>
      </c>
      <c r="B2691" t="s">
        <v>173</v>
      </c>
      <c r="C2691" t="s">
        <v>196</v>
      </c>
      <c r="D2691" t="s">
        <v>74</v>
      </c>
      <c r="E2691" t="s">
        <v>82</v>
      </c>
      <c r="F2691" s="55">
        <v>107</v>
      </c>
      <c r="G2691" s="63">
        <v>3.7400000000000003E-2</v>
      </c>
    </row>
    <row r="2692" spans="1:7" x14ac:dyDescent="0.2">
      <c r="A2692" t="s">
        <v>89</v>
      </c>
      <c r="B2692" t="s">
        <v>173</v>
      </c>
      <c r="C2692" t="s">
        <v>196</v>
      </c>
      <c r="D2692" t="s">
        <v>74</v>
      </c>
      <c r="E2692" t="s">
        <v>83</v>
      </c>
      <c r="F2692" s="55">
        <v>116</v>
      </c>
      <c r="G2692" s="63">
        <v>5.3E-3</v>
      </c>
    </row>
    <row r="2693" spans="1:7" x14ac:dyDescent="0.2">
      <c r="A2693" t="s">
        <v>89</v>
      </c>
      <c r="B2693" t="s">
        <v>173</v>
      </c>
      <c r="C2693" t="s">
        <v>196</v>
      </c>
      <c r="D2693" t="s">
        <v>74</v>
      </c>
      <c r="E2693" t="s">
        <v>84</v>
      </c>
      <c r="F2693" s="55">
        <v>105</v>
      </c>
      <c r="G2693" s="63">
        <v>1.54E-2</v>
      </c>
    </row>
    <row r="2694" spans="1:7" x14ac:dyDescent="0.2">
      <c r="A2694" t="s">
        <v>89</v>
      </c>
      <c r="B2694" t="s">
        <v>173</v>
      </c>
      <c r="C2694" t="s">
        <v>196</v>
      </c>
      <c r="D2694" t="s">
        <v>74</v>
      </c>
      <c r="E2694" t="s">
        <v>85</v>
      </c>
      <c r="F2694" s="55">
        <v>109</v>
      </c>
      <c r="G2694" s="63">
        <v>2.58E-2</v>
      </c>
    </row>
    <row r="2695" spans="1:7" x14ac:dyDescent="0.2">
      <c r="A2695" t="s">
        <v>89</v>
      </c>
      <c r="B2695" t="s">
        <v>173</v>
      </c>
      <c r="C2695" t="s">
        <v>196</v>
      </c>
      <c r="D2695" t="s">
        <v>74</v>
      </c>
      <c r="E2695" t="s">
        <v>86</v>
      </c>
      <c r="F2695" s="55">
        <v>112</v>
      </c>
      <c r="G2695" s="63">
        <v>2.8299999999999999E-2</v>
      </c>
    </row>
    <row r="2696" spans="1:7" x14ac:dyDescent="0.2">
      <c r="A2696" t="s">
        <v>89</v>
      </c>
      <c r="B2696" t="s">
        <v>173</v>
      </c>
      <c r="C2696" t="s">
        <v>196</v>
      </c>
      <c r="D2696" t="s">
        <v>74</v>
      </c>
      <c r="E2696" t="s">
        <v>87</v>
      </c>
      <c r="F2696" s="55">
        <v>113</v>
      </c>
      <c r="G2696" s="63">
        <v>2.9100000000000001E-2</v>
      </c>
    </row>
    <row r="2697" spans="1:7" x14ac:dyDescent="0.2">
      <c r="A2697" t="s">
        <v>89</v>
      </c>
      <c r="B2697" t="s">
        <v>173</v>
      </c>
      <c r="C2697" t="s">
        <v>196</v>
      </c>
      <c r="D2697" t="s">
        <v>74</v>
      </c>
      <c r="E2697" t="s">
        <v>88</v>
      </c>
      <c r="F2697" s="55">
        <v>103</v>
      </c>
      <c r="G2697" s="63">
        <v>1.3100000000000001E-2</v>
      </c>
    </row>
    <row r="2698" spans="1:7" x14ac:dyDescent="0.2">
      <c r="A2698" t="s">
        <v>89</v>
      </c>
      <c r="B2698" t="s">
        <v>174</v>
      </c>
      <c r="C2698" t="s">
        <v>196</v>
      </c>
      <c r="D2698" t="s">
        <v>74</v>
      </c>
      <c r="E2698" t="s">
        <v>75</v>
      </c>
      <c r="F2698" s="55">
        <v>108</v>
      </c>
      <c r="G2698" s="63">
        <v>0.14899999999999999</v>
      </c>
    </row>
    <row r="2699" spans="1:7" x14ac:dyDescent="0.2">
      <c r="A2699" t="s">
        <v>89</v>
      </c>
      <c r="B2699" t="s">
        <v>174</v>
      </c>
      <c r="C2699" t="s">
        <v>196</v>
      </c>
      <c r="D2699" t="s">
        <v>74</v>
      </c>
      <c r="E2699" t="s">
        <v>76</v>
      </c>
      <c r="F2699" s="55">
        <v>95</v>
      </c>
      <c r="G2699" s="63">
        <v>1.8200000000000001E-2</v>
      </c>
    </row>
    <row r="2700" spans="1:7" x14ac:dyDescent="0.2">
      <c r="A2700" t="s">
        <v>89</v>
      </c>
      <c r="B2700" t="s">
        <v>174</v>
      </c>
      <c r="C2700" t="s">
        <v>196</v>
      </c>
      <c r="D2700" t="s">
        <v>74</v>
      </c>
      <c r="E2700" t="s">
        <v>77</v>
      </c>
      <c r="F2700" s="55">
        <v>110</v>
      </c>
      <c r="G2700" s="63">
        <v>5.5300000000000002E-2</v>
      </c>
    </row>
    <row r="2701" spans="1:7" x14ac:dyDescent="0.2">
      <c r="A2701" t="s">
        <v>89</v>
      </c>
      <c r="B2701" t="s">
        <v>174</v>
      </c>
      <c r="C2701" t="s">
        <v>196</v>
      </c>
      <c r="D2701" t="s">
        <v>74</v>
      </c>
      <c r="E2701" t="s">
        <v>78</v>
      </c>
      <c r="F2701" s="55">
        <v>113</v>
      </c>
      <c r="G2701" s="63">
        <v>4.5600000000000002E-2</v>
      </c>
    </row>
    <row r="2702" spans="1:7" x14ac:dyDescent="0.2">
      <c r="A2702" t="s">
        <v>89</v>
      </c>
      <c r="B2702" t="s">
        <v>174</v>
      </c>
      <c r="C2702" t="s">
        <v>196</v>
      </c>
      <c r="D2702" t="s">
        <v>74</v>
      </c>
      <c r="E2702" t="s">
        <v>79</v>
      </c>
      <c r="F2702" s="55">
        <v>111</v>
      </c>
      <c r="G2702" s="63">
        <v>0.1008</v>
      </c>
    </row>
    <row r="2703" spans="1:7" x14ac:dyDescent="0.2">
      <c r="A2703" t="s">
        <v>89</v>
      </c>
      <c r="B2703" t="s">
        <v>174</v>
      </c>
      <c r="C2703" t="s">
        <v>196</v>
      </c>
      <c r="D2703" t="s">
        <v>74</v>
      </c>
      <c r="E2703" t="s">
        <v>80</v>
      </c>
      <c r="F2703" s="55">
        <v>113</v>
      </c>
      <c r="G2703" s="63">
        <v>0.04</v>
      </c>
    </row>
    <row r="2704" spans="1:7" x14ac:dyDescent="0.2">
      <c r="A2704" t="s">
        <v>89</v>
      </c>
      <c r="B2704" t="s">
        <v>174</v>
      </c>
      <c r="C2704" t="s">
        <v>196</v>
      </c>
      <c r="D2704" t="s">
        <v>74</v>
      </c>
      <c r="E2704" t="s">
        <v>81</v>
      </c>
      <c r="F2704" s="55">
        <v>105</v>
      </c>
      <c r="G2704" s="63">
        <v>3.73E-2</v>
      </c>
    </row>
    <row r="2705" spans="1:7" x14ac:dyDescent="0.2">
      <c r="A2705" t="s">
        <v>89</v>
      </c>
      <c r="B2705" t="s">
        <v>174</v>
      </c>
      <c r="C2705" t="s">
        <v>196</v>
      </c>
      <c r="D2705" t="s">
        <v>74</v>
      </c>
      <c r="E2705" t="s">
        <v>82</v>
      </c>
      <c r="F2705" s="55">
        <v>104</v>
      </c>
      <c r="G2705" s="63">
        <v>7.3800000000000004E-2</v>
      </c>
    </row>
    <row r="2706" spans="1:7" x14ac:dyDescent="0.2">
      <c r="A2706" t="s">
        <v>89</v>
      </c>
      <c r="B2706" t="s">
        <v>174</v>
      </c>
      <c r="C2706" t="s">
        <v>196</v>
      </c>
      <c r="D2706" t="s">
        <v>74</v>
      </c>
      <c r="E2706" t="s">
        <v>83</v>
      </c>
      <c r="F2706" s="55">
        <v>99</v>
      </c>
      <c r="G2706" s="63">
        <v>1.7399999999999999E-2</v>
      </c>
    </row>
    <row r="2707" spans="1:7" x14ac:dyDescent="0.2">
      <c r="A2707" t="s">
        <v>89</v>
      </c>
      <c r="B2707" t="s">
        <v>174</v>
      </c>
      <c r="C2707" t="s">
        <v>196</v>
      </c>
      <c r="D2707" t="s">
        <v>74</v>
      </c>
      <c r="E2707" t="s">
        <v>84</v>
      </c>
      <c r="F2707" s="55">
        <v>114</v>
      </c>
      <c r="G2707" s="63">
        <v>3.6299999999999999E-2</v>
      </c>
    </row>
    <row r="2708" spans="1:7" x14ac:dyDescent="0.2">
      <c r="A2708" t="s">
        <v>89</v>
      </c>
      <c r="B2708" t="s">
        <v>174</v>
      </c>
      <c r="C2708" t="s">
        <v>196</v>
      </c>
      <c r="D2708" t="s">
        <v>74</v>
      </c>
      <c r="E2708" t="s">
        <v>85</v>
      </c>
      <c r="F2708" s="55">
        <v>107</v>
      </c>
      <c r="G2708" s="63">
        <v>4.4400000000000002E-2</v>
      </c>
    </row>
    <row r="2709" spans="1:7" x14ac:dyDescent="0.2">
      <c r="A2709" t="s">
        <v>89</v>
      </c>
      <c r="B2709" t="s">
        <v>174</v>
      </c>
      <c r="C2709" t="s">
        <v>196</v>
      </c>
      <c r="D2709" t="s">
        <v>74</v>
      </c>
      <c r="E2709" t="s">
        <v>86</v>
      </c>
      <c r="F2709" s="55">
        <v>112</v>
      </c>
      <c r="G2709" s="63">
        <v>5.0799999999999998E-2</v>
      </c>
    </row>
    <row r="2710" spans="1:7" x14ac:dyDescent="0.2">
      <c r="A2710" t="s">
        <v>89</v>
      </c>
      <c r="B2710" t="s">
        <v>174</v>
      </c>
      <c r="C2710" t="s">
        <v>196</v>
      </c>
      <c r="D2710" t="s">
        <v>74</v>
      </c>
      <c r="E2710" t="s">
        <v>87</v>
      </c>
      <c r="F2710" s="55">
        <v>112</v>
      </c>
      <c r="G2710" s="63">
        <v>5.3800000000000001E-2</v>
      </c>
    </row>
    <row r="2711" spans="1:7" x14ac:dyDescent="0.2">
      <c r="A2711" t="s">
        <v>89</v>
      </c>
      <c r="B2711" t="s">
        <v>174</v>
      </c>
      <c r="C2711" t="s">
        <v>196</v>
      </c>
      <c r="D2711" t="s">
        <v>74</v>
      </c>
      <c r="E2711" t="s">
        <v>88</v>
      </c>
      <c r="F2711" s="55">
        <v>96</v>
      </c>
      <c r="G2711" s="63">
        <v>3.0099999999999998E-2</v>
      </c>
    </row>
    <row r="2712" spans="1:7" x14ac:dyDescent="0.2">
      <c r="A2712" t="s">
        <v>89</v>
      </c>
      <c r="B2712" t="s">
        <v>17</v>
      </c>
      <c r="C2712" t="s">
        <v>196</v>
      </c>
      <c r="D2712" t="s">
        <v>74</v>
      </c>
      <c r="E2712" t="s">
        <v>75</v>
      </c>
      <c r="F2712" s="55">
        <v>86</v>
      </c>
      <c r="G2712" s="63">
        <v>5.4300000000000001E-2</v>
      </c>
    </row>
    <row r="2713" spans="1:7" x14ac:dyDescent="0.2">
      <c r="A2713" t="s">
        <v>89</v>
      </c>
      <c r="B2713" t="s">
        <v>17</v>
      </c>
      <c r="C2713" t="s">
        <v>196</v>
      </c>
      <c r="D2713" t="s">
        <v>74</v>
      </c>
      <c r="E2713" t="s">
        <v>76</v>
      </c>
      <c r="F2713" s="55">
        <v>93</v>
      </c>
      <c r="G2713" s="63">
        <v>3.0999999999999999E-3</v>
      </c>
    </row>
    <row r="2714" spans="1:7" x14ac:dyDescent="0.2">
      <c r="A2714" t="s">
        <v>89</v>
      </c>
      <c r="B2714" t="s">
        <v>17</v>
      </c>
      <c r="C2714" t="s">
        <v>196</v>
      </c>
      <c r="D2714" t="s">
        <v>74</v>
      </c>
      <c r="E2714" t="s">
        <v>77</v>
      </c>
      <c r="F2714" s="55">
        <v>87</v>
      </c>
      <c r="G2714" s="63">
        <v>1.26E-2</v>
      </c>
    </row>
    <row r="2715" spans="1:7" x14ac:dyDescent="0.2">
      <c r="A2715" t="s">
        <v>89</v>
      </c>
      <c r="B2715" t="s">
        <v>17</v>
      </c>
      <c r="C2715" t="s">
        <v>196</v>
      </c>
      <c r="D2715" t="s">
        <v>74</v>
      </c>
      <c r="E2715" t="s">
        <v>78</v>
      </c>
      <c r="F2715" s="55">
        <v>99</v>
      </c>
      <c r="G2715" s="63">
        <v>9.7999999999999997E-3</v>
      </c>
    </row>
    <row r="2716" spans="1:7" x14ac:dyDescent="0.2">
      <c r="A2716" t="s">
        <v>89</v>
      </c>
      <c r="B2716" t="s">
        <v>17</v>
      </c>
      <c r="C2716" t="s">
        <v>196</v>
      </c>
      <c r="D2716" t="s">
        <v>74</v>
      </c>
      <c r="E2716" t="s">
        <v>79</v>
      </c>
      <c r="F2716" s="55">
        <v>86</v>
      </c>
      <c r="G2716" s="63">
        <v>3.61E-2</v>
      </c>
    </row>
    <row r="2717" spans="1:7" x14ac:dyDescent="0.2">
      <c r="A2717" t="s">
        <v>89</v>
      </c>
      <c r="B2717" t="s">
        <v>17</v>
      </c>
      <c r="C2717" t="s">
        <v>196</v>
      </c>
      <c r="D2717" t="s">
        <v>74</v>
      </c>
      <c r="E2717" t="s">
        <v>80</v>
      </c>
      <c r="F2717" s="55">
        <v>92</v>
      </c>
      <c r="G2717" s="63">
        <v>7.7000000000000002E-3</v>
      </c>
    </row>
    <row r="2718" spans="1:7" x14ac:dyDescent="0.2">
      <c r="A2718" t="s">
        <v>89</v>
      </c>
      <c r="B2718" t="s">
        <v>17</v>
      </c>
      <c r="C2718" t="s">
        <v>196</v>
      </c>
      <c r="D2718" t="s">
        <v>74</v>
      </c>
      <c r="E2718" t="s">
        <v>81</v>
      </c>
      <c r="F2718" s="55">
        <v>89</v>
      </c>
      <c r="G2718" s="63">
        <v>8.6999999999999994E-3</v>
      </c>
    </row>
    <row r="2719" spans="1:7" x14ac:dyDescent="0.2">
      <c r="A2719" t="s">
        <v>89</v>
      </c>
      <c r="B2719" t="s">
        <v>17</v>
      </c>
      <c r="C2719" t="s">
        <v>196</v>
      </c>
      <c r="D2719" t="s">
        <v>74</v>
      </c>
      <c r="E2719" t="s">
        <v>82</v>
      </c>
      <c r="F2719" s="55">
        <v>83</v>
      </c>
      <c r="G2719" s="63">
        <v>2.3199999999999998E-2</v>
      </c>
    </row>
    <row r="2720" spans="1:7" x14ac:dyDescent="0.2">
      <c r="A2720" t="s">
        <v>89</v>
      </c>
      <c r="B2720" t="s">
        <v>17</v>
      </c>
      <c r="C2720" t="s">
        <v>196</v>
      </c>
      <c r="D2720" t="s">
        <v>74</v>
      </c>
      <c r="E2720" t="s">
        <v>83</v>
      </c>
      <c r="F2720" s="55">
        <v>90</v>
      </c>
      <c r="G2720" s="63">
        <v>3.3E-3</v>
      </c>
    </row>
    <row r="2721" spans="1:7" x14ac:dyDescent="0.2">
      <c r="A2721" t="s">
        <v>89</v>
      </c>
      <c r="B2721" t="s">
        <v>17</v>
      </c>
      <c r="C2721" t="s">
        <v>196</v>
      </c>
      <c r="D2721" t="s">
        <v>74</v>
      </c>
      <c r="E2721" t="s">
        <v>84</v>
      </c>
      <c r="F2721" s="55">
        <v>108</v>
      </c>
      <c r="G2721" s="63">
        <v>6.1999999999999998E-3</v>
      </c>
    </row>
    <row r="2722" spans="1:7" x14ac:dyDescent="0.2">
      <c r="A2722" t="s">
        <v>89</v>
      </c>
      <c r="B2722" t="s">
        <v>17</v>
      </c>
      <c r="C2722" t="s">
        <v>196</v>
      </c>
      <c r="D2722" t="s">
        <v>74</v>
      </c>
      <c r="E2722" t="s">
        <v>85</v>
      </c>
      <c r="F2722" s="55">
        <v>82</v>
      </c>
      <c r="G2722" s="63">
        <v>9.9000000000000008E-3</v>
      </c>
    </row>
    <row r="2723" spans="1:7" x14ac:dyDescent="0.2">
      <c r="A2723" t="s">
        <v>89</v>
      </c>
      <c r="B2723" t="s">
        <v>17</v>
      </c>
      <c r="C2723" t="s">
        <v>196</v>
      </c>
      <c r="D2723" t="s">
        <v>74</v>
      </c>
      <c r="E2723" t="s">
        <v>86</v>
      </c>
      <c r="F2723" s="55">
        <v>85</v>
      </c>
      <c r="G2723" s="63">
        <v>1.41E-2</v>
      </c>
    </row>
    <row r="2724" spans="1:7" x14ac:dyDescent="0.2">
      <c r="A2724" t="s">
        <v>89</v>
      </c>
      <c r="B2724" t="s">
        <v>17</v>
      </c>
      <c r="C2724" t="s">
        <v>196</v>
      </c>
      <c r="D2724" t="s">
        <v>74</v>
      </c>
      <c r="E2724" t="s">
        <v>87</v>
      </c>
      <c r="F2724" s="55">
        <v>87</v>
      </c>
      <c r="G2724" s="63">
        <v>1.72E-2</v>
      </c>
    </row>
    <row r="2725" spans="1:7" x14ac:dyDescent="0.2">
      <c r="A2725" t="s">
        <v>89</v>
      </c>
      <c r="B2725" t="s">
        <v>17</v>
      </c>
      <c r="C2725" t="s">
        <v>196</v>
      </c>
      <c r="D2725" t="s">
        <v>74</v>
      </c>
      <c r="E2725" t="s">
        <v>88</v>
      </c>
      <c r="F2725" s="55">
        <v>92</v>
      </c>
      <c r="G2725" s="63">
        <v>6.1000000000000004E-3</v>
      </c>
    </row>
    <row r="2726" spans="1:7" x14ac:dyDescent="0.2">
      <c r="A2726" t="s">
        <v>89</v>
      </c>
      <c r="B2726" t="s">
        <v>175</v>
      </c>
      <c r="C2726" t="s">
        <v>196</v>
      </c>
      <c r="D2726" t="s">
        <v>74</v>
      </c>
      <c r="E2726" t="s">
        <v>75</v>
      </c>
      <c r="F2726" s="55">
        <v>109</v>
      </c>
      <c r="G2726" s="63">
        <v>8.1900000000000001E-2</v>
      </c>
    </row>
    <row r="2727" spans="1:7" x14ac:dyDescent="0.2">
      <c r="A2727" t="s">
        <v>89</v>
      </c>
      <c r="B2727" t="s">
        <v>175</v>
      </c>
      <c r="C2727" t="s">
        <v>196</v>
      </c>
      <c r="D2727" t="s">
        <v>74</v>
      </c>
      <c r="E2727" t="s">
        <v>76</v>
      </c>
      <c r="F2727" s="55">
        <v>99</v>
      </c>
      <c r="G2727" s="63">
        <v>9.9000000000000008E-3</v>
      </c>
    </row>
    <row r="2728" spans="1:7" x14ac:dyDescent="0.2">
      <c r="A2728" t="s">
        <v>89</v>
      </c>
      <c r="B2728" t="s">
        <v>175</v>
      </c>
      <c r="C2728" t="s">
        <v>196</v>
      </c>
      <c r="D2728" t="s">
        <v>74</v>
      </c>
      <c r="E2728" t="s">
        <v>77</v>
      </c>
      <c r="F2728" s="55">
        <v>113</v>
      </c>
      <c r="G2728" s="63">
        <v>2.9700000000000001E-2</v>
      </c>
    </row>
    <row r="2729" spans="1:7" x14ac:dyDescent="0.2">
      <c r="A2729" t="s">
        <v>89</v>
      </c>
      <c r="B2729" t="s">
        <v>175</v>
      </c>
      <c r="C2729" t="s">
        <v>196</v>
      </c>
      <c r="D2729" t="s">
        <v>74</v>
      </c>
      <c r="E2729" t="s">
        <v>78</v>
      </c>
      <c r="F2729" s="55">
        <v>115</v>
      </c>
      <c r="G2729" s="63">
        <v>2.5000000000000001E-2</v>
      </c>
    </row>
    <row r="2730" spans="1:7" x14ac:dyDescent="0.2">
      <c r="A2730" t="s">
        <v>89</v>
      </c>
      <c r="B2730" t="s">
        <v>175</v>
      </c>
      <c r="C2730" t="s">
        <v>196</v>
      </c>
      <c r="D2730" t="s">
        <v>74</v>
      </c>
      <c r="E2730" t="s">
        <v>79</v>
      </c>
      <c r="F2730" s="55">
        <v>113</v>
      </c>
      <c r="G2730" s="63">
        <v>5.67E-2</v>
      </c>
    </row>
    <row r="2731" spans="1:7" x14ac:dyDescent="0.2">
      <c r="A2731" t="s">
        <v>89</v>
      </c>
      <c r="B2731" t="s">
        <v>175</v>
      </c>
      <c r="C2731" t="s">
        <v>196</v>
      </c>
      <c r="D2731" t="s">
        <v>74</v>
      </c>
      <c r="E2731" t="s">
        <v>80</v>
      </c>
      <c r="F2731" s="55">
        <v>108</v>
      </c>
      <c r="G2731" s="63">
        <v>2.1499999999999998E-2</v>
      </c>
    </row>
    <row r="2732" spans="1:7" x14ac:dyDescent="0.2">
      <c r="A2732" t="s">
        <v>89</v>
      </c>
      <c r="B2732" t="s">
        <v>175</v>
      </c>
      <c r="C2732" t="s">
        <v>196</v>
      </c>
      <c r="D2732" t="s">
        <v>74</v>
      </c>
      <c r="E2732" t="s">
        <v>81</v>
      </c>
      <c r="F2732" s="55">
        <v>98</v>
      </c>
      <c r="G2732" s="63">
        <v>1.9E-2</v>
      </c>
    </row>
    <row r="2733" spans="1:7" x14ac:dyDescent="0.2">
      <c r="A2733" t="s">
        <v>89</v>
      </c>
      <c r="B2733" t="s">
        <v>175</v>
      </c>
      <c r="C2733" t="s">
        <v>196</v>
      </c>
      <c r="D2733" t="s">
        <v>74</v>
      </c>
      <c r="E2733" t="s">
        <v>82</v>
      </c>
      <c r="F2733" s="55">
        <v>105</v>
      </c>
      <c r="G2733" s="63">
        <v>3.4200000000000001E-2</v>
      </c>
    </row>
    <row r="2734" spans="1:7" x14ac:dyDescent="0.2">
      <c r="A2734" t="s">
        <v>89</v>
      </c>
      <c r="B2734" t="s">
        <v>175</v>
      </c>
      <c r="C2734" t="s">
        <v>196</v>
      </c>
      <c r="D2734" t="s">
        <v>74</v>
      </c>
      <c r="E2734" t="s">
        <v>83</v>
      </c>
      <c r="F2734" s="55">
        <v>98</v>
      </c>
      <c r="G2734" s="63">
        <v>8.8999999999999999E-3</v>
      </c>
    </row>
    <row r="2735" spans="1:7" x14ac:dyDescent="0.2">
      <c r="A2735" t="s">
        <v>89</v>
      </c>
      <c r="B2735" t="s">
        <v>175</v>
      </c>
      <c r="C2735" t="s">
        <v>196</v>
      </c>
      <c r="D2735" t="s">
        <v>74</v>
      </c>
      <c r="E2735" t="s">
        <v>84</v>
      </c>
      <c r="F2735" s="55">
        <v>116</v>
      </c>
      <c r="G2735" s="63">
        <v>2.01E-2</v>
      </c>
    </row>
    <row r="2736" spans="1:7" x14ac:dyDescent="0.2">
      <c r="A2736" t="s">
        <v>89</v>
      </c>
      <c r="B2736" t="s">
        <v>175</v>
      </c>
      <c r="C2736" t="s">
        <v>196</v>
      </c>
      <c r="D2736" t="s">
        <v>74</v>
      </c>
      <c r="E2736" t="s">
        <v>85</v>
      </c>
      <c r="F2736" s="55">
        <v>114</v>
      </c>
      <c r="G2736" s="63">
        <v>2.47E-2</v>
      </c>
    </row>
    <row r="2737" spans="1:7" x14ac:dyDescent="0.2">
      <c r="A2737" t="s">
        <v>89</v>
      </c>
      <c r="B2737" t="s">
        <v>175</v>
      </c>
      <c r="C2737" t="s">
        <v>196</v>
      </c>
      <c r="D2737" t="s">
        <v>74</v>
      </c>
      <c r="E2737" t="s">
        <v>86</v>
      </c>
      <c r="F2737" s="55">
        <v>113</v>
      </c>
      <c r="G2737" s="63">
        <v>2.87E-2</v>
      </c>
    </row>
    <row r="2738" spans="1:7" x14ac:dyDescent="0.2">
      <c r="A2738" t="s">
        <v>89</v>
      </c>
      <c r="B2738" t="s">
        <v>175</v>
      </c>
      <c r="C2738" t="s">
        <v>196</v>
      </c>
      <c r="D2738" t="s">
        <v>74</v>
      </c>
      <c r="E2738" t="s">
        <v>87</v>
      </c>
      <c r="F2738" s="55">
        <v>114</v>
      </c>
      <c r="G2738" s="63">
        <v>3.1600000000000003E-2</v>
      </c>
    </row>
    <row r="2739" spans="1:7" x14ac:dyDescent="0.2">
      <c r="A2739" t="s">
        <v>89</v>
      </c>
      <c r="B2739" t="s">
        <v>175</v>
      </c>
      <c r="C2739" t="s">
        <v>196</v>
      </c>
      <c r="D2739" t="s">
        <v>74</v>
      </c>
      <c r="E2739" t="s">
        <v>88</v>
      </c>
      <c r="F2739" s="55">
        <v>97</v>
      </c>
      <c r="G2739" s="63">
        <v>1.52E-2</v>
      </c>
    </row>
    <row r="2740" spans="1:7" x14ac:dyDescent="0.2">
      <c r="A2740" t="s">
        <v>89</v>
      </c>
      <c r="B2740" t="s">
        <v>176</v>
      </c>
      <c r="C2740" t="s">
        <v>196</v>
      </c>
      <c r="D2740" t="s">
        <v>74</v>
      </c>
      <c r="E2740" t="s">
        <v>75</v>
      </c>
      <c r="F2740" s="55">
        <v>120</v>
      </c>
      <c r="G2740" s="63">
        <v>6.9400000000000003E-2</v>
      </c>
    </row>
    <row r="2741" spans="1:7" x14ac:dyDescent="0.2">
      <c r="A2741" t="s">
        <v>89</v>
      </c>
      <c r="B2741" t="s">
        <v>176</v>
      </c>
      <c r="C2741" t="s">
        <v>196</v>
      </c>
      <c r="D2741" t="s">
        <v>74</v>
      </c>
      <c r="E2741" t="s">
        <v>76</v>
      </c>
      <c r="F2741" s="55">
        <v>136</v>
      </c>
      <c r="G2741" s="63">
        <v>7.6E-3</v>
      </c>
    </row>
    <row r="2742" spans="1:7" x14ac:dyDescent="0.2">
      <c r="A2742" t="s">
        <v>89</v>
      </c>
      <c r="B2742" t="s">
        <v>176</v>
      </c>
      <c r="C2742" t="s">
        <v>196</v>
      </c>
      <c r="D2742" t="s">
        <v>74</v>
      </c>
      <c r="E2742" t="s">
        <v>77</v>
      </c>
      <c r="F2742" s="55">
        <v>132</v>
      </c>
      <c r="G2742" s="63">
        <v>2.4799999999999999E-2</v>
      </c>
    </row>
    <row r="2743" spans="1:7" x14ac:dyDescent="0.2">
      <c r="A2743" t="s">
        <v>89</v>
      </c>
      <c r="B2743" t="s">
        <v>176</v>
      </c>
      <c r="C2743" t="s">
        <v>196</v>
      </c>
      <c r="D2743" t="s">
        <v>74</v>
      </c>
      <c r="E2743" t="s">
        <v>78</v>
      </c>
      <c r="F2743" s="55">
        <v>124</v>
      </c>
      <c r="G2743" s="63">
        <v>1.9599999999999999E-2</v>
      </c>
    </row>
    <row r="2744" spans="1:7" x14ac:dyDescent="0.2">
      <c r="A2744" t="s">
        <v>89</v>
      </c>
      <c r="B2744" t="s">
        <v>176</v>
      </c>
      <c r="C2744" t="s">
        <v>196</v>
      </c>
      <c r="D2744" t="s">
        <v>74</v>
      </c>
      <c r="E2744" t="s">
        <v>79</v>
      </c>
      <c r="F2744" s="55">
        <v>116</v>
      </c>
      <c r="G2744" s="63">
        <v>4.2099999999999999E-2</v>
      </c>
    </row>
    <row r="2745" spans="1:7" x14ac:dyDescent="0.2">
      <c r="A2745" t="s">
        <v>89</v>
      </c>
      <c r="B2745" t="s">
        <v>176</v>
      </c>
      <c r="C2745" t="s">
        <v>196</v>
      </c>
      <c r="D2745" t="s">
        <v>74</v>
      </c>
      <c r="E2745" t="s">
        <v>80</v>
      </c>
      <c r="F2745" s="55">
        <v>107</v>
      </c>
      <c r="G2745" s="63">
        <v>1.34E-2</v>
      </c>
    </row>
    <row r="2746" spans="1:7" x14ac:dyDescent="0.2">
      <c r="A2746" t="s">
        <v>89</v>
      </c>
      <c r="B2746" t="s">
        <v>176</v>
      </c>
      <c r="C2746" t="s">
        <v>196</v>
      </c>
      <c r="D2746" t="s">
        <v>74</v>
      </c>
      <c r="E2746" t="s">
        <v>81</v>
      </c>
      <c r="F2746" s="55">
        <v>115</v>
      </c>
      <c r="G2746" s="63">
        <v>1.3899999999999999E-2</v>
      </c>
    </row>
    <row r="2747" spans="1:7" x14ac:dyDescent="0.2">
      <c r="A2747" t="s">
        <v>89</v>
      </c>
      <c r="B2747" t="s">
        <v>176</v>
      </c>
      <c r="C2747" t="s">
        <v>196</v>
      </c>
      <c r="D2747" t="s">
        <v>74</v>
      </c>
      <c r="E2747" t="s">
        <v>82</v>
      </c>
      <c r="F2747" s="55">
        <v>113</v>
      </c>
      <c r="G2747" s="63">
        <v>3.32E-2</v>
      </c>
    </row>
    <row r="2748" spans="1:7" x14ac:dyDescent="0.2">
      <c r="A2748" t="s">
        <v>89</v>
      </c>
      <c r="B2748" t="s">
        <v>176</v>
      </c>
      <c r="C2748" t="s">
        <v>196</v>
      </c>
      <c r="D2748" t="s">
        <v>74</v>
      </c>
      <c r="E2748" t="s">
        <v>83</v>
      </c>
      <c r="F2748" s="55">
        <v>132</v>
      </c>
      <c r="G2748" s="63">
        <v>6.7999999999999996E-3</v>
      </c>
    </row>
    <row r="2749" spans="1:7" x14ac:dyDescent="0.2">
      <c r="A2749" t="s">
        <v>89</v>
      </c>
      <c r="B2749" t="s">
        <v>176</v>
      </c>
      <c r="C2749" t="s">
        <v>196</v>
      </c>
      <c r="D2749" t="s">
        <v>74</v>
      </c>
      <c r="E2749" t="s">
        <v>84</v>
      </c>
      <c r="F2749" s="55">
        <v>126</v>
      </c>
      <c r="G2749" s="63">
        <v>1.47E-2</v>
      </c>
    </row>
    <row r="2750" spans="1:7" x14ac:dyDescent="0.2">
      <c r="A2750" t="s">
        <v>89</v>
      </c>
      <c r="B2750" t="s">
        <v>176</v>
      </c>
      <c r="C2750" t="s">
        <v>196</v>
      </c>
      <c r="D2750" t="s">
        <v>74</v>
      </c>
      <c r="E2750" t="s">
        <v>85</v>
      </c>
      <c r="F2750" s="55">
        <v>114</v>
      </c>
      <c r="G2750" s="63">
        <v>1.3599999999999999E-2</v>
      </c>
    </row>
    <row r="2751" spans="1:7" x14ac:dyDescent="0.2">
      <c r="A2751" t="s">
        <v>89</v>
      </c>
      <c r="B2751" t="s">
        <v>176</v>
      </c>
      <c r="C2751" t="s">
        <v>196</v>
      </c>
      <c r="D2751" t="s">
        <v>74</v>
      </c>
      <c r="E2751" t="s">
        <v>86</v>
      </c>
      <c r="F2751" s="55">
        <v>115</v>
      </c>
      <c r="G2751" s="63">
        <v>1.6E-2</v>
      </c>
    </row>
    <row r="2752" spans="1:7" x14ac:dyDescent="0.2">
      <c r="A2752" t="s">
        <v>89</v>
      </c>
      <c r="B2752" t="s">
        <v>176</v>
      </c>
      <c r="C2752" t="s">
        <v>196</v>
      </c>
      <c r="D2752" t="s">
        <v>74</v>
      </c>
      <c r="E2752" t="s">
        <v>87</v>
      </c>
      <c r="F2752" s="55">
        <v>120</v>
      </c>
      <c r="G2752" s="63">
        <v>1.9599999999999999E-2</v>
      </c>
    </row>
    <row r="2753" spans="1:7" x14ac:dyDescent="0.2">
      <c r="A2753" t="s">
        <v>89</v>
      </c>
      <c r="B2753" t="s">
        <v>176</v>
      </c>
      <c r="C2753" t="s">
        <v>196</v>
      </c>
      <c r="D2753" t="s">
        <v>74</v>
      </c>
      <c r="E2753" t="s">
        <v>88</v>
      </c>
      <c r="F2753" s="55">
        <v>127</v>
      </c>
      <c r="G2753" s="63">
        <v>1.35E-2</v>
      </c>
    </row>
    <row r="2754" spans="1:7" x14ac:dyDescent="0.2">
      <c r="A2754" t="s">
        <v>71</v>
      </c>
      <c r="B2754" t="s">
        <v>178</v>
      </c>
      <c r="C2754" t="s">
        <v>196</v>
      </c>
      <c r="D2754" t="s">
        <v>74</v>
      </c>
      <c r="E2754" t="s">
        <v>75</v>
      </c>
      <c r="F2754" s="55">
        <v>92</v>
      </c>
      <c r="G2754" s="63">
        <v>0.27689999999999998</v>
      </c>
    </row>
    <row r="2755" spans="1:7" x14ac:dyDescent="0.2">
      <c r="A2755" t="s">
        <v>71</v>
      </c>
      <c r="B2755" t="s">
        <v>178</v>
      </c>
      <c r="C2755" t="s">
        <v>196</v>
      </c>
      <c r="D2755" t="s">
        <v>74</v>
      </c>
      <c r="E2755" t="s">
        <v>76</v>
      </c>
      <c r="F2755" s="55">
        <v>96</v>
      </c>
      <c r="G2755" s="63">
        <v>3.5099999999999999E-2</v>
      </c>
    </row>
    <row r="2756" spans="1:7" x14ac:dyDescent="0.2">
      <c r="A2756" t="s">
        <v>71</v>
      </c>
      <c r="B2756" t="s">
        <v>178</v>
      </c>
      <c r="C2756" t="s">
        <v>196</v>
      </c>
      <c r="D2756" t="s">
        <v>74</v>
      </c>
      <c r="E2756" t="s">
        <v>77</v>
      </c>
      <c r="F2756" s="55">
        <v>96</v>
      </c>
      <c r="G2756" s="63">
        <v>9.9000000000000005E-2</v>
      </c>
    </row>
    <row r="2757" spans="1:7" x14ac:dyDescent="0.2">
      <c r="A2757" t="s">
        <v>71</v>
      </c>
      <c r="B2757" t="s">
        <v>178</v>
      </c>
      <c r="C2757" t="s">
        <v>196</v>
      </c>
      <c r="D2757" t="s">
        <v>74</v>
      </c>
      <c r="E2757" t="s">
        <v>78</v>
      </c>
      <c r="F2757" s="55">
        <v>92</v>
      </c>
      <c r="G2757" s="63">
        <v>8.7499999999999994E-2</v>
      </c>
    </row>
    <row r="2758" spans="1:7" x14ac:dyDescent="0.2">
      <c r="A2758" t="s">
        <v>71</v>
      </c>
      <c r="B2758" t="s">
        <v>178</v>
      </c>
      <c r="C2758" t="s">
        <v>196</v>
      </c>
      <c r="D2758" t="s">
        <v>74</v>
      </c>
      <c r="E2758" t="s">
        <v>79</v>
      </c>
      <c r="F2758" s="55">
        <v>89</v>
      </c>
      <c r="G2758" s="63">
        <v>0.20169999999999999</v>
      </c>
    </row>
    <row r="2759" spans="1:7" x14ac:dyDescent="0.2">
      <c r="A2759" t="s">
        <v>71</v>
      </c>
      <c r="B2759" t="s">
        <v>178</v>
      </c>
      <c r="C2759" t="s">
        <v>196</v>
      </c>
      <c r="D2759" t="s">
        <v>74</v>
      </c>
      <c r="E2759" t="s">
        <v>80</v>
      </c>
      <c r="F2759" s="55">
        <v>91</v>
      </c>
      <c r="G2759" s="63">
        <v>7.3099999999999998E-2</v>
      </c>
    </row>
    <row r="2760" spans="1:7" x14ac:dyDescent="0.2">
      <c r="A2760" t="s">
        <v>71</v>
      </c>
      <c r="B2760" t="s">
        <v>178</v>
      </c>
      <c r="C2760" t="s">
        <v>196</v>
      </c>
      <c r="D2760" t="s">
        <v>74</v>
      </c>
      <c r="E2760" t="s">
        <v>81</v>
      </c>
      <c r="F2760" s="55">
        <v>96</v>
      </c>
      <c r="G2760" s="63">
        <v>6.6799999999999998E-2</v>
      </c>
    </row>
    <row r="2761" spans="1:7" x14ac:dyDescent="0.2">
      <c r="A2761" t="s">
        <v>71</v>
      </c>
      <c r="B2761" t="s">
        <v>178</v>
      </c>
      <c r="C2761" t="s">
        <v>196</v>
      </c>
      <c r="D2761" t="s">
        <v>74</v>
      </c>
      <c r="E2761" t="s">
        <v>82</v>
      </c>
      <c r="F2761" s="55">
        <v>91</v>
      </c>
      <c r="G2761" s="63">
        <v>0.1295</v>
      </c>
    </row>
    <row r="2762" spans="1:7" x14ac:dyDescent="0.2">
      <c r="A2762" t="s">
        <v>71</v>
      </c>
      <c r="B2762" t="s">
        <v>178</v>
      </c>
      <c r="C2762" t="s">
        <v>196</v>
      </c>
      <c r="D2762" t="s">
        <v>74</v>
      </c>
      <c r="E2762" t="s">
        <v>83</v>
      </c>
      <c r="F2762" s="55">
        <v>100</v>
      </c>
      <c r="G2762" s="63">
        <v>3.0800000000000001E-2</v>
      </c>
    </row>
    <row r="2763" spans="1:7" x14ac:dyDescent="0.2">
      <c r="A2763" t="s">
        <v>71</v>
      </c>
      <c r="B2763" t="s">
        <v>178</v>
      </c>
      <c r="C2763" t="s">
        <v>196</v>
      </c>
      <c r="D2763" t="s">
        <v>74</v>
      </c>
      <c r="E2763" t="s">
        <v>84</v>
      </c>
      <c r="F2763" s="55">
        <v>93</v>
      </c>
      <c r="G2763" s="63">
        <v>6.8199999999999997E-2</v>
      </c>
    </row>
    <row r="2764" spans="1:7" x14ac:dyDescent="0.2">
      <c r="A2764" t="s">
        <v>71</v>
      </c>
      <c r="B2764" t="s">
        <v>178</v>
      </c>
      <c r="C2764" t="s">
        <v>196</v>
      </c>
      <c r="D2764" t="s">
        <v>74</v>
      </c>
      <c r="E2764" t="s">
        <v>85</v>
      </c>
      <c r="F2764" s="55">
        <v>88</v>
      </c>
      <c r="G2764" s="63">
        <v>8.8499999999999995E-2</v>
      </c>
    </row>
    <row r="2765" spans="1:7" x14ac:dyDescent="0.2">
      <c r="A2765" t="s">
        <v>71</v>
      </c>
      <c r="B2765" t="s">
        <v>178</v>
      </c>
      <c r="C2765" t="s">
        <v>196</v>
      </c>
      <c r="D2765" t="s">
        <v>74</v>
      </c>
      <c r="E2765" t="s">
        <v>86</v>
      </c>
      <c r="F2765" s="55">
        <v>89</v>
      </c>
      <c r="G2765" s="63">
        <v>0.1047</v>
      </c>
    </row>
    <row r="2766" spans="1:7" x14ac:dyDescent="0.2">
      <c r="A2766" t="s">
        <v>71</v>
      </c>
      <c r="B2766" t="s">
        <v>178</v>
      </c>
      <c r="C2766" t="s">
        <v>196</v>
      </c>
      <c r="D2766" t="s">
        <v>74</v>
      </c>
      <c r="E2766" t="s">
        <v>87</v>
      </c>
      <c r="F2766" s="55">
        <v>90</v>
      </c>
      <c r="G2766" s="63">
        <v>0.1129</v>
      </c>
    </row>
    <row r="2767" spans="1:7" x14ac:dyDescent="0.2">
      <c r="A2767" t="s">
        <v>71</v>
      </c>
      <c r="B2767" t="s">
        <v>178</v>
      </c>
      <c r="C2767" t="s">
        <v>196</v>
      </c>
      <c r="D2767" t="s">
        <v>74</v>
      </c>
      <c r="E2767" t="s">
        <v>88</v>
      </c>
      <c r="F2767" s="55">
        <v>96</v>
      </c>
      <c r="G2767" s="63">
        <v>5.4300000000000001E-2</v>
      </c>
    </row>
    <row r="2768" spans="1:7" x14ac:dyDescent="0.2">
      <c r="A2768" t="s">
        <v>71</v>
      </c>
      <c r="B2768" t="s">
        <v>179</v>
      </c>
      <c r="C2768" t="s">
        <v>196</v>
      </c>
      <c r="D2768" t="s">
        <v>74</v>
      </c>
      <c r="E2768" t="s">
        <v>75</v>
      </c>
      <c r="F2768" s="55">
        <v>100</v>
      </c>
      <c r="G2768" s="63">
        <v>0.3916</v>
      </c>
    </row>
    <row r="2769" spans="1:7" x14ac:dyDescent="0.2">
      <c r="A2769" t="s">
        <v>71</v>
      </c>
      <c r="B2769" t="s">
        <v>179</v>
      </c>
      <c r="C2769" t="s">
        <v>196</v>
      </c>
      <c r="D2769" t="s">
        <v>74</v>
      </c>
      <c r="E2769" t="s">
        <v>76</v>
      </c>
      <c r="F2769" s="55">
        <v>98</v>
      </c>
      <c r="G2769" s="63">
        <v>4.8300000000000003E-2</v>
      </c>
    </row>
    <row r="2770" spans="1:7" x14ac:dyDescent="0.2">
      <c r="A2770" t="s">
        <v>71</v>
      </c>
      <c r="B2770" t="s">
        <v>179</v>
      </c>
      <c r="C2770" t="s">
        <v>196</v>
      </c>
      <c r="D2770" t="s">
        <v>74</v>
      </c>
      <c r="E2770" t="s">
        <v>77</v>
      </c>
      <c r="F2770" s="55">
        <v>100</v>
      </c>
      <c r="G2770" s="63">
        <v>0.1389</v>
      </c>
    </row>
    <row r="2771" spans="1:7" x14ac:dyDescent="0.2">
      <c r="A2771" t="s">
        <v>71</v>
      </c>
      <c r="B2771" t="s">
        <v>179</v>
      </c>
      <c r="C2771" t="s">
        <v>196</v>
      </c>
      <c r="D2771" t="s">
        <v>74</v>
      </c>
      <c r="E2771" t="s">
        <v>78</v>
      </c>
      <c r="F2771" s="55">
        <v>106</v>
      </c>
      <c r="G2771" s="63">
        <v>0.1381</v>
      </c>
    </row>
    <row r="2772" spans="1:7" x14ac:dyDescent="0.2">
      <c r="A2772" t="s">
        <v>71</v>
      </c>
      <c r="B2772" t="s">
        <v>179</v>
      </c>
      <c r="C2772" t="s">
        <v>196</v>
      </c>
      <c r="D2772" t="s">
        <v>74</v>
      </c>
      <c r="E2772" t="s">
        <v>79</v>
      </c>
      <c r="F2772" s="55">
        <v>101</v>
      </c>
      <c r="G2772" s="63">
        <v>0.29320000000000002</v>
      </c>
    </row>
    <row r="2773" spans="1:7" x14ac:dyDescent="0.2">
      <c r="A2773" t="s">
        <v>71</v>
      </c>
      <c r="B2773" t="s">
        <v>179</v>
      </c>
      <c r="C2773" t="s">
        <v>196</v>
      </c>
      <c r="D2773" t="s">
        <v>74</v>
      </c>
      <c r="E2773" t="s">
        <v>80</v>
      </c>
      <c r="F2773" s="55">
        <v>91</v>
      </c>
      <c r="G2773" s="63">
        <v>0.1178</v>
      </c>
    </row>
    <row r="2774" spans="1:7" x14ac:dyDescent="0.2">
      <c r="A2774" t="s">
        <v>71</v>
      </c>
      <c r="B2774" t="s">
        <v>179</v>
      </c>
      <c r="C2774" t="s">
        <v>196</v>
      </c>
      <c r="D2774" t="s">
        <v>74</v>
      </c>
      <c r="E2774" t="s">
        <v>81</v>
      </c>
      <c r="F2774" s="55">
        <v>90</v>
      </c>
      <c r="G2774" s="63">
        <v>9.5799999999999996E-2</v>
      </c>
    </row>
    <row r="2775" spans="1:7" x14ac:dyDescent="0.2">
      <c r="A2775" t="s">
        <v>71</v>
      </c>
      <c r="B2775" t="s">
        <v>179</v>
      </c>
      <c r="C2775" t="s">
        <v>196</v>
      </c>
      <c r="D2775" t="s">
        <v>74</v>
      </c>
      <c r="E2775" t="s">
        <v>82</v>
      </c>
      <c r="F2775" s="55">
        <v>95</v>
      </c>
      <c r="G2775" s="63">
        <v>0.2051</v>
      </c>
    </row>
    <row r="2776" spans="1:7" x14ac:dyDescent="0.2">
      <c r="A2776" t="s">
        <v>71</v>
      </c>
      <c r="B2776" t="s">
        <v>179</v>
      </c>
      <c r="C2776" t="s">
        <v>196</v>
      </c>
      <c r="D2776" t="s">
        <v>74</v>
      </c>
      <c r="E2776" t="s">
        <v>83</v>
      </c>
      <c r="F2776" s="55">
        <v>95</v>
      </c>
      <c r="G2776" s="63">
        <v>4.2000000000000003E-2</v>
      </c>
    </row>
    <row r="2777" spans="1:7" x14ac:dyDescent="0.2">
      <c r="A2777" t="s">
        <v>71</v>
      </c>
      <c r="B2777" t="s">
        <v>179</v>
      </c>
      <c r="C2777" t="s">
        <v>196</v>
      </c>
      <c r="D2777" t="s">
        <v>74</v>
      </c>
      <c r="E2777" t="s">
        <v>84</v>
      </c>
      <c r="F2777" s="55">
        <v>105</v>
      </c>
      <c r="G2777" s="63">
        <v>0.1111</v>
      </c>
    </row>
    <row r="2778" spans="1:7" x14ac:dyDescent="0.2">
      <c r="A2778" t="s">
        <v>71</v>
      </c>
      <c r="B2778" t="s">
        <v>179</v>
      </c>
      <c r="C2778" t="s">
        <v>196</v>
      </c>
      <c r="D2778" t="s">
        <v>74</v>
      </c>
      <c r="E2778" t="s">
        <v>85</v>
      </c>
      <c r="F2778" s="55">
        <v>94</v>
      </c>
      <c r="G2778" s="63">
        <v>0.1376</v>
      </c>
    </row>
    <row r="2779" spans="1:7" x14ac:dyDescent="0.2">
      <c r="A2779" t="s">
        <v>71</v>
      </c>
      <c r="B2779" t="s">
        <v>179</v>
      </c>
      <c r="C2779" t="s">
        <v>196</v>
      </c>
      <c r="D2779" t="s">
        <v>74</v>
      </c>
      <c r="E2779" t="s">
        <v>86</v>
      </c>
      <c r="F2779" s="55">
        <v>97</v>
      </c>
      <c r="G2779" s="63">
        <v>0.16450000000000001</v>
      </c>
    </row>
    <row r="2780" spans="1:7" x14ac:dyDescent="0.2">
      <c r="A2780" t="s">
        <v>71</v>
      </c>
      <c r="B2780" t="s">
        <v>179</v>
      </c>
      <c r="C2780" t="s">
        <v>196</v>
      </c>
      <c r="D2780" t="s">
        <v>74</v>
      </c>
      <c r="E2780" t="s">
        <v>87</v>
      </c>
      <c r="F2780" s="55">
        <v>101</v>
      </c>
      <c r="G2780" s="63">
        <v>0.1759</v>
      </c>
    </row>
    <row r="2781" spans="1:7" x14ac:dyDescent="0.2">
      <c r="A2781" t="s">
        <v>71</v>
      </c>
      <c r="B2781" t="s">
        <v>179</v>
      </c>
      <c r="C2781" t="s">
        <v>196</v>
      </c>
      <c r="D2781" t="s">
        <v>74</v>
      </c>
      <c r="E2781" t="s">
        <v>88</v>
      </c>
      <c r="F2781" s="55">
        <v>97</v>
      </c>
      <c r="G2781" s="63">
        <v>7.6799999999999993E-2</v>
      </c>
    </row>
    <row r="2782" spans="1:7" x14ac:dyDescent="0.2">
      <c r="A2782" t="s">
        <v>89</v>
      </c>
      <c r="B2782" t="s">
        <v>180</v>
      </c>
      <c r="C2782" t="s">
        <v>196</v>
      </c>
      <c r="D2782" t="s">
        <v>74</v>
      </c>
      <c r="E2782" t="s">
        <v>75</v>
      </c>
      <c r="F2782" s="55">
        <v>37</v>
      </c>
      <c r="G2782" s="63">
        <v>0.25419999999999998</v>
      </c>
    </row>
    <row r="2783" spans="1:7" x14ac:dyDescent="0.2">
      <c r="A2783" t="s">
        <v>89</v>
      </c>
      <c r="B2783" t="s">
        <v>180</v>
      </c>
      <c r="C2783" t="s">
        <v>196</v>
      </c>
      <c r="D2783" t="s">
        <v>74</v>
      </c>
      <c r="E2783" t="s">
        <v>76</v>
      </c>
      <c r="F2783" s="55">
        <v>37</v>
      </c>
      <c r="G2783" s="63">
        <v>2.81E-2</v>
      </c>
    </row>
    <row r="2784" spans="1:7" x14ac:dyDescent="0.2">
      <c r="A2784" t="s">
        <v>89</v>
      </c>
      <c r="B2784" t="s">
        <v>180</v>
      </c>
      <c r="C2784" t="s">
        <v>196</v>
      </c>
      <c r="D2784" t="s">
        <v>74</v>
      </c>
      <c r="E2784" t="s">
        <v>77</v>
      </c>
      <c r="F2784" s="55">
        <v>42</v>
      </c>
      <c r="G2784" s="63">
        <v>7.4999999999999997E-2</v>
      </c>
    </row>
    <row r="2785" spans="1:7" x14ac:dyDescent="0.2">
      <c r="A2785" t="s">
        <v>89</v>
      </c>
      <c r="B2785" t="s">
        <v>180</v>
      </c>
      <c r="C2785" t="s">
        <v>196</v>
      </c>
      <c r="D2785" t="s">
        <v>74</v>
      </c>
      <c r="E2785" t="s">
        <v>78</v>
      </c>
      <c r="F2785" s="55">
        <v>35</v>
      </c>
      <c r="G2785" s="63">
        <v>4.9099999999999998E-2</v>
      </c>
    </row>
    <row r="2786" spans="1:7" x14ac:dyDescent="0.2">
      <c r="A2786" t="s">
        <v>89</v>
      </c>
      <c r="B2786" t="s">
        <v>180</v>
      </c>
      <c r="C2786" t="s">
        <v>196</v>
      </c>
      <c r="D2786" t="s">
        <v>74</v>
      </c>
      <c r="E2786" t="s">
        <v>79</v>
      </c>
      <c r="F2786" s="55">
        <v>34</v>
      </c>
      <c r="G2786" s="63">
        <v>0.1527</v>
      </c>
    </row>
    <row r="2787" spans="1:7" x14ac:dyDescent="0.2">
      <c r="A2787" t="s">
        <v>89</v>
      </c>
      <c r="B2787" t="s">
        <v>180</v>
      </c>
      <c r="C2787" t="s">
        <v>196</v>
      </c>
      <c r="D2787" t="s">
        <v>74</v>
      </c>
      <c r="E2787" t="s">
        <v>80</v>
      </c>
      <c r="F2787" s="55">
        <v>41</v>
      </c>
      <c r="G2787" s="63">
        <v>3.8600000000000002E-2</v>
      </c>
    </row>
    <row r="2788" spans="1:7" x14ac:dyDescent="0.2">
      <c r="A2788" t="s">
        <v>89</v>
      </c>
      <c r="B2788" t="s">
        <v>180</v>
      </c>
      <c r="C2788" t="s">
        <v>196</v>
      </c>
      <c r="D2788" t="s">
        <v>74</v>
      </c>
      <c r="E2788" t="s">
        <v>81</v>
      </c>
      <c r="F2788" s="55">
        <v>51</v>
      </c>
      <c r="G2788" s="63">
        <v>3.7199999999999997E-2</v>
      </c>
    </row>
    <row r="2789" spans="1:7" x14ac:dyDescent="0.2">
      <c r="A2789" t="s">
        <v>89</v>
      </c>
      <c r="B2789" t="s">
        <v>180</v>
      </c>
      <c r="C2789" t="s">
        <v>196</v>
      </c>
      <c r="D2789" t="s">
        <v>74</v>
      </c>
      <c r="E2789" t="s">
        <v>82</v>
      </c>
      <c r="F2789" s="55">
        <v>39</v>
      </c>
      <c r="G2789" s="63">
        <v>0.11650000000000001</v>
      </c>
    </row>
    <row r="2790" spans="1:7" x14ac:dyDescent="0.2">
      <c r="A2790" t="s">
        <v>89</v>
      </c>
      <c r="B2790" t="s">
        <v>180</v>
      </c>
      <c r="C2790" t="s">
        <v>196</v>
      </c>
      <c r="D2790" t="s">
        <v>74</v>
      </c>
      <c r="E2790" t="s">
        <v>83</v>
      </c>
      <c r="F2790" s="55">
        <v>45</v>
      </c>
      <c r="G2790" s="63">
        <v>1.6400000000000001E-2</v>
      </c>
    </row>
    <row r="2791" spans="1:7" x14ac:dyDescent="0.2">
      <c r="A2791" t="s">
        <v>89</v>
      </c>
      <c r="B2791" t="s">
        <v>180</v>
      </c>
      <c r="C2791" t="s">
        <v>196</v>
      </c>
      <c r="D2791" t="s">
        <v>74</v>
      </c>
      <c r="E2791" t="s">
        <v>84</v>
      </c>
      <c r="F2791" s="55">
        <v>36</v>
      </c>
      <c r="G2791" s="63">
        <v>3.73E-2</v>
      </c>
    </row>
    <row r="2792" spans="1:7" x14ac:dyDescent="0.2">
      <c r="A2792" t="s">
        <v>89</v>
      </c>
      <c r="B2792" t="s">
        <v>180</v>
      </c>
      <c r="C2792" t="s">
        <v>196</v>
      </c>
      <c r="D2792" t="s">
        <v>74</v>
      </c>
      <c r="E2792" t="s">
        <v>85</v>
      </c>
      <c r="F2792" s="55">
        <v>34</v>
      </c>
      <c r="G2792" s="63">
        <v>4.3099999999999999E-2</v>
      </c>
    </row>
    <row r="2793" spans="1:7" x14ac:dyDescent="0.2">
      <c r="A2793" t="s">
        <v>89</v>
      </c>
      <c r="B2793" t="s">
        <v>180</v>
      </c>
      <c r="C2793" t="s">
        <v>196</v>
      </c>
      <c r="D2793" t="s">
        <v>74</v>
      </c>
      <c r="E2793" t="s">
        <v>86</v>
      </c>
      <c r="F2793" s="55">
        <v>35</v>
      </c>
      <c r="G2793" s="63">
        <v>5.5300000000000002E-2</v>
      </c>
    </row>
    <row r="2794" spans="1:7" x14ac:dyDescent="0.2">
      <c r="A2794" t="s">
        <v>89</v>
      </c>
      <c r="B2794" t="s">
        <v>180</v>
      </c>
      <c r="C2794" t="s">
        <v>196</v>
      </c>
      <c r="D2794" t="s">
        <v>74</v>
      </c>
      <c r="E2794" t="s">
        <v>87</v>
      </c>
      <c r="F2794" s="55">
        <v>33</v>
      </c>
      <c r="G2794" s="63">
        <v>5.9200000000000003E-2</v>
      </c>
    </row>
    <row r="2795" spans="1:7" x14ac:dyDescent="0.2">
      <c r="A2795" t="s">
        <v>89</v>
      </c>
      <c r="B2795" t="s">
        <v>180</v>
      </c>
      <c r="C2795" t="s">
        <v>196</v>
      </c>
      <c r="D2795" t="s">
        <v>74</v>
      </c>
      <c r="E2795" t="s">
        <v>88</v>
      </c>
      <c r="F2795" s="55">
        <v>39</v>
      </c>
      <c r="G2795" s="63">
        <v>4.0899999999999999E-2</v>
      </c>
    </row>
    <row r="2796" spans="1:7" x14ac:dyDescent="0.2">
      <c r="A2796" t="s">
        <v>71</v>
      </c>
      <c r="B2796" t="s">
        <v>18</v>
      </c>
      <c r="C2796" t="s">
        <v>196</v>
      </c>
      <c r="D2796" t="s">
        <v>74</v>
      </c>
      <c r="E2796" t="s">
        <v>75</v>
      </c>
      <c r="F2796" s="55">
        <v>109</v>
      </c>
      <c r="G2796" s="63">
        <v>0.35799999999999998</v>
      </c>
    </row>
    <row r="2797" spans="1:7" x14ac:dyDescent="0.2">
      <c r="A2797" t="s">
        <v>71</v>
      </c>
      <c r="B2797" t="s">
        <v>18</v>
      </c>
      <c r="C2797" t="s">
        <v>196</v>
      </c>
      <c r="D2797" t="s">
        <v>74</v>
      </c>
      <c r="E2797" t="s">
        <v>76</v>
      </c>
      <c r="F2797" s="55">
        <v>105</v>
      </c>
      <c r="G2797" s="63">
        <v>4.9000000000000002E-2</v>
      </c>
    </row>
    <row r="2798" spans="1:7" x14ac:dyDescent="0.2">
      <c r="A2798" t="s">
        <v>71</v>
      </c>
      <c r="B2798" t="s">
        <v>18</v>
      </c>
      <c r="C2798" t="s">
        <v>196</v>
      </c>
      <c r="D2798" t="s">
        <v>74</v>
      </c>
      <c r="E2798" t="s">
        <v>77</v>
      </c>
      <c r="F2798" s="55">
        <v>111</v>
      </c>
      <c r="G2798" s="63">
        <v>0.15809999999999999</v>
      </c>
    </row>
    <row r="2799" spans="1:7" x14ac:dyDescent="0.2">
      <c r="A2799" t="s">
        <v>71</v>
      </c>
      <c r="B2799" t="s">
        <v>18</v>
      </c>
      <c r="C2799" t="s">
        <v>196</v>
      </c>
      <c r="D2799" t="s">
        <v>74</v>
      </c>
      <c r="E2799" t="s">
        <v>78</v>
      </c>
      <c r="F2799" s="55">
        <v>107</v>
      </c>
      <c r="G2799" s="63">
        <v>0.1424</v>
      </c>
    </row>
    <row r="2800" spans="1:7" x14ac:dyDescent="0.2">
      <c r="A2800" t="s">
        <v>71</v>
      </c>
      <c r="B2800" t="s">
        <v>18</v>
      </c>
      <c r="C2800" t="s">
        <v>196</v>
      </c>
      <c r="D2800" t="s">
        <v>74</v>
      </c>
      <c r="E2800" t="s">
        <v>79</v>
      </c>
      <c r="F2800" s="55">
        <v>110</v>
      </c>
      <c r="G2800" s="63">
        <v>0.27829999999999999</v>
      </c>
    </row>
    <row r="2801" spans="1:7" x14ac:dyDescent="0.2">
      <c r="A2801" t="s">
        <v>71</v>
      </c>
      <c r="B2801" t="s">
        <v>18</v>
      </c>
      <c r="C2801" t="s">
        <v>196</v>
      </c>
      <c r="D2801" t="s">
        <v>74</v>
      </c>
      <c r="E2801" t="s">
        <v>80</v>
      </c>
      <c r="F2801" s="55">
        <v>105</v>
      </c>
      <c r="G2801" s="63">
        <v>0.1144</v>
      </c>
    </row>
    <row r="2802" spans="1:7" x14ac:dyDescent="0.2">
      <c r="A2802" t="s">
        <v>71</v>
      </c>
      <c r="B2802" t="s">
        <v>18</v>
      </c>
      <c r="C2802" t="s">
        <v>196</v>
      </c>
      <c r="D2802" t="s">
        <v>74</v>
      </c>
      <c r="E2802" t="s">
        <v>81</v>
      </c>
      <c r="F2802" s="55">
        <v>101</v>
      </c>
      <c r="G2802" s="63">
        <v>9.2399999999999996E-2</v>
      </c>
    </row>
    <row r="2803" spans="1:7" x14ac:dyDescent="0.2">
      <c r="A2803" t="s">
        <v>71</v>
      </c>
      <c r="B2803" t="s">
        <v>18</v>
      </c>
      <c r="C2803" t="s">
        <v>196</v>
      </c>
      <c r="D2803" t="s">
        <v>74</v>
      </c>
      <c r="E2803" t="s">
        <v>82</v>
      </c>
      <c r="F2803" s="55">
        <v>109</v>
      </c>
      <c r="G2803" s="63">
        <v>0.19539999999999999</v>
      </c>
    </row>
    <row r="2804" spans="1:7" x14ac:dyDescent="0.2">
      <c r="A2804" t="s">
        <v>71</v>
      </c>
      <c r="B2804" t="s">
        <v>18</v>
      </c>
      <c r="C2804" t="s">
        <v>196</v>
      </c>
      <c r="D2804" t="s">
        <v>74</v>
      </c>
      <c r="E2804" t="s">
        <v>83</v>
      </c>
      <c r="F2804" s="55">
        <v>102</v>
      </c>
      <c r="G2804" s="63">
        <v>3.9E-2</v>
      </c>
    </row>
    <row r="2805" spans="1:7" x14ac:dyDescent="0.2">
      <c r="A2805" t="s">
        <v>71</v>
      </c>
      <c r="B2805" t="s">
        <v>18</v>
      </c>
      <c r="C2805" t="s">
        <v>196</v>
      </c>
      <c r="D2805" t="s">
        <v>74</v>
      </c>
      <c r="E2805" t="s">
        <v>84</v>
      </c>
      <c r="F2805" s="55">
        <v>108</v>
      </c>
      <c r="G2805" s="63">
        <v>0.11600000000000001</v>
      </c>
    </row>
    <row r="2806" spans="1:7" x14ac:dyDescent="0.2">
      <c r="A2806" t="s">
        <v>71</v>
      </c>
      <c r="B2806" t="s">
        <v>18</v>
      </c>
      <c r="C2806" t="s">
        <v>196</v>
      </c>
      <c r="D2806" t="s">
        <v>74</v>
      </c>
      <c r="E2806" t="s">
        <v>85</v>
      </c>
      <c r="F2806" s="55">
        <v>107</v>
      </c>
      <c r="G2806" s="63">
        <v>0.1401</v>
      </c>
    </row>
    <row r="2807" spans="1:7" x14ac:dyDescent="0.2">
      <c r="A2807" t="s">
        <v>71</v>
      </c>
      <c r="B2807" t="s">
        <v>18</v>
      </c>
      <c r="C2807" t="s">
        <v>196</v>
      </c>
      <c r="D2807" t="s">
        <v>74</v>
      </c>
      <c r="E2807" t="s">
        <v>86</v>
      </c>
      <c r="F2807" s="55">
        <v>110</v>
      </c>
      <c r="G2807" s="63">
        <v>0.1731</v>
      </c>
    </row>
    <row r="2808" spans="1:7" x14ac:dyDescent="0.2">
      <c r="A2808" t="s">
        <v>71</v>
      </c>
      <c r="B2808" t="s">
        <v>18</v>
      </c>
      <c r="C2808" t="s">
        <v>196</v>
      </c>
      <c r="D2808" t="s">
        <v>74</v>
      </c>
      <c r="E2808" t="s">
        <v>87</v>
      </c>
      <c r="F2808" s="55">
        <v>112</v>
      </c>
      <c r="G2808" s="63">
        <v>0.18579999999999999</v>
      </c>
    </row>
    <row r="2809" spans="1:7" x14ac:dyDescent="0.2">
      <c r="A2809" t="s">
        <v>71</v>
      </c>
      <c r="B2809" t="s">
        <v>18</v>
      </c>
      <c r="C2809" t="s">
        <v>196</v>
      </c>
      <c r="D2809" t="s">
        <v>74</v>
      </c>
      <c r="E2809" t="s">
        <v>88</v>
      </c>
      <c r="F2809" s="55">
        <v>105</v>
      </c>
      <c r="G2809" s="63">
        <v>7.4800000000000005E-2</v>
      </c>
    </row>
    <row r="2810" spans="1:7" x14ac:dyDescent="0.2">
      <c r="A2810" t="s">
        <v>89</v>
      </c>
      <c r="B2810" t="s">
        <v>181</v>
      </c>
      <c r="C2810" t="s">
        <v>196</v>
      </c>
      <c r="D2810" t="s">
        <v>74</v>
      </c>
      <c r="E2810" t="s">
        <v>75</v>
      </c>
      <c r="F2810" s="55">
        <v>107</v>
      </c>
      <c r="G2810" s="63">
        <v>3.7400000000000003E-2</v>
      </c>
    </row>
    <row r="2811" spans="1:7" x14ac:dyDescent="0.2">
      <c r="A2811" t="s">
        <v>89</v>
      </c>
      <c r="B2811" t="s">
        <v>181</v>
      </c>
      <c r="C2811" t="s">
        <v>196</v>
      </c>
      <c r="D2811" t="s">
        <v>74</v>
      </c>
      <c r="E2811" t="s">
        <v>76</v>
      </c>
      <c r="F2811" s="55">
        <v>96</v>
      </c>
      <c r="G2811" s="63">
        <v>7.1999999999999998E-3</v>
      </c>
    </row>
    <row r="2812" spans="1:7" x14ac:dyDescent="0.2">
      <c r="A2812" t="s">
        <v>89</v>
      </c>
      <c r="B2812" t="s">
        <v>181</v>
      </c>
      <c r="C2812" t="s">
        <v>196</v>
      </c>
      <c r="D2812" t="s">
        <v>74</v>
      </c>
      <c r="E2812" t="s">
        <v>77</v>
      </c>
      <c r="F2812" s="55">
        <v>105</v>
      </c>
      <c r="G2812" s="63">
        <v>1.84E-2</v>
      </c>
    </row>
    <row r="2813" spans="1:7" x14ac:dyDescent="0.2">
      <c r="A2813" t="s">
        <v>89</v>
      </c>
      <c r="B2813" t="s">
        <v>181</v>
      </c>
      <c r="C2813" t="s">
        <v>196</v>
      </c>
      <c r="D2813" t="s">
        <v>74</v>
      </c>
      <c r="E2813" t="s">
        <v>78</v>
      </c>
      <c r="F2813" s="55">
        <v>111</v>
      </c>
      <c r="G2813" s="63">
        <v>1.6199999999999999E-2</v>
      </c>
    </row>
    <row r="2814" spans="1:7" x14ac:dyDescent="0.2">
      <c r="A2814" t="s">
        <v>89</v>
      </c>
      <c r="B2814" t="s">
        <v>181</v>
      </c>
      <c r="C2814" t="s">
        <v>196</v>
      </c>
      <c r="D2814" t="s">
        <v>74</v>
      </c>
      <c r="E2814" t="s">
        <v>79</v>
      </c>
      <c r="F2814" s="55">
        <v>110</v>
      </c>
      <c r="G2814" s="63">
        <v>2.7199999999999998E-2</v>
      </c>
    </row>
    <row r="2815" spans="1:7" x14ac:dyDescent="0.2">
      <c r="A2815" t="s">
        <v>89</v>
      </c>
      <c r="B2815" t="s">
        <v>181</v>
      </c>
      <c r="C2815" t="s">
        <v>196</v>
      </c>
      <c r="D2815" t="s">
        <v>74</v>
      </c>
      <c r="E2815" t="s">
        <v>80</v>
      </c>
      <c r="F2815" s="55">
        <v>106</v>
      </c>
      <c r="G2815" s="63">
        <v>1.4E-2</v>
      </c>
    </row>
    <row r="2816" spans="1:7" x14ac:dyDescent="0.2">
      <c r="A2816" t="s">
        <v>89</v>
      </c>
      <c r="B2816" t="s">
        <v>181</v>
      </c>
      <c r="C2816" t="s">
        <v>196</v>
      </c>
      <c r="D2816" t="s">
        <v>74</v>
      </c>
      <c r="E2816" t="s">
        <v>81</v>
      </c>
      <c r="F2816" s="55">
        <v>99</v>
      </c>
      <c r="G2816" s="63">
        <v>1.1900000000000001E-2</v>
      </c>
    </row>
    <row r="2817" spans="1:7" x14ac:dyDescent="0.2">
      <c r="A2817" t="s">
        <v>89</v>
      </c>
      <c r="B2817" t="s">
        <v>181</v>
      </c>
      <c r="C2817" t="s">
        <v>196</v>
      </c>
      <c r="D2817" t="s">
        <v>74</v>
      </c>
      <c r="E2817" t="s">
        <v>82</v>
      </c>
      <c r="F2817" s="55">
        <v>108</v>
      </c>
      <c r="G2817" s="63">
        <v>2.1499999999999998E-2</v>
      </c>
    </row>
    <row r="2818" spans="1:7" x14ac:dyDescent="0.2">
      <c r="A2818" t="s">
        <v>89</v>
      </c>
      <c r="B2818" t="s">
        <v>181</v>
      </c>
      <c r="C2818" t="s">
        <v>196</v>
      </c>
      <c r="D2818" t="s">
        <v>74</v>
      </c>
      <c r="E2818" t="s">
        <v>83</v>
      </c>
      <c r="F2818" s="55">
        <v>96</v>
      </c>
      <c r="G2818" s="63">
        <v>5.4999999999999997E-3</v>
      </c>
    </row>
    <row r="2819" spans="1:7" x14ac:dyDescent="0.2">
      <c r="A2819" t="s">
        <v>89</v>
      </c>
      <c r="B2819" t="s">
        <v>181</v>
      </c>
      <c r="C2819" t="s">
        <v>196</v>
      </c>
      <c r="D2819" t="s">
        <v>74</v>
      </c>
      <c r="E2819" t="s">
        <v>84</v>
      </c>
      <c r="F2819" s="55">
        <v>114</v>
      </c>
      <c r="G2819" s="63">
        <v>1.44E-2</v>
      </c>
    </row>
    <row r="2820" spans="1:7" x14ac:dyDescent="0.2">
      <c r="A2820" t="s">
        <v>89</v>
      </c>
      <c r="B2820" t="s">
        <v>181</v>
      </c>
      <c r="C2820" t="s">
        <v>196</v>
      </c>
      <c r="D2820" t="s">
        <v>74</v>
      </c>
      <c r="E2820" t="s">
        <v>85</v>
      </c>
      <c r="F2820" s="55">
        <v>110</v>
      </c>
      <c r="G2820" s="63">
        <v>1.61E-2</v>
      </c>
    </row>
    <row r="2821" spans="1:7" x14ac:dyDescent="0.2">
      <c r="A2821" t="s">
        <v>89</v>
      </c>
      <c r="B2821" t="s">
        <v>181</v>
      </c>
      <c r="C2821" t="s">
        <v>196</v>
      </c>
      <c r="D2821" t="s">
        <v>74</v>
      </c>
      <c r="E2821" t="s">
        <v>86</v>
      </c>
      <c r="F2821" s="55">
        <v>111</v>
      </c>
      <c r="G2821" s="63">
        <v>1.72E-2</v>
      </c>
    </row>
    <row r="2822" spans="1:7" x14ac:dyDescent="0.2">
      <c r="A2822" t="s">
        <v>89</v>
      </c>
      <c r="B2822" t="s">
        <v>181</v>
      </c>
      <c r="C2822" t="s">
        <v>196</v>
      </c>
      <c r="D2822" t="s">
        <v>74</v>
      </c>
      <c r="E2822" t="s">
        <v>87</v>
      </c>
      <c r="F2822" s="55">
        <v>108</v>
      </c>
      <c r="G2822" s="63">
        <v>1.8499999999999999E-2</v>
      </c>
    </row>
    <row r="2823" spans="1:7" x14ac:dyDescent="0.2">
      <c r="A2823" t="s">
        <v>89</v>
      </c>
      <c r="B2823" t="s">
        <v>181</v>
      </c>
      <c r="C2823" t="s">
        <v>196</v>
      </c>
      <c r="D2823" t="s">
        <v>74</v>
      </c>
      <c r="E2823" t="s">
        <v>88</v>
      </c>
      <c r="F2823" s="55">
        <v>94</v>
      </c>
      <c r="G2823" s="63">
        <v>9.4999999999999998E-3</v>
      </c>
    </row>
    <row r="2824" spans="1:7" x14ac:dyDescent="0.2">
      <c r="A2824" t="s">
        <v>71</v>
      </c>
      <c r="B2824" t="s">
        <v>182</v>
      </c>
      <c r="C2824" t="s">
        <v>196</v>
      </c>
      <c r="D2824" t="s">
        <v>74</v>
      </c>
      <c r="E2824" t="s">
        <v>75</v>
      </c>
      <c r="F2824" s="55">
        <v>95</v>
      </c>
      <c r="G2824" s="63">
        <v>0.26879999999999998</v>
      </c>
    </row>
    <row r="2825" spans="1:7" x14ac:dyDescent="0.2">
      <c r="A2825" t="s">
        <v>71</v>
      </c>
      <c r="B2825" t="s">
        <v>182</v>
      </c>
      <c r="C2825" t="s">
        <v>196</v>
      </c>
      <c r="D2825" t="s">
        <v>74</v>
      </c>
      <c r="E2825" t="s">
        <v>76</v>
      </c>
      <c r="F2825" s="55">
        <v>101</v>
      </c>
      <c r="G2825" s="63">
        <v>4.2599999999999999E-2</v>
      </c>
    </row>
    <row r="2826" spans="1:7" x14ac:dyDescent="0.2">
      <c r="A2826" t="s">
        <v>71</v>
      </c>
      <c r="B2826" t="s">
        <v>182</v>
      </c>
      <c r="C2826" t="s">
        <v>196</v>
      </c>
      <c r="D2826" t="s">
        <v>74</v>
      </c>
      <c r="E2826" t="s">
        <v>77</v>
      </c>
      <c r="F2826" s="55">
        <v>98</v>
      </c>
      <c r="G2826" s="63">
        <v>0.11509999999999999</v>
      </c>
    </row>
    <row r="2827" spans="1:7" x14ac:dyDescent="0.2">
      <c r="A2827" t="s">
        <v>71</v>
      </c>
      <c r="B2827" t="s">
        <v>182</v>
      </c>
      <c r="C2827" t="s">
        <v>196</v>
      </c>
      <c r="D2827" t="s">
        <v>74</v>
      </c>
      <c r="E2827" t="s">
        <v>78</v>
      </c>
      <c r="F2827" s="55">
        <v>93</v>
      </c>
      <c r="G2827" s="63">
        <v>9.4E-2</v>
      </c>
    </row>
    <row r="2828" spans="1:7" x14ac:dyDescent="0.2">
      <c r="A2828" t="s">
        <v>71</v>
      </c>
      <c r="B2828" t="s">
        <v>182</v>
      </c>
      <c r="C2828" t="s">
        <v>196</v>
      </c>
      <c r="D2828" t="s">
        <v>74</v>
      </c>
      <c r="E2828" t="s">
        <v>79</v>
      </c>
      <c r="F2828" s="55">
        <v>95</v>
      </c>
      <c r="G2828" s="63">
        <v>0.19400000000000001</v>
      </c>
    </row>
    <row r="2829" spans="1:7" x14ac:dyDescent="0.2">
      <c r="A2829" t="s">
        <v>71</v>
      </c>
      <c r="B2829" t="s">
        <v>182</v>
      </c>
      <c r="C2829" t="s">
        <v>196</v>
      </c>
      <c r="D2829" t="s">
        <v>74</v>
      </c>
      <c r="E2829" t="s">
        <v>80</v>
      </c>
      <c r="F2829" s="55">
        <v>97</v>
      </c>
      <c r="G2829" s="63">
        <v>8.09E-2</v>
      </c>
    </row>
    <row r="2830" spans="1:7" x14ac:dyDescent="0.2">
      <c r="A2830" t="s">
        <v>71</v>
      </c>
      <c r="B2830" t="s">
        <v>182</v>
      </c>
      <c r="C2830" t="s">
        <v>196</v>
      </c>
      <c r="D2830" t="s">
        <v>74</v>
      </c>
      <c r="E2830" t="s">
        <v>81</v>
      </c>
      <c r="F2830" s="55">
        <v>97</v>
      </c>
      <c r="G2830" s="63">
        <v>7.1199999999999999E-2</v>
      </c>
    </row>
    <row r="2831" spans="1:7" x14ac:dyDescent="0.2">
      <c r="A2831" t="s">
        <v>71</v>
      </c>
      <c r="B2831" t="s">
        <v>182</v>
      </c>
      <c r="C2831" t="s">
        <v>196</v>
      </c>
      <c r="D2831" t="s">
        <v>74</v>
      </c>
      <c r="E2831" t="s">
        <v>82</v>
      </c>
      <c r="F2831" s="55">
        <v>92</v>
      </c>
      <c r="G2831" s="63">
        <v>0.13059999999999999</v>
      </c>
    </row>
    <row r="2832" spans="1:7" x14ac:dyDescent="0.2">
      <c r="A2832" t="s">
        <v>71</v>
      </c>
      <c r="B2832" t="s">
        <v>182</v>
      </c>
      <c r="C2832" t="s">
        <v>196</v>
      </c>
      <c r="D2832" t="s">
        <v>74</v>
      </c>
      <c r="E2832" t="s">
        <v>83</v>
      </c>
      <c r="F2832" s="55">
        <v>94</v>
      </c>
      <c r="G2832" s="63">
        <v>3.44E-2</v>
      </c>
    </row>
    <row r="2833" spans="1:7" x14ac:dyDescent="0.2">
      <c r="A2833" t="s">
        <v>71</v>
      </c>
      <c r="B2833" t="s">
        <v>182</v>
      </c>
      <c r="C2833" t="s">
        <v>196</v>
      </c>
      <c r="D2833" t="s">
        <v>74</v>
      </c>
      <c r="E2833" t="s">
        <v>84</v>
      </c>
      <c r="F2833" s="55">
        <v>92</v>
      </c>
      <c r="G2833" s="63">
        <v>7.4200000000000002E-2</v>
      </c>
    </row>
    <row r="2834" spans="1:7" x14ac:dyDescent="0.2">
      <c r="A2834" t="s">
        <v>71</v>
      </c>
      <c r="B2834" t="s">
        <v>182</v>
      </c>
      <c r="C2834" t="s">
        <v>196</v>
      </c>
      <c r="D2834" t="s">
        <v>74</v>
      </c>
      <c r="E2834" t="s">
        <v>85</v>
      </c>
      <c r="F2834" s="55">
        <v>95</v>
      </c>
      <c r="G2834" s="63">
        <v>9.7699999999999995E-2</v>
      </c>
    </row>
    <row r="2835" spans="1:7" x14ac:dyDescent="0.2">
      <c r="A2835" t="s">
        <v>71</v>
      </c>
      <c r="B2835" t="s">
        <v>182</v>
      </c>
      <c r="C2835" t="s">
        <v>196</v>
      </c>
      <c r="D2835" t="s">
        <v>74</v>
      </c>
      <c r="E2835" t="s">
        <v>86</v>
      </c>
      <c r="F2835" s="55">
        <v>96</v>
      </c>
      <c r="G2835" s="63">
        <v>0.1149</v>
      </c>
    </row>
    <row r="2836" spans="1:7" x14ac:dyDescent="0.2">
      <c r="A2836" t="s">
        <v>71</v>
      </c>
      <c r="B2836" t="s">
        <v>182</v>
      </c>
      <c r="C2836" t="s">
        <v>196</v>
      </c>
      <c r="D2836" t="s">
        <v>74</v>
      </c>
      <c r="E2836" t="s">
        <v>87</v>
      </c>
      <c r="F2836" s="55">
        <v>94</v>
      </c>
      <c r="G2836" s="63">
        <v>0.1186</v>
      </c>
    </row>
    <row r="2837" spans="1:7" x14ac:dyDescent="0.2">
      <c r="A2837" t="s">
        <v>71</v>
      </c>
      <c r="B2837" t="s">
        <v>182</v>
      </c>
      <c r="C2837" t="s">
        <v>196</v>
      </c>
      <c r="D2837" t="s">
        <v>74</v>
      </c>
      <c r="E2837" t="s">
        <v>88</v>
      </c>
      <c r="F2837" s="55">
        <v>97</v>
      </c>
      <c r="G2837" s="63">
        <v>6.3200000000000006E-2</v>
      </c>
    </row>
    <row r="2838" spans="1:7" x14ac:dyDescent="0.2">
      <c r="A2838" t="s">
        <v>89</v>
      </c>
      <c r="B2838" t="s">
        <v>183</v>
      </c>
      <c r="C2838" t="s">
        <v>196</v>
      </c>
      <c r="D2838" t="s">
        <v>74</v>
      </c>
      <c r="E2838" t="s">
        <v>75</v>
      </c>
      <c r="F2838" s="55">
        <v>85</v>
      </c>
      <c r="G2838" s="63">
        <v>9.7799999999999998E-2</v>
      </c>
    </row>
    <row r="2839" spans="1:7" x14ac:dyDescent="0.2">
      <c r="A2839" t="s">
        <v>89</v>
      </c>
      <c r="B2839" t="s">
        <v>183</v>
      </c>
      <c r="C2839" t="s">
        <v>196</v>
      </c>
      <c r="D2839" t="s">
        <v>74</v>
      </c>
      <c r="E2839" t="s">
        <v>76</v>
      </c>
      <c r="F2839" s="55">
        <v>76</v>
      </c>
      <c r="G2839" s="63">
        <v>1.21E-2</v>
      </c>
    </row>
    <row r="2840" spans="1:7" x14ac:dyDescent="0.2">
      <c r="A2840" t="s">
        <v>89</v>
      </c>
      <c r="B2840" t="s">
        <v>183</v>
      </c>
      <c r="C2840" t="s">
        <v>196</v>
      </c>
      <c r="D2840" t="s">
        <v>74</v>
      </c>
      <c r="E2840" t="s">
        <v>77</v>
      </c>
      <c r="F2840" s="55">
        <v>85</v>
      </c>
      <c r="G2840" s="63">
        <v>3.4500000000000003E-2</v>
      </c>
    </row>
    <row r="2841" spans="1:7" x14ac:dyDescent="0.2">
      <c r="A2841" t="s">
        <v>89</v>
      </c>
      <c r="B2841" t="s">
        <v>183</v>
      </c>
      <c r="C2841" t="s">
        <v>196</v>
      </c>
      <c r="D2841" t="s">
        <v>74</v>
      </c>
      <c r="E2841" t="s">
        <v>78</v>
      </c>
      <c r="F2841" s="55">
        <v>82</v>
      </c>
      <c r="G2841" s="63">
        <v>2.8000000000000001E-2</v>
      </c>
    </row>
    <row r="2842" spans="1:7" x14ac:dyDescent="0.2">
      <c r="A2842" t="s">
        <v>89</v>
      </c>
      <c r="B2842" t="s">
        <v>183</v>
      </c>
      <c r="C2842" t="s">
        <v>196</v>
      </c>
      <c r="D2842" t="s">
        <v>74</v>
      </c>
      <c r="E2842" t="s">
        <v>79</v>
      </c>
      <c r="F2842" s="55">
        <v>87</v>
      </c>
      <c r="G2842" s="63">
        <v>6.3E-2</v>
      </c>
    </row>
    <row r="2843" spans="1:7" x14ac:dyDescent="0.2">
      <c r="A2843" t="s">
        <v>89</v>
      </c>
      <c r="B2843" t="s">
        <v>183</v>
      </c>
      <c r="C2843" t="s">
        <v>196</v>
      </c>
      <c r="D2843" t="s">
        <v>74</v>
      </c>
      <c r="E2843" t="s">
        <v>80</v>
      </c>
      <c r="F2843" s="55">
        <v>85</v>
      </c>
      <c r="G2843" s="63">
        <v>2.2100000000000002E-2</v>
      </c>
    </row>
    <row r="2844" spans="1:7" x14ac:dyDescent="0.2">
      <c r="A2844" t="s">
        <v>89</v>
      </c>
      <c r="B2844" t="s">
        <v>183</v>
      </c>
      <c r="C2844" t="s">
        <v>196</v>
      </c>
      <c r="D2844" t="s">
        <v>74</v>
      </c>
      <c r="E2844" t="s">
        <v>81</v>
      </c>
      <c r="F2844" s="55">
        <v>79</v>
      </c>
      <c r="G2844" s="63">
        <v>2.1399999999999999E-2</v>
      </c>
    </row>
    <row r="2845" spans="1:7" x14ac:dyDescent="0.2">
      <c r="A2845" t="s">
        <v>89</v>
      </c>
      <c r="B2845" t="s">
        <v>183</v>
      </c>
      <c r="C2845" t="s">
        <v>196</v>
      </c>
      <c r="D2845" t="s">
        <v>74</v>
      </c>
      <c r="E2845" t="s">
        <v>82</v>
      </c>
      <c r="F2845" s="55">
        <v>87</v>
      </c>
      <c r="G2845" s="63">
        <v>5.04E-2</v>
      </c>
    </row>
    <row r="2846" spans="1:7" x14ac:dyDescent="0.2">
      <c r="A2846" t="s">
        <v>89</v>
      </c>
      <c r="B2846" t="s">
        <v>183</v>
      </c>
      <c r="C2846" t="s">
        <v>196</v>
      </c>
      <c r="D2846" t="s">
        <v>74</v>
      </c>
      <c r="E2846" t="s">
        <v>83</v>
      </c>
      <c r="F2846" s="55">
        <v>76</v>
      </c>
      <c r="G2846" s="63">
        <v>9.5999999999999992E-3</v>
      </c>
    </row>
    <row r="2847" spans="1:7" x14ac:dyDescent="0.2">
      <c r="A2847" t="s">
        <v>89</v>
      </c>
      <c r="B2847" t="s">
        <v>183</v>
      </c>
      <c r="C2847" t="s">
        <v>196</v>
      </c>
      <c r="D2847" t="s">
        <v>74</v>
      </c>
      <c r="E2847" t="s">
        <v>84</v>
      </c>
      <c r="F2847" s="55">
        <v>83</v>
      </c>
      <c r="G2847" s="63">
        <v>2.23E-2</v>
      </c>
    </row>
    <row r="2848" spans="1:7" x14ac:dyDescent="0.2">
      <c r="A2848" t="s">
        <v>89</v>
      </c>
      <c r="B2848" t="s">
        <v>183</v>
      </c>
      <c r="C2848" t="s">
        <v>196</v>
      </c>
      <c r="D2848" t="s">
        <v>74</v>
      </c>
      <c r="E2848" t="s">
        <v>85</v>
      </c>
      <c r="F2848" s="55">
        <v>84</v>
      </c>
      <c r="G2848" s="63">
        <v>2.29E-2</v>
      </c>
    </row>
    <row r="2849" spans="1:7" x14ac:dyDescent="0.2">
      <c r="A2849" t="s">
        <v>89</v>
      </c>
      <c r="B2849" t="s">
        <v>183</v>
      </c>
      <c r="C2849" t="s">
        <v>196</v>
      </c>
      <c r="D2849" t="s">
        <v>74</v>
      </c>
      <c r="E2849" t="s">
        <v>86</v>
      </c>
      <c r="F2849" s="55">
        <v>85</v>
      </c>
      <c r="G2849" s="63">
        <v>2.7199999999999998E-2</v>
      </c>
    </row>
    <row r="2850" spans="1:7" x14ac:dyDescent="0.2">
      <c r="A2850" t="s">
        <v>89</v>
      </c>
      <c r="B2850" t="s">
        <v>183</v>
      </c>
      <c r="C2850" t="s">
        <v>196</v>
      </c>
      <c r="D2850" t="s">
        <v>74</v>
      </c>
      <c r="E2850" t="s">
        <v>87</v>
      </c>
      <c r="F2850" s="55">
        <v>89</v>
      </c>
      <c r="G2850" s="63">
        <v>3.1899999999999998E-2</v>
      </c>
    </row>
    <row r="2851" spans="1:7" x14ac:dyDescent="0.2">
      <c r="A2851" t="s">
        <v>89</v>
      </c>
      <c r="B2851" t="s">
        <v>183</v>
      </c>
      <c r="C2851" t="s">
        <v>196</v>
      </c>
      <c r="D2851" t="s">
        <v>74</v>
      </c>
      <c r="E2851" t="s">
        <v>88</v>
      </c>
      <c r="F2851" s="55">
        <v>75</v>
      </c>
      <c r="G2851" s="63">
        <v>1.9099999999999999E-2</v>
      </c>
    </row>
    <row r="2852" spans="1:7" x14ac:dyDescent="0.2">
      <c r="A2852" t="s">
        <v>71</v>
      </c>
      <c r="B2852" t="s">
        <v>184</v>
      </c>
      <c r="C2852" t="s">
        <v>196</v>
      </c>
      <c r="D2852" t="s">
        <v>74</v>
      </c>
      <c r="E2852" t="s">
        <v>75</v>
      </c>
      <c r="F2852" s="55">
        <v>117</v>
      </c>
      <c r="G2852" s="63">
        <v>0.24859999999999999</v>
      </c>
    </row>
    <row r="2853" spans="1:7" x14ac:dyDescent="0.2">
      <c r="A2853" t="s">
        <v>71</v>
      </c>
      <c r="B2853" t="s">
        <v>184</v>
      </c>
      <c r="C2853" t="s">
        <v>196</v>
      </c>
      <c r="D2853" t="s">
        <v>74</v>
      </c>
      <c r="E2853" t="s">
        <v>76</v>
      </c>
      <c r="F2853" s="55">
        <v>116</v>
      </c>
      <c r="G2853" s="63">
        <v>6.6199999999999995E-2</v>
      </c>
    </row>
    <row r="2854" spans="1:7" x14ac:dyDescent="0.2">
      <c r="A2854" t="s">
        <v>71</v>
      </c>
      <c r="B2854" t="s">
        <v>184</v>
      </c>
      <c r="C2854" t="s">
        <v>196</v>
      </c>
      <c r="D2854" t="s">
        <v>74</v>
      </c>
      <c r="E2854" t="s">
        <v>77</v>
      </c>
      <c r="F2854" s="55">
        <v>118</v>
      </c>
      <c r="G2854" s="63">
        <v>0.1288</v>
      </c>
    </row>
    <row r="2855" spans="1:7" x14ac:dyDescent="0.2">
      <c r="A2855" t="s">
        <v>71</v>
      </c>
      <c r="B2855" t="s">
        <v>184</v>
      </c>
      <c r="C2855" t="s">
        <v>196</v>
      </c>
      <c r="D2855" t="s">
        <v>74</v>
      </c>
      <c r="E2855" t="s">
        <v>78</v>
      </c>
      <c r="F2855" s="55">
        <v>116</v>
      </c>
      <c r="G2855" s="63">
        <v>9.0899999999999995E-2</v>
      </c>
    </row>
    <row r="2856" spans="1:7" x14ac:dyDescent="0.2">
      <c r="A2856" t="s">
        <v>71</v>
      </c>
      <c r="B2856" t="s">
        <v>184</v>
      </c>
      <c r="C2856" t="s">
        <v>196</v>
      </c>
      <c r="D2856" t="s">
        <v>74</v>
      </c>
      <c r="E2856" t="s">
        <v>79</v>
      </c>
      <c r="F2856" s="55">
        <v>118</v>
      </c>
      <c r="G2856" s="63">
        <v>0.16500000000000001</v>
      </c>
    </row>
    <row r="2857" spans="1:7" x14ac:dyDescent="0.2">
      <c r="A2857" t="s">
        <v>71</v>
      </c>
      <c r="B2857" t="s">
        <v>184</v>
      </c>
      <c r="C2857" t="s">
        <v>196</v>
      </c>
      <c r="D2857" t="s">
        <v>74</v>
      </c>
      <c r="E2857" t="s">
        <v>80</v>
      </c>
      <c r="F2857" s="55">
        <v>125</v>
      </c>
      <c r="G2857" s="63">
        <v>6.4299999999999996E-2</v>
      </c>
    </row>
    <row r="2858" spans="1:7" x14ac:dyDescent="0.2">
      <c r="A2858" t="s">
        <v>71</v>
      </c>
      <c r="B2858" t="s">
        <v>184</v>
      </c>
      <c r="C2858" t="s">
        <v>196</v>
      </c>
      <c r="D2858" t="s">
        <v>74</v>
      </c>
      <c r="E2858" t="s">
        <v>81</v>
      </c>
      <c r="F2858" s="55">
        <v>113</v>
      </c>
      <c r="G2858" s="63">
        <v>6.59E-2</v>
      </c>
    </row>
    <row r="2859" spans="1:7" x14ac:dyDescent="0.2">
      <c r="A2859" t="s">
        <v>71</v>
      </c>
      <c r="B2859" t="s">
        <v>184</v>
      </c>
      <c r="C2859" t="s">
        <v>196</v>
      </c>
      <c r="D2859" t="s">
        <v>74</v>
      </c>
      <c r="E2859" t="s">
        <v>82</v>
      </c>
      <c r="F2859" s="55">
        <v>115</v>
      </c>
      <c r="G2859" s="63">
        <v>0.1439</v>
      </c>
    </row>
    <row r="2860" spans="1:7" x14ac:dyDescent="0.2">
      <c r="A2860" t="s">
        <v>71</v>
      </c>
      <c r="B2860" t="s">
        <v>184</v>
      </c>
      <c r="C2860" t="s">
        <v>196</v>
      </c>
      <c r="D2860" t="s">
        <v>74</v>
      </c>
      <c r="E2860" t="s">
        <v>83</v>
      </c>
      <c r="F2860" s="55">
        <v>114</v>
      </c>
      <c r="G2860" s="63">
        <v>4.41E-2</v>
      </c>
    </row>
    <row r="2861" spans="1:7" x14ac:dyDescent="0.2">
      <c r="A2861" t="s">
        <v>71</v>
      </c>
      <c r="B2861" t="s">
        <v>184</v>
      </c>
      <c r="C2861" t="s">
        <v>196</v>
      </c>
      <c r="D2861" t="s">
        <v>74</v>
      </c>
      <c r="E2861" t="s">
        <v>84</v>
      </c>
      <c r="F2861" s="55">
        <v>116</v>
      </c>
      <c r="G2861" s="63">
        <v>7.6700000000000004E-2</v>
      </c>
    </row>
    <row r="2862" spans="1:7" x14ac:dyDescent="0.2">
      <c r="A2862" t="s">
        <v>71</v>
      </c>
      <c r="B2862" t="s">
        <v>184</v>
      </c>
      <c r="C2862" t="s">
        <v>196</v>
      </c>
      <c r="D2862" t="s">
        <v>74</v>
      </c>
      <c r="E2862" t="s">
        <v>85</v>
      </c>
      <c r="F2862" s="55">
        <v>123</v>
      </c>
      <c r="G2862" s="63">
        <v>7.1900000000000006E-2</v>
      </c>
    </row>
    <row r="2863" spans="1:7" x14ac:dyDescent="0.2">
      <c r="A2863" t="s">
        <v>71</v>
      </c>
      <c r="B2863" t="s">
        <v>184</v>
      </c>
      <c r="C2863" t="s">
        <v>196</v>
      </c>
      <c r="D2863" t="s">
        <v>74</v>
      </c>
      <c r="E2863" t="s">
        <v>86</v>
      </c>
      <c r="F2863" s="55">
        <v>121</v>
      </c>
      <c r="G2863" s="63">
        <v>8.1000000000000003E-2</v>
      </c>
    </row>
    <row r="2864" spans="1:7" x14ac:dyDescent="0.2">
      <c r="A2864" t="s">
        <v>71</v>
      </c>
      <c r="B2864" t="s">
        <v>184</v>
      </c>
      <c r="C2864" t="s">
        <v>196</v>
      </c>
      <c r="D2864" t="s">
        <v>74</v>
      </c>
      <c r="E2864" t="s">
        <v>87</v>
      </c>
      <c r="F2864" s="55">
        <v>116</v>
      </c>
      <c r="G2864" s="63">
        <v>8.6400000000000005E-2</v>
      </c>
    </row>
    <row r="2865" spans="1:7" x14ac:dyDescent="0.2">
      <c r="A2865" t="s">
        <v>71</v>
      </c>
      <c r="B2865" t="s">
        <v>184</v>
      </c>
      <c r="C2865" t="s">
        <v>196</v>
      </c>
      <c r="D2865" t="s">
        <v>74</v>
      </c>
      <c r="E2865" t="s">
        <v>88</v>
      </c>
      <c r="F2865" s="55">
        <v>116</v>
      </c>
      <c r="G2865" s="63">
        <v>8.3900000000000002E-2</v>
      </c>
    </row>
    <row r="2866" spans="1:7" x14ac:dyDescent="0.2">
      <c r="A2866" t="s">
        <v>71</v>
      </c>
      <c r="B2866" t="s">
        <v>185</v>
      </c>
      <c r="C2866" t="s">
        <v>196</v>
      </c>
      <c r="D2866" t="s">
        <v>74</v>
      </c>
      <c r="E2866" t="s">
        <v>75</v>
      </c>
      <c r="F2866" s="55">
        <v>49</v>
      </c>
      <c r="G2866" s="63">
        <v>2.01E-2</v>
      </c>
    </row>
    <row r="2867" spans="1:7" x14ac:dyDescent="0.2">
      <c r="A2867" t="s">
        <v>71</v>
      </c>
      <c r="B2867" t="s">
        <v>185</v>
      </c>
      <c r="C2867" t="s">
        <v>196</v>
      </c>
      <c r="D2867" t="s">
        <v>74</v>
      </c>
      <c r="E2867" t="s">
        <v>76</v>
      </c>
      <c r="F2867" s="55">
        <v>111</v>
      </c>
      <c r="G2867" s="63">
        <v>1.2999999999999999E-3</v>
      </c>
    </row>
    <row r="2868" spans="1:7" x14ac:dyDescent="0.2">
      <c r="A2868" t="s">
        <v>71</v>
      </c>
      <c r="B2868" t="s">
        <v>185</v>
      </c>
      <c r="C2868" t="s">
        <v>196</v>
      </c>
      <c r="D2868" t="s">
        <v>74</v>
      </c>
      <c r="E2868" t="s">
        <v>77</v>
      </c>
      <c r="F2868" s="55">
        <v>38</v>
      </c>
      <c r="G2868" s="63">
        <v>5.4999999999999997E-3</v>
      </c>
    </row>
    <row r="2869" spans="1:7" x14ac:dyDescent="0.2">
      <c r="A2869" t="s">
        <v>71</v>
      </c>
      <c r="B2869" t="s">
        <v>185</v>
      </c>
      <c r="C2869" t="s">
        <v>196</v>
      </c>
      <c r="D2869" t="s">
        <v>74</v>
      </c>
      <c r="E2869" t="s">
        <v>78</v>
      </c>
      <c r="F2869" s="55">
        <v>72</v>
      </c>
      <c r="G2869" s="63">
        <v>3.5000000000000001E-3</v>
      </c>
    </row>
    <row r="2870" spans="1:7" x14ac:dyDescent="0.2">
      <c r="A2870" t="s">
        <v>71</v>
      </c>
      <c r="B2870" t="s">
        <v>185</v>
      </c>
      <c r="C2870" t="s">
        <v>196</v>
      </c>
      <c r="D2870" t="s">
        <v>74</v>
      </c>
      <c r="E2870" t="s">
        <v>79</v>
      </c>
      <c r="F2870" s="55">
        <v>57</v>
      </c>
      <c r="G2870" s="63">
        <v>1.0800000000000001E-2</v>
      </c>
    </row>
    <row r="2871" spans="1:7" x14ac:dyDescent="0.2">
      <c r="A2871" t="s">
        <v>71</v>
      </c>
      <c r="B2871" t="s">
        <v>185</v>
      </c>
      <c r="C2871" t="s">
        <v>196</v>
      </c>
      <c r="D2871" t="s">
        <v>74</v>
      </c>
      <c r="E2871" t="s">
        <v>80</v>
      </c>
      <c r="F2871" s="55">
        <v>38</v>
      </c>
      <c r="G2871" s="63">
        <v>2.7000000000000001E-3</v>
      </c>
    </row>
    <row r="2872" spans="1:7" x14ac:dyDescent="0.2">
      <c r="A2872" t="s">
        <v>71</v>
      </c>
      <c r="B2872" t="s">
        <v>185</v>
      </c>
      <c r="C2872" t="s">
        <v>196</v>
      </c>
      <c r="D2872" t="s">
        <v>74</v>
      </c>
      <c r="E2872" t="s">
        <v>81</v>
      </c>
      <c r="F2872" s="55">
        <v>47</v>
      </c>
      <c r="G2872" s="63">
        <v>3.5000000000000001E-3</v>
      </c>
    </row>
    <row r="2873" spans="1:7" x14ac:dyDescent="0.2">
      <c r="A2873" t="s">
        <v>71</v>
      </c>
      <c r="B2873" t="s">
        <v>185</v>
      </c>
      <c r="C2873" t="s">
        <v>196</v>
      </c>
      <c r="D2873" t="s">
        <v>74</v>
      </c>
      <c r="E2873" t="s">
        <v>82</v>
      </c>
      <c r="F2873" s="55">
        <v>37</v>
      </c>
      <c r="G2873" s="63">
        <v>7.0000000000000001E-3</v>
      </c>
    </row>
    <row r="2874" spans="1:7" x14ac:dyDescent="0.2">
      <c r="A2874" t="s">
        <v>71</v>
      </c>
      <c r="B2874" t="s">
        <v>185</v>
      </c>
      <c r="C2874" t="s">
        <v>196</v>
      </c>
      <c r="D2874" t="s">
        <v>74</v>
      </c>
      <c r="E2874" t="s">
        <v>83</v>
      </c>
      <c r="F2874" s="55">
        <v>74</v>
      </c>
      <c r="G2874" s="63">
        <v>1.5E-3</v>
      </c>
    </row>
    <row r="2875" spans="1:7" x14ac:dyDescent="0.2">
      <c r="A2875" t="s">
        <v>71</v>
      </c>
      <c r="B2875" t="s">
        <v>185</v>
      </c>
      <c r="C2875" t="s">
        <v>196</v>
      </c>
      <c r="D2875" t="s">
        <v>74</v>
      </c>
      <c r="E2875" t="s">
        <v>84</v>
      </c>
      <c r="F2875" s="55">
        <v>65</v>
      </c>
      <c r="G2875" s="63">
        <v>2.7000000000000001E-3</v>
      </c>
    </row>
    <row r="2876" spans="1:7" x14ac:dyDescent="0.2">
      <c r="A2876" t="s">
        <v>71</v>
      </c>
      <c r="B2876" t="s">
        <v>185</v>
      </c>
      <c r="C2876" t="s">
        <v>196</v>
      </c>
      <c r="D2876" t="s">
        <v>74</v>
      </c>
      <c r="E2876" t="s">
        <v>85</v>
      </c>
      <c r="F2876" s="55">
        <v>59</v>
      </c>
      <c r="G2876" s="63">
        <v>2.5000000000000001E-3</v>
      </c>
    </row>
    <row r="2877" spans="1:7" x14ac:dyDescent="0.2">
      <c r="A2877" t="s">
        <v>71</v>
      </c>
      <c r="B2877" t="s">
        <v>185</v>
      </c>
      <c r="C2877" t="s">
        <v>196</v>
      </c>
      <c r="D2877" t="s">
        <v>74</v>
      </c>
      <c r="E2877" t="s">
        <v>86</v>
      </c>
      <c r="F2877" s="55">
        <v>47</v>
      </c>
      <c r="G2877" s="63">
        <v>3.0000000000000001E-3</v>
      </c>
    </row>
    <row r="2878" spans="1:7" x14ac:dyDescent="0.2">
      <c r="A2878" t="s">
        <v>71</v>
      </c>
      <c r="B2878" t="s">
        <v>185</v>
      </c>
      <c r="C2878" t="s">
        <v>196</v>
      </c>
      <c r="D2878" t="s">
        <v>74</v>
      </c>
      <c r="E2878" t="s">
        <v>87</v>
      </c>
      <c r="F2878" s="55">
        <v>54</v>
      </c>
      <c r="G2878" s="63">
        <v>3.8E-3</v>
      </c>
    </row>
    <row r="2879" spans="1:7" x14ac:dyDescent="0.2">
      <c r="A2879" t="s">
        <v>71</v>
      </c>
      <c r="B2879" t="s">
        <v>185</v>
      </c>
      <c r="C2879" t="s">
        <v>196</v>
      </c>
      <c r="D2879" t="s">
        <v>74</v>
      </c>
      <c r="E2879" t="s">
        <v>88</v>
      </c>
      <c r="F2879" s="55">
        <v>88</v>
      </c>
      <c r="G2879" s="63">
        <v>2.3999999999999998E-3</v>
      </c>
    </row>
    <row r="2880" spans="1:7" x14ac:dyDescent="0.2">
      <c r="A2880" t="s">
        <v>71</v>
      </c>
      <c r="B2880" t="s">
        <v>186</v>
      </c>
      <c r="C2880" t="s">
        <v>196</v>
      </c>
      <c r="D2880" t="s">
        <v>74</v>
      </c>
      <c r="E2880" t="s">
        <v>75</v>
      </c>
      <c r="F2880" s="55">
        <v>105</v>
      </c>
      <c r="G2880" s="63">
        <v>0.14599999999999999</v>
      </c>
    </row>
    <row r="2881" spans="1:7" x14ac:dyDescent="0.2">
      <c r="A2881" t="s">
        <v>71</v>
      </c>
      <c r="B2881" t="s">
        <v>186</v>
      </c>
      <c r="C2881" t="s">
        <v>196</v>
      </c>
      <c r="D2881" t="s">
        <v>74</v>
      </c>
      <c r="E2881" t="s">
        <v>76</v>
      </c>
      <c r="F2881" s="55">
        <v>102</v>
      </c>
      <c r="G2881" s="63">
        <v>1.6400000000000001E-2</v>
      </c>
    </row>
    <row r="2882" spans="1:7" x14ac:dyDescent="0.2">
      <c r="A2882" t="s">
        <v>71</v>
      </c>
      <c r="B2882" t="s">
        <v>186</v>
      </c>
      <c r="C2882" t="s">
        <v>196</v>
      </c>
      <c r="D2882" t="s">
        <v>74</v>
      </c>
      <c r="E2882" t="s">
        <v>77</v>
      </c>
      <c r="F2882" s="55">
        <v>109</v>
      </c>
      <c r="G2882" s="63">
        <v>5.3400000000000003E-2</v>
      </c>
    </row>
    <row r="2883" spans="1:7" x14ac:dyDescent="0.2">
      <c r="A2883" t="s">
        <v>71</v>
      </c>
      <c r="B2883" t="s">
        <v>186</v>
      </c>
      <c r="C2883" t="s">
        <v>196</v>
      </c>
      <c r="D2883" t="s">
        <v>74</v>
      </c>
      <c r="E2883" t="s">
        <v>78</v>
      </c>
      <c r="F2883" s="55">
        <v>107</v>
      </c>
      <c r="G2883" s="63">
        <v>4.3299999999999998E-2</v>
      </c>
    </row>
    <row r="2884" spans="1:7" x14ac:dyDescent="0.2">
      <c r="A2884" t="s">
        <v>71</v>
      </c>
      <c r="B2884" t="s">
        <v>186</v>
      </c>
      <c r="C2884" t="s">
        <v>196</v>
      </c>
      <c r="D2884" t="s">
        <v>74</v>
      </c>
      <c r="E2884" t="s">
        <v>79</v>
      </c>
      <c r="F2884" s="55">
        <v>104</v>
      </c>
      <c r="G2884" s="63">
        <v>9.5899999999999999E-2</v>
      </c>
    </row>
    <row r="2885" spans="1:7" x14ac:dyDescent="0.2">
      <c r="A2885" t="s">
        <v>71</v>
      </c>
      <c r="B2885" t="s">
        <v>186</v>
      </c>
      <c r="C2885" t="s">
        <v>196</v>
      </c>
      <c r="D2885" t="s">
        <v>74</v>
      </c>
      <c r="E2885" t="s">
        <v>80</v>
      </c>
      <c r="F2885" s="55">
        <v>106</v>
      </c>
      <c r="G2885" s="63">
        <v>3.5999999999999997E-2</v>
      </c>
    </row>
    <row r="2886" spans="1:7" x14ac:dyDescent="0.2">
      <c r="A2886" t="s">
        <v>71</v>
      </c>
      <c r="B2886" t="s">
        <v>186</v>
      </c>
      <c r="C2886" t="s">
        <v>196</v>
      </c>
      <c r="D2886" t="s">
        <v>74</v>
      </c>
      <c r="E2886" t="s">
        <v>81</v>
      </c>
      <c r="F2886" s="55">
        <v>101</v>
      </c>
      <c r="G2886" s="63">
        <v>3.2800000000000003E-2</v>
      </c>
    </row>
    <row r="2887" spans="1:7" x14ac:dyDescent="0.2">
      <c r="A2887" t="s">
        <v>71</v>
      </c>
      <c r="B2887" t="s">
        <v>186</v>
      </c>
      <c r="C2887" t="s">
        <v>196</v>
      </c>
      <c r="D2887" t="s">
        <v>74</v>
      </c>
      <c r="E2887" t="s">
        <v>82</v>
      </c>
      <c r="F2887" s="55">
        <v>105</v>
      </c>
      <c r="G2887" s="63">
        <v>6.5699999999999995E-2</v>
      </c>
    </row>
    <row r="2888" spans="1:7" x14ac:dyDescent="0.2">
      <c r="A2888" t="s">
        <v>71</v>
      </c>
      <c r="B2888" t="s">
        <v>186</v>
      </c>
      <c r="C2888" t="s">
        <v>196</v>
      </c>
      <c r="D2888" t="s">
        <v>74</v>
      </c>
      <c r="E2888" t="s">
        <v>83</v>
      </c>
      <c r="F2888" s="55">
        <v>100</v>
      </c>
      <c r="G2888" s="63">
        <v>1.3899999999999999E-2</v>
      </c>
    </row>
    <row r="2889" spans="1:7" x14ac:dyDescent="0.2">
      <c r="A2889" t="s">
        <v>71</v>
      </c>
      <c r="B2889" t="s">
        <v>186</v>
      </c>
      <c r="C2889" t="s">
        <v>196</v>
      </c>
      <c r="D2889" t="s">
        <v>74</v>
      </c>
      <c r="E2889" t="s">
        <v>84</v>
      </c>
      <c r="F2889" s="55">
        <v>109</v>
      </c>
      <c r="G2889" s="63">
        <v>3.44E-2</v>
      </c>
    </row>
    <row r="2890" spans="1:7" x14ac:dyDescent="0.2">
      <c r="A2890" t="s">
        <v>71</v>
      </c>
      <c r="B2890" t="s">
        <v>186</v>
      </c>
      <c r="C2890" t="s">
        <v>196</v>
      </c>
      <c r="D2890" t="s">
        <v>74</v>
      </c>
      <c r="E2890" t="s">
        <v>85</v>
      </c>
      <c r="F2890" s="55">
        <v>103</v>
      </c>
      <c r="G2890" s="63">
        <v>3.78E-2</v>
      </c>
    </row>
    <row r="2891" spans="1:7" x14ac:dyDescent="0.2">
      <c r="A2891" t="s">
        <v>71</v>
      </c>
      <c r="B2891" t="s">
        <v>186</v>
      </c>
      <c r="C2891" t="s">
        <v>196</v>
      </c>
      <c r="D2891" t="s">
        <v>74</v>
      </c>
      <c r="E2891" t="s">
        <v>86</v>
      </c>
      <c r="F2891" s="55">
        <v>104</v>
      </c>
      <c r="G2891" s="63">
        <v>4.4299999999999999E-2</v>
      </c>
    </row>
    <row r="2892" spans="1:7" x14ac:dyDescent="0.2">
      <c r="A2892" t="s">
        <v>71</v>
      </c>
      <c r="B2892" t="s">
        <v>186</v>
      </c>
      <c r="C2892" t="s">
        <v>196</v>
      </c>
      <c r="D2892" t="s">
        <v>74</v>
      </c>
      <c r="E2892" t="s">
        <v>87</v>
      </c>
      <c r="F2892" s="55">
        <v>106</v>
      </c>
      <c r="G2892" s="63">
        <v>5.0599999999999999E-2</v>
      </c>
    </row>
    <row r="2893" spans="1:7" x14ac:dyDescent="0.2">
      <c r="A2893" t="s">
        <v>71</v>
      </c>
      <c r="B2893" t="s">
        <v>186</v>
      </c>
      <c r="C2893" t="s">
        <v>196</v>
      </c>
      <c r="D2893" t="s">
        <v>74</v>
      </c>
      <c r="E2893" t="s">
        <v>88</v>
      </c>
      <c r="F2893" s="55">
        <v>104</v>
      </c>
      <c r="G2893" s="63">
        <v>2.7099999999999999E-2</v>
      </c>
    </row>
    <row r="2894" spans="1:7" x14ac:dyDescent="0.2">
      <c r="A2894" t="s">
        <v>71</v>
      </c>
      <c r="B2894" t="s">
        <v>187</v>
      </c>
      <c r="C2894" t="s">
        <v>196</v>
      </c>
      <c r="D2894" t="s">
        <v>74</v>
      </c>
      <c r="E2894" t="s">
        <v>75</v>
      </c>
      <c r="F2894" s="55">
        <v>92</v>
      </c>
      <c r="G2894" s="63">
        <v>0.1943</v>
      </c>
    </row>
    <row r="2895" spans="1:7" x14ac:dyDescent="0.2">
      <c r="A2895" t="s">
        <v>71</v>
      </c>
      <c r="B2895" t="s">
        <v>187</v>
      </c>
      <c r="C2895" t="s">
        <v>196</v>
      </c>
      <c r="D2895" t="s">
        <v>74</v>
      </c>
      <c r="E2895" t="s">
        <v>76</v>
      </c>
      <c r="F2895" s="55">
        <v>109</v>
      </c>
      <c r="G2895" s="63">
        <v>1.32E-2</v>
      </c>
    </row>
    <row r="2896" spans="1:7" x14ac:dyDescent="0.2">
      <c r="A2896" t="s">
        <v>71</v>
      </c>
      <c r="B2896" t="s">
        <v>187</v>
      </c>
      <c r="C2896" t="s">
        <v>196</v>
      </c>
      <c r="D2896" t="s">
        <v>74</v>
      </c>
      <c r="E2896" t="s">
        <v>77</v>
      </c>
      <c r="F2896" s="55">
        <v>97</v>
      </c>
      <c r="G2896" s="63">
        <v>4.8099999999999997E-2</v>
      </c>
    </row>
    <row r="2897" spans="1:7" x14ac:dyDescent="0.2">
      <c r="A2897" t="s">
        <v>71</v>
      </c>
      <c r="B2897" t="s">
        <v>187</v>
      </c>
      <c r="C2897" t="s">
        <v>196</v>
      </c>
      <c r="D2897" t="s">
        <v>74</v>
      </c>
      <c r="E2897" t="s">
        <v>78</v>
      </c>
      <c r="F2897" s="55">
        <v>91</v>
      </c>
      <c r="G2897" s="63">
        <v>4.1700000000000001E-2</v>
      </c>
    </row>
    <row r="2898" spans="1:7" x14ac:dyDescent="0.2">
      <c r="A2898" t="s">
        <v>71</v>
      </c>
      <c r="B2898" t="s">
        <v>187</v>
      </c>
      <c r="C2898" t="s">
        <v>196</v>
      </c>
      <c r="D2898" t="s">
        <v>74</v>
      </c>
      <c r="E2898" t="s">
        <v>79</v>
      </c>
      <c r="F2898" s="55">
        <v>89</v>
      </c>
      <c r="G2898" s="63">
        <v>0.1187</v>
      </c>
    </row>
    <row r="2899" spans="1:7" x14ac:dyDescent="0.2">
      <c r="A2899" t="s">
        <v>71</v>
      </c>
      <c r="B2899" t="s">
        <v>187</v>
      </c>
      <c r="C2899" t="s">
        <v>196</v>
      </c>
      <c r="D2899" t="s">
        <v>74</v>
      </c>
      <c r="E2899" t="s">
        <v>80</v>
      </c>
      <c r="F2899" s="55">
        <v>89</v>
      </c>
      <c r="G2899" s="63">
        <v>4.0500000000000001E-2</v>
      </c>
    </row>
    <row r="2900" spans="1:7" x14ac:dyDescent="0.2">
      <c r="A2900" t="s">
        <v>71</v>
      </c>
      <c r="B2900" t="s">
        <v>187</v>
      </c>
      <c r="C2900" t="s">
        <v>196</v>
      </c>
      <c r="D2900" t="s">
        <v>74</v>
      </c>
      <c r="E2900" t="s">
        <v>81</v>
      </c>
      <c r="F2900" s="55">
        <v>91</v>
      </c>
      <c r="G2900" s="63">
        <v>3.6799999999999999E-2</v>
      </c>
    </row>
    <row r="2901" spans="1:7" x14ac:dyDescent="0.2">
      <c r="A2901" t="s">
        <v>71</v>
      </c>
      <c r="B2901" t="s">
        <v>187</v>
      </c>
      <c r="C2901" t="s">
        <v>196</v>
      </c>
      <c r="D2901" t="s">
        <v>74</v>
      </c>
      <c r="E2901" t="s">
        <v>82</v>
      </c>
      <c r="F2901" s="55">
        <v>93</v>
      </c>
      <c r="G2901" s="63">
        <v>7.85E-2</v>
      </c>
    </row>
    <row r="2902" spans="1:7" x14ac:dyDescent="0.2">
      <c r="A2902" t="s">
        <v>71</v>
      </c>
      <c r="B2902" t="s">
        <v>187</v>
      </c>
      <c r="C2902" t="s">
        <v>196</v>
      </c>
      <c r="D2902" t="s">
        <v>74</v>
      </c>
      <c r="E2902" t="s">
        <v>83</v>
      </c>
      <c r="F2902" s="55">
        <v>97</v>
      </c>
      <c r="G2902" s="63">
        <v>1.1599999999999999E-2</v>
      </c>
    </row>
    <row r="2903" spans="1:7" x14ac:dyDescent="0.2">
      <c r="A2903" t="s">
        <v>71</v>
      </c>
      <c r="B2903" t="s">
        <v>187</v>
      </c>
      <c r="C2903" t="s">
        <v>196</v>
      </c>
      <c r="D2903" t="s">
        <v>74</v>
      </c>
      <c r="E2903" t="s">
        <v>84</v>
      </c>
      <c r="F2903" s="55">
        <v>93</v>
      </c>
      <c r="G2903" s="63">
        <v>3.1099999999999999E-2</v>
      </c>
    </row>
    <row r="2904" spans="1:7" x14ac:dyDescent="0.2">
      <c r="A2904" t="s">
        <v>71</v>
      </c>
      <c r="B2904" t="s">
        <v>187</v>
      </c>
      <c r="C2904" t="s">
        <v>196</v>
      </c>
      <c r="D2904" t="s">
        <v>74</v>
      </c>
      <c r="E2904" t="s">
        <v>85</v>
      </c>
      <c r="F2904" s="55">
        <v>88</v>
      </c>
      <c r="G2904" s="63">
        <v>3.9800000000000002E-2</v>
      </c>
    </row>
    <row r="2905" spans="1:7" x14ac:dyDescent="0.2">
      <c r="A2905" t="s">
        <v>71</v>
      </c>
      <c r="B2905" t="s">
        <v>187</v>
      </c>
      <c r="C2905" t="s">
        <v>196</v>
      </c>
      <c r="D2905" t="s">
        <v>74</v>
      </c>
      <c r="E2905" t="s">
        <v>86</v>
      </c>
      <c r="F2905" s="55">
        <v>87</v>
      </c>
      <c r="G2905" s="63">
        <v>4.6100000000000002E-2</v>
      </c>
    </row>
    <row r="2906" spans="1:7" x14ac:dyDescent="0.2">
      <c r="A2906" t="s">
        <v>71</v>
      </c>
      <c r="B2906" t="s">
        <v>187</v>
      </c>
      <c r="C2906" t="s">
        <v>196</v>
      </c>
      <c r="D2906" t="s">
        <v>74</v>
      </c>
      <c r="E2906" t="s">
        <v>87</v>
      </c>
      <c r="F2906" s="55">
        <v>90</v>
      </c>
      <c r="G2906" s="63">
        <v>4.9599999999999998E-2</v>
      </c>
    </row>
    <row r="2907" spans="1:7" x14ac:dyDescent="0.2">
      <c r="A2907" t="s">
        <v>71</v>
      </c>
      <c r="B2907" t="s">
        <v>187</v>
      </c>
      <c r="C2907" t="s">
        <v>196</v>
      </c>
      <c r="D2907" t="s">
        <v>74</v>
      </c>
      <c r="E2907" t="s">
        <v>88</v>
      </c>
      <c r="F2907" s="55">
        <v>100</v>
      </c>
      <c r="G2907" s="63">
        <v>2.5600000000000001E-2</v>
      </c>
    </row>
    <row r="2908" spans="1:7" x14ac:dyDescent="0.2">
      <c r="A2908" t="s">
        <v>71</v>
      </c>
      <c r="B2908" t="s">
        <v>19</v>
      </c>
      <c r="C2908" t="s">
        <v>196</v>
      </c>
      <c r="D2908" t="s">
        <v>74</v>
      </c>
      <c r="E2908" t="s">
        <v>75</v>
      </c>
      <c r="F2908" s="55">
        <v>90</v>
      </c>
      <c r="G2908" s="63">
        <v>0.39889999999999998</v>
      </c>
    </row>
    <row r="2909" spans="1:7" x14ac:dyDescent="0.2">
      <c r="A2909" t="s">
        <v>71</v>
      </c>
      <c r="B2909" t="s">
        <v>19</v>
      </c>
      <c r="C2909" t="s">
        <v>196</v>
      </c>
      <c r="D2909" t="s">
        <v>74</v>
      </c>
      <c r="E2909" t="s">
        <v>76</v>
      </c>
      <c r="F2909" s="55">
        <v>86</v>
      </c>
      <c r="G2909" s="63">
        <v>4.1300000000000003E-2</v>
      </c>
    </row>
    <row r="2910" spans="1:7" x14ac:dyDescent="0.2">
      <c r="A2910" t="s">
        <v>71</v>
      </c>
      <c r="B2910" t="s">
        <v>19</v>
      </c>
      <c r="C2910" t="s">
        <v>196</v>
      </c>
      <c r="D2910" t="s">
        <v>74</v>
      </c>
      <c r="E2910" t="s">
        <v>77</v>
      </c>
      <c r="F2910" s="55">
        <v>92</v>
      </c>
      <c r="G2910" s="63">
        <v>0.1381</v>
      </c>
    </row>
    <row r="2911" spans="1:7" x14ac:dyDescent="0.2">
      <c r="A2911" t="s">
        <v>71</v>
      </c>
      <c r="B2911" t="s">
        <v>19</v>
      </c>
      <c r="C2911" t="s">
        <v>196</v>
      </c>
      <c r="D2911" t="s">
        <v>74</v>
      </c>
      <c r="E2911" t="s">
        <v>78</v>
      </c>
      <c r="F2911" s="55">
        <v>88</v>
      </c>
      <c r="G2911" s="63">
        <v>0.13100000000000001</v>
      </c>
    </row>
    <row r="2912" spans="1:7" x14ac:dyDescent="0.2">
      <c r="A2912" t="s">
        <v>71</v>
      </c>
      <c r="B2912" t="s">
        <v>19</v>
      </c>
      <c r="C2912" t="s">
        <v>196</v>
      </c>
      <c r="D2912" t="s">
        <v>74</v>
      </c>
      <c r="E2912" t="s">
        <v>79</v>
      </c>
      <c r="F2912" s="55">
        <v>89</v>
      </c>
      <c r="G2912" s="63">
        <v>0.29780000000000001</v>
      </c>
    </row>
    <row r="2913" spans="1:7" x14ac:dyDescent="0.2">
      <c r="A2913" t="s">
        <v>71</v>
      </c>
      <c r="B2913" t="s">
        <v>19</v>
      </c>
      <c r="C2913" t="s">
        <v>196</v>
      </c>
      <c r="D2913" t="s">
        <v>74</v>
      </c>
      <c r="E2913" t="s">
        <v>80</v>
      </c>
      <c r="F2913" s="55">
        <v>88</v>
      </c>
      <c r="G2913" s="63">
        <v>0.1116</v>
      </c>
    </row>
    <row r="2914" spans="1:7" x14ac:dyDescent="0.2">
      <c r="A2914" t="s">
        <v>71</v>
      </c>
      <c r="B2914" t="s">
        <v>19</v>
      </c>
      <c r="C2914" t="s">
        <v>196</v>
      </c>
      <c r="D2914" t="s">
        <v>74</v>
      </c>
      <c r="E2914" t="s">
        <v>81</v>
      </c>
      <c r="F2914" s="55">
        <v>86</v>
      </c>
      <c r="G2914" s="63">
        <v>9.6799999999999997E-2</v>
      </c>
    </row>
    <row r="2915" spans="1:7" x14ac:dyDescent="0.2">
      <c r="A2915" t="s">
        <v>71</v>
      </c>
      <c r="B2915" t="s">
        <v>19</v>
      </c>
      <c r="C2915" t="s">
        <v>196</v>
      </c>
      <c r="D2915" t="s">
        <v>74</v>
      </c>
      <c r="E2915" t="s">
        <v>82</v>
      </c>
      <c r="F2915" s="55">
        <v>92</v>
      </c>
      <c r="G2915" s="63">
        <v>0.1996</v>
      </c>
    </row>
    <row r="2916" spans="1:7" x14ac:dyDescent="0.2">
      <c r="A2916" t="s">
        <v>71</v>
      </c>
      <c r="B2916" t="s">
        <v>19</v>
      </c>
      <c r="C2916" t="s">
        <v>196</v>
      </c>
      <c r="D2916" t="s">
        <v>74</v>
      </c>
      <c r="E2916" t="s">
        <v>83</v>
      </c>
      <c r="F2916" s="55">
        <v>84</v>
      </c>
      <c r="G2916" s="63">
        <v>4.0099999999999997E-2</v>
      </c>
    </row>
    <row r="2917" spans="1:7" x14ac:dyDescent="0.2">
      <c r="A2917" t="s">
        <v>71</v>
      </c>
      <c r="B2917" t="s">
        <v>19</v>
      </c>
      <c r="C2917" t="s">
        <v>196</v>
      </c>
      <c r="D2917" t="s">
        <v>74</v>
      </c>
      <c r="E2917" t="s">
        <v>84</v>
      </c>
      <c r="F2917" s="55">
        <v>87</v>
      </c>
      <c r="G2917" s="63">
        <v>0.1022</v>
      </c>
    </row>
    <row r="2918" spans="1:7" x14ac:dyDescent="0.2">
      <c r="A2918" t="s">
        <v>71</v>
      </c>
      <c r="B2918" t="s">
        <v>19</v>
      </c>
      <c r="C2918" t="s">
        <v>196</v>
      </c>
      <c r="D2918" t="s">
        <v>74</v>
      </c>
      <c r="E2918" t="s">
        <v>85</v>
      </c>
      <c r="F2918" s="55">
        <v>88</v>
      </c>
      <c r="G2918" s="63">
        <v>0.12690000000000001</v>
      </c>
    </row>
    <row r="2919" spans="1:7" x14ac:dyDescent="0.2">
      <c r="A2919" t="s">
        <v>71</v>
      </c>
      <c r="B2919" t="s">
        <v>19</v>
      </c>
      <c r="C2919" t="s">
        <v>196</v>
      </c>
      <c r="D2919" t="s">
        <v>74</v>
      </c>
      <c r="E2919" t="s">
        <v>86</v>
      </c>
      <c r="F2919" s="55">
        <v>89</v>
      </c>
      <c r="G2919" s="63">
        <v>0.1497</v>
      </c>
    </row>
    <row r="2920" spans="1:7" x14ac:dyDescent="0.2">
      <c r="A2920" t="s">
        <v>71</v>
      </c>
      <c r="B2920" t="s">
        <v>19</v>
      </c>
      <c r="C2920" t="s">
        <v>196</v>
      </c>
      <c r="D2920" t="s">
        <v>74</v>
      </c>
      <c r="E2920" t="s">
        <v>87</v>
      </c>
      <c r="F2920" s="55">
        <v>91</v>
      </c>
      <c r="G2920" s="63">
        <v>0.1608</v>
      </c>
    </row>
    <row r="2921" spans="1:7" x14ac:dyDescent="0.2">
      <c r="A2921" t="s">
        <v>71</v>
      </c>
      <c r="B2921" t="s">
        <v>19</v>
      </c>
      <c r="C2921" t="s">
        <v>196</v>
      </c>
      <c r="D2921" t="s">
        <v>74</v>
      </c>
      <c r="E2921" t="s">
        <v>88</v>
      </c>
      <c r="F2921" s="55">
        <v>89</v>
      </c>
      <c r="G2921" s="63">
        <v>7.0599999999999996E-2</v>
      </c>
    </row>
    <row r="2922" spans="1:7" x14ac:dyDescent="0.2">
      <c r="A2922" t="s">
        <v>71</v>
      </c>
      <c r="B2922" t="s">
        <v>189</v>
      </c>
      <c r="C2922" t="s">
        <v>196</v>
      </c>
      <c r="D2922" t="s">
        <v>74</v>
      </c>
      <c r="E2922" t="s">
        <v>75</v>
      </c>
      <c r="F2922" s="55">
        <v>62</v>
      </c>
      <c r="G2922" s="63">
        <v>0.1676</v>
      </c>
    </row>
    <row r="2923" spans="1:7" x14ac:dyDescent="0.2">
      <c r="A2923" t="s">
        <v>71</v>
      </c>
      <c r="B2923" t="s">
        <v>189</v>
      </c>
      <c r="C2923" t="s">
        <v>196</v>
      </c>
      <c r="D2923" t="s">
        <v>74</v>
      </c>
      <c r="E2923" t="s">
        <v>76</v>
      </c>
      <c r="F2923" s="55">
        <v>69</v>
      </c>
      <c r="G2923" s="63">
        <v>1.7100000000000001E-2</v>
      </c>
    </row>
    <row r="2924" spans="1:7" x14ac:dyDescent="0.2">
      <c r="A2924" t="s">
        <v>71</v>
      </c>
      <c r="B2924" t="s">
        <v>189</v>
      </c>
      <c r="C2924" t="s">
        <v>196</v>
      </c>
      <c r="D2924" t="s">
        <v>74</v>
      </c>
      <c r="E2924" t="s">
        <v>77</v>
      </c>
      <c r="F2924" s="55">
        <v>60</v>
      </c>
      <c r="G2924" s="63">
        <v>5.11E-2</v>
      </c>
    </row>
    <row r="2925" spans="1:7" x14ac:dyDescent="0.2">
      <c r="A2925" t="s">
        <v>71</v>
      </c>
      <c r="B2925" t="s">
        <v>189</v>
      </c>
      <c r="C2925" t="s">
        <v>196</v>
      </c>
      <c r="D2925" t="s">
        <v>74</v>
      </c>
      <c r="E2925" t="s">
        <v>78</v>
      </c>
      <c r="F2925" s="55">
        <v>63</v>
      </c>
      <c r="G2925" s="63">
        <v>4.0800000000000003E-2</v>
      </c>
    </row>
    <row r="2926" spans="1:7" x14ac:dyDescent="0.2">
      <c r="A2926" t="s">
        <v>71</v>
      </c>
      <c r="B2926" t="s">
        <v>189</v>
      </c>
      <c r="C2926" t="s">
        <v>196</v>
      </c>
      <c r="D2926" t="s">
        <v>74</v>
      </c>
      <c r="E2926" t="s">
        <v>79</v>
      </c>
      <c r="F2926" s="55">
        <v>63</v>
      </c>
      <c r="G2926" s="63">
        <v>0.10879999999999999</v>
      </c>
    </row>
    <row r="2927" spans="1:7" x14ac:dyDescent="0.2">
      <c r="A2927" t="s">
        <v>71</v>
      </c>
      <c r="B2927" t="s">
        <v>189</v>
      </c>
      <c r="C2927" t="s">
        <v>196</v>
      </c>
      <c r="D2927" t="s">
        <v>74</v>
      </c>
      <c r="E2927" t="s">
        <v>80</v>
      </c>
      <c r="F2927" s="55">
        <v>61</v>
      </c>
      <c r="G2927" s="63">
        <v>3.9199999999999999E-2</v>
      </c>
    </row>
    <row r="2928" spans="1:7" x14ac:dyDescent="0.2">
      <c r="A2928" t="s">
        <v>71</v>
      </c>
      <c r="B2928" t="s">
        <v>189</v>
      </c>
      <c r="C2928" t="s">
        <v>196</v>
      </c>
      <c r="D2928" t="s">
        <v>74</v>
      </c>
      <c r="E2928" t="s">
        <v>81</v>
      </c>
      <c r="F2928" s="55">
        <v>60</v>
      </c>
      <c r="G2928" s="63">
        <v>3.7100000000000001E-2</v>
      </c>
    </row>
    <row r="2929" spans="1:7" x14ac:dyDescent="0.2">
      <c r="A2929" t="s">
        <v>71</v>
      </c>
      <c r="B2929" t="s">
        <v>189</v>
      </c>
      <c r="C2929" t="s">
        <v>196</v>
      </c>
      <c r="D2929" t="s">
        <v>74</v>
      </c>
      <c r="E2929" t="s">
        <v>82</v>
      </c>
      <c r="F2929" s="55">
        <v>63</v>
      </c>
      <c r="G2929" s="63">
        <v>7.3700000000000002E-2</v>
      </c>
    </row>
    <row r="2930" spans="1:7" x14ac:dyDescent="0.2">
      <c r="A2930" t="s">
        <v>71</v>
      </c>
      <c r="B2930" t="s">
        <v>189</v>
      </c>
      <c r="C2930" t="s">
        <v>196</v>
      </c>
      <c r="D2930" t="s">
        <v>74</v>
      </c>
      <c r="E2930" t="s">
        <v>83</v>
      </c>
      <c r="F2930" s="55">
        <v>59</v>
      </c>
      <c r="G2930" s="63">
        <v>1.5100000000000001E-2</v>
      </c>
    </row>
    <row r="2931" spans="1:7" x14ac:dyDescent="0.2">
      <c r="A2931" t="s">
        <v>71</v>
      </c>
      <c r="B2931" t="s">
        <v>189</v>
      </c>
      <c r="C2931" t="s">
        <v>196</v>
      </c>
      <c r="D2931" t="s">
        <v>74</v>
      </c>
      <c r="E2931" t="s">
        <v>84</v>
      </c>
      <c r="F2931" s="55">
        <v>60</v>
      </c>
      <c r="G2931" s="63">
        <v>3.0300000000000001E-2</v>
      </c>
    </row>
    <row r="2932" spans="1:7" x14ac:dyDescent="0.2">
      <c r="A2932" t="s">
        <v>71</v>
      </c>
      <c r="B2932" t="s">
        <v>189</v>
      </c>
      <c r="C2932" t="s">
        <v>196</v>
      </c>
      <c r="D2932" t="s">
        <v>74</v>
      </c>
      <c r="E2932" t="s">
        <v>85</v>
      </c>
      <c r="F2932" s="55">
        <v>60</v>
      </c>
      <c r="G2932" s="63">
        <v>3.8800000000000001E-2</v>
      </c>
    </row>
    <row r="2933" spans="1:7" x14ac:dyDescent="0.2">
      <c r="A2933" t="s">
        <v>71</v>
      </c>
      <c r="B2933" t="s">
        <v>189</v>
      </c>
      <c r="C2933" t="s">
        <v>196</v>
      </c>
      <c r="D2933" t="s">
        <v>74</v>
      </c>
      <c r="E2933" t="s">
        <v>86</v>
      </c>
      <c r="F2933" s="55">
        <v>61</v>
      </c>
      <c r="G2933" s="63">
        <v>4.7E-2</v>
      </c>
    </row>
    <row r="2934" spans="1:7" x14ac:dyDescent="0.2">
      <c r="A2934" t="s">
        <v>71</v>
      </c>
      <c r="B2934" t="s">
        <v>189</v>
      </c>
      <c r="C2934" t="s">
        <v>196</v>
      </c>
      <c r="D2934" t="s">
        <v>74</v>
      </c>
      <c r="E2934" t="s">
        <v>87</v>
      </c>
      <c r="F2934" s="55">
        <v>62</v>
      </c>
      <c r="G2934" s="63">
        <v>5.2600000000000001E-2</v>
      </c>
    </row>
    <row r="2935" spans="1:7" x14ac:dyDescent="0.2">
      <c r="A2935" t="s">
        <v>71</v>
      </c>
      <c r="B2935" t="s">
        <v>189</v>
      </c>
      <c r="C2935" t="s">
        <v>196</v>
      </c>
      <c r="D2935" t="s">
        <v>74</v>
      </c>
      <c r="E2935" t="s">
        <v>88</v>
      </c>
      <c r="F2935" s="55">
        <v>65</v>
      </c>
      <c r="G2935" s="63">
        <v>2.8500000000000001E-2</v>
      </c>
    </row>
    <row r="2936" spans="1:7" x14ac:dyDescent="0.2">
      <c r="A2936" t="s">
        <v>89</v>
      </c>
      <c r="B2936" t="s">
        <v>190</v>
      </c>
      <c r="C2936" t="s">
        <v>196</v>
      </c>
      <c r="D2936" t="s">
        <v>74</v>
      </c>
      <c r="E2936" t="s">
        <v>75</v>
      </c>
      <c r="F2936" s="55">
        <v>36</v>
      </c>
      <c r="G2936" s="63">
        <v>0.18090000000000001</v>
      </c>
    </row>
    <row r="2937" spans="1:7" x14ac:dyDescent="0.2">
      <c r="A2937" t="s">
        <v>89</v>
      </c>
      <c r="B2937" t="s">
        <v>190</v>
      </c>
      <c r="C2937" t="s">
        <v>196</v>
      </c>
      <c r="D2937" t="s">
        <v>74</v>
      </c>
      <c r="E2937" t="s">
        <v>76</v>
      </c>
      <c r="F2937" s="55">
        <v>38</v>
      </c>
      <c r="G2937" s="63">
        <v>1.6199999999999999E-2</v>
      </c>
    </row>
    <row r="2938" spans="1:7" x14ac:dyDescent="0.2">
      <c r="A2938" t="s">
        <v>89</v>
      </c>
      <c r="B2938" t="s">
        <v>190</v>
      </c>
      <c r="C2938" t="s">
        <v>196</v>
      </c>
      <c r="D2938" t="s">
        <v>74</v>
      </c>
      <c r="E2938" t="s">
        <v>77</v>
      </c>
      <c r="F2938" s="55">
        <v>35</v>
      </c>
      <c r="G2938" s="63">
        <v>5.5599999999999997E-2</v>
      </c>
    </row>
    <row r="2939" spans="1:7" x14ac:dyDescent="0.2">
      <c r="A2939" t="s">
        <v>89</v>
      </c>
      <c r="B2939" t="s">
        <v>190</v>
      </c>
      <c r="C2939" t="s">
        <v>196</v>
      </c>
      <c r="D2939" t="s">
        <v>74</v>
      </c>
      <c r="E2939" t="s">
        <v>78</v>
      </c>
      <c r="F2939" s="55">
        <v>42</v>
      </c>
      <c r="G2939" s="63">
        <v>3.9399999999999998E-2</v>
      </c>
    </row>
    <row r="2940" spans="1:7" x14ac:dyDescent="0.2">
      <c r="A2940" t="s">
        <v>89</v>
      </c>
      <c r="B2940" t="s">
        <v>190</v>
      </c>
      <c r="C2940" t="s">
        <v>196</v>
      </c>
      <c r="D2940" t="s">
        <v>74</v>
      </c>
      <c r="E2940" t="s">
        <v>79</v>
      </c>
      <c r="F2940" s="55">
        <v>36</v>
      </c>
      <c r="G2940" s="63">
        <v>0.1105</v>
      </c>
    </row>
    <row r="2941" spans="1:7" x14ac:dyDescent="0.2">
      <c r="A2941" t="s">
        <v>89</v>
      </c>
      <c r="B2941" t="s">
        <v>190</v>
      </c>
      <c r="C2941" t="s">
        <v>196</v>
      </c>
      <c r="D2941" t="s">
        <v>74</v>
      </c>
      <c r="E2941" t="s">
        <v>80</v>
      </c>
      <c r="F2941" s="55">
        <v>40</v>
      </c>
      <c r="G2941" s="63">
        <v>2.93E-2</v>
      </c>
    </row>
    <row r="2942" spans="1:7" x14ac:dyDescent="0.2">
      <c r="A2942" t="s">
        <v>89</v>
      </c>
      <c r="B2942" t="s">
        <v>190</v>
      </c>
      <c r="C2942" t="s">
        <v>196</v>
      </c>
      <c r="D2942" t="s">
        <v>74</v>
      </c>
      <c r="E2942" t="s">
        <v>81</v>
      </c>
      <c r="F2942" s="55">
        <v>43</v>
      </c>
      <c r="G2942" s="63">
        <v>2.9899999999999999E-2</v>
      </c>
    </row>
    <row r="2943" spans="1:7" x14ac:dyDescent="0.2">
      <c r="A2943" t="s">
        <v>89</v>
      </c>
      <c r="B2943" t="s">
        <v>190</v>
      </c>
      <c r="C2943" t="s">
        <v>196</v>
      </c>
      <c r="D2943" t="s">
        <v>74</v>
      </c>
      <c r="E2943" t="s">
        <v>82</v>
      </c>
      <c r="F2943" s="55">
        <v>33</v>
      </c>
      <c r="G2943" s="63">
        <v>8.43E-2</v>
      </c>
    </row>
    <row r="2944" spans="1:7" x14ac:dyDescent="0.2">
      <c r="A2944" t="s">
        <v>89</v>
      </c>
      <c r="B2944" t="s">
        <v>190</v>
      </c>
      <c r="C2944" t="s">
        <v>196</v>
      </c>
      <c r="D2944" t="s">
        <v>74</v>
      </c>
      <c r="E2944" t="s">
        <v>83</v>
      </c>
      <c r="F2944" s="55">
        <v>53</v>
      </c>
      <c r="G2944" s="63">
        <v>1.21E-2</v>
      </c>
    </row>
    <row r="2945" spans="1:7" x14ac:dyDescent="0.2">
      <c r="A2945" t="s">
        <v>89</v>
      </c>
      <c r="B2945" t="s">
        <v>190</v>
      </c>
      <c r="C2945" t="s">
        <v>196</v>
      </c>
      <c r="D2945" t="s">
        <v>74</v>
      </c>
      <c r="E2945" t="s">
        <v>84</v>
      </c>
      <c r="F2945" s="55">
        <v>42</v>
      </c>
      <c r="G2945" s="63">
        <v>2.9899999999999999E-2</v>
      </c>
    </row>
    <row r="2946" spans="1:7" x14ac:dyDescent="0.2">
      <c r="A2946" t="s">
        <v>89</v>
      </c>
      <c r="B2946" t="s">
        <v>190</v>
      </c>
      <c r="C2946" t="s">
        <v>196</v>
      </c>
      <c r="D2946" t="s">
        <v>74</v>
      </c>
      <c r="E2946" t="s">
        <v>85</v>
      </c>
      <c r="F2946" s="55">
        <v>40</v>
      </c>
      <c r="G2946" s="63">
        <v>3.1300000000000001E-2</v>
      </c>
    </row>
    <row r="2947" spans="1:7" x14ac:dyDescent="0.2">
      <c r="A2947" t="s">
        <v>89</v>
      </c>
      <c r="B2947" t="s">
        <v>190</v>
      </c>
      <c r="C2947" t="s">
        <v>196</v>
      </c>
      <c r="D2947" t="s">
        <v>74</v>
      </c>
      <c r="E2947" t="s">
        <v>86</v>
      </c>
      <c r="F2947" s="55">
        <v>35</v>
      </c>
      <c r="G2947" s="63">
        <v>4.0399999999999998E-2</v>
      </c>
    </row>
    <row r="2948" spans="1:7" x14ac:dyDescent="0.2">
      <c r="A2948" t="s">
        <v>89</v>
      </c>
      <c r="B2948" t="s">
        <v>190</v>
      </c>
      <c r="C2948" t="s">
        <v>196</v>
      </c>
      <c r="D2948" t="s">
        <v>74</v>
      </c>
      <c r="E2948" t="s">
        <v>87</v>
      </c>
      <c r="F2948" s="55">
        <v>34</v>
      </c>
      <c r="G2948" s="63">
        <v>4.6300000000000001E-2</v>
      </c>
    </row>
    <row r="2949" spans="1:7" x14ac:dyDescent="0.2">
      <c r="A2949" t="s">
        <v>89</v>
      </c>
      <c r="B2949" t="s">
        <v>190</v>
      </c>
      <c r="C2949" t="s">
        <v>196</v>
      </c>
      <c r="D2949" t="s">
        <v>74</v>
      </c>
      <c r="E2949" t="s">
        <v>88</v>
      </c>
      <c r="F2949" s="55">
        <v>44</v>
      </c>
      <c r="G2949" s="63">
        <v>2.7E-2</v>
      </c>
    </row>
    <row r="2950" spans="1:7" x14ac:dyDescent="0.2">
      <c r="A2950" t="s">
        <v>89</v>
      </c>
      <c r="B2950" t="s">
        <v>191</v>
      </c>
      <c r="C2950" t="s">
        <v>196</v>
      </c>
      <c r="D2950" t="s">
        <v>91</v>
      </c>
      <c r="E2950" t="s">
        <v>75</v>
      </c>
      <c r="F2950" s="55">
        <v>33</v>
      </c>
      <c r="G2950" s="63">
        <v>0.17249999999999999</v>
      </c>
    </row>
    <row r="2951" spans="1:7" x14ac:dyDescent="0.2">
      <c r="A2951" t="s">
        <v>89</v>
      </c>
      <c r="B2951" t="s">
        <v>191</v>
      </c>
      <c r="C2951" t="s">
        <v>196</v>
      </c>
      <c r="D2951" t="s">
        <v>91</v>
      </c>
      <c r="E2951" t="s">
        <v>76</v>
      </c>
      <c r="F2951" s="55">
        <v>31</v>
      </c>
      <c r="G2951" s="63">
        <v>1.9199999999999998E-2</v>
      </c>
    </row>
    <row r="2952" spans="1:7" x14ac:dyDescent="0.2">
      <c r="A2952" t="s">
        <v>89</v>
      </c>
      <c r="B2952" t="s">
        <v>191</v>
      </c>
      <c r="C2952" t="s">
        <v>196</v>
      </c>
      <c r="D2952" t="s">
        <v>91</v>
      </c>
      <c r="E2952" t="s">
        <v>77</v>
      </c>
      <c r="F2952" s="55">
        <v>35</v>
      </c>
      <c r="G2952" s="63">
        <v>5.3499999999999999E-2</v>
      </c>
    </row>
    <row r="2953" spans="1:7" x14ac:dyDescent="0.2">
      <c r="A2953" t="s">
        <v>89</v>
      </c>
      <c r="B2953" t="s">
        <v>191</v>
      </c>
      <c r="C2953" t="s">
        <v>196</v>
      </c>
      <c r="D2953" t="s">
        <v>91</v>
      </c>
      <c r="E2953" t="s">
        <v>78</v>
      </c>
      <c r="F2953" s="55">
        <v>32</v>
      </c>
      <c r="G2953" s="63">
        <v>4.2299999999999997E-2</v>
      </c>
    </row>
    <row r="2954" spans="1:7" x14ac:dyDescent="0.2">
      <c r="A2954" t="s">
        <v>89</v>
      </c>
      <c r="B2954" t="s">
        <v>191</v>
      </c>
      <c r="C2954" t="s">
        <v>196</v>
      </c>
      <c r="D2954" t="s">
        <v>91</v>
      </c>
      <c r="E2954" t="s">
        <v>79</v>
      </c>
      <c r="F2954" s="55">
        <v>32</v>
      </c>
      <c r="G2954" s="63">
        <v>0.10349999999999999</v>
      </c>
    </row>
    <row r="2955" spans="1:7" x14ac:dyDescent="0.2">
      <c r="A2955" t="s">
        <v>89</v>
      </c>
      <c r="B2955" t="s">
        <v>191</v>
      </c>
      <c r="C2955" t="s">
        <v>196</v>
      </c>
      <c r="D2955" t="s">
        <v>91</v>
      </c>
      <c r="E2955" t="s">
        <v>80</v>
      </c>
      <c r="F2955" s="55">
        <v>31</v>
      </c>
      <c r="G2955" s="63">
        <v>2.8000000000000001E-2</v>
      </c>
    </row>
    <row r="2956" spans="1:7" x14ac:dyDescent="0.2">
      <c r="A2956" t="s">
        <v>89</v>
      </c>
      <c r="B2956" t="s">
        <v>191</v>
      </c>
      <c r="C2956" t="s">
        <v>196</v>
      </c>
      <c r="D2956" t="s">
        <v>91</v>
      </c>
      <c r="E2956" t="s">
        <v>81</v>
      </c>
      <c r="F2956" s="55">
        <v>39</v>
      </c>
      <c r="G2956" s="63">
        <v>3.0700000000000002E-2</v>
      </c>
    </row>
    <row r="2957" spans="1:7" x14ac:dyDescent="0.2">
      <c r="A2957" t="s">
        <v>89</v>
      </c>
      <c r="B2957" t="s">
        <v>191</v>
      </c>
      <c r="C2957" t="s">
        <v>196</v>
      </c>
      <c r="D2957" t="s">
        <v>91</v>
      </c>
      <c r="E2957" t="s">
        <v>82</v>
      </c>
      <c r="F2957" s="55">
        <v>32</v>
      </c>
      <c r="G2957" s="63">
        <v>7.0699999999999999E-2</v>
      </c>
    </row>
    <row r="2958" spans="1:7" x14ac:dyDescent="0.2">
      <c r="A2958" t="s">
        <v>89</v>
      </c>
      <c r="B2958" t="s">
        <v>191</v>
      </c>
      <c r="C2958" t="s">
        <v>196</v>
      </c>
      <c r="D2958" t="s">
        <v>91</v>
      </c>
      <c r="E2958" t="s">
        <v>83</v>
      </c>
      <c r="F2958" s="55">
        <v>38</v>
      </c>
      <c r="G2958" s="63">
        <v>1.38E-2</v>
      </c>
    </row>
    <row r="2959" spans="1:7" x14ac:dyDescent="0.2">
      <c r="A2959" t="s">
        <v>89</v>
      </c>
      <c r="B2959" t="s">
        <v>191</v>
      </c>
      <c r="C2959" t="s">
        <v>196</v>
      </c>
      <c r="D2959" t="s">
        <v>91</v>
      </c>
      <c r="E2959" t="s">
        <v>84</v>
      </c>
      <c r="F2959" s="55">
        <v>33</v>
      </c>
      <c r="G2959" s="63">
        <v>3.27E-2</v>
      </c>
    </row>
    <row r="2960" spans="1:7" x14ac:dyDescent="0.2">
      <c r="A2960" t="s">
        <v>89</v>
      </c>
      <c r="B2960" t="s">
        <v>191</v>
      </c>
      <c r="C2960" t="s">
        <v>196</v>
      </c>
      <c r="D2960" t="s">
        <v>91</v>
      </c>
      <c r="E2960" t="s">
        <v>85</v>
      </c>
      <c r="F2960" s="55">
        <v>30</v>
      </c>
      <c r="G2960" s="63">
        <v>3.2300000000000002E-2</v>
      </c>
    </row>
    <row r="2961" spans="1:7" x14ac:dyDescent="0.2">
      <c r="A2961" t="s">
        <v>89</v>
      </c>
      <c r="B2961" t="s">
        <v>191</v>
      </c>
      <c r="C2961" t="s">
        <v>196</v>
      </c>
      <c r="D2961" t="s">
        <v>91</v>
      </c>
      <c r="E2961" t="s">
        <v>86</v>
      </c>
      <c r="F2961" s="55">
        <v>32</v>
      </c>
      <c r="G2961" s="63">
        <v>3.9899999999999998E-2</v>
      </c>
    </row>
    <row r="2962" spans="1:7" x14ac:dyDescent="0.2">
      <c r="A2962" t="s">
        <v>89</v>
      </c>
      <c r="B2962" t="s">
        <v>191</v>
      </c>
      <c r="C2962" t="s">
        <v>196</v>
      </c>
      <c r="D2962" t="s">
        <v>91</v>
      </c>
      <c r="E2962" t="s">
        <v>87</v>
      </c>
      <c r="F2962" s="55">
        <v>33</v>
      </c>
      <c r="G2962" s="63">
        <v>4.36E-2</v>
      </c>
    </row>
    <row r="2963" spans="1:7" x14ac:dyDescent="0.2">
      <c r="A2963" t="s">
        <v>89</v>
      </c>
      <c r="B2963" t="s">
        <v>191</v>
      </c>
      <c r="C2963" t="s">
        <v>196</v>
      </c>
      <c r="D2963" t="s">
        <v>91</v>
      </c>
      <c r="E2963" t="s">
        <v>88</v>
      </c>
      <c r="F2963" s="55">
        <v>32</v>
      </c>
      <c r="G2963" s="63">
        <v>2.9100000000000001E-2</v>
      </c>
    </row>
    <row r="2964" spans="1:7" x14ac:dyDescent="0.2">
      <c r="A2964" t="s">
        <v>89</v>
      </c>
      <c r="B2964" t="s">
        <v>192</v>
      </c>
      <c r="C2964" t="s">
        <v>196</v>
      </c>
      <c r="D2964" t="s">
        <v>74</v>
      </c>
      <c r="E2964" t="s">
        <v>75</v>
      </c>
      <c r="F2964" s="55">
        <v>117</v>
      </c>
      <c r="G2964" s="63">
        <v>0.1376</v>
      </c>
    </row>
    <row r="2965" spans="1:7" x14ac:dyDescent="0.2">
      <c r="A2965" t="s">
        <v>89</v>
      </c>
      <c r="B2965" t="s">
        <v>192</v>
      </c>
      <c r="C2965" t="s">
        <v>196</v>
      </c>
      <c r="D2965" t="s">
        <v>74</v>
      </c>
      <c r="E2965" t="s">
        <v>76</v>
      </c>
      <c r="F2965" s="55">
        <v>126</v>
      </c>
      <c r="G2965" s="63">
        <v>1.4E-2</v>
      </c>
    </row>
    <row r="2966" spans="1:7" x14ac:dyDescent="0.2">
      <c r="A2966" t="s">
        <v>89</v>
      </c>
      <c r="B2966" t="s">
        <v>192</v>
      </c>
      <c r="C2966" t="s">
        <v>196</v>
      </c>
      <c r="D2966" t="s">
        <v>74</v>
      </c>
      <c r="E2966" t="s">
        <v>77</v>
      </c>
      <c r="F2966" s="55">
        <v>114</v>
      </c>
      <c r="G2966" s="63">
        <v>5.7299999999999997E-2</v>
      </c>
    </row>
    <row r="2967" spans="1:7" x14ac:dyDescent="0.2">
      <c r="A2967" t="s">
        <v>89</v>
      </c>
      <c r="B2967" t="s">
        <v>192</v>
      </c>
      <c r="C2967" t="s">
        <v>196</v>
      </c>
      <c r="D2967" t="s">
        <v>74</v>
      </c>
      <c r="E2967" t="s">
        <v>78</v>
      </c>
      <c r="F2967" s="55">
        <v>123</v>
      </c>
      <c r="G2967" s="63">
        <v>4.7E-2</v>
      </c>
    </row>
    <row r="2968" spans="1:7" x14ac:dyDescent="0.2">
      <c r="A2968" t="s">
        <v>89</v>
      </c>
      <c r="B2968" t="s">
        <v>192</v>
      </c>
      <c r="C2968" t="s">
        <v>196</v>
      </c>
      <c r="D2968" t="s">
        <v>74</v>
      </c>
      <c r="E2968" t="s">
        <v>79</v>
      </c>
      <c r="F2968" s="55">
        <v>115</v>
      </c>
      <c r="G2968" s="63">
        <v>9.2399999999999996E-2</v>
      </c>
    </row>
    <row r="2969" spans="1:7" x14ac:dyDescent="0.2">
      <c r="A2969" t="s">
        <v>89</v>
      </c>
      <c r="B2969" t="s">
        <v>192</v>
      </c>
      <c r="C2969" t="s">
        <v>196</v>
      </c>
      <c r="D2969" t="s">
        <v>74</v>
      </c>
      <c r="E2969" t="s">
        <v>80</v>
      </c>
      <c r="F2969" s="55">
        <v>116</v>
      </c>
      <c r="G2969" s="63">
        <v>4.1500000000000002E-2</v>
      </c>
    </row>
    <row r="2970" spans="1:7" x14ac:dyDescent="0.2">
      <c r="A2970" t="s">
        <v>89</v>
      </c>
      <c r="B2970" t="s">
        <v>192</v>
      </c>
      <c r="C2970" t="s">
        <v>196</v>
      </c>
      <c r="D2970" t="s">
        <v>74</v>
      </c>
      <c r="E2970" t="s">
        <v>81</v>
      </c>
      <c r="F2970" s="55">
        <v>113</v>
      </c>
      <c r="G2970" s="63">
        <v>3.7199999999999997E-2</v>
      </c>
    </row>
    <row r="2971" spans="1:7" x14ac:dyDescent="0.2">
      <c r="A2971" t="s">
        <v>89</v>
      </c>
      <c r="B2971" t="s">
        <v>192</v>
      </c>
      <c r="C2971" t="s">
        <v>196</v>
      </c>
      <c r="D2971" t="s">
        <v>74</v>
      </c>
      <c r="E2971" t="s">
        <v>82</v>
      </c>
      <c r="F2971" s="55">
        <v>118</v>
      </c>
      <c r="G2971" s="63">
        <v>6.2799999999999995E-2</v>
      </c>
    </row>
    <row r="2972" spans="1:7" x14ac:dyDescent="0.2">
      <c r="A2972" t="s">
        <v>89</v>
      </c>
      <c r="B2972" t="s">
        <v>192</v>
      </c>
      <c r="C2972" t="s">
        <v>196</v>
      </c>
      <c r="D2972" t="s">
        <v>74</v>
      </c>
      <c r="E2972" t="s">
        <v>83</v>
      </c>
      <c r="F2972" s="55">
        <v>119</v>
      </c>
      <c r="G2972" s="63">
        <v>1.4500000000000001E-2</v>
      </c>
    </row>
    <row r="2973" spans="1:7" x14ac:dyDescent="0.2">
      <c r="A2973" t="s">
        <v>89</v>
      </c>
      <c r="B2973" t="s">
        <v>192</v>
      </c>
      <c r="C2973" t="s">
        <v>196</v>
      </c>
      <c r="D2973" t="s">
        <v>74</v>
      </c>
      <c r="E2973" t="s">
        <v>84</v>
      </c>
      <c r="F2973" s="55">
        <v>122</v>
      </c>
      <c r="G2973" s="63">
        <v>3.9399999999999998E-2</v>
      </c>
    </row>
    <row r="2974" spans="1:7" x14ac:dyDescent="0.2">
      <c r="A2974" t="s">
        <v>89</v>
      </c>
      <c r="B2974" t="s">
        <v>192</v>
      </c>
      <c r="C2974" t="s">
        <v>196</v>
      </c>
      <c r="D2974" t="s">
        <v>74</v>
      </c>
      <c r="E2974" t="s">
        <v>85</v>
      </c>
      <c r="F2974" s="55">
        <v>116</v>
      </c>
      <c r="G2974" s="63">
        <v>4.58E-2</v>
      </c>
    </row>
    <row r="2975" spans="1:7" x14ac:dyDescent="0.2">
      <c r="A2975" t="s">
        <v>89</v>
      </c>
      <c r="B2975" t="s">
        <v>192</v>
      </c>
      <c r="C2975" t="s">
        <v>196</v>
      </c>
      <c r="D2975" t="s">
        <v>74</v>
      </c>
      <c r="E2975" t="s">
        <v>86</v>
      </c>
      <c r="F2975" s="55">
        <v>112</v>
      </c>
      <c r="G2975" s="63">
        <v>4.7800000000000002E-2</v>
      </c>
    </row>
    <row r="2976" spans="1:7" x14ac:dyDescent="0.2">
      <c r="A2976" t="s">
        <v>89</v>
      </c>
      <c r="B2976" t="s">
        <v>192</v>
      </c>
      <c r="C2976" t="s">
        <v>196</v>
      </c>
      <c r="D2976" t="s">
        <v>74</v>
      </c>
      <c r="E2976" t="s">
        <v>87</v>
      </c>
      <c r="F2976" s="55">
        <v>112</v>
      </c>
      <c r="G2976" s="63">
        <v>5.0099999999999999E-2</v>
      </c>
    </row>
    <row r="2977" spans="1:7" x14ac:dyDescent="0.2">
      <c r="A2977" t="s">
        <v>89</v>
      </c>
      <c r="B2977" t="s">
        <v>192</v>
      </c>
      <c r="C2977" t="s">
        <v>196</v>
      </c>
      <c r="D2977" t="s">
        <v>74</v>
      </c>
      <c r="E2977" t="s">
        <v>88</v>
      </c>
      <c r="F2977" s="55">
        <v>120</v>
      </c>
      <c r="G2977" s="63">
        <v>2.3699999999999999E-2</v>
      </c>
    </row>
    <row r="2978" spans="1:7" x14ac:dyDescent="0.2">
      <c r="A2978" t="s">
        <v>71</v>
      </c>
      <c r="B2978" t="s">
        <v>20</v>
      </c>
      <c r="C2978" t="s">
        <v>196</v>
      </c>
      <c r="D2978" t="s">
        <v>74</v>
      </c>
      <c r="E2978" t="s">
        <v>75</v>
      </c>
      <c r="F2978" s="55">
        <v>106</v>
      </c>
      <c r="G2978" s="63">
        <v>0.5423</v>
      </c>
    </row>
    <row r="2979" spans="1:7" x14ac:dyDescent="0.2">
      <c r="A2979" t="s">
        <v>71</v>
      </c>
      <c r="B2979" t="s">
        <v>20</v>
      </c>
      <c r="C2979" t="s">
        <v>196</v>
      </c>
      <c r="D2979" t="s">
        <v>74</v>
      </c>
      <c r="E2979" t="s">
        <v>76</v>
      </c>
      <c r="F2979" s="55">
        <v>104</v>
      </c>
      <c r="G2979" s="63">
        <v>0.1225</v>
      </c>
    </row>
    <row r="2980" spans="1:7" x14ac:dyDescent="0.2">
      <c r="A2980" t="s">
        <v>71</v>
      </c>
      <c r="B2980" t="s">
        <v>20</v>
      </c>
      <c r="C2980" t="s">
        <v>196</v>
      </c>
      <c r="D2980" t="s">
        <v>74</v>
      </c>
      <c r="E2980" t="s">
        <v>77</v>
      </c>
      <c r="F2980" s="55">
        <v>111</v>
      </c>
      <c r="G2980" s="63">
        <v>0.30790000000000001</v>
      </c>
    </row>
    <row r="2981" spans="1:7" x14ac:dyDescent="0.2">
      <c r="A2981" t="s">
        <v>71</v>
      </c>
      <c r="B2981" t="s">
        <v>20</v>
      </c>
      <c r="C2981" t="s">
        <v>196</v>
      </c>
      <c r="D2981" t="s">
        <v>74</v>
      </c>
      <c r="E2981" t="s">
        <v>78</v>
      </c>
      <c r="F2981" s="55">
        <v>107</v>
      </c>
      <c r="G2981" s="63">
        <v>0.29459999999999997</v>
      </c>
    </row>
    <row r="2982" spans="1:7" x14ac:dyDescent="0.2">
      <c r="A2982" t="s">
        <v>71</v>
      </c>
      <c r="B2982" t="s">
        <v>20</v>
      </c>
      <c r="C2982" t="s">
        <v>196</v>
      </c>
      <c r="D2982" t="s">
        <v>74</v>
      </c>
      <c r="E2982" t="s">
        <v>79</v>
      </c>
      <c r="F2982" s="55">
        <v>103</v>
      </c>
      <c r="G2982" s="63">
        <v>0.4274</v>
      </c>
    </row>
    <row r="2983" spans="1:7" x14ac:dyDescent="0.2">
      <c r="A2983" t="s">
        <v>71</v>
      </c>
      <c r="B2983" t="s">
        <v>20</v>
      </c>
      <c r="C2983" t="s">
        <v>196</v>
      </c>
      <c r="D2983" t="s">
        <v>74</v>
      </c>
      <c r="E2983" t="s">
        <v>80</v>
      </c>
      <c r="F2983" s="55">
        <v>100</v>
      </c>
      <c r="G2983" s="63">
        <v>0.18720000000000001</v>
      </c>
    </row>
    <row r="2984" spans="1:7" x14ac:dyDescent="0.2">
      <c r="A2984" t="s">
        <v>71</v>
      </c>
      <c r="B2984" t="s">
        <v>20</v>
      </c>
      <c r="C2984" t="s">
        <v>196</v>
      </c>
      <c r="D2984" t="s">
        <v>74</v>
      </c>
      <c r="E2984" t="s">
        <v>81</v>
      </c>
      <c r="F2984" s="55">
        <v>100</v>
      </c>
      <c r="G2984" s="63">
        <v>0.15459999999999999</v>
      </c>
    </row>
    <row r="2985" spans="1:7" x14ac:dyDescent="0.2">
      <c r="A2985" t="s">
        <v>71</v>
      </c>
      <c r="B2985" t="s">
        <v>20</v>
      </c>
      <c r="C2985" t="s">
        <v>196</v>
      </c>
      <c r="D2985" t="s">
        <v>74</v>
      </c>
      <c r="E2985" t="s">
        <v>82</v>
      </c>
      <c r="F2985" s="55">
        <v>105</v>
      </c>
      <c r="G2985" s="63">
        <v>0.39</v>
      </c>
    </row>
    <row r="2986" spans="1:7" x14ac:dyDescent="0.2">
      <c r="A2986" t="s">
        <v>71</v>
      </c>
      <c r="B2986" t="s">
        <v>20</v>
      </c>
      <c r="C2986" t="s">
        <v>196</v>
      </c>
      <c r="D2986" t="s">
        <v>74</v>
      </c>
      <c r="E2986" t="s">
        <v>83</v>
      </c>
      <c r="F2986" s="55">
        <v>102</v>
      </c>
      <c r="G2986" s="63">
        <v>8.5500000000000007E-2</v>
      </c>
    </row>
    <row r="2987" spans="1:7" x14ac:dyDescent="0.2">
      <c r="A2987" t="s">
        <v>71</v>
      </c>
      <c r="B2987" t="s">
        <v>20</v>
      </c>
      <c r="C2987" t="s">
        <v>196</v>
      </c>
      <c r="D2987" t="s">
        <v>74</v>
      </c>
      <c r="E2987" t="s">
        <v>84</v>
      </c>
      <c r="F2987" s="55">
        <v>109</v>
      </c>
      <c r="G2987" s="63">
        <v>0.25750000000000001</v>
      </c>
    </row>
    <row r="2988" spans="1:7" x14ac:dyDescent="0.2">
      <c r="A2988" t="s">
        <v>71</v>
      </c>
      <c r="B2988" t="s">
        <v>20</v>
      </c>
      <c r="C2988" t="s">
        <v>196</v>
      </c>
      <c r="D2988" t="s">
        <v>74</v>
      </c>
      <c r="E2988" t="s">
        <v>85</v>
      </c>
      <c r="F2988" s="55">
        <v>101</v>
      </c>
      <c r="G2988" s="63">
        <v>0.23219999999999999</v>
      </c>
    </row>
    <row r="2989" spans="1:7" x14ac:dyDescent="0.2">
      <c r="A2989" t="s">
        <v>71</v>
      </c>
      <c r="B2989" t="s">
        <v>20</v>
      </c>
      <c r="C2989" t="s">
        <v>196</v>
      </c>
      <c r="D2989" t="s">
        <v>74</v>
      </c>
      <c r="E2989" t="s">
        <v>86</v>
      </c>
      <c r="F2989" s="55">
        <v>103</v>
      </c>
      <c r="G2989" s="63">
        <v>0.2661</v>
      </c>
    </row>
    <row r="2990" spans="1:7" x14ac:dyDescent="0.2">
      <c r="A2990" t="s">
        <v>71</v>
      </c>
      <c r="B2990" t="s">
        <v>20</v>
      </c>
      <c r="C2990" t="s">
        <v>196</v>
      </c>
      <c r="D2990" t="s">
        <v>74</v>
      </c>
      <c r="E2990" t="s">
        <v>87</v>
      </c>
      <c r="F2990" s="55">
        <v>104</v>
      </c>
      <c r="G2990" s="63">
        <v>0.28939999999999999</v>
      </c>
    </row>
    <row r="2991" spans="1:7" x14ac:dyDescent="0.2">
      <c r="A2991" t="s">
        <v>71</v>
      </c>
      <c r="B2991" t="s">
        <v>20</v>
      </c>
      <c r="C2991" t="s">
        <v>196</v>
      </c>
      <c r="D2991" t="s">
        <v>74</v>
      </c>
      <c r="E2991" t="s">
        <v>88</v>
      </c>
      <c r="F2991" s="55">
        <v>103</v>
      </c>
      <c r="G2991" s="63">
        <v>0.1739</v>
      </c>
    </row>
    <row r="2992" spans="1:7" x14ac:dyDescent="0.2">
      <c r="A2992" t="s">
        <v>71</v>
      </c>
      <c r="B2992" t="s">
        <v>193</v>
      </c>
      <c r="C2992" t="s">
        <v>196</v>
      </c>
      <c r="D2992" t="s">
        <v>74</v>
      </c>
      <c r="E2992" t="s">
        <v>75</v>
      </c>
      <c r="F2992" s="55">
        <v>70</v>
      </c>
      <c r="G2992" s="63">
        <v>0.17330000000000001</v>
      </c>
    </row>
    <row r="2993" spans="1:7" x14ac:dyDescent="0.2">
      <c r="A2993" t="s">
        <v>71</v>
      </c>
      <c r="B2993" t="s">
        <v>193</v>
      </c>
      <c r="C2993" t="s">
        <v>196</v>
      </c>
      <c r="D2993" t="s">
        <v>74</v>
      </c>
      <c r="E2993" t="s">
        <v>76</v>
      </c>
      <c r="F2993" s="55">
        <v>53</v>
      </c>
      <c r="G2993" s="63">
        <v>1.09E-2</v>
      </c>
    </row>
    <row r="2994" spans="1:7" x14ac:dyDescent="0.2">
      <c r="A2994" t="s">
        <v>71</v>
      </c>
      <c r="B2994" t="s">
        <v>193</v>
      </c>
      <c r="C2994" t="s">
        <v>196</v>
      </c>
      <c r="D2994" t="s">
        <v>74</v>
      </c>
      <c r="E2994" t="s">
        <v>77</v>
      </c>
      <c r="F2994" s="55">
        <v>68</v>
      </c>
      <c r="G2994" s="63">
        <v>4.0099999999999997E-2</v>
      </c>
    </row>
    <row r="2995" spans="1:7" x14ac:dyDescent="0.2">
      <c r="A2995" t="s">
        <v>71</v>
      </c>
      <c r="B2995" t="s">
        <v>193</v>
      </c>
      <c r="C2995" t="s">
        <v>196</v>
      </c>
      <c r="D2995" t="s">
        <v>74</v>
      </c>
      <c r="E2995" t="s">
        <v>78</v>
      </c>
      <c r="F2995" s="55">
        <v>67</v>
      </c>
      <c r="G2995" s="63">
        <v>3.32E-2</v>
      </c>
    </row>
    <row r="2996" spans="1:7" x14ac:dyDescent="0.2">
      <c r="A2996" t="s">
        <v>71</v>
      </c>
      <c r="B2996" t="s">
        <v>193</v>
      </c>
      <c r="C2996" t="s">
        <v>196</v>
      </c>
      <c r="D2996" t="s">
        <v>74</v>
      </c>
      <c r="E2996" t="s">
        <v>79</v>
      </c>
      <c r="F2996" s="55">
        <v>75</v>
      </c>
      <c r="G2996" s="63">
        <v>0.12540000000000001</v>
      </c>
    </row>
    <row r="2997" spans="1:7" x14ac:dyDescent="0.2">
      <c r="A2997" t="s">
        <v>71</v>
      </c>
      <c r="B2997" t="s">
        <v>193</v>
      </c>
      <c r="C2997" t="s">
        <v>196</v>
      </c>
      <c r="D2997" t="s">
        <v>74</v>
      </c>
      <c r="E2997" t="s">
        <v>80</v>
      </c>
      <c r="F2997" s="55">
        <v>73</v>
      </c>
      <c r="G2997" s="63">
        <v>4.0399999999999998E-2</v>
      </c>
    </row>
    <row r="2998" spans="1:7" x14ac:dyDescent="0.2">
      <c r="A2998" t="s">
        <v>71</v>
      </c>
      <c r="B2998" t="s">
        <v>193</v>
      </c>
      <c r="C2998" t="s">
        <v>196</v>
      </c>
      <c r="D2998" t="s">
        <v>74</v>
      </c>
      <c r="E2998" t="s">
        <v>81</v>
      </c>
      <c r="F2998" s="55">
        <v>64</v>
      </c>
      <c r="G2998" s="63">
        <v>3.2000000000000001E-2</v>
      </c>
    </row>
    <row r="2999" spans="1:7" x14ac:dyDescent="0.2">
      <c r="A2999" t="s">
        <v>71</v>
      </c>
      <c r="B2999" t="s">
        <v>193</v>
      </c>
      <c r="C2999" t="s">
        <v>196</v>
      </c>
      <c r="D2999" t="s">
        <v>74</v>
      </c>
      <c r="E2999" t="s">
        <v>82</v>
      </c>
      <c r="F2999" s="55">
        <v>68</v>
      </c>
      <c r="G2999" s="63">
        <v>7.0000000000000007E-2</v>
      </c>
    </row>
    <row r="3000" spans="1:7" x14ac:dyDescent="0.2">
      <c r="A3000" t="s">
        <v>71</v>
      </c>
      <c r="B3000" t="s">
        <v>193</v>
      </c>
      <c r="C3000" t="s">
        <v>196</v>
      </c>
      <c r="D3000" t="s">
        <v>74</v>
      </c>
      <c r="E3000" t="s">
        <v>83</v>
      </c>
      <c r="F3000" s="55">
        <v>56</v>
      </c>
      <c r="G3000" s="63">
        <v>1.0500000000000001E-2</v>
      </c>
    </row>
    <row r="3001" spans="1:7" x14ac:dyDescent="0.2">
      <c r="A3001" t="s">
        <v>71</v>
      </c>
      <c r="B3001" t="s">
        <v>193</v>
      </c>
      <c r="C3001" t="s">
        <v>196</v>
      </c>
      <c r="D3001" t="s">
        <v>74</v>
      </c>
      <c r="E3001" t="s">
        <v>84</v>
      </c>
      <c r="F3001" s="55">
        <v>67</v>
      </c>
      <c r="G3001" s="63">
        <v>2.4199999999999999E-2</v>
      </c>
    </row>
    <row r="3002" spans="1:7" x14ac:dyDescent="0.2">
      <c r="A3002" t="s">
        <v>71</v>
      </c>
      <c r="B3002" t="s">
        <v>193</v>
      </c>
      <c r="C3002" t="s">
        <v>196</v>
      </c>
      <c r="D3002" t="s">
        <v>74</v>
      </c>
      <c r="E3002" t="s">
        <v>85</v>
      </c>
      <c r="F3002" s="55">
        <v>72</v>
      </c>
      <c r="G3002" s="63">
        <v>4.8399999999999999E-2</v>
      </c>
    </row>
    <row r="3003" spans="1:7" x14ac:dyDescent="0.2">
      <c r="A3003" t="s">
        <v>71</v>
      </c>
      <c r="B3003" t="s">
        <v>193</v>
      </c>
      <c r="C3003" t="s">
        <v>196</v>
      </c>
      <c r="D3003" t="s">
        <v>74</v>
      </c>
      <c r="E3003" t="s">
        <v>86</v>
      </c>
      <c r="F3003" s="55">
        <v>75</v>
      </c>
      <c r="G3003" s="63">
        <v>5.7200000000000001E-2</v>
      </c>
    </row>
    <row r="3004" spans="1:7" x14ac:dyDescent="0.2">
      <c r="A3004" t="s">
        <v>71</v>
      </c>
      <c r="B3004" t="s">
        <v>193</v>
      </c>
      <c r="C3004" t="s">
        <v>196</v>
      </c>
      <c r="D3004" t="s">
        <v>74</v>
      </c>
      <c r="E3004" t="s">
        <v>87</v>
      </c>
      <c r="F3004" s="55">
        <v>75</v>
      </c>
      <c r="G3004" s="63">
        <v>6.2300000000000001E-2</v>
      </c>
    </row>
    <row r="3005" spans="1:7" x14ac:dyDescent="0.2">
      <c r="A3005" t="s">
        <v>71</v>
      </c>
      <c r="B3005" t="s">
        <v>193</v>
      </c>
      <c r="C3005" t="s">
        <v>196</v>
      </c>
      <c r="D3005" t="s">
        <v>74</v>
      </c>
      <c r="E3005" t="s">
        <v>88</v>
      </c>
      <c r="F3005" s="55">
        <v>53</v>
      </c>
      <c r="G3005" s="63">
        <v>1.8700000000000001E-2</v>
      </c>
    </row>
    <row r="3006" spans="1:7" x14ac:dyDescent="0.2">
      <c r="A3006" t="s">
        <v>71</v>
      </c>
      <c r="B3006" t="s">
        <v>195</v>
      </c>
      <c r="C3006" t="s">
        <v>196</v>
      </c>
      <c r="D3006" t="s">
        <v>74</v>
      </c>
      <c r="E3006" t="s">
        <v>75</v>
      </c>
      <c r="F3006" s="55">
        <v>108</v>
      </c>
      <c r="G3006" s="63">
        <v>0.2046</v>
      </c>
    </row>
    <row r="3007" spans="1:7" x14ac:dyDescent="0.2">
      <c r="A3007" t="s">
        <v>71</v>
      </c>
      <c r="B3007" t="s">
        <v>195</v>
      </c>
      <c r="C3007" t="s">
        <v>196</v>
      </c>
      <c r="D3007" t="s">
        <v>74</v>
      </c>
      <c r="E3007" t="s">
        <v>76</v>
      </c>
      <c r="F3007" s="55">
        <v>111</v>
      </c>
      <c r="G3007" s="63">
        <v>1.8499999999999999E-2</v>
      </c>
    </row>
    <row r="3008" spans="1:7" x14ac:dyDescent="0.2">
      <c r="A3008" t="s">
        <v>71</v>
      </c>
      <c r="B3008" t="s">
        <v>195</v>
      </c>
      <c r="C3008" t="s">
        <v>196</v>
      </c>
      <c r="D3008" t="s">
        <v>74</v>
      </c>
      <c r="E3008" t="s">
        <v>77</v>
      </c>
      <c r="F3008" s="55">
        <v>110</v>
      </c>
      <c r="G3008" s="63">
        <v>8.5099999999999995E-2</v>
      </c>
    </row>
    <row r="3009" spans="1:7" x14ac:dyDescent="0.2">
      <c r="A3009" t="s">
        <v>71</v>
      </c>
      <c r="B3009" t="s">
        <v>195</v>
      </c>
      <c r="C3009" t="s">
        <v>196</v>
      </c>
      <c r="D3009" t="s">
        <v>74</v>
      </c>
      <c r="E3009" t="s">
        <v>78</v>
      </c>
      <c r="F3009" s="55">
        <v>108</v>
      </c>
      <c r="G3009" s="63">
        <v>7.6700000000000004E-2</v>
      </c>
    </row>
    <row r="3010" spans="1:7" x14ac:dyDescent="0.2">
      <c r="A3010" t="s">
        <v>71</v>
      </c>
      <c r="B3010" t="s">
        <v>195</v>
      </c>
      <c r="C3010" t="s">
        <v>196</v>
      </c>
      <c r="D3010" t="s">
        <v>74</v>
      </c>
      <c r="E3010" t="s">
        <v>79</v>
      </c>
      <c r="F3010" s="55">
        <v>108</v>
      </c>
      <c r="G3010" s="63">
        <v>0.14430000000000001</v>
      </c>
    </row>
    <row r="3011" spans="1:7" x14ac:dyDescent="0.2">
      <c r="A3011" t="s">
        <v>71</v>
      </c>
      <c r="B3011" t="s">
        <v>195</v>
      </c>
      <c r="C3011" t="s">
        <v>196</v>
      </c>
      <c r="D3011" t="s">
        <v>74</v>
      </c>
      <c r="E3011" t="s">
        <v>80</v>
      </c>
      <c r="F3011" s="55">
        <v>108</v>
      </c>
      <c r="G3011" s="63">
        <v>6.5799999999999997E-2</v>
      </c>
    </row>
    <row r="3012" spans="1:7" x14ac:dyDescent="0.2">
      <c r="A3012" t="s">
        <v>71</v>
      </c>
      <c r="B3012" t="s">
        <v>195</v>
      </c>
      <c r="C3012" t="s">
        <v>196</v>
      </c>
      <c r="D3012" t="s">
        <v>74</v>
      </c>
      <c r="E3012" t="s">
        <v>81</v>
      </c>
      <c r="F3012" s="55">
        <v>101</v>
      </c>
      <c r="G3012" s="63">
        <v>5.6800000000000003E-2</v>
      </c>
    </row>
    <row r="3013" spans="1:7" x14ac:dyDescent="0.2">
      <c r="A3013" t="s">
        <v>71</v>
      </c>
      <c r="B3013" t="s">
        <v>195</v>
      </c>
      <c r="C3013" t="s">
        <v>196</v>
      </c>
      <c r="D3013" t="s">
        <v>74</v>
      </c>
      <c r="E3013" t="s">
        <v>82</v>
      </c>
      <c r="F3013" s="55">
        <v>110</v>
      </c>
      <c r="G3013" s="63">
        <v>9.8400000000000001E-2</v>
      </c>
    </row>
    <row r="3014" spans="1:7" x14ac:dyDescent="0.2">
      <c r="A3014" t="s">
        <v>71</v>
      </c>
      <c r="B3014" t="s">
        <v>195</v>
      </c>
      <c r="C3014" t="s">
        <v>196</v>
      </c>
      <c r="D3014" t="s">
        <v>74</v>
      </c>
      <c r="E3014" t="s">
        <v>83</v>
      </c>
      <c r="F3014" s="55">
        <v>100</v>
      </c>
      <c r="G3014" s="63">
        <v>2.2100000000000002E-2</v>
      </c>
    </row>
    <row r="3015" spans="1:7" x14ac:dyDescent="0.2">
      <c r="A3015" t="s">
        <v>71</v>
      </c>
      <c r="B3015" t="s">
        <v>195</v>
      </c>
      <c r="C3015" t="s">
        <v>196</v>
      </c>
      <c r="D3015" t="s">
        <v>74</v>
      </c>
      <c r="E3015" t="s">
        <v>84</v>
      </c>
      <c r="F3015" s="55">
        <v>107</v>
      </c>
      <c r="G3015" s="63">
        <v>6.2399999999999997E-2</v>
      </c>
    </row>
    <row r="3016" spans="1:7" x14ac:dyDescent="0.2">
      <c r="A3016" t="s">
        <v>71</v>
      </c>
      <c r="B3016" t="s">
        <v>195</v>
      </c>
      <c r="C3016" t="s">
        <v>196</v>
      </c>
      <c r="D3016" t="s">
        <v>74</v>
      </c>
      <c r="E3016" t="s">
        <v>85</v>
      </c>
      <c r="F3016" s="55">
        <v>107</v>
      </c>
      <c r="G3016" s="63">
        <v>7.0699999999999999E-2</v>
      </c>
    </row>
    <row r="3017" spans="1:7" x14ac:dyDescent="0.2">
      <c r="A3017" t="s">
        <v>71</v>
      </c>
      <c r="B3017" t="s">
        <v>195</v>
      </c>
      <c r="C3017" t="s">
        <v>196</v>
      </c>
      <c r="D3017" t="s">
        <v>74</v>
      </c>
      <c r="E3017" t="s">
        <v>86</v>
      </c>
      <c r="F3017" s="55">
        <v>107</v>
      </c>
      <c r="G3017" s="63">
        <v>7.6600000000000001E-2</v>
      </c>
    </row>
    <row r="3018" spans="1:7" x14ac:dyDescent="0.2">
      <c r="A3018" t="s">
        <v>71</v>
      </c>
      <c r="B3018" t="s">
        <v>195</v>
      </c>
      <c r="C3018" t="s">
        <v>196</v>
      </c>
      <c r="D3018" t="s">
        <v>74</v>
      </c>
      <c r="E3018" t="s">
        <v>87</v>
      </c>
      <c r="F3018" s="55">
        <v>107</v>
      </c>
      <c r="G3018" s="63">
        <v>8.3500000000000005E-2</v>
      </c>
    </row>
    <row r="3019" spans="1:7" x14ac:dyDescent="0.2">
      <c r="A3019" t="s">
        <v>71</v>
      </c>
      <c r="B3019" t="s">
        <v>195</v>
      </c>
      <c r="C3019" t="s">
        <v>196</v>
      </c>
      <c r="D3019" t="s">
        <v>74</v>
      </c>
      <c r="E3019" t="s">
        <v>88</v>
      </c>
      <c r="F3019" s="55">
        <v>102</v>
      </c>
      <c r="G3019" s="63">
        <v>3.4000000000000002E-2</v>
      </c>
    </row>
    <row r="3020" spans="1:7" x14ac:dyDescent="0.2">
      <c r="A3020" t="s">
        <v>71</v>
      </c>
      <c r="B3020" t="s">
        <v>72</v>
      </c>
      <c r="C3020" t="s">
        <v>197</v>
      </c>
      <c r="D3020" t="s">
        <v>74</v>
      </c>
      <c r="E3020" t="s">
        <v>75</v>
      </c>
      <c r="F3020" s="55">
        <v>96</v>
      </c>
      <c r="G3020" s="63">
        <v>0.27989999999999998</v>
      </c>
    </row>
    <row r="3021" spans="1:7" x14ac:dyDescent="0.2">
      <c r="A3021" t="s">
        <v>71</v>
      </c>
      <c r="B3021" t="s">
        <v>72</v>
      </c>
      <c r="C3021" t="s">
        <v>197</v>
      </c>
      <c r="D3021" t="s">
        <v>74</v>
      </c>
      <c r="E3021" t="s">
        <v>76</v>
      </c>
      <c r="F3021" s="55">
        <v>135</v>
      </c>
      <c r="G3021" s="63">
        <v>3.2500000000000001E-2</v>
      </c>
    </row>
    <row r="3022" spans="1:7" x14ac:dyDescent="0.2">
      <c r="A3022" t="s">
        <v>71</v>
      </c>
      <c r="B3022" t="s">
        <v>72</v>
      </c>
      <c r="C3022" t="s">
        <v>197</v>
      </c>
      <c r="D3022" t="s">
        <v>74</v>
      </c>
      <c r="E3022" t="s">
        <v>77</v>
      </c>
      <c r="F3022" s="55">
        <v>103</v>
      </c>
      <c r="G3022" s="63">
        <v>0.10829999999999999</v>
      </c>
    </row>
    <row r="3023" spans="1:7" x14ac:dyDescent="0.2">
      <c r="A3023" t="s">
        <v>71</v>
      </c>
      <c r="B3023" t="s">
        <v>72</v>
      </c>
      <c r="C3023" t="s">
        <v>197</v>
      </c>
      <c r="D3023" t="s">
        <v>74</v>
      </c>
      <c r="E3023" t="s">
        <v>78</v>
      </c>
      <c r="F3023" s="55">
        <v>90</v>
      </c>
      <c r="G3023" s="63">
        <v>8.3199999999999996E-2</v>
      </c>
    </row>
    <row r="3024" spans="1:7" x14ac:dyDescent="0.2">
      <c r="A3024" t="s">
        <v>71</v>
      </c>
      <c r="B3024" t="s">
        <v>72</v>
      </c>
      <c r="C3024" t="s">
        <v>197</v>
      </c>
      <c r="D3024" t="s">
        <v>74</v>
      </c>
      <c r="E3024" t="s">
        <v>79</v>
      </c>
      <c r="F3024" s="55">
        <v>91</v>
      </c>
      <c r="G3024" s="63">
        <v>0.19470000000000001</v>
      </c>
    </row>
    <row r="3025" spans="1:7" x14ac:dyDescent="0.2">
      <c r="A3025" t="s">
        <v>71</v>
      </c>
      <c r="B3025" t="s">
        <v>72</v>
      </c>
      <c r="C3025" t="s">
        <v>197</v>
      </c>
      <c r="D3025" t="s">
        <v>74</v>
      </c>
      <c r="E3025" t="s">
        <v>80</v>
      </c>
      <c r="F3025" s="55">
        <v>90</v>
      </c>
      <c r="G3025" s="63">
        <v>8.5500000000000007E-2</v>
      </c>
    </row>
    <row r="3026" spans="1:7" x14ac:dyDescent="0.2">
      <c r="A3026" t="s">
        <v>71</v>
      </c>
      <c r="B3026" t="s">
        <v>72</v>
      </c>
      <c r="C3026" t="s">
        <v>197</v>
      </c>
      <c r="D3026" t="s">
        <v>74</v>
      </c>
      <c r="E3026" t="s">
        <v>81</v>
      </c>
      <c r="F3026" s="55">
        <v>89</v>
      </c>
      <c r="G3026" s="63">
        <v>7.3400000000000007E-2</v>
      </c>
    </row>
    <row r="3027" spans="1:7" x14ac:dyDescent="0.2">
      <c r="A3027" t="s">
        <v>71</v>
      </c>
      <c r="B3027" t="s">
        <v>72</v>
      </c>
      <c r="C3027" t="s">
        <v>197</v>
      </c>
      <c r="D3027" t="s">
        <v>74</v>
      </c>
      <c r="E3027" t="s">
        <v>82</v>
      </c>
      <c r="F3027" s="55">
        <v>101</v>
      </c>
      <c r="G3027" s="63">
        <v>0.14380000000000001</v>
      </c>
    </row>
    <row r="3028" spans="1:7" x14ac:dyDescent="0.2">
      <c r="A3028" t="s">
        <v>71</v>
      </c>
      <c r="B3028" t="s">
        <v>72</v>
      </c>
      <c r="C3028" t="s">
        <v>197</v>
      </c>
      <c r="D3028" t="s">
        <v>74</v>
      </c>
      <c r="E3028" t="s">
        <v>83</v>
      </c>
      <c r="F3028" s="55">
        <v>78</v>
      </c>
      <c r="G3028" s="63">
        <v>2.4E-2</v>
      </c>
    </row>
    <row r="3029" spans="1:7" x14ac:dyDescent="0.2">
      <c r="A3029" t="s">
        <v>71</v>
      </c>
      <c r="B3029" t="s">
        <v>72</v>
      </c>
      <c r="C3029" t="s">
        <v>197</v>
      </c>
      <c r="D3029" t="s">
        <v>74</v>
      </c>
      <c r="E3029" t="s">
        <v>84</v>
      </c>
      <c r="F3029" s="55">
        <v>92</v>
      </c>
      <c r="G3029" s="63">
        <v>6.7900000000000002E-2</v>
      </c>
    </row>
    <row r="3030" spans="1:7" x14ac:dyDescent="0.2">
      <c r="A3030" t="s">
        <v>71</v>
      </c>
      <c r="B3030" t="s">
        <v>72</v>
      </c>
      <c r="C3030" t="s">
        <v>197</v>
      </c>
      <c r="D3030" t="s">
        <v>74</v>
      </c>
      <c r="E3030" t="s">
        <v>85</v>
      </c>
      <c r="F3030" s="55">
        <v>92</v>
      </c>
      <c r="G3030" s="63">
        <v>8.8200000000000001E-2</v>
      </c>
    </row>
    <row r="3031" spans="1:7" x14ac:dyDescent="0.2">
      <c r="A3031" t="s">
        <v>71</v>
      </c>
      <c r="B3031" t="s">
        <v>72</v>
      </c>
      <c r="C3031" t="s">
        <v>197</v>
      </c>
      <c r="D3031" t="s">
        <v>74</v>
      </c>
      <c r="E3031" t="s">
        <v>86</v>
      </c>
      <c r="F3031" s="55">
        <v>92</v>
      </c>
      <c r="G3031" s="63">
        <v>0.1079</v>
      </c>
    </row>
    <row r="3032" spans="1:7" x14ac:dyDescent="0.2">
      <c r="A3032" t="s">
        <v>71</v>
      </c>
      <c r="B3032" t="s">
        <v>72</v>
      </c>
      <c r="C3032" t="s">
        <v>197</v>
      </c>
      <c r="D3032" t="s">
        <v>74</v>
      </c>
      <c r="E3032" t="s">
        <v>87</v>
      </c>
      <c r="F3032" s="55">
        <v>92</v>
      </c>
      <c r="G3032" s="63">
        <v>0.11310000000000001</v>
      </c>
    </row>
    <row r="3033" spans="1:7" x14ac:dyDescent="0.2">
      <c r="A3033" t="s">
        <v>71</v>
      </c>
      <c r="B3033" t="s">
        <v>72</v>
      </c>
      <c r="C3033" t="s">
        <v>197</v>
      </c>
      <c r="D3033" t="s">
        <v>74</v>
      </c>
      <c r="E3033" t="s">
        <v>88</v>
      </c>
      <c r="F3033" s="55">
        <v>121</v>
      </c>
      <c r="G3033" s="63">
        <v>5.1999999999999998E-2</v>
      </c>
    </row>
    <row r="3034" spans="1:7" x14ac:dyDescent="0.2">
      <c r="A3034" t="s">
        <v>89</v>
      </c>
      <c r="B3034" t="s">
        <v>90</v>
      </c>
      <c r="C3034" t="s">
        <v>197</v>
      </c>
      <c r="D3034" t="s">
        <v>91</v>
      </c>
      <c r="E3034" t="s">
        <v>75</v>
      </c>
      <c r="F3034" s="55">
        <v>110</v>
      </c>
      <c r="G3034" s="63">
        <v>0.7782</v>
      </c>
    </row>
    <row r="3035" spans="1:7" x14ac:dyDescent="0.2">
      <c r="A3035" t="s">
        <v>89</v>
      </c>
      <c r="B3035" t="s">
        <v>90</v>
      </c>
      <c r="C3035" t="s">
        <v>197</v>
      </c>
      <c r="D3035" t="s">
        <v>91</v>
      </c>
      <c r="E3035" t="s">
        <v>76</v>
      </c>
      <c r="F3035" s="55">
        <v>101</v>
      </c>
      <c r="G3035" s="63">
        <v>0.22220000000000001</v>
      </c>
    </row>
    <row r="3036" spans="1:7" x14ac:dyDescent="0.2">
      <c r="A3036" t="s">
        <v>89</v>
      </c>
      <c r="B3036" t="s">
        <v>90</v>
      </c>
      <c r="C3036" t="s">
        <v>197</v>
      </c>
      <c r="D3036" t="s">
        <v>91</v>
      </c>
      <c r="E3036" t="s">
        <v>77</v>
      </c>
      <c r="F3036" s="55">
        <v>108</v>
      </c>
      <c r="G3036" s="63">
        <v>0.40339999999999998</v>
      </c>
    </row>
    <row r="3037" spans="1:7" x14ac:dyDescent="0.2">
      <c r="A3037" t="s">
        <v>89</v>
      </c>
      <c r="B3037" t="s">
        <v>90</v>
      </c>
      <c r="C3037" t="s">
        <v>197</v>
      </c>
      <c r="D3037" t="s">
        <v>91</v>
      </c>
      <c r="E3037" t="s">
        <v>78</v>
      </c>
      <c r="F3037" s="55">
        <v>117</v>
      </c>
      <c r="G3037" s="63">
        <v>0.40620000000000001</v>
      </c>
    </row>
    <row r="3038" spans="1:7" x14ac:dyDescent="0.2">
      <c r="A3038" t="s">
        <v>89</v>
      </c>
      <c r="B3038" t="s">
        <v>90</v>
      </c>
      <c r="C3038" t="s">
        <v>197</v>
      </c>
      <c r="D3038" t="s">
        <v>91</v>
      </c>
      <c r="E3038" t="s">
        <v>79</v>
      </c>
      <c r="F3038" s="55">
        <v>113</v>
      </c>
      <c r="G3038" s="63">
        <v>0.6946</v>
      </c>
    </row>
    <row r="3039" spans="1:7" x14ac:dyDescent="0.2">
      <c r="A3039" t="s">
        <v>89</v>
      </c>
      <c r="B3039" t="s">
        <v>90</v>
      </c>
      <c r="C3039" t="s">
        <v>197</v>
      </c>
      <c r="D3039" t="s">
        <v>91</v>
      </c>
      <c r="E3039" t="s">
        <v>80</v>
      </c>
      <c r="F3039" s="55">
        <v>111</v>
      </c>
      <c r="G3039" s="63">
        <v>0.34210000000000002</v>
      </c>
    </row>
    <row r="3040" spans="1:7" x14ac:dyDescent="0.2">
      <c r="A3040" t="s">
        <v>89</v>
      </c>
      <c r="B3040" t="s">
        <v>90</v>
      </c>
      <c r="C3040" t="s">
        <v>197</v>
      </c>
      <c r="D3040" t="s">
        <v>91</v>
      </c>
      <c r="E3040" t="s">
        <v>81</v>
      </c>
      <c r="F3040" s="55">
        <v>104</v>
      </c>
      <c r="G3040" s="63">
        <v>0.30320000000000003</v>
      </c>
    </row>
    <row r="3041" spans="1:7" x14ac:dyDescent="0.2">
      <c r="A3041" t="s">
        <v>89</v>
      </c>
      <c r="B3041" t="s">
        <v>90</v>
      </c>
      <c r="C3041" t="s">
        <v>197</v>
      </c>
      <c r="D3041" t="s">
        <v>91</v>
      </c>
      <c r="E3041" t="s">
        <v>82</v>
      </c>
      <c r="F3041" s="55">
        <v>106</v>
      </c>
      <c r="G3041" s="63">
        <v>0.57899999999999996</v>
      </c>
    </row>
    <row r="3042" spans="1:7" x14ac:dyDescent="0.2">
      <c r="A3042" t="s">
        <v>89</v>
      </c>
      <c r="B3042" t="s">
        <v>90</v>
      </c>
      <c r="C3042" t="s">
        <v>197</v>
      </c>
      <c r="D3042" t="s">
        <v>91</v>
      </c>
      <c r="E3042" t="s">
        <v>83</v>
      </c>
      <c r="F3042" s="55">
        <v>99</v>
      </c>
      <c r="G3042" s="63">
        <v>0.15390000000000001</v>
      </c>
    </row>
    <row r="3043" spans="1:7" x14ac:dyDescent="0.2">
      <c r="A3043" t="s">
        <v>89</v>
      </c>
      <c r="B3043" t="s">
        <v>90</v>
      </c>
      <c r="C3043" t="s">
        <v>197</v>
      </c>
      <c r="D3043" t="s">
        <v>91</v>
      </c>
      <c r="E3043" t="s">
        <v>84</v>
      </c>
      <c r="F3043" s="55">
        <v>112</v>
      </c>
      <c r="G3043" s="63">
        <v>0.31850000000000001</v>
      </c>
    </row>
    <row r="3044" spans="1:7" x14ac:dyDescent="0.2">
      <c r="A3044" t="s">
        <v>89</v>
      </c>
      <c r="B3044" t="s">
        <v>90</v>
      </c>
      <c r="C3044" t="s">
        <v>197</v>
      </c>
      <c r="D3044" t="s">
        <v>91</v>
      </c>
      <c r="E3044" t="s">
        <v>85</v>
      </c>
      <c r="F3044" s="55">
        <v>117</v>
      </c>
      <c r="G3044" s="63">
        <v>0.47220000000000001</v>
      </c>
    </row>
    <row r="3045" spans="1:7" x14ac:dyDescent="0.2">
      <c r="A3045" t="s">
        <v>89</v>
      </c>
      <c r="B3045" t="s">
        <v>90</v>
      </c>
      <c r="C3045" t="s">
        <v>197</v>
      </c>
      <c r="D3045" t="s">
        <v>91</v>
      </c>
      <c r="E3045" t="s">
        <v>86</v>
      </c>
      <c r="F3045" s="55">
        <v>105</v>
      </c>
      <c r="G3045" s="63">
        <v>0.49120000000000003</v>
      </c>
    </row>
    <row r="3046" spans="1:7" x14ac:dyDescent="0.2">
      <c r="A3046" t="s">
        <v>89</v>
      </c>
      <c r="B3046" t="s">
        <v>90</v>
      </c>
      <c r="C3046" t="s">
        <v>197</v>
      </c>
      <c r="D3046" t="s">
        <v>91</v>
      </c>
      <c r="E3046" t="s">
        <v>87</v>
      </c>
      <c r="F3046" s="55">
        <v>106</v>
      </c>
      <c r="G3046" s="63">
        <v>0.51280000000000003</v>
      </c>
    </row>
    <row r="3047" spans="1:7" x14ac:dyDescent="0.2">
      <c r="A3047" t="s">
        <v>89</v>
      </c>
      <c r="B3047" t="s">
        <v>90</v>
      </c>
      <c r="C3047" t="s">
        <v>197</v>
      </c>
      <c r="D3047" t="s">
        <v>91</v>
      </c>
      <c r="E3047" t="s">
        <v>88</v>
      </c>
      <c r="F3047" s="55">
        <v>102</v>
      </c>
      <c r="G3047" s="63">
        <v>0.30259999999999998</v>
      </c>
    </row>
    <row r="3048" spans="1:7" x14ac:dyDescent="0.2">
      <c r="A3048" t="s">
        <v>89</v>
      </c>
      <c r="B3048" t="s">
        <v>92</v>
      </c>
      <c r="C3048" t="s">
        <v>197</v>
      </c>
      <c r="D3048" t="s">
        <v>74</v>
      </c>
      <c r="E3048" t="s">
        <v>75</v>
      </c>
      <c r="F3048" s="55">
        <v>127</v>
      </c>
      <c r="G3048" s="63">
        <v>8.3999999999999995E-3</v>
      </c>
    </row>
    <row r="3049" spans="1:7" x14ac:dyDescent="0.2">
      <c r="A3049" t="s">
        <v>89</v>
      </c>
      <c r="B3049" t="s">
        <v>92</v>
      </c>
      <c r="C3049" t="s">
        <v>197</v>
      </c>
      <c r="D3049" t="s">
        <v>74</v>
      </c>
      <c r="E3049" t="s">
        <v>79</v>
      </c>
      <c r="F3049" s="55">
        <v>119</v>
      </c>
      <c r="G3049" s="63">
        <v>5.1000000000000004E-3</v>
      </c>
    </row>
    <row r="3050" spans="1:7" x14ac:dyDescent="0.2">
      <c r="A3050" t="s">
        <v>89</v>
      </c>
      <c r="B3050" t="s">
        <v>92</v>
      </c>
      <c r="C3050" t="s">
        <v>197</v>
      </c>
      <c r="D3050" t="s">
        <v>74</v>
      </c>
      <c r="E3050" t="s">
        <v>82</v>
      </c>
      <c r="F3050" s="55">
        <v>181</v>
      </c>
      <c r="G3050" s="63">
        <v>4.1000000000000003E-3</v>
      </c>
    </row>
    <row r="3051" spans="1:7" x14ac:dyDescent="0.2">
      <c r="A3051" t="s">
        <v>89</v>
      </c>
      <c r="B3051" t="s">
        <v>93</v>
      </c>
      <c r="C3051" t="s">
        <v>197</v>
      </c>
      <c r="D3051" t="s">
        <v>74</v>
      </c>
      <c r="E3051" t="s">
        <v>75</v>
      </c>
      <c r="F3051" s="55">
        <v>104</v>
      </c>
      <c r="G3051" s="63">
        <v>0.11899999999999999</v>
      </c>
    </row>
    <row r="3052" spans="1:7" x14ac:dyDescent="0.2">
      <c r="A3052" t="s">
        <v>89</v>
      </c>
      <c r="B3052" t="s">
        <v>93</v>
      </c>
      <c r="C3052" t="s">
        <v>197</v>
      </c>
      <c r="D3052" t="s">
        <v>74</v>
      </c>
      <c r="E3052" t="s">
        <v>76</v>
      </c>
      <c r="F3052" s="55">
        <v>108</v>
      </c>
      <c r="G3052" s="63">
        <v>1.3599999999999999E-2</v>
      </c>
    </row>
    <row r="3053" spans="1:7" x14ac:dyDescent="0.2">
      <c r="A3053" t="s">
        <v>89</v>
      </c>
      <c r="B3053" t="s">
        <v>93</v>
      </c>
      <c r="C3053" t="s">
        <v>197</v>
      </c>
      <c r="D3053" t="s">
        <v>74</v>
      </c>
      <c r="E3053" t="s">
        <v>77</v>
      </c>
      <c r="F3053" s="55">
        <v>109</v>
      </c>
      <c r="G3053" s="63">
        <v>4.2900000000000001E-2</v>
      </c>
    </row>
    <row r="3054" spans="1:7" x14ac:dyDescent="0.2">
      <c r="A3054" t="s">
        <v>89</v>
      </c>
      <c r="B3054" t="s">
        <v>93</v>
      </c>
      <c r="C3054" t="s">
        <v>197</v>
      </c>
      <c r="D3054" t="s">
        <v>74</v>
      </c>
      <c r="E3054" t="s">
        <v>78</v>
      </c>
      <c r="F3054" s="55">
        <v>105</v>
      </c>
      <c r="G3054" s="63">
        <v>3.1399999999999997E-2</v>
      </c>
    </row>
    <row r="3055" spans="1:7" x14ac:dyDescent="0.2">
      <c r="A3055" t="s">
        <v>89</v>
      </c>
      <c r="B3055" t="s">
        <v>93</v>
      </c>
      <c r="C3055" t="s">
        <v>197</v>
      </c>
      <c r="D3055" t="s">
        <v>74</v>
      </c>
      <c r="E3055" t="s">
        <v>79</v>
      </c>
      <c r="F3055" s="55">
        <v>105</v>
      </c>
      <c r="G3055" s="63">
        <v>7.22E-2</v>
      </c>
    </row>
    <row r="3056" spans="1:7" x14ac:dyDescent="0.2">
      <c r="A3056" t="s">
        <v>89</v>
      </c>
      <c r="B3056" t="s">
        <v>93</v>
      </c>
      <c r="C3056" t="s">
        <v>197</v>
      </c>
      <c r="D3056" t="s">
        <v>74</v>
      </c>
      <c r="E3056" t="s">
        <v>80</v>
      </c>
      <c r="F3056" s="55">
        <v>92</v>
      </c>
      <c r="G3056" s="63">
        <v>2.7199999999999998E-2</v>
      </c>
    </row>
    <row r="3057" spans="1:7" x14ac:dyDescent="0.2">
      <c r="A3057" t="s">
        <v>89</v>
      </c>
      <c r="B3057" t="s">
        <v>93</v>
      </c>
      <c r="C3057" t="s">
        <v>197</v>
      </c>
      <c r="D3057" t="s">
        <v>74</v>
      </c>
      <c r="E3057" t="s">
        <v>81</v>
      </c>
      <c r="F3057" s="55">
        <v>94</v>
      </c>
      <c r="G3057" s="63">
        <v>2.9100000000000001E-2</v>
      </c>
    </row>
    <row r="3058" spans="1:7" x14ac:dyDescent="0.2">
      <c r="A3058" t="s">
        <v>89</v>
      </c>
      <c r="B3058" t="s">
        <v>93</v>
      </c>
      <c r="C3058" t="s">
        <v>197</v>
      </c>
      <c r="D3058" t="s">
        <v>74</v>
      </c>
      <c r="E3058" t="s">
        <v>82</v>
      </c>
      <c r="F3058" s="55">
        <v>109</v>
      </c>
      <c r="G3058" s="63">
        <v>5.6300000000000003E-2</v>
      </c>
    </row>
    <row r="3059" spans="1:7" x14ac:dyDescent="0.2">
      <c r="A3059" t="s">
        <v>89</v>
      </c>
      <c r="B3059" t="s">
        <v>93</v>
      </c>
      <c r="C3059" t="s">
        <v>197</v>
      </c>
      <c r="D3059" t="s">
        <v>74</v>
      </c>
      <c r="E3059" t="s">
        <v>83</v>
      </c>
      <c r="F3059" s="55">
        <v>102</v>
      </c>
      <c r="G3059" s="63">
        <v>1.29E-2</v>
      </c>
    </row>
    <row r="3060" spans="1:7" x14ac:dyDescent="0.2">
      <c r="A3060" t="s">
        <v>89</v>
      </c>
      <c r="B3060" t="s">
        <v>93</v>
      </c>
      <c r="C3060" t="s">
        <v>197</v>
      </c>
      <c r="D3060" t="s">
        <v>74</v>
      </c>
      <c r="E3060" t="s">
        <v>84</v>
      </c>
      <c r="F3060" s="55">
        <v>109</v>
      </c>
      <c r="G3060" s="63">
        <v>2.5999999999999999E-2</v>
      </c>
    </row>
    <row r="3061" spans="1:7" x14ac:dyDescent="0.2">
      <c r="A3061" t="s">
        <v>89</v>
      </c>
      <c r="B3061" t="s">
        <v>93</v>
      </c>
      <c r="C3061" t="s">
        <v>197</v>
      </c>
      <c r="D3061" t="s">
        <v>74</v>
      </c>
      <c r="E3061" t="s">
        <v>85</v>
      </c>
      <c r="F3061" s="55">
        <v>97</v>
      </c>
      <c r="G3061" s="63">
        <v>2.6700000000000002E-2</v>
      </c>
    </row>
    <row r="3062" spans="1:7" x14ac:dyDescent="0.2">
      <c r="A3062" t="s">
        <v>89</v>
      </c>
      <c r="B3062" t="s">
        <v>93</v>
      </c>
      <c r="C3062" t="s">
        <v>197</v>
      </c>
      <c r="D3062" t="s">
        <v>74</v>
      </c>
      <c r="E3062" t="s">
        <v>86</v>
      </c>
      <c r="F3062" s="55">
        <v>99</v>
      </c>
      <c r="G3062" s="63">
        <v>3.3500000000000002E-2</v>
      </c>
    </row>
    <row r="3063" spans="1:7" x14ac:dyDescent="0.2">
      <c r="A3063" t="s">
        <v>89</v>
      </c>
      <c r="B3063" t="s">
        <v>93</v>
      </c>
      <c r="C3063" t="s">
        <v>197</v>
      </c>
      <c r="D3063" t="s">
        <v>74</v>
      </c>
      <c r="E3063" t="s">
        <v>87</v>
      </c>
      <c r="F3063" s="55">
        <v>111</v>
      </c>
      <c r="G3063" s="63">
        <v>3.6999999999999998E-2</v>
      </c>
    </row>
    <row r="3064" spans="1:7" x14ac:dyDescent="0.2">
      <c r="A3064" t="s">
        <v>89</v>
      </c>
      <c r="B3064" t="s">
        <v>93</v>
      </c>
      <c r="C3064" t="s">
        <v>197</v>
      </c>
      <c r="D3064" t="s">
        <v>74</v>
      </c>
      <c r="E3064" t="s">
        <v>88</v>
      </c>
      <c r="F3064" s="55">
        <v>103</v>
      </c>
      <c r="G3064" s="63">
        <v>2.3400000000000001E-2</v>
      </c>
    </row>
    <row r="3065" spans="1:7" x14ac:dyDescent="0.2">
      <c r="A3065" t="s">
        <v>71</v>
      </c>
      <c r="B3065" t="s">
        <v>4</v>
      </c>
      <c r="C3065" t="s">
        <v>197</v>
      </c>
      <c r="D3065" t="s">
        <v>74</v>
      </c>
      <c r="E3065" t="s">
        <v>75</v>
      </c>
      <c r="F3065" s="55">
        <v>90</v>
      </c>
      <c r="G3065" s="63">
        <v>0.37980000000000003</v>
      </c>
    </row>
    <row r="3066" spans="1:7" x14ac:dyDescent="0.2">
      <c r="A3066" t="s">
        <v>71</v>
      </c>
      <c r="B3066" t="s">
        <v>4</v>
      </c>
      <c r="C3066" t="s">
        <v>197</v>
      </c>
      <c r="D3066" t="s">
        <v>74</v>
      </c>
      <c r="E3066" t="s">
        <v>76</v>
      </c>
      <c r="F3066" s="55">
        <v>84</v>
      </c>
      <c r="G3066" s="63">
        <v>2.86E-2</v>
      </c>
    </row>
    <row r="3067" spans="1:7" x14ac:dyDescent="0.2">
      <c r="A3067" t="s">
        <v>71</v>
      </c>
      <c r="B3067" t="s">
        <v>4</v>
      </c>
      <c r="C3067" t="s">
        <v>197</v>
      </c>
      <c r="D3067" t="s">
        <v>74</v>
      </c>
      <c r="E3067" t="s">
        <v>77</v>
      </c>
      <c r="F3067" s="55">
        <v>98</v>
      </c>
      <c r="G3067" s="63">
        <v>0.15240000000000001</v>
      </c>
    </row>
    <row r="3068" spans="1:7" x14ac:dyDescent="0.2">
      <c r="A3068" t="s">
        <v>71</v>
      </c>
      <c r="B3068" t="s">
        <v>4</v>
      </c>
      <c r="C3068" t="s">
        <v>197</v>
      </c>
      <c r="D3068" t="s">
        <v>74</v>
      </c>
      <c r="E3068" t="s">
        <v>78</v>
      </c>
      <c r="F3068" s="55">
        <v>93</v>
      </c>
      <c r="G3068" s="63">
        <v>0.1336</v>
      </c>
    </row>
    <row r="3069" spans="1:7" x14ac:dyDescent="0.2">
      <c r="A3069" t="s">
        <v>71</v>
      </c>
      <c r="B3069" t="s">
        <v>4</v>
      </c>
      <c r="C3069" t="s">
        <v>197</v>
      </c>
      <c r="D3069" t="s">
        <v>74</v>
      </c>
      <c r="E3069" t="s">
        <v>79</v>
      </c>
      <c r="F3069" s="55">
        <v>88</v>
      </c>
      <c r="G3069" s="63">
        <v>0.27239999999999998</v>
      </c>
    </row>
    <row r="3070" spans="1:7" x14ac:dyDescent="0.2">
      <c r="A3070" t="s">
        <v>71</v>
      </c>
      <c r="B3070" t="s">
        <v>4</v>
      </c>
      <c r="C3070" t="s">
        <v>197</v>
      </c>
      <c r="D3070" t="s">
        <v>74</v>
      </c>
      <c r="E3070" t="s">
        <v>80</v>
      </c>
      <c r="F3070" s="55">
        <v>86</v>
      </c>
      <c r="G3070" s="63">
        <v>0.11799999999999999</v>
      </c>
    </row>
    <row r="3071" spans="1:7" x14ac:dyDescent="0.2">
      <c r="A3071" t="s">
        <v>71</v>
      </c>
      <c r="B3071" t="s">
        <v>4</v>
      </c>
      <c r="C3071" t="s">
        <v>197</v>
      </c>
      <c r="D3071" t="s">
        <v>74</v>
      </c>
      <c r="E3071" t="s">
        <v>81</v>
      </c>
      <c r="F3071" s="55">
        <v>87</v>
      </c>
      <c r="G3071" s="63">
        <v>0.11310000000000001</v>
      </c>
    </row>
    <row r="3072" spans="1:7" x14ac:dyDescent="0.2">
      <c r="A3072" t="s">
        <v>71</v>
      </c>
      <c r="B3072" t="s">
        <v>4</v>
      </c>
      <c r="C3072" t="s">
        <v>197</v>
      </c>
      <c r="D3072" t="s">
        <v>74</v>
      </c>
      <c r="E3072" t="s">
        <v>82</v>
      </c>
      <c r="F3072" s="55">
        <v>88</v>
      </c>
      <c r="G3072" s="63">
        <v>0.20250000000000001</v>
      </c>
    </row>
    <row r="3073" spans="1:7" x14ac:dyDescent="0.2">
      <c r="A3073" t="s">
        <v>71</v>
      </c>
      <c r="B3073" t="s">
        <v>4</v>
      </c>
      <c r="C3073" t="s">
        <v>197</v>
      </c>
      <c r="D3073" t="s">
        <v>74</v>
      </c>
      <c r="E3073" t="s">
        <v>83</v>
      </c>
      <c r="F3073" s="55">
        <v>82</v>
      </c>
      <c r="G3073" s="63">
        <v>3.5700000000000003E-2</v>
      </c>
    </row>
    <row r="3074" spans="1:7" x14ac:dyDescent="0.2">
      <c r="A3074" t="s">
        <v>71</v>
      </c>
      <c r="B3074" t="s">
        <v>4</v>
      </c>
      <c r="C3074" t="s">
        <v>197</v>
      </c>
      <c r="D3074" t="s">
        <v>74</v>
      </c>
      <c r="E3074" t="s">
        <v>84</v>
      </c>
      <c r="F3074" s="55">
        <v>96</v>
      </c>
      <c r="G3074" s="63">
        <v>0.10829999999999999</v>
      </c>
    </row>
    <row r="3075" spans="1:7" x14ac:dyDescent="0.2">
      <c r="A3075" t="s">
        <v>71</v>
      </c>
      <c r="B3075" t="s">
        <v>4</v>
      </c>
      <c r="C3075" t="s">
        <v>197</v>
      </c>
      <c r="D3075" t="s">
        <v>74</v>
      </c>
      <c r="E3075" t="s">
        <v>85</v>
      </c>
      <c r="F3075" s="55">
        <v>88</v>
      </c>
      <c r="G3075" s="63">
        <v>0.12230000000000001</v>
      </c>
    </row>
    <row r="3076" spans="1:7" x14ac:dyDescent="0.2">
      <c r="A3076" t="s">
        <v>71</v>
      </c>
      <c r="B3076" t="s">
        <v>4</v>
      </c>
      <c r="C3076" t="s">
        <v>197</v>
      </c>
      <c r="D3076" t="s">
        <v>74</v>
      </c>
      <c r="E3076" t="s">
        <v>86</v>
      </c>
      <c r="F3076" s="55">
        <v>88</v>
      </c>
      <c r="G3076" s="63">
        <v>0.1472</v>
      </c>
    </row>
    <row r="3077" spans="1:7" x14ac:dyDescent="0.2">
      <c r="A3077" t="s">
        <v>71</v>
      </c>
      <c r="B3077" t="s">
        <v>4</v>
      </c>
      <c r="C3077" t="s">
        <v>197</v>
      </c>
      <c r="D3077" t="s">
        <v>74</v>
      </c>
      <c r="E3077" t="s">
        <v>87</v>
      </c>
      <c r="F3077" s="55">
        <v>90</v>
      </c>
      <c r="G3077" s="63">
        <v>0.17169999999999999</v>
      </c>
    </row>
    <row r="3078" spans="1:7" x14ac:dyDescent="0.2">
      <c r="A3078" t="s">
        <v>71</v>
      </c>
      <c r="B3078" t="s">
        <v>4</v>
      </c>
      <c r="C3078" t="s">
        <v>197</v>
      </c>
      <c r="D3078" t="s">
        <v>74</v>
      </c>
      <c r="E3078" t="s">
        <v>88</v>
      </c>
      <c r="F3078" s="55">
        <v>89</v>
      </c>
      <c r="G3078" s="63">
        <v>7.3200000000000001E-2</v>
      </c>
    </row>
    <row r="3079" spans="1:7" x14ac:dyDescent="0.2">
      <c r="A3079" t="s">
        <v>71</v>
      </c>
      <c r="B3079" t="s">
        <v>94</v>
      </c>
      <c r="C3079" t="s">
        <v>197</v>
      </c>
      <c r="D3079" t="s">
        <v>74</v>
      </c>
      <c r="E3079" t="s">
        <v>75</v>
      </c>
      <c r="F3079" s="55">
        <v>116</v>
      </c>
      <c r="G3079" s="63">
        <v>0.27450000000000002</v>
      </c>
    </row>
    <row r="3080" spans="1:7" x14ac:dyDescent="0.2">
      <c r="A3080" t="s">
        <v>71</v>
      </c>
      <c r="B3080" t="s">
        <v>94</v>
      </c>
      <c r="C3080" t="s">
        <v>197</v>
      </c>
      <c r="D3080" t="s">
        <v>74</v>
      </c>
      <c r="E3080" t="s">
        <v>76</v>
      </c>
      <c r="F3080" s="55">
        <v>106</v>
      </c>
      <c r="G3080" s="63">
        <v>2.87E-2</v>
      </c>
    </row>
    <row r="3081" spans="1:7" x14ac:dyDescent="0.2">
      <c r="A3081" t="s">
        <v>71</v>
      </c>
      <c r="B3081" t="s">
        <v>94</v>
      </c>
      <c r="C3081" t="s">
        <v>197</v>
      </c>
      <c r="D3081" t="s">
        <v>74</v>
      </c>
      <c r="E3081" t="s">
        <v>77</v>
      </c>
      <c r="F3081" s="55">
        <v>117</v>
      </c>
      <c r="G3081" s="63">
        <v>8.1799999999999998E-2</v>
      </c>
    </row>
    <row r="3082" spans="1:7" x14ac:dyDescent="0.2">
      <c r="A3082" t="s">
        <v>71</v>
      </c>
      <c r="B3082" t="s">
        <v>94</v>
      </c>
      <c r="C3082" t="s">
        <v>197</v>
      </c>
      <c r="D3082" t="s">
        <v>74</v>
      </c>
      <c r="E3082" t="s">
        <v>78</v>
      </c>
      <c r="F3082" s="55">
        <v>114</v>
      </c>
      <c r="G3082" s="63">
        <v>6.8199999999999997E-2</v>
      </c>
    </row>
    <row r="3083" spans="1:7" x14ac:dyDescent="0.2">
      <c r="A3083" t="s">
        <v>71</v>
      </c>
      <c r="B3083" t="s">
        <v>94</v>
      </c>
      <c r="C3083" t="s">
        <v>197</v>
      </c>
      <c r="D3083" t="s">
        <v>74</v>
      </c>
      <c r="E3083" t="s">
        <v>79</v>
      </c>
      <c r="F3083" s="55">
        <v>117</v>
      </c>
      <c r="G3083" s="63">
        <v>0.18890000000000001</v>
      </c>
    </row>
    <row r="3084" spans="1:7" x14ac:dyDescent="0.2">
      <c r="A3084" t="s">
        <v>71</v>
      </c>
      <c r="B3084" t="s">
        <v>94</v>
      </c>
      <c r="C3084" t="s">
        <v>197</v>
      </c>
      <c r="D3084" t="s">
        <v>74</v>
      </c>
      <c r="E3084" t="s">
        <v>80</v>
      </c>
      <c r="F3084" s="55">
        <v>114</v>
      </c>
      <c r="G3084" s="63">
        <v>6.9099999999999995E-2</v>
      </c>
    </row>
    <row r="3085" spans="1:7" x14ac:dyDescent="0.2">
      <c r="A3085" t="s">
        <v>71</v>
      </c>
      <c r="B3085" t="s">
        <v>94</v>
      </c>
      <c r="C3085" t="s">
        <v>197</v>
      </c>
      <c r="D3085" t="s">
        <v>74</v>
      </c>
      <c r="E3085" t="s">
        <v>81</v>
      </c>
      <c r="F3085" s="55">
        <v>116</v>
      </c>
      <c r="G3085" s="63">
        <v>6.7799999999999999E-2</v>
      </c>
    </row>
    <row r="3086" spans="1:7" x14ac:dyDescent="0.2">
      <c r="A3086" t="s">
        <v>71</v>
      </c>
      <c r="B3086" t="s">
        <v>94</v>
      </c>
      <c r="C3086" t="s">
        <v>197</v>
      </c>
      <c r="D3086" t="s">
        <v>74</v>
      </c>
      <c r="E3086" t="s">
        <v>82</v>
      </c>
      <c r="F3086" s="55">
        <v>116</v>
      </c>
      <c r="G3086" s="63">
        <v>0.13750000000000001</v>
      </c>
    </row>
    <row r="3087" spans="1:7" x14ac:dyDescent="0.2">
      <c r="A3087" t="s">
        <v>71</v>
      </c>
      <c r="B3087" t="s">
        <v>94</v>
      </c>
      <c r="C3087" t="s">
        <v>197</v>
      </c>
      <c r="D3087" t="s">
        <v>74</v>
      </c>
      <c r="E3087" t="s">
        <v>83</v>
      </c>
      <c r="F3087" s="55">
        <v>112</v>
      </c>
      <c r="G3087" s="63">
        <v>2.81E-2</v>
      </c>
    </row>
    <row r="3088" spans="1:7" x14ac:dyDescent="0.2">
      <c r="A3088" t="s">
        <v>71</v>
      </c>
      <c r="B3088" t="s">
        <v>94</v>
      </c>
      <c r="C3088" t="s">
        <v>197</v>
      </c>
      <c r="D3088" t="s">
        <v>74</v>
      </c>
      <c r="E3088" t="s">
        <v>84</v>
      </c>
      <c r="F3088" s="55">
        <v>113</v>
      </c>
      <c r="G3088" s="63">
        <v>5.2499999999999998E-2</v>
      </c>
    </row>
    <row r="3089" spans="1:7" x14ac:dyDescent="0.2">
      <c r="A3089" t="s">
        <v>71</v>
      </c>
      <c r="B3089" t="s">
        <v>94</v>
      </c>
      <c r="C3089" t="s">
        <v>197</v>
      </c>
      <c r="D3089" t="s">
        <v>74</v>
      </c>
      <c r="E3089" t="s">
        <v>85</v>
      </c>
      <c r="F3089" s="55">
        <v>116</v>
      </c>
      <c r="G3089" s="63">
        <v>7.4800000000000005E-2</v>
      </c>
    </row>
    <row r="3090" spans="1:7" x14ac:dyDescent="0.2">
      <c r="A3090" t="s">
        <v>71</v>
      </c>
      <c r="B3090" t="s">
        <v>94</v>
      </c>
      <c r="C3090" t="s">
        <v>197</v>
      </c>
      <c r="D3090" t="s">
        <v>74</v>
      </c>
      <c r="E3090" t="s">
        <v>86</v>
      </c>
      <c r="F3090" s="55">
        <v>115</v>
      </c>
      <c r="G3090" s="63">
        <v>8.9800000000000005E-2</v>
      </c>
    </row>
    <row r="3091" spans="1:7" x14ac:dyDescent="0.2">
      <c r="A3091" t="s">
        <v>71</v>
      </c>
      <c r="B3091" t="s">
        <v>94</v>
      </c>
      <c r="C3091" t="s">
        <v>197</v>
      </c>
      <c r="D3091" t="s">
        <v>74</v>
      </c>
      <c r="E3091" t="s">
        <v>87</v>
      </c>
      <c r="F3091" s="55">
        <v>117</v>
      </c>
      <c r="G3091" s="63">
        <v>9.8500000000000004E-2</v>
      </c>
    </row>
    <row r="3092" spans="1:7" x14ac:dyDescent="0.2">
      <c r="A3092" t="s">
        <v>71</v>
      </c>
      <c r="B3092" t="s">
        <v>94</v>
      </c>
      <c r="C3092" t="s">
        <v>197</v>
      </c>
      <c r="D3092" t="s">
        <v>74</v>
      </c>
      <c r="E3092" t="s">
        <v>88</v>
      </c>
      <c r="F3092" s="55">
        <v>110</v>
      </c>
      <c r="G3092" s="63">
        <v>5.1400000000000001E-2</v>
      </c>
    </row>
    <row r="3093" spans="1:7" x14ac:dyDescent="0.2">
      <c r="A3093" t="s">
        <v>89</v>
      </c>
      <c r="B3093" t="s">
        <v>95</v>
      </c>
      <c r="C3093" t="s">
        <v>197</v>
      </c>
      <c r="D3093" t="s">
        <v>74</v>
      </c>
      <c r="E3093" t="s">
        <v>75</v>
      </c>
      <c r="F3093" s="55">
        <v>70</v>
      </c>
      <c r="G3093" s="63">
        <v>3.8100000000000002E-2</v>
      </c>
    </row>
    <row r="3094" spans="1:7" x14ac:dyDescent="0.2">
      <c r="A3094" t="s">
        <v>89</v>
      </c>
      <c r="B3094" t="s">
        <v>95</v>
      </c>
      <c r="C3094" t="s">
        <v>197</v>
      </c>
      <c r="D3094" t="s">
        <v>74</v>
      </c>
      <c r="E3094" t="s">
        <v>77</v>
      </c>
      <c r="F3094" s="55">
        <v>72</v>
      </c>
      <c r="G3094" s="63">
        <v>9.1000000000000004E-3</v>
      </c>
    </row>
    <row r="3095" spans="1:7" x14ac:dyDescent="0.2">
      <c r="A3095" t="s">
        <v>89</v>
      </c>
      <c r="B3095" t="s">
        <v>95</v>
      </c>
      <c r="C3095" t="s">
        <v>197</v>
      </c>
      <c r="D3095" t="s">
        <v>74</v>
      </c>
      <c r="E3095" t="s">
        <v>78</v>
      </c>
      <c r="F3095" s="55">
        <v>59</v>
      </c>
      <c r="G3095" s="63">
        <v>6.7000000000000002E-3</v>
      </c>
    </row>
    <row r="3096" spans="1:7" x14ac:dyDescent="0.2">
      <c r="A3096" t="s">
        <v>89</v>
      </c>
      <c r="B3096" t="s">
        <v>95</v>
      </c>
      <c r="C3096" t="s">
        <v>197</v>
      </c>
      <c r="D3096" t="s">
        <v>74</v>
      </c>
      <c r="E3096" t="s">
        <v>79</v>
      </c>
      <c r="F3096" s="55">
        <v>73</v>
      </c>
      <c r="G3096" s="63">
        <v>2.2499999999999999E-2</v>
      </c>
    </row>
    <row r="3097" spans="1:7" x14ac:dyDescent="0.2">
      <c r="A3097" t="s">
        <v>89</v>
      </c>
      <c r="B3097" t="s">
        <v>95</v>
      </c>
      <c r="C3097" t="s">
        <v>197</v>
      </c>
      <c r="D3097" t="s">
        <v>74</v>
      </c>
      <c r="E3097" t="s">
        <v>80</v>
      </c>
      <c r="F3097" s="55">
        <v>82</v>
      </c>
      <c r="G3097" s="63">
        <v>8.0000000000000002E-3</v>
      </c>
    </row>
    <row r="3098" spans="1:7" x14ac:dyDescent="0.2">
      <c r="A3098" t="s">
        <v>89</v>
      </c>
      <c r="B3098" t="s">
        <v>95</v>
      </c>
      <c r="C3098" t="s">
        <v>197</v>
      </c>
      <c r="D3098" t="s">
        <v>74</v>
      </c>
      <c r="E3098" t="s">
        <v>81</v>
      </c>
      <c r="F3098" s="55">
        <v>92</v>
      </c>
      <c r="G3098" s="63">
        <v>6.3E-3</v>
      </c>
    </row>
    <row r="3099" spans="1:7" x14ac:dyDescent="0.2">
      <c r="A3099" t="s">
        <v>89</v>
      </c>
      <c r="B3099" t="s">
        <v>95</v>
      </c>
      <c r="C3099" t="s">
        <v>197</v>
      </c>
      <c r="D3099" t="s">
        <v>74</v>
      </c>
      <c r="E3099" t="s">
        <v>82</v>
      </c>
      <c r="F3099" s="55">
        <v>65</v>
      </c>
      <c r="G3099" s="63">
        <v>1.38E-2</v>
      </c>
    </row>
    <row r="3100" spans="1:7" x14ac:dyDescent="0.2">
      <c r="A3100" t="s">
        <v>89</v>
      </c>
      <c r="B3100" t="s">
        <v>95</v>
      </c>
      <c r="C3100" t="s">
        <v>197</v>
      </c>
      <c r="D3100" t="s">
        <v>74</v>
      </c>
      <c r="E3100" t="s">
        <v>84</v>
      </c>
      <c r="F3100" s="55">
        <v>59</v>
      </c>
      <c r="G3100" s="63">
        <v>4.4999999999999997E-3</v>
      </c>
    </row>
    <row r="3101" spans="1:7" x14ac:dyDescent="0.2">
      <c r="A3101" t="s">
        <v>89</v>
      </c>
      <c r="B3101" t="s">
        <v>95</v>
      </c>
      <c r="C3101" t="s">
        <v>197</v>
      </c>
      <c r="D3101" t="s">
        <v>74</v>
      </c>
      <c r="E3101" t="s">
        <v>85</v>
      </c>
      <c r="F3101" s="55">
        <v>85</v>
      </c>
      <c r="G3101" s="63">
        <v>7.6E-3</v>
      </c>
    </row>
    <row r="3102" spans="1:7" x14ac:dyDescent="0.2">
      <c r="A3102" t="s">
        <v>89</v>
      </c>
      <c r="B3102" t="s">
        <v>95</v>
      </c>
      <c r="C3102" t="s">
        <v>197</v>
      </c>
      <c r="D3102" t="s">
        <v>74</v>
      </c>
      <c r="E3102" t="s">
        <v>86</v>
      </c>
      <c r="F3102" s="55">
        <v>85</v>
      </c>
      <c r="G3102" s="63">
        <v>7.9000000000000008E-3</v>
      </c>
    </row>
    <row r="3103" spans="1:7" x14ac:dyDescent="0.2">
      <c r="A3103" t="s">
        <v>89</v>
      </c>
      <c r="B3103" t="s">
        <v>95</v>
      </c>
      <c r="C3103" t="s">
        <v>197</v>
      </c>
      <c r="D3103" t="s">
        <v>74</v>
      </c>
      <c r="E3103" t="s">
        <v>87</v>
      </c>
      <c r="F3103" s="55">
        <v>80</v>
      </c>
      <c r="G3103" s="63">
        <v>8.2000000000000007E-3</v>
      </c>
    </row>
    <row r="3104" spans="1:7" x14ac:dyDescent="0.2">
      <c r="A3104" t="s">
        <v>89</v>
      </c>
      <c r="B3104" t="s">
        <v>95</v>
      </c>
      <c r="C3104" t="s">
        <v>197</v>
      </c>
      <c r="D3104" t="s">
        <v>74</v>
      </c>
      <c r="E3104" t="s">
        <v>88</v>
      </c>
      <c r="F3104" s="55">
        <v>46</v>
      </c>
      <c r="G3104" s="63">
        <v>4.5999999999999999E-3</v>
      </c>
    </row>
    <row r="3105" spans="1:7" x14ac:dyDescent="0.2">
      <c r="A3105" t="s">
        <v>89</v>
      </c>
      <c r="B3105" t="s">
        <v>96</v>
      </c>
      <c r="C3105" t="s">
        <v>197</v>
      </c>
      <c r="D3105" t="s">
        <v>74</v>
      </c>
      <c r="E3105" t="s">
        <v>75</v>
      </c>
      <c r="F3105" s="55">
        <v>116</v>
      </c>
      <c r="G3105" s="63">
        <v>5.0999999999999997E-2</v>
      </c>
    </row>
    <row r="3106" spans="1:7" x14ac:dyDescent="0.2">
      <c r="A3106" t="s">
        <v>89</v>
      </c>
      <c r="B3106" t="s">
        <v>96</v>
      </c>
      <c r="C3106" t="s">
        <v>197</v>
      </c>
      <c r="D3106" t="s">
        <v>74</v>
      </c>
      <c r="E3106" t="s">
        <v>77</v>
      </c>
      <c r="F3106" s="55">
        <v>120</v>
      </c>
      <c r="G3106" s="63">
        <v>1.6299999999999999E-2</v>
      </c>
    </row>
    <row r="3107" spans="1:7" x14ac:dyDescent="0.2">
      <c r="A3107" t="s">
        <v>89</v>
      </c>
      <c r="B3107" t="s">
        <v>96</v>
      </c>
      <c r="C3107" t="s">
        <v>197</v>
      </c>
      <c r="D3107" t="s">
        <v>74</v>
      </c>
      <c r="E3107" t="s">
        <v>78</v>
      </c>
      <c r="F3107" s="55">
        <v>93</v>
      </c>
      <c r="G3107" s="63">
        <v>1.23E-2</v>
      </c>
    </row>
    <row r="3108" spans="1:7" x14ac:dyDescent="0.2">
      <c r="A3108" t="s">
        <v>89</v>
      </c>
      <c r="B3108" t="s">
        <v>96</v>
      </c>
      <c r="C3108" t="s">
        <v>197</v>
      </c>
      <c r="D3108" t="s">
        <v>74</v>
      </c>
      <c r="E3108" t="s">
        <v>79</v>
      </c>
      <c r="F3108" s="55">
        <v>118</v>
      </c>
      <c r="G3108" s="63">
        <v>3.04E-2</v>
      </c>
    </row>
    <row r="3109" spans="1:7" x14ac:dyDescent="0.2">
      <c r="A3109" t="s">
        <v>89</v>
      </c>
      <c r="B3109" t="s">
        <v>96</v>
      </c>
      <c r="C3109" t="s">
        <v>197</v>
      </c>
      <c r="D3109" t="s">
        <v>74</v>
      </c>
      <c r="E3109" t="s">
        <v>80</v>
      </c>
      <c r="F3109" s="55">
        <v>109</v>
      </c>
      <c r="G3109" s="63">
        <v>1.0699999999999999E-2</v>
      </c>
    </row>
    <row r="3110" spans="1:7" x14ac:dyDescent="0.2">
      <c r="A3110" t="s">
        <v>89</v>
      </c>
      <c r="B3110" t="s">
        <v>96</v>
      </c>
      <c r="C3110" t="s">
        <v>197</v>
      </c>
      <c r="D3110" t="s">
        <v>74</v>
      </c>
      <c r="E3110" t="s">
        <v>81</v>
      </c>
      <c r="F3110" s="55">
        <v>140</v>
      </c>
      <c r="G3110" s="63">
        <v>9.4000000000000004E-3</v>
      </c>
    </row>
    <row r="3111" spans="1:7" x14ac:dyDescent="0.2">
      <c r="A3111" t="s">
        <v>89</v>
      </c>
      <c r="B3111" t="s">
        <v>96</v>
      </c>
      <c r="C3111" t="s">
        <v>197</v>
      </c>
      <c r="D3111" t="s">
        <v>74</v>
      </c>
      <c r="E3111" t="s">
        <v>82</v>
      </c>
      <c r="F3111" s="55">
        <v>99</v>
      </c>
      <c r="G3111" s="63">
        <v>2.35E-2</v>
      </c>
    </row>
    <row r="3112" spans="1:7" x14ac:dyDescent="0.2">
      <c r="A3112" t="s">
        <v>89</v>
      </c>
      <c r="B3112" t="s">
        <v>96</v>
      </c>
      <c r="C3112" t="s">
        <v>197</v>
      </c>
      <c r="D3112" t="s">
        <v>74</v>
      </c>
      <c r="E3112" t="s">
        <v>84</v>
      </c>
      <c r="F3112" s="55">
        <v>94</v>
      </c>
      <c r="G3112" s="63">
        <v>9.7000000000000003E-3</v>
      </c>
    </row>
    <row r="3113" spans="1:7" x14ac:dyDescent="0.2">
      <c r="A3113" t="s">
        <v>89</v>
      </c>
      <c r="B3113" t="s">
        <v>96</v>
      </c>
      <c r="C3113" t="s">
        <v>197</v>
      </c>
      <c r="D3113" t="s">
        <v>74</v>
      </c>
      <c r="E3113" t="s">
        <v>85</v>
      </c>
      <c r="F3113" s="55">
        <v>109</v>
      </c>
      <c r="G3113" s="63">
        <v>1.09E-2</v>
      </c>
    </row>
    <row r="3114" spans="1:7" x14ac:dyDescent="0.2">
      <c r="A3114" t="s">
        <v>89</v>
      </c>
      <c r="B3114" t="s">
        <v>96</v>
      </c>
      <c r="C3114" t="s">
        <v>197</v>
      </c>
      <c r="D3114" t="s">
        <v>74</v>
      </c>
      <c r="E3114" t="s">
        <v>86</v>
      </c>
      <c r="F3114" s="55">
        <v>95</v>
      </c>
      <c r="G3114" s="63">
        <v>1.38E-2</v>
      </c>
    </row>
    <row r="3115" spans="1:7" x14ac:dyDescent="0.2">
      <c r="A3115" t="s">
        <v>89</v>
      </c>
      <c r="B3115" t="s">
        <v>96</v>
      </c>
      <c r="C3115" t="s">
        <v>197</v>
      </c>
      <c r="D3115" t="s">
        <v>74</v>
      </c>
      <c r="E3115" t="s">
        <v>87</v>
      </c>
      <c r="F3115" s="55">
        <v>111</v>
      </c>
      <c r="G3115" s="63">
        <v>1.34E-2</v>
      </c>
    </row>
    <row r="3116" spans="1:7" x14ac:dyDescent="0.2">
      <c r="A3116" t="s">
        <v>89</v>
      </c>
      <c r="B3116" t="s">
        <v>96</v>
      </c>
      <c r="C3116" t="s">
        <v>197</v>
      </c>
      <c r="D3116" t="s">
        <v>74</v>
      </c>
      <c r="E3116" t="s">
        <v>88</v>
      </c>
      <c r="F3116" s="55">
        <v>321</v>
      </c>
      <c r="G3116" s="63">
        <v>4.0000000000000001E-3</v>
      </c>
    </row>
    <row r="3117" spans="1:7" x14ac:dyDescent="0.2">
      <c r="A3117" t="s">
        <v>89</v>
      </c>
      <c r="B3117" t="s">
        <v>198</v>
      </c>
      <c r="C3117" t="s">
        <v>197</v>
      </c>
      <c r="D3117" t="s">
        <v>74</v>
      </c>
      <c r="E3117" t="s">
        <v>75</v>
      </c>
      <c r="F3117" s="55">
        <v>103</v>
      </c>
      <c r="G3117" s="63">
        <v>0.42480000000000001</v>
      </c>
    </row>
    <row r="3118" spans="1:7" x14ac:dyDescent="0.2">
      <c r="A3118" t="s">
        <v>89</v>
      </c>
      <c r="B3118" t="s">
        <v>198</v>
      </c>
      <c r="C3118" t="s">
        <v>197</v>
      </c>
      <c r="D3118" t="s">
        <v>74</v>
      </c>
      <c r="E3118" t="s">
        <v>76</v>
      </c>
      <c r="F3118" s="55">
        <v>102</v>
      </c>
      <c r="G3118" s="63">
        <v>8.7800000000000003E-2</v>
      </c>
    </row>
    <row r="3119" spans="1:7" x14ac:dyDescent="0.2">
      <c r="A3119" t="s">
        <v>89</v>
      </c>
      <c r="B3119" t="s">
        <v>198</v>
      </c>
      <c r="C3119" t="s">
        <v>197</v>
      </c>
      <c r="D3119" t="s">
        <v>74</v>
      </c>
      <c r="E3119" t="s">
        <v>77</v>
      </c>
      <c r="F3119" s="55">
        <v>103</v>
      </c>
      <c r="G3119" s="63">
        <v>0.19209999999999999</v>
      </c>
    </row>
    <row r="3120" spans="1:7" x14ac:dyDescent="0.2">
      <c r="A3120" t="s">
        <v>89</v>
      </c>
      <c r="B3120" t="s">
        <v>198</v>
      </c>
      <c r="C3120" t="s">
        <v>197</v>
      </c>
      <c r="D3120" t="s">
        <v>74</v>
      </c>
      <c r="E3120" t="s">
        <v>78</v>
      </c>
      <c r="F3120" s="55">
        <v>105</v>
      </c>
      <c r="G3120" s="63">
        <v>0.1603</v>
      </c>
    </row>
    <row r="3121" spans="1:7" x14ac:dyDescent="0.2">
      <c r="A3121" t="s">
        <v>89</v>
      </c>
      <c r="B3121" t="s">
        <v>198</v>
      </c>
      <c r="C3121" t="s">
        <v>197</v>
      </c>
      <c r="D3121" t="s">
        <v>74</v>
      </c>
      <c r="E3121" t="s">
        <v>79</v>
      </c>
      <c r="F3121" s="55">
        <v>106</v>
      </c>
      <c r="G3121" s="63">
        <v>0.31769999999999998</v>
      </c>
    </row>
    <row r="3122" spans="1:7" x14ac:dyDescent="0.2">
      <c r="A3122" t="s">
        <v>89</v>
      </c>
      <c r="B3122" t="s">
        <v>198</v>
      </c>
      <c r="C3122" t="s">
        <v>197</v>
      </c>
      <c r="D3122" t="s">
        <v>74</v>
      </c>
      <c r="E3122" t="s">
        <v>80</v>
      </c>
      <c r="F3122" s="55">
        <v>105</v>
      </c>
      <c r="G3122" s="63">
        <v>0.1414</v>
      </c>
    </row>
    <row r="3123" spans="1:7" x14ac:dyDescent="0.2">
      <c r="A3123" t="s">
        <v>89</v>
      </c>
      <c r="B3123" t="s">
        <v>198</v>
      </c>
      <c r="C3123" t="s">
        <v>197</v>
      </c>
      <c r="D3123" t="s">
        <v>74</v>
      </c>
      <c r="E3123" t="s">
        <v>81</v>
      </c>
      <c r="F3123" s="55">
        <v>103</v>
      </c>
      <c r="G3123" s="63">
        <v>0.13370000000000001</v>
      </c>
    </row>
    <row r="3124" spans="1:7" x14ac:dyDescent="0.2">
      <c r="A3124" t="s">
        <v>89</v>
      </c>
      <c r="B3124" t="s">
        <v>198</v>
      </c>
      <c r="C3124" t="s">
        <v>197</v>
      </c>
      <c r="D3124" t="s">
        <v>74</v>
      </c>
      <c r="E3124" t="s">
        <v>82</v>
      </c>
      <c r="F3124" s="55">
        <v>95</v>
      </c>
      <c r="G3124" s="63">
        <v>0.25729999999999997</v>
      </c>
    </row>
    <row r="3125" spans="1:7" x14ac:dyDescent="0.2">
      <c r="A3125" t="s">
        <v>89</v>
      </c>
      <c r="B3125" t="s">
        <v>198</v>
      </c>
      <c r="C3125" t="s">
        <v>197</v>
      </c>
      <c r="D3125" t="s">
        <v>74</v>
      </c>
      <c r="E3125" t="s">
        <v>83</v>
      </c>
      <c r="F3125" s="55">
        <v>104</v>
      </c>
      <c r="G3125" s="63">
        <v>6.8000000000000005E-2</v>
      </c>
    </row>
    <row r="3126" spans="1:7" x14ac:dyDescent="0.2">
      <c r="A3126" t="s">
        <v>89</v>
      </c>
      <c r="B3126" t="s">
        <v>198</v>
      </c>
      <c r="C3126" t="s">
        <v>197</v>
      </c>
      <c r="D3126" t="s">
        <v>74</v>
      </c>
      <c r="E3126" t="s">
        <v>84</v>
      </c>
      <c r="F3126" s="55">
        <v>103</v>
      </c>
      <c r="G3126" s="63">
        <v>0.1318</v>
      </c>
    </row>
    <row r="3127" spans="1:7" x14ac:dyDescent="0.2">
      <c r="A3127" t="s">
        <v>89</v>
      </c>
      <c r="B3127" t="s">
        <v>198</v>
      </c>
      <c r="C3127" t="s">
        <v>197</v>
      </c>
      <c r="D3127" t="s">
        <v>74</v>
      </c>
      <c r="E3127" t="s">
        <v>85</v>
      </c>
      <c r="F3127" s="55">
        <v>104</v>
      </c>
      <c r="G3127" s="63">
        <v>0.1555</v>
      </c>
    </row>
    <row r="3128" spans="1:7" x14ac:dyDescent="0.2">
      <c r="A3128" t="s">
        <v>89</v>
      </c>
      <c r="B3128" t="s">
        <v>198</v>
      </c>
      <c r="C3128" t="s">
        <v>197</v>
      </c>
      <c r="D3128" t="s">
        <v>74</v>
      </c>
      <c r="E3128" t="s">
        <v>86</v>
      </c>
      <c r="F3128" s="55">
        <v>109</v>
      </c>
      <c r="G3128" s="63">
        <v>0.17280000000000001</v>
      </c>
    </row>
    <row r="3129" spans="1:7" x14ac:dyDescent="0.2">
      <c r="A3129" t="s">
        <v>89</v>
      </c>
      <c r="B3129" t="s">
        <v>198</v>
      </c>
      <c r="C3129" t="s">
        <v>197</v>
      </c>
      <c r="D3129" t="s">
        <v>74</v>
      </c>
      <c r="E3129" t="s">
        <v>87</v>
      </c>
      <c r="F3129" s="55">
        <v>108</v>
      </c>
      <c r="G3129" s="63">
        <v>0.18990000000000001</v>
      </c>
    </row>
    <row r="3130" spans="1:7" x14ac:dyDescent="0.2">
      <c r="A3130" t="s">
        <v>89</v>
      </c>
      <c r="B3130" t="s">
        <v>198</v>
      </c>
      <c r="C3130" t="s">
        <v>197</v>
      </c>
      <c r="D3130" t="s">
        <v>74</v>
      </c>
      <c r="E3130" t="s">
        <v>88</v>
      </c>
      <c r="F3130" s="55">
        <v>101</v>
      </c>
      <c r="G3130" s="63">
        <v>0.12609999999999999</v>
      </c>
    </row>
    <row r="3131" spans="1:7" x14ac:dyDescent="0.2">
      <c r="A3131" t="s">
        <v>89</v>
      </c>
      <c r="B3131" t="s">
        <v>97</v>
      </c>
      <c r="C3131" t="s">
        <v>197</v>
      </c>
      <c r="D3131" t="s">
        <v>74</v>
      </c>
      <c r="E3131" t="s">
        <v>75</v>
      </c>
      <c r="F3131" s="55">
        <v>101</v>
      </c>
      <c r="G3131" s="63">
        <v>0.17510000000000001</v>
      </c>
    </row>
    <row r="3132" spans="1:7" x14ac:dyDescent="0.2">
      <c r="A3132" t="s">
        <v>89</v>
      </c>
      <c r="B3132" t="s">
        <v>97</v>
      </c>
      <c r="C3132" t="s">
        <v>197</v>
      </c>
      <c r="D3132" t="s">
        <v>74</v>
      </c>
      <c r="E3132" t="s">
        <v>76</v>
      </c>
      <c r="F3132" s="55">
        <v>89</v>
      </c>
      <c r="G3132" s="63">
        <v>2.0899999999999998E-2</v>
      </c>
    </row>
    <row r="3133" spans="1:7" x14ac:dyDescent="0.2">
      <c r="A3133" t="s">
        <v>89</v>
      </c>
      <c r="B3133" t="s">
        <v>97</v>
      </c>
      <c r="C3133" t="s">
        <v>197</v>
      </c>
      <c r="D3133" t="s">
        <v>74</v>
      </c>
      <c r="E3133" t="s">
        <v>77</v>
      </c>
      <c r="F3133" s="55">
        <v>103</v>
      </c>
      <c r="G3133" s="63">
        <v>6.4199999999999993E-2</v>
      </c>
    </row>
    <row r="3134" spans="1:7" x14ac:dyDescent="0.2">
      <c r="A3134" t="s">
        <v>89</v>
      </c>
      <c r="B3134" t="s">
        <v>97</v>
      </c>
      <c r="C3134" t="s">
        <v>197</v>
      </c>
      <c r="D3134" t="s">
        <v>74</v>
      </c>
      <c r="E3134" t="s">
        <v>78</v>
      </c>
      <c r="F3134" s="55">
        <v>102</v>
      </c>
      <c r="G3134" s="63">
        <v>5.0999999999999997E-2</v>
      </c>
    </row>
    <row r="3135" spans="1:7" x14ac:dyDescent="0.2">
      <c r="A3135" t="s">
        <v>89</v>
      </c>
      <c r="B3135" t="s">
        <v>97</v>
      </c>
      <c r="C3135" t="s">
        <v>197</v>
      </c>
      <c r="D3135" t="s">
        <v>74</v>
      </c>
      <c r="E3135" t="s">
        <v>79</v>
      </c>
      <c r="F3135" s="55">
        <v>100</v>
      </c>
      <c r="G3135" s="63">
        <v>0.12</v>
      </c>
    </row>
    <row r="3136" spans="1:7" x14ac:dyDescent="0.2">
      <c r="A3136" t="s">
        <v>89</v>
      </c>
      <c r="B3136" t="s">
        <v>97</v>
      </c>
      <c r="C3136" t="s">
        <v>197</v>
      </c>
      <c r="D3136" t="s">
        <v>74</v>
      </c>
      <c r="E3136" t="s">
        <v>80</v>
      </c>
      <c r="F3136" s="55">
        <v>110</v>
      </c>
      <c r="G3136" s="63">
        <v>4.1500000000000002E-2</v>
      </c>
    </row>
    <row r="3137" spans="1:7" x14ac:dyDescent="0.2">
      <c r="A3137" t="s">
        <v>89</v>
      </c>
      <c r="B3137" t="s">
        <v>97</v>
      </c>
      <c r="C3137" t="s">
        <v>197</v>
      </c>
      <c r="D3137" t="s">
        <v>74</v>
      </c>
      <c r="E3137" t="s">
        <v>81</v>
      </c>
      <c r="F3137" s="55">
        <v>113</v>
      </c>
      <c r="G3137" s="63">
        <v>4.3299999999999998E-2</v>
      </c>
    </row>
    <row r="3138" spans="1:7" x14ac:dyDescent="0.2">
      <c r="A3138" t="s">
        <v>89</v>
      </c>
      <c r="B3138" t="s">
        <v>97</v>
      </c>
      <c r="C3138" t="s">
        <v>197</v>
      </c>
      <c r="D3138" t="s">
        <v>74</v>
      </c>
      <c r="E3138" t="s">
        <v>82</v>
      </c>
      <c r="F3138" s="55">
        <v>91</v>
      </c>
      <c r="G3138" s="63">
        <v>7.3499999999999996E-2</v>
      </c>
    </row>
    <row r="3139" spans="1:7" x14ac:dyDescent="0.2">
      <c r="A3139" t="s">
        <v>89</v>
      </c>
      <c r="B3139" t="s">
        <v>97</v>
      </c>
      <c r="C3139" t="s">
        <v>197</v>
      </c>
      <c r="D3139" t="s">
        <v>74</v>
      </c>
      <c r="E3139" t="s">
        <v>83</v>
      </c>
      <c r="F3139" s="55">
        <v>111</v>
      </c>
      <c r="G3139" s="63">
        <v>2.0299999999999999E-2</v>
      </c>
    </row>
    <row r="3140" spans="1:7" x14ac:dyDescent="0.2">
      <c r="A3140" t="s">
        <v>89</v>
      </c>
      <c r="B3140" t="s">
        <v>97</v>
      </c>
      <c r="C3140" t="s">
        <v>197</v>
      </c>
      <c r="D3140" t="s">
        <v>74</v>
      </c>
      <c r="E3140" t="s">
        <v>84</v>
      </c>
      <c r="F3140" s="55">
        <v>105</v>
      </c>
      <c r="G3140" s="63">
        <v>4.0500000000000001E-2</v>
      </c>
    </row>
    <row r="3141" spans="1:7" x14ac:dyDescent="0.2">
      <c r="A3141" t="s">
        <v>89</v>
      </c>
      <c r="B3141" t="s">
        <v>97</v>
      </c>
      <c r="C3141" t="s">
        <v>197</v>
      </c>
      <c r="D3141" t="s">
        <v>74</v>
      </c>
      <c r="E3141" t="s">
        <v>85</v>
      </c>
      <c r="F3141" s="55">
        <v>103</v>
      </c>
      <c r="G3141" s="63">
        <v>4.9099999999999998E-2</v>
      </c>
    </row>
    <row r="3142" spans="1:7" x14ac:dyDescent="0.2">
      <c r="A3142" t="s">
        <v>89</v>
      </c>
      <c r="B3142" t="s">
        <v>97</v>
      </c>
      <c r="C3142" t="s">
        <v>197</v>
      </c>
      <c r="D3142" t="s">
        <v>74</v>
      </c>
      <c r="E3142" t="s">
        <v>86</v>
      </c>
      <c r="F3142" s="55">
        <v>100</v>
      </c>
      <c r="G3142" s="63">
        <v>6.0400000000000002E-2</v>
      </c>
    </row>
    <row r="3143" spans="1:7" x14ac:dyDescent="0.2">
      <c r="A3143" t="s">
        <v>89</v>
      </c>
      <c r="B3143" t="s">
        <v>97</v>
      </c>
      <c r="C3143" t="s">
        <v>197</v>
      </c>
      <c r="D3143" t="s">
        <v>74</v>
      </c>
      <c r="E3143" t="s">
        <v>87</v>
      </c>
      <c r="F3143" s="55">
        <v>96</v>
      </c>
      <c r="G3143" s="63">
        <v>6.7500000000000004E-2</v>
      </c>
    </row>
    <row r="3144" spans="1:7" x14ac:dyDescent="0.2">
      <c r="A3144" t="s">
        <v>89</v>
      </c>
      <c r="B3144" t="s">
        <v>97</v>
      </c>
      <c r="C3144" t="s">
        <v>197</v>
      </c>
      <c r="D3144" t="s">
        <v>74</v>
      </c>
      <c r="E3144" t="s">
        <v>88</v>
      </c>
      <c r="F3144" s="55">
        <v>96</v>
      </c>
      <c r="G3144" s="63">
        <v>3.39E-2</v>
      </c>
    </row>
    <row r="3145" spans="1:7" x14ac:dyDescent="0.2">
      <c r="A3145" t="s">
        <v>89</v>
      </c>
      <c r="B3145" t="s">
        <v>98</v>
      </c>
      <c r="C3145" t="s">
        <v>197</v>
      </c>
      <c r="D3145" t="s">
        <v>74</v>
      </c>
      <c r="E3145" t="s">
        <v>75</v>
      </c>
      <c r="F3145" s="55">
        <v>115</v>
      </c>
      <c r="G3145" s="63">
        <v>1.17E-2</v>
      </c>
    </row>
    <row r="3146" spans="1:7" x14ac:dyDescent="0.2">
      <c r="A3146" t="s">
        <v>89</v>
      </c>
      <c r="B3146" t="s">
        <v>98</v>
      </c>
      <c r="C3146" t="s">
        <v>197</v>
      </c>
      <c r="D3146" t="s">
        <v>74</v>
      </c>
      <c r="E3146" t="s">
        <v>77</v>
      </c>
      <c r="F3146" s="55">
        <v>92</v>
      </c>
      <c r="G3146" s="63">
        <v>3.8999999999999998E-3</v>
      </c>
    </row>
    <row r="3147" spans="1:7" x14ac:dyDescent="0.2">
      <c r="A3147" t="s">
        <v>89</v>
      </c>
      <c r="B3147" t="s">
        <v>98</v>
      </c>
      <c r="C3147" t="s">
        <v>197</v>
      </c>
      <c r="D3147" t="s">
        <v>74</v>
      </c>
      <c r="E3147" t="s">
        <v>79</v>
      </c>
      <c r="F3147" s="55">
        <v>136</v>
      </c>
      <c r="G3147" s="63">
        <v>6.1000000000000004E-3</v>
      </c>
    </row>
    <row r="3148" spans="1:7" x14ac:dyDescent="0.2">
      <c r="A3148" t="s">
        <v>89</v>
      </c>
      <c r="B3148" t="s">
        <v>99</v>
      </c>
      <c r="C3148" t="s">
        <v>197</v>
      </c>
      <c r="D3148" t="s">
        <v>74</v>
      </c>
      <c r="E3148" t="s">
        <v>75</v>
      </c>
      <c r="F3148" s="55">
        <v>100</v>
      </c>
      <c r="G3148" s="63">
        <v>3.0700000000000002E-2</v>
      </c>
    </row>
    <row r="3149" spans="1:7" x14ac:dyDescent="0.2">
      <c r="A3149" t="s">
        <v>89</v>
      </c>
      <c r="B3149" t="s">
        <v>99</v>
      </c>
      <c r="C3149" t="s">
        <v>197</v>
      </c>
      <c r="D3149" t="s">
        <v>74</v>
      </c>
      <c r="E3149" t="s">
        <v>77</v>
      </c>
      <c r="F3149" s="55">
        <v>111</v>
      </c>
      <c r="G3149" s="63">
        <v>8.8000000000000005E-3</v>
      </c>
    </row>
    <row r="3150" spans="1:7" x14ac:dyDescent="0.2">
      <c r="A3150" t="s">
        <v>89</v>
      </c>
      <c r="B3150" t="s">
        <v>99</v>
      </c>
      <c r="C3150" t="s">
        <v>197</v>
      </c>
      <c r="D3150" t="s">
        <v>74</v>
      </c>
      <c r="E3150" t="s">
        <v>78</v>
      </c>
      <c r="F3150" s="55">
        <v>98</v>
      </c>
      <c r="G3150" s="63">
        <v>6.8999999999999999E-3</v>
      </c>
    </row>
    <row r="3151" spans="1:7" x14ac:dyDescent="0.2">
      <c r="A3151" t="s">
        <v>89</v>
      </c>
      <c r="B3151" t="s">
        <v>99</v>
      </c>
      <c r="C3151" t="s">
        <v>197</v>
      </c>
      <c r="D3151" t="s">
        <v>74</v>
      </c>
      <c r="E3151" t="s">
        <v>79</v>
      </c>
      <c r="F3151" s="55">
        <v>97</v>
      </c>
      <c r="G3151" s="63">
        <v>1.9300000000000001E-2</v>
      </c>
    </row>
    <row r="3152" spans="1:7" x14ac:dyDescent="0.2">
      <c r="A3152" t="s">
        <v>89</v>
      </c>
      <c r="B3152" t="s">
        <v>99</v>
      </c>
      <c r="C3152" t="s">
        <v>197</v>
      </c>
      <c r="D3152" t="s">
        <v>74</v>
      </c>
      <c r="E3152" t="s">
        <v>80</v>
      </c>
      <c r="F3152" s="55">
        <v>88</v>
      </c>
      <c r="G3152" s="63">
        <v>6.6E-3</v>
      </c>
    </row>
    <row r="3153" spans="1:7" x14ac:dyDescent="0.2">
      <c r="A3153" t="s">
        <v>89</v>
      </c>
      <c r="B3153" t="s">
        <v>99</v>
      </c>
      <c r="C3153" t="s">
        <v>197</v>
      </c>
      <c r="D3153" t="s">
        <v>74</v>
      </c>
      <c r="E3153" t="s">
        <v>81</v>
      </c>
      <c r="F3153" s="55">
        <v>102</v>
      </c>
      <c r="G3153" s="63">
        <v>7.6E-3</v>
      </c>
    </row>
    <row r="3154" spans="1:7" x14ac:dyDescent="0.2">
      <c r="A3154" t="s">
        <v>89</v>
      </c>
      <c r="B3154" t="s">
        <v>99</v>
      </c>
      <c r="C3154" t="s">
        <v>197</v>
      </c>
      <c r="D3154" t="s">
        <v>74</v>
      </c>
      <c r="E3154" t="s">
        <v>82</v>
      </c>
      <c r="F3154" s="55">
        <v>100</v>
      </c>
      <c r="G3154" s="63">
        <v>1.09E-2</v>
      </c>
    </row>
    <row r="3155" spans="1:7" x14ac:dyDescent="0.2">
      <c r="A3155" t="s">
        <v>89</v>
      </c>
      <c r="B3155" t="s">
        <v>99</v>
      </c>
      <c r="C3155" t="s">
        <v>197</v>
      </c>
      <c r="D3155" t="s">
        <v>74</v>
      </c>
      <c r="E3155" t="s">
        <v>84</v>
      </c>
      <c r="F3155" s="55">
        <v>96</v>
      </c>
      <c r="G3155" s="63">
        <v>5.7999999999999996E-3</v>
      </c>
    </row>
    <row r="3156" spans="1:7" x14ac:dyDescent="0.2">
      <c r="A3156" t="s">
        <v>89</v>
      </c>
      <c r="B3156" t="s">
        <v>99</v>
      </c>
      <c r="C3156" t="s">
        <v>197</v>
      </c>
      <c r="D3156" t="s">
        <v>74</v>
      </c>
      <c r="E3156" t="s">
        <v>85</v>
      </c>
      <c r="F3156" s="55">
        <v>93</v>
      </c>
      <c r="G3156" s="63">
        <v>6.6E-3</v>
      </c>
    </row>
    <row r="3157" spans="1:7" x14ac:dyDescent="0.2">
      <c r="A3157" t="s">
        <v>89</v>
      </c>
      <c r="B3157" t="s">
        <v>99</v>
      </c>
      <c r="C3157" t="s">
        <v>197</v>
      </c>
      <c r="D3157" t="s">
        <v>74</v>
      </c>
      <c r="E3157" t="s">
        <v>86</v>
      </c>
      <c r="F3157" s="55">
        <v>99</v>
      </c>
      <c r="G3157" s="63">
        <v>7.7999999999999996E-3</v>
      </c>
    </row>
    <row r="3158" spans="1:7" x14ac:dyDescent="0.2">
      <c r="A3158" t="s">
        <v>89</v>
      </c>
      <c r="B3158" t="s">
        <v>99</v>
      </c>
      <c r="C3158" t="s">
        <v>197</v>
      </c>
      <c r="D3158" t="s">
        <v>74</v>
      </c>
      <c r="E3158" t="s">
        <v>87</v>
      </c>
      <c r="F3158" s="55">
        <v>96</v>
      </c>
      <c r="G3158" s="63">
        <v>8.6E-3</v>
      </c>
    </row>
    <row r="3159" spans="1:7" x14ac:dyDescent="0.2">
      <c r="A3159" t="s">
        <v>89</v>
      </c>
      <c r="B3159" t="s">
        <v>99</v>
      </c>
      <c r="C3159" t="s">
        <v>197</v>
      </c>
      <c r="D3159" t="s">
        <v>74</v>
      </c>
      <c r="E3159" t="s">
        <v>88</v>
      </c>
      <c r="F3159" s="55">
        <v>112</v>
      </c>
      <c r="G3159" s="63">
        <v>5.0000000000000001E-3</v>
      </c>
    </row>
    <row r="3160" spans="1:7" x14ac:dyDescent="0.2">
      <c r="A3160" t="s">
        <v>71</v>
      </c>
      <c r="B3160" t="s">
        <v>100</v>
      </c>
      <c r="C3160" t="s">
        <v>197</v>
      </c>
      <c r="D3160" t="s">
        <v>74</v>
      </c>
      <c r="E3160" t="s">
        <v>75</v>
      </c>
      <c r="F3160" s="55">
        <v>104</v>
      </c>
      <c r="G3160" s="63">
        <v>4.5600000000000002E-2</v>
      </c>
    </row>
    <row r="3161" spans="1:7" x14ac:dyDescent="0.2">
      <c r="A3161" t="s">
        <v>71</v>
      </c>
      <c r="B3161" t="s">
        <v>100</v>
      </c>
      <c r="C3161" t="s">
        <v>197</v>
      </c>
      <c r="D3161" t="s">
        <v>74</v>
      </c>
      <c r="E3161" t="s">
        <v>77</v>
      </c>
      <c r="F3161" s="55">
        <v>143</v>
      </c>
      <c r="G3161" s="63">
        <v>7.6E-3</v>
      </c>
    </row>
    <row r="3162" spans="1:7" x14ac:dyDescent="0.2">
      <c r="A3162" t="s">
        <v>71</v>
      </c>
      <c r="B3162" t="s">
        <v>100</v>
      </c>
      <c r="C3162" t="s">
        <v>197</v>
      </c>
      <c r="D3162" t="s">
        <v>74</v>
      </c>
      <c r="E3162" t="s">
        <v>78</v>
      </c>
      <c r="F3162" s="55">
        <v>109</v>
      </c>
      <c r="G3162" s="63">
        <v>7.6E-3</v>
      </c>
    </row>
    <row r="3163" spans="1:7" x14ac:dyDescent="0.2">
      <c r="A3163" t="s">
        <v>71</v>
      </c>
      <c r="B3163" t="s">
        <v>100</v>
      </c>
      <c r="C3163" t="s">
        <v>197</v>
      </c>
      <c r="D3163" t="s">
        <v>74</v>
      </c>
      <c r="E3163" t="s">
        <v>79</v>
      </c>
      <c r="F3163" s="55">
        <v>103</v>
      </c>
      <c r="G3163" s="63">
        <v>3.0499999999999999E-2</v>
      </c>
    </row>
    <row r="3164" spans="1:7" x14ac:dyDescent="0.2">
      <c r="A3164" t="s">
        <v>71</v>
      </c>
      <c r="B3164" t="s">
        <v>100</v>
      </c>
      <c r="C3164" t="s">
        <v>197</v>
      </c>
      <c r="D3164" t="s">
        <v>74</v>
      </c>
      <c r="E3164" t="s">
        <v>80</v>
      </c>
      <c r="F3164" s="55">
        <v>96</v>
      </c>
      <c r="G3164" s="63">
        <v>5.3E-3</v>
      </c>
    </row>
    <row r="3165" spans="1:7" x14ac:dyDescent="0.2">
      <c r="A3165" t="s">
        <v>71</v>
      </c>
      <c r="B3165" t="s">
        <v>100</v>
      </c>
      <c r="C3165" t="s">
        <v>197</v>
      </c>
      <c r="D3165" t="s">
        <v>74</v>
      </c>
      <c r="E3165" t="s">
        <v>81</v>
      </c>
      <c r="F3165" s="55">
        <v>105</v>
      </c>
      <c r="G3165" s="63">
        <v>5.3E-3</v>
      </c>
    </row>
    <row r="3166" spans="1:7" x14ac:dyDescent="0.2">
      <c r="A3166" t="s">
        <v>71</v>
      </c>
      <c r="B3166" t="s">
        <v>100</v>
      </c>
      <c r="C3166" t="s">
        <v>197</v>
      </c>
      <c r="D3166" t="s">
        <v>74</v>
      </c>
      <c r="E3166" t="s">
        <v>82</v>
      </c>
      <c r="F3166" s="55">
        <v>101</v>
      </c>
      <c r="G3166" s="63">
        <v>1.9699999999999999E-2</v>
      </c>
    </row>
    <row r="3167" spans="1:7" x14ac:dyDescent="0.2">
      <c r="A3167" t="s">
        <v>71</v>
      </c>
      <c r="B3167" t="s">
        <v>100</v>
      </c>
      <c r="C3167" t="s">
        <v>197</v>
      </c>
      <c r="D3167" t="s">
        <v>74</v>
      </c>
      <c r="E3167" t="s">
        <v>84</v>
      </c>
      <c r="F3167" s="55">
        <v>116</v>
      </c>
      <c r="G3167" s="63">
        <v>4.5999999999999999E-3</v>
      </c>
    </row>
    <row r="3168" spans="1:7" x14ac:dyDescent="0.2">
      <c r="A3168" t="s">
        <v>71</v>
      </c>
      <c r="B3168" t="s">
        <v>100</v>
      </c>
      <c r="C3168" t="s">
        <v>197</v>
      </c>
      <c r="D3168" t="s">
        <v>74</v>
      </c>
      <c r="E3168" t="s">
        <v>85</v>
      </c>
      <c r="F3168" s="55">
        <v>100</v>
      </c>
      <c r="G3168" s="63">
        <v>8.6E-3</v>
      </c>
    </row>
    <row r="3169" spans="1:7" x14ac:dyDescent="0.2">
      <c r="A3169" t="s">
        <v>71</v>
      </c>
      <c r="B3169" t="s">
        <v>100</v>
      </c>
      <c r="C3169" t="s">
        <v>197</v>
      </c>
      <c r="D3169" t="s">
        <v>74</v>
      </c>
      <c r="E3169" t="s">
        <v>86</v>
      </c>
      <c r="F3169" s="55">
        <v>101</v>
      </c>
      <c r="G3169" s="63">
        <v>1.3299999999999999E-2</v>
      </c>
    </row>
    <row r="3170" spans="1:7" x14ac:dyDescent="0.2">
      <c r="A3170" t="s">
        <v>71</v>
      </c>
      <c r="B3170" t="s">
        <v>100</v>
      </c>
      <c r="C3170" t="s">
        <v>197</v>
      </c>
      <c r="D3170" t="s">
        <v>74</v>
      </c>
      <c r="E3170" t="s">
        <v>87</v>
      </c>
      <c r="F3170" s="55">
        <v>98</v>
      </c>
      <c r="G3170" s="63">
        <v>1.52E-2</v>
      </c>
    </row>
    <row r="3171" spans="1:7" x14ac:dyDescent="0.2">
      <c r="A3171" t="s">
        <v>71</v>
      </c>
      <c r="B3171" t="s">
        <v>101</v>
      </c>
      <c r="C3171" t="s">
        <v>197</v>
      </c>
      <c r="D3171" t="s">
        <v>74</v>
      </c>
      <c r="E3171" t="s">
        <v>75</v>
      </c>
      <c r="F3171" s="55">
        <v>63</v>
      </c>
      <c r="G3171" s="63">
        <v>0.1744</v>
      </c>
    </row>
    <row r="3172" spans="1:7" x14ac:dyDescent="0.2">
      <c r="A3172" t="s">
        <v>71</v>
      </c>
      <c r="B3172" t="s">
        <v>101</v>
      </c>
      <c r="C3172" t="s">
        <v>197</v>
      </c>
      <c r="D3172" t="s">
        <v>74</v>
      </c>
      <c r="E3172" t="s">
        <v>76</v>
      </c>
      <c r="F3172" s="55">
        <v>54</v>
      </c>
      <c r="G3172" s="63">
        <v>1.9800000000000002E-2</v>
      </c>
    </row>
    <row r="3173" spans="1:7" x14ac:dyDescent="0.2">
      <c r="A3173" t="s">
        <v>71</v>
      </c>
      <c r="B3173" t="s">
        <v>101</v>
      </c>
      <c r="C3173" t="s">
        <v>197</v>
      </c>
      <c r="D3173" t="s">
        <v>74</v>
      </c>
      <c r="E3173" t="s">
        <v>77</v>
      </c>
      <c r="F3173" s="55">
        <v>51</v>
      </c>
      <c r="G3173" s="63">
        <v>4.2099999999999999E-2</v>
      </c>
    </row>
    <row r="3174" spans="1:7" x14ac:dyDescent="0.2">
      <c r="A3174" t="s">
        <v>71</v>
      </c>
      <c r="B3174" t="s">
        <v>101</v>
      </c>
      <c r="C3174" t="s">
        <v>197</v>
      </c>
      <c r="D3174" t="s">
        <v>74</v>
      </c>
      <c r="E3174" t="s">
        <v>78</v>
      </c>
      <c r="F3174" s="55">
        <v>59</v>
      </c>
      <c r="G3174" s="63">
        <v>3.7600000000000001E-2</v>
      </c>
    </row>
    <row r="3175" spans="1:7" x14ac:dyDescent="0.2">
      <c r="A3175" t="s">
        <v>71</v>
      </c>
      <c r="B3175" t="s">
        <v>101</v>
      </c>
      <c r="C3175" t="s">
        <v>197</v>
      </c>
      <c r="D3175" t="s">
        <v>74</v>
      </c>
      <c r="E3175" t="s">
        <v>79</v>
      </c>
      <c r="F3175" s="55">
        <v>70</v>
      </c>
      <c r="G3175" s="63">
        <v>0.1258</v>
      </c>
    </row>
    <row r="3176" spans="1:7" x14ac:dyDescent="0.2">
      <c r="A3176" t="s">
        <v>71</v>
      </c>
      <c r="B3176" t="s">
        <v>101</v>
      </c>
      <c r="C3176" t="s">
        <v>197</v>
      </c>
      <c r="D3176" t="s">
        <v>74</v>
      </c>
      <c r="E3176" t="s">
        <v>80</v>
      </c>
      <c r="F3176" s="55">
        <v>63</v>
      </c>
      <c r="G3176" s="63">
        <v>4.9000000000000002E-2</v>
      </c>
    </row>
    <row r="3177" spans="1:7" x14ac:dyDescent="0.2">
      <c r="A3177" t="s">
        <v>71</v>
      </c>
      <c r="B3177" t="s">
        <v>101</v>
      </c>
      <c r="C3177" t="s">
        <v>197</v>
      </c>
      <c r="D3177" t="s">
        <v>74</v>
      </c>
      <c r="E3177" t="s">
        <v>81</v>
      </c>
      <c r="F3177" s="55">
        <v>58</v>
      </c>
      <c r="G3177" s="63">
        <v>4.5900000000000003E-2</v>
      </c>
    </row>
    <row r="3178" spans="1:7" x14ac:dyDescent="0.2">
      <c r="A3178" t="s">
        <v>71</v>
      </c>
      <c r="B3178" t="s">
        <v>101</v>
      </c>
      <c r="C3178" t="s">
        <v>197</v>
      </c>
      <c r="D3178" t="s">
        <v>74</v>
      </c>
      <c r="E3178" t="s">
        <v>82</v>
      </c>
      <c r="F3178" s="55">
        <v>67</v>
      </c>
      <c r="G3178" s="63">
        <v>8.0299999999999996E-2</v>
      </c>
    </row>
    <row r="3179" spans="1:7" x14ac:dyDescent="0.2">
      <c r="A3179" t="s">
        <v>71</v>
      </c>
      <c r="B3179" t="s">
        <v>101</v>
      </c>
      <c r="C3179" t="s">
        <v>197</v>
      </c>
      <c r="D3179" t="s">
        <v>74</v>
      </c>
      <c r="E3179" t="s">
        <v>83</v>
      </c>
      <c r="F3179" s="55">
        <v>58</v>
      </c>
      <c r="G3179" s="63">
        <v>1.9800000000000002E-2</v>
      </c>
    </row>
    <row r="3180" spans="1:7" x14ac:dyDescent="0.2">
      <c r="A3180" t="s">
        <v>71</v>
      </c>
      <c r="B3180" t="s">
        <v>101</v>
      </c>
      <c r="C3180" t="s">
        <v>197</v>
      </c>
      <c r="D3180" t="s">
        <v>74</v>
      </c>
      <c r="E3180" t="s">
        <v>84</v>
      </c>
      <c r="F3180" s="55">
        <v>51</v>
      </c>
      <c r="G3180" s="63">
        <v>2.5399999999999999E-2</v>
      </c>
    </row>
    <row r="3181" spans="1:7" x14ac:dyDescent="0.2">
      <c r="A3181" t="s">
        <v>71</v>
      </c>
      <c r="B3181" t="s">
        <v>101</v>
      </c>
      <c r="C3181" t="s">
        <v>197</v>
      </c>
      <c r="D3181" t="s">
        <v>74</v>
      </c>
      <c r="E3181" t="s">
        <v>85</v>
      </c>
      <c r="F3181" s="55">
        <v>64</v>
      </c>
      <c r="G3181" s="63">
        <v>5.0299999999999997E-2</v>
      </c>
    </row>
    <row r="3182" spans="1:7" x14ac:dyDescent="0.2">
      <c r="A3182" t="s">
        <v>71</v>
      </c>
      <c r="B3182" t="s">
        <v>101</v>
      </c>
      <c r="C3182" t="s">
        <v>197</v>
      </c>
      <c r="D3182" t="s">
        <v>74</v>
      </c>
      <c r="E3182" t="s">
        <v>86</v>
      </c>
      <c r="F3182" s="55">
        <v>65</v>
      </c>
      <c r="G3182" s="63">
        <v>6.2600000000000003E-2</v>
      </c>
    </row>
    <row r="3183" spans="1:7" x14ac:dyDescent="0.2">
      <c r="A3183" t="s">
        <v>71</v>
      </c>
      <c r="B3183" t="s">
        <v>101</v>
      </c>
      <c r="C3183" t="s">
        <v>197</v>
      </c>
      <c r="D3183" t="s">
        <v>74</v>
      </c>
      <c r="E3183" t="s">
        <v>87</v>
      </c>
      <c r="F3183" s="55">
        <v>72</v>
      </c>
      <c r="G3183" s="63">
        <v>6.6900000000000001E-2</v>
      </c>
    </row>
    <row r="3184" spans="1:7" x14ac:dyDescent="0.2">
      <c r="A3184" t="s">
        <v>71</v>
      </c>
      <c r="B3184" t="s">
        <v>101</v>
      </c>
      <c r="C3184" t="s">
        <v>197</v>
      </c>
      <c r="D3184" t="s">
        <v>74</v>
      </c>
      <c r="E3184" t="s">
        <v>88</v>
      </c>
      <c r="F3184" s="55">
        <v>58</v>
      </c>
      <c r="G3184" s="63">
        <v>3.0700000000000002E-2</v>
      </c>
    </row>
    <row r="3185" spans="1:7" x14ac:dyDescent="0.2">
      <c r="A3185" t="s">
        <v>89</v>
      </c>
      <c r="B3185" t="s">
        <v>102</v>
      </c>
      <c r="C3185" t="s">
        <v>197</v>
      </c>
      <c r="D3185" t="s">
        <v>74</v>
      </c>
      <c r="E3185" t="s">
        <v>75</v>
      </c>
      <c r="F3185" s="55">
        <v>76</v>
      </c>
      <c r="G3185" s="63">
        <v>3.4500000000000003E-2</v>
      </c>
    </row>
    <row r="3186" spans="1:7" x14ac:dyDescent="0.2">
      <c r="A3186" t="s">
        <v>89</v>
      </c>
      <c r="B3186" t="s">
        <v>102</v>
      </c>
      <c r="C3186" t="s">
        <v>197</v>
      </c>
      <c r="D3186" t="s">
        <v>74</v>
      </c>
      <c r="E3186" t="s">
        <v>76</v>
      </c>
      <c r="F3186" s="55">
        <v>57</v>
      </c>
      <c r="G3186" s="63">
        <v>6.0000000000000001E-3</v>
      </c>
    </row>
    <row r="3187" spans="1:7" x14ac:dyDescent="0.2">
      <c r="A3187" t="s">
        <v>89</v>
      </c>
      <c r="B3187" t="s">
        <v>102</v>
      </c>
      <c r="C3187" t="s">
        <v>197</v>
      </c>
      <c r="D3187" t="s">
        <v>74</v>
      </c>
      <c r="E3187" t="s">
        <v>77</v>
      </c>
      <c r="F3187" s="55">
        <v>64</v>
      </c>
      <c r="G3187" s="63">
        <v>1.3299999999999999E-2</v>
      </c>
    </row>
    <row r="3188" spans="1:7" x14ac:dyDescent="0.2">
      <c r="A3188" t="s">
        <v>89</v>
      </c>
      <c r="B3188" t="s">
        <v>102</v>
      </c>
      <c r="C3188" t="s">
        <v>197</v>
      </c>
      <c r="D3188" t="s">
        <v>74</v>
      </c>
      <c r="E3188" t="s">
        <v>78</v>
      </c>
      <c r="F3188" s="55">
        <v>76</v>
      </c>
      <c r="G3188" s="63">
        <v>9.1000000000000004E-3</v>
      </c>
    </row>
    <row r="3189" spans="1:7" x14ac:dyDescent="0.2">
      <c r="A3189" t="s">
        <v>89</v>
      </c>
      <c r="B3189" t="s">
        <v>102</v>
      </c>
      <c r="C3189" t="s">
        <v>197</v>
      </c>
      <c r="D3189" t="s">
        <v>74</v>
      </c>
      <c r="E3189" t="s">
        <v>79</v>
      </c>
      <c r="F3189" s="55">
        <v>84</v>
      </c>
      <c r="G3189" s="63">
        <v>1.8499999999999999E-2</v>
      </c>
    </row>
    <row r="3190" spans="1:7" x14ac:dyDescent="0.2">
      <c r="A3190" t="s">
        <v>89</v>
      </c>
      <c r="B3190" t="s">
        <v>102</v>
      </c>
      <c r="C3190" t="s">
        <v>197</v>
      </c>
      <c r="D3190" t="s">
        <v>74</v>
      </c>
      <c r="E3190" t="s">
        <v>80</v>
      </c>
      <c r="F3190" s="55">
        <v>116</v>
      </c>
      <c r="G3190" s="63">
        <v>6.3E-3</v>
      </c>
    </row>
    <row r="3191" spans="1:7" x14ac:dyDescent="0.2">
      <c r="A3191" t="s">
        <v>89</v>
      </c>
      <c r="B3191" t="s">
        <v>102</v>
      </c>
      <c r="C3191" t="s">
        <v>197</v>
      </c>
      <c r="D3191" t="s">
        <v>74</v>
      </c>
      <c r="E3191" t="s">
        <v>81</v>
      </c>
      <c r="F3191" s="55">
        <v>92</v>
      </c>
      <c r="G3191" s="63">
        <v>7.0000000000000001E-3</v>
      </c>
    </row>
    <row r="3192" spans="1:7" x14ac:dyDescent="0.2">
      <c r="A3192" t="s">
        <v>89</v>
      </c>
      <c r="B3192" t="s">
        <v>102</v>
      </c>
      <c r="C3192" t="s">
        <v>197</v>
      </c>
      <c r="D3192" t="s">
        <v>74</v>
      </c>
      <c r="E3192" t="s">
        <v>82</v>
      </c>
      <c r="F3192" s="55">
        <v>111</v>
      </c>
      <c r="G3192" s="63">
        <v>1.3299999999999999E-2</v>
      </c>
    </row>
    <row r="3193" spans="1:7" x14ac:dyDescent="0.2">
      <c r="A3193" t="s">
        <v>89</v>
      </c>
      <c r="B3193" t="s">
        <v>102</v>
      </c>
      <c r="C3193" t="s">
        <v>197</v>
      </c>
      <c r="D3193" t="s">
        <v>74</v>
      </c>
      <c r="E3193" t="s">
        <v>83</v>
      </c>
      <c r="F3193" s="55">
        <v>66</v>
      </c>
      <c r="G3193" s="63">
        <v>4.0000000000000001E-3</v>
      </c>
    </row>
    <row r="3194" spans="1:7" x14ac:dyDescent="0.2">
      <c r="A3194" t="s">
        <v>89</v>
      </c>
      <c r="B3194" t="s">
        <v>102</v>
      </c>
      <c r="C3194" t="s">
        <v>197</v>
      </c>
      <c r="D3194" t="s">
        <v>74</v>
      </c>
      <c r="E3194" t="s">
        <v>84</v>
      </c>
      <c r="F3194" s="55">
        <v>75</v>
      </c>
      <c r="G3194" s="63">
        <v>7.7000000000000002E-3</v>
      </c>
    </row>
    <row r="3195" spans="1:7" x14ac:dyDescent="0.2">
      <c r="A3195" t="s">
        <v>89</v>
      </c>
      <c r="B3195" t="s">
        <v>102</v>
      </c>
      <c r="C3195" t="s">
        <v>197</v>
      </c>
      <c r="D3195" t="s">
        <v>74</v>
      </c>
      <c r="E3195" t="s">
        <v>85</v>
      </c>
      <c r="F3195" s="55">
        <v>97</v>
      </c>
      <c r="G3195" s="63">
        <v>6.0000000000000001E-3</v>
      </c>
    </row>
    <row r="3196" spans="1:7" x14ac:dyDescent="0.2">
      <c r="A3196" t="s">
        <v>89</v>
      </c>
      <c r="B3196" t="s">
        <v>102</v>
      </c>
      <c r="C3196" t="s">
        <v>197</v>
      </c>
      <c r="D3196" t="s">
        <v>74</v>
      </c>
      <c r="E3196" t="s">
        <v>86</v>
      </c>
      <c r="F3196" s="55">
        <v>94</v>
      </c>
      <c r="G3196" s="63">
        <v>7.7999999999999996E-3</v>
      </c>
    </row>
    <row r="3197" spans="1:7" x14ac:dyDescent="0.2">
      <c r="A3197" t="s">
        <v>89</v>
      </c>
      <c r="B3197" t="s">
        <v>102</v>
      </c>
      <c r="C3197" t="s">
        <v>197</v>
      </c>
      <c r="D3197" t="s">
        <v>74</v>
      </c>
      <c r="E3197" t="s">
        <v>87</v>
      </c>
      <c r="F3197" s="55">
        <v>81</v>
      </c>
      <c r="G3197" s="63">
        <v>7.3000000000000001E-3</v>
      </c>
    </row>
    <row r="3198" spans="1:7" x14ac:dyDescent="0.2">
      <c r="A3198" t="s">
        <v>89</v>
      </c>
      <c r="B3198" t="s">
        <v>102</v>
      </c>
      <c r="C3198" t="s">
        <v>197</v>
      </c>
      <c r="D3198" t="s">
        <v>74</v>
      </c>
      <c r="E3198" t="s">
        <v>88</v>
      </c>
      <c r="F3198" s="55">
        <v>58</v>
      </c>
      <c r="G3198" s="63">
        <v>7.9000000000000008E-3</v>
      </c>
    </row>
    <row r="3199" spans="1:7" x14ac:dyDescent="0.2">
      <c r="A3199" t="s">
        <v>89</v>
      </c>
      <c r="B3199" t="s">
        <v>103</v>
      </c>
      <c r="C3199" t="s">
        <v>197</v>
      </c>
      <c r="D3199" t="s">
        <v>74</v>
      </c>
      <c r="E3199" t="s">
        <v>75</v>
      </c>
      <c r="F3199" s="55">
        <v>73</v>
      </c>
      <c r="G3199" s="63">
        <v>2.3099999999999999E-2</v>
      </c>
    </row>
    <row r="3200" spans="1:7" x14ac:dyDescent="0.2">
      <c r="A3200" t="s">
        <v>89</v>
      </c>
      <c r="B3200" t="s">
        <v>103</v>
      </c>
      <c r="C3200" t="s">
        <v>197</v>
      </c>
      <c r="D3200" t="s">
        <v>74</v>
      </c>
      <c r="E3200" t="s">
        <v>77</v>
      </c>
      <c r="F3200" s="55">
        <v>71</v>
      </c>
      <c r="G3200" s="63">
        <v>7.9000000000000008E-3</v>
      </c>
    </row>
    <row r="3201" spans="1:7" x14ac:dyDescent="0.2">
      <c r="A3201" t="s">
        <v>89</v>
      </c>
      <c r="B3201" t="s">
        <v>103</v>
      </c>
      <c r="C3201" t="s">
        <v>197</v>
      </c>
      <c r="D3201" t="s">
        <v>74</v>
      </c>
      <c r="E3201" t="s">
        <v>78</v>
      </c>
      <c r="F3201" s="55">
        <v>88</v>
      </c>
      <c r="G3201" s="63">
        <v>5.7000000000000002E-3</v>
      </c>
    </row>
    <row r="3202" spans="1:7" x14ac:dyDescent="0.2">
      <c r="A3202" t="s">
        <v>89</v>
      </c>
      <c r="B3202" t="s">
        <v>103</v>
      </c>
      <c r="C3202" t="s">
        <v>197</v>
      </c>
      <c r="D3202" t="s">
        <v>74</v>
      </c>
      <c r="E3202" t="s">
        <v>79</v>
      </c>
      <c r="F3202" s="55">
        <v>70</v>
      </c>
      <c r="G3202" s="63">
        <v>1.1900000000000001E-2</v>
      </c>
    </row>
    <row r="3203" spans="1:7" x14ac:dyDescent="0.2">
      <c r="A3203" t="s">
        <v>89</v>
      </c>
      <c r="B3203" t="s">
        <v>103</v>
      </c>
      <c r="C3203" t="s">
        <v>197</v>
      </c>
      <c r="D3203" t="s">
        <v>74</v>
      </c>
      <c r="E3203" t="s">
        <v>80</v>
      </c>
      <c r="F3203" s="55">
        <v>89</v>
      </c>
      <c r="G3203" s="63">
        <v>4.0000000000000001E-3</v>
      </c>
    </row>
    <row r="3204" spans="1:7" x14ac:dyDescent="0.2">
      <c r="A3204" t="s">
        <v>89</v>
      </c>
      <c r="B3204" t="s">
        <v>103</v>
      </c>
      <c r="C3204" t="s">
        <v>197</v>
      </c>
      <c r="D3204" t="s">
        <v>74</v>
      </c>
      <c r="E3204" t="s">
        <v>81</v>
      </c>
      <c r="F3204" s="55">
        <v>87</v>
      </c>
      <c r="G3204" s="63">
        <v>5.4000000000000003E-3</v>
      </c>
    </row>
    <row r="3205" spans="1:7" x14ac:dyDescent="0.2">
      <c r="A3205" t="s">
        <v>89</v>
      </c>
      <c r="B3205" t="s">
        <v>103</v>
      </c>
      <c r="C3205" t="s">
        <v>197</v>
      </c>
      <c r="D3205" t="s">
        <v>74</v>
      </c>
      <c r="E3205" t="s">
        <v>82</v>
      </c>
      <c r="F3205" s="55">
        <v>63</v>
      </c>
      <c r="G3205" s="63">
        <v>8.6999999999999994E-3</v>
      </c>
    </row>
    <row r="3206" spans="1:7" x14ac:dyDescent="0.2">
      <c r="A3206" t="s">
        <v>89</v>
      </c>
      <c r="B3206" t="s">
        <v>103</v>
      </c>
      <c r="C3206" t="s">
        <v>197</v>
      </c>
      <c r="D3206" t="s">
        <v>74</v>
      </c>
      <c r="E3206" t="s">
        <v>84</v>
      </c>
      <c r="F3206" s="55">
        <v>90</v>
      </c>
      <c r="G3206" s="63">
        <v>4.4000000000000003E-3</v>
      </c>
    </row>
    <row r="3207" spans="1:7" x14ac:dyDescent="0.2">
      <c r="A3207" t="s">
        <v>89</v>
      </c>
      <c r="B3207" t="s">
        <v>103</v>
      </c>
      <c r="C3207" t="s">
        <v>197</v>
      </c>
      <c r="D3207" t="s">
        <v>74</v>
      </c>
      <c r="E3207" t="s">
        <v>85</v>
      </c>
      <c r="F3207" s="55">
        <v>71</v>
      </c>
      <c r="G3207" s="63">
        <v>4.1000000000000003E-3</v>
      </c>
    </row>
    <row r="3208" spans="1:7" x14ac:dyDescent="0.2">
      <c r="A3208" t="s">
        <v>89</v>
      </c>
      <c r="B3208" t="s">
        <v>103</v>
      </c>
      <c r="C3208" t="s">
        <v>197</v>
      </c>
      <c r="D3208" t="s">
        <v>74</v>
      </c>
      <c r="E3208" t="s">
        <v>86</v>
      </c>
      <c r="F3208" s="55">
        <v>67</v>
      </c>
      <c r="G3208" s="63">
        <v>5.1000000000000004E-3</v>
      </c>
    </row>
    <row r="3209" spans="1:7" x14ac:dyDescent="0.2">
      <c r="A3209" t="s">
        <v>89</v>
      </c>
      <c r="B3209" t="s">
        <v>103</v>
      </c>
      <c r="C3209" t="s">
        <v>197</v>
      </c>
      <c r="D3209" t="s">
        <v>74</v>
      </c>
      <c r="E3209" t="s">
        <v>87</v>
      </c>
      <c r="F3209" s="55">
        <v>59</v>
      </c>
      <c r="G3209" s="63">
        <v>5.1000000000000004E-3</v>
      </c>
    </row>
    <row r="3210" spans="1:7" x14ac:dyDescent="0.2">
      <c r="A3210" t="s">
        <v>89</v>
      </c>
      <c r="B3210" t="s">
        <v>103</v>
      </c>
      <c r="C3210" t="s">
        <v>197</v>
      </c>
      <c r="D3210" t="s">
        <v>74</v>
      </c>
      <c r="E3210" t="s">
        <v>88</v>
      </c>
      <c r="F3210" s="55">
        <v>58</v>
      </c>
      <c r="G3210" s="63">
        <v>4.1000000000000003E-3</v>
      </c>
    </row>
    <row r="3211" spans="1:7" x14ac:dyDescent="0.2">
      <c r="A3211" t="s">
        <v>71</v>
      </c>
      <c r="B3211" t="s">
        <v>104</v>
      </c>
      <c r="C3211" t="s">
        <v>197</v>
      </c>
      <c r="D3211" t="s">
        <v>74</v>
      </c>
      <c r="E3211" t="s">
        <v>75</v>
      </c>
      <c r="F3211" s="55">
        <v>86</v>
      </c>
      <c r="G3211" s="63">
        <v>0.21490000000000001</v>
      </c>
    </row>
    <row r="3212" spans="1:7" x14ac:dyDescent="0.2">
      <c r="A3212" t="s">
        <v>71</v>
      </c>
      <c r="B3212" t="s">
        <v>104</v>
      </c>
      <c r="C3212" t="s">
        <v>197</v>
      </c>
      <c r="D3212" t="s">
        <v>74</v>
      </c>
      <c r="E3212" t="s">
        <v>76</v>
      </c>
      <c r="F3212" s="55">
        <v>83</v>
      </c>
      <c r="G3212" s="63">
        <v>2.1299999999999999E-2</v>
      </c>
    </row>
    <row r="3213" spans="1:7" x14ac:dyDescent="0.2">
      <c r="A3213" t="s">
        <v>71</v>
      </c>
      <c r="B3213" t="s">
        <v>104</v>
      </c>
      <c r="C3213" t="s">
        <v>197</v>
      </c>
      <c r="D3213" t="s">
        <v>74</v>
      </c>
      <c r="E3213" t="s">
        <v>77</v>
      </c>
      <c r="F3213" s="55">
        <v>85</v>
      </c>
      <c r="G3213" s="63">
        <v>6.1600000000000002E-2</v>
      </c>
    </row>
    <row r="3214" spans="1:7" x14ac:dyDescent="0.2">
      <c r="A3214" t="s">
        <v>71</v>
      </c>
      <c r="B3214" t="s">
        <v>104</v>
      </c>
      <c r="C3214" t="s">
        <v>197</v>
      </c>
      <c r="D3214" t="s">
        <v>74</v>
      </c>
      <c r="E3214" t="s">
        <v>78</v>
      </c>
      <c r="F3214" s="55">
        <v>88</v>
      </c>
      <c r="G3214" s="63">
        <v>4.9500000000000002E-2</v>
      </c>
    </row>
    <row r="3215" spans="1:7" x14ac:dyDescent="0.2">
      <c r="A3215" t="s">
        <v>71</v>
      </c>
      <c r="B3215" t="s">
        <v>104</v>
      </c>
      <c r="C3215" t="s">
        <v>197</v>
      </c>
      <c r="D3215" t="s">
        <v>74</v>
      </c>
      <c r="E3215" t="s">
        <v>79</v>
      </c>
      <c r="F3215" s="55">
        <v>84</v>
      </c>
      <c r="G3215" s="63">
        <v>0.14779999999999999</v>
      </c>
    </row>
    <row r="3216" spans="1:7" x14ac:dyDescent="0.2">
      <c r="A3216" t="s">
        <v>71</v>
      </c>
      <c r="B3216" t="s">
        <v>104</v>
      </c>
      <c r="C3216" t="s">
        <v>197</v>
      </c>
      <c r="D3216" t="s">
        <v>74</v>
      </c>
      <c r="E3216" t="s">
        <v>80</v>
      </c>
      <c r="F3216" s="55">
        <v>102</v>
      </c>
      <c r="G3216" s="63">
        <v>5.4800000000000001E-2</v>
      </c>
    </row>
    <row r="3217" spans="1:7" x14ac:dyDescent="0.2">
      <c r="A3217" t="s">
        <v>71</v>
      </c>
      <c r="B3217" t="s">
        <v>104</v>
      </c>
      <c r="C3217" t="s">
        <v>197</v>
      </c>
      <c r="D3217" t="s">
        <v>74</v>
      </c>
      <c r="E3217" t="s">
        <v>81</v>
      </c>
      <c r="F3217" s="55">
        <v>98</v>
      </c>
      <c r="G3217" s="63">
        <v>5.4800000000000001E-2</v>
      </c>
    </row>
    <row r="3218" spans="1:7" x14ac:dyDescent="0.2">
      <c r="A3218" t="s">
        <v>71</v>
      </c>
      <c r="B3218" t="s">
        <v>104</v>
      </c>
      <c r="C3218" t="s">
        <v>197</v>
      </c>
      <c r="D3218" t="s">
        <v>74</v>
      </c>
      <c r="E3218" t="s">
        <v>82</v>
      </c>
      <c r="F3218" s="55">
        <v>81</v>
      </c>
      <c r="G3218" s="63">
        <v>8.3900000000000002E-2</v>
      </c>
    </row>
    <row r="3219" spans="1:7" x14ac:dyDescent="0.2">
      <c r="A3219" t="s">
        <v>71</v>
      </c>
      <c r="B3219" t="s">
        <v>104</v>
      </c>
      <c r="C3219" t="s">
        <v>197</v>
      </c>
      <c r="D3219" t="s">
        <v>74</v>
      </c>
      <c r="E3219" t="s">
        <v>83</v>
      </c>
      <c r="F3219" s="55">
        <v>86</v>
      </c>
      <c r="G3219" s="63">
        <v>2.3099999999999999E-2</v>
      </c>
    </row>
    <row r="3220" spans="1:7" x14ac:dyDescent="0.2">
      <c r="A3220" t="s">
        <v>71</v>
      </c>
      <c r="B3220" t="s">
        <v>104</v>
      </c>
      <c r="C3220" t="s">
        <v>197</v>
      </c>
      <c r="D3220" t="s">
        <v>74</v>
      </c>
      <c r="E3220" t="s">
        <v>84</v>
      </c>
      <c r="F3220" s="55">
        <v>88</v>
      </c>
      <c r="G3220" s="63">
        <v>3.7699999999999997E-2</v>
      </c>
    </row>
    <row r="3221" spans="1:7" x14ac:dyDescent="0.2">
      <c r="A3221" t="s">
        <v>71</v>
      </c>
      <c r="B3221" t="s">
        <v>104</v>
      </c>
      <c r="C3221" t="s">
        <v>197</v>
      </c>
      <c r="D3221" t="s">
        <v>74</v>
      </c>
      <c r="E3221" t="s">
        <v>85</v>
      </c>
      <c r="F3221" s="55">
        <v>92</v>
      </c>
      <c r="G3221" s="63">
        <v>5.7799999999999997E-2</v>
      </c>
    </row>
    <row r="3222" spans="1:7" x14ac:dyDescent="0.2">
      <c r="A3222" t="s">
        <v>71</v>
      </c>
      <c r="B3222" t="s">
        <v>104</v>
      </c>
      <c r="C3222" t="s">
        <v>197</v>
      </c>
      <c r="D3222" t="s">
        <v>74</v>
      </c>
      <c r="E3222" t="s">
        <v>86</v>
      </c>
      <c r="F3222" s="55">
        <v>86</v>
      </c>
      <c r="G3222" s="63">
        <v>7.17E-2</v>
      </c>
    </row>
    <row r="3223" spans="1:7" x14ac:dyDescent="0.2">
      <c r="A3223" t="s">
        <v>71</v>
      </c>
      <c r="B3223" t="s">
        <v>104</v>
      </c>
      <c r="C3223" t="s">
        <v>197</v>
      </c>
      <c r="D3223" t="s">
        <v>74</v>
      </c>
      <c r="E3223" t="s">
        <v>87</v>
      </c>
      <c r="F3223" s="55">
        <v>82</v>
      </c>
      <c r="G3223" s="63">
        <v>7.9200000000000007E-2</v>
      </c>
    </row>
    <row r="3224" spans="1:7" x14ac:dyDescent="0.2">
      <c r="A3224" t="s">
        <v>71</v>
      </c>
      <c r="B3224" t="s">
        <v>104</v>
      </c>
      <c r="C3224" t="s">
        <v>197</v>
      </c>
      <c r="D3224" t="s">
        <v>74</v>
      </c>
      <c r="E3224" t="s">
        <v>88</v>
      </c>
      <c r="F3224" s="55">
        <v>86</v>
      </c>
      <c r="G3224" s="63">
        <v>3.5799999999999998E-2</v>
      </c>
    </row>
    <row r="3225" spans="1:7" x14ac:dyDescent="0.2">
      <c r="A3225" t="s">
        <v>89</v>
      </c>
      <c r="B3225" t="s">
        <v>199</v>
      </c>
      <c r="C3225" t="s">
        <v>197</v>
      </c>
      <c r="D3225" t="s">
        <v>74</v>
      </c>
      <c r="E3225" t="s">
        <v>75</v>
      </c>
      <c r="F3225" s="55">
        <v>20</v>
      </c>
      <c r="G3225" s="63">
        <v>5.1000000000000004E-3</v>
      </c>
    </row>
    <row r="3226" spans="1:7" x14ac:dyDescent="0.2">
      <c r="A3226" t="s">
        <v>71</v>
      </c>
      <c r="B3226" t="s">
        <v>105</v>
      </c>
      <c r="C3226" t="s">
        <v>197</v>
      </c>
      <c r="D3226" t="s">
        <v>74</v>
      </c>
      <c r="E3226" t="s">
        <v>75</v>
      </c>
      <c r="F3226" s="55">
        <v>84</v>
      </c>
      <c r="G3226" s="63">
        <v>0.1232</v>
      </c>
    </row>
    <row r="3227" spans="1:7" x14ac:dyDescent="0.2">
      <c r="A3227" t="s">
        <v>71</v>
      </c>
      <c r="B3227" t="s">
        <v>105</v>
      </c>
      <c r="C3227" t="s">
        <v>197</v>
      </c>
      <c r="D3227" t="s">
        <v>74</v>
      </c>
      <c r="E3227" t="s">
        <v>76</v>
      </c>
      <c r="F3227" s="55">
        <v>71</v>
      </c>
      <c r="G3227" s="63">
        <v>1.2800000000000001E-2</v>
      </c>
    </row>
    <row r="3228" spans="1:7" x14ac:dyDescent="0.2">
      <c r="A3228" t="s">
        <v>71</v>
      </c>
      <c r="B3228" t="s">
        <v>105</v>
      </c>
      <c r="C3228" t="s">
        <v>197</v>
      </c>
      <c r="D3228" t="s">
        <v>74</v>
      </c>
      <c r="E3228" t="s">
        <v>77</v>
      </c>
      <c r="F3228" s="55">
        <v>89</v>
      </c>
      <c r="G3228" s="63">
        <v>3.2000000000000001E-2</v>
      </c>
    </row>
    <row r="3229" spans="1:7" x14ac:dyDescent="0.2">
      <c r="A3229" t="s">
        <v>71</v>
      </c>
      <c r="B3229" t="s">
        <v>105</v>
      </c>
      <c r="C3229" t="s">
        <v>197</v>
      </c>
      <c r="D3229" t="s">
        <v>74</v>
      </c>
      <c r="E3229" t="s">
        <v>78</v>
      </c>
      <c r="F3229" s="55">
        <v>83</v>
      </c>
      <c r="G3229" s="63">
        <v>2.29E-2</v>
      </c>
    </row>
    <row r="3230" spans="1:7" x14ac:dyDescent="0.2">
      <c r="A3230" t="s">
        <v>71</v>
      </c>
      <c r="B3230" t="s">
        <v>105</v>
      </c>
      <c r="C3230" t="s">
        <v>197</v>
      </c>
      <c r="D3230" t="s">
        <v>74</v>
      </c>
      <c r="E3230" t="s">
        <v>79</v>
      </c>
      <c r="F3230" s="55">
        <v>80</v>
      </c>
      <c r="G3230" s="63">
        <v>6.83E-2</v>
      </c>
    </row>
    <row r="3231" spans="1:7" x14ac:dyDescent="0.2">
      <c r="A3231" t="s">
        <v>71</v>
      </c>
      <c r="B3231" t="s">
        <v>105</v>
      </c>
      <c r="C3231" t="s">
        <v>197</v>
      </c>
      <c r="D3231" t="s">
        <v>74</v>
      </c>
      <c r="E3231" t="s">
        <v>80</v>
      </c>
      <c r="F3231" s="55">
        <v>93</v>
      </c>
      <c r="G3231" s="63">
        <v>2.5899999999999999E-2</v>
      </c>
    </row>
    <row r="3232" spans="1:7" x14ac:dyDescent="0.2">
      <c r="A3232" t="s">
        <v>71</v>
      </c>
      <c r="B3232" t="s">
        <v>105</v>
      </c>
      <c r="C3232" t="s">
        <v>197</v>
      </c>
      <c r="D3232" t="s">
        <v>74</v>
      </c>
      <c r="E3232" t="s">
        <v>81</v>
      </c>
      <c r="F3232" s="55">
        <v>92</v>
      </c>
      <c r="G3232" s="63">
        <v>2.76E-2</v>
      </c>
    </row>
    <row r="3233" spans="1:7" x14ac:dyDescent="0.2">
      <c r="A3233" t="s">
        <v>71</v>
      </c>
      <c r="B3233" t="s">
        <v>105</v>
      </c>
      <c r="C3233" t="s">
        <v>197</v>
      </c>
      <c r="D3233" t="s">
        <v>74</v>
      </c>
      <c r="E3233" t="s">
        <v>82</v>
      </c>
      <c r="F3233" s="55">
        <v>82</v>
      </c>
      <c r="G3233" s="63">
        <v>4.7199999999999999E-2</v>
      </c>
    </row>
    <row r="3234" spans="1:7" x14ac:dyDescent="0.2">
      <c r="A3234" t="s">
        <v>71</v>
      </c>
      <c r="B3234" t="s">
        <v>105</v>
      </c>
      <c r="C3234" t="s">
        <v>197</v>
      </c>
      <c r="D3234" t="s">
        <v>74</v>
      </c>
      <c r="E3234" t="s">
        <v>83</v>
      </c>
      <c r="F3234" s="55">
        <v>94</v>
      </c>
      <c r="G3234" s="63">
        <v>1.2E-2</v>
      </c>
    </row>
    <row r="3235" spans="1:7" x14ac:dyDescent="0.2">
      <c r="A3235" t="s">
        <v>71</v>
      </c>
      <c r="B3235" t="s">
        <v>105</v>
      </c>
      <c r="C3235" t="s">
        <v>197</v>
      </c>
      <c r="D3235" t="s">
        <v>74</v>
      </c>
      <c r="E3235" t="s">
        <v>84</v>
      </c>
      <c r="F3235" s="55">
        <v>88</v>
      </c>
      <c r="G3235" s="63">
        <v>1.61E-2</v>
      </c>
    </row>
    <row r="3236" spans="1:7" x14ac:dyDescent="0.2">
      <c r="A3236" t="s">
        <v>71</v>
      </c>
      <c r="B3236" t="s">
        <v>105</v>
      </c>
      <c r="C3236" t="s">
        <v>197</v>
      </c>
      <c r="D3236" t="s">
        <v>74</v>
      </c>
      <c r="E3236" t="s">
        <v>85</v>
      </c>
      <c r="F3236" s="55">
        <v>88</v>
      </c>
      <c r="G3236" s="63">
        <v>2.3199999999999998E-2</v>
      </c>
    </row>
    <row r="3237" spans="1:7" x14ac:dyDescent="0.2">
      <c r="A3237" t="s">
        <v>71</v>
      </c>
      <c r="B3237" t="s">
        <v>105</v>
      </c>
      <c r="C3237" t="s">
        <v>197</v>
      </c>
      <c r="D3237" t="s">
        <v>74</v>
      </c>
      <c r="E3237" t="s">
        <v>86</v>
      </c>
      <c r="F3237" s="55">
        <v>78</v>
      </c>
      <c r="G3237" s="63">
        <v>2.8799999999999999E-2</v>
      </c>
    </row>
    <row r="3238" spans="1:7" x14ac:dyDescent="0.2">
      <c r="A3238" t="s">
        <v>71</v>
      </c>
      <c r="B3238" t="s">
        <v>105</v>
      </c>
      <c r="C3238" t="s">
        <v>197</v>
      </c>
      <c r="D3238" t="s">
        <v>74</v>
      </c>
      <c r="E3238" t="s">
        <v>87</v>
      </c>
      <c r="F3238" s="55">
        <v>73</v>
      </c>
      <c r="G3238" s="63">
        <v>3.2500000000000001E-2</v>
      </c>
    </row>
    <row r="3239" spans="1:7" x14ac:dyDescent="0.2">
      <c r="A3239" t="s">
        <v>71</v>
      </c>
      <c r="B3239" t="s">
        <v>105</v>
      </c>
      <c r="C3239" t="s">
        <v>197</v>
      </c>
      <c r="D3239" t="s">
        <v>74</v>
      </c>
      <c r="E3239" t="s">
        <v>88</v>
      </c>
      <c r="F3239" s="55">
        <v>82</v>
      </c>
      <c r="G3239" s="63">
        <v>2.1700000000000001E-2</v>
      </c>
    </row>
    <row r="3240" spans="1:7" x14ac:dyDescent="0.2">
      <c r="A3240" t="s">
        <v>89</v>
      </c>
      <c r="B3240" t="s">
        <v>106</v>
      </c>
      <c r="C3240" t="s">
        <v>197</v>
      </c>
      <c r="D3240" t="s">
        <v>91</v>
      </c>
      <c r="E3240" t="s">
        <v>75</v>
      </c>
      <c r="F3240" s="55">
        <v>113</v>
      </c>
      <c r="G3240" s="63">
        <v>0.75770000000000004</v>
      </c>
    </row>
    <row r="3241" spans="1:7" x14ac:dyDescent="0.2">
      <c r="A3241" t="s">
        <v>89</v>
      </c>
      <c r="B3241" t="s">
        <v>106</v>
      </c>
      <c r="C3241" t="s">
        <v>197</v>
      </c>
      <c r="D3241" t="s">
        <v>91</v>
      </c>
      <c r="E3241" t="s">
        <v>76</v>
      </c>
      <c r="F3241" s="55">
        <v>98</v>
      </c>
      <c r="G3241" s="63">
        <v>0.14219999999999999</v>
      </c>
    </row>
    <row r="3242" spans="1:7" x14ac:dyDescent="0.2">
      <c r="A3242" t="s">
        <v>89</v>
      </c>
      <c r="B3242" t="s">
        <v>106</v>
      </c>
      <c r="C3242" t="s">
        <v>197</v>
      </c>
      <c r="D3242" t="s">
        <v>91</v>
      </c>
      <c r="E3242" t="s">
        <v>77</v>
      </c>
      <c r="F3242" s="55">
        <v>104</v>
      </c>
      <c r="G3242" s="63">
        <v>0.3357</v>
      </c>
    </row>
    <row r="3243" spans="1:7" x14ac:dyDescent="0.2">
      <c r="A3243" t="s">
        <v>89</v>
      </c>
      <c r="B3243" t="s">
        <v>106</v>
      </c>
      <c r="C3243" t="s">
        <v>197</v>
      </c>
      <c r="D3243" t="s">
        <v>91</v>
      </c>
      <c r="E3243" t="s">
        <v>78</v>
      </c>
      <c r="F3243" s="55">
        <v>114</v>
      </c>
      <c r="G3243" s="63">
        <v>0.33289999999999997</v>
      </c>
    </row>
    <row r="3244" spans="1:7" x14ac:dyDescent="0.2">
      <c r="A3244" t="s">
        <v>89</v>
      </c>
      <c r="B3244" t="s">
        <v>106</v>
      </c>
      <c r="C3244" t="s">
        <v>197</v>
      </c>
      <c r="D3244" t="s">
        <v>91</v>
      </c>
      <c r="E3244" t="s">
        <v>79</v>
      </c>
      <c r="F3244" s="55">
        <v>121</v>
      </c>
      <c r="G3244" s="63">
        <v>0.67749999999999999</v>
      </c>
    </row>
    <row r="3245" spans="1:7" x14ac:dyDescent="0.2">
      <c r="A3245" t="s">
        <v>89</v>
      </c>
      <c r="B3245" t="s">
        <v>106</v>
      </c>
      <c r="C3245" t="s">
        <v>197</v>
      </c>
      <c r="D3245" t="s">
        <v>91</v>
      </c>
      <c r="E3245" t="s">
        <v>80</v>
      </c>
      <c r="F3245" s="55">
        <v>120</v>
      </c>
      <c r="G3245" s="63">
        <v>0.28710000000000002</v>
      </c>
    </row>
    <row r="3246" spans="1:7" x14ac:dyDescent="0.2">
      <c r="A3246" t="s">
        <v>89</v>
      </c>
      <c r="B3246" t="s">
        <v>106</v>
      </c>
      <c r="C3246" t="s">
        <v>197</v>
      </c>
      <c r="D3246" t="s">
        <v>91</v>
      </c>
      <c r="E3246" t="s">
        <v>81</v>
      </c>
      <c r="F3246" s="55">
        <v>110</v>
      </c>
      <c r="G3246" s="63">
        <v>0.2303</v>
      </c>
    </row>
    <row r="3247" spans="1:7" x14ac:dyDescent="0.2">
      <c r="A3247" t="s">
        <v>89</v>
      </c>
      <c r="B3247" t="s">
        <v>106</v>
      </c>
      <c r="C3247" t="s">
        <v>197</v>
      </c>
      <c r="D3247" t="s">
        <v>91</v>
      </c>
      <c r="E3247" t="s">
        <v>82</v>
      </c>
      <c r="F3247" s="55">
        <v>111</v>
      </c>
      <c r="G3247" s="63">
        <v>0.5181</v>
      </c>
    </row>
    <row r="3248" spans="1:7" x14ac:dyDescent="0.2">
      <c r="A3248" t="s">
        <v>89</v>
      </c>
      <c r="B3248" t="s">
        <v>106</v>
      </c>
      <c r="C3248" t="s">
        <v>197</v>
      </c>
      <c r="D3248" t="s">
        <v>91</v>
      </c>
      <c r="E3248" t="s">
        <v>83</v>
      </c>
      <c r="F3248" s="55">
        <v>103</v>
      </c>
      <c r="G3248" s="63">
        <v>9.6699999999999994E-2</v>
      </c>
    </row>
    <row r="3249" spans="1:7" x14ac:dyDescent="0.2">
      <c r="A3249" t="s">
        <v>89</v>
      </c>
      <c r="B3249" t="s">
        <v>106</v>
      </c>
      <c r="C3249" t="s">
        <v>197</v>
      </c>
      <c r="D3249" t="s">
        <v>91</v>
      </c>
      <c r="E3249" t="s">
        <v>84</v>
      </c>
      <c r="F3249" s="55">
        <v>110</v>
      </c>
      <c r="G3249" s="63">
        <v>0.23930000000000001</v>
      </c>
    </row>
    <row r="3250" spans="1:7" x14ac:dyDescent="0.2">
      <c r="A3250" t="s">
        <v>89</v>
      </c>
      <c r="B3250" t="s">
        <v>106</v>
      </c>
      <c r="C3250" t="s">
        <v>197</v>
      </c>
      <c r="D3250" t="s">
        <v>91</v>
      </c>
      <c r="E3250" t="s">
        <v>85</v>
      </c>
      <c r="F3250" s="55">
        <v>122</v>
      </c>
      <c r="G3250" s="63">
        <v>0.42649999999999999</v>
      </c>
    </row>
    <row r="3251" spans="1:7" x14ac:dyDescent="0.2">
      <c r="A3251" t="s">
        <v>89</v>
      </c>
      <c r="B3251" t="s">
        <v>106</v>
      </c>
      <c r="C3251" t="s">
        <v>197</v>
      </c>
      <c r="D3251" t="s">
        <v>91</v>
      </c>
      <c r="E3251" t="s">
        <v>86</v>
      </c>
      <c r="F3251" s="55">
        <v>118</v>
      </c>
      <c r="G3251" s="63">
        <v>0.4587</v>
      </c>
    </row>
    <row r="3252" spans="1:7" x14ac:dyDescent="0.2">
      <c r="A3252" t="s">
        <v>89</v>
      </c>
      <c r="B3252" t="s">
        <v>106</v>
      </c>
      <c r="C3252" t="s">
        <v>197</v>
      </c>
      <c r="D3252" t="s">
        <v>91</v>
      </c>
      <c r="E3252" t="s">
        <v>87</v>
      </c>
      <c r="F3252" s="55">
        <v>118</v>
      </c>
      <c r="G3252" s="63">
        <v>0.48820000000000002</v>
      </c>
    </row>
    <row r="3253" spans="1:7" x14ac:dyDescent="0.2">
      <c r="A3253" t="s">
        <v>89</v>
      </c>
      <c r="B3253" t="s">
        <v>106</v>
      </c>
      <c r="C3253" t="s">
        <v>197</v>
      </c>
      <c r="D3253" t="s">
        <v>91</v>
      </c>
      <c r="E3253" t="s">
        <v>88</v>
      </c>
      <c r="F3253" s="55">
        <v>100</v>
      </c>
      <c r="G3253" s="63">
        <v>0.21840000000000001</v>
      </c>
    </row>
    <row r="3254" spans="1:7" x14ac:dyDescent="0.2">
      <c r="A3254" t="s">
        <v>89</v>
      </c>
      <c r="B3254" t="s">
        <v>107</v>
      </c>
      <c r="C3254" t="s">
        <v>197</v>
      </c>
      <c r="D3254" t="s">
        <v>74</v>
      </c>
      <c r="E3254" t="s">
        <v>75</v>
      </c>
      <c r="F3254" s="55">
        <v>79</v>
      </c>
      <c r="G3254" s="63">
        <v>4.0899999999999999E-2</v>
      </c>
    </row>
    <row r="3255" spans="1:7" x14ac:dyDescent="0.2">
      <c r="A3255" t="s">
        <v>89</v>
      </c>
      <c r="B3255" t="s">
        <v>107</v>
      </c>
      <c r="C3255" t="s">
        <v>197</v>
      </c>
      <c r="D3255" t="s">
        <v>74</v>
      </c>
      <c r="E3255" t="s">
        <v>77</v>
      </c>
      <c r="F3255" s="55">
        <v>88</v>
      </c>
      <c r="G3255" s="63">
        <v>8.6E-3</v>
      </c>
    </row>
    <row r="3256" spans="1:7" x14ac:dyDescent="0.2">
      <c r="A3256" t="s">
        <v>89</v>
      </c>
      <c r="B3256" t="s">
        <v>107</v>
      </c>
      <c r="C3256" t="s">
        <v>197</v>
      </c>
      <c r="D3256" t="s">
        <v>74</v>
      </c>
      <c r="E3256" t="s">
        <v>78</v>
      </c>
      <c r="F3256" s="55">
        <v>84</v>
      </c>
      <c r="G3256" s="63">
        <v>6.7999999999999996E-3</v>
      </c>
    </row>
    <row r="3257" spans="1:7" x14ac:dyDescent="0.2">
      <c r="A3257" t="s">
        <v>89</v>
      </c>
      <c r="B3257" t="s">
        <v>107</v>
      </c>
      <c r="C3257" t="s">
        <v>197</v>
      </c>
      <c r="D3257" t="s">
        <v>74</v>
      </c>
      <c r="E3257" t="s">
        <v>79</v>
      </c>
      <c r="F3257" s="55">
        <v>89</v>
      </c>
      <c r="G3257" s="63">
        <v>2.53E-2</v>
      </c>
    </row>
    <row r="3258" spans="1:7" x14ac:dyDescent="0.2">
      <c r="A3258" t="s">
        <v>89</v>
      </c>
      <c r="B3258" t="s">
        <v>107</v>
      </c>
      <c r="C3258" t="s">
        <v>197</v>
      </c>
      <c r="D3258" t="s">
        <v>74</v>
      </c>
      <c r="E3258" t="s">
        <v>80</v>
      </c>
      <c r="F3258" s="55">
        <v>95</v>
      </c>
      <c r="G3258" s="63">
        <v>6.0000000000000001E-3</v>
      </c>
    </row>
    <row r="3259" spans="1:7" x14ac:dyDescent="0.2">
      <c r="A3259" t="s">
        <v>89</v>
      </c>
      <c r="B3259" t="s">
        <v>107</v>
      </c>
      <c r="C3259" t="s">
        <v>197</v>
      </c>
      <c r="D3259" t="s">
        <v>74</v>
      </c>
      <c r="E3259" t="s">
        <v>81</v>
      </c>
      <c r="F3259" s="55">
        <v>70</v>
      </c>
      <c r="G3259" s="63">
        <v>5.8999999999999999E-3</v>
      </c>
    </row>
    <row r="3260" spans="1:7" x14ac:dyDescent="0.2">
      <c r="A3260" t="s">
        <v>89</v>
      </c>
      <c r="B3260" t="s">
        <v>107</v>
      </c>
      <c r="C3260" t="s">
        <v>197</v>
      </c>
      <c r="D3260" t="s">
        <v>74</v>
      </c>
      <c r="E3260" t="s">
        <v>82</v>
      </c>
      <c r="F3260" s="55">
        <v>72</v>
      </c>
      <c r="G3260" s="63">
        <v>1.47E-2</v>
      </c>
    </row>
    <row r="3261" spans="1:7" x14ac:dyDescent="0.2">
      <c r="A3261" t="s">
        <v>89</v>
      </c>
      <c r="B3261" t="s">
        <v>107</v>
      </c>
      <c r="C3261" t="s">
        <v>197</v>
      </c>
      <c r="D3261" t="s">
        <v>74</v>
      </c>
      <c r="E3261" t="s">
        <v>84</v>
      </c>
      <c r="F3261" s="55">
        <v>92</v>
      </c>
      <c r="G3261" s="63">
        <v>4.4000000000000003E-3</v>
      </c>
    </row>
    <row r="3262" spans="1:7" x14ac:dyDescent="0.2">
      <c r="A3262" t="s">
        <v>89</v>
      </c>
      <c r="B3262" t="s">
        <v>107</v>
      </c>
      <c r="C3262" t="s">
        <v>197</v>
      </c>
      <c r="D3262" t="s">
        <v>74</v>
      </c>
      <c r="E3262" t="s">
        <v>85</v>
      </c>
      <c r="F3262" s="55">
        <v>88</v>
      </c>
      <c r="G3262" s="63">
        <v>8.6E-3</v>
      </c>
    </row>
    <row r="3263" spans="1:7" x14ac:dyDescent="0.2">
      <c r="A3263" t="s">
        <v>89</v>
      </c>
      <c r="B3263" t="s">
        <v>107</v>
      </c>
      <c r="C3263" t="s">
        <v>197</v>
      </c>
      <c r="D3263" t="s">
        <v>74</v>
      </c>
      <c r="E3263" t="s">
        <v>86</v>
      </c>
      <c r="F3263" s="55">
        <v>87</v>
      </c>
      <c r="G3263" s="63">
        <v>1.0699999999999999E-2</v>
      </c>
    </row>
    <row r="3264" spans="1:7" x14ac:dyDescent="0.2">
      <c r="A3264" t="s">
        <v>89</v>
      </c>
      <c r="B3264" t="s">
        <v>107</v>
      </c>
      <c r="C3264" t="s">
        <v>197</v>
      </c>
      <c r="D3264" t="s">
        <v>74</v>
      </c>
      <c r="E3264" t="s">
        <v>87</v>
      </c>
      <c r="F3264" s="55">
        <v>100</v>
      </c>
      <c r="G3264" s="63">
        <v>1.34E-2</v>
      </c>
    </row>
    <row r="3265" spans="1:7" x14ac:dyDescent="0.2">
      <c r="A3265" t="s">
        <v>89</v>
      </c>
      <c r="B3265" t="s">
        <v>107</v>
      </c>
      <c r="C3265" t="s">
        <v>197</v>
      </c>
      <c r="D3265" t="s">
        <v>74</v>
      </c>
      <c r="E3265" t="s">
        <v>88</v>
      </c>
      <c r="F3265" s="55">
        <v>37</v>
      </c>
      <c r="G3265" s="63">
        <v>4.3E-3</v>
      </c>
    </row>
    <row r="3266" spans="1:7" x14ac:dyDescent="0.2">
      <c r="A3266" t="s">
        <v>71</v>
      </c>
      <c r="B3266" t="s">
        <v>5</v>
      </c>
      <c r="C3266" t="s">
        <v>197</v>
      </c>
      <c r="D3266" t="s">
        <v>74</v>
      </c>
      <c r="E3266" t="s">
        <v>75</v>
      </c>
      <c r="F3266" s="55">
        <v>105</v>
      </c>
      <c r="G3266" s="63">
        <v>0.35370000000000001</v>
      </c>
    </row>
    <row r="3267" spans="1:7" x14ac:dyDescent="0.2">
      <c r="A3267" t="s">
        <v>71</v>
      </c>
      <c r="B3267" t="s">
        <v>5</v>
      </c>
      <c r="C3267" t="s">
        <v>197</v>
      </c>
      <c r="D3267" t="s">
        <v>74</v>
      </c>
      <c r="E3267" t="s">
        <v>76</v>
      </c>
      <c r="F3267" s="55">
        <v>101</v>
      </c>
      <c r="G3267" s="63">
        <v>4.1700000000000001E-2</v>
      </c>
    </row>
    <row r="3268" spans="1:7" x14ac:dyDescent="0.2">
      <c r="A3268" t="s">
        <v>71</v>
      </c>
      <c r="B3268" t="s">
        <v>5</v>
      </c>
      <c r="C3268" t="s">
        <v>197</v>
      </c>
      <c r="D3268" t="s">
        <v>74</v>
      </c>
      <c r="E3268" t="s">
        <v>77</v>
      </c>
      <c r="F3268" s="55">
        <v>102</v>
      </c>
      <c r="G3268" s="63">
        <v>0.11119999999999999</v>
      </c>
    </row>
    <row r="3269" spans="1:7" x14ac:dyDescent="0.2">
      <c r="A3269" t="s">
        <v>71</v>
      </c>
      <c r="B3269" t="s">
        <v>5</v>
      </c>
      <c r="C3269" t="s">
        <v>197</v>
      </c>
      <c r="D3269" t="s">
        <v>74</v>
      </c>
      <c r="E3269" t="s">
        <v>78</v>
      </c>
      <c r="F3269" s="55">
        <v>108</v>
      </c>
      <c r="G3269" s="63">
        <v>0.1389</v>
      </c>
    </row>
    <row r="3270" spans="1:7" x14ac:dyDescent="0.2">
      <c r="A3270" t="s">
        <v>71</v>
      </c>
      <c r="B3270" t="s">
        <v>5</v>
      </c>
      <c r="C3270" t="s">
        <v>197</v>
      </c>
      <c r="D3270" t="s">
        <v>74</v>
      </c>
      <c r="E3270" t="s">
        <v>79</v>
      </c>
      <c r="F3270" s="55">
        <v>107</v>
      </c>
      <c r="G3270" s="63">
        <v>0.24759999999999999</v>
      </c>
    </row>
    <row r="3271" spans="1:7" x14ac:dyDescent="0.2">
      <c r="A3271" t="s">
        <v>71</v>
      </c>
      <c r="B3271" t="s">
        <v>5</v>
      </c>
      <c r="C3271" t="s">
        <v>197</v>
      </c>
      <c r="D3271" t="s">
        <v>74</v>
      </c>
      <c r="E3271" t="s">
        <v>80</v>
      </c>
      <c r="F3271" s="55">
        <v>112</v>
      </c>
      <c r="G3271" s="63">
        <v>6.3399999999999998E-2</v>
      </c>
    </row>
    <row r="3272" spans="1:7" x14ac:dyDescent="0.2">
      <c r="A3272" t="s">
        <v>71</v>
      </c>
      <c r="B3272" t="s">
        <v>5</v>
      </c>
      <c r="C3272" t="s">
        <v>197</v>
      </c>
      <c r="D3272" t="s">
        <v>74</v>
      </c>
      <c r="E3272" t="s">
        <v>81</v>
      </c>
      <c r="F3272" s="55">
        <v>102</v>
      </c>
      <c r="G3272" s="63">
        <v>7.22E-2</v>
      </c>
    </row>
    <row r="3273" spans="1:7" x14ac:dyDescent="0.2">
      <c r="A3273" t="s">
        <v>71</v>
      </c>
      <c r="B3273" t="s">
        <v>5</v>
      </c>
      <c r="C3273" t="s">
        <v>197</v>
      </c>
      <c r="D3273" t="s">
        <v>74</v>
      </c>
      <c r="E3273" t="s">
        <v>82</v>
      </c>
      <c r="F3273" s="55">
        <v>110</v>
      </c>
      <c r="G3273" s="63">
        <v>0.19359999999999999</v>
      </c>
    </row>
    <row r="3274" spans="1:7" x14ac:dyDescent="0.2">
      <c r="A3274" t="s">
        <v>71</v>
      </c>
      <c r="B3274" t="s">
        <v>5</v>
      </c>
      <c r="C3274" t="s">
        <v>197</v>
      </c>
      <c r="D3274" t="s">
        <v>74</v>
      </c>
      <c r="E3274" t="s">
        <v>83</v>
      </c>
      <c r="F3274" s="55">
        <v>96</v>
      </c>
      <c r="G3274" s="63">
        <v>3.3599999999999998E-2</v>
      </c>
    </row>
    <row r="3275" spans="1:7" x14ac:dyDescent="0.2">
      <c r="A3275" t="s">
        <v>71</v>
      </c>
      <c r="B3275" t="s">
        <v>5</v>
      </c>
      <c r="C3275" t="s">
        <v>197</v>
      </c>
      <c r="D3275" t="s">
        <v>74</v>
      </c>
      <c r="E3275" t="s">
        <v>84</v>
      </c>
      <c r="F3275" s="55">
        <v>106</v>
      </c>
      <c r="G3275" s="63">
        <v>0.1075</v>
      </c>
    </row>
    <row r="3276" spans="1:7" x14ac:dyDescent="0.2">
      <c r="A3276" t="s">
        <v>71</v>
      </c>
      <c r="B3276" t="s">
        <v>5</v>
      </c>
      <c r="C3276" t="s">
        <v>197</v>
      </c>
      <c r="D3276" t="s">
        <v>74</v>
      </c>
      <c r="E3276" t="s">
        <v>85</v>
      </c>
      <c r="F3276" s="55">
        <v>105</v>
      </c>
      <c r="G3276" s="63">
        <v>7.8700000000000006E-2</v>
      </c>
    </row>
    <row r="3277" spans="1:7" x14ac:dyDescent="0.2">
      <c r="A3277" t="s">
        <v>71</v>
      </c>
      <c r="B3277" t="s">
        <v>5</v>
      </c>
      <c r="C3277" t="s">
        <v>197</v>
      </c>
      <c r="D3277" t="s">
        <v>74</v>
      </c>
      <c r="E3277" t="s">
        <v>86</v>
      </c>
      <c r="F3277" s="55">
        <v>109</v>
      </c>
      <c r="G3277" s="63">
        <v>0.1128</v>
      </c>
    </row>
    <row r="3278" spans="1:7" x14ac:dyDescent="0.2">
      <c r="A3278" t="s">
        <v>71</v>
      </c>
      <c r="B3278" t="s">
        <v>5</v>
      </c>
      <c r="C3278" t="s">
        <v>197</v>
      </c>
      <c r="D3278" t="s">
        <v>74</v>
      </c>
      <c r="E3278" t="s">
        <v>87</v>
      </c>
      <c r="F3278" s="55">
        <v>108</v>
      </c>
      <c r="G3278" s="63">
        <v>0.1231</v>
      </c>
    </row>
    <row r="3279" spans="1:7" x14ac:dyDescent="0.2">
      <c r="A3279" t="s">
        <v>71</v>
      </c>
      <c r="B3279" t="s">
        <v>5</v>
      </c>
      <c r="C3279" t="s">
        <v>197</v>
      </c>
      <c r="D3279" t="s">
        <v>74</v>
      </c>
      <c r="E3279" t="s">
        <v>88</v>
      </c>
      <c r="F3279" s="55">
        <v>103</v>
      </c>
      <c r="G3279" s="63">
        <v>6.88E-2</v>
      </c>
    </row>
    <row r="3280" spans="1:7" x14ac:dyDescent="0.2">
      <c r="A3280" t="s">
        <v>71</v>
      </c>
      <c r="B3280" t="s">
        <v>6</v>
      </c>
      <c r="C3280" t="s">
        <v>197</v>
      </c>
      <c r="D3280" t="s">
        <v>74</v>
      </c>
      <c r="E3280" t="s">
        <v>75</v>
      </c>
      <c r="F3280" s="55">
        <v>93</v>
      </c>
      <c r="G3280" s="63">
        <v>0.43149999999999999</v>
      </c>
    </row>
    <row r="3281" spans="1:7" x14ac:dyDescent="0.2">
      <c r="A3281" t="s">
        <v>71</v>
      </c>
      <c r="B3281" t="s">
        <v>6</v>
      </c>
      <c r="C3281" t="s">
        <v>197</v>
      </c>
      <c r="D3281" t="s">
        <v>74</v>
      </c>
      <c r="E3281" t="s">
        <v>76</v>
      </c>
      <c r="F3281" s="55">
        <v>86</v>
      </c>
      <c r="G3281" s="63">
        <v>0.1091</v>
      </c>
    </row>
    <row r="3282" spans="1:7" x14ac:dyDescent="0.2">
      <c r="A3282" t="s">
        <v>71</v>
      </c>
      <c r="B3282" t="s">
        <v>6</v>
      </c>
      <c r="C3282" t="s">
        <v>197</v>
      </c>
      <c r="D3282" t="s">
        <v>74</v>
      </c>
      <c r="E3282" t="s">
        <v>77</v>
      </c>
      <c r="F3282" s="55">
        <v>96</v>
      </c>
      <c r="G3282" s="63">
        <v>0.23599999999999999</v>
      </c>
    </row>
    <row r="3283" spans="1:7" x14ac:dyDescent="0.2">
      <c r="A3283" t="s">
        <v>71</v>
      </c>
      <c r="B3283" t="s">
        <v>6</v>
      </c>
      <c r="C3283" t="s">
        <v>197</v>
      </c>
      <c r="D3283" t="s">
        <v>74</v>
      </c>
      <c r="E3283" t="s">
        <v>78</v>
      </c>
      <c r="F3283" s="55">
        <v>95</v>
      </c>
      <c r="G3283" s="63">
        <v>0.191</v>
      </c>
    </row>
    <row r="3284" spans="1:7" x14ac:dyDescent="0.2">
      <c r="A3284" t="s">
        <v>71</v>
      </c>
      <c r="B3284" t="s">
        <v>6</v>
      </c>
      <c r="C3284" t="s">
        <v>197</v>
      </c>
      <c r="D3284" t="s">
        <v>74</v>
      </c>
      <c r="E3284" t="s">
        <v>79</v>
      </c>
      <c r="F3284" s="55">
        <v>92</v>
      </c>
      <c r="G3284" s="63">
        <v>0.31580000000000003</v>
      </c>
    </row>
    <row r="3285" spans="1:7" x14ac:dyDescent="0.2">
      <c r="A3285" t="s">
        <v>71</v>
      </c>
      <c r="B3285" t="s">
        <v>6</v>
      </c>
      <c r="C3285" t="s">
        <v>197</v>
      </c>
      <c r="D3285" t="s">
        <v>74</v>
      </c>
      <c r="E3285" t="s">
        <v>80</v>
      </c>
      <c r="F3285" s="55">
        <v>89</v>
      </c>
      <c r="G3285" s="63">
        <v>0.15820000000000001</v>
      </c>
    </row>
    <row r="3286" spans="1:7" x14ac:dyDescent="0.2">
      <c r="A3286" t="s">
        <v>71</v>
      </c>
      <c r="B3286" t="s">
        <v>6</v>
      </c>
      <c r="C3286" t="s">
        <v>197</v>
      </c>
      <c r="D3286" t="s">
        <v>74</v>
      </c>
      <c r="E3286" t="s">
        <v>81</v>
      </c>
      <c r="F3286" s="55">
        <v>86</v>
      </c>
      <c r="G3286" s="63">
        <v>0.14929999999999999</v>
      </c>
    </row>
    <row r="3287" spans="1:7" x14ac:dyDescent="0.2">
      <c r="A3287" t="s">
        <v>71</v>
      </c>
      <c r="B3287" t="s">
        <v>6</v>
      </c>
      <c r="C3287" t="s">
        <v>197</v>
      </c>
      <c r="D3287" t="s">
        <v>74</v>
      </c>
      <c r="E3287" t="s">
        <v>82</v>
      </c>
      <c r="F3287" s="55">
        <v>94</v>
      </c>
      <c r="G3287" s="63">
        <v>0.28889999999999999</v>
      </c>
    </row>
    <row r="3288" spans="1:7" x14ac:dyDescent="0.2">
      <c r="A3288" t="s">
        <v>71</v>
      </c>
      <c r="B3288" t="s">
        <v>6</v>
      </c>
      <c r="C3288" t="s">
        <v>197</v>
      </c>
      <c r="D3288" t="s">
        <v>74</v>
      </c>
      <c r="E3288" t="s">
        <v>83</v>
      </c>
      <c r="F3288" s="55">
        <v>84</v>
      </c>
      <c r="G3288" s="63">
        <v>7.7799999999999994E-2</v>
      </c>
    </row>
    <row r="3289" spans="1:7" x14ac:dyDescent="0.2">
      <c r="A3289" t="s">
        <v>71</v>
      </c>
      <c r="B3289" t="s">
        <v>6</v>
      </c>
      <c r="C3289" t="s">
        <v>197</v>
      </c>
      <c r="D3289" t="s">
        <v>74</v>
      </c>
      <c r="E3289" t="s">
        <v>84</v>
      </c>
      <c r="F3289" s="55">
        <v>97</v>
      </c>
      <c r="G3289" s="63">
        <v>0.1704</v>
      </c>
    </row>
    <row r="3290" spans="1:7" x14ac:dyDescent="0.2">
      <c r="A3290" t="s">
        <v>71</v>
      </c>
      <c r="B3290" t="s">
        <v>6</v>
      </c>
      <c r="C3290" t="s">
        <v>197</v>
      </c>
      <c r="D3290" t="s">
        <v>74</v>
      </c>
      <c r="E3290" t="s">
        <v>85</v>
      </c>
      <c r="F3290" s="55">
        <v>88</v>
      </c>
      <c r="G3290" s="63">
        <v>0.17979999999999999</v>
      </c>
    </row>
    <row r="3291" spans="1:7" x14ac:dyDescent="0.2">
      <c r="A3291" t="s">
        <v>71</v>
      </c>
      <c r="B3291" t="s">
        <v>6</v>
      </c>
      <c r="C3291" t="s">
        <v>197</v>
      </c>
      <c r="D3291" t="s">
        <v>74</v>
      </c>
      <c r="E3291" t="s">
        <v>86</v>
      </c>
      <c r="F3291" s="55">
        <v>90</v>
      </c>
      <c r="G3291" s="63">
        <v>0.19900000000000001</v>
      </c>
    </row>
    <row r="3292" spans="1:7" x14ac:dyDescent="0.2">
      <c r="A3292" t="s">
        <v>71</v>
      </c>
      <c r="B3292" t="s">
        <v>6</v>
      </c>
      <c r="C3292" t="s">
        <v>197</v>
      </c>
      <c r="D3292" t="s">
        <v>74</v>
      </c>
      <c r="E3292" t="s">
        <v>87</v>
      </c>
      <c r="F3292" s="55">
        <v>94</v>
      </c>
      <c r="G3292" s="63">
        <v>0.19950000000000001</v>
      </c>
    </row>
    <row r="3293" spans="1:7" x14ac:dyDescent="0.2">
      <c r="A3293" t="s">
        <v>71</v>
      </c>
      <c r="B3293" t="s">
        <v>6</v>
      </c>
      <c r="C3293" t="s">
        <v>197</v>
      </c>
      <c r="D3293" t="s">
        <v>74</v>
      </c>
      <c r="E3293" t="s">
        <v>88</v>
      </c>
      <c r="F3293" s="55">
        <v>87</v>
      </c>
      <c r="G3293" s="63">
        <v>0.15010000000000001</v>
      </c>
    </row>
    <row r="3294" spans="1:7" x14ac:dyDescent="0.2">
      <c r="A3294" t="s">
        <v>71</v>
      </c>
      <c r="B3294" t="s">
        <v>108</v>
      </c>
      <c r="C3294" t="s">
        <v>197</v>
      </c>
      <c r="D3294" t="s">
        <v>74</v>
      </c>
      <c r="E3294" t="s">
        <v>75</v>
      </c>
      <c r="F3294" s="55">
        <v>16</v>
      </c>
      <c r="G3294" s="63">
        <v>5.4000000000000003E-3</v>
      </c>
    </row>
    <row r="3295" spans="1:7" x14ac:dyDescent="0.2">
      <c r="A3295" t="s">
        <v>89</v>
      </c>
      <c r="B3295" t="s">
        <v>109</v>
      </c>
      <c r="C3295" t="s">
        <v>197</v>
      </c>
      <c r="D3295" t="s">
        <v>74</v>
      </c>
      <c r="E3295" t="s">
        <v>75</v>
      </c>
      <c r="F3295" s="55">
        <v>187</v>
      </c>
      <c r="G3295" s="63">
        <v>4.4000000000000003E-3</v>
      </c>
    </row>
    <row r="3296" spans="1:7" x14ac:dyDescent="0.2">
      <c r="A3296" t="s">
        <v>71</v>
      </c>
      <c r="B3296" t="s">
        <v>7</v>
      </c>
      <c r="C3296" t="s">
        <v>197</v>
      </c>
      <c r="D3296" t="s">
        <v>74</v>
      </c>
      <c r="E3296" t="s">
        <v>75</v>
      </c>
      <c r="F3296" s="55">
        <v>90</v>
      </c>
      <c r="G3296" s="63">
        <v>0.1883</v>
      </c>
    </row>
    <row r="3297" spans="1:7" x14ac:dyDescent="0.2">
      <c r="A3297" t="s">
        <v>71</v>
      </c>
      <c r="B3297" t="s">
        <v>7</v>
      </c>
      <c r="C3297" t="s">
        <v>197</v>
      </c>
      <c r="D3297" t="s">
        <v>74</v>
      </c>
      <c r="E3297" t="s">
        <v>76</v>
      </c>
      <c r="F3297" s="55">
        <v>82</v>
      </c>
      <c r="G3297" s="63">
        <v>1.5299999999999999E-2</v>
      </c>
    </row>
    <row r="3298" spans="1:7" x14ac:dyDescent="0.2">
      <c r="A3298" t="s">
        <v>71</v>
      </c>
      <c r="B3298" t="s">
        <v>7</v>
      </c>
      <c r="C3298" t="s">
        <v>197</v>
      </c>
      <c r="D3298" t="s">
        <v>74</v>
      </c>
      <c r="E3298" t="s">
        <v>77</v>
      </c>
      <c r="F3298" s="55">
        <v>101</v>
      </c>
      <c r="G3298" s="63">
        <v>5.2299999999999999E-2</v>
      </c>
    </row>
    <row r="3299" spans="1:7" x14ac:dyDescent="0.2">
      <c r="A3299" t="s">
        <v>71</v>
      </c>
      <c r="B3299" t="s">
        <v>7</v>
      </c>
      <c r="C3299" t="s">
        <v>197</v>
      </c>
      <c r="D3299" t="s">
        <v>74</v>
      </c>
      <c r="E3299" t="s">
        <v>78</v>
      </c>
      <c r="F3299" s="55">
        <v>95</v>
      </c>
      <c r="G3299" s="63">
        <v>3.9800000000000002E-2</v>
      </c>
    </row>
    <row r="3300" spans="1:7" x14ac:dyDescent="0.2">
      <c r="A3300" t="s">
        <v>71</v>
      </c>
      <c r="B3300" t="s">
        <v>7</v>
      </c>
      <c r="C3300" t="s">
        <v>197</v>
      </c>
      <c r="D3300" t="s">
        <v>74</v>
      </c>
      <c r="E3300" t="s">
        <v>79</v>
      </c>
      <c r="F3300" s="55">
        <v>86</v>
      </c>
      <c r="G3300" s="63">
        <v>0.12590000000000001</v>
      </c>
    </row>
    <row r="3301" spans="1:7" x14ac:dyDescent="0.2">
      <c r="A3301" t="s">
        <v>71</v>
      </c>
      <c r="B3301" t="s">
        <v>7</v>
      </c>
      <c r="C3301" t="s">
        <v>197</v>
      </c>
      <c r="D3301" t="s">
        <v>74</v>
      </c>
      <c r="E3301" t="s">
        <v>80</v>
      </c>
      <c r="F3301" s="55">
        <v>83</v>
      </c>
      <c r="G3301" s="63">
        <v>4.5499999999999999E-2</v>
      </c>
    </row>
    <row r="3302" spans="1:7" x14ac:dyDescent="0.2">
      <c r="A3302" t="s">
        <v>71</v>
      </c>
      <c r="B3302" t="s">
        <v>7</v>
      </c>
      <c r="C3302" t="s">
        <v>197</v>
      </c>
      <c r="D3302" t="s">
        <v>74</v>
      </c>
      <c r="E3302" t="s">
        <v>81</v>
      </c>
      <c r="F3302" s="55">
        <v>91</v>
      </c>
      <c r="G3302" s="63">
        <v>3.9399999999999998E-2</v>
      </c>
    </row>
    <row r="3303" spans="1:7" x14ac:dyDescent="0.2">
      <c r="A3303" t="s">
        <v>71</v>
      </c>
      <c r="B3303" t="s">
        <v>7</v>
      </c>
      <c r="C3303" t="s">
        <v>197</v>
      </c>
      <c r="D3303" t="s">
        <v>74</v>
      </c>
      <c r="E3303" t="s">
        <v>82</v>
      </c>
      <c r="F3303" s="55">
        <v>87</v>
      </c>
      <c r="G3303" s="63">
        <v>7.1800000000000003E-2</v>
      </c>
    </row>
    <row r="3304" spans="1:7" x14ac:dyDescent="0.2">
      <c r="A3304" t="s">
        <v>71</v>
      </c>
      <c r="B3304" t="s">
        <v>7</v>
      </c>
      <c r="C3304" t="s">
        <v>197</v>
      </c>
      <c r="D3304" t="s">
        <v>74</v>
      </c>
      <c r="E3304" t="s">
        <v>83</v>
      </c>
      <c r="F3304" s="55">
        <v>89</v>
      </c>
      <c r="G3304" s="63">
        <v>1.4200000000000001E-2</v>
      </c>
    </row>
    <row r="3305" spans="1:7" x14ac:dyDescent="0.2">
      <c r="A3305" t="s">
        <v>71</v>
      </c>
      <c r="B3305" t="s">
        <v>7</v>
      </c>
      <c r="C3305" t="s">
        <v>197</v>
      </c>
      <c r="D3305" t="s">
        <v>74</v>
      </c>
      <c r="E3305" t="s">
        <v>84</v>
      </c>
      <c r="F3305" s="55">
        <v>100</v>
      </c>
      <c r="G3305" s="63">
        <v>3.3599999999999998E-2</v>
      </c>
    </row>
    <row r="3306" spans="1:7" x14ac:dyDescent="0.2">
      <c r="A3306" t="s">
        <v>71</v>
      </c>
      <c r="B3306" t="s">
        <v>7</v>
      </c>
      <c r="C3306" t="s">
        <v>197</v>
      </c>
      <c r="D3306" t="s">
        <v>74</v>
      </c>
      <c r="E3306" t="s">
        <v>85</v>
      </c>
      <c r="F3306" s="55">
        <v>93</v>
      </c>
      <c r="G3306" s="63">
        <v>5.3699999999999998E-2</v>
      </c>
    </row>
    <row r="3307" spans="1:7" x14ac:dyDescent="0.2">
      <c r="A3307" t="s">
        <v>71</v>
      </c>
      <c r="B3307" t="s">
        <v>7</v>
      </c>
      <c r="C3307" t="s">
        <v>197</v>
      </c>
      <c r="D3307" t="s">
        <v>74</v>
      </c>
      <c r="E3307" t="s">
        <v>86</v>
      </c>
      <c r="F3307" s="55">
        <v>80</v>
      </c>
      <c r="G3307" s="63">
        <v>5.3199999999999997E-2</v>
      </c>
    </row>
    <row r="3308" spans="1:7" x14ac:dyDescent="0.2">
      <c r="A3308" t="s">
        <v>71</v>
      </c>
      <c r="B3308" t="s">
        <v>7</v>
      </c>
      <c r="C3308" t="s">
        <v>197</v>
      </c>
      <c r="D3308" t="s">
        <v>74</v>
      </c>
      <c r="E3308" t="s">
        <v>87</v>
      </c>
      <c r="F3308" s="55">
        <v>81</v>
      </c>
      <c r="G3308" s="63">
        <v>5.0099999999999999E-2</v>
      </c>
    </row>
    <row r="3309" spans="1:7" x14ac:dyDescent="0.2">
      <c r="A3309" t="s">
        <v>71</v>
      </c>
      <c r="B3309" t="s">
        <v>7</v>
      </c>
      <c r="C3309" t="s">
        <v>197</v>
      </c>
      <c r="D3309" t="s">
        <v>74</v>
      </c>
      <c r="E3309" t="s">
        <v>88</v>
      </c>
      <c r="F3309" s="55">
        <v>91</v>
      </c>
      <c r="G3309" s="63">
        <v>2.69E-2</v>
      </c>
    </row>
    <row r="3310" spans="1:7" x14ac:dyDescent="0.2">
      <c r="A3310" t="s">
        <v>71</v>
      </c>
      <c r="B3310" t="s">
        <v>110</v>
      </c>
      <c r="C3310" t="s">
        <v>197</v>
      </c>
      <c r="D3310" t="s">
        <v>74</v>
      </c>
      <c r="E3310" t="s">
        <v>75</v>
      </c>
      <c r="F3310" s="55">
        <v>105</v>
      </c>
      <c r="G3310" s="63">
        <v>6.59E-2</v>
      </c>
    </row>
    <row r="3311" spans="1:7" x14ac:dyDescent="0.2">
      <c r="A3311" t="s">
        <v>71</v>
      </c>
      <c r="B3311" t="s">
        <v>110</v>
      </c>
      <c r="C3311" t="s">
        <v>197</v>
      </c>
      <c r="D3311" t="s">
        <v>74</v>
      </c>
      <c r="E3311" t="s">
        <v>76</v>
      </c>
      <c r="F3311" s="55">
        <v>113</v>
      </c>
      <c r="G3311" s="63">
        <v>7.6E-3</v>
      </c>
    </row>
    <row r="3312" spans="1:7" x14ac:dyDescent="0.2">
      <c r="A3312" t="s">
        <v>71</v>
      </c>
      <c r="B3312" t="s">
        <v>110</v>
      </c>
      <c r="C3312" t="s">
        <v>197</v>
      </c>
      <c r="D3312" t="s">
        <v>74</v>
      </c>
      <c r="E3312" t="s">
        <v>77</v>
      </c>
      <c r="F3312" s="55">
        <v>99</v>
      </c>
      <c r="G3312" s="63">
        <v>2.69E-2</v>
      </c>
    </row>
    <row r="3313" spans="1:7" x14ac:dyDescent="0.2">
      <c r="A3313" t="s">
        <v>71</v>
      </c>
      <c r="B3313" t="s">
        <v>110</v>
      </c>
      <c r="C3313" t="s">
        <v>197</v>
      </c>
      <c r="D3313" t="s">
        <v>74</v>
      </c>
      <c r="E3313" t="s">
        <v>78</v>
      </c>
      <c r="F3313" s="55">
        <v>105</v>
      </c>
      <c r="G3313" s="63">
        <v>2.12E-2</v>
      </c>
    </row>
    <row r="3314" spans="1:7" x14ac:dyDescent="0.2">
      <c r="A3314" t="s">
        <v>71</v>
      </c>
      <c r="B3314" t="s">
        <v>110</v>
      </c>
      <c r="C3314" t="s">
        <v>197</v>
      </c>
      <c r="D3314" t="s">
        <v>74</v>
      </c>
      <c r="E3314" t="s">
        <v>79</v>
      </c>
      <c r="F3314" s="55">
        <v>110</v>
      </c>
      <c r="G3314" s="63">
        <v>4.3200000000000002E-2</v>
      </c>
    </row>
    <row r="3315" spans="1:7" x14ac:dyDescent="0.2">
      <c r="A3315" t="s">
        <v>71</v>
      </c>
      <c r="B3315" t="s">
        <v>110</v>
      </c>
      <c r="C3315" t="s">
        <v>197</v>
      </c>
      <c r="D3315" t="s">
        <v>74</v>
      </c>
      <c r="E3315" t="s">
        <v>80</v>
      </c>
      <c r="F3315" s="55">
        <v>104</v>
      </c>
      <c r="G3315" s="63">
        <v>1.7899999999999999E-2</v>
      </c>
    </row>
    <row r="3316" spans="1:7" x14ac:dyDescent="0.2">
      <c r="A3316" t="s">
        <v>71</v>
      </c>
      <c r="B3316" t="s">
        <v>110</v>
      </c>
      <c r="C3316" t="s">
        <v>197</v>
      </c>
      <c r="D3316" t="s">
        <v>74</v>
      </c>
      <c r="E3316" t="s">
        <v>81</v>
      </c>
      <c r="F3316" s="55">
        <v>92</v>
      </c>
      <c r="G3316" s="63">
        <v>1.5800000000000002E-2</v>
      </c>
    </row>
    <row r="3317" spans="1:7" x14ac:dyDescent="0.2">
      <c r="A3317" t="s">
        <v>71</v>
      </c>
      <c r="B3317" t="s">
        <v>110</v>
      </c>
      <c r="C3317" t="s">
        <v>197</v>
      </c>
      <c r="D3317" t="s">
        <v>74</v>
      </c>
      <c r="E3317" t="s">
        <v>82</v>
      </c>
      <c r="F3317" s="55">
        <v>110</v>
      </c>
      <c r="G3317" s="63">
        <v>3.2000000000000001E-2</v>
      </c>
    </row>
    <row r="3318" spans="1:7" x14ac:dyDescent="0.2">
      <c r="A3318" t="s">
        <v>71</v>
      </c>
      <c r="B3318" t="s">
        <v>110</v>
      </c>
      <c r="C3318" t="s">
        <v>197</v>
      </c>
      <c r="D3318" t="s">
        <v>74</v>
      </c>
      <c r="E3318" t="s">
        <v>83</v>
      </c>
      <c r="F3318" s="55">
        <v>96</v>
      </c>
      <c r="G3318" s="63">
        <v>5.7000000000000002E-3</v>
      </c>
    </row>
    <row r="3319" spans="1:7" x14ac:dyDescent="0.2">
      <c r="A3319" t="s">
        <v>71</v>
      </c>
      <c r="B3319" t="s">
        <v>110</v>
      </c>
      <c r="C3319" t="s">
        <v>197</v>
      </c>
      <c r="D3319" t="s">
        <v>74</v>
      </c>
      <c r="E3319" t="s">
        <v>84</v>
      </c>
      <c r="F3319" s="55">
        <v>99</v>
      </c>
      <c r="G3319" s="63">
        <v>1.8200000000000001E-2</v>
      </c>
    </row>
    <row r="3320" spans="1:7" x14ac:dyDescent="0.2">
      <c r="A3320" t="s">
        <v>71</v>
      </c>
      <c r="B3320" t="s">
        <v>110</v>
      </c>
      <c r="C3320" t="s">
        <v>197</v>
      </c>
      <c r="D3320" t="s">
        <v>74</v>
      </c>
      <c r="E3320" t="s">
        <v>85</v>
      </c>
      <c r="F3320" s="55">
        <v>107</v>
      </c>
      <c r="G3320" s="63">
        <v>1.9E-2</v>
      </c>
    </row>
    <row r="3321" spans="1:7" x14ac:dyDescent="0.2">
      <c r="A3321" t="s">
        <v>71</v>
      </c>
      <c r="B3321" t="s">
        <v>110</v>
      </c>
      <c r="C3321" t="s">
        <v>197</v>
      </c>
      <c r="D3321" t="s">
        <v>74</v>
      </c>
      <c r="E3321" t="s">
        <v>86</v>
      </c>
      <c r="F3321" s="55">
        <v>106</v>
      </c>
      <c r="G3321" s="63">
        <v>2.1899999999999999E-2</v>
      </c>
    </row>
    <row r="3322" spans="1:7" x14ac:dyDescent="0.2">
      <c r="A3322" t="s">
        <v>71</v>
      </c>
      <c r="B3322" t="s">
        <v>110</v>
      </c>
      <c r="C3322" t="s">
        <v>197</v>
      </c>
      <c r="D3322" t="s">
        <v>74</v>
      </c>
      <c r="E3322" t="s">
        <v>87</v>
      </c>
      <c r="F3322" s="55">
        <v>112</v>
      </c>
      <c r="G3322" s="63">
        <v>2.23E-2</v>
      </c>
    </row>
    <row r="3323" spans="1:7" x14ac:dyDescent="0.2">
      <c r="A3323" t="s">
        <v>71</v>
      </c>
      <c r="B3323" t="s">
        <v>110</v>
      </c>
      <c r="C3323" t="s">
        <v>197</v>
      </c>
      <c r="D3323" t="s">
        <v>74</v>
      </c>
      <c r="E3323" t="s">
        <v>88</v>
      </c>
      <c r="F3323" s="55">
        <v>114</v>
      </c>
      <c r="G3323" s="63">
        <v>1.29E-2</v>
      </c>
    </row>
    <row r="3324" spans="1:7" x14ac:dyDescent="0.2">
      <c r="A3324" t="s">
        <v>71</v>
      </c>
      <c r="B3324" t="s">
        <v>111</v>
      </c>
      <c r="C3324" t="s">
        <v>197</v>
      </c>
      <c r="D3324" t="s">
        <v>74</v>
      </c>
      <c r="E3324" t="s">
        <v>75</v>
      </c>
      <c r="F3324" s="55">
        <v>102</v>
      </c>
      <c r="G3324" s="63">
        <v>0.22600000000000001</v>
      </c>
    </row>
    <row r="3325" spans="1:7" x14ac:dyDescent="0.2">
      <c r="A3325" t="s">
        <v>71</v>
      </c>
      <c r="B3325" t="s">
        <v>111</v>
      </c>
      <c r="C3325" t="s">
        <v>197</v>
      </c>
      <c r="D3325" t="s">
        <v>74</v>
      </c>
      <c r="E3325" t="s">
        <v>76</v>
      </c>
      <c r="F3325" s="55">
        <v>54</v>
      </c>
      <c r="G3325" s="63">
        <v>1.54E-2</v>
      </c>
    </row>
    <row r="3326" spans="1:7" x14ac:dyDescent="0.2">
      <c r="A3326" t="s">
        <v>71</v>
      </c>
      <c r="B3326" t="s">
        <v>111</v>
      </c>
      <c r="C3326" t="s">
        <v>197</v>
      </c>
      <c r="D3326" t="s">
        <v>74</v>
      </c>
      <c r="E3326" t="s">
        <v>77</v>
      </c>
      <c r="F3326" s="55">
        <v>97</v>
      </c>
      <c r="G3326" s="63">
        <v>5.3800000000000001E-2</v>
      </c>
    </row>
    <row r="3327" spans="1:7" x14ac:dyDescent="0.2">
      <c r="A3327" t="s">
        <v>71</v>
      </c>
      <c r="B3327" t="s">
        <v>111</v>
      </c>
      <c r="C3327" t="s">
        <v>197</v>
      </c>
      <c r="D3327" t="s">
        <v>74</v>
      </c>
      <c r="E3327" t="s">
        <v>78</v>
      </c>
      <c r="F3327" s="55">
        <v>103</v>
      </c>
      <c r="G3327" s="63">
        <v>4.19E-2</v>
      </c>
    </row>
    <row r="3328" spans="1:7" x14ac:dyDescent="0.2">
      <c r="A3328" t="s">
        <v>71</v>
      </c>
      <c r="B3328" t="s">
        <v>111</v>
      </c>
      <c r="C3328" t="s">
        <v>197</v>
      </c>
      <c r="D3328" t="s">
        <v>74</v>
      </c>
      <c r="E3328" t="s">
        <v>79</v>
      </c>
      <c r="F3328" s="55">
        <v>101</v>
      </c>
      <c r="G3328" s="63">
        <v>0.1462</v>
      </c>
    </row>
    <row r="3329" spans="1:7" x14ac:dyDescent="0.2">
      <c r="A3329" t="s">
        <v>71</v>
      </c>
      <c r="B3329" t="s">
        <v>111</v>
      </c>
      <c r="C3329" t="s">
        <v>197</v>
      </c>
      <c r="D3329" t="s">
        <v>74</v>
      </c>
      <c r="E3329" t="s">
        <v>80</v>
      </c>
      <c r="F3329" s="55">
        <v>115</v>
      </c>
      <c r="G3329" s="63">
        <v>5.5800000000000002E-2</v>
      </c>
    </row>
    <row r="3330" spans="1:7" x14ac:dyDescent="0.2">
      <c r="A3330" t="s">
        <v>71</v>
      </c>
      <c r="B3330" t="s">
        <v>111</v>
      </c>
      <c r="C3330" t="s">
        <v>197</v>
      </c>
      <c r="D3330" t="s">
        <v>74</v>
      </c>
      <c r="E3330" t="s">
        <v>81</v>
      </c>
      <c r="F3330" s="55">
        <v>111</v>
      </c>
      <c r="G3330" s="63">
        <v>5.3499999999999999E-2</v>
      </c>
    </row>
    <row r="3331" spans="1:7" x14ac:dyDescent="0.2">
      <c r="A3331" t="s">
        <v>71</v>
      </c>
      <c r="B3331" t="s">
        <v>111</v>
      </c>
      <c r="C3331" t="s">
        <v>197</v>
      </c>
      <c r="D3331" t="s">
        <v>74</v>
      </c>
      <c r="E3331" t="s">
        <v>82</v>
      </c>
      <c r="F3331" s="55">
        <v>99</v>
      </c>
      <c r="G3331" s="63">
        <v>0.11849999999999999</v>
      </c>
    </row>
    <row r="3332" spans="1:7" x14ac:dyDescent="0.2">
      <c r="A3332" t="s">
        <v>71</v>
      </c>
      <c r="B3332" t="s">
        <v>111</v>
      </c>
      <c r="C3332" t="s">
        <v>197</v>
      </c>
      <c r="D3332" t="s">
        <v>74</v>
      </c>
      <c r="E3332" t="s">
        <v>83</v>
      </c>
      <c r="F3332" s="55">
        <v>67</v>
      </c>
      <c r="G3332" s="63">
        <v>1.95E-2</v>
      </c>
    </row>
    <row r="3333" spans="1:7" x14ac:dyDescent="0.2">
      <c r="A3333" t="s">
        <v>71</v>
      </c>
      <c r="B3333" t="s">
        <v>111</v>
      </c>
      <c r="C3333" t="s">
        <v>197</v>
      </c>
      <c r="D3333" t="s">
        <v>74</v>
      </c>
      <c r="E3333" t="s">
        <v>84</v>
      </c>
      <c r="F3333" s="55">
        <v>105</v>
      </c>
      <c r="G3333" s="63">
        <v>3.39E-2</v>
      </c>
    </row>
    <row r="3334" spans="1:7" x14ac:dyDescent="0.2">
      <c r="A3334" t="s">
        <v>71</v>
      </c>
      <c r="B3334" t="s">
        <v>111</v>
      </c>
      <c r="C3334" t="s">
        <v>197</v>
      </c>
      <c r="D3334" t="s">
        <v>74</v>
      </c>
      <c r="E3334" t="s">
        <v>85</v>
      </c>
      <c r="F3334" s="55">
        <v>105</v>
      </c>
      <c r="G3334" s="63">
        <v>6.3E-2</v>
      </c>
    </row>
    <row r="3335" spans="1:7" x14ac:dyDescent="0.2">
      <c r="A3335" t="s">
        <v>71</v>
      </c>
      <c r="B3335" t="s">
        <v>111</v>
      </c>
      <c r="C3335" t="s">
        <v>197</v>
      </c>
      <c r="D3335" t="s">
        <v>74</v>
      </c>
      <c r="E3335" t="s">
        <v>86</v>
      </c>
      <c r="F3335" s="55">
        <v>105</v>
      </c>
      <c r="G3335" s="63">
        <v>6.9900000000000004E-2</v>
      </c>
    </row>
    <row r="3336" spans="1:7" x14ac:dyDescent="0.2">
      <c r="A3336" t="s">
        <v>71</v>
      </c>
      <c r="B3336" t="s">
        <v>111</v>
      </c>
      <c r="C3336" t="s">
        <v>197</v>
      </c>
      <c r="D3336" t="s">
        <v>74</v>
      </c>
      <c r="E3336" t="s">
        <v>87</v>
      </c>
      <c r="F3336" s="55">
        <v>101</v>
      </c>
      <c r="G3336" s="63">
        <v>7.1300000000000002E-2</v>
      </c>
    </row>
    <row r="3337" spans="1:7" x14ac:dyDescent="0.2">
      <c r="A3337" t="s">
        <v>71</v>
      </c>
      <c r="B3337" t="s">
        <v>111</v>
      </c>
      <c r="C3337" t="s">
        <v>197</v>
      </c>
      <c r="D3337" t="s">
        <v>74</v>
      </c>
      <c r="E3337" t="s">
        <v>88</v>
      </c>
      <c r="F3337" s="55">
        <v>80</v>
      </c>
      <c r="G3337" s="63">
        <v>3.4500000000000003E-2</v>
      </c>
    </row>
    <row r="3338" spans="1:7" x14ac:dyDescent="0.2">
      <c r="A3338" t="s">
        <v>89</v>
      </c>
      <c r="B3338" t="s">
        <v>112</v>
      </c>
      <c r="C3338" t="s">
        <v>197</v>
      </c>
      <c r="D3338" t="s">
        <v>74</v>
      </c>
      <c r="E3338" t="s">
        <v>75</v>
      </c>
      <c r="F3338" s="55">
        <v>88</v>
      </c>
      <c r="G3338" s="63">
        <v>5.0999999999999997E-2</v>
      </c>
    </row>
    <row r="3339" spans="1:7" x14ac:dyDescent="0.2">
      <c r="A3339" t="s">
        <v>89</v>
      </c>
      <c r="B3339" t="s">
        <v>112</v>
      </c>
      <c r="C3339" t="s">
        <v>197</v>
      </c>
      <c r="D3339" t="s">
        <v>74</v>
      </c>
      <c r="E3339" t="s">
        <v>77</v>
      </c>
      <c r="F3339" s="55">
        <v>80</v>
      </c>
      <c r="G3339" s="63">
        <v>1.38E-2</v>
      </c>
    </row>
    <row r="3340" spans="1:7" x14ac:dyDescent="0.2">
      <c r="A3340" t="s">
        <v>89</v>
      </c>
      <c r="B3340" t="s">
        <v>112</v>
      </c>
      <c r="C3340" t="s">
        <v>197</v>
      </c>
      <c r="D3340" t="s">
        <v>74</v>
      </c>
      <c r="E3340" t="s">
        <v>78</v>
      </c>
      <c r="F3340" s="55">
        <v>104</v>
      </c>
      <c r="G3340" s="63">
        <v>9.7000000000000003E-3</v>
      </c>
    </row>
    <row r="3341" spans="1:7" x14ac:dyDescent="0.2">
      <c r="A3341" t="s">
        <v>89</v>
      </c>
      <c r="B3341" t="s">
        <v>112</v>
      </c>
      <c r="C3341" t="s">
        <v>197</v>
      </c>
      <c r="D3341" t="s">
        <v>74</v>
      </c>
      <c r="E3341" t="s">
        <v>79</v>
      </c>
      <c r="F3341" s="55">
        <v>95</v>
      </c>
      <c r="G3341" s="63">
        <v>2.7300000000000001E-2</v>
      </c>
    </row>
    <row r="3342" spans="1:7" x14ac:dyDescent="0.2">
      <c r="A3342" t="s">
        <v>89</v>
      </c>
      <c r="B3342" t="s">
        <v>112</v>
      </c>
      <c r="C3342" t="s">
        <v>197</v>
      </c>
      <c r="D3342" t="s">
        <v>74</v>
      </c>
      <c r="E3342" t="s">
        <v>80</v>
      </c>
      <c r="F3342" s="55">
        <v>92</v>
      </c>
      <c r="G3342" s="63">
        <v>8.6E-3</v>
      </c>
    </row>
    <row r="3343" spans="1:7" x14ac:dyDescent="0.2">
      <c r="A3343" t="s">
        <v>89</v>
      </c>
      <c r="B3343" t="s">
        <v>112</v>
      </c>
      <c r="C3343" t="s">
        <v>197</v>
      </c>
      <c r="D3343" t="s">
        <v>74</v>
      </c>
      <c r="E3343" t="s">
        <v>81</v>
      </c>
      <c r="F3343" s="55">
        <v>65</v>
      </c>
      <c r="G3343" s="63">
        <v>9.7999999999999997E-3</v>
      </c>
    </row>
    <row r="3344" spans="1:7" x14ac:dyDescent="0.2">
      <c r="A3344" t="s">
        <v>89</v>
      </c>
      <c r="B3344" t="s">
        <v>112</v>
      </c>
      <c r="C3344" t="s">
        <v>197</v>
      </c>
      <c r="D3344" t="s">
        <v>74</v>
      </c>
      <c r="E3344" t="s">
        <v>82</v>
      </c>
      <c r="F3344" s="55">
        <v>96</v>
      </c>
      <c r="G3344" s="63">
        <v>2.1499999999999998E-2</v>
      </c>
    </row>
    <row r="3345" spans="1:7" x14ac:dyDescent="0.2">
      <c r="A3345" t="s">
        <v>89</v>
      </c>
      <c r="B3345" t="s">
        <v>112</v>
      </c>
      <c r="C3345" t="s">
        <v>197</v>
      </c>
      <c r="D3345" t="s">
        <v>74</v>
      </c>
      <c r="E3345" t="s">
        <v>83</v>
      </c>
      <c r="F3345" s="55">
        <v>62</v>
      </c>
      <c r="G3345" s="63">
        <v>4.0000000000000001E-3</v>
      </c>
    </row>
    <row r="3346" spans="1:7" x14ac:dyDescent="0.2">
      <c r="A3346" t="s">
        <v>89</v>
      </c>
      <c r="B3346" t="s">
        <v>112</v>
      </c>
      <c r="C3346" t="s">
        <v>197</v>
      </c>
      <c r="D3346" t="s">
        <v>74</v>
      </c>
      <c r="E3346" t="s">
        <v>84</v>
      </c>
      <c r="F3346" s="55">
        <v>111</v>
      </c>
      <c r="G3346" s="63">
        <v>7.9000000000000008E-3</v>
      </c>
    </row>
    <row r="3347" spans="1:7" x14ac:dyDescent="0.2">
      <c r="A3347" t="s">
        <v>89</v>
      </c>
      <c r="B3347" t="s">
        <v>112</v>
      </c>
      <c r="C3347" t="s">
        <v>197</v>
      </c>
      <c r="D3347" t="s">
        <v>74</v>
      </c>
      <c r="E3347" t="s">
        <v>85</v>
      </c>
      <c r="F3347" s="55">
        <v>98</v>
      </c>
      <c r="G3347" s="63">
        <v>9.1000000000000004E-3</v>
      </c>
    </row>
    <row r="3348" spans="1:7" x14ac:dyDescent="0.2">
      <c r="A3348" t="s">
        <v>89</v>
      </c>
      <c r="B3348" t="s">
        <v>112</v>
      </c>
      <c r="C3348" t="s">
        <v>197</v>
      </c>
      <c r="D3348" t="s">
        <v>74</v>
      </c>
      <c r="E3348" t="s">
        <v>86</v>
      </c>
      <c r="F3348" s="55">
        <v>98</v>
      </c>
      <c r="G3348" s="63">
        <v>0.01</v>
      </c>
    </row>
    <row r="3349" spans="1:7" x14ac:dyDescent="0.2">
      <c r="A3349" t="s">
        <v>89</v>
      </c>
      <c r="B3349" t="s">
        <v>112</v>
      </c>
      <c r="C3349" t="s">
        <v>197</v>
      </c>
      <c r="D3349" t="s">
        <v>74</v>
      </c>
      <c r="E3349" t="s">
        <v>87</v>
      </c>
      <c r="F3349" s="55">
        <v>104</v>
      </c>
      <c r="G3349" s="63">
        <v>1.12E-2</v>
      </c>
    </row>
    <row r="3350" spans="1:7" x14ac:dyDescent="0.2">
      <c r="A3350" t="s">
        <v>89</v>
      </c>
      <c r="B3350" t="s">
        <v>112</v>
      </c>
      <c r="C3350" t="s">
        <v>197</v>
      </c>
      <c r="D3350" t="s">
        <v>74</v>
      </c>
      <c r="E3350" t="s">
        <v>88</v>
      </c>
      <c r="F3350" s="55">
        <v>63</v>
      </c>
      <c r="G3350" s="63">
        <v>7.4000000000000003E-3</v>
      </c>
    </row>
    <row r="3351" spans="1:7" x14ac:dyDescent="0.2">
      <c r="A3351" t="s">
        <v>89</v>
      </c>
      <c r="B3351" t="s">
        <v>113</v>
      </c>
      <c r="C3351" t="s">
        <v>197</v>
      </c>
      <c r="D3351" t="s">
        <v>91</v>
      </c>
      <c r="E3351" t="s">
        <v>75</v>
      </c>
      <c r="F3351" s="55">
        <v>97</v>
      </c>
      <c r="G3351" s="63">
        <v>0.51970000000000005</v>
      </c>
    </row>
    <row r="3352" spans="1:7" x14ac:dyDescent="0.2">
      <c r="A3352" t="s">
        <v>89</v>
      </c>
      <c r="B3352" t="s">
        <v>113</v>
      </c>
      <c r="C3352" t="s">
        <v>197</v>
      </c>
      <c r="D3352" t="s">
        <v>91</v>
      </c>
      <c r="E3352" t="s">
        <v>76</v>
      </c>
      <c r="F3352" s="55">
        <v>82</v>
      </c>
      <c r="G3352" s="63">
        <v>5.7299999999999997E-2</v>
      </c>
    </row>
    <row r="3353" spans="1:7" x14ac:dyDescent="0.2">
      <c r="A3353" t="s">
        <v>89</v>
      </c>
      <c r="B3353" t="s">
        <v>113</v>
      </c>
      <c r="C3353" t="s">
        <v>197</v>
      </c>
      <c r="D3353" t="s">
        <v>91</v>
      </c>
      <c r="E3353" t="s">
        <v>77</v>
      </c>
      <c r="F3353" s="55">
        <v>86</v>
      </c>
      <c r="G3353" s="63">
        <v>0.1452</v>
      </c>
    </row>
    <row r="3354" spans="1:7" x14ac:dyDescent="0.2">
      <c r="A3354" t="s">
        <v>89</v>
      </c>
      <c r="B3354" t="s">
        <v>113</v>
      </c>
      <c r="C3354" t="s">
        <v>197</v>
      </c>
      <c r="D3354" t="s">
        <v>91</v>
      </c>
      <c r="E3354" t="s">
        <v>78</v>
      </c>
      <c r="F3354" s="55">
        <v>103</v>
      </c>
      <c r="G3354" s="63">
        <v>0.1368</v>
      </c>
    </row>
    <row r="3355" spans="1:7" x14ac:dyDescent="0.2">
      <c r="A3355" t="s">
        <v>89</v>
      </c>
      <c r="B3355" t="s">
        <v>113</v>
      </c>
      <c r="C3355" t="s">
        <v>197</v>
      </c>
      <c r="D3355" t="s">
        <v>91</v>
      </c>
      <c r="E3355" t="s">
        <v>79</v>
      </c>
      <c r="F3355" s="55">
        <v>102</v>
      </c>
      <c r="G3355" s="63">
        <v>0.38</v>
      </c>
    </row>
    <row r="3356" spans="1:7" x14ac:dyDescent="0.2">
      <c r="A3356" t="s">
        <v>89</v>
      </c>
      <c r="B3356" t="s">
        <v>113</v>
      </c>
      <c r="C3356" t="s">
        <v>197</v>
      </c>
      <c r="D3356" t="s">
        <v>91</v>
      </c>
      <c r="E3356" t="s">
        <v>80</v>
      </c>
      <c r="F3356" s="55">
        <v>106</v>
      </c>
      <c r="G3356" s="63">
        <v>0.1201</v>
      </c>
    </row>
    <row r="3357" spans="1:7" x14ac:dyDescent="0.2">
      <c r="A3357" t="s">
        <v>89</v>
      </c>
      <c r="B3357" t="s">
        <v>113</v>
      </c>
      <c r="C3357" t="s">
        <v>197</v>
      </c>
      <c r="D3357" t="s">
        <v>91</v>
      </c>
      <c r="E3357" t="s">
        <v>81</v>
      </c>
      <c r="F3357" s="55">
        <v>100</v>
      </c>
      <c r="G3357" s="63">
        <v>0.12130000000000001</v>
      </c>
    </row>
    <row r="3358" spans="1:7" x14ac:dyDescent="0.2">
      <c r="A3358" t="s">
        <v>89</v>
      </c>
      <c r="B3358" t="s">
        <v>113</v>
      </c>
      <c r="C3358" t="s">
        <v>197</v>
      </c>
      <c r="D3358" t="s">
        <v>91</v>
      </c>
      <c r="E3358" t="s">
        <v>82</v>
      </c>
      <c r="F3358" s="55">
        <v>100</v>
      </c>
      <c r="G3358" s="63">
        <v>0.24410000000000001</v>
      </c>
    </row>
    <row r="3359" spans="1:7" x14ac:dyDescent="0.2">
      <c r="A3359" t="s">
        <v>89</v>
      </c>
      <c r="B3359" t="s">
        <v>113</v>
      </c>
      <c r="C3359" t="s">
        <v>197</v>
      </c>
      <c r="D3359" t="s">
        <v>91</v>
      </c>
      <c r="E3359" t="s">
        <v>83</v>
      </c>
      <c r="F3359" s="55">
        <v>91</v>
      </c>
      <c r="G3359" s="63">
        <v>5.0799999999999998E-2</v>
      </c>
    </row>
    <row r="3360" spans="1:7" x14ac:dyDescent="0.2">
      <c r="A3360" t="s">
        <v>89</v>
      </c>
      <c r="B3360" t="s">
        <v>113</v>
      </c>
      <c r="C3360" t="s">
        <v>197</v>
      </c>
      <c r="D3360" t="s">
        <v>91</v>
      </c>
      <c r="E3360" t="s">
        <v>84</v>
      </c>
      <c r="F3360" s="55">
        <v>99</v>
      </c>
      <c r="G3360" s="63">
        <v>0.1012</v>
      </c>
    </row>
    <row r="3361" spans="1:7" x14ac:dyDescent="0.2">
      <c r="A3361" t="s">
        <v>89</v>
      </c>
      <c r="B3361" t="s">
        <v>113</v>
      </c>
      <c r="C3361" t="s">
        <v>197</v>
      </c>
      <c r="D3361" t="s">
        <v>91</v>
      </c>
      <c r="E3361" t="s">
        <v>85</v>
      </c>
      <c r="F3361" s="55">
        <v>101</v>
      </c>
      <c r="G3361" s="63">
        <v>0.1285</v>
      </c>
    </row>
    <row r="3362" spans="1:7" x14ac:dyDescent="0.2">
      <c r="A3362" t="s">
        <v>89</v>
      </c>
      <c r="B3362" t="s">
        <v>113</v>
      </c>
      <c r="C3362" t="s">
        <v>197</v>
      </c>
      <c r="D3362" t="s">
        <v>91</v>
      </c>
      <c r="E3362" t="s">
        <v>86</v>
      </c>
      <c r="F3362" s="55">
        <v>98</v>
      </c>
      <c r="G3362" s="63">
        <v>0.16300000000000001</v>
      </c>
    </row>
    <row r="3363" spans="1:7" x14ac:dyDescent="0.2">
      <c r="A3363" t="s">
        <v>89</v>
      </c>
      <c r="B3363" t="s">
        <v>113</v>
      </c>
      <c r="C3363" t="s">
        <v>197</v>
      </c>
      <c r="D3363" t="s">
        <v>91</v>
      </c>
      <c r="E3363" t="s">
        <v>87</v>
      </c>
      <c r="F3363" s="55">
        <v>96</v>
      </c>
      <c r="G3363" s="63">
        <v>0.19450000000000001</v>
      </c>
    </row>
    <row r="3364" spans="1:7" x14ac:dyDescent="0.2">
      <c r="A3364" t="s">
        <v>89</v>
      </c>
      <c r="B3364" t="s">
        <v>113</v>
      </c>
      <c r="C3364" t="s">
        <v>197</v>
      </c>
      <c r="D3364" t="s">
        <v>91</v>
      </c>
      <c r="E3364" t="s">
        <v>88</v>
      </c>
      <c r="F3364" s="55">
        <v>91</v>
      </c>
      <c r="G3364" s="63">
        <v>9.7600000000000006E-2</v>
      </c>
    </row>
    <row r="3365" spans="1:7" x14ac:dyDescent="0.2">
      <c r="A3365" t="s">
        <v>89</v>
      </c>
      <c r="B3365" t="s">
        <v>115</v>
      </c>
      <c r="C3365" t="s">
        <v>197</v>
      </c>
      <c r="D3365" t="s">
        <v>74</v>
      </c>
      <c r="E3365" t="s">
        <v>75</v>
      </c>
      <c r="F3365" s="55">
        <v>106</v>
      </c>
      <c r="G3365" s="63">
        <v>6.8000000000000005E-2</v>
      </c>
    </row>
    <row r="3366" spans="1:7" x14ac:dyDescent="0.2">
      <c r="A3366" t="s">
        <v>89</v>
      </c>
      <c r="B3366" t="s">
        <v>115</v>
      </c>
      <c r="C3366" t="s">
        <v>197</v>
      </c>
      <c r="D3366" t="s">
        <v>74</v>
      </c>
      <c r="E3366" t="s">
        <v>76</v>
      </c>
      <c r="F3366" s="55">
        <v>60</v>
      </c>
      <c r="G3366" s="63">
        <v>7.9000000000000008E-3</v>
      </c>
    </row>
    <row r="3367" spans="1:7" x14ac:dyDescent="0.2">
      <c r="A3367" t="s">
        <v>89</v>
      </c>
      <c r="B3367" t="s">
        <v>115</v>
      </c>
      <c r="C3367" t="s">
        <v>197</v>
      </c>
      <c r="D3367" t="s">
        <v>74</v>
      </c>
      <c r="E3367" t="s">
        <v>77</v>
      </c>
      <c r="F3367" s="55">
        <v>86</v>
      </c>
      <c r="G3367" s="63">
        <v>2.3E-2</v>
      </c>
    </row>
    <row r="3368" spans="1:7" x14ac:dyDescent="0.2">
      <c r="A3368" t="s">
        <v>89</v>
      </c>
      <c r="B3368" t="s">
        <v>115</v>
      </c>
      <c r="C3368" t="s">
        <v>197</v>
      </c>
      <c r="D3368" t="s">
        <v>74</v>
      </c>
      <c r="E3368" t="s">
        <v>78</v>
      </c>
      <c r="F3368" s="55">
        <v>109</v>
      </c>
      <c r="G3368" s="63">
        <v>1.6E-2</v>
      </c>
    </row>
    <row r="3369" spans="1:7" x14ac:dyDescent="0.2">
      <c r="A3369" t="s">
        <v>89</v>
      </c>
      <c r="B3369" t="s">
        <v>115</v>
      </c>
      <c r="C3369" t="s">
        <v>197</v>
      </c>
      <c r="D3369" t="s">
        <v>74</v>
      </c>
      <c r="E3369" t="s">
        <v>79</v>
      </c>
      <c r="F3369" s="55">
        <v>121</v>
      </c>
      <c r="G3369" s="63">
        <v>3.8800000000000001E-2</v>
      </c>
    </row>
    <row r="3370" spans="1:7" x14ac:dyDescent="0.2">
      <c r="A3370" t="s">
        <v>89</v>
      </c>
      <c r="B3370" t="s">
        <v>115</v>
      </c>
      <c r="C3370" t="s">
        <v>197</v>
      </c>
      <c r="D3370" t="s">
        <v>74</v>
      </c>
      <c r="E3370" t="s">
        <v>80</v>
      </c>
      <c r="F3370" s="55">
        <v>110</v>
      </c>
      <c r="G3370" s="63">
        <v>1.6799999999999999E-2</v>
      </c>
    </row>
    <row r="3371" spans="1:7" x14ac:dyDescent="0.2">
      <c r="A3371" t="s">
        <v>89</v>
      </c>
      <c r="B3371" t="s">
        <v>115</v>
      </c>
      <c r="C3371" t="s">
        <v>197</v>
      </c>
      <c r="D3371" t="s">
        <v>74</v>
      </c>
      <c r="E3371" t="s">
        <v>81</v>
      </c>
      <c r="F3371" s="55">
        <v>108</v>
      </c>
      <c r="G3371" s="63">
        <v>1.7299999999999999E-2</v>
      </c>
    </row>
    <row r="3372" spans="1:7" x14ac:dyDescent="0.2">
      <c r="A3372" t="s">
        <v>89</v>
      </c>
      <c r="B3372" t="s">
        <v>115</v>
      </c>
      <c r="C3372" t="s">
        <v>197</v>
      </c>
      <c r="D3372" t="s">
        <v>74</v>
      </c>
      <c r="E3372" t="s">
        <v>82</v>
      </c>
      <c r="F3372" s="55">
        <v>119</v>
      </c>
      <c r="G3372" s="63">
        <v>2.98E-2</v>
      </c>
    </row>
    <row r="3373" spans="1:7" x14ac:dyDescent="0.2">
      <c r="A3373" t="s">
        <v>89</v>
      </c>
      <c r="B3373" t="s">
        <v>115</v>
      </c>
      <c r="C3373" t="s">
        <v>197</v>
      </c>
      <c r="D3373" t="s">
        <v>74</v>
      </c>
      <c r="E3373" t="s">
        <v>83</v>
      </c>
      <c r="F3373" s="55">
        <v>71</v>
      </c>
      <c r="G3373" s="63">
        <v>7.6E-3</v>
      </c>
    </row>
    <row r="3374" spans="1:7" x14ac:dyDescent="0.2">
      <c r="A3374" t="s">
        <v>89</v>
      </c>
      <c r="B3374" t="s">
        <v>115</v>
      </c>
      <c r="C3374" t="s">
        <v>197</v>
      </c>
      <c r="D3374" t="s">
        <v>74</v>
      </c>
      <c r="E3374" t="s">
        <v>84</v>
      </c>
      <c r="F3374" s="55">
        <v>108</v>
      </c>
      <c r="G3374" s="63">
        <v>1.29E-2</v>
      </c>
    </row>
    <row r="3375" spans="1:7" x14ac:dyDescent="0.2">
      <c r="A3375" t="s">
        <v>89</v>
      </c>
      <c r="B3375" t="s">
        <v>115</v>
      </c>
      <c r="C3375" t="s">
        <v>197</v>
      </c>
      <c r="D3375" t="s">
        <v>74</v>
      </c>
      <c r="E3375" t="s">
        <v>85</v>
      </c>
      <c r="F3375" s="55">
        <v>112</v>
      </c>
      <c r="G3375" s="63">
        <v>1.49E-2</v>
      </c>
    </row>
    <row r="3376" spans="1:7" x14ac:dyDescent="0.2">
      <c r="A3376" t="s">
        <v>89</v>
      </c>
      <c r="B3376" t="s">
        <v>115</v>
      </c>
      <c r="C3376" t="s">
        <v>197</v>
      </c>
      <c r="D3376" t="s">
        <v>74</v>
      </c>
      <c r="E3376" t="s">
        <v>86</v>
      </c>
      <c r="F3376" s="55">
        <v>121</v>
      </c>
      <c r="G3376" s="63">
        <v>1.83E-2</v>
      </c>
    </row>
    <row r="3377" spans="1:7" x14ac:dyDescent="0.2">
      <c r="A3377" t="s">
        <v>89</v>
      </c>
      <c r="B3377" t="s">
        <v>115</v>
      </c>
      <c r="C3377" t="s">
        <v>197</v>
      </c>
      <c r="D3377" t="s">
        <v>74</v>
      </c>
      <c r="E3377" t="s">
        <v>87</v>
      </c>
      <c r="F3377" s="55">
        <v>118</v>
      </c>
      <c r="G3377" s="63">
        <v>1.9800000000000002E-2</v>
      </c>
    </row>
    <row r="3378" spans="1:7" x14ac:dyDescent="0.2">
      <c r="A3378" t="s">
        <v>89</v>
      </c>
      <c r="B3378" t="s">
        <v>115</v>
      </c>
      <c r="C3378" t="s">
        <v>197</v>
      </c>
      <c r="D3378" t="s">
        <v>74</v>
      </c>
      <c r="E3378" t="s">
        <v>88</v>
      </c>
      <c r="F3378" s="55">
        <v>96</v>
      </c>
      <c r="G3378" s="63">
        <v>1.4500000000000001E-2</v>
      </c>
    </row>
    <row r="3379" spans="1:7" x14ac:dyDescent="0.2">
      <c r="A3379" t="s">
        <v>89</v>
      </c>
      <c r="B3379" t="s">
        <v>116</v>
      </c>
      <c r="C3379" t="s">
        <v>197</v>
      </c>
      <c r="D3379" t="s">
        <v>74</v>
      </c>
      <c r="E3379" t="s">
        <v>75</v>
      </c>
      <c r="F3379" s="55">
        <v>96</v>
      </c>
      <c r="G3379" s="63">
        <v>4.3700000000000003E-2</v>
      </c>
    </row>
    <row r="3380" spans="1:7" x14ac:dyDescent="0.2">
      <c r="A3380" t="s">
        <v>89</v>
      </c>
      <c r="B3380" t="s">
        <v>116</v>
      </c>
      <c r="C3380" t="s">
        <v>197</v>
      </c>
      <c r="D3380" t="s">
        <v>74</v>
      </c>
      <c r="E3380" t="s">
        <v>77</v>
      </c>
      <c r="F3380" s="55">
        <v>57</v>
      </c>
      <c r="G3380" s="63">
        <v>6.0000000000000001E-3</v>
      </c>
    </row>
    <row r="3381" spans="1:7" x14ac:dyDescent="0.2">
      <c r="A3381" t="s">
        <v>89</v>
      </c>
      <c r="B3381" t="s">
        <v>116</v>
      </c>
      <c r="C3381" t="s">
        <v>197</v>
      </c>
      <c r="D3381" t="s">
        <v>74</v>
      </c>
      <c r="E3381" t="s">
        <v>78</v>
      </c>
      <c r="F3381" s="55">
        <v>63</v>
      </c>
      <c r="G3381" s="63">
        <v>6.6E-3</v>
      </c>
    </row>
    <row r="3382" spans="1:7" x14ac:dyDescent="0.2">
      <c r="A3382" t="s">
        <v>89</v>
      </c>
      <c r="B3382" t="s">
        <v>116</v>
      </c>
      <c r="C3382" t="s">
        <v>197</v>
      </c>
      <c r="D3382" t="s">
        <v>74</v>
      </c>
      <c r="E3382" t="s">
        <v>79</v>
      </c>
      <c r="F3382" s="55">
        <v>100</v>
      </c>
      <c r="G3382" s="63">
        <v>2.6200000000000001E-2</v>
      </c>
    </row>
    <row r="3383" spans="1:7" x14ac:dyDescent="0.2">
      <c r="A3383" t="s">
        <v>89</v>
      </c>
      <c r="B3383" t="s">
        <v>116</v>
      </c>
      <c r="C3383" t="s">
        <v>197</v>
      </c>
      <c r="D3383" t="s">
        <v>74</v>
      </c>
      <c r="E3383" t="s">
        <v>80</v>
      </c>
      <c r="F3383" s="55">
        <v>111</v>
      </c>
      <c r="G3383" s="63">
        <v>7.6E-3</v>
      </c>
    </row>
    <row r="3384" spans="1:7" x14ac:dyDescent="0.2">
      <c r="A3384" t="s">
        <v>89</v>
      </c>
      <c r="B3384" t="s">
        <v>116</v>
      </c>
      <c r="C3384" t="s">
        <v>197</v>
      </c>
      <c r="D3384" t="s">
        <v>74</v>
      </c>
      <c r="E3384" t="s">
        <v>81</v>
      </c>
      <c r="F3384" s="55">
        <v>123</v>
      </c>
      <c r="G3384" s="63">
        <v>7.9000000000000008E-3</v>
      </c>
    </row>
    <row r="3385" spans="1:7" x14ac:dyDescent="0.2">
      <c r="A3385" t="s">
        <v>89</v>
      </c>
      <c r="B3385" t="s">
        <v>116</v>
      </c>
      <c r="C3385" t="s">
        <v>197</v>
      </c>
      <c r="D3385" t="s">
        <v>74</v>
      </c>
      <c r="E3385" t="s">
        <v>82</v>
      </c>
      <c r="F3385" s="55">
        <v>94</v>
      </c>
      <c r="G3385" s="63">
        <v>1.4500000000000001E-2</v>
      </c>
    </row>
    <row r="3386" spans="1:7" x14ac:dyDescent="0.2">
      <c r="A3386" t="s">
        <v>89</v>
      </c>
      <c r="B3386" t="s">
        <v>116</v>
      </c>
      <c r="C3386" t="s">
        <v>197</v>
      </c>
      <c r="D3386" t="s">
        <v>74</v>
      </c>
      <c r="E3386" t="s">
        <v>85</v>
      </c>
      <c r="F3386" s="55">
        <v>84</v>
      </c>
      <c r="G3386" s="63">
        <v>8.5000000000000006E-3</v>
      </c>
    </row>
    <row r="3387" spans="1:7" x14ac:dyDescent="0.2">
      <c r="A3387" t="s">
        <v>89</v>
      </c>
      <c r="B3387" t="s">
        <v>116</v>
      </c>
      <c r="C3387" t="s">
        <v>197</v>
      </c>
      <c r="D3387" t="s">
        <v>74</v>
      </c>
      <c r="E3387" t="s">
        <v>86</v>
      </c>
      <c r="F3387" s="55">
        <v>94</v>
      </c>
      <c r="G3387" s="63">
        <v>9.2999999999999992E-3</v>
      </c>
    </row>
    <row r="3388" spans="1:7" x14ac:dyDescent="0.2">
      <c r="A3388" t="s">
        <v>89</v>
      </c>
      <c r="B3388" t="s">
        <v>116</v>
      </c>
      <c r="C3388" t="s">
        <v>197</v>
      </c>
      <c r="D3388" t="s">
        <v>74</v>
      </c>
      <c r="E3388" t="s">
        <v>87</v>
      </c>
      <c r="F3388" s="55">
        <v>96</v>
      </c>
      <c r="G3388" s="63">
        <v>1.0999999999999999E-2</v>
      </c>
    </row>
    <row r="3389" spans="1:7" x14ac:dyDescent="0.2">
      <c r="A3389" t="s">
        <v>89</v>
      </c>
      <c r="B3389" t="s">
        <v>116</v>
      </c>
      <c r="C3389" t="s">
        <v>197</v>
      </c>
      <c r="D3389" t="s">
        <v>74</v>
      </c>
      <c r="E3389" t="s">
        <v>88</v>
      </c>
      <c r="F3389" s="55">
        <v>74</v>
      </c>
      <c r="G3389" s="63">
        <v>3.8E-3</v>
      </c>
    </row>
    <row r="3390" spans="1:7" x14ac:dyDescent="0.2">
      <c r="A3390" t="s">
        <v>71</v>
      </c>
      <c r="B3390" t="s">
        <v>117</v>
      </c>
      <c r="C3390" t="s">
        <v>197</v>
      </c>
      <c r="D3390" t="s">
        <v>74</v>
      </c>
      <c r="E3390" t="s">
        <v>75</v>
      </c>
      <c r="F3390" s="55">
        <v>104</v>
      </c>
      <c r="G3390" s="63">
        <v>0.43469999999999998</v>
      </c>
    </row>
    <row r="3391" spans="1:7" x14ac:dyDescent="0.2">
      <c r="A3391" t="s">
        <v>71</v>
      </c>
      <c r="B3391" t="s">
        <v>117</v>
      </c>
      <c r="C3391" t="s">
        <v>197</v>
      </c>
      <c r="D3391" t="s">
        <v>74</v>
      </c>
      <c r="E3391" t="s">
        <v>76</v>
      </c>
      <c r="F3391" s="55">
        <v>90</v>
      </c>
      <c r="G3391" s="63">
        <v>6.08E-2</v>
      </c>
    </row>
    <row r="3392" spans="1:7" x14ac:dyDescent="0.2">
      <c r="A3392" t="s">
        <v>71</v>
      </c>
      <c r="B3392" t="s">
        <v>117</v>
      </c>
      <c r="C3392" t="s">
        <v>197</v>
      </c>
      <c r="D3392" t="s">
        <v>74</v>
      </c>
      <c r="E3392" t="s">
        <v>77</v>
      </c>
      <c r="F3392" s="55">
        <v>109</v>
      </c>
      <c r="G3392" s="63">
        <v>0.16700000000000001</v>
      </c>
    </row>
    <row r="3393" spans="1:7" x14ac:dyDescent="0.2">
      <c r="A3393" t="s">
        <v>71</v>
      </c>
      <c r="B3393" t="s">
        <v>117</v>
      </c>
      <c r="C3393" t="s">
        <v>197</v>
      </c>
      <c r="D3393" t="s">
        <v>74</v>
      </c>
      <c r="E3393" t="s">
        <v>78</v>
      </c>
      <c r="F3393" s="55">
        <v>101</v>
      </c>
      <c r="G3393" s="63">
        <v>0.13059999999999999</v>
      </c>
    </row>
    <row r="3394" spans="1:7" x14ac:dyDescent="0.2">
      <c r="A3394" t="s">
        <v>71</v>
      </c>
      <c r="B3394" t="s">
        <v>117</v>
      </c>
      <c r="C3394" t="s">
        <v>197</v>
      </c>
      <c r="D3394" t="s">
        <v>74</v>
      </c>
      <c r="E3394" t="s">
        <v>79</v>
      </c>
      <c r="F3394" s="55">
        <v>106</v>
      </c>
      <c r="G3394" s="63">
        <v>0.2954</v>
      </c>
    </row>
    <row r="3395" spans="1:7" x14ac:dyDescent="0.2">
      <c r="A3395" t="s">
        <v>71</v>
      </c>
      <c r="B3395" t="s">
        <v>117</v>
      </c>
      <c r="C3395" t="s">
        <v>197</v>
      </c>
      <c r="D3395" t="s">
        <v>74</v>
      </c>
      <c r="E3395" t="s">
        <v>80</v>
      </c>
      <c r="F3395" s="55">
        <v>96</v>
      </c>
      <c r="G3395" s="63">
        <v>0.11509999999999999</v>
      </c>
    </row>
    <row r="3396" spans="1:7" x14ac:dyDescent="0.2">
      <c r="A3396" t="s">
        <v>71</v>
      </c>
      <c r="B3396" t="s">
        <v>117</v>
      </c>
      <c r="C3396" t="s">
        <v>197</v>
      </c>
      <c r="D3396" t="s">
        <v>74</v>
      </c>
      <c r="E3396" t="s">
        <v>81</v>
      </c>
      <c r="F3396" s="55">
        <v>97</v>
      </c>
      <c r="G3396" s="63">
        <v>0.113</v>
      </c>
    </row>
    <row r="3397" spans="1:7" x14ac:dyDescent="0.2">
      <c r="A3397" t="s">
        <v>71</v>
      </c>
      <c r="B3397" t="s">
        <v>117</v>
      </c>
      <c r="C3397" t="s">
        <v>197</v>
      </c>
      <c r="D3397" t="s">
        <v>74</v>
      </c>
      <c r="E3397" t="s">
        <v>82</v>
      </c>
      <c r="F3397" s="55">
        <v>104</v>
      </c>
      <c r="G3397" s="63">
        <v>0.24840000000000001</v>
      </c>
    </row>
    <row r="3398" spans="1:7" x14ac:dyDescent="0.2">
      <c r="A3398" t="s">
        <v>71</v>
      </c>
      <c r="B3398" t="s">
        <v>117</v>
      </c>
      <c r="C3398" t="s">
        <v>197</v>
      </c>
      <c r="D3398" t="s">
        <v>74</v>
      </c>
      <c r="E3398" t="s">
        <v>83</v>
      </c>
      <c r="F3398" s="55">
        <v>92</v>
      </c>
      <c r="G3398" s="63">
        <v>5.0900000000000001E-2</v>
      </c>
    </row>
    <row r="3399" spans="1:7" x14ac:dyDescent="0.2">
      <c r="A3399" t="s">
        <v>71</v>
      </c>
      <c r="B3399" t="s">
        <v>117</v>
      </c>
      <c r="C3399" t="s">
        <v>197</v>
      </c>
      <c r="D3399" t="s">
        <v>74</v>
      </c>
      <c r="E3399" t="s">
        <v>84</v>
      </c>
      <c r="F3399" s="55">
        <v>103</v>
      </c>
      <c r="G3399" s="63">
        <v>0.1046</v>
      </c>
    </row>
    <row r="3400" spans="1:7" x14ac:dyDescent="0.2">
      <c r="A3400" t="s">
        <v>71</v>
      </c>
      <c r="B3400" t="s">
        <v>117</v>
      </c>
      <c r="C3400" t="s">
        <v>197</v>
      </c>
      <c r="D3400" t="s">
        <v>74</v>
      </c>
      <c r="E3400" t="s">
        <v>85</v>
      </c>
      <c r="F3400" s="55">
        <v>96</v>
      </c>
      <c r="G3400" s="63">
        <v>0.1318</v>
      </c>
    </row>
    <row r="3401" spans="1:7" x14ac:dyDescent="0.2">
      <c r="A3401" t="s">
        <v>71</v>
      </c>
      <c r="B3401" t="s">
        <v>117</v>
      </c>
      <c r="C3401" t="s">
        <v>197</v>
      </c>
      <c r="D3401" t="s">
        <v>74</v>
      </c>
      <c r="E3401" t="s">
        <v>86</v>
      </c>
      <c r="F3401" s="55">
        <v>106</v>
      </c>
      <c r="G3401" s="63">
        <v>0.15720000000000001</v>
      </c>
    </row>
    <row r="3402" spans="1:7" x14ac:dyDescent="0.2">
      <c r="A3402" t="s">
        <v>71</v>
      </c>
      <c r="B3402" t="s">
        <v>117</v>
      </c>
      <c r="C3402" t="s">
        <v>197</v>
      </c>
      <c r="D3402" t="s">
        <v>74</v>
      </c>
      <c r="E3402" t="s">
        <v>87</v>
      </c>
      <c r="F3402" s="55">
        <v>107</v>
      </c>
      <c r="G3402" s="63">
        <v>0.1681</v>
      </c>
    </row>
    <row r="3403" spans="1:7" x14ac:dyDescent="0.2">
      <c r="A3403" t="s">
        <v>71</v>
      </c>
      <c r="B3403" t="s">
        <v>117</v>
      </c>
      <c r="C3403" t="s">
        <v>197</v>
      </c>
      <c r="D3403" t="s">
        <v>74</v>
      </c>
      <c r="E3403" t="s">
        <v>88</v>
      </c>
      <c r="F3403" s="55">
        <v>94</v>
      </c>
      <c r="G3403" s="63">
        <v>9.4100000000000003E-2</v>
      </c>
    </row>
    <row r="3404" spans="1:7" x14ac:dyDescent="0.2">
      <c r="A3404" t="s">
        <v>71</v>
      </c>
      <c r="B3404" t="s">
        <v>118</v>
      </c>
      <c r="C3404" t="s">
        <v>197</v>
      </c>
      <c r="D3404" t="s">
        <v>74</v>
      </c>
      <c r="E3404" t="s">
        <v>75</v>
      </c>
      <c r="F3404" s="55">
        <v>20</v>
      </c>
      <c r="G3404" s="63">
        <v>7.7999999999999996E-3</v>
      </c>
    </row>
    <row r="3405" spans="1:7" x14ac:dyDescent="0.2">
      <c r="A3405" t="s">
        <v>89</v>
      </c>
      <c r="B3405" t="s">
        <v>119</v>
      </c>
      <c r="C3405" t="s">
        <v>197</v>
      </c>
      <c r="D3405" t="s">
        <v>74</v>
      </c>
      <c r="E3405" t="s">
        <v>75</v>
      </c>
      <c r="F3405" s="55">
        <v>107</v>
      </c>
      <c r="G3405" s="63">
        <v>4.7800000000000002E-2</v>
      </c>
    </row>
    <row r="3406" spans="1:7" x14ac:dyDescent="0.2">
      <c r="A3406" t="s">
        <v>89</v>
      </c>
      <c r="B3406" t="s">
        <v>119</v>
      </c>
      <c r="C3406" t="s">
        <v>197</v>
      </c>
      <c r="D3406" t="s">
        <v>74</v>
      </c>
      <c r="E3406" t="s">
        <v>76</v>
      </c>
      <c r="F3406" s="55">
        <v>107</v>
      </c>
      <c r="G3406" s="63">
        <v>5.8999999999999999E-3</v>
      </c>
    </row>
    <row r="3407" spans="1:7" x14ac:dyDescent="0.2">
      <c r="A3407" t="s">
        <v>89</v>
      </c>
      <c r="B3407" t="s">
        <v>119</v>
      </c>
      <c r="C3407" t="s">
        <v>197</v>
      </c>
      <c r="D3407" t="s">
        <v>74</v>
      </c>
      <c r="E3407" t="s">
        <v>77</v>
      </c>
      <c r="F3407" s="55">
        <v>108</v>
      </c>
      <c r="G3407" s="63">
        <v>1.77E-2</v>
      </c>
    </row>
    <row r="3408" spans="1:7" x14ac:dyDescent="0.2">
      <c r="A3408" t="s">
        <v>89</v>
      </c>
      <c r="B3408" t="s">
        <v>119</v>
      </c>
      <c r="C3408" t="s">
        <v>197</v>
      </c>
      <c r="D3408" t="s">
        <v>74</v>
      </c>
      <c r="E3408" t="s">
        <v>78</v>
      </c>
      <c r="F3408" s="55">
        <v>97</v>
      </c>
      <c r="G3408" s="63">
        <v>1.21E-2</v>
      </c>
    </row>
    <row r="3409" spans="1:7" x14ac:dyDescent="0.2">
      <c r="A3409" t="s">
        <v>89</v>
      </c>
      <c r="B3409" t="s">
        <v>119</v>
      </c>
      <c r="C3409" t="s">
        <v>197</v>
      </c>
      <c r="D3409" t="s">
        <v>74</v>
      </c>
      <c r="E3409" t="s">
        <v>79</v>
      </c>
      <c r="F3409" s="55">
        <v>107</v>
      </c>
      <c r="G3409" s="63">
        <v>2.7699999999999999E-2</v>
      </c>
    </row>
    <row r="3410" spans="1:7" x14ac:dyDescent="0.2">
      <c r="A3410" t="s">
        <v>89</v>
      </c>
      <c r="B3410" t="s">
        <v>119</v>
      </c>
      <c r="C3410" t="s">
        <v>197</v>
      </c>
      <c r="D3410" t="s">
        <v>74</v>
      </c>
      <c r="E3410" t="s">
        <v>80</v>
      </c>
      <c r="F3410" s="55">
        <v>98</v>
      </c>
      <c r="G3410" s="63">
        <v>1.2999999999999999E-2</v>
      </c>
    </row>
    <row r="3411" spans="1:7" x14ac:dyDescent="0.2">
      <c r="A3411" t="s">
        <v>89</v>
      </c>
      <c r="B3411" t="s">
        <v>119</v>
      </c>
      <c r="C3411" t="s">
        <v>197</v>
      </c>
      <c r="D3411" t="s">
        <v>74</v>
      </c>
      <c r="E3411" t="s">
        <v>81</v>
      </c>
      <c r="F3411" s="55">
        <v>112</v>
      </c>
      <c r="G3411" s="63">
        <v>1.3899999999999999E-2</v>
      </c>
    </row>
    <row r="3412" spans="1:7" x14ac:dyDescent="0.2">
      <c r="A3412" t="s">
        <v>89</v>
      </c>
      <c r="B3412" t="s">
        <v>119</v>
      </c>
      <c r="C3412" t="s">
        <v>197</v>
      </c>
      <c r="D3412" t="s">
        <v>74</v>
      </c>
      <c r="E3412" t="s">
        <v>82</v>
      </c>
      <c r="F3412" s="55">
        <v>111</v>
      </c>
      <c r="G3412" s="63">
        <v>1.9300000000000001E-2</v>
      </c>
    </row>
    <row r="3413" spans="1:7" x14ac:dyDescent="0.2">
      <c r="A3413" t="s">
        <v>89</v>
      </c>
      <c r="B3413" t="s">
        <v>119</v>
      </c>
      <c r="C3413" t="s">
        <v>197</v>
      </c>
      <c r="D3413" t="s">
        <v>74</v>
      </c>
      <c r="E3413" t="s">
        <v>83</v>
      </c>
      <c r="F3413" s="55">
        <v>116</v>
      </c>
      <c r="G3413" s="63">
        <v>6.3E-3</v>
      </c>
    </row>
    <row r="3414" spans="1:7" x14ac:dyDescent="0.2">
      <c r="A3414" t="s">
        <v>89</v>
      </c>
      <c r="B3414" t="s">
        <v>119</v>
      </c>
      <c r="C3414" t="s">
        <v>197</v>
      </c>
      <c r="D3414" t="s">
        <v>74</v>
      </c>
      <c r="E3414" t="s">
        <v>84</v>
      </c>
      <c r="F3414" s="55">
        <v>98</v>
      </c>
      <c r="G3414" s="63">
        <v>9.7999999999999997E-3</v>
      </c>
    </row>
    <row r="3415" spans="1:7" x14ac:dyDescent="0.2">
      <c r="A3415" t="s">
        <v>89</v>
      </c>
      <c r="B3415" t="s">
        <v>119</v>
      </c>
      <c r="C3415" t="s">
        <v>197</v>
      </c>
      <c r="D3415" t="s">
        <v>74</v>
      </c>
      <c r="E3415" t="s">
        <v>85</v>
      </c>
      <c r="F3415" s="55">
        <v>94</v>
      </c>
      <c r="G3415" s="63">
        <v>1.2200000000000001E-2</v>
      </c>
    </row>
    <row r="3416" spans="1:7" x14ac:dyDescent="0.2">
      <c r="A3416" t="s">
        <v>89</v>
      </c>
      <c r="B3416" t="s">
        <v>119</v>
      </c>
      <c r="C3416" t="s">
        <v>197</v>
      </c>
      <c r="D3416" t="s">
        <v>74</v>
      </c>
      <c r="E3416" t="s">
        <v>86</v>
      </c>
      <c r="F3416" s="55">
        <v>109</v>
      </c>
      <c r="G3416" s="63">
        <v>1.41E-2</v>
      </c>
    </row>
    <row r="3417" spans="1:7" x14ac:dyDescent="0.2">
      <c r="A3417" t="s">
        <v>89</v>
      </c>
      <c r="B3417" t="s">
        <v>119</v>
      </c>
      <c r="C3417" t="s">
        <v>197</v>
      </c>
      <c r="D3417" t="s">
        <v>74</v>
      </c>
      <c r="E3417" t="s">
        <v>87</v>
      </c>
      <c r="F3417" s="55">
        <v>108</v>
      </c>
      <c r="G3417" s="63">
        <v>1.41E-2</v>
      </c>
    </row>
    <row r="3418" spans="1:7" x14ac:dyDescent="0.2">
      <c r="A3418" t="s">
        <v>89</v>
      </c>
      <c r="B3418" t="s">
        <v>119</v>
      </c>
      <c r="C3418" t="s">
        <v>197</v>
      </c>
      <c r="D3418" t="s">
        <v>74</v>
      </c>
      <c r="E3418" t="s">
        <v>88</v>
      </c>
      <c r="F3418" s="55">
        <v>116</v>
      </c>
      <c r="G3418" s="63">
        <v>1.03E-2</v>
      </c>
    </row>
    <row r="3419" spans="1:7" x14ac:dyDescent="0.2">
      <c r="A3419" t="s">
        <v>89</v>
      </c>
      <c r="B3419" t="s">
        <v>120</v>
      </c>
      <c r="C3419" t="s">
        <v>197</v>
      </c>
      <c r="D3419" t="s">
        <v>74</v>
      </c>
      <c r="E3419" t="s">
        <v>75</v>
      </c>
      <c r="F3419" s="55">
        <v>56</v>
      </c>
      <c r="G3419" s="63">
        <v>0.1462</v>
      </c>
    </row>
    <row r="3420" spans="1:7" x14ac:dyDescent="0.2">
      <c r="A3420" t="s">
        <v>89</v>
      </c>
      <c r="B3420" t="s">
        <v>120</v>
      </c>
      <c r="C3420" t="s">
        <v>197</v>
      </c>
      <c r="D3420" t="s">
        <v>74</v>
      </c>
      <c r="E3420" t="s">
        <v>76</v>
      </c>
      <c r="F3420" s="55">
        <v>37</v>
      </c>
      <c r="G3420" s="63">
        <v>9.7999999999999997E-3</v>
      </c>
    </row>
    <row r="3421" spans="1:7" x14ac:dyDescent="0.2">
      <c r="A3421" t="s">
        <v>89</v>
      </c>
      <c r="B3421" t="s">
        <v>120</v>
      </c>
      <c r="C3421" t="s">
        <v>197</v>
      </c>
      <c r="D3421" t="s">
        <v>74</v>
      </c>
      <c r="E3421" t="s">
        <v>77</v>
      </c>
      <c r="F3421" s="55">
        <v>49</v>
      </c>
      <c r="G3421" s="63">
        <v>3.3500000000000002E-2</v>
      </c>
    </row>
    <row r="3422" spans="1:7" x14ac:dyDescent="0.2">
      <c r="A3422" t="s">
        <v>89</v>
      </c>
      <c r="B3422" t="s">
        <v>120</v>
      </c>
      <c r="C3422" t="s">
        <v>197</v>
      </c>
      <c r="D3422" t="s">
        <v>74</v>
      </c>
      <c r="E3422" t="s">
        <v>78</v>
      </c>
      <c r="F3422" s="55">
        <v>56</v>
      </c>
      <c r="G3422" s="63">
        <v>2.8799999999999999E-2</v>
      </c>
    </row>
    <row r="3423" spans="1:7" x14ac:dyDescent="0.2">
      <c r="A3423" t="s">
        <v>89</v>
      </c>
      <c r="B3423" t="s">
        <v>120</v>
      </c>
      <c r="C3423" t="s">
        <v>197</v>
      </c>
      <c r="D3423" t="s">
        <v>74</v>
      </c>
      <c r="E3423" t="s">
        <v>79</v>
      </c>
      <c r="F3423" s="55">
        <v>62</v>
      </c>
      <c r="G3423" s="63">
        <v>8.8300000000000003E-2</v>
      </c>
    </row>
    <row r="3424" spans="1:7" x14ac:dyDescent="0.2">
      <c r="A3424" t="s">
        <v>89</v>
      </c>
      <c r="B3424" t="s">
        <v>120</v>
      </c>
      <c r="C3424" t="s">
        <v>197</v>
      </c>
      <c r="D3424" t="s">
        <v>74</v>
      </c>
      <c r="E3424" t="s">
        <v>80</v>
      </c>
      <c r="F3424" s="55">
        <v>64</v>
      </c>
      <c r="G3424" s="63">
        <v>1.4800000000000001E-2</v>
      </c>
    </row>
    <row r="3425" spans="1:7" x14ac:dyDescent="0.2">
      <c r="A3425" t="s">
        <v>89</v>
      </c>
      <c r="B3425" t="s">
        <v>120</v>
      </c>
      <c r="C3425" t="s">
        <v>197</v>
      </c>
      <c r="D3425" t="s">
        <v>74</v>
      </c>
      <c r="E3425" t="s">
        <v>81</v>
      </c>
      <c r="F3425" s="55">
        <v>52</v>
      </c>
      <c r="G3425" s="63">
        <v>1.55E-2</v>
      </c>
    </row>
    <row r="3426" spans="1:7" x14ac:dyDescent="0.2">
      <c r="A3426" t="s">
        <v>89</v>
      </c>
      <c r="B3426" t="s">
        <v>120</v>
      </c>
      <c r="C3426" t="s">
        <v>197</v>
      </c>
      <c r="D3426" t="s">
        <v>74</v>
      </c>
      <c r="E3426" t="s">
        <v>82</v>
      </c>
      <c r="F3426" s="55">
        <v>62</v>
      </c>
      <c r="G3426" s="63">
        <v>5.8700000000000002E-2</v>
      </c>
    </row>
    <row r="3427" spans="1:7" x14ac:dyDescent="0.2">
      <c r="A3427" t="s">
        <v>89</v>
      </c>
      <c r="B3427" t="s">
        <v>120</v>
      </c>
      <c r="C3427" t="s">
        <v>197</v>
      </c>
      <c r="D3427" t="s">
        <v>74</v>
      </c>
      <c r="E3427" t="s">
        <v>83</v>
      </c>
      <c r="F3427" s="55">
        <v>52</v>
      </c>
      <c r="G3427" s="63">
        <v>6.1999999999999998E-3</v>
      </c>
    </row>
    <row r="3428" spans="1:7" x14ac:dyDescent="0.2">
      <c r="A3428" t="s">
        <v>89</v>
      </c>
      <c r="B3428" t="s">
        <v>120</v>
      </c>
      <c r="C3428" t="s">
        <v>197</v>
      </c>
      <c r="D3428" t="s">
        <v>74</v>
      </c>
      <c r="E3428" t="s">
        <v>84</v>
      </c>
      <c r="F3428" s="55">
        <v>57</v>
      </c>
      <c r="G3428" s="63">
        <v>2.2200000000000001E-2</v>
      </c>
    </row>
    <row r="3429" spans="1:7" x14ac:dyDescent="0.2">
      <c r="A3429" t="s">
        <v>89</v>
      </c>
      <c r="B3429" t="s">
        <v>120</v>
      </c>
      <c r="C3429" t="s">
        <v>197</v>
      </c>
      <c r="D3429" t="s">
        <v>74</v>
      </c>
      <c r="E3429" t="s">
        <v>85</v>
      </c>
      <c r="F3429" s="55">
        <v>59</v>
      </c>
      <c r="G3429" s="63">
        <v>1.7999999999999999E-2</v>
      </c>
    </row>
    <row r="3430" spans="1:7" x14ac:dyDescent="0.2">
      <c r="A3430" t="s">
        <v>89</v>
      </c>
      <c r="B3430" t="s">
        <v>120</v>
      </c>
      <c r="C3430" t="s">
        <v>197</v>
      </c>
      <c r="D3430" t="s">
        <v>74</v>
      </c>
      <c r="E3430" t="s">
        <v>86</v>
      </c>
      <c r="F3430" s="55">
        <v>60</v>
      </c>
      <c r="G3430" s="63">
        <v>2.2499999999999999E-2</v>
      </c>
    </row>
    <row r="3431" spans="1:7" x14ac:dyDescent="0.2">
      <c r="A3431" t="s">
        <v>89</v>
      </c>
      <c r="B3431" t="s">
        <v>120</v>
      </c>
      <c r="C3431" t="s">
        <v>197</v>
      </c>
      <c r="D3431" t="s">
        <v>74</v>
      </c>
      <c r="E3431" t="s">
        <v>87</v>
      </c>
      <c r="F3431" s="55">
        <v>67</v>
      </c>
      <c r="G3431" s="63">
        <v>3.6700000000000003E-2</v>
      </c>
    </row>
    <row r="3432" spans="1:7" x14ac:dyDescent="0.2">
      <c r="A3432" t="s">
        <v>89</v>
      </c>
      <c r="B3432" t="s">
        <v>120</v>
      </c>
      <c r="C3432" t="s">
        <v>197</v>
      </c>
      <c r="D3432" t="s">
        <v>74</v>
      </c>
      <c r="E3432" t="s">
        <v>88</v>
      </c>
      <c r="F3432" s="55">
        <v>41</v>
      </c>
      <c r="G3432" s="63">
        <v>1.7100000000000001E-2</v>
      </c>
    </row>
    <row r="3433" spans="1:7" x14ac:dyDescent="0.2">
      <c r="A3433" t="s">
        <v>89</v>
      </c>
      <c r="B3433" t="s">
        <v>121</v>
      </c>
      <c r="C3433" t="s">
        <v>197</v>
      </c>
      <c r="D3433" t="s">
        <v>74</v>
      </c>
      <c r="E3433" t="s">
        <v>75</v>
      </c>
      <c r="F3433" s="55">
        <v>89</v>
      </c>
      <c r="G3433" s="63">
        <v>2.87E-2</v>
      </c>
    </row>
    <row r="3434" spans="1:7" x14ac:dyDescent="0.2">
      <c r="A3434" t="s">
        <v>89</v>
      </c>
      <c r="B3434" t="s">
        <v>121</v>
      </c>
      <c r="C3434" t="s">
        <v>197</v>
      </c>
      <c r="D3434" t="s">
        <v>74</v>
      </c>
      <c r="E3434" t="s">
        <v>77</v>
      </c>
      <c r="F3434" s="55">
        <v>40</v>
      </c>
      <c r="G3434" s="63">
        <v>6.0000000000000001E-3</v>
      </c>
    </row>
    <row r="3435" spans="1:7" x14ac:dyDescent="0.2">
      <c r="A3435" t="s">
        <v>89</v>
      </c>
      <c r="B3435" t="s">
        <v>121</v>
      </c>
      <c r="C3435" t="s">
        <v>197</v>
      </c>
      <c r="D3435" t="s">
        <v>74</v>
      </c>
      <c r="E3435" t="s">
        <v>78</v>
      </c>
      <c r="F3435" s="55">
        <v>141</v>
      </c>
      <c r="G3435" s="63">
        <v>5.7999999999999996E-3</v>
      </c>
    </row>
    <row r="3436" spans="1:7" x14ac:dyDescent="0.2">
      <c r="A3436" t="s">
        <v>89</v>
      </c>
      <c r="B3436" t="s">
        <v>121</v>
      </c>
      <c r="C3436" t="s">
        <v>197</v>
      </c>
      <c r="D3436" t="s">
        <v>74</v>
      </c>
      <c r="E3436" t="s">
        <v>79</v>
      </c>
      <c r="F3436" s="55">
        <v>123</v>
      </c>
      <c r="G3436" s="63">
        <v>1.47E-2</v>
      </c>
    </row>
    <row r="3437" spans="1:7" x14ac:dyDescent="0.2">
      <c r="A3437" t="s">
        <v>89</v>
      </c>
      <c r="B3437" t="s">
        <v>121</v>
      </c>
      <c r="C3437" t="s">
        <v>197</v>
      </c>
      <c r="D3437" t="s">
        <v>74</v>
      </c>
      <c r="E3437" t="s">
        <v>80</v>
      </c>
      <c r="F3437" s="55">
        <v>93</v>
      </c>
      <c r="G3437" s="63">
        <v>3.8999999999999998E-3</v>
      </c>
    </row>
    <row r="3438" spans="1:7" x14ac:dyDescent="0.2">
      <c r="A3438" t="s">
        <v>89</v>
      </c>
      <c r="B3438" t="s">
        <v>121</v>
      </c>
      <c r="C3438" t="s">
        <v>197</v>
      </c>
      <c r="D3438" t="s">
        <v>74</v>
      </c>
      <c r="E3438" t="s">
        <v>81</v>
      </c>
      <c r="F3438" s="55">
        <v>72</v>
      </c>
      <c r="G3438" s="63">
        <v>5.1000000000000004E-3</v>
      </c>
    </row>
    <row r="3439" spans="1:7" x14ac:dyDescent="0.2">
      <c r="A3439" t="s">
        <v>89</v>
      </c>
      <c r="B3439" t="s">
        <v>121</v>
      </c>
      <c r="C3439" t="s">
        <v>197</v>
      </c>
      <c r="D3439" t="s">
        <v>74</v>
      </c>
      <c r="E3439" t="s">
        <v>82</v>
      </c>
      <c r="F3439" s="55">
        <v>104</v>
      </c>
      <c r="G3439" s="63">
        <v>8.9999999999999993E-3</v>
      </c>
    </row>
    <row r="3440" spans="1:7" x14ac:dyDescent="0.2">
      <c r="A3440" t="s">
        <v>89</v>
      </c>
      <c r="B3440" t="s">
        <v>121</v>
      </c>
      <c r="C3440" t="s">
        <v>197</v>
      </c>
      <c r="D3440" t="s">
        <v>74</v>
      </c>
      <c r="E3440" t="s">
        <v>84</v>
      </c>
      <c r="F3440" s="55">
        <v>142</v>
      </c>
      <c r="G3440" s="63">
        <v>4.1000000000000003E-3</v>
      </c>
    </row>
    <row r="3441" spans="1:7" x14ac:dyDescent="0.2">
      <c r="A3441" t="s">
        <v>89</v>
      </c>
      <c r="B3441" t="s">
        <v>121</v>
      </c>
      <c r="C3441" t="s">
        <v>197</v>
      </c>
      <c r="D3441" t="s">
        <v>74</v>
      </c>
      <c r="E3441" t="s">
        <v>86</v>
      </c>
      <c r="F3441" s="55">
        <v>148</v>
      </c>
      <c r="G3441" s="63">
        <v>4.1000000000000003E-3</v>
      </c>
    </row>
    <row r="3442" spans="1:7" x14ac:dyDescent="0.2">
      <c r="A3442" t="s">
        <v>89</v>
      </c>
      <c r="B3442" t="s">
        <v>121</v>
      </c>
      <c r="C3442" t="s">
        <v>197</v>
      </c>
      <c r="D3442" t="s">
        <v>74</v>
      </c>
      <c r="E3442" t="s">
        <v>87</v>
      </c>
      <c r="F3442" s="55">
        <v>136</v>
      </c>
      <c r="G3442" s="63">
        <v>5.4999999999999997E-3</v>
      </c>
    </row>
    <row r="3443" spans="1:7" x14ac:dyDescent="0.2">
      <c r="A3443" t="s">
        <v>71</v>
      </c>
      <c r="B3443" t="s">
        <v>8</v>
      </c>
      <c r="C3443" t="s">
        <v>197</v>
      </c>
      <c r="D3443" t="s">
        <v>74</v>
      </c>
      <c r="E3443" t="s">
        <v>75</v>
      </c>
      <c r="F3443" s="55">
        <v>93</v>
      </c>
      <c r="G3443" s="63">
        <v>0.19539999999999999</v>
      </c>
    </row>
    <row r="3444" spans="1:7" x14ac:dyDescent="0.2">
      <c r="A3444" t="s">
        <v>71</v>
      </c>
      <c r="B3444" t="s">
        <v>8</v>
      </c>
      <c r="C3444" t="s">
        <v>197</v>
      </c>
      <c r="D3444" t="s">
        <v>74</v>
      </c>
      <c r="E3444" t="s">
        <v>76</v>
      </c>
      <c r="F3444" s="55">
        <v>90</v>
      </c>
      <c r="G3444" s="63">
        <v>1.8100000000000002E-2</v>
      </c>
    </row>
    <row r="3445" spans="1:7" x14ac:dyDescent="0.2">
      <c r="A3445" t="s">
        <v>71</v>
      </c>
      <c r="B3445" t="s">
        <v>8</v>
      </c>
      <c r="C3445" t="s">
        <v>197</v>
      </c>
      <c r="D3445" t="s">
        <v>74</v>
      </c>
      <c r="E3445" t="s">
        <v>77</v>
      </c>
      <c r="F3445" s="55">
        <v>100</v>
      </c>
      <c r="G3445" s="63">
        <v>6.3500000000000001E-2</v>
      </c>
    </row>
    <row r="3446" spans="1:7" x14ac:dyDescent="0.2">
      <c r="A3446" t="s">
        <v>71</v>
      </c>
      <c r="B3446" t="s">
        <v>8</v>
      </c>
      <c r="C3446" t="s">
        <v>197</v>
      </c>
      <c r="D3446" t="s">
        <v>74</v>
      </c>
      <c r="E3446" t="s">
        <v>78</v>
      </c>
      <c r="F3446" s="55">
        <v>97</v>
      </c>
      <c r="G3446" s="63">
        <v>4.24E-2</v>
      </c>
    </row>
    <row r="3447" spans="1:7" x14ac:dyDescent="0.2">
      <c r="A3447" t="s">
        <v>71</v>
      </c>
      <c r="B3447" t="s">
        <v>8</v>
      </c>
      <c r="C3447" t="s">
        <v>197</v>
      </c>
      <c r="D3447" t="s">
        <v>74</v>
      </c>
      <c r="E3447" t="s">
        <v>79</v>
      </c>
      <c r="F3447" s="55">
        <v>89</v>
      </c>
      <c r="G3447" s="63">
        <v>0.1242</v>
      </c>
    </row>
    <row r="3448" spans="1:7" x14ac:dyDescent="0.2">
      <c r="A3448" t="s">
        <v>71</v>
      </c>
      <c r="B3448" t="s">
        <v>8</v>
      </c>
      <c r="C3448" t="s">
        <v>197</v>
      </c>
      <c r="D3448" t="s">
        <v>74</v>
      </c>
      <c r="E3448" t="s">
        <v>80</v>
      </c>
      <c r="F3448" s="55">
        <v>92</v>
      </c>
      <c r="G3448" s="63">
        <v>4.7199999999999999E-2</v>
      </c>
    </row>
    <row r="3449" spans="1:7" x14ac:dyDescent="0.2">
      <c r="A3449" t="s">
        <v>71</v>
      </c>
      <c r="B3449" t="s">
        <v>8</v>
      </c>
      <c r="C3449" t="s">
        <v>197</v>
      </c>
      <c r="D3449" t="s">
        <v>74</v>
      </c>
      <c r="E3449" t="s">
        <v>81</v>
      </c>
      <c r="F3449" s="55">
        <v>95</v>
      </c>
      <c r="G3449" s="63">
        <v>4.5600000000000002E-2</v>
      </c>
    </row>
    <row r="3450" spans="1:7" x14ac:dyDescent="0.2">
      <c r="A3450" t="s">
        <v>71</v>
      </c>
      <c r="B3450" t="s">
        <v>8</v>
      </c>
      <c r="C3450" t="s">
        <v>197</v>
      </c>
      <c r="D3450" t="s">
        <v>74</v>
      </c>
      <c r="E3450" t="s">
        <v>82</v>
      </c>
      <c r="F3450" s="55">
        <v>90</v>
      </c>
      <c r="G3450" s="63">
        <v>8.72E-2</v>
      </c>
    </row>
    <row r="3451" spans="1:7" x14ac:dyDescent="0.2">
      <c r="A3451" t="s">
        <v>71</v>
      </c>
      <c r="B3451" t="s">
        <v>8</v>
      </c>
      <c r="C3451" t="s">
        <v>197</v>
      </c>
      <c r="D3451" t="s">
        <v>74</v>
      </c>
      <c r="E3451" t="s">
        <v>83</v>
      </c>
      <c r="F3451" s="55">
        <v>91</v>
      </c>
      <c r="G3451" s="63">
        <v>1.7999999999999999E-2</v>
      </c>
    </row>
    <row r="3452" spans="1:7" x14ac:dyDescent="0.2">
      <c r="A3452" t="s">
        <v>71</v>
      </c>
      <c r="B3452" t="s">
        <v>8</v>
      </c>
      <c r="C3452" t="s">
        <v>197</v>
      </c>
      <c r="D3452" t="s">
        <v>74</v>
      </c>
      <c r="E3452" t="s">
        <v>84</v>
      </c>
      <c r="F3452" s="55">
        <v>96</v>
      </c>
      <c r="G3452" s="63">
        <v>3.2500000000000001E-2</v>
      </c>
    </row>
    <row r="3453" spans="1:7" x14ac:dyDescent="0.2">
      <c r="A3453" t="s">
        <v>71</v>
      </c>
      <c r="B3453" t="s">
        <v>8</v>
      </c>
      <c r="C3453" t="s">
        <v>197</v>
      </c>
      <c r="D3453" t="s">
        <v>74</v>
      </c>
      <c r="E3453" t="s">
        <v>85</v>
      </c>
      <c r="F3453" s="55">
        <v>89</v>
      </c>
      <c r="G3453" s="63">
        <v>4.5999999999999999E-2</v>
      </c>
    </row>
    <row r="3454" spans="1:7" x14ac:dyDescent="0.2">
      <c r="A3454" t="s">
        <v>71</v>
      </c>
      <c r="B3454" t="s">
        <v>8</v>
      </c>
      <c r="C3454" t="s">
        <v>197</v>
      </c>
      <c r="D3454" t="s">
        <v>74</v>
      </c>
      <c r="E3454" t="s">
        <v>86</v>
      </c>
      <c r="F3454" s="55">
        <v>90</v>
      </c>
      <c r="G3454" s="63">
        <v>5.0700000000000002E-2</v>
      </c>
    </row>
    <row r="3455" spans="1:7" x14ac:dyDescent="0.2">
      <c r="A3455" t="s">
        <v>71</v>
      </c>
      <c r="B3455" t="s">
        <v>8</v>
      </c>
      <c r="C3455" t="s">
        <v>197</v>
      </c>
      <c r="D3455" t="s">
        <v>74</v>
      </c>
      <c r="E3455" t="s">
        <v>87</v>
      </c>
      <c r="F3455" s="55">
        <v>89</v>
      </c>
      <c r="G3455" s="63">
        <v>5.5899999999999998E-2</v>
      </c>
    </row>
    <row r="3456" spans="1:7" x14ac:dyDescent="0.2">
      <c r="A3456" t="s">
        <v>71</v>
      </c>
      <c r="B3456" t="s">
        <v>8</v>
      </c>
      <c r="C3456" t="s">
        <v>197</v>
      </c>
      <c r="D3456" t="s">
        <v>74</v>
      </c>
      <c r="E3456" t="s">
        <v>88</v>
      </c>
      <c r="F3456" s="55">
        <v>84</v>
      </c>
      <c r="G3456" s="63">
        <v>2.9399999999999999E-2</v>
      </c>
    </row>
    <row r="3457" spans="1:7" x14ac:dyDescent="0.2">
      <c r="A3457" t="s">
        <v>71</v>
      </c>
      <c r="B3457" t="s">
        <v>9</v>
      </c>
      <c r="C3457" t="s">
        <v>197</v>
      </c>
      <c r="D3457" t="s">
        <v>74</v>
      </c>
      <c r="E3457" t="s">
        <v>75</v>
      </c>
      <c r="F3457" s="55">
        <v>81</v>
      </c>
      <c r="G3457" s="63">
        <v>0.39340000000000003</v>
      </c>
    </row>
    <row r="3458" spans="1:7" x14ac:dyDescent="0.2">
      <c r="A3458" t="s">
        <v>71</v>
      </c>
      <c r="B3458" t="s">
        <v>9</v>
      </c>
      <c r="C3458" t="s">
        <v>197</v>
      </c>
      <c r="D3458" t="s">
        <v>74</v>
      </c>
      <c r="E3458" t="s">
        <v>76</v>
      </c>
      <c r="F3458" s="55">
        <v>79</v>
      </c>
      <c r="G3458" s="63">
        <v>6.1899999999999997E-2</v>
      </c>
    </row>
    <row r="3459" spans="1:7" x14ac:dyDescent="0.2">
      <c r="A3459" t="s">
        <v>71</v>
      </c>
      <c r="B3459" t="s">
        <v>9</v>
      </c>
      <c r="C3459" t="s">
        <v>197</v>
      </c>
      <c r="D3459" t="s">
        <v>74</v>
      </c>
      <c r="E3459" t="s">
        <v>77</v>
      </c>
      <c r="F3459" s="55">
        <v>77</v>
      </c>
      <c r="G3459" s="63">
        <v>0.1467</v>
      </c>
    </row>
    <row r="3460" spans="1:7" x14ac:dyDescent="0.2">
      <c r="A3460" t="s">
        <v>71</v>
      </c>
      <c r="B3460" t="s">
        <v>9</v>
      </c>
      <c r="C3460" t="s">
        <v>197</v>
      </c>
      <c r="D3460" t="s">
        <v>74</v>
      </c>
      <c r="E3460" t="s">
        <v>78</v>
      </c>
      <c r="F3460" s="55">
        <v>87</v>
      </c>
      <c r="G3460" s="63">
        <v>0.12909999999999999</v>
      </c>
    </row>
    <row r="3461" spans="1:7" x14ac:dyDescent="0.2">
      <c r="A3461" t="s">
        <v>71</v>
      </c>
      <c r="B3461" t="s">
        <v>9</v>
      </c>
      <c r="C3461" t="s">
        <v>197</v>
      </c>
      <c r="D3461" t="s">
        <v>74</v>
      </c>
      <c r="E3461" t="s">
        <v>79</v>
      </c>
      <c r="F3461" s="55">
        <v>85</v>
      </c>
      <c r="G3461" s="63">
        <v>0.30959999999999999</v>
      </c>
    </row>
    <row r="3462" spans="1:7" x14ac:dyDescent="0.2">
      <c r="A3462" t="s">
        <v>71</v>
      </c>
      <c r="B3462" t="s">
        <v>9</v>
      </c>
      <c r="C3462" t="s">
        <v>197</v>
      </c>
      <c r="D3462" t="s">
        <v>74</v>
      </c>
      <c r="E3462" t="s">
        <v>80</v>
      </c>
      <c r="F3462" s="55">
        <v>79</v>
      </c>
      <c r="G3462" s="63">
        <v>0.1222</v>
      </c>
    </row>
    <row r="3463" spans="1:7" x14ac:dyDescent="0.2">
      <c r="A3463" t="s">
        <v>71</v>
      </c>
      <c r="B3463" t="s">
        <v>9</v>
      </c>
      <c r="C3463" t="s">
        <v>197</v>
      </c>
      <c r="D3463" t="s">
        <v>74</v>
      </c>
      <c r="E3463" t="s">
        <v>81</v>
      </c>
      <c r="F3463" s="55">
        <v>70</v>
      </c>
      <c r="G3463" s="63">
        <v>0.1056</v>
      </c>
    </row>
    <row r="3464" spans="1:7" x14ac:dyDescent="0.2">
      <c r="A3464" t="s">
        <v>71</v>
      </c>
      <c r="B3464" t="s">
        <v>9</v>
      </c>
      <c r="C3464" t="s">
        <v>197</v>
      </c>
      <c r="D3464" t="s">
        <v>74</v>
      </c>
      <c r="E3464" t="s">
        <v>82</v>
      </c>
      <c r="F3464" s="55">
        <v>84</v>
      </c>
      <c r="G3464" s="63">
        <v>0.24379999999999999</v>
      </c>
    </row>
    <row r="3465" spans="1:7" x14ac:dyDescent="0.2">
      <c r="A3465" t="s">
        <v>71</v>
      </c>
      <c r="B3465" t="s">
        <v>9</v>
      </c>
      <c r="C3465" t="s">
        <v>197</v>
      </c>
      <c r="D3465" t="s">
        <v>74</v>
      </c>
      <c r="E3465" t="s">
        <v>83</v>
      </c>
      <c r="F3465" s="55">
        <v>65</v>
      </c>
      <c r="G3465" s="63">
        <v>4.7500000000000001E-2</v>
      </c>
    </row>
    <row r="3466" spans="1:7" x14ac:dyDescent="0.2">
      <c r="A3466" t="s">
        <v>71</v>
      </c>
      <c r="B3466" t="s">
        <v>9</v>
      </c>
      <c r="C3466" t="s">
        <v>197</v>
      </c>
      <c r="D3466" t="s">
        <v>74</v>
      </c>
      <c r="E3466" t="s">
        <v>84</v>
      </c>
      <c r="F3466" s="55">
        <v>89</v>
      </c>
      <c r="G3466" s="63">
        <v>0.1016</v>
      </c>
    </row>
    <row r="3467" spans="1:7" x14ac:dyDescent="0.2">
      <c r="A3467" t="s">
        <v>71</v>
      </c>
      <c r="B3467" t="s">
        <v>9</v>
      </c>
      <c r="C3467" t="s">
        <v>197</v>
      </c>
      <c r="D3467" t="s">
        <v>74</v>
      </c>
      <c r="E3467" t="s">
        <v>85</v>
      </c>
      <c r="F3467" s="55">
        <v>81</v>
      </c>
      <c r="G3467" s="63">
        <v>0.16170000000000001</v>
      </c>
    </row>
    <row r="3468" spans="1:7" x14ac:dyDescent="0.2">
      <c r="A3468" t="s">
        <v>71</v>
      </c>
      <c r="B3468" t="s">
        <v>9</v>
      </c>
      <c r="C3468" t="s">
        <v>197</v>
      </c>
      <c r="D3468" t="s">
        <v>74</v>
      </c>
      <c r="E3468" t="s">
        <v>86</v>
      </c>
      <c r="F3468" s="55">
        <v>86</v>
      </c>
      <c r="G3468" s="63">
        <v>0.19209999999999999</v>
      </c>
    </row>
    <row r="3469" spans="1:7" x14ac:dyDescent="0.2">
      <c r="A3469" t="s">
        <v>71</v>
      </c>
      <c r="B3469" t="s">
        <v>9</v>
      </c>
      <c r="C3469" t="s">
        <v>197</v>
      </c>
      <c r="D3469" t="s">
        <v>74</v>
      </c>
      <c r="E3469" t="s">
        <v>87</v>
      </c>
      <c r="F3469" s="55">
        <v>86</v>
      </c>
      <c r="G3469" s="63">
        <v>0.2034</v>
      </c>
    </row>
    <row r="3470" spans="1:7" x14ac:dyDescent="0.2">
      <c r="A3470" t="s">
        <v>71</v>
      </c>
      <c r="B3470" t="s">
        <v>9</v>
      </c>
      <c r="C3470" t="s">
        <v>197</v>
      </c>
      <c r="D3470" t="s">
        <v>74</v>
      </c>
      <c r="E3470" t="s">
        <v>88</v>
      </c>
      <c r="F3470" s="55">
        <v>77</v>
      </c>
      <c r="G3470" s="63">
        <v>9.5899999999999999E-2</v>
      </c>
    </row>
    <row r="3471" spans="1:7" x14ac:dyDescent="0.2">
      <c r="A3471" t="s">
        <v>71</v>
      </c>
      <c r="B3471" t="s">
        <v>122</v>
      </c>
      <c r="C3471" t="s">
        <v>197</v>
      </c>
      <c r="D3471" t="s">
        <v>74</v>
      </c>
      <c r="E3471" t="s">
        <v>75</v>
      </c>
      <c r="F3471" s="55">
        <v>27</v>
      </c>
      <c r="G3471" s="63">
        <v>2.5999999999999999E-2</v>
      </c>
    </row>
    <row r="3472" spans="1:7" x14ac:dyDescent="0.2">
      <c r="A3472" t="s">
        <v>71</v>
      </c>
      <c r="B3472" t="s">
        <v>122</v>
      </c>
      <c r="C3472" t="s">
        <v>197</v>
      </c>
      <c r="D3472" t="s">
        <v>74</v>
      </c>
      <c r="E3472" t="s">
        <v>77</v>
      </c>
      <c r="F3472" s="55">
        <v>27</v>
      </c>
      <c r="G3472" s="63">
        <v>6.8999999999999999E-3</v>
      </c>
    </row>
    <row r="3473" spans="1:7" x14ac:dyDescent="0.2">
      <c r="A3473" t="s">
        <v>71</v>
      </c>
      <c r="B3473" t="s">
        <v>122</v>
      </c>
      <c r="C3473" t="s">
        <v>197</v>
      </c>
      <c r="D3473" t="s">
        <v>74</v>
      </c>
      <c r="E3473" t="s">
        <v>78</v>
      </c>
      <c r="F3473" s="55">
        <v>36</v>
      </c>
      <c r="G3473" s="63">
        <v>6.0000000000000001E-3</v>
      </c>
    </row>
    <row r="3474" spans="1:7" x14ac:dyDescent="0.2">
      <c r="A3474" t="s">
        <v>71</v>
      </c>
      <c r="B3474" t="s">
        <v>122</v>
      </c>
      <c r="C3474" t="s">
        <v>197</v>
      </c>
      <c r="D3474" t="s">
        <v>74</v>
      </c>
      <c r="E3474" t="s">
        <v>79</v>
      </c>
      <c r="F3474" s="55">
        <v>30</v>
      </c>
      <c r="G3474" s="63">
        <v>1.3100000000000001E-2</v>
      </c>
    </row>
    <row r="3475" spans="1:7" x14ac:dyDescent="0.2">
      <c r="A3475" t="s">
        <v>71</v>
      </c>
      <c r="B3475" t="s">
        <v>122</v>
      </c>
      <c r="C3475" t="s">
        <v>197</v>
      </c>
      <c r="D3475" t="s">
        <v>74</v>
      </c>
      <c r="E3475" t="s">
        <v>82</v>
      </c>
      <c r="F3475" s="55">
        <v>27</v>
      </c>
      <c r="G3475" s="63">
        <v>1.03E-2</v>
      </c>
    </row>
    <row r="3476" spans="1:7" x14ac:dyDescent="0.2">
      <c r="A3476" t="s">
        <v>71</v>
      </c>
      <c r="B3476" t="s">
        <v>122</v>
      </c>
      <c r="C3476" t="s">
        <v>197</v>
      </c>
      <c r="D3476" t="s">
        <v>74</v>
      </c>
      <c r="E3476" t="s">
        <v>84</v>
      </c>
      <c r="F3476" s="55">
        <v>37</v>
      </c>
      <c r="G3476" s="63">
        <v>4.4000000000000003E-3</v>
      </c>
    </row>
    <row r="3477" spans="1:7" x14ac:dyDescent="0.2">
      <c r="A3477" t="s">
        <v>71</v>
      </c>
      <c r="B3477" t="s">
        <v>122</v>
      </c>
      <c r="C3477" t="s">
        <v>197</v>
      </c>
      <c r="D3477" t="s">
        <v>74</v>
      </c>
      <c r="E3477" t="s">
        <v>86</v>
      </c>
      <c r="F3477" s="55">
        <v>23</v>
      </c>
      <c r="G3477" s="63">
        <v>5.5999999999999999E-3</v>
      </c>
    </row>
    <row r="3478" spans="1:7" x14ac:dyDescent="0.2">
      <c r="A3478" t="s">
        <v>71</v>
      </c>
      <c r="B3478" t="s">
        <v>122</v>
      </c>
      <c r="C3478" t="s">
        <v>197</v>
      </c>
      <c r="D3478" t="s">
        <v>74</v>
      </c>
      <c r="E3478" t="s">
        <v>87</v>
      </c>
      <c r="F3478" s="55">
        <v>38</v>
      </c>
      <c r="G3478" s="63">
        <v>6.4999999999999997E-3</v>
      </c>
    </row>
    <row r="3479" spans="1:7" x14ac:dyDescent="0.2">
      <c r="A3479" t="s">
        <v>71</v>
      </c>
      <c r="B3479" t="s">
        <v>123</v>
      </c>
      <c r="C3479" t="s">
        <v>197</v>
      </c>
      <c r="D3479" t="s">
        <v>74</v>
      </c>
      <c r="E3479" t="s">
        <v>75</v>
      </c>
      <c r="F3479" s="55">
        <v>93</v>
      </c>
      <c r="G3479" s="63">
        <v>0.33029999999999998</v>
      </c>
    </row>
    <row r="3480" spans="1:7" x14ac:dyDescent="0.2">
      <c r="A3480" t="s">
        <v>71</v>
      </c>
      <c r="B3480" t="s">
        <v>123</v>
      </c>
      <c r="C3480" t="s">
        <v>197</v>
      </c>
      <c r="D3480" t="s">
        <v>74</v>
      </c>
      <c r="E3480" t="s">
        <v>76</v>
      </c>
      <c r="F3480" s="55">
        <v>80</v>
      </c>
      <c r="G3480" s="63">
        <v>3.9600000000000003E-2</v>
      </c>
    </row>
    <row r="3481" spans="1:7" x14ac:dyDescent="0.2">
      <c r="A3481" t="s">
        <v>71</v>
      </c>
      <c r="B3481" t="s">
        <v>123</v>
      </c>
      <c r="C3481" t="s">
        <v>197</v>
      </c>
      <c r="D3481" t="s">
        <v>74</v>
      </c>
      <c r="E3481" t="s">
        <v>77</v>
      </c>
      <c r="F3481" s="55">
        <v>90</v>
      </c>
      <c r="G3481" s="63">
        <v>0.1181</v>
      </c>
    </row>
    <row r="3482" spans="1:7" x14ac:dyDescent="0.2">
      <c r="A3482" t="s">
        <v>71</v>
      </c>
      <c r="B3482" t="s">
        <v>123</v>
      </c>
      <c r="C3482" t="s">
        <v>197</v>
      </c>
      <c r="D3482" t="s">
        <v>74</v>
      </c>
      <c r="E3482" t="s">
        <v>78</v>
      </c>
      <c r="F3482" s="55">
        <v>85</v>
      </c>
      <c r="G3482" s="63">
        <v>9.7900000000000001E-2</v>
      </c>
    </row>
    <row r="3483" spans="1:7" x14ac:dyDescent="0.2">
      <c r="A3483" t="s">
        <v>71</v>
      </c>
      <c r="B3483" t="s">
        <v>123</v>
      </c>
      <c r="C3483" t="s">
        <v>197</v>
      </c>
      <c r="D3483" t="s">
        <v>74</v>
      </c>
      <c r="E3483" t="s">
        <v>79</v>
      </c>
      <c r="F3483" s="55">
        <v>100</v>
      </c>
      <c r="G3483" s="63">
        <v>0.2263</v>
      </c>
    </row>
    <row r="3484" spans="1:7" x14ac:dyDescent="0.2">
      <c r="A3484" t="s">
        <v>71</v>
      </c>
      <c r="B3484" t="s">
        <v>123</v>
      </c>
      <c r="C3484" t="s">
        <v>197</v>
      </c>
      <c r="D3484" t="s">
        <v>74</v>
      </c>
      <c r="E3484" t="s">
        <v>80</v>
      </c>
      <c r="F3484" s="55">
        <v>88</v>
      </c>
      <c r="G3484" s="63">
        <v>7.9399999999999998E-2</v>
      </c>
    </row>
    <row r="3485" spans="1:7" x14ac:dyDescent="0.2">
      <c r="A3485" t="s">
        <v>71</v>
      </c>
      <c r="B3485" t="s">
        <v>123</v>
      </c>
      <c r="C3485" t="s">
        <v>197</v>
      </c>
      <c r="D3485" t="s">
        <v>74</v>
      </c>
      <c r="E3485" t="s">
        <v>81</v>
      </c>
      <c r="F3485" s="55">
        <v>82</v>
      </c>
      <c r="G3485" s="63">
        <v>7.4800000000000005E-2</v>
      </c>
    </row>
    <row r="3486" spans="1:7" x14ac:dyDescent="0.2">
      <c r="A3486" t="s">
        <v>71</v>
      </c>
      <c r="B3486" t="s">
        <v>123</v>
      </c>
      <c r="C3486" t="s">
        <v>197</v>
      </c>
      <c r="D3486" t="s">
        <v>74</v>
      </c>
      <c r="E3486" t="s">
        <v>82</v>
      </c>
      <c r="F3486" s="55">
        <v>96</v>
      </c>
      <c r="G3486" s="63">
        <v>0.1966</v>
      </c>
    </row>
    <row r="3487" spans="1:7" x14ac:dyDescent="0.2">
      <c r="A3487" t="s">
        <v>71</v>
      </c>
      <c r="B3487" t="s">
        <v>123</v>
      </c>
      <c r="C3487" t="s">
        <v>197</v>
      </c>
      <c r="D3487" t="s">
        <v>74</v>
      </c>
      <c r="E3487" t="s">
        <v>83</v>
      </c>
      <c r="F3487" s="55">
        <v>77</v>
      </c>
      <c r="G3487" s="63">
        <v>2.8899999999999999E-2</v>
      </c>
    </row>
    <row r="3488" spans="1:7" x14ac:dyDescent="0.2">
      <c r="A3488" t="s">
        <v>71</v>
      </c>
      <c r="B3488" t="s">
        <v>123</v>
      </c>
      <c r="C3488" t="s">
        <v>197</v>
      </c>
      <c r="D3488" t="s">
        <v>74</v>
      </c>
      <c r="E3488" t="s">
        <v>84</v>
      </c>
      <c r="F3488" s="55">
        <v>87</v>
      </c>
      <c r="G3488" s="63">
        <v>7.6200000000000004E-2</v>
      </c>
    </row>
    <row r="3489" spans="1:7" x14ac:dyDescent="0.2">
      <c r="A3489" t="s">
        <v>71</v>
      </c>
      <c r="B3489" t="s">
        <v>123</v>
      </c>
      <c r="C3489" t="s">
        <v>197</v>
      </c>
      <c r="D3489" t="s">
        <v>74</v>
      </c>
      <c r="E3489" t="s">
        <v>85</v>
      </c>
      <c r="F3489" s="55">
        <v>94</v>
      </c>
      <c r="G3489" s="63">
        <v>0.1002</v>
      </c>
    </row>
    <row r="3490" spans="1:7" x14ac:dyDescent="0.2">
      <c r="A3490" t="s">
        <v>71</v>
      </c>
      <c r="B3490" t="s">
        <v>123</v>
      </c>
      <c r="C3490" t="s">
        <v>197</v>
      </c>
      <c r="D3490" t="s">
        <v>74</v>
      </c>
      <c r="E3490" t="s">
        <v>86</v>
      </c>
      <c r="F3490" s="55">
        <v>99</v>
      </c>
      <c r="G3490" s="63">
        <v>0.1208</v>
      </c>
    </row>
    <row r="3491" spans="1:7" x14ac:dyDescent="0.2">
      <c r="A3491" t="s">
        <v>71</v>
      </c>
      <c r="B3491" t="s">
        <v>123</v>
      </c>
      <c r="C3491" t="s">
        <v>197</v>
      </c>
      <c r="D3491" t="s">
        <v>74</v>
      </c>
      <c r="E3491" t="s">
        <v>87</v>
      </c>
      <c r="F3491" s="55">
        <v>101</v>
      </c>
      <c r="G3491" s="63">
        <v>0.1351</v>
      </c>
    </row>
    <row r="3492" spans="1:7" x14ac:dyDescent="0.2">
      <c r="A3492" t="s">
        <v>71</v>
      </c>
      <c r="B3492" t="s">
        <v>123</v>
      </c>
      <c r="C3492" t="s">
        <v>197</v>
      </c>
      <c r="D3492" t="s">
        <v>74</v>
      </c>
      <c r="E3492" t="s">
        <v>88</v>
      </c>
      <c r="F3492" s="55">
        <v>80</v>
      </c>
      <c r="G3492" s="63">
        <v>6.2799999999999995E-2</v>
      </c>
    </row>
    <row r="3493" spans="1:7" x14ac:dyDescent="0.2">
      <c r="A3493" t="s">
        <v>89</v>
      </c>
      <c r="B3493" t="s">
        <v>124</v>
      </c>
      <c r="C3493" t="s">
        <v>197</v>
      </c>
      <c r="D3493" t="s">
        <v>74</v>
      </c>
      <c r="E3493" t="s">
        <v>75</v>
      </c>
      <c r="F3493" s="55">
        <v>78</v>
      </c>
      <c r="G3493" s="63">
        <v>5.0099999999999999E-2</v>
      </c>
    </row>
    <row r="3494" spans="1:7" x14ac:dyDescent="0.2">
      <c r="A3494" t="s">
        <v>89</v>
      </c>
      <c r="B3494" t="s">
        <v>124</v>
      </c>
      <c r="C3494" t="s">
        <v>197</v>
      </c>
      <c r="D3494" t="s">
        <v>74</v>
      </c>
      <c r="E3494" t="s">
        <v>77</v>
      </c>
      <c r="F3494" s="55">
        <v>70</v>
      </c>
      <c r="G3494" s="63">
        <v>1.43E-2</v>
      </c>
    </row>
    <row r="3495" spans="1:7" x14ac:dyDescent="0.2">
      <c r="A3495" t="s">
        <v>89</v>
      </c>
      <c r="B3495" t="s">
        <v>124</v>
      </c>
      <c r="C3495" t="s">
        <v>197</v>
      </c>
      <c r="D3495" t="s">
        <v>74</v>
      </c>
      <c r="E3495" t="s">
        <v>78</v>
      </c>
      <c r="F3495" s="55">
        <v>42</v>
      </c>
      <c r="G3495" s="63">
        <v>0.01</v>
      </c>
    </row>
    <row r="3496" spans="1:7" x14ac:dyDescent="0.2">
      <c r="A3496" t="s">
        <v>89</v>
      </c>
      <c r="B3496" t="s">
        <v>124</v>
      </c>
      <c r="C3496" t="s">
        <v>197</v>
      </c>
      <c r="D3496" t="s">
        <v>74</v>
      </c>
      <c r="E3496" t="s">
        <v>79</v>
      </c>
      <c r="F3496" s="55">
        <v>103</v>
      </c>
      <c r="G3496" s="63">
        <v>2.9499999999999998E-2</v>
      </c>
    </row>
    <row r="3497" spans="1:7" x14ac:dyDescent="0.2">
      <c r="A3497" t="s">
        <v>89</v>
      </c>
      <c r="B3497" t="s">
        <v>124</v>
      </c>
      <c r="C3497" t="s">
        <v>197</v>
      </c>
      <c r="D3497" t="s">
        <v>74</v>
      </c>
      <c r="E3497" t="s">
        <v>80</v>
      </c>
      <c r="F3497" s="55">
        <v>108</v>
      </c>
      <c r="G3497" s="63">
        <v>5.3E-3</v>
      </c>
    </row>
    <row r="3498" spans="1:7" x14ac:dyDescent="0.2">
      <c r="A3498" t="s">
        <v>89</v>
      </c>
      <c r="B3498" t="s">
        <v>124</v>
      </c>
      <c r="C3498" t="s">
        <v>197</v>
      </c>
      <c r="D3498" t="s">
        <v>74</v>
      </c>
      <c r="E3498" t="s">
        <v>81</v>
      </c>
      <c r="F3498" s="55">
        <v>95</v>
      </c>
      <c r="G3498" s="63">
        <v>5.8999999999999999E-3</v>
      </c>
    </row>
    <row r="3499" spans="1:7" x14ac:dyDescent="0.2">
      <c r="A3499" t="s">
        <v>89</v>
      </c>
      <c r="B3499" t="s">
        <v>124</v>
      </c>
      <c r="C3499" t="s">
        <v>197</v>
      </c>
      <c r="D3499" t="s">
        <v>74</v>
      </c>
      <c r="E3499" t="s">
        <v>82</v>
      </c>
      <c r="F3499" s="55">
        <v>122</v>
      </c>
      <c r="G3499" s="63">
        <v>1.9300000000000001E-2</v>
      </c>
    </row>
    <row r="3500" spans="1:7" x14ac:dyDescent="0.2">
      <c r="A3500" t="s">
        <v>89</v>
      </c>
      <c r="B3500" t="s">
        <v>124</v>
      </c>
      <c r="C3500" t="s">
        <v>197</v>
      </c>
      <c r="D3500" t="s">
        <v>74</v>
      </c>
      <c r="E3500" t="s">
        <v>84</v>
      </c>
      <c r="F3500" s="55">
        <v>40</v>
      </c>
      <c r="G3500" s="63">
        <v>5.8999999999999999E-3</v>
      </c>
    </row>
    <row r="3501" spans="1:7" x14ac:dyDescent="0.2">
      <c r="A3501" t="s">
        <v>89</v>
      </c>
      <c r="B3501" t="s">
        <v>124</v>
      </c>
      <c r="C3501" t="s">
        <v>197</v>
      </c>
      <c r="D3501" t="s">
        <v>74</v>
      </c>
      <c r="E3501" t="s">
        <v>85</v>
      </c>
      <c r="F3501" s="55">
        <v>141</v>
      </c>
      <c r="G3501" s="63">
        <v>8.0999999999999996E-3</v>
      </c>
    </row>
    <row r="3502" spans="1:7" x14ac:dyDescent="0.2">
      <c r="A3502" t="s">
        <v>89</v>
      </c>
      <c r="B3502" t="s">
        <v>124</v>
      </c>
      <c r="C3502" t="s">
        <v>197</v>
      </c>
      <c r="D3502" t="s">
        <v>74</v>
      </c>
      <c r="E3502" t="s">
        <v>86</v>
      </c>
      <c r="F3502" s="55">
        <v>107</v>
      </c>
      <c r="G3502" s="63">
        <v>1.0200000000000001E-2</v>
      </c>
    </row>
    <row r="3503" spans="1:7" x14ac:dyDescent="0.2">
      <c r="A3503" t="s">
        <v>89</v>
      </c>
      <c r="B3503" t="s">
        <v>124</v>
      </c>
      <c r="C3503" t="s">
        <v>197</v>
      </c>
      <c r="D3503" t="s">
        <v>74</v>
      </c>
      <c r="E3503" t="s">
        <v>87</v>
      </c>
      <c r="F3503" s="55">
        <v>108</v>
      </c>
      <c r="G3503" s="63">
        <v>1.3299999999999999E-2</v>
      </c>
    </row>
    <row r="3504" spans="1:7" x14ac:dyDescent="0.2">
      <c r="A3504" t="s">
        <v>89</v>
      </c>
      <c r="B3504" t="s">
        <v>124</v>
      </c>
      <c r="C3504" t="s">
        <v>197</v>
      </c>
      <c r="D3504" t="s">
        <v>74</v>
      </c>
      <c r="E3504" t="s">
        <v>88</v>
      </c>
      <c r="F3504" s="55">
        <v>87</v>
      </c>
      <c r="G3504" s="63">
        <v>4.7000000000000002E-3</v>
      </c>
    </row>
    <row r="3505" spans="1:7" x14ac:dyDescent="0.2">
      <c r="A3505" t="s">
        <v>71</v>
      </c>
      <c r="B3505" t="s">
        <v>125</v>
      </c>
      <c r="C3505" t="s">
        <v>197</v>
      </c>
      <c r="D3505" t="s">
        <v>74</v>
      </c>
      <c r="E3505" t="s">
        <v>75</v>
      </c>
      <c r="F3505" s="55">
        <v>81</v>
      </c>
      <c r="G3505" s="63">
        <v>5.62E-2</v>
      </c>
    </row>
    <row r="3506" spans="1:7" x14ac:dyDescent="0.2">
      <c r="A3506" t="s">
        <v>71</v>
      </c>
      <c r="B3506" t="s">
        <v>125</v>
      </c>
      <c r="C3506" t="s">
        <v>197</v>
      </c>
      <c r="D3506" t="s">
        <v>74</v>
      </c>
      <c r="E3506" t="s">
        <v>77</v>
      </c>
      <c r="F3506" s="55">
        <v>82</v>
      </c>
      <c r="G3506" s="63">
        <v>1.29E-2</v>
      </c>
    </row>
    <row r="3507" spans="1:7" x14ac:dyDescent="0.2">
      <c r="A3507" t="s">
        <v>71</v>
      </c>
      <c r="B3507" t="s">
        <v>125</v>
      </c>
      <c r="C3507" t="s">
        <v>197</v>
      </c>
      <c r="D3507" t="s">
        <v>74</v>
      </c>
      <c r="E3507" t="s">
        <v>78</v>
      </c>
      <c r="F3507" s="55">
        <v>115</v>
      </c>
      <c r="G3507" s="63">
        <v>1.0200000000000001E-2</v>
      </c>
    </row>
    <row r="3508" spans="1:7" x14ac:dyDescent="0.2">
      <c r="A3508" t="s">
        <v>71</v>
      </c>
      <c r="B3508" t="s">
        <v>125</v>
      </c>
      <c r="C3508" t="s">
        <v>197</v>
      </c>
      <c r="D3508" t="s">
        <v>74</v>
      </c>
      <c r="E3508" t="s">
        <v>79</v>
      </c>
      <c r="F3508" s="55">
        <v>102</v>
      </c>
      <c r="G3508" s="63">
        <v>3.39E-2</v>
      </c>
    </row>
    <row r="3509" spans="1:7" x14ac:dyDescent="0.2">
      <c r="A3509" t="s">
        <v>71</v>
      </c>
      <c r="B3509" t="s">
        <v>125</v>
      </c>
      <c r="C3509" t="s">
        <v>197</v>
      </c>
      <c r="D3509" t="s">
        <v>74</v>
      </c>
      <c r="E3509" t="s">
        <v>80</v>
      </c>
      <c r="F3509" s="55">
        <v>66</v>
      </c>
      <c r="G3509" s="63">
        <v>6.0000000000000001E-3</v>
      </c>
    </row>
    <row r="3510" spans="1:7" x14ac:dyDescent="0.2">
      <c r="A3510" t="s">
        <v>71</v>
      </c>
      <c r="B3510" t="s">
        <v>125</v>
      </c>
      <c r="C3510" t="s">
        <v>197</v>
      </c>
      <c r="D3510" t="s">
        <v>74</v>
      </c>
      <c r="E3510" t="s">
        <v>81</v>
      </c>
      <c r="F3510" s="55">
        <v>52</v>
      </c>
      <c r="G3510" s="63">
        <v>6.3E-3</v>
      </c>
    </row>
    <row r="3511" spans="1:7" x14ac:dyDescent="0.2">
      <c r="A3511" t="s">
        <v>71</v>
      </c>
      <c r="B3511" t="s">
        <v>125</v>
      </c>
      <c r="C3511" t="s">
        <v>197</v>
      </c>
      <c r="D3511" t="s">
        <v>74</v>
      </c>
      <c r="E3511" t="s">
        <v>82</v>
      </c>
      <c r="F3511" s="55">
        <v>81</v>
      </c>
      <c r="G3511" s="63">
        <v>1.9699999999999999E-2</v>
      </c>
    </row>
    <row r="3512" spans="1:7" x14ac:dyDescent="0.2">
      <c r="A3512" t="s">
        <v>71</v>
      </c>
      <c r="B3512" t="s">
        <v>125</v>
      </c>
      <c r="C3512" t="s">
        <v>197</v>
      </c>
      <c r="D3512" t="s">
        <v>74</v>
      </c>
      <c r="E3512" t="s">
        <v>84</v>
      </c>
      <c r="F3512" s="55">
        <v>134</v>
      </c>
      <c r="G3512" s="63">
        <v>7.1999999999999998E-3</v>
      </c>
    </row>
    <row r="3513" spans="1:7" x14ac:dyDescent="0.2">
      <c r="A3513" t="s">
        <v>71</v>
      </c>
      <c r="B3513" t="s">
        <v>125</v>
      </c>
      <c r="C3513" t="s">
        <v>197</v>
      </c>
      <c r="D3513" t="s">
        <v>74</v>
      </c>
      <c r="E3513" t="s">
        <v>85</v>
      </c>
      <c r="F3513" s="55">
        <v>100</v>
      </c>
      <c r="G3513" s="63">
        <v>8.6999999999999994E-3</v>
      </c>
    </row>
    <row r="3514" spans="1:7" x14ac:dyDescent="0.2">
      <c r="A3514" t="s">
        <v>71</v>
      </c>
      <c r="B3514" t="s">
        <v>125</v>
      </c>
      <c r="C3514" t="s">
        <v>197</v>
      </c>
      <c r="D3514" t="s">
        <v>74</v>
      </c>
      <c r="E3514" t="s">
        <v>86</v>
      </c>
      <c r="F3514" s="55">
        <v>106</v>
      </c>
      <c r="G3514" s="63">
        <v>1.17E-2</v>
      </c>
    </row>
    <row r="3515" spans="1:7" x14ac:dyDescent="0.2">
      <c r="A3515" t="s">
        <v>71</v>
      </c>
      <c r="B3515" t="s">
        <v>125</v>
      </c>
      <c r="C3515" t="s">
        <v>197</v>
      </c>
      <c r="D3515" t="s">
        <v>74</v>
      </c>
      <c r="E3515" t="s">
        <v>87</v>
      </c>
      <c r="F3515" s="55">
        <v>105</v>
      </c>
      <c r="G3515" s="63">
        <v>1.5900000000000001E-2</v>
      </c>
    </row>
    <row r="3516" spans="1:7" x14ac:dyDescent="0.2">
      <c r="A3516" t="s">
        <v>71</v>
      </c>
      <c r="B3516" t="s">
        <v>125</v>
      </c>
      <c r="C3516" t="s">
        <v>197</v>
      </c>
      <c r="D3516" t="s">
        <v>74</v>
      </c>
      <c r="E3516" t="s">
        <v>88</v>
      </c>
      <c r="F3516" s="55">
        <v>28</v>
      </c>
      <c r="G3516" s="63">
        <v>4.7999999999999996E-3</v>
      </c>
    </row>
    <row r="3517" spans="1:7" x14ac:dyDescent="0.2">
      <c r="A3517" t="s">
        <v>71</v>
      </c>
      <c r="B3517" t="s">
        <v>10</v>
      </c>
      <c r="C3517" t="s">
        <v>197</v>
      </c>
      <c r="D3517" t="s">
        <v>74</v>
      </c>
      <c r="E3517" t="s">
        <v>75</v>
      </c>
      <c r="F3517" s="55">
        <v>101</v>
      </c>
      <c r="G3517" s="63">
        <v>0.30059999999999998</v>
      </c>
    </row>
    <row r="3518" spans="1:7" x14ac:dyDescent="0.2">
      <c r="A3518" t="s">
        <v>71</v>
      </c>
      <c r="B3518" t="s">
        <v>10</v>
      </c>
      <c r="C3518" t="s">
        <v>197</v>
      </c>
      <c r="D3518" t="s">
        <v>74</v>
      </c>
      <c r="E3518" t="s">
        <v>76</v>
      </c>
      <c r="F3518" s="55">
        <v>107</v>
      </c>
      <c r="G3518" s="63">
        <v>4.2799999999999998E-2</v>
      </c>
    </row>
    <row r="3519" spans="1:7" x14ac:dyDescent="0.2">
      <c r="A3519" t="s">
        <v>71</v>
      </c>
      <c r="B3519" t="s">
        <v>10</v>
      </c>
      <c r="C3519" t="s">
        <v>197</v>
      </c>
      <c r="D3519" t="s">
        <v>74</v>
      </c>
      <c r="E3519" t="s">
        <v>77</v>
      </c>
      <c r="F3519" s="55">
        <v>102</v>
      </c>
      <c r="G3519" s="63">
        <v>0.123</v>
      </c>
    </row>
    <row r="3520" spans="1:7" x14ac:dyDescent="0.2">
      <c r="A3520" t="s">
        <v>71</v>
      </c>
      <c r="B3520" t="s">
        <v>10</v>
      </c>
      <c r="C3520" t="s">
        <v>197</v>
      </c>
      <c r="D3520" t="s">
        <v>74</v>
      </c>
      <c r="E3520" t="s">
        <v>78</v>
      </c>
      <c r="F3520" s="55">
        <v>96</v>
      </c>
      <c r="G3520" s="63">
        <v>0.1023</v>
      </c>
    </row>
    <row r="3521" spans="1:7" x14ac:dyDescent="0.2">
      <c r="A3521" t="s">
        <v>71</v>
      </c>
      <c r="B3521" t="s">
        <v>10</v>
      </c>
      <c r="C3521" t="s">
        <v>197</v>
      </c>
      <c r="D3521" t="s">
        <v>74</v>
      </c>
      <c r="E3521" t="s">
        <v>79</v>
      </c>
      <c r="F3521" s="55">
        <v>97</v>
      </c>
      <c r="G3521" s="63">
        <v>0.21299999999999999</v>
      </c>
    </row>
    <row r="3522" spans="1:7" x14ac:dyDescent="0.2">
      <c r="A3522" t="s">
        <v>71</v>
      </c>
      <c r="B3522" t="s">
        <v>10</v>
      </c>
      <c r="C3522" t="s">
        <v>197</v>
      </c>
      <c r="D3522" t="s">
        <v>74</v>
      </c>
      <c r="E3522" t="s">
        <v>80</v>
      </c>
      <c r="F3522" s="55">
        <v>102</v>
      </c>
      <c r="G3522" s="63">
        <v>9.8000000000000004E-2</v>
      </c>
    </row>
    <row r="3523" spans="1:7" x14ac:dyDescent="0.2">
      <c r="A3523" t="s">
        <v>71</v>
      </c>
      <c r="B3523" t="s">
        <v>10</v>
      </c>
      <c r="C3523" t="s">
        <v>197</v>
      </c>
      <c r="D3523" t="s">
        <v>74</v>
      </c>
      <c r="E3523" t="s">
        <v>81</v>
      </c>
      <c r="F3523" s="55">
        <v>102</v>
      </c>
      <c r="G3523" s="63">
        <v>9.0300000000000005E-2</v>
      </c>
    </row>
    <row r="3524" spans="1:7" x14ac:dyDescent="0.2">
      <c r="A3524" t="s">
        <v>71</v>
      </c>
      <c r="B3524" t="s">
        <v>10</v>
      </c>
      <c r="C3524" t="s">
        <v>197</v>
      </c>
      <c r="D3524" t="s">
        <v>74</v>
      </c>
      <c r="E3524" t="s">
        <v>82</v>
      </c>
      <c r="F3524" s="55">
        <v>105</v>
      </c>
      <c r="G3524" s="63">
        <v>0.18240000000000001</v>
      </c>
    </row>
    <row r="3525" spans="1:7" x14ac:dyDescent="0.2">
      <c r="A3525" t="s">
        <v>71</v>
      </c>
      <c r="B3525" t="s">
        <v>10</v>
      </c>
      <c r="C3525" t="s">
        <v>197</v>
      </c>
      <c r="D3525" t="s">
        <v>74</v>
      </c>
      <c r="E3525" t="s">
        <v>83</v>
      </c>
      <c r="F3525" s="55">
        <v>102</v>
      </c>
      <c r="G3525" s="63">
        <v>3.6499999999999998E-2</v>
      </c>
    </row>
    <row r="3526" spans="1:7" x14ac:dyDescent="0.2">
      <c r="A3526" t="s">
        <v>71</v>
      </c>
      <c r="B3526" t="s">
        <v>10</v>
      </c>
      <c r="C3526" t="s">
        <v>197</v>
      </c>
      <c r="D3526" t="s">
        <v>74</v>
      </c>
      <c r="E3526" t="s">
        <v>84</v>
      </c>
      <c r="F3526" s="55">
        <v>98</v>
      </c>
      <c r="G3526" s="63">
        <v>8.4900000000000003E-2</v>
      </c>
    </row>
    <row r="3527" spans="1:7" x14ac:dyDescent="0.2">
      <c r="A3527" t="s">
        <v>71</v>
      </c>
      <c r="B3527" t="s">
        <v>10</v>
      </c>
      <c r="C3527" t="s">
        <v>197</v>
      </c>
      <c r="D3527" t="s">
        <v>74</v>
      </c>
      <c r="E3527" t="s">
        <v>85</v>
      </c>
      <c r="F3527" s="55">
        <v>100</v>
      </c>
      <c r="G3527" s="63">
        <v>0.109</v>
      </c>
    </row>
    <row r="3528" spans="1:7" x14ac:dyDescent="0.2">
      <c r="A3528" t="s">
        <v>71</v>
      </c>
      <c r="B3528" t="s">
        <v>10</v>
      </c>
      <c r="C3528" t="s">
        <v>197</v>
      </c>
      <c r="D3528" t="s">
        <v>74</v>
      </c>
      <c r="E3528" t="s">
        <v>86</v>
      </c>
      <c r="F3528" s="55">
        <v>99</v>
      </c>
      <c r="G3528" s="63">
        <v>0.1249</v>
      </c>
    </row>
    <row r="3529" spans="1:7" x14ac:dyDescent="0.2">
      <c r="A3529" t="s">
        <v>71</v>
      </c>
      <c r="B3529" t="s">
        <v>10</v>
      </c>
      <c r="C3529" t="s">
        <v>197</v>
      </c>
      <c r="D3529" t="s">
        <v>74</v>
      </c>
      <c r="E3529" t="s">
        <v>87</v>
      </c>
      <c r="F3529" s="55">
        <v>98</v>
      </c>
      <c r="G3529" s="63">
        <v>0.1336</v>
      </c>
    </row>
    <row r="3530" spans="1:7" x14ac:dyDescent="0.2">
      <c r="A3530" t="s">
        <v>71</v>
      </c>
      <c r="B3530" t="s">
        <v>10</v>
      </c>
      <c r="C3530" t="s">
        <v>197</v>
      </c>
      <c r="D3530" t="s">
        <v>74</v>
      </c>
      <c r="E3530" t="s">
        <v>88</v>
      </c>
      <c r="F3530" s="55">
        <v>98</v>
      </c>
      <c r="G3530" s="63">
        <v>7.8200000000000006E-2</v>
      </c>
    </row>
    <row r="3531" spans="1:7" x14ac:dyDescent="0.2">
      <c r="A3531" t="s">
        <v>89</v>
      </c>
      <c r="B3531" t="s">
        <v>126</v>
      </c>
      <c r="C3531" t="s">
        <v>197</v>
      </c>
      <c r="D3531" t="s">
        <v>91</v>
      </c>
      <c r="E3531" t="s">
        <v>75</v>
      </c>
      <c r="F3531" s="55">
        <v>99</v>
      </c>
      <c r="G3531" s="63">
        <v>0.77680000000000005</v>
      </c>
    </row>
    <row r="3532" spans="1:7" x14ac:dyDescent="0.2">
      <c r="A3532" t="s">
        <v>89</v>
      </c>
      <c r="B3532" t="s">
        <v>126</v>
      </c>
      <c r="C3532" t="s">
        <v>197</v>
      </c>
      <c r="D3532" t="s">
        <v>91</v>
      </c>
      <c r="E3532" t="s">
        <v>76</v>
      </c>
      <c r="F3532" s="55">
        <v>90</v>
      </c>
      <c r="G3532" s="63">
        <v>0.28470000000000001</v>
      </c>
    </row>
    <row r="3533" spans="1:7" x14ac:dyDescent="0.2">
      <c r="A3533" t="s">
        <v>89</v>
      </c>
      <c r="B3533" t="s">
        <v>126</v>
      </c>
      <c r="C3533" t="s">
        <v>197</v>
      </c>
      <c r="D3533" t="s">
        <v>91</v>
      </c>
      <c r="E3533" t="s">
        <v>77</v>
      </c>
      <c r="F3533" s="55">
        <v>102</v>
      </c>
      <c r="G3533" s="63">
        <v>0.45419999999999999</v>
      </c>
    </row>
    <row r="3534" spans="1:7" x14ac:dyDescent="0.2">
      <c r="A3534" t="s">
        <v>89</v>
      </c>
      <c r="B3534" t="s">
        <v>126</v>
      </c>
      <c r="C3534" t="s">
        <v>197</v>
      </c>
      <c r="D3534" t="s">
        <v>91</v>
      </c>
      <c r="E3534" t="s">
        <v>78</v>
      </c>
      <c r="F3534" s="55">
        <v>99</v>
      </c>
      <c r="G3534" s="63">
        <v>0.40860000000000002</v>
      </c>
    </row>
    <row r="3535" spans="1:7" x14ac:dyDescent="0.2">
      <c r="A3535" t="s">
        <v>89</v>
      </c>
      <c r="B3535" t="s">
        <v>126</v>
      </c>
      <c r="C3535" t="s">
        <v>197</v>
      </c>
      <c r="D3535" t="s">
        <v>91</v>
      </c>
      <c r="E3535" t="s">
        <v>79</v>
      </c>
      <c r="F3535" s="55">
        <v>102</v>
      </c>
      <c r="G3535" s="63">
        <v>0.66739999999999999</v>
      </c>
    </row>
    <row r="3536" spans="1:7" x14ac:dyDescent="0.2">
      <c r="A3536" t="s">
        <v>89</v>
      </c>
      <c r="B3536" t="s">
        <v>126</v>
      </c>
      <c r="C3536" t="s">
        <v>197</v>
      </c>
      <c r="D3536" t="s">
        <v>91</v>
      </c>
      <c r="E3536" t="s">
        <v>80</v>
      </c>
      <c r="F3536" s="55">
        <v>101</v>
      </c>
      <c r="G3536" s="63">
        <v>0.29959999999999998</v>
      </c>
    </row>
    <row r="3537" spans="1:7" x14ac:dyDescent="0.2">
      <c r="A3537" t="s">
        <v>89</v>
      </c>
      <c r="B3537" t="s">
        <v>126</v>
      </c>
      <c r="C3537" t="s">
        <v>197</v>
      </c>
      <c r="D3537" t="s">
        <v>91</v>
      </c>
      <c r="E3537" t="s">
        <v>81</v>
      </c>
      <c r="F3537" s="55">
        <v>95</v>
      </c>
      <c r="G3537" s="63">
        <v>0.28149999999999997</v>
      </c>
    </row>
    <row r="3538" spans="1:7" x14ac:dyDescent="0.2">
      <c r="A3538" t="s">
        <v>89</v>
      </c>
      <c r="B3538" t="s">
        <v>126</v>
      </c>
      <c r="C3538" t="s">
        <v>197</v>
      </c>
      <c r="D3538" t="s">
        <v>91</v>
      </c>
      <c r="E3538" t="s">
        <v>82</v>
      </c>
      <c r="F3538" s="55">
        <v>100</v>
      </c>
      <c r="G3538" s="63">
        <v>0.55079999999999996</v>
      </c>
    </row>
    <row r="3539" spans="1:7" x14ac:dyDescent="0.2">
      <c r="A3539" t="s">
        <v>89</v>
      </c>
      <c r="B3539" t="s">
        <v>126</v>
      </c>
      <c r="C3539" t="s">
        <v>197</v>
      </c>
      <c r="D3539" t="s">
        <v>91</v>
      </c>
      <c r="E3539" t="s">
        <v>83</v>
      </c>
      <c r="F3539" s="55">
        <v>89</v>
      </c>
      <c r="G3539" s="63">
        <v>0.18390000000000001</v>
      </c>
    </row>
    <row r="3540" spans="1:7" x14ac:dyDescent="0.2">
      <c r="A3540" t="s">
        <v>89</v>
      </c>
      <c r="B3540" t="s">
        <v>126</v>
      </c>
      <c r="C3540" t="s">
        <v>197</v>
      </c>
      <c r="D3540" t="s">
        <v>91</v>
      </c>
      <c r="E3540" t="s">
        <v>84</v>
      </c>
      <c r="F3540" s="55">
        <v>98</v>
      </c>
      <c r="G3540" s="63">
        <v>0.34250000000000003</v>
      </c>
    </row>
    <row r="3541" spans="1:7" x14ac:dyDescent="0.2">
      <c r="A3541" t="s">
        <v>89</v>
      </c>
      <c r="B3541" t="s">
        <v>126</v>
      </c>
      <c r="C3541" t="s">
        <v>197</v>
      </c>
      <c r="D3541" t="s">
        <v>91</v>
      </c>
      <c r="E3541" t="s">
        <v>85</v>
      </c>
      <c r="F3541" s="55">
        <v>99</v>
      </c>
      <c r="G3541" s="63">
        <v>0.40379999999999999</v>
      </c>
    </row>
    <row r="3542" spans="1:7" x14ac:dyDescent="0.2">
      <c r="A3542" t="s">
        <v>89</v>
      </c>
      <c r="B3542" t="s">
        <v>126</v>
      </c>
      <c r="C3542" t="s">
        <v>197</v>
      </c>
      <c r="D3542" t="s">
        <v>91</v>
      </c>
      <c r="E3542" t="s">
        <v>86</v>
      </c>
      <c r="F3542" s="55">
        <v>104</v>
      </c>
      <c r="G3542" s="63">
        <v>0.47710000000000002</v>
      </c>
    </row>
    <row r="3543" spans="1:7" x14ac:dyDescent="0.2">
      <c r="A3543" t="s">
        <v>89</v>
      </c>
      <c r="B3543" t="s">
        <v>126</v>
      </c>
      <c r="C3543" t="s">
        <v>197</v>
      </c>
      <c r="D3543" t="s">
        <v>91</v>
      </c>
      <c r="E3543" t="s">
        <v>87</v>
      </c>
      <c r="F3543" s="55">
        <v>105</v>
      </c>
      <c r="G3543" s="63">
        <v>0.45519999999999999</v>
      </c>
    </row>
    <row r="3544" spans="1:7" x14ac:dyDescent="0.2">
      <c r="A3544" t="s">
        <v>89</v>
      </c>
      <c r="B3544" t="s">
        <v>126</v>
      </c>
      <c r="C3544" t="s">
        <v>197</v>
      </c>
      <c r="D3544" t="s">
        <v>91</v>
      </c>
      <c r="E3544" t="s">
        <v>88</v>
      </c>
      <c r="F3544" s="55">
        <v>91</v>
      </c>
      <c r="G3544" s="63">
        <v>0.34539999999999998</v>
      </c>
    </row>
    <row r="3545" spans="1:7" x14ac:dyDescent="0.2">
      <c r="A3545" t="s">
        <v>71</v>
      </c>
      <c r="B3545" t="s">
        <v>127</v>
      </c>
      <c r="C3545" t="s">
        <v>197</v>
      </c>
      <c r="D3545" t="s">
        <v>74</v>
      </c>
      <c r="E3545" t="s">
        <v>75</v>
      </c>
      <c r="F3545" s="55">
        <v>117</v>
      </c>
      <c r="G3545" s="63">
        <v>0.15640000000000001</v>
      </c>
    </row>
    <row r="3546" spans="1:7" x14ac:dyDescent="0.2">
      <c r="A3546" t="s">
        <v>71</v>
      </c>
      <c r="B3546" t="s">
        <v>127</v>
      </c>
      <c r="C3546" t="s">
        <v>197</v>
      </c>
      <c r="D3546" t="s">
        <v>74</v>
      </c>
      <c r="E3546" t="s">
        <v>76</v>
      </c>
      <c r="F3546" s="55">
        <v>104</v>
      </c>
      <c r="G3546" s="63">
        <v>3.2000000000000001E-2</v>
      </c>
    </row>
    <row r="3547" spans="1:7" x14ac:dyDescent="0.2">
      <c r="A3547" t="s">
        <v>71</v>
      </c>
      <c r="B3547" t="s">
        <v>127</v>
      </c>
      <c r="C3547" t="s">
        <v>197</v>
      </c>
      <c r="D3547" t="s">
        <v>74</v>
      </c>
      <c r="E3547" t="s">
        <v>77</v>
      </c>
      <c r="F3547" s="55">
        <v>119</v>
      </c>
      <c r="G3547" s="63">
        <v>6.7199999999999996E-2</v>
      </c>
    </row>
    <row r="3548" spans="1:7" x14ac:dyDescent="0.2">
      <c r="A3548" t="s">
        <v>71</v>
      </c>
      <c r="B3548" t="s">
        <v>127</v>
      </c>
      <c r="C3548" t="s">
        <v>197</v>
      </c>
      <c r="D3548" t="s">
        <v>74</v>
      </c>
      <c r="E3548" t="s">
        <v>78</v>
      </c>
      <c r="F3548" s="55">
        <v>131</v>
      </c>
      <c r="G3548" s="63">
        <v>5.5E-2</v>
      </c>
    </row>
    <row r="3549" spans="1:7" x14ac:dyDescent="0.2">
      <c r="A3549" t="s">
        <v>71</v>
      </c>
      <c r="B3549" t="s">
        <v>127</v>
      </c>
      <c r="C3549" t="s">
        <v>197</v>
      </c>
      <c r="D3549" t="s">
        <v>74</v>
      </c>
      <c r="E3549" t="s">
        <v>79</v>
      </c>
      <c r="F3549" s="55">
        <v>108</v>
      </c>
      <c r="G3549" s="63">
        <v>0.1022</v>
      </c>
    </row>
    <row r="3550" spans="1:7" x14ac:dyDescent="0.2">
      <c r="A3550" t="s">
        <v>71</v>
      </c>
      <c r="B3550" t="s">
        <v>127</v>
      </c>
      <c r="C3550" t="s">
        <v>197</v>
      </c>
      <c r="D3550" t="s">
        <v>74</v>
      </c>
      <c r="E3550" t="s">
        <v>80</v>
      </c>
      <c r="F3550" s="55">
        <v>101</v>
      </c>
      <c r="G3550" s="63">
        <v>3.4799999999999998E-2</v>
      </c>
    </row>
    <row r="3551" spans="1:7" x14ac:dyDescent="0.2">
      <c r="A3551" t="s">
        <v>71</v>
      </c>
      <c r="B3551" t="s">
        <v>127</v>
      </c>
      <c r="C3551" t="s">
        <v>197</v>
      </c>
      <c r="D3551" t="s">
        <v>74</v>
      </c>
      <c r="E3551" t="s">
        <v>81</v>
      </c>
      <c r="F3551" s="55">
        <v>98</v>
      </c>
      <c r="G3551" s="63">
        <v>3.4599999999999999E-2</v>
      </c>
    </row>
    <row r="3552" spans="1:7" x14ac:dyDescent="0.2">
      <c r="A3552" t="s">
        <v>71</v>
      </c>
      <c r="B3552" t="s">
        <v>127</v>
      </c>
      <c r="C3552" t="s">
        <v>197</v>
      </c>
      <c r="D3552" t="s">
        <v>74</v>
      </c>
      <c r="E3552" t="s">
        <v>82</v>
      </c>
      <c r="F3552" s="55">
        <v>108</v>
      </c>
      <c r="G3552" s="63">
        <v>5.79E-2</v>
      </c>
    </row>
    <row r="3553" spans="1:7" x14ac:dyDescent="0.2">
      <c r="A3553" t="s">
        <v>71</v>
      </c>
      <c r="B3553" t="s">
        <v>127</v>
      </c>
      <c r="C3553" t="s">
        <v>197</v>
      </c>
      <c r="D3553" t="s">
        <v>74</v>
      </c>
      <c r="E3553" t="s">
        <v>83</v>
      </c>
      <c r="F3553" s="55">
        <v>107</v>
      </c>
      <c r="G3553" s="63">
        <v>1.7399999999999999E-2</v>
      </c>
    </row>
    <row r="3554" spans="1:7" x14ac:dyDescent="0.2">
      <c r="A3554" t="s">
        <v>71</v>
      </c>
      <c r="B3554" t="s">
        <v>127</v>
      </c>
      <c r="C3554" t="s">
        <v>197</v>
      </c>
      <c r="D3554" t="s">
        <v>74</v>
      </c>
      <c r="E3554" t="s">
        <v>84</v>
      </c>
      <c r="F3554" s="55">
        <v>130</v>
      </c>
      <c r="G3554" s="63">
        <v>4.9399999999999999E-2</v>
      </c>
    </row>
    <row r="3555" spans="1:7" x14ac:dyDescent="0.2">
      <c r="A3555" t="s">
        <v>71</v>
      </c>
      <c r="B3555" t="s">
        <v>127</v>
      </c>
      <c r="C3555" t="s">
        <v>197</v>
      </c>
      <c r="D3555" t="s">
        <v>74</v>
      </c>
      <c r="E3555" t="s">
        <v>85</v>
      </c>
      <c r="F3555" s="55">
        <v>105</v>
      </c>
      <c r="G3555" s="63">
        <v>3.6499999999999998E-2</v>
      </c>
    </row>
    <row r="3556" spans="1:7" x14ac:dyDescent="0.2">
      <c r="A3556" t="s">
        <v>71</v>
      </c>
      <c r="B3556" t="s">
        <v>127</v>
      </c>
      <c r="C3556" t="s">
        <v>197</v>
      </c>
      <c r="D3556" t="s">
        <v>74</v>
      </c>
      <c r="E3556" t="s">
        <v>86</v>
      </c>
      <c r="F3556" s="55">
        <v>103</v>
      </c>
      <c r="G3556" s="63">
        <v>4.4400000000000002E-2</v>
      </c>
    </row>
    <row r="3557" spans="1:7" x14ac:dyDescent="0.2">
      <c r="A3557" t="s">
        <v>71</v>
      </c>
      <c r="B3557" t="s">
        <v>127</v>
      </c>
      <c r="C3557" t="s">
        <v>197</v>
      </c>
      <c r="D3557" t="s">
        <v>74</v>
      </c>
      <c r="E3557" t="s">
        <v>87</v>
      </c>
      <c r="F3557" s="55">
        <v>101</v>
      </c>
      <c r="G3557" s="63">
        <v>4.7399999999999998E-2</v>
      </c>
    </row>
    <row r="3558" spans="1:7" x14ac:dyDescent="0.2">
      <c r="A3558" t="s">
        <v>71</v>
      </c>
      <c r="B3558" t="s">
        <v>127</v>
      </c>
      <c r="C3558" t="s">
        <v>197</v>
      </c>
      <c r="D3558" t="s">
        <v>74</v>
      </c>
      <c r="E3558" t="s">
        <v>88</v>
      </c>
      <c r="F3558" s="55">
        <v>103</v>
      </c>
      <c r="G3558" s="63">
        <v>4.1300000000000003E-2</v>
      </c>
    </row>
    <row r="3559" spans="1:7" x14ac:dyDescent="0.2">
      <c r="A3559" t="s">
        <v>71</v>
      </c>
      <c r="B3559" t="s">
        <v>11</v>
      </c>
      <c r="C3559" t="s">
        <v>197</v>
      </c>
      <c r="D3559" t="s">
        <v>74</v>
      </c>
      <c r="E3559" t="s">
        <v>75</v>
      </c>
      <c r="F3559" s="55">
        <v>84</v>
      </c>
      <c r="G3559" s="63">
        <v>0.33729999999999999</v>
      </c>
    </row>
    <row r="3560" spans="1:7" x14ac:dyDescent="0.2">
      <c r="A3560" t="s">
        <v>71</v>
      </c>
      <c r="B3560" t="s">
        <v>11</v>
      </c>
      <c r="C3560" t="s">
        <v>197</v>
      </c>
      <c r="D3560" t="s">
        <v>74</v>
      </c>
      <c r="E3560" t="s">
        <v>76</v>
      </c>
      <c r="F3560" s="55">
        <v>75</v>
      </c>
      <c r="G3560" s="63">
        <v>3.1899999999999998E-2</v>
      </c>
    </row>
    <row r="3561" spans="1:7" x14ac:dyDescent="0.2">
      <c r="A3561" t="s">
        <v>71</v>
      </c>
      <c r="B3561" t="s">
        <v>11</v>
      </c>
      <c r="C3561" t="s">
        <v>197</v>
      </c>
      <c r="D3561" t="s">
        <v>74</v>
      </c>
      <c r="E3561" t="s">
        <v>77</v>
      </c>
      <c r="F3561" s="55">
        <v>87</v>
      </c>
      <c r="G3561" s="63">
        <v>0.1313</v>
      </c>
    </row>
    <row r="3562" spans="1:7" x14ac:dyDescent="0.2">
      <c r="A3562" t="s">
        <v>71</v>
      </c>
      <c r="B3562" t="s">
        <v>11</v>
      </c>
      <c r="C3562" t="s">
        <v>197</v>
      </c>
      <c r="D3562" t="s">
        <v>74</v>
      </c>
      <c r="E3562" t="s">
        <v>78</v>
      </c>
      <c r="F3562" s="55">
        <v>88</v>
      </c>
      <c r="G3562" s="63">
        <v>9.98E-2</v>
      </c>
    </row>
    <row r="3563" spans="1:7" x14ac:dyDescent="0.2">
      <c r="A3563" t="s">
        <v>71</v>
      </c>
      <c r="B3563" t="s">
        <v>11</v>
      </c>
      <c r="C3563" t="s">
        <v>197</v>
      </c>
      <c r="D3563" t="s">
        <v>74</v>
      </c>
      <c r="E3563" t="s">
        <v>79</v>
      </c>
      <c r="F3563" s="55">
        <v>83</v>
      </c>
      <c r="G3563" s="63">
        <v>0.24349999999999999</v>
      </c>
    </row>
    <row r="3564" spans="1:7" x14ac:dyDescent="0.2">
      <c r="A3564" t="s">
        <v>71</v>
      </c>
      <c r="B3564" t="s">
        <v>11</v>
      </c>
      <c r="C3564" t="s">
        <v>197</v>
      </c>
      <c r="D3564" t="s">
        <v>74</v>
      </c>
      <c r="E3564" t="s">
        <v>80</v>
      </c>
      <c r="F3564" s="55">
        <v>86</v>
      </c>
      <c r="G3564" s="63">
        <v>0.1011</v>
      </c>
    </row>
    <row r="3565" spans="1:7" x14ac:dyDescent="0.2">
      <c r="A3565" t="s">
        <v>71</v>
      </c>
      <c r="B3565" t="s">
        <v>11</v>
      </c>
      <c r="C3565" t="s">
        <v>197</v>
      </c>
      <c r="D3565" t="s">
        <v>74</v>
      </c>
      <c r="E3565" t="s">
        <v>81</v>
      </c>
      <c r="F3565" s="55">
        <v>85</v>
      </c>
      <c r="G3565" s="63">
        <v>8.5900000000000004E-2</v>
      </c>
    </row>
    <row r="3566" spans="1:7" x14ac:dyDescent="0.2">
      <c r="A3566" t="s">
        <v>71</v>
      </c>
      <c r="B3566" t="s">
        <v>11</v>
      </c>
      <c r="C3566" t="s">
        <v>197</v>
      </c>
      <c r="D3566" t="s">
        <v>74</v>
      </c>
      <c r="E3566" t="s">
        <v>82</v>
      </c>
      <c r="F3566" s="55">
        <v>80</v>
      </c>
      <c r="G3566" s="63">
        <v>0.15909999999999999</v>
      </c>
    </row>
    <row r="3567" spans="1:7" x14ac:dyDescent="0.2">
      <c r="A3567" t="s">
        <v>71</v>
      </c>
      <c r="B3567" t="s">
        <v>11</v>
      </c>
      <c r="C3567" t="s">
        <v>197</v>
      </c>
      <c r="D3567" t="s">
        <v>74</v>
      </c>
      <c r="E3567" t="s">
        <v>83</v>
      </c>
      <c r="F3567" s="55">
        <v>81</v>
      </c>
      <c r="G3567" s="63">
        <v>1.9599999999999999E-2</v>
      </c>
    </row>
    <row r="3568" spans="1:7" x14ac:dyDescent="0.2">
      <c r="A3568" t="s">
        <v>71</v>
      </c>
      <c r="B3568" t="s">
        <v>11</v>
      </c>
      <c r="C3568" t="s">
        <v>197</v>
      </c>
      <c r="D3568" t="s">
        <v>74</v>
      </c>
      <c r="E3568" t="s">
        <v>84</v>
      </c>
      <c r="F3568" s="55">
        <v>92</v>
      </c>
      <c r="G3568" s="63">
        <v>7.9500000000000001E-2</v>
      </c>
    </row>
    <row r="3569" spans="1:7" x14ac:dyDescent="0.2">
      <c r="A3569" t="s">
        <v>71</v>
      </c>
      <c r="B3569" t="s">
        <v>11</v>
      </c>
      <c r="C3569" t="s">
        <v>197</v>
      </c>
      <c r="D3569" t="s">
        <v>74</v>
      </c>
      <c r="E3569" t="s">
        <v>85</v>
      </c>
      <c r="F3569" s="55">
        <v>82</v>
      </c>
      <c r="G3569" s="63">
        <v>0.1086</v>
      </c>
    </row>
    <row r="3570" spans="1:7" x14ac:dyDescent="0.2">
      <c r="A3570" t="s">
        <v>71</v>
      </c>
      <c r="B3570" t="s">
        <v>11</v>
      </c>
      <c r="C3570" t="s">
        <v>197</v>
      </c>
      <c r="D3570" t="s">
        <v>74</v>
      </c>
      <c r="E3570" t="s">
        <v>86</v>
      </c>
      <c r="F3570" s="55">
        <v>86</v>
      </c>
      <c r="G3570" s="63">
        <v>0.12870000000000001</v>
      </c>
    </row>
    <row r="3571" spans="1:7" x14ac:dyDescent="0.2">
      <c r="A3571" t="s">
        <v>71</v>
      </c>
      <c r="B3571" t="s">
        <v>11</v>
      </c>
      <c r="C3571" t="s">
        <v>197</v>
      </c>
      <c r="D3571" t="s">
        <v>74</v>
      </c>
      <c r="E3571" t="s">
        <v>87</v>
      </c>
      <c r="F3571" s="55">
        <v>85</v>
      </c>
      <c r="G3571" s="63">
        <v>0.13980000000000001</v>
      </c>
    </row>
    <row r="3572" spans="1:7" x14ac:dyDescent="0.2">
      <c r="A3572" t="s">
        <v>71</v>
      </c>
      <c r="B3572" t="s">
        <v>11</v>
      </c>
      <c r="C3572" t="s">
        <v>197</v>
      </c>
      <c r="D3572" t="s">
        <v>74</v>
      </c>
      <c r="E3572" t="s">
        <v>88</v>
      </c>
      <c r="F3572" s="55">
        <v>76</v>
      </c>
      <c r="G3572" s="63">
        <v>5.04E-2</v>
      </c>
    </row>
    <row r="3573" spans="1:7" x14ac:dyDescent="0.2">
      <c r="A3573" t="s">
        <v>71</v>
      </c>
      <c r="B3573" t="s">
        <v>128</v>
      </c>
      <c r="C3573" t="s">
        <v>197</v>
      </c>
      <c r="D3573" t="s">
        <v>74</v>
      </c>
      <c r="E3573" t="s">
        <v>75</v>
      </c>
      <c r="F3573" s="55">
        <v>39</v>
      </c>
      <c r="G3573" s="63">
        <v>4.2799999999999998E-2</v>
      </c>
    </row>
    <row r="3574" spans="1:7" x14ac:dyDescent="0.2">
      <c r="A3574" t="s">
        <v>71</v>
      </c>
      <c r="B3574" t="s">
        <v>128</v>
      </c>
      <c r="C3574" t="s">
        <v>197</v>
      </c>
      <c r="D3574" t="s">
        <v>74</v>
      </c>
      <c r="E3574" t="s">
        <v>77</v>
      </c>
      <c r="F3574" s="55">
        <v>49</v>
      </c>
      <c r="G3574" s="63">
        <v>1.09E-2</v>
      </c>
    </row>
    <row r="3575" spans="1:7" x14ac:dyDescent="0.2">
      <c r="A3575" t="s">
        <v>71</v>
      </c>
      <c r="B3575" t="s">
        <v>128</v>
      </c>
      <c r="C3575" t="s">
        <v>197</v>
      </c>
      <c r="D3575" t="s">
        <v>74</v>
      </c>
      <c r="E3575" t="s">
        <v>78</v>
      </c>
      <c r="F3575" s="55">
        <v>46</v>
      </c>
      <c r="G3575" s="63">
        <v>7.6E-3</v>
      </c>
    </row>
    <row r="3576" spans="1:7" x14ac:dyDescent="0.2">
      <c r="A3576" t="s">
        <v>71</v>
      </c>
      <c r="B3576" t="s">
        <v>128</v>
      </c>
      <c r="C3576" t="s">
        <v>197</v>
      </c>
      <c r="D3576" t="s">
        <v>74</v>
      </c>
      <c r="E3576" t="s">
        <v>79</v>
      </c>
      <c r="F3576" s="55">
        <v>39</v>
      </c>
      <c r="G3576" s="63">
        <v>2.3400000000000001E-2</v>
      </c>
    </row>
    <row r="3577" spans="1:7" x14ac:dyDescent="0.2">
      <c r="A3577" t="s">
        <v>71</v>
      </c>
      <c r="B3577" t="s">
        <v>128</v>
      </c>
      <c r="C3577" t="s">
        <v>197</v>
      </c>
      <c r="D3577" t="s">
        <v>74</v>
      </c>
      <c r="E3577" t="s">
        <v>80</v>
      </c>
      <c r="F3577" s="55">
        <v>27</v>
      </c>
      <c r="G3577" s="63">
        <v>6.4999999999999997E-3</v>
      </c>
    </row>
    <row r="3578" spans="1:7" x14ac:dyDescent="0.2">
      <c r="A3578" t="s">
        <v>71</v>
      </c>
      <c r="B3578" t="s">
        <v>128</v>
      </c>
      <c r="C3578" t="s">
        <v>197</v>
      </c>
      <c r="D3578" t="s">
        <v>74</v>
      </c>
      <c r="E3578" t="s">
        <v>81</v>
      </c>
      <c r="F3578" s="55">
        <v>47</v>
      </c>
      <c r="G3578" s="63">
        <v>5.5999999999999999E-3</v>
      </c>
    </row>
    <row r="3579" spans="1:7" x14ac:dyDescent="0.2">
      <c r="A3579" t="s">
        <v>71</v>
      </c>
      <c r="B3579" t="s">
        <v>128</v>
      </c>
      <c r="C3579" t="s">
        <v>197</v>
      </c>
      <c r="D3579" t="s">
        <v>74</v>
      </c>
      <c r="E3579" t="s">
        <v>82</v>
      </c>
      <c r="F3579" s="55">
        <v>29</v>
      </c>
      <c r="G3579" s="63">
        <v>1.4999999999999999E-2</v>
      </c>
    </row>
    <row r="3580" spans="1:7" x14ac:dyDescent="0.2">
      <c r="A3580" t="s">
        <v>71</v>
      </c>
      <c r="B3580" t="s">
        <v>128</v>
      </c>
      <c r="C3580" t="s">
        <v>197</v>
      </c>
      <c r="D3580" t="s">
        <v>74</v>
      </c>
      <c r="E3580" t="s">
        <v>84</v>
      </c>
      <c r="F3580" s="55">
        <v>46</v>
      </c>
      <c r="G3580" s="63">
        <v>6.0000000000000001E-3</v>
      </c>
    </row>
    <row r="3581" spans="1:7" x14ac:dyDescent="0.2">
      <c r="A3581" t="s">
        <v>71</v>
      </c>
      <c r="B3581" t="s">
        <v>128</v>
      </c>
      <c r="C3581" t="s">
        <v>197</v>
      </c>
      <c r="D3581" t="s">
        <v>74</v>
      </c>
      <c r="E3581" t="s">
        <v>85</v>
      </c>
      <c r="F3581" s="55">
        <v>33</v>
      </c>
      <c r="G3581" s="63">
        <v>6.8999999999999999E-3</v>
      </c>
    </row>
    <row r="3582" spans="1:7" x14ac:dyDescent="0.2">
      <c r="A3582" t="s">
        <v>71</v>
      </c>
      <c r="B3582" t="s">
        <v>128</v>
      </c>
      <c r="C3582" t="s">
        <v>197</v>
      </c>
      <c r="D3582" t="s">
        <v>74</v>
      </c>
      <c r="E3582" t="s">
        <v>86</v>
      </c>
      <c r="F3582" s="55">
        <v>40</v>
      </c>
      <c r="G3582" s="63">
        <v>8.0999999999999996E-3</v>
      </c>
    </row>
    <row r="3583" spans="1:7" x14ac:dyDescent="0.2">
      <c r="A3583" t="s">
        <v>71</v>
      </c>
      <c r="B3583" t="s">
        <v>128</v>
      </c>
      <c r="C3583" t="s">
        <v>197</v>
      </c>
      <c r="D3583" t="s">
        <v>74</v>
      </c>
      <c r="E3583" t="s">
        <v>87</v>
      </c>
      <c r="F3583" s="55">
        <v>37</v>
      </c>
      <c r="G3583" s="63">
        <v>9.5999999999999992E-3</v>
      </c>
    </row>
    <row r="3584" spans="1:7" x14ac:dyDescent="0.2">
      <c r="A3584" t="s">
        <v>71</v>
      </c>
      <c r="B3584" t="s">
        <v>128</v>
      </c>
      <c r="C3584" t="s">
        <v>197</v>
      </c>
      <c r="D3584" t="s">
        <v>74</v>
      </c>
      <c r="E3584" t="s">
        <v>88</v>
      </c>
      <c r="F3584" s="55">
        <v>62</v>
      </c>
      <c r="G3584" s="63">
        <v>4.4000000000000003E-3</v>
      </c>
    </row>
    <row r="3585" spans="1:7" x14ac:dyDescent="0.2">
      <c r="A3585" t="s">
        <v>71</v>
      </c>
      <c r="B3585" t="s">
        <v>129</v>
      </c>
      <c r="C3585" t="s">
        <v>197</v>
      </c>
      <c r="D3585" t="s">
        <v>74</v>
      </c>
      <c r="E3585" t="s">
        <v>75</v>
      </c>
      <c r="F3585" s="55">
        <v>114</v>
      </c>
      <c r="G3585" s="63">
        <v>0.45679999999999998</v>
      </c>
    </row>
    <row r="3586" spans="1:7" x14ac:dyDescent="0.2">
      <c r="A3586" t="s">
        <v>71</v>
      </c>
      <c r="B3586" t="s">
        <v>129</v>
      </c>
      <c r="C3586" t="s">
        <v>197</v>
      </c>
      <c r="D3586" t="s">
        <v>74</v>
      </c>
      <c r="E3586" t="s">
        <v>76</v>
      </c>
      <c r="F3586" s="55">
        <v>108</v>
      </c>
      <c r="G3586" s="63">
        <v>0.18659999999999999</v>
      </c>
    </row>
    <row r="3587" spans="1:7" x14ac:dyDescent="0.2">
      <c r="A3587" t="s">
        <v>71</v>
      </c>
      <c r="B3587" t="s">
        <v>129</v>
      </c>
      <c r="C3587" t="s">
        <v>197</v>
      </c>
      <c r="D3587" t="s">
        <v>74</v>
      </c>
      <c r="E3587" t="s">
        <v>77</v>
      </c>
      <c r="F3587" s="55">
        <v>116</v>
      </c>
      <c r="G3587" s="63">
        <v>0.31069999999999998</v>
      </c>
    </row>
    <row r="3588" spans="1:7" x14ac:dyDescent="0.2">
      <c r="A3588" t="s">
        <v>71</v>
      </c>
      <c r="B3588" t="s">
        <v>129</v>
      </c>
      <c r="C3588" t="s">
        <v>197</v>
      </c>
      <c r="D3588" t="s">
        <v>74</v>
      </c>
      <c r="E3588" t="s">
        <v>78</v>
      </c>
      <c r="F3588" s="55">
        <v>117</v>
      </c>
      <c r="G3588" s="63">
        <v>0.29399999999999998</v>
      </c>
    </row>
    <row r="3589" spans="1:7" x14ac:dyDescent="0.2">
      <c r="A3589" t="s">
        <v>71</v>
      </c>
      <c r="B3589" t="s">
        <v>129</v>
      </c>
      <c r="C3589" t="s">
        <v>197</v>
      </c>
      <c r="D3589" t="s">
        <v>74</v>
      </c>
      <c r="E3589" t="s">
        <v>79</v>
      </c>
      <c r="F3589" s="55">
        <v>114</v>
      </c>
      <c r="G3589" s="63">
        <v>0.37109999999999999</v>
      </c>
    </row>
    <row r="3590" spans="1:7" x14ac:dyDescent="0.2">
      <c r="A3590" t="s">
        <v>71</v>
      </c>
      <c r="B3590" t="s">
        <v>129</v>
      </c>
      <c r="C3590" t="s">
        <v>197</v>
      </c>
      <c r="D3590" t="s">
        <v>74</v>
      </c>
      <c r="E3590" t="s">
        <v>80</v>
      </c>
      <c r="F3590" s="55">
        <v>111</v>
      </c>
      <c r="G3590" s="63">
        <v>0.22789999999999999</v>
      </c>
    </row>
    <row r="3591" spans="1:7" x14ac:dyDescent="0.2">
      <c r="A3591" t="s">
        <v>71</v>
      </c>
      <c r="B3591" t="s">
        <v>129</v>
      </c>
      <c r="C3591" t="s">
        <v>197</v>
      </c>
      <c r="D3591" t="s">
        <v>74</v>
      </c>
      <c r="E3591" t="s">
        <v>81</v>
      </c>
      <c r="F3591" s="55">
        <v>110</v>
      </c>
      <c r="G3591" s="63">
        <v>0.21590000000000001</v>
      </c>
    </row>
    <row r="3592" spans="1:7" x14ac:dyDescent="0.2">
      <c r="A3592" t="s">
        <v>71</v>
      </c>
      <c r="B3592" t="s">
        <v>129</v>
      </c>
      <c r="C3592" t="s">
        <v>197</v>
      </c>
      <c r="D3592" t="s">
        <v>74</v>
      </c>
      <c r="E3592" t="s">
        <v>82</v>
      </c>
      <c r="F3592" s="55">
        <v>114</v>
      </c>
      <c r="G3592" s="63">
        <v>0.35310000000000002</v>
      </c>
    </row>
    <row r="3593" spans="1:7" x14ac:dyDescent="0.2">
      <c r="A3593" t="s">
        <v>71</v>
      </c>
      <c r="B3593" t="s">
        <v>129</v>
      </c>
      <c r="C3593" t="s">
        <v>197</v>
      </c>
      <c r="D3593" t="s">
        <v>74</v>
      </c>
      <c r="E3593" t="s">
        <v>83</v>
      </c>
      <c r="F3593" s="55">
        <v>103</v>
      </c>
      <c r="G3593" s="63">
        <v>0.12870000000000001</v>
      </c>
    </row>
    <row r="3594" spans="1:7" x14ac:dyDescent="0.2">
      <c r="A3594" t="s">
        <v>71</v>
      </c>
      <c r="B3594" t="s">
        <v>129</v>
      </c>
      <c r="C3594" t="s">
        <v>197</v>
      </c>
      <c r="D3594" t="s">
        <v>74</v>
      </c>
      <c r="E3594" t="s">
        <v>84</v>
      </c>
      <c r="F3594" s="55">
        <v>118</v>
      </c>
      <c r="G3594" s="63">
        <v>0.27239999999999998</v>
      </c>
    </row>
    <row r="3595" spans="1:7" x14ac:dyDescent="0.2">
      <c r="A3595" t="s">
        <v>71</v>
      </c>
      <c r="B3595" t="s">
        <v>129</v>
      </c>
      <c r="C3595" t="s">
        <v>197</v>
      </c>
      <c r="D3595" t="s">
        <v>74</v>
      </c>
      <c r="E3595" t="s">
        <v>85</v>
      </c>
      <c r="F3595" s="55">
        <v>111</v>
      </c>
      <c r="G3595" s="63">
        <v>0.26750000000000002</v>
      </c>
    </row>
    <row r="3596" spans="1:7" x14ac:dyDescent="0.2">
      <c r="A3596" t="s">
        <v>71</v>
      </c>
      <c r="B3596" t="s">
        <v>129</v>
      </c>
      <c r="C3596" t="s">
        <v>197</v>
      </c>
      <c r="D3596" t="s">
        <v>74</v>
      </c>
      <c r="E3596" t="s">
        <v>86</v>
      </c>
      <c r="F3596" s="55">
        <v>112</v>
      </c>
      <c r="G3596" s="63">
        <v>0.2823</v>
      </c>
    </row>
    <row r="3597" spans="1:7" x14ac:dyDescent="0.2">
      <c r="A3597" t="s">
        <v>71</v>
      </c>
      <c r="B3597" t="s">
        <v>129</v>
      </c>
      <c r="C3597" t="s">
        <v>197</v>
      </c>
      <c r="D3597" t="s">
        <v>74</v>
      </c>
      <c r="E3597" t="s">
        <v>87</v>
      </c>
      <c r="F3597" s="55">
        <v>115</v>
      </c>
      <c r="G3597" s="63">
        <v>0.29299999999999998</v>
      </c>
    </row>
    <row r="3598" spans="1:7" x14ac:dyDescent="0.2">
      <c r="A3598" t="s">
        <v>71</v>
      </c>
      <c r="B3598" t="s">
        <v>129</v>
      </c>
      <c r="C3598" t="s">
        <v>197</v>
      </c>
      <c r="D3598" t="s">
        <v>74</v>
      </c>
      <c r="E3598" t="s">
        <v>88</v>
      </c>
      <c r="F3598" s="55">
        <v>108</v>
      </c>
      <c r="G3598" s="63">
        <v>0.22570000000000001</v>
      </c>
    </row>
    <row r="3599" spans="1:7" x14ac:dyDescent="0.2">
      <c r="A3599" t="s">
        <v>89</v>
      </c>
      <c r="B3599" t="s">
        <v>130</v>
      </c>
      <c r="C3599" t="s">
        <v>197</v>
      </c>
      <c r="D3599" t="s">
        <v>74</v>
      </c>
      <c r="E3599" t="s">
        <v>75</v>
      </c>
      <c r="F3599" s="55">
        <v>124</v>
      </c>
      <c r="G3599" s="63">
        <v>5.4399999999999997E-2</v>
      </c>
    </row>
    <row r="3600" spans="1:7" x14ac:dyDescent="0.2">
      <c r="A3600" t="s">
        <v>89</v>
      </c>
      <c r="B3600" t="s">
        <v>130</v>
      </c>
      <c r="C3600" t="s">
        <v>197</v>
      </c>
      <c r="D3600" t="s">
        <v>74</v>
      </c>
      <c r="E3600" t="s">
        <v>77</v>
      </c>
      <c r="F3600" s="55">
        <v>136</v>
      </c>
      <c r="G3600" s="63">
        <v>1.9300000000000001E-2</v>
      </c>
    </row>
    <row r="3601" spans="1:7" x14ac:dyDescent="0.2">
      <c r="A3601" t="s">
        <v>89</v>
      </c>
      <c r="B3601" t="s">
        <v>130</v>
      </c>
      <c r="C3601" t="s">
        <v>197</v>
      </c>
      <c r="D3601" t="s">
        <v>74</v>
      </c>
      <c r="E3601" t="s">
        <v>78</v>
      </c>
      <c r="F3601" s="55">
        <v>138</v>
      </c>
      <c r="G3601" s="63">
        <v>1.4500000000000001E-2</v>
      </c>
    </row>
    <row r="3602" spans="1:7" x14ac:dyDescent="0.2">
      <c r="A3602" t="s">
        <v>89</v>
      </c>
      <c r="B3602" t="s">
        <v>130</v>
      </c>
      <c r="C3602" t="s">
        <v>197</v>
      </c>
      <c r="D3602" t="s">
        <v>74</v>
      </c>
      <c r="E3602" t="s">
        <v>79</v>
      </c>
      <c r="F3602" s="55">
        <v>101</v>
      </c>
      <c r="G3602" s="63">
        <v>3.0800000000000001E-2</v>
      </c>
    </row>
    <row r="3603" spans="1:7" x14ac:dyDescent="0.2">
      <c r="A3603" t="s">
        <v>89</v>
      </c>
      <c r="B3603" t="s">
        <v>130</v>
      </c>
      <c r="C3603" t="s">
        <v>197</v>
      </c>
      <c r="D3603" t="s">
        <v>74</v>
      </c>
      <c r="E3603" t="s">
        <v>80</v>
      </c>
      <c r="F3603" s="55">
        <v>96</v>
      </c>
      <c r="G3603" s="63">
        <v>6.0000000000000001E-3</v>
      </c>
    </row>
    <row r="3604" spans="1:7" x14ac:dyDescent="0.2">
      <c r="A3604" t="s">
        <v>89</v>
      </c>
      <c r="B3604" t="s">
        <v>130</v>
      </c>
      <c r="C3604" t="s">
        <v>197</v>
      </c>
      <c r="D3604" t="s">
        <v>74</v>
      </c>
      <c r="E3604" t="s">
        <v>81</v>
      </c>
      <c r="F3604" s="55">
        <v>74</v>
      </c>
      <c r="G3604" s="63">
        <v>6.3E-3</v>
      </c>
    </row>
    <row r="3605" spans="1:7" x14ac:dyDescent="0.2">
      <c r="A3605" t="s">
        <v>89</v>
      </c>
      <c r="B3605" t="s">
        <v>130</v>
      </c>
      <c r="C3605" t="s">
        <v>197</v>
      </c>
      <c r="D3605" t="s">
        <v>74</v>
      </c>
      <c r="E3605" t="s">
        <v>82</v>
      </c>
      <c r="F3605" s="55">
        <v>151</v>
      </c>
      <c r="G3605" s="63">
        <v>2.0799999999999999E-2</v>
      </c>
    </row>
    <row r="3606" spans="1:7" x14ac:dyDescent="0.2">
      <c r="A3606" t="s">
        <v>89</v>
      </c>
      <c r="B3606" t="s">
        <v>130</v>
      </c>
      <c r="C3606" t="s">
        <v>197</v>
      </c>
      <c r="D3606" t="s">
        <v>74</v>
      </c>
      <c r="E3606" t="s">
        <v>84</v>
      </c>
      <c r="F3606" s="55">
        <v>149</v>
      </c>
      <c r="G3606" s="63">
        <v>1.2E-2</v>
      </c>
    </row>
    <row r="3607" spans="1:7" x14ac:dyDescent="0.2">
      <c r="A3607" t="s">
        <v>89</v>
      </c>
      <c r="B3607" t="s">
        <v>130</v>
      </c>
      <c r="C3607" t="s">
        <v>197</v>
      </c>
      <c r="D3607" t="s">
        <v>74</v>
      </c>
      <c r="E3607" t="s">
        <v>85</v>
      </c>
      <c r="F3607" s="55">
        <v>84</v>
      </c>
      <c r="G3607" s="63">
        <v>6.0000000000000001E-3</v>
      </c>
    </row>
    <row r="3608" spans="1:7" x14ac:dyDescent="0.2">
      <c r="A3608" t="s">
        <v>89</v>
      </c>
      <c r="B3608" t="s">
        <v>130</v>
      </c>
      <c r="C3608" t="s">
        <v>197</v>
      </c>
      <c r="D3608" t="s">
        <v>74</v>
      </c>
      <c r="E3608" t="s">
        <v>86</v>
      </c>
      <c r="F3608" s="55">
        <v>102</v>
      </c>
      <c r="G3608" s="63">
        <v>9.7999999999999997E-3</v>
      </c>
    </row>
    <row r="3609" spans="1:7" x14ac:dyDescent="0.2">
      <c r="A3609" t="s">
        <v>89</v>
      </c>
      <c r="B3609" t="s">
        <v>130</v>
      </c>
      <c r="C3609" t="s">
        <v>197</v>
      </c>
      <c r="D3609" t="s">
        <v>74</v>
      </c>
      <c r="E3609" t="s">
        <v>87</v>
      </c>
      <c r="F3609" s="55">
        <v>104</v>
      </c>
      <c r="G3609" s="63">
        <v>1.4999999999999999E-2</v>
      </c>
    </row>
    <row r="3610" spans="1:7" x14ac:dyDescent="0.2">
      <c r="A3610" t="s">
        <v>89</v>
      </c>
      <c r="B3610" t="s">
        <v>130</v>
      </c>
      <c r="C3610" t="s">
        <v>197</v>
      </c>
      <c r="D3610" t="s">
        <v>74</v>
      </c>
      <c r="E3610" t="s">
        <v>88</v>
      </c>
      <c r="F3610" s="55">
        <v>87</v>
      </c>
      <c r="G3610" s="63">
        <v>5.8999999999999999E-3</v>
      </c>
    </row>
    <row r="3611" spans="1:7" x14ac:dyDescent="0.2">
      <c r="A3611" t="s">
        <v>71</v>
      </c>
      <c r="B3611" t="s">
        <v>12</v>
      </c>
      <c r="C3611" t="s">
        <v>197</v>
      </c>
      <c r="D3611" t="s">
        <v>74</v>
      </c>
      <c r="E3611" t="s">
        <v>75</v>
      </c>
      <c r="F3611" s="55">
        <v>109</v>
      </c>
      <c r="G3611" s="63">
        <v>0.2742</v>
      </c>
    </row>
    <row r="3612" spans="1:7" x14ac:dyDescent="0.2">
      <c r="A3612" t="s">
        <v>71</v>
      </c>
      <c r="B3612" t="s">
        <v>12</v>
      </c>
      <c r="C3612" t="s">
        <v>197</v>
      </c>
      <c r="D3612" t="s">
        <v>74</v>
      </c>
      <c r="E3612" t="s">
        <v>76</v>
      </c>
      <c r="F3612" s="55">
        <v>99</v>
      </c>
      <c r="G3612" s="63">
        <v>2.0899999999999998E-2</v>
      </c>
    </row>
    <row r="3613" spans="1:7" x14ac:dyDescent="0.2">
      <c r="A3613" t="s">
        <v>71</v>
      </c>
      <c r="B3613" t="s">
        <v>12</v>
      </c>
      <c r="C3613" t="s">
        <v>197</v>
      </c>
      <c r="D3613" t="s">
        <v>74</v>
      </c>
      <c r="E3613" t="s">
        <v>77</v>
      </c>
      <c r="F3613" s="55">
        <v>117</v>
      </c>
      <c r="G3613" s="63">
        <v>7.3099999999999998E-2</v>
      </c>
    </row>
    <row r="3614" spans="1:7" x14ac:dyDescent="0.2">
      <c r="A3614" t="s">
        <v>71</v>
      </c>
      <c r="B3614" t="s">
        <v>12</v>
      </c>
      <c r="C3614" t="s">
        <v>197</v>
      </c>
      <c r="D3614" t="s">
        <v>74</v>
      </c>
      <c r="E3614" t="s">
        <v>78</v>
      </c>
      <c r="F3614" s="55">
        <v>98</v>
      </c>
      <c r="G3614" s="63">
        <v>6.4600000000000005E-2</v>
      </c>
    </row>
    <row r="3615" spans="1:7" x14ac:dyDescent="0.2">
      <c r="A3615" t="s">
        <v>71</v>
      </c>
      <c r="B3615" t="s">
        <v>12</v>
      </c>
      <c r="C3615" t="s">
        <v>197</v>
      </c>
      <c r="D3615" t="s">
        <v>74</v>
      </c>
      <c r="E3615" t="s">
        <v>79</v>
      </c>
      <c r="F3615" s="55">
        <v>108</v>
      </c>
      <c r="G3615" s="63">
        <v>0.1938</v>
      </c>
    </row>
    <row r="3616" spans="1:7" x14ac:dyDescent="0.2">
      <c r="A3616" t="s">
        <v>71</v>
      </c>
      <c r="B3616" t="s">
        <v>12</v>
      </c>
      <c r="C3616" t="s">
        <v>197</v>
      </c>
      <c r="D3616" t="s">
        <v>74</v>
      </c>
      <c r="E3616" t="s">
        <v>80</v>
      </c>
      <c r="F3616" s="55">
        <v>114</v>
      </c>
      <c r="G3616" s="63">
        <v>5.4399999999999997E-2</v>
      </c>
    </row>
    <row r="3617" spans="1:7" x14ac:dyDescent="0.2">
      <c r="A3617" t="s">
        <v>71</v>
      </c>
      <c r="B3617" t="s">
        <v>12</v>
      </c>
      <c r="C3617" t="s">
        <v>197</v>
      </c>
      <c r="D3617" t="s">
        <v>74</v>
      </c>
      <c r="E3617" t="s">
        <v>81</v>
      </c>
      <c r="F3617" s="55">
        <v>112</v>
      </c>
      <c r="G3617" s="63">
        <v>4.7600000000000003E-2</v>
      </c>
    </row>
    <row r="3618" spans="1:7" x14ac:dyDescent="0.2">
      <c r="A3618" t="s">
        <v>71</v>
      </c>
      <c r="B3618" t="s">
        <v>12</v>
      </c>
      <c r="C3618" t="s">
        <v>197</v>
      </c>
      <c r="D3618" t="s">
        <v>74</v>
      </c>
      <c r="E3618" t="s">
        <v>82</v>
      </c>
      <c r="F3618" s="55">
        <v>107</v>
      </c>
      <c r="G3618" s="63">
        <v>0.12720000000000001</v>
      </c>
    </row>
    <row r="3619" spans="1:7" x14ac:dyDescent="0.2">
      <c r="A3619" t="s">
        <v>71</v>
      </c>
      <c r="B3619" t="s">
        <v>12</v>
      </c>
      <c r="C3619" t="s">
        <v>197</v>
      </c>
      <c r="D3619" t="s">
        <v>74</v>
      </c>
      <c r="E3619" t="s">
        <v>83</v>
      </c>
      <c r="F3619" s="55">
        <v>101</v>
      </c>
      <c r="G3619" s="63">
        <v>1.8200000000000001E-2</v>
      </c>
    </row>
    <row r="3620" spans="1:7" x14ac:dyDescent="0.2">
      <c r="A3620" t="s">
        <v>71</v>
      </c>
      <c r="B3620" t="s">
        <v>12</v>
      </c>
      <c r="C3620" t="s">
        <v>197</v>
      </c>
      <c r="D3620" t="s">
        <v>74</v>
      </c>
      <c r="E3620" t="s">
        <v>84</v>
      </c>
      <c r="F3620" s="55">
        <v>99</v>
      </c>
      <c r="G3620" s="63">
        <v>4.4299999999999999E-2</v>
      </c>
    </row>
    <row r="3621" spans="1:7" x14ac:dyDescent="0.2">
      <c r="A3621" t="s">
        <v>71</v>
      </c>
      <c r="B3621" t="s">
        <v>12</v>
      </c>
      <c r="C3621" t="s">
        <v>197</v>
      </c>
      <c r="D3621" t="s">
        <v>74</v>
      </c>
      <c r="E3621" t="s">
        <v>85</v>
      </c>
      <c r="F3621" s="55">
        <v>114</v>
      </c>
      <c r="G3621" s="63">
        <v>7.2300000000000003E-2</v>
      </c>
    </row>
    <row r="3622" spans="1:7" x14ac:dyDescent="0.2">
      <c r="A3622" t="s">
        <v>71</v>
      </c>
      <c r="B3622" t="s">
        <v>12</v>
      </c>
      <c r="C3622" t="s">
        <v>197</v>
      </c>
      <c r="D3622" t="s">
        <v>74</v>
      </c>
      <c r="E3622" t="s">
        <v>86</v>
      </c>
      <c r="F3622" s="55">
        <v>114</v>
      </c>
      <c r="G3622" s="63">
        <v>0.1019</v>
      </c>
    </row>
    <row r="3623" spans="1:7" x14ac:dyDescent="0.2">
      <c r="A3623" t="s">
        <v>71</v>
      </c>
      <c r="B3623" t="s">
        <v>12</v>
      </c>
      <c r="C3623" t="s">
        <v>197</v>
      </c>
      <c r="D3623" t="s">
        <v>74</v>
      </c>
      <c r="E3623" t="s">
        <v>87</v>
      </c>
      <c r="F3623" s="55">
        <v>107</v>
      </c>
      <c r="G3623" s="63">
        <v>0.1154</v>
      </c>
    </row>
    <row r="3624" spans="1:7" x14ac:dyDescent="0.2">
      <c r="A3624" t="s">
        <v>71</v>
      </c>
      <c r="B3624" t="s">
        <v>12</v>
      </c>
      <c r="C3624" t="s">
        <v>197</v>
      </c>
      <c r="D3624" t="s">
        <v>74</v>
      </c>
      <c r="E3624" t="s">
        <v>88</v>
      </c>
      <c r="F3624" s="55">
        <v>108</v>
      </c>
      <c r="G3624" s="63">
        <v>3.6400000000000002E-2</v>
      </c>
    </row>
    <row r="3625" spans="1:7" x14ac:dyDescent="0.2">
      <c r="A3625" t="s">
        <v>89</v>
      </c>
      <c r="B3625" t="s">
        <v>200</v>
      </c>
      <c r="C3625" t="s">
        <v>197</v>
      </c>
      <c r="D3625" t="s">
        <v>74</v>
      </c>
      <c r="E3625" t="s">
        <v>75</v>
      </c>
      <c r="F3625" s="55">
        <v>95</v>
      </c>
      <c r="G3625" s="63">
        <v>0.1905</v>
      </c>
    </row>
    <row r="3626" spans="1:7" x14ac:dyDescent="0.2">
      <c r="A3626" t="s">
        <v>89</v>
      </c>
      <c r="B3626" t="s">
        <v>200</v>
      </c>
      <c r="C3626" t="s">
        <v>197</v>
      </c>
      <c r="D3626" t="s">
        <v>74</v>
      </c>
      <c r="E3626" t="s">
        <v>76</v>
      </c>
      <c r="F3626" s="55">
        <v>89</v>
      </c>
      <c r="G3626" s="63">
        <v>1.0800000000000001E-2</v>
      </c>
    </row>
    <row r="3627" spans="1:7" x14ac:dyDescent="0.2">
      <c r="A3627" t="s">
        <v>89</v>
      </c>
      <c r="B3627" t="s">
        <v>200</v>
      </c>
      <c r="C3627" t="s">
        <v>197</v>
      </c>
      <c r="D3627" t="s">
        <v>74</v>
      </c>
      <c r="E3627" t="s">
        <v>77</v>
      </c>
      <c r="F3627" s="55">
        <v>96</v>
      </c>
      <c r="G3627" s="63">
        <v>5.5800000000000002E-2</v>
      </c>
    </row>
    <row r="3628" spans="1:7" x14ac:dyDescent="0.2">
      <c r="A3628" t="s">
        <v>89</v>
      </c>
      <c r="B3628" t="s">
        <v>200</v>
      </c>
      <c r="C3628" t="s">
        <v>197</v>
      </c>
      <c r="D3628" t="s">
        <v>74</v>
      </c>
      <c r="E3628" t="s">
        <v>78</v>
      </c>
      <c r="F3628" s="55">
        <v>87</v>
      </c>
      <c r="G3628" s="63">
        <v>3.39E-2</v>
      </c>
    </row>
    <row r="3629" spans="1:7" x14ac:dyDescent="0.2">
      <c r="A3629" t="s">
        <v>89</v>
      </c>
      <c r="B3629" t="s">
        <v>200</v>
      </c>
      <c r="C3629" t="s">
        <v>197</v>
      </c>
      <c r="D3629" t="s">
        <v>74</v>
      </c>
      <c r="E3629" t="s">
        <v>79</v>
      </c>
      <c r="F3629" s="55">
        <v>94</v>
      </c>
      <c r="G3629" s="63">
        <v>0.1106</v>
      </c>
    </row>
    <row r="3630" spans="1:7" x14ac:dyDescent="0.2">
      <c r="A3630" t="s">
        <v>89</v>
      </c>
      <c r="B3630" t="s">
        <v>200</v>
      </c>
      <c r="C3630" t="s">
        <v>197</v>
      </c>
      <c r="D3630" t="s">
        <v>74</v>
      </c>
      <c r="E3630" t="s">
        <v>80</v>
      </c>
      <c r="F3630" s="55">
        <v>94</v>
      </c>
      <c r="G3630" s="63">
        <v>2.9700000000000001E-2</v>
      </c>
    </row>
    <row r="3631" spans="1:7" x14ac:dyDescent="0.2">
      <c r="A3631" t="s">
        <v>89</v>
      </c>
      <c r="B3631" t="s">
        <v>200</v>
      </c>
      <c r="C3631" t="s">
        <v>197</v>
      </c>
      <c r="D3631" t="s">
        <v>74</v>
      </c>
      <c r="E3631" t="s">
        <v>81</v>
      </c>
      <c r="F3631" s="55">
        <v>95</v>
      </c>
      <c r="G3631" s="63">
        <v>3.1E-2</v>
      </c>
    </row>
    <row r="3632" spans="1:7" x14ac:dyDescent="0.2">
      <c r="A3632" t="s">
        <v>89</v>
      </c>
      <c r="B3632" t="s">
        <v>200</v>
      </c>
      <c r="C3632" t="s">
        <v>197</v>
      </c>
      <c r="D3632" t="s">
        <v>74</v>
      </c>
      <c r="E3632" t="s">
        <v>82</v>
      </c>
      <c r="F3632" s="55">
        <v>101</v>
      </c>
      <c r="G3632" s="63">
        <v>9.3200000000000005E-2</v>
      </c>
    </row>
    <row r="3633" spans="1:7" x14ac:dyDescent="0.2">
      <c r="A3633" t="s">
        <v>89</v>
      </c>
      <c r="B3633" t="s">
        <v>200</v>
      </c>
      <c r="C3633" t="s">
        <v>197</v>
      </c>
      <c r="D3633" t="s">
        <v>74</v>
      </c>
      <c r="E3633" t="s">
        <v>83</v>
      </c>
      <c r="F3633" s="55">
        <v>101</v>
      </c>
      <c r="G3633" s="63">
        <v>1.15E-2</v>
      </c>
    </row>
    <row r="3634" spans="1:7" x14ac:dyDescent="0.2">
      <c r="A3634" t="s">
        <v>89</v>
      </c>
      <c r="B3634" t="s">
        <v>200</v>
      </c>
      <c r="C3634" t="s">
        <v>197</v>
      </c>
      <c r="D3634" t="s">
        <v>74</v>
      </c>
      <c r="E3634" t="s">
        <v>84</v>
      </c>
      <c r="F3634" s="55">
        <v>92</v>
      </c>
      <c r="G3634" s="63">
        <v>2.47E-2</v>
      </c>
    </row>
    <row r="3635" spans="1:7" x14ac:dyDescent="0.2">
      <c r="A3635" t="s">
        <v>89</v>
      </c>
      <c r="B3635" t="s">
        <v>200</v>
      </c>
      <c r="C3635" t="s">
        <v>197</v>
      </c>
      <c r="D3635" t="s">
        <v>74</v>
      </c>
      <c r="E3635" t="s">
        <v>85</v>
      </c>
      <c r="F3635" s="55">
        <v>89</v>
      </c>
      <c r="G3635" s="63">
        <v>3.32E-2</v>
      </c>
    </row>
    <row r="3636" spans="1:7" x14ac:dyDescent="0.2">
      <c r="A3636" t="s">
        <v>89</v>
      </c>
      <c r="B3636" t="s">
        <v>200</v>
      </c>
      <c r="C3636" t="s">
        <v>197</v>
      </c>
      <c r="D3636" t="s">
        <v>74</v>
      </c>
      <c r="E3636" t="s">
        <v>86</v>
      </c>
      <c r="F3636" s="55">
        <v>87</v>
      </c>
      <c r="G3636" s="63">
        <v>4.3099999999999999E-2</v>
      </c>
    </row>
    <row r="3637" spans="1:7" x14ac:dyDescent="0.2">
      <c r="A3637" t="s">
        <v>89</v>
      </c>
      <c r="B3637" t="s">
        <v>200</v>
      </c>
      <c r="C3637" t="s">
        <v>197</v>
      </c>
      <c r="D3637" t="s">
        <v>74</v>
      </c>
      <c r="E3637" t="s">
        <v>87</v>
      </c>
      <c r="F3637" s="55">
        <v>97</v>
      </c>
      <c r="G3637" s="63">
        <v>4.5100000000000001E-2</v>
      </c>
    </row>
    <row r="3638" spans="1:7" x14ac:dyDescent="0.2">
      <c r="A3638" t="s">
        <v>89</v>
      </c>
      <c r="B3638" t="s">
        <v>200</v>
      </c>
      <c r="C3638" t="s">
        <v>197</v>
      </c>
      <c r="D3638" t="s">
        <v>74</v>
      </c>
      <c r="E3638" t="s">
        <v>88</v>
      </c>
      <c r="F3638" s="55">
        <v>92</v>
      </c>
      <c r="G3638" s="63">
        <v>2.63E-2</v>
      </c>
    </row>
    <row r="3639" spans="1:7" x14ac:dyDescent="0.2">
      <c r="A3639" t="s">
        <v>71</v>
      </c>
      <c r="B3639" t="s">
        <v>132</v>
      </c>
      <c r="C3639" t="s">
        <v>197</v>
      </c>
      <c r="D3639" t="s">
        <v>74</v>
      </c>
      <c r="E3639" t="s">
        <v>75</v>
      </c>
      <c r="F3639" s="55">
        <v>86</v>
      </c>
      <c r="G3639" s="63">
        <v>0.15079999999999999</v>
      </c>
    </row>
    <row r="3640" spans="1:7" x14ac:dyDescent="0.2">
      <c r="A3640" t="s">
        <v>71</v>
      </c>
      <c r="B3640" t="s">
        <v>132</v>
      </c>
      <c r="C3640" t="s">
        <v>197</v>
      </c>
      <c r="D3640" t="s">
        <v>74</v>
      </c>
      <c r="E3640" t="s">
        <v>76</v>
      </c>
      <c r="F3640" s="55">
        <v>45</v>
      </c>
      <c r="G3640" s="63">
        <v>6.3E-3</v>
      </c>
    </row>
    <row r="3641" spans="1:7" x14ac:dyDescent="0.2">
      <c r="A3641" t="s">
        <v>71</v>
      </c>
      <c r="B3641" t="s">
        <v>132</v>
      </c>
      <c r="C3641" t="s">
        <v>197</v>
      </c>
      <c r="D3641" t="s">
        <v>74</v>
      </c>
      <c r="E3641" t="s">
        <v>77</v>
      </c>
      <c r="F3641" s="55">
        <v>89</v>
      </c>
      <c r="G3641" s="63">
        <v>4.7399999999999998E-2</v>
      </c>
    </row>
    <row r="3642" spans="1:7" x14ac:dyDescent="0.2">
      <c r="A3642" t="s">
        <v>71</v>
      </c>
      <c r="B3642" t="s">
        <v>132</v>
      </c>
      <c r="C3642" t="s">
        <v>197</v>
      </c>
      <c r="D3642" t="s">
        <v>74</v>
      </c>
      <c r="E3642" t="s">
        <v>78</v>
      </c>
      <c r="F3642" s="55">
        <v>92</v>
      </c>
      <c r="G3642" s="63">
        <v>4.7600000000000003E-2</v>
      </c>
    </row>
    <row r="3643" spans="1:7" x14ac:dyDescent="0.2">
      <c r="A3643" t="s">
        <v>71</v>
      </c>
      <c r="B3643" t="s">
        <v>132</v>
      </c>
      <c r="C3643" t="s">
        <v>197</v>
      </c>
      <c r="D3643" t="s">
        <v>74</v>
      </c>
      <c r="E3643" t="s">
        <v>79</v>
      </c>
      <c r="F3643" s="55">
        <v>83</v>
      </c>
      <c r="G3643" s="63">
        <v>9.4600000000000004E-2</v>
      </c>
    </row>
    <row r="3644" spans="1:7" x14ac:dyDescent="0.2">
      <c r="A3644" t="s">
        <v>71</v>
      </c>
      <c r="B3644" t="s">
        <v>132</v>
      </c>
      <c r="C3644" t="s">
        <v>197</v>
      </c>
      <c r="D3644" t="s">
        <v>74</v>
      </c>
      <c r="E3644" t="s">
        <v>80</v>
      </c>
      <c r="F3644" s="55">
        <v>100</v>
      </c>
      <c r="G3644" s="63">
        <v>2.4899999999999999E-2</v>
      </c>
    </row>
    <row r="3645" spans="1:7" x14ac:dyDescent="0.2">
      <c r="A3645" t="s">
        <v>71</v>
      </c>
      <c r="B3645" t="s">
        <v>132</v>
      </c>
      <c r="C3645" t="s">
        <v>197</v>
      </c>
      <c r="D3645" t="s">
        <v>74</v>
      </c>
      <c r="E3645" t="s">
        <v>81</v>
      </c>
      <c r="F3645" s="55">
        <v>91</v>
      </c>
      <c r="G3645" s="63">
        <v>2.0899999999999998E-2</v>
      </c>
    </row>
    <row r="3646" spans="1:7" x14ac:dyDescent="0.2">
      <c r="A3646" t="s">
        <v>71</v>
      </c>
      <c r="B3646" t="s">
        <v>132</v>
      </c>
      <c r="C3646" t="s">
        <v>197</v>
      </c>
      <c r="D3646" t="s">
        <v>74</v>
      </c>
      <c r="E3646" t="s">
        <v>82</v>
      </c>
      <c r="F3646" s="55">
        <v>87</v>
      </c>
      <c r="G3646" s="63">
        <v>6.5100000000000005E-2</v>
      </c>
    </row>
    <row r="3647" spans="1:7" x14ac:dyDescent="0.2">
      <c r="A3647" t="s">
        <v>71</v>
      </c>
      <c r="B3647" t="s">
        <v>132</v>
      </c>
      <c r="C3647" t="s">
        <v>197</v>
      </c>
      <c r="D3647" t="s">
        <v>74</v>
      </c>
      <c r="E3647" t="s">
        <v>83</v>
      </c>
      <c r="F3647" s="55">
        <v>61</v>
      </c>
      <c r="G3647" s="63">
        <v>4.7000000000000002E-3</v>
      </c>
    </row>
    <row r="3648" spans="1:7" x14ac:dyDescent="0.2">
      <c r="A3648" t="s">
        <v>71</v>
      </c>
      <c r="B3648" t="s">
        <v>132</v>
      </c>
      <c r="C3648" t="s">
        <v>197</v>
      </c>
      <c r="D3648" t="s">
        <v>74</v>
      </c>
      <c r="E3648" t="s">
        <v>84</v>
      </c>
      <c r="F3648" s="55">
        <v>96</v>
      </c>
      <c r="G3648" s="63">
        <v>3.8300000000000001E-2</v>
      </c>
    </row>
    <row r="3649" spans="1:7" x14ac:dyDescent="0.2">
      <c r="A3649" t="s">
        <v>71</v>
      </c>
      <c r="B3649" t="s">
        <v>132</v>
      </c>
      <c r="C3649" t="s">
        <v>197</v>
      </c>
      <c r="D3649" t="s">
        <v>74</v>
      </c>
      <c r="E3649" t="s">
        <v>85</v>
      </c>
      <c r="F3649" s="55">
        <v>75</v>
      </c>
      <c r="G3649" s="63">
        <v>2.7699999999999999E-2</v>
      </c>
    </row>
    <row r="3650" spans="1:7" x14ac:dyDescent="0.2">
      <c r="A3650" t="s">
        <v>71</v>
      </c>
      <c r="B3650" t="s">
        <v>132</v>
      </c>
      <c r="C3650" t="s">
        <v>197</v>
      </c>
      <c r="D3650" t="s">
        <v>74</v>
      </c>
      <c r="E3650" t="s">
        <v>86</v>
      </c>
      <c r="F3650" s="55">
        <v>82</v>
      </c>
      <c r="G3650" s="63">
        <v>4.3400000000000001E-2</v>
      </c>
    </row>
    <row r="3651" spans="1:7" x14ac:dyDescent="0.2">
      <c r="A3651" t="s">
        <v>71</v>
      </c>
      <c r="B3651" t="s">
        <v>132</v>
      </c>
      <c r="C3651" t="s">
        <v>197</v>
      </c>
      <c r="D3651" t="s">
        <v>74</v>
      </c>
      <c r="E3651" t="s">
        <v>87</v>
      </c>
      <c r="F3651" s="55">
        <v>82</v>
      </c>
      <c r="G3651" s="63">
        <v>5.1299999999999998E-2</v>
      </c>
    </row>
    <row r="3652" spans="1:7" x14ac:dyDescent="0.2">
      <c r="A3652" t="s">
        <v>71</v>
      </c>
      <c r="B3652" t="s">
        <v>132</v>
      </c>
      <c r="C3652" t="s">
        <v>197</v>
      </c>
      <c r="D3652" t="s">
        <v>74</v>
      </c>
      <c r="E3652" t="s">
        <v>88</v>
      </c>
      <c r="F3652" s="55">
        <v>68</v>
      </c>
      <c r="G3652" s="63">
        <v>1.3899999999999999E-2</v>
      </c>
    </row>
    <row r="3653" spans="1:7" x14ac:dyDescent="0.2">
      <c r="A3653" t="s">
        <v>89</v>
      </c>
      <c r="B3653" t="s">
        <v>133</v>
      </c>
      <c r="C3653" t="s">
        <v>197</v>
      </c>
      <c r="D3653" t="s">
        <v>74</v>
      </c>
      <c r="E3653" t="s">
        <v>75</v>
      </c>
      <c r="F3653" s="55">
        <v>72</v>
      </c>
      <c r="G3653" s="63">
        <v>4.4200000000000003E-2</v>
      </c>
    </row>
    <row r="3654" spans="1:7" x14ac:dyDescent="0.2">
      <c r="A3654" t="s">
        <v>89</v>
      </c>
      <c r="B3654" t="s">
        <v>133</v>
      </c>
      <c r="C3654" t="s">
        <v>197</v>
      </c>
      <c r="D3654" t="s">
        <v>74</v>
      </c>
      <c r="E3654" t="s">
        <v>77</v>
      </c>
      <c r="F3654" s="55">
        <v>91</v>
      </c>
      <c r="G3654" s="63">
        <v>7.9000000000000008E-3</v>
      </c>
    </row>
    <row r="3655" spans="1:7" x14ac:dyDescent="0.2">
      <c r="A3655" t="s">
        <v>89</v>
      </c>
      <c r="B3655" t="s">
        <v>133</v>
      </c>
      <c r="C3655" t="s">
        <v>197</v>
      </c>
      <c r="D3655" t="s">
        <v>74</v>
      </c>
      <c r="E3655" t="s">
        <v>78</v>
      </c>
      <c r="F3655" s="55">
        <v>115</v>
      </c>
      <c r="G3655" s="63">
        <v>5.7000000000000002E-3</v>
      </c>
    </row>
    <row r="3656" spans="1:7" x14ac:dyDescent="0.2">
      <c r="A3656" t="s">
        <v>89</v>
      </c>
      <c r="B3656" t="s">
        <v>133</v>
      </c>
      <c r="C3656" t="s">
        <v>197</v>
      </c>
      <c r="D3656" t="s">
        <v>74</v>
      </c>
      <c r="E3656" t="s">
        <v>79</v>
      </c>
      <c r="F3656" s="55">
        <v>70</v>
      </c>
      <c r="G3656" s="63">
        <v>2.6599999999999999E-2</v>
      </c>
    </row>
    <row r="3657" spans="1:7" x14ac:dyDescent="0.2">
      <c r="A3657" t="s">
        <v>89</v>
      </c>
      <c r="B3657" t="s">
        <v>133</v>
      </c>
      <c r="C3657" t="s">
        <v>197</v>
      </c>
      <c r="D3657" t="s">
        <v>74</v>
      </c>
      <c r="E3657" t="s">
        <v>80</v>
      </c>
      <c r="F3657" s="55">
        <v>75</v>
      </c>
      <c r="G3657" s="63">
        <v>1.2699999999999999E-2</v>
      </c>
    </row>
    <row r="3658" spans="1:7" x14ac:dyDescent="0.2">
      <c r="A3658" t="s">
        <v>89</v>
      </c>
      <c r="B3658" t="s">
        <v>133</v>
      </c>
      <c r="C3658" t="s">
        <v>197</v>
      </c>
      <c r="D3658" t="s">
        <v>74</v>
      </c>
      <c r="E3658" t="s">
        <v>81</v>
      </c>
      <c r="F3658" s="55">
        <v>70</v>
      </c>
      <c r="G3658" s="63">
        <v>1.3100000000000001E-2</v>
      </c>
    </row>
    <row r="3659" spans="1:7" x14ac:dyDescent="0.2">
      <c r="A3659" t="s">
        <v>89</v>
      </c>
      <c r="B3659" t="s">
        <v>133</v>
      </c>
      <c r="C3659" t="s">
        <v>197</v>
      </c>
      <c r="D3659" t="s">
        <v>74</v>
      </c>
      <c r="E3659" t="s">
        <v>82</v>
      </c>
      <c r="F3659" s="55">
        <v>48</v>
      </c>
      <c r="G3659" s="63">
        <v>7.9000000000000008E-3</v>
      </c>
    </row>
    <row r="3660" spans="1:7" x14ac:dyDescent="0.2">
      <c r="A3660" t="s">
        <v>89</v>
      </c>
      <c r="B3660" t="s">
        <v>133</v>
      </c>
      <c r="C3660" t="s">
        <v>197</v>
      </c>
      <c r="D3660" t="s">
        <v>74</v>
      </c>
      <c r="E3660" t="s">
        <v>83</v>
      </c>
      <c r="F3660" s="55">
        <v>59</v>
      </c>
      <c r="G3660" s="63">
        <v>4.7999999999999996E-3</v>
      </c>
    </row>
    <row r="3661" spans="1:7" x14ac:dyDescent="0.2">
      <c r="A3661" t="s">
        <v>89</v>
      </c>
      <c r="B3661" t="s">
        <v>133</v>
      </c>
      <c r="C3661" t="s">
        <v>197</v>
      </c>
      <c r="D3661" t="s">
        <v>74</v>
      </c>
      <c r="E3661" t="s">
        <v>84</v>
      </c>
      <c r="F3661" s="55">
        <v>110</v>
      </c>
      <c r="G3661" s="63">
        <v>4.4999999999999997E-3</v>
      </c>
    </row>
    <row r="3662" spans="1:7" x14ac:dyDescent="0.2">
      <c r="A3662" t="s">
        <v>89</v>
      </c>
      <c r="B3662" t="s">
        <v>133</v>
      </c>
      <c r="C3662" t="s">
        <v>197</v>
      </c>
      <c r="D3662" t="s">
        <v>74</v>
      </c>
      <c r="E3662" t="s">
        <v>85</v>
      </c>
      <c r="F3662" s="55">
        <v>70</v>
      </c>
      <c r="G3662" s="63">
        <v>1.06E-2</v>
      </c>
    </row>
    <row r="3663" spans="1:7" x14ac:dyDescent="0.2">
      <c r="A3663" t="s">
        <v>89</v>
      </c>
      <c r="B3663" t="s">
        <v>133</v>
      </c>
      <c r="C3663" t="s">
        <v>197</v>
      </c>
      <c r="D3663" t="s">
        <v>74</v>
      </c>
      <c r="E3663" t="s">
        <v>86</v>
      </c>
      <c r="F3663" s="55">
        <v>68</v>
      </c>
      <c r="G3663" s="63">
        <v>9.9000000000000008E-3</v>
      </c>
    </row>
    <row r="3664" spans="1:7" x14ac:dyDescent="0.2">
      <c r="A3664" t="s">
        <v>89</v>
      </c>
      <c r="B3664" t="s">
        <v>133</v>
      </c>
      <c r="C3664" t="s">
        <v>197</v>
      </c>
      <c r="D3664" t="s">
        <v>74</v>
      </c>
      <c r="E3664" t="s">
        <v>87</v>
      </c>
      <c r="F3664" s="55">
        <v>74</v>
      </c>
      <c r="G3664" s="63">
        <v>1.0800000000000001E-2</v>
      </c>
    </row>
    <row r="3665" spans="1:7" x14ac:dyDescent="0.2">
      <c r="A3665" t="s">
        <v>89</v>
      </c>
      <c r="B3665" t="s">
        <v>133</v>
      </c>
      <c r="C3665" t="s">
        <v>197</v>
      </c>
      <c r="D3665" t="s">
        <v>74</v>
      </c>
      <c r="E3665" t="s">
        <v>88</v>
      </c>
      <c r="F3665" s="55">
        <v>44</v>
      </c>
      <c r="G3665" s="63">
        <v>5.4999999999999997E-3</v>
      </c>
    </row>
    <row r="3666" spans="1:7" x14ac:dyDescent="0.2">
      <c r="A3666" t="s">
        <v>89</v>
      </c>
      <c r="B3666" t="s">
        <v>134</v>
      </c>
      <c r="C3666" t="s">
        <v>197</v>
      </c>
      <c r="D3666" t="s">
        <v>74</v>
      </c>
      <c r="E3666" t="s">
        <v>75</v>
      </c>
      <c r="F3666" s="55">
        <v>102</v>
      </c>
      <c r="G3666" s="63">
        <v>7.0699999999999999E-2</v>
      </c>
    </row>
    <row r="3667" spans="1:7" x14ac:dyDescent="0.2">
      <c r="A3667" t="s">
        <v>89</v>
      </c>
      <c r="B3667" t="s">
        <v>134</v>
      </c>
      <c r="C3667" t="s">
        <v>197</v>
      </c>
      <c r="D3667" t="s">
        <v>74</v>
      </c>
      <c r="E3667" t="s">
        <v>76</v>
      </c>
      <c r="F3667" s="55">
        <v>114</v>
      </c>
      <c r="G3667" s="63">
        <v>1.01E-2</v>
      </c>
    </row>
    <row r="3668" spans="1:7" x14ac:dyDescent="0.2">
      <c r="A3668" t="s">
        <v>89</v>
      </c>
      <c r="B3668" t="s">
        <v>134</v>
      </c>
      <c r="C3668" t="s">
        <v>197</v>
      </c>
      <c r="D3668" t="s">
        <v>74</v>
      </c>
      <c r="E3668" t="s">
        <v>77</v>
      </c>
      <c r="F3668" s="55">
        <v>118</v>
      </c>
      <c r="G3668" s="63">
        <v>3.04E-2</v>
      </c>
    </row>
    <row r="3669" spans="1:7" x14ac:dyDescent="0.2">
      <c r="A3669" t="s">
        <v>89</v>
      </c>
      <c r="B3669" t="s">
        <v>134</v>
      </c>
      <c r="C3669" t="s">
        <v>197</v>
      </c>
      <c r="D3669" t="s">
        <v>74</v>
      </c>
      <c r="E3669" t="s">
        <v>78</v>
      </c>
      <c r="F3669" s="55">
        <v>104</v>
      </c>
      <c r="G3669" s="63">
        <v>1.9300000000000001E-2</v>
      </c>
    </row>
    <row r="3670" spans="1:7" x14ac:dyDescent="0.2">
      <c r="A3670" t="s">
        <v>89</v>
      </c>
      <c r="B3670" t="s">
        <v>134</v>
      </c>
      <c r="C3670" t="s">
        <v>197</v>
      </c>
      <c r="D3670" t="s">
        <v>74</v>
      </c>
      <c r="E3670" t="s">
        <v>79</v>
      </c>
      <c r="F3670" s="55">
        <v>92</v>
      </c>
      <c r="G3670" s="63">
        <v>4.4299999999999999E-2</v>
      </c>
    </row>
    <row r="3671" spans="1:7" x14ac:dyDescent="0.2">
      <c r="A3671" t="s">
        <v>89</v>
      </c>
      <c r="B3671" t="s">
        <v>134</v>
      </c>
      <c r="C3671" t="s">
        <v>197</v>
      </c>
      <c r="D3671" t="s">
        <v>74</v>
      </c>
      <c r="E3671" t="s">
        <v>80</v>
      </c>
      <c r="F3671" s="55">
        <v>93</v>
      </c>
      <c r="G3671" s="63">
        <v>2.0199999999999999E-2</v>
      </c>
    </row>
    <row r="3672" spans="1:7" x14ac:dyDescent="0.2">
      <c r="A3672" t="s">
        <v>89</v>
      </c>
      <c r="B3672" t="s">
        <v>134</v>
      </c>
      <c r="C3672" t="s">
        <v>197</v>
      </c>
      <c r="D3672" t="s">
        <v>74</v>
      </c>
      <c r="E3672" t="s">
        <v>81</v>
      </c>
      <c r="F3672" s="55">
        <v>101</v>
      </c>
      <c r="G3672" s="63">
        <v>2.0899999999999998E-2</v>
      </c>
    </row>
    <row r="3673" spans="1:7" x14ac:dyDescent="0.2">
      <c r="A3673" t="s">
        <v>89</v>
      </c>
      <c r="B3673" t="s">
        <v>134</v>
      </c>
      <c r="C3673" t="s">
        <v>197</v>
      </c>
      <c r="D3673" t="s">
        <v>74</v>
      </c>
      <c r="E3673" t="s">
        <v>82</v>
      </c>
      <c r="F3673" s="55">
        <v>99</v>
      </c>
      <c r="G3673" s="63">
        <v>3.2500000000000001E-2</v>
      </c>
    </row>
    <row r="3674" spans="1:7" x14ac:dyDescent="0.2">
      <c r="A3674" t="s">
        <v>89</v>
      </c>
      <c r="B3674" t="s">
        <v>134</v>
      </c>
      <c r="C3674" t="s">
        <v>197</v>
      </c>
      <c r="D3674" t="s">
        <v>74</v>
      </c>
      <c r="E3674" t="s">
        <v>83</v>
      </c>
      <c r="F3674" s="55">
        <v>103</v>
      </c>
      <c r="G3674" s="63">
        <v>9.1000000000000004E-3</v>
      </c>
    </row>
    <row r="3675" spans="1:7" x14ac:dyDescent="0.2">
      <c r="A3675" t="s">
        <v>89</v>
      </c>
      <c r="B3675" t="s">
        <v>134</v>
      </c>
      <c r="C3675" t="s">
        <v>197</v>
      </c>
      <c r="D3675" t="s">
        <v>74</v>
      </c>
      <c r="E3675" t="s">
        <v>84</v>
      </c>
      <c r="F3675" s="55">
        <v>105</v>
      </c>
      <c r="G3675" s="63">
        <v>1.4500000000000001E-2</v>
      </c>
    </row>
    <row r="3676" spans="1:7" x14ac:dyDescent="0.2">
      <c r="A3676" t="s">
        <v>89</v>
      </c>
      <c r="B3676" t="s">
        <v>134</v>
      </c>
      <c r="C3676" t="s">
        <v>197</v>
      </c>
      <c r="D3676" t="s">
        <v>74</v>
      </c>
      <c r="E3676" t="s">
        <v>85</v>
      </c>
      <c r="F3676" s="55">
        <v>88</v>
      </c>
      <c r="G3676" s="63">
        <v>2.1999999999999999E-2</v>
      </c>
    </row>
    <row r="3677" spans="1:7" x14ac:dyDescent="0.2">
      <c r="A3677" t="s">
        <v>89</v>
      </c>
      <c r="B3677" t="s">
        <v>134</v>
      </c>
      <c r="C3677" t="s">
        <v>197</v>
      </c>
      <c r="D3677" t="s">
        <v>74</v>
      </c>
      <c r="E3677" t="s">
        <v>86</v>
      </c>
      <c r="F3677" s="55">
        <v>92</v>
      </c>
      <c r="G3677" s="63">
        <v>2.3300000000000001E-2</v>
      </c>
    </row>
    <row r="3678" spans="1:7" x14ac:dyDescent="0.2">
      <c r="A3678" t="s">
        <v>89</v>
      </c>
      <c r="B3678" t="s">
        <v>134</v>
      </c>
      <c r="C3678" t="s">
        <v>197</v>
      </c>
      <c r="D3678" t="s">
        <v>74</v>
      </c>
      <c r="E3678" t="s">
        <v>87</v>
      </c>
      <c r="F3678" s="55">
        <v>87</v>
      </c>
      <c r="G3678" s="63">
        <v>2.3400000000000001E-2</v>
      </c>
    </row>
    <row r="3679" spans="1:7" x14ac:dyDescent="0.2">
      <c r="A3679" t="s">
        <v>89</v>
      </c>
      <c r="B3679" t="s">
        <v>134</v>
      </c>
      <c r="C3679" t="s">
        <v>197</v>
      </c>
      <c r="D3679" t="s">
        <v>74</v>
      </c>
      <c r="E3679" t="s">
        <v>88</v>
      </c>
      <c r="F3679" s="55">
        <v>101</v>
      </c>
      <c r="G3679" s="63">
        <v>1.5800000000000002E-2</v>
      </c>
    </row>
    <row r="3680" spans="1:7" x14ac:dyDescent="0.2">
      <c r="A3680" t="s">
        <v>89</v>
      </c>
      <c r="B3680" t="s">
        <v>135</v>
      </c>
      <c r="C3680" t="s">
        <v>197</v>
      </c>
      <c r="D3680" t="s">
        <v>74</v>
      </c>
      <c r="E3680" t="s">
        <v>75</v>
      </c>
      <c r="F3680" s="55">
        <v>107</v>
      </c>
      <c r="G3680" s="63">
        <v>6.9199999999999998E-2</v>
      </c>
    </row>
    <row r="3681" spans="1:7" x14ac:dyDescent="0.2">
      <c r="A3681" t="s">
        <v>89</v>
      </c>
      <c r="B3681" t="s">
        <v>135</v>
      </c>
      <c r="C3681" t="s">
        <v>197</v>
      </c>
      <c r="D3681" t="s">
        <v>74</v>
      </c>
      <c r="E3681" t="s">
        <v>76</v>
      </c>
      <c r="F3681" s="55">
        <v>116</v>
      </c>
      <c r="G3681" s="63">
        <v>1.0999999999999999E-2</v>
      </c>
    </row>
    <row r="3682" spans="1:7" x14ac:dyDescent="0.2">
      <c r="A3682" t="s">
        <v>89</v>
      </c>
      <c r="B3682" t="s">
        <v>135</v>
      </c>
      <c r="C3682" t="s">
        <v>197</v>
      </c>
      <c r="D3682" t="s">
        <v>74</v>
      </c>
      <c r="E3682" t="s">
        <v>77</v>
      </c>
      <c r="F3682" s="55">
        <v>117</v>
      </c>
      <c r="G3682" s="63">
        <v>2.7199999999999998E-2</v>
      </c>
    </row>
    <row r="3683" spans="1:7" x14ac:dyDescent="0.2">
      <c r="A3683" t="s">
        <v>89</v>
      </c>
      <c r="B3683" t="s">
        <v>135</v>
      </c>
      <c r="C3683" t="s">
        <v>197</v>
      </c>
      <c r="D3683" t="s">
        <v>74</v>
      </c>
      <c r="E3683" t="s">
        <v>78</v>
      </c>
      <c r="F3683" s="55">
        <v>109</v>
      </c>
      <c r="G3683" s="63">
        <v>2.1100000000000001E-2</v>
      </c>
    </row>
    <row r="3684" spans="1:7" x14ac:dyDescent="0.2">
      <c r="A3684" t="s">
        <v>89</v>
      </c>
      <c r="B3684" t="s">
        <v>135</v>
      </c>
      <c r="C3684" t="s">
        <v>197</v>
      </c>
      <c r="D3684" t="s">
        <v>74</v>
      </c>
      <c r="E3684" t="s">
        <v>79</v>
      </c>
      <c r="F3684" s="55">
        <v>109</v>
      </c>
      <c r="G3684" s="63">
        <v>4.5900000000000003E-2</v>
      </c>
    </row>
    <row r="3685" spans="1:7" x14ac:dyDescent="0.2">
      <c r="A3685" t="s">
        <v>89</v>
      </c>
      <c r="B3685" t="s">
        <v>135</v>
      </c>
      <c r="C3685" t="s">
        <v>197</v>
      </c>
      <c r="D3685" t="s">
        <v>74</v>
      </c>
      <c r="E3685" t="s">
        <v>80</v>
      </c>
      <c r="F3685" s="55">
        <v>94</v>
      </c>
      <c r="G3685" s="63">
        <v>1.8800000000000001E-2</v>
      </c>
    </row>
    <row r="3686" spans="1:7" x14ac:dyDescent="0.2">
      <c r="A3686" t="s">
        <v>89</v>
      </c>
      <c r="B3686" t="s">
        <v>135</v>
      </c>
      <c r="C3686" t="s">
        <v>197</v>
      </c>
      <c r="D3686" t="s">
        <v>74</v>
      </c>
      <c r="E3686" t="s">
        <v>81</v>
      </c>
      <c r="F3686" s="55">
        <v>99</v>
      </c>
      <c r="G3686" s="63">
        <v>2.06E-2</v>
      </c>
    </row>
    <row r="3687" spans="1:7" x14ac:dyDescent="0.2">
      <c r="A3687" t="s">
        <v>89</v>
      </c>
      <c r="B3687" t="s">
        <v>135</v>
      </c>
      <c r="C3687" t="s">
        <v>197</v>
      </c>
      <c r="D3687" t="s">
        <v>74</v>
      </c>
      <c r="E3687" t="s">
        <v>82</v>
      </c>
      <c r="F3687" s="55">
        <v>102</v>
      </c>
      <c r="G3687" s="63">
        <v>3.2099999999999997E-2</v>
      </c>
    </row>
    <row r="3688" spans="1:7" x14ac:dyDescent="0.2">
      <c r="A3688" t="s">
        <v>89</v>
      </c>
      <c r="B3688" t="s">
        <v>135</v>
      </c>
      <c r="C3688" t="s">
        <v>197</v>
      </c>
      <c r="D3688" t="s">
        <v>74</v>
      </c>
      <c r="E3688" t="s">
        <v>83</v>
      </c>
      <c r="F3688" s="55">
        <v>98</v>
      </c>
      <c r="G3688" s="63">
        <v>8.5000000000000006E-3</v>
      </c>
    </row>
    <row r="3689" spans="1:7" x14ac:dyDescent="0.2">
      <c r="A3689" t="s">
        <v>89</v>
      </c>
      <c r="B3689" t="s">
        <v>135</v>
      </c>
      <c r="C3689" t="s">
        <v>197</v>
      </c>
      <c r="D3689" t="s">
        <v>74</v>
      </c>
      <c r="E3689" t="s">
        <v>84</v>
      </c>
      <c r="F3689" s="55">
        <v>109</v>
      </c>
      <c r="G3689" s="63">
        <v>1.78E-2</v>
      </c>
    </row>
    <row r="3690" spans="1:7" x14ac:dyDescent="0.2">
      <c r="A3690" t="s">
        <v>89</v>
      </c>
      <c r="B3690" t="s">
        <v>135</v>
      </c>
      <c r="C3690" t="s">
        <v>197</v>
      </c>
      <c r="D3690" t="s">
        <v>74</v>
      </c>
      <c r="E3690" t="s">
        <v>85</v>
      </c>
      <c r="F3690" s="55">
        <v>88</v>
      </c>
      <c r="G3690" s="63">
        <v>1.9300000000000001E-2</v>
      </c>
    </row>
    <row r="3691" spans="1:7" x14ac:dyDescent="0.2">
      <c r="A3691" t="s">
        <v>89</v>
      </c>
      <c r="B3691" t="s">
        <v>135</v>
      </c>
      <c r="C3691" t="s">
        <v>197</v>
      </c>
      <c r="D3691" t="s">
        <v>74</v>
      </c>
      <c r="E3691" t="s">
        <v>86</v>
      </c>
      <c r="F3691" s="55">
        <v>95</v>
      </c>
      <c r="G3691" s="63">
        <v>2.2100000000000002E-2</v>
      </c>
    </row>
    <row r="3692" spans="1:7" x14ac:dyDescent="0.2">
      <c r="A3692" t="s">
        <v>89</v>
      </c>
      <c r="B3692" t="s">
        <v>135</v>
      </c>
      <c r="C3692" t="s">
        <v>197</v>
      </c>
      <c r="D3692" t="s">
        <v>74</v>
      </c>
      <c r="E3692" t="s">
        <v>87</v>
      </c>
      <c r="F3692" s="55">
        <v>111</v>
      </c>
      <c r="G3692" s="63">
        <v>2.3400000000000001E-2</v>
      </c>
    </row>
    <row r="3693" spans="1:7" x14ac:dyDescent="0.2">
      <c r="A3693" t="s">
        <v>89</v>
      </c>
      <c r="B3693" t="s">
        <v>135</v>
      </c>
      <c r="C3693" t="s">
        <v>197</v>
      </c>
      <c r="D3693" t="s">
        <v>74</v>
      </c>
      <c r="E3693" t="s">
        <v>88</v>
      </c>
      <c r="F3693" s="55">
        <v>104</v>
      </c>
      <c r="G3693" s="63">
        <v>1.7100000000000001E-2</v>
      </c>
    </row>
    <row r="3694" spans="1:7" x14ac:dyDescent="0.2">
      <c r="A3694" t="s">
        <v>89</v>
      </c>
      <c r="B3694" t="s">
        <v>136</v>
      </c>
      <c r="C3694" t="s">
        <v>197</v>
      </c>
      <c r="D3694" t="s">
        <v>74</v>
      </c>
      <c r="E3694" t="s">
        <v>75</v>
      </c>
      <c r="F3694" s="55">
        <v>81</v>
      </c>
      <c r="G3694" s="63">
        <v>7.3700000000000002E-2</v>
      </c>
    </row>
    <row r="3695" spans="1:7" x14ac:dyDescent="0.2">
      <c r="A3695" t="s">
        <v>89</v>
      </c>
      <c r="B3695" t="s">
        <v>136</v>
      </c>
      <c r="C3695" t="s">
        <v>197</v>
      </c>
      <c r="D3695" t="s">
        <v>74</v>
      </c>
      <c r="E3695" t="s">
        <v>76</v>
      </c>
      <c r="F3695" s="55">
        <v>64</v>
      </c>
      <c r="G3695" s="63">
        <v>8.6E-3</v>
      </c>
    </row>
    <row r="3696" spans="1:7" x14ac:dyDescent="0.2">
      <c r="A3696" t="s">
        <v>89</v>
      </c>
      <c r="B3696" t="s">
        <v>136</v>
      </c>
      <c r="C3696" t="s">
        <v>197</v>
      </c>
      <c r="D3696" t="s">
        <v>74</v>
      </c>
      <c r="E3696" t="s">
        <v>77</v>
      </c>
      <c r="F3696" s="55">
        <v>89</v>
      </c>
      <c r="G3696" s="63">
        <v>3.4200000000000001E-2</v>
      </c>
    </row>
    <row r="3697" spans="1:7" x14ac:dyDescent="0.2">
      <c r="A3697" t="s">
        <v>89</v>
      </c>
      <c r="B3697" t="s">
        <v>136</v>
      </c>
      <c r="C3697" t="s">
        <v>197</v>
      </c>
      <c r="D3697" t="s">
        <v>74</v>
      </c>
      <c r="E3697" t="s">
        <v>78</v>
      </c>
      <c r="F3697" s="55">
        <v>75</v>
      </c>
      <c r="G3697" s="63">
        <v>1.1299999999999999E-2</v>
      </c>
    </row>
    <row r="3698" spans="1:7" x14ac:dyDescent="0.2">
      <c r="A3698" t="s">
        <v>89</v>
      </c>
      <c r="B3698" t="s">
        <v>136</v>
      </c>
      <c r="C3698" t="s">
        <v>197</v>
      </c>
      <c r="D3698" t="s">
        <v>74</v>
      </c>
      <c r="E3698" t="s">
        <v>79</v>
      </c>
      <c r="F3698" s="55">
        <v>80</v>
      </c>
      <c r="G3698" s="63">
        <v>3.1099999999999999E-2</v>
      </c>
    </row>
    <row r="3699" spans="1:7" x14ac:dyDescent="0.2">
      <c r="A3699" t="s">
        <v>89</v>
      </c>
      <c r="B3699" t="s">
        <v>136</v>
      </c>
      <c r="C3699" t="s">
        <v>197</v>
      </c>
      <c r="D3699" t="s">
        <v>74</v>
      </c>
      <c r="E3699" t="s">
        <v>80</v>
      </c>
      <c r="F3699" s="55">
        <v>78</v>
      </c>
      <c r="G3699" s="63">
        <v>1.17E-2</v>
      </c>
    </row>
    <row r="3700" spans="1:7" x14ac:dyDescent="0.2">
      <c r="A3700" t="s">
        <v>89</v>
      </c>
      <c r="B3700" t="s">
        <v>136</v>
      </c>
      <c r="C3700" t="s">
        <v>197</v>
      </c>
      <c r="D3700" t="s">
        <v>74</v>
      </c>
      <c r="E3700" t="s">
        <v>81</v>
      </c>
      <c r="F3700" s="55">
        <v>88</v>
      </c>
      <c r="G3700" s="63">
        <v>1.3299999999999999E-2</v>
      </c>
    </row>
    <row r="3701" spans="1:7" x14ac:dyDescent="0.2">
      <c r="A3701" t="s">
        <v>89</v>
      </c>
      <c r="B3701" t="s">
        <v>136</v>
      </c>
      <c r="C3701" t="s">
        <v>197</v>
      </c>
      <c r="D3701" t="s">
        <v>74</v>
      </c>
      <c r="E3701" t="s">
        <v>82</v>
      </c>
      <c r="F3701" s="55">
        <v>74</v>
      </c>
      <c r="G3701" s="63">
        <v>2.1499999999999998E-2</v>
      </c>
    </row>
    <row r="3702" spans="1:7" x14ac:dyDescent="0.2">
      <c r="A3702" t="s">
        <v>89</v>
      </c>
      <c r="B3702" t="s">
        <v>136</v>
      </c>
      <c r="C3702" t="s">
        <v>197</v>
      </c>
      <c r="D3702" t="s">
        <v>74</v>
      </c>
      <c r="E3702" t="s">
        <v>84</v>
      </c>
      <c r="F3702" s="55">
        <v>73</v>
      </c>
      <c r="G3702" s="63">
        <v>8.6999999999999994E-3</v>
      </c>
    </row>
    <row r="3703" spans="1:7" x14ac:dyDescent="0.2">
      <c r="A3703" t="s">
        <v>89</v>
      </c>
      <c r="B3703" t="s">
        <v>136</v>
      </c>
      <c r="C3703" t="s">
        <v>197</v>
      </c>
      <c r="D3703" t="s">
        <v>74</v>
      </c>
      <c r="E3703" t="s">
        <v>85</v>
      </c>
      <c r="F3703" s="55">
        <v>79</v>
      </c>
      <c r="G3703" s="63">
        <v>1.09E-2</v>
      </c>
    </row>
    <row r="3704" spans="1:7" x14ac:dyDescent="0.2">
      <c r="A3704" t="s">
        <v>89</v>
      </c>
      <c r="B3704" t="s">
        <v>136</v>
      </c>
      <c r="C3704" t="s">
        <v>197</v>
      </c>
      <c r="D3704" t="s">
        <v>74</v>
      </c>
      <c r="E3704" t="s">
        <v>86</v>
      </c>
      <c r="F3704" s="55">
        <v>89</v>
      </c>
      <c r="G3704" s="63">
        <v>1.26E-2</v>
      </c>
    </row>
    <row r="3705" spans="1:7" x14ac:dyDescent="0.2">
      <c r="A3705" t="s">
        <v>89</v>
      </c>
      <c r="B3705" t="s">
        <v>136</v>
      </c>
      <c r="C3705" t="s">
        <v>197</v>
      </c>
      <c r="D3705" t="s">
        <v>74</v>
      </c>
      <c r="E3705" t="s">
        <v>87</v>
      </c>
      <c r="F3705" s="55">
        <v>82</v>
      </c>
      <c r="G3705" s="63">
        <v>1.5299999999999999E-2</v>
      </c>
    </row>
    <row r="3706" spans="1:7" x14ac:dyDescent="0.2">
      <c r="A3706" t="s">
        <v>89</v>
      </c>
      <c r="B3706" t="s">
        <v>136</v>
      </c>
      <c r="C3706" t="s">
        <v>197</v>
      </c>
      <c r="D3706" t="s">
        <v>74</v>
      </c>
      <c r="E3706" t="s">
        <v>88</v>
      </c>
      <c r="F3706" s="55">
        <v>63</v>
      </c>
      <c r="G3706" s="63">
        <v>1.2699999999999999E-2</v>
      </c>
    </row>
    <row r="3707" spans="1:7" x14ac:dyDescent="0.2">
      <c r="A3707" t="s">
        <v>71</v>
      </c>
      <c r="B3707" t="s">
        <v>137</v>
      </c>
      <c r="C3707" t="s">
        <v>197</v>
      </c>
      <c r="D3707" t="s">
        <v>74</v>
      </c>
      <c r="E3707" t="s">
        <v>75</v>
      </c>
      <c r="F3707" s="55">
        <v>128</v>
      </c>
      <c r="G3707" s="63">
        <v>8.09E-2</v>
      </c>
    </row>
    <row r="3708" spans="1:7" x14ac:dyDescent="0.2">
      <c r="A3708" t="s">
        <v>71</v>
      </c>
      <c r="B3708" t="s">
        <v>137</v>
      </c>
      <c r="C3708" t="s">
        <v>197</v>
      </c>
      <c r="D3708" t="s">
        <v>74</v>
      </c>
      <c r="E3708" t="s">
        <v>76</v>
      </c>
      <c r="F3708" s="55">
        <v>116</v>
      </c>
      <c r="G3708" s="63">
        <v>8.8000000000000005E-3</v>
      </c>
    </row>
    <row r="3709" spans="1:7" x14ac:dyDescent="0.2">
      <c r="A3709" t="s">
        <v>71</v>
      </c>
      <c r="B3709" t="s">
        <v>137</v>
      </c>
      <c r="C3709" t="s">
        <v>197</v>
      </c>
      <c r="D3709" t="s">
        <v>74</v>
      </c>
      <c r="E3709" t="s">
        <v>77</v>
      </c>
      <c r="F3709" s="55">
        <v>147</v>
      </c>
      <c r="G3709" s="63">
        <v>3.44E-2</v>
      </c>
    </row>
    <row r="3710" spans="1:7" x14ac:dyDescent="0.2">
      <c r="A3710" t="s">
        <v>71</v>
      </c>
      <c r="B3710" t="s">
        <v>137</v>
      </c>
      <c r="C3710" t="s">
        <v>197</v>
      </c>
      <c r="D3710" t="s">
        <v>74</v>
      </c>
      <c r="E3710" t="s">
        <v>78</v>
      </c>
      <c r="F3710" s="55">
        <v>127</v>
      </c>
      <c r="G3710" s="63">
        <v>2.4899999999999999E-2</v>
      </c>
    </row>
    <row r="3711" spans="1:7" x14ac:dyDescent="0.2">
      <c r="A3711" t="s">
        <v>71</v>
      </c>
      <c r="B3711" t="s">
        <v>137</v>
      </c>
      <c r="C3711" t="s">
        <v>197</v>
      </c>
      <c r="D3711" t="s">
        <v>74</v>
      </c>
      <c r="E3711" t="s">
        <v>79</v>
      </c>
      <c r="F3711" s="55">
        <v>123</v>
      </c>
      <c r="G3711" s="63">
        <v>4.9599999999999998E-2</v>
      </c>
    </row>
    <row r="3712" spans="1:7" x14ac:dyDescent="0.2">
      <c r="A3712" t="s">
        <v>71</v>
      </c>
      <c r="B3712" t="s">
        <v>137</v>
      </c>
      <c r="C3712" t="s">
        <v>197</v>
      </c>
      <c r="D3712" t="s">
        <v>74</v>
      </c>
      <c r="E3712" t="s">
        <v>80</v>
      </c>
      <c r="F3712" s="55">
        <v>110</v>
      </c>
      <c r="G3712" s="63">
        <v>2.0199999999999999E-2</v>
      </c>
    </row>
    <row r="3713" spans="1:7" x14ac:dyDescent="0.2">
      <c r="A3713" t="s">
        <v>71</v>
      </c>
      <c r="B3713" t="s">
        <v>137</v>
      </c>
      <c r="C3713" t="s">
        <v>197</v>
      </c>
      <c r="D3713" t="s">
        <v>74</v>
      </c>
      <c r="E3713" t="s">
        <v>81</v>
      </c>
      <c r="F3713" s="55">
        <v>113</v>
      </c>
      <c r="G3713" s="63">
        <v>2.0799999999999999E-2</v>
      </c>
    </row>
    <row r="3714" spans="1:7" x14ac:dyDescent="0.2">
      <c r="A3714" t="s">
        <v>71</v>
      </c>
      <c r="B3714" t="s">
        <v>137</v>
      </c>
      <c r="C3714" t="s">
        <v>197</v>
      </c>
      <c r="D3714" t="s">
        <v>74</v>
      </c>
      <c r="E3714" t="s">
        <v>82</v>
      </c>
      <c r="F3714" s="55">
        <v>131</v>
      </c>
      <c r="G3714" s="63">
        <v>3.0800000000000001E-2</v>
      </c>
    </row>
    <row r="3715" spans="1:7" x14ac:dyDescent="0.2">
      <c r="A3715" t="s">
        <v>71</v>
      </c>
      <c r="B3715" t="s">
        <v>137</v>
      </c>
      <c r="C3715" t="s">
        <v>197</v>
      </c>
      <c r="D3715" t="s">
        <v>74</v>
      </c>
      <c r="E3715" t="s">
        <v>83</v>
      </c>
      <c r="F3715" s="55">
        <v>120</v>
      </c>
      <c r="G3715" s="63">
        <v>8.3999999999999995E-3</v>
      </c>
    </row>
    <row r="3716" spans="1:7" x14ac:dyDescent="0.2">
      <c r="A3716" t="s">
        <v>71</v>
      </c>
      <c r="B3716" t="s">
        <v>137</v>
      </c>
      <c r="C3716" t="s">
        <v>197</v>
      </c>
      <c r="D3716" t="s">
        <v>74</v>
      </c>
      <c r="E3716" t="s">
        <v>84</v>
      </c>
      <c r="F3716" s="55">
        <v>123</v>
      </c>
      <c r="G3716" s="63">
        <v>1.9800000000000002E-2</v>
      </c>
    </row>
    <row r="3717" spans="1:7" x14ac:dyDescent="0.2">
      <c r="A3717" t="s">
        <v>71</v>
      </c>
      <c r="B3717" t="s">
        <v>137</v>
      </c>
      <c r="C3717" t="s">
        <v>197</v>
      </c>
      <c r="D3717" t="s">
        <v>74</v>
      </c>
      <c r="E3717" t="s">
        <v>85</v>
      </c>
      <c r="F3717" s="55">
        <v>110</v>
      </c>
      <c r="G3717" s="63">
        <v>1.9900000000000001E-2</v>
      </c>
    </row>
    <row r="3718" spans="1:7" x14ac:dyDescent="0.2">
      <c r="A3718" t="s">
        <v>71</v>
      </c>
      <c r="B3718" t="s">
        <v>137</v>
      </c>
      <c r="C3718" t="s">
        <v>197</v>
      </c>
      <c r="D3718" t="s">
        <v>74</v>
      </c>
      <c r="E3718" t="s">
        <v>86</v>
      </c>
      <c r="F3718" s="55">
        <v>117</v>
      </c>
      <c r="G3718" s="63">
        <v>2.3199999999999998E-2</v>
      </c>
    </row>
    <row r="3719" spans="1:7" x14ac:dyDescent="0.2">
      <c r="A3719" t="s">
        <v>71</v>
      </c>
      <c r="B3719" t="s">
        <v>137</v>
      </c>
      <c r="C3719" t="s">
        <v>197</v>
      </c>
      <c r="D3719" t="s">
        <v>74</v>
      </c>
      <c r="E3719" t="s">
        <v>87</v>
      </c>
      <c r="F3719" s="55">
        <v>126</v>
      </c>
      <c r="G3719" s="63">
        <v>2.5000000000000001E-2</v>
      </c>
    </row>
    <row r="3720" spans="1:7" x14ac:dyDescent="0.2">
      <c r="A3720" t="s">
        <v>71</v>
      </c>
      <c r="B3720" t="s">
        <v>137</v>
      </c>
      <c r="C3720" t="s">
        <v>197</v>
      </c>
      <c r="D3720" t="s">
        <v>74</v>
      </c>
      <c r="E3720" t="s">
        <v>88</v>
      </c>
      <c r="F3720" s="55">
        <v>145</v>
      </c>
      <c r="G3720" s="63">
        <v>1.6199999999999999E-2</v>
      </c>
    </row>
    <row r="3721" spans="1:7" x14ac:dyDescent="0.2">
      <c r="A3721" t="s">
        <v>71</v>
      </c>
      <c r="B3721" t="s">
        <v>138</v>
      </c>
      <c r="C3721" t="s">
        <v>197</v>
      </c>
      <c r="D3721" t="s">
        <v>74</v>
      </c>
      <c r="E3721" t="s">
        <v>75</v>
      </c>
      <c r="F3721" s="55">
        <v>27</v>
      </c>
      <c r="G3721" s="63">
        <v>8.8499999999999995E-2</v>
      </c>
    </row>
    <row r="3722" spans="1:7" x14ac:dyDescent="0.2">
      <c r="A3722" t="s">
        <v>71</v>
      </c>
      <c r="B3722" t="s">
        <v>138</v>
      </c>
      <c r="C3722" t="s">
        <v>197</v>
      </c>
      <c r="D3722" t="s">
        <v>74</v>
      </c>
      <c r="E3722" t="s">
        <v>76</v>
      </c>
      <c r="F3722" s="55">
        <v>44</v>
      </c>
      <c r="G3722" s="63">
        <v>5.3E-3</v>
      </c>
    </row>
    <row r="3723" spans="1:7" x14ac:dyDescent="0.2">
      <c r="A3723" t="s">
        <v>71</v>
      </c>
      <c r="B3723" t="s">
        <v>138</v>
      </c>
      <c r="C3723" t="s">
        <v>197</v>
      </c>
      <c r="D3723" t="s">
        <v>74</v>
      </c>
      <c r="E3723" t="s">
        <v>77</v>
      </c>
      <c r="F3723" s="55">
        <v>27</v>
      </c>
      <c r="G3723" s="63">
        <v>2.1100000000000001E-2</v>
      </c>
    </row>
    <row r="3724" spans="1:7" x14ac:dyDescent="0.2">
      <c r="A3724" t="s">
        <v>71</v>
      </c>
      <c r="B3724" t="s">
        <v>138</v>
      </c>
      <c r="C3724" t="s">
        <v>197</v>
      </c>
      <c r="D3724" t="s">
        <v>74</v>
      </c>
      <c r="E3724" t="s">
        <v>78</v>
      </c>
      <c r="F3724" s="55">
        <v>31</v>
      </c>
      <c r="G3724" s="63">
        <v>1.2E-2</v>
      </c>
    </row>
    <row r="3725" spans="1:7" x14ac:dyDescent="0.2">
      <c r="A3725" t="s">
        <v>71</v>
      </c>
      <c r="B3725" t="s">
        <v>138</v>
      </c>
      <c r="C3725" t="s">
        <v>197</v>
      </c>
      <c r="D3725" t="s">
        <v>74</v>
      </c>
      <c r="E3725" t="s">
        <v>79</v>
      </c>
      <c r="F3725" s="55">
        <v>23</v>
      </c>
      <c r="G3725" s="63">
        <v>4.8500000000000001E-2</v>
      </c>
    </row>
    <row r="3726" spans="1:7" x14ac:dyDescent="0.2">
      <c r="A3726" t="s">
        <v>71</v>
      </c>
      <c r="B3726" t="s">
        <v>138</v>
      </c>
      <c r="C3726" t="s">
        <v>197</v>
      </c>
      <c r="D3726" t="s">
        <v>74</v>
      </c>
      <c r="E3726" t="s">
        <v>80</v>
      </c>
      <c r="F3726" s="55">
        <v>24</v>
      </c>
      <c r="G3726" s="63">
        <v>1.2E-2</v>
      </c>
    </row>
    <row r="3727" spans="1:7" x14ac:dyDescent="0.2">
      <c r="A3727" t="s">
        <v>71</v>
      </c>
      <c r="B3727" t="s">
        <v>138</v>
      </c>
      <c r="C3727" t="s">
        <v>197</v>
      </c>
      <c r="D3727" t="s">
        <v>74</v>
      </c>
      <c r="E3727" t="s">
        <v>81</v>
      </c>
      <c r="F3727" s="55">
        <v>44</v>
      </c>
      <c r="G3727" s="63">
        <v>1.29E-2</v>
      </c>
    </row>
    <row r="3728" spans="1:7" x14ac:dyDescent="0.2">
      <c r="A3728" t="s">
        <v>71</v>
      </c>
      <c r="B3728" t="s">
        <v>138</v>
      </c>
      <c r="C3728" t="s">
        <v>197</v>
      </c>
      <c r="D3728" t="s">
        <v>74</v>
      </c>
      <c r="E3728" t="s">
        <v>82</v>
      </c>
      <c r="F3728" s="55">
        <v>29</v>
      </c>
      <c r="G3728" s="63">
        <v>3.1E-2</v>
      </c>
    </row>
    <row r="3729" spans="1:7" x14ac:dyDescent="0.2">
      <c r="A3729" t="s">
        <v>71</v>
      </c>
      <c r="B3729" t="s">
        <v>138</v>
      </c>
      <c r="C3729" t="s">
        <v>197</v>
      </c>
      <c r="D3729" t="s">
        <v>74</v>
      </c>
      <c r="E3729" t="s">
        <v>83</v>
      </c>
      <c r="F3729" s="55">
        <v>53</v>
      </c>
      <c r="G3729" s="63">
        <v>4.3E-3</v>
      </c>
    </row>
    <row r="3730" spans="1:7" x14ac:dyDescent="0.2">
      <c r="A3730" t="s">
        <v>71</v>
      </c>
      <c r="B3730" t="s">
        <v>138</v>
      </c>
      <c r="C3730" t="s">
        <v>197</v>
      </c>
      <c r="D3730" t="s">
        <v>74</v>
      </c>
      <c r="E3730" t="s">
        <v>84</v>
      </c>
      <c r="F3730" s="55">
        <v>29</v>
      </c>
      <c r="G3730" s="63">
        <v>8.6E-3</v>
      </c>
    </row>
    <row r="3731" spans="1:7" x14ac:dyDescent="0.2">
      <c r="A3731" t="s">
        <v>71</v>
      </c>
      <c r="B3731" t="s">
        <v>138</v>
      </c>
      <c r="C3731" t="s">
        <v>197</v>
      </c>
      <c r="D3731" t="s">
        <v>74</v>
      </c>
      <c r="E3731" t="s">
        <v>85</v>
      </c>
      <c r="F3731" s="55">
        <v>23</v>
      </c>
      <c r="G3731" s="63">
        <v>1.26E-2</v>
      </c>
    </row>
    <row r="3732" spans="1:7" x14ac:dyDescent="0.2">
      <c r="A3732" t="s">
        <v>71</v>
      </c>
      <c r="B3732" t="s">
        <v>138</v>
      </c>
      <c r="C3732" t="s">
        <v>197</v>
      </c>
      <c r="D3732" t="s">
        <v>74</v>
      </c>
      <c r="E3732" t="s">
        <v>86</v>
      </c>
      <c r="F3732" s="55">
        <v>19</v>
      </c>
      <c r="G3732" s="63">
        <v>1.6299999999999999E-2</v>
      </c>
    </row>
    <row r="3733" spans="1:7" x14ac:dyDescent="0.2">
      <c r="A3733" t="s">
        <v>71</v>
      </c>
      <c r="B3733" t="s">
        <v>138</v>
      </c>
      <c r="C3733" t="s">
        <v>197</v>
      </c>
      <c r="D3733" t="s">
        <v>74</v>
      </c>
      <c r="E3733" t="s">
        <v>87</v>
      </c>
      <c r="F3733" s="55">
        <v>24</v>
      </c>
      <c r="G3733" s="63">
        <v>1.9599999999999999E-2</v>
      </c>
    </row>
    <row r="3734" spans="1:7" x14ac:dyDescent="0.2">
      <c r="A3734" t="s">
        <v>71</v>
      </c>
      <c r="B3734" t="s">
        <v>138</v>
      </c>
      <c r="C3734" t="s">
        <v>197</v>
      </c>
      <c r="D3734" t="s">
        <v>74</v>
      </c>
      <c r="E3734" t="s">
        <v>88</v>
      </c>
      <c r="F3734" s="55">
        <v>50</v>
      </c>
      <c r="G3734" s="63">
        <v>9.1999999999999998E-3</v>
      </c>
    </row>
    <row r="3735" spans="1:7" x14ac:dyDescent="0.2">
      <c r="A3735" t="s">
        <v>71</v>
      </c>
      <c r="B3735" t="s">
        <v>139</v>
      </c>
      <c r="C3735" t="s">
        <v>197</v>
      </c>
      <c r="D3735" t="s">
        <v>74</v>
      </c>
      <c r="E3735" t="s">
        <v>75</v>
      </c>
      <c r="F3735" s="55">
        <v>111</v>
      </c>
      <c r="G3735" s="63">
        <v>0.1835</v>
      </c>
    </row>
    <row r="3736" spans="1:7" x14ac:dyDescent="0.2">
      <c r="A3736" t="s">
        <v>71</v>
      </c>
      <c r="B3736" t="s">
        <v>139</v>
      </c>
      <c r="C3736" t="s">
        <v>197</v>
      </c>
      <c r="D3736" t="s">
        <v>74</v>
      </c>
      <c r="E3736" t="s">
        <v>76</v>
      </c>
      <c r="F3736" s="55">
        <v>117</v>
      </c>
      <c r="G3736" s="63">
        <v>1.78E-2</v>
      </c>
    </row>
    <row r="3737" spans="1:7" x14ac:dyDescent="0.2">
      <c r="A3737" t="s">
        <v>71</v>
      </c>
      <c r="B3737" t="s">
        <v>139</v>
      </c>
      <c r="C3737" t="s">
        <v>197</v>
      </c>
      <c r="D3737" t="s">
        <v>74</v>
      </c>
      <c r="E3737" t="s">
        <v>77</v>
      </c>
      <c r="F3737" s="55">
        <v>120</v>
      </c>
      <c r="G3737" s="63">
        <v>7.5600000000000001E-2</v>
      </c>
    </row>
    <row r="3738" spans="1:7" x14ac:dyDescent="0.2">
      <c r="A3738" t="s">
        <v>71</v>
      </c>
      <c r="B3738" t="s">
        <v>139</v>
      </c>
      <c r="C3738" t="s">
        <v>197</v>
      </c>
      <c r="D3738" t="s">
        <v>74</v>
      </c>
      <c r="E3738" t="s">
        <v>78</v>
      </c>
      <c r="F3738" s="55">
        <v>117</v>
      </c>
      <c r="G3738" s="63">
        <v>7.51E-2</v>
      </c>
    </row>
    <row r="3739" spans="1:7" x14ac:dyDescent="0.2">
      <c r="A3739" t="s">
        <v>71</v>
      </c>
      <c r="B3739" t="s">
        <v>139</v>
      </c>
      <c r="C3739" t="s">
        <v>197</v>
      </c>
      <c r="D3739" t="s">
        <v>74</v>
      </c>
      <c r="E3739" t="s">
        <v>79</v>
      </c>
      <c r="F3739" s="55">
        <v>103</v>
      </c>
      <c r="G3739" s="63">
        <v>0.1202</v>
      </c>
    </row>
    <row r="3740" spans="1:7" x14ac:dyDescent="0.2">
      <c r="A3740" t="s">
        <v>71</v>
      </c>
      <c r="B3740" t="s">
        <v>139</v>
      </c>
      <c r="C3740" t="s">
        <v>197</v>
      </c>
      <c r="D3740" t="s">
        <v>74</v>
      </c>
      <c r="E3740" t="s">
        <v>80</v>
      </c>
      <c r="F3740" s="55">
        <v>99</v>
      </c>
      <c r="G3740" s="63">
        <v>3.5099999999999999E-2</v>
      </c>
    </row>
    <row r="3741" spans="1:7" x14ac:dyDescent="0.2">
      <c r="A3741" t="s">
        <v>71</v>
      </c>
      <c r="B3741" t="s">
        <v>139</v>
      </c>
      <c r="C3741" t="s">
        <v>197</v>
      </c>
      <c r="D3741" t="s">
        <v>74</v>
      </c>
      <c r="E3741" t="s">
        <v>81</v>
      </c>
      <c r="F3741" s="55">
        <v>93</v>
      </c>
      <c r="G3741" s="63">
        <v>3.4200000000000001E-2</v>
      </c>
    </row>
    <row r="3742" spans="1:7" x14ac:dyDescent="0.2">
      <c r="A3742" t="s">
        <v>71</v>
      </c>
      <c r="B3742" t="s">
        <v>139</v>
      </c>
      <c r="C3742" t="s">
        <v>197</v>
      </c>
      <c r="D3742" t="s">
        <v>74</v>
      </c>
      <c r="E3742" t="s">
        <v>82</v>
      </c>
      <c r="F3742" s="55">
        <v>114</v>
      </c>
      <c r="G3742" s="63">
        <v>0.1173</v>
      </c>
    </row>
    <row r="3743" spans="1:7" x14ac:dyDescent="0.2">
      <c r="A3743" t="s">
        <v>71</v>
      </c>
      <c r="B3743" t="s">
        <v>139</v>
      </c>
      <c r="C3743" t="s">
        <v>197</v>
      </c>
      <c r="D3743" t="s">
        <v>74</v>
      </c>
      <c r="E3743" t="s">
        <v>83</v>
      </c>
      <c r="F3743" s="55">
        <v>99</v>
      </c>
      <c r="G3743" s="63">
        <v>1.44E-2</v>
      </c>
    </row>
    <row r="3744" spans="1:7" x14ac:dyDescent="0.2">
      <c r="A3744" t="s">
        <v>71</v>
      </c>
      <c r="B3744" t="s">
        <v>139</v>
      </c>
      <c r="C3744" t="s">
        <v>197</v>
      </c>
      <c r="D3744" t="s">
        <v>74</v>
      </c>
      <c r="E3744" t="s">
        <v>84</v>
      </c>
      <c r="F3744" s="55">
        <v>118</v>
      </c>
      <c r="G3744" s="63">
        <v>6.6299999999999998E-2</v>
      </c>
    </row>
    <row r="3745" spans="1:7" x14ac:dyDescent="0.2">
      <c r="A3745" t="s">
        <v>71</v>
      </c>
      <c r="B3745" t="s">
        <v>139</v>
      </c>
      <c r="C3745" t="s">
        <v>197</v>
      </c>
      <c r="D3745" t="s">
        <v>74</v>
      </c>
      <c r="E3745" t="s">
        <v>85</v>
      </c>
      <c r="F3745" s="55">
        <v>96</v>
      </c>
      <c r="G3745" s="63">
        <v>4.53E-2</v>
      </c>
    </row>
    <row r="3746" spans="1:7" x14ac:dyDescent="0.2">
      <c r="A3746" t="s">
        <v>71</v>
      </c>
      <c r="B3746" t="s">
        <v>139</v>
      </c>
      <c r="C3746" t="s">
        <v>197</v>
      </c>
      <c r="D3746" t="s">
        <v>74</v>
      </c>
      <c r="E3746" t="s">
        <v>86</v>
      </c>
      <c r="F3746" s="55">
        <v>100</v>
      </c>
      <c r="G3746" s="63">
        <v>5.6300000000000003E-2</v>
      </c>
    </row>
    <row r="3747" spans="1:7" x14ac:dyDescent="0.2">
      <c r="A3747" t="s">
        <v>71</v>
      </c>
      <c r="B3747" t="s">
        <v>139</v>
      </c>
      <c r="C3747" t="s">
        <v>197</v>
      </c>
      <c r="D3747" t="s">
        <v>74</v>
      </c>
      <c r="E3747" t="s">
        <v>87</v>
      </c>
      <c r="F3747" s="55">
        <v>102</v>
      </c>
      <c r="G3747" s="63">
        <v>6.0900000000000003E-2</v>
      </c>
    </row>
    <row r="3748" spans="1:7" x14ac:dyDescent="0.2">
      <c r="A3748" t="s">
        <v>71</v>
      </c>
      <c r="B3748" t="s">
        <v>139</v>
      </c>
      <c r="C3748" t="s">
        <v>197</v>
      </c>
      <c r="D3748" t="s">
        <v>74</v>
      </c>
      <c r="E3748" t="s">
        <v>88</v>
      </c>
      <c r="F3748" s="55">
        <v>113</v>
      </c>
      <c r="G3748" s="63">
        <v>2.9399999999999999E-2</v>
      </c>
    </row>
    <row r="3749" spans="1:7" x14ac:dyDescent="0.2">
      <c r="A3749" t="s">
        <v>89</v>
      </c>
      <c r="B3749" t="s">
        <v>140</v>
      </c>
      <c r="C3749" t="s">
        <v>197</v>
      </c>
      <c r="D3749" t="s">
        <v>74</v>
      </c>
      <c r="E3749" t="s">
        <v>75</v>
      </c>
      <c r="F3749" s="55">
        <v>134</v>
      </c>
      <c r="G3749" s="63">
        <v>6.9400000000000003E-2</v>
      </c>
    </row>
    <row r="3750" spans="1:7" x14ac:dyDescent="0.2">
      <c r="A3750" t="s">
        <v>89</v>
      </c>
      <c r="B3750" t="s">
        <v>140</v>
      </c>
      <c r="C3750" t="s">
        <v>197</v>
      </c>
      <c r="D3750" t="s">
        <v>74</v>
      </c>
      <c r="E3750" t="s">
        <v>76</v>
      </c>
      <c r="F3750" s="55">
        <v>164</v>
      </c>
      <c r="G3750" s="63">
        <v>1.26E-2</v>
      </c>
    </row>
    <row r="3751" spans="1:7" x14ac:dyDescent="0.2">
      <c r="A3751" t="s">
        <v>89</v>
      </c>
      <c r="B3751" t="s">
        <v>140</v>
      </c>
      <c r="C3751" t="s">
        <v>197</v>
      </c>
      <c r="D3751" t="s">
        <v>74</v>
      </c>
      <c r="E3751" t="s">
        <v>77</v>
      </c>
      <c r="F3751" s="55">
        <v>144</v>
      </c>
      <c r="G3751" s="63">
        <v>2.81E-2</v>
      </c>
    </row>
    <row r="3752" spans="1:7" x14ac:dyDescent="0.2">
      <c r="A3752" t="s">
        <v>89</v>
      </c>
      <c r="B3752" t="s">
        <v>140</v>
      </c>
      <c r="C3752" t="s">
        <v>197</v>
      </c>
      <c r="D3752" t="s">
        <v>74</v>
      </c>
      <c r="E3752" t="s">
        <v>78</v>
      </c>
      <c r="F3752" s="55">
        <v>143</v>
      </c>
      <c r="G3752" s="63">
        <v>2.4E-2</v>
      </c>
    </row>
    <row r="3753" spans="1:7" x14ac:dyDescent="0.2">
      <c r="A3753" t="s">
        <v>89</v>
      </c>
      <c r="B3753" t="s">
        <v>140</v>
      </c>
      <c r="C3753" t="s">
        <v>197</v>
      </c>
      <c r="D3753" t="s">
        <v>74</v>
      </c>
      <c r="E3753" t="s">
        <v>79</v>
      </c>
      <c r="F3753" s="55">
        <v>122</v>
      </c>
      <c r="G3753" s="63">
        <v>4.5699999999999998E-2</v>
      </c>
    </row>
    <row r="3754" spans="1:7" x14ac:dyDescent="0.2">
      <c r="A3754" t="s">
        <v>89</v>
      </c>
      <c r="B3754" t="s">
        <v>140</v>
      </c>
      <c r="C3754" t="s">
        <v>197</v>
      </c>
      <c r="D3754" t="s">
        <v>74</v>
      </c>
      <c r="E3754" t="s">
        <v>80</v>
      </c>
      <c r="F3754" s="55">
        <v>113</v>
      </c>
      <c r="G3754" s="63">
        <v>1.9599999999999999E-2</v>
      </c>
    </row>
    <row r="3755" spans="1:7" x14ac:dyDescent="0.2">
      <c r="A3755" t="s">
        <v>89</v>
      </c>
      <c r="B3755" t="s">
        <v>140</v>
      </c>
      <c r="C3755" t="s">
        <v>197</v>
      </c>
      <c r="D3755" t="s">
        <v>74</v>
      </c>
      <c r="E3755" t="s">
        <v>81</v>
      </c>
      <c r="F3755" s="55">
        <v>132</v>
      </c>
      <c r="G3755" s="63">
        <v>1.9800000000000002E-2</v>
      </c>
    </row>
    <row r="3756" spans="1:7" x14ac:dyDescent="0.2">
      <c r="A3756" t="s">
        <v>89</v>
      </c>
      <c r="B3756" t="s">
        <v>140</v>
      </c>
      <c r="C3756" t="s">
        <v>197</v>
      </c>
      <c r="D3756" t="s">
        <v>74</v>
      </c>
      <c r="E3756" t="s">
        <v>82</v>
      </c>
      <c r="F3756" s="55">
        <v>136</v>
      </c>
      <c r="G3756" s="63">
        <v>3.2899999999999999E-2</v>
      </c>
    </row>
    <row r="3757" spans="1:7" x14ac:dyDescent="0.2">
      <c r="A3757" t="s">
        <v>89</v>
      </c>
      <c r="B3757" t="s">
        <v>140</v>
      </c>
      <c r="C3757" t="s">
        <v>197</v>
      </c>
      <c r="D3757" t="s">
        <v>74</v>
      </c>
      <c r="E3757" t="s">
        <v>83</v>
      </c>
      <c r="F3757" s="55">
        <v>159</v>
      </c>
      <c r="G3757" s="63">
        <v>1.12E-2</v>
      </c>
    </row>
    <row r="3758" spans="1:7" x14ac:dyDescent="0.2">
      <c r="A3758" t="s">
        <v>89</v>
      </c>
      <c r="B3758" t="s">
        <v>140</v>
      </c>
      <c r="C3758" t="s">
        <v>197</v>
      </c>
      <c r="D3758" t="s">
        <v>74</v>
      </c>
      <c r="E3758" t="s">
        <v>84</v>
      </c>
      <c r="F3758" s="55">
        <v>152</v>
      </c>
      <c r="G3758" s="63">
        <v>1.9400000000000001E-2</v>
      </c>
    </row>
    <row r="3759" spans="1:7" x14ac:dyDescent="0.2">
      <c r="A3759" t="s">
        <v>89</v>
      </c>
      <c r="B3759" t="s">
        <v>140</v>
      </c>
      <c r="C3759" t="s">
        <v>197</v>
      </c>
      <c r="D3759" t="s">
        <v>74</v>
      </c>
      <c r="E3759" t="s">
        <v>85</v>
      </c>
      <c r="F3759" s="55">
        <v>113</v>
      </c>
      <c r="G3759" s="63">
        <v>2.1899999999999999E-2</v>
      </c>
    </row>
    <row r="3760" spans="1:7" x14ac:dyDescent="0.2">
      <c r="A3760" t="s">
        <v>89</v>
      </c>
      <c r="B3760" t="s">
        <v>140</v>
      </c>
      <c r="C3760" t="s">
        <v>197</v>
      </c>
      <c r="D3760" t="s">
        <v>74</v>
      </c>
      <c r="E3760" t="s">
        <v>86</v>
      </c>
      <c r="F3760" s="55">
        <v>120</v>
      </c>
      <c r="G3760" s="63">
        <v>2.5399999999999999E-2</v>
      </c>
    </row>
    <row r="3761" spans="1:7" x14ac:dyDescent="0.2">
      <c r="A3761" t="s">
        <v>89</v>
      </c>
      <c r="B3761" t="s">
        <v>140</v>
      </c>
      <c r="C3761" t="s">
        <v>197</v>
      </c>
      <c r="D3761" t="s">
        <v>74</v>
      </c>
      <c r="E3761" t="s">
        <v>87</v>
      </c>
      <c r="F3761" s="55">
        <v>123</v>
      </c>
      <c r="G3761" s="63">
        <v>2.58E-2</v>
      </c>
    </row>
    <row r="3762" spans="1:7" x14ac:dyDescent="0.2">
      <c r="A3762" t="s">
        <v>89</v>
      </c>
      <c r="B3762" t="s">
        <v>140</v>
      </c>
      <c r="C3762" t="s">
        <v>197</v>
      </c>
      <c r="D3762" t="s">
        <v>74</v>
      </c>
      <c r="E3762" t="s">
        <v>88</v>
      </c>
      <c r="F3762" s="55">
        <v>158</v>
      </c>
      <c r="G3762" s="63">
        <v>1.84E-2</v>
      </c>
    </row>
    <row r="3763" spans="1:7" x14ac:dyDescent="0.2">
      <c r="A3763" t="s">
        <v>71</v>
      </c>
      <c r="B3763" t="s">
        <v>141</v>
      </c>
      <c r="C3763" t="s">
        <v>197</v>
      </c>
      <c r="D3763" t="s">
        <v>74</v>
      </c>
      <c r="E3763" t="s">
        <v>75</v>
      </c>
      <c r="F3763" s="55">
        <v>117</v>
      </c>
      <c r="G3763" s="63">
        <v>0.18090000000000001</v>
      </c>
    </row>
    <row r="3764" spans="1:7" x14ac:dyDescent="0.2">
      <c r="A3764" t="s">
        <v>71</v>
      </c>
      <c r="B3764" t="s">
        <v>141</v>
      </c>
      <c r="C3764" t="s">
        <v>197</v>
      </c>
      <c r="D3764" t="s">
        <v>74</v>
      </c>
      <c r="E3764" t="s">
        <v>76</v>
      </c>
      <c r="F3764" s="55">
        <v>112</v>
      </c>
      <c r="G3764" s="63">
        <v>2.4E-2</v>
      </c>
    </row>
    <row r="3765" spans="1:7" x14ac:dyDescent="0.2">
      <c r="A3765" t="s">
        <v>71</v>
      </c>
      <c r="B3765" t="s">
        <v>141</v>
      </c>
      <c r="C3765" t="s">
        <v>197</v>
      </c>
      <c r="D3765" t="s">
        <v>74</v>
      </c>
      <c r="E3765" t="s">
        <v>77</v>
      </c>
      <c r="F3765" s="55">
        <v>128</v>
      </c>
      <c r="G3765" s="63">
        <v>8.2000000000000003E-2</v>
      </c>
    </row>
    <row r="3766" spans="1:7" x14ac:dyDescent="0.2">
      <c r="A3766" t="s">
        <v>71</v>
      </c>
      <c r="B3766" t="s">
        <v>141</v>
      </c>
      <c r="C3766" t="s">
        <v>197</v>
      </c>
      <c r="D3766" t="s">
        <v>74</v>
      </c>
      <c r="E3766" t="s">
        <v>78</v>
      </c>
      <c r="F3766" s="55">
        <v>129</v>
      </c>
      <c r="G3766" s="63">
        <v>6.6600000000000006E-2</v>
      </c>
    </row>
    <row r="3767" spans="1:7" x14ac:dyDescent="0.2">
      <c r="A3767" t="s">
        <v>71</v>
      </c>
      <c r="B3767" t="s">
        <v>141</v>
      </c>
      <c r="C3767" t="s">
        <v>197</v>
      </c>
      <c r="D3767" t="s">
        <v>74</v>
      </c>
      <c r="E3767" t="s">
        <v>79</v>
      </c>
      <c r="F3767" s="55">
        <v>114</v>
      </c>
      <c r="G3767" s="63">
        <v>0.12230000000000001</v>
      </c>
    </row>
    <row r="3768" spans="1:7" x14ac:dyDescent="0.2">
      <c r="A3768" t="s">
        <v>71</v>
      </c>
      <c r="B3768" t="s">
        <v>141</v>
      </c>
      <c r="C3768" t="s">
        <v>197</v>
      </c>
      <c r="D3768" t="s">
        <v>74</v>
      </c>
      <c r="E3768" t="s">
        <v>80</v>
      </c>
      <c r="F3768" s="55">
        <v>113</v>
      </c>
      <c r="G3768" s="63">
        <v>6.3899999999999998E-2</v>
      </c>
    </row>
    <row r="3769" spans="1:7" x14ac:dyDescent="0.2">
      <c r="A3769" t="s">
        <v>71</v>
      </c>
      <c r="B3769" t="s">
        <v>141</v>
      </c>
      <c r="C3769" t="s">
        <v>197</v>
      </c>
      <c r="D3769" t="s">
        <v>74</v>
      </c>
      <c r="E3769" t="s">
        <v>81</v>
      </c>
      <c r="F3769" s="55">
        <v>107</v>
      </c>
      <c r="G3769" s="63">
        <v>6.2899999999999998E-2</v>
      </c>
    </row>
    <row r="3770" spans="1:7" x14ac:dyDescent="0.2">
      <c r="A3770" t="s">
        <v>71</v>
      </c>
      <c r="B3770" t="s">
        <v>141</v>
      </c>
      <c r="C3770" t="s">
        <v>197</v>
      </c>
      <c r="D3770" t="s">
        <v>74</v>
      </c>
      <c r="E3770" t="s">
        <v>82</v>
      </c>
      <c r="F3770" s="55">
        <v>117</v>
      </c>
      <c r="G3770" s="63">
        <v>8.9399999999999993E-2</v>
      </c>
    </row>
    <row r="3771" spans="1:7" x14ac:dyDescent="0.2">
      <c r="A3771" t="s">
        <v>71</v>
      </c>
      <c r="B3771" t="s">
        <v>141</v>
      </c>
      <c r="C3771" t="s">
        <v>197</v>
      </c>
      <c r="D3771" t="s">
        <v>74</v>
      </c>
      <c r="E3771" t="s">
        <v>83</v>
      </c>
      <c r="F3771" s="55">
        <v>99</v>
      </c>
      <c r="G3771" s="63">
        <v>2.8799999999999999E-2</v>
      </c>
    </row>
    <row r="3772" spans="1:7" x14ac:dyDescent="0.2">
      <c r="A3772" t="s">
        <v>71</v>
      </c>
      <c r="B3772" t="s">
        <v>141</v>
      </c>
      <c r="C3772" t="s">
        <v>197</v>
      </c>
      <c r="D3772" t="s">
        <v>74</v>
      </c>
      <c r="E3772" t="s">
        <v>84</v>
      </c>
      <c r="F3772" s="55">
        <v>132</v>
      </c>
      <c r="G3772" s="63">
        <v>5.7299999999999997E-2</v>
      </c>
    </row>
    <row r="3773" spans="1:7" x14ac:dyDescent="0.2">
      <c r="A3773" t="s">
        <v>71</v>
      </c>
      <c r="B3773" t="s">
        <v>141</v>
      </c>
      <c r="C3773" t="s">
        <v>197</v>
      </c>
      <c r="D3773" t="s">
        <v>74</v>
      </c>
      <c r="E3773" t="s">
        <v>85</v>
      </c>
      <c r="F3773" s="55">
        <v>113</v>
      </c>
      <c r="G3773" s="63">
        <v>6.7400000000000002E-2</v>
      </c>
    </row>
    <row r="3774" spans="1:7" x14ac:dyDescent="0.2">
      <c r="A3774" t="s">
        <v>71</v>
      </c>
      <c r="B3774" t="s">
        <v>141</v>
      </c>
      <c r="C3774" t="s">
        <v>197</v>
      </c>
      <c r="D3774" t="s">
        <v>74</v>
      </c>
      <c r="E3774" t="s">
        <v>86</v>
      </c>
      <c r="F3774" s="55">
        <v>114</v>
      </c>
      <c r="G3774" s="63">
        <v>7.3499999999999996E-2</v>
      </c>
    </row>
    <row r="3775" spans="1:7" x14ac:dyDescent="0.2">
      <c r="A3775" t="s">
        <v>71</v>
      </c>
      <c r="B3775" t="s">
        <v>141</v>
      </c>
      <c r="C3775" t="s">
        <v>197</v>
      </c>
      <c r="D3775" t="s">
        <v>74</v>
      </c>
      <c r="E3775" t="s">
        <v>87</v>
      </c>
      <c r="F3775" s="55">
        <v>107</v>
      </c>
      <c r="G3775" s="63">
        <v>7.2999999999999995E-2</v>
      </c>
    </row>
    <row r="3776" spans="1:7" x14ac:dyDescent="0.2">
      <c r="A3776" t="s">
        <v>71</v>
      </c>
      <c r="B3776" t="s">
        <v>141</v>
      </c>
      <c r="C3776" t="s">
        <v>197</v>
      </c>
      <c r="D3776" t="s">
        <v>74</v>
      </c>
      <c r="E3776" t="s">
        <v>88</v>
      </c>
      <c r="F3776" s="55">
        <v>110</v>
      </c>
      <c r="G3776" s="63">
        <v>3.4099999999999998E-2</v>
      </c>
    </row>
    <row r="3777" spans="1:7" x14ac:dyDescent="0.2">
      <c r="A3777" t="s">
        <v>71</v>
      </c>
      <c r="B3777" t="s">
        <v>13</v>
      </c>
      <c r="C3777" t="s">
        <v>197</v>
      </c>
      <c r="D3777" t="s">
        <v>74</v>
      </c>
      <c r="E3777" t="s">
        <v>75</v>
      </c>
      <c r="F3777" s="55">
        <v>110</v>
      </c>
      <c r="G3777" s="63">
        <v>0.2989</v>
      </c>
    </row>
    <row r="3778" spans="1:7" x14ac:dyDescent="0.2">
      <c r="A3778" t="s">
        <v>71</v>
      </c>
      <c r="B3778" t="s">
        <v>13</v>
      </c>
      <c r="C3778" t="s">
        <v>197</v>
      </c>
      <c r="D3778" t="s">
        <v>74</v>
      </c>
      <c r="E3778" t="s">
        <v>76</v>
      </c>
      <c r="F3778" s="55">
        <v>109</v>
      </c>
      <c r="G3778" s="63">
        <v>4.0099999999999997E-2</v>
      </c>
    </row>
    <row r="3779" spans="1:7" x14ac:dyDescent="0.2">
      <c r="A3779" t="s">
        <v>71</v>
      </c>
      <c r="B3779" t="s">
        <v>13</v>
      </c>
      <c r="C3779" t="s">
        <v>197</v>
      </c>
      <c r="D3779" t="s">
        <v>74</v>
      </c>
      <c r="E3779" t="s">
        <v>77</v>
      </c>
      <c r="F3779" s="55">
        <v>106</v>
      </c>
      <c r="G3779" s="63">
        <v>0.12379999999999999</v>
      </c>
    </row>
    <row r="3780" spans="1:7" x14ac:dyDescent="0.2">
      <c r="A3780" t="s">
        <v>71</v>
      </c>
      <c r="B3780" t="s">
        <v>13</v>
      </c>
      <c r="C3780" t="s">
        <v>197</v>
      </c>
      <c r="D3780" t="s">
        <v>74</v>
      </c>
      <c r="E3780" t="s">
        <v>78</v>
      </c>
      <c r="F3780" s="55">
        <v>115</v>
      </c>
      <c r="G3780" s="63">
        <v>0.11269999999999999</v>
      </c>
    </row>
    <row r="3781" spans="1:7" x14ac:dyDescent="0.2">
      <c r="A3781" t="s">
        <v>71</v>
      </c>
      <c r="B3781" t="s">
        <v>13</v>
      </c>
      <c r="C3781" t="s">
        <v>197</v>
      </c>
      <c r="D3781" t="s">
        <v>74</v>
      </c>
      <c r="E3781" t="s">
        <v>79</v>
      </c>
      <c r="F3781" s="55">
        <v>115</v>
      </c>
      <c r="G3781" s="63">
        <v>0.2263</v>
      </c>
    </row>
    <row r="3782" spans="1:7" x14ac:dyDescent="0.2">
      <c r="A3782" t="s">
        <v>71</v>
      </c>
      <c r="B3782" t="s">
        <v>13</v>
      </c>
      <c r="C3782" t="s">
        <v>197</v>
      </c>
      <c r="D3782" t="s">
        <v>74</v>
      </c>
      <c r="E3782" t="s">
        <v>80</v>
      </c>
      <c r="F3782" s="55">
        <v>100</v>
      </c>
      <c r="G3782" s="63">
        <v>9.3200000000000005E-2</v>
      </c>
    </row>
    <row r="3783" spans="1:7" x14ac:dyDescent="0.2">
      <c r="A3783" t="s">
        <v>71</v>
      </c>
      <c r="B3783" t="s">
        <v>13</v>
      </c>
      <c r="C3783" t="s">
        <v>197</v>
      </c>
      <c r="D3783" t="s">
        <v>74</v>
      </c>
      <c r="E3783" t="s">
        <v>81</v>
      </c>
      <c r="F3783" s="55">
        <v>99</v>
      </c>
      <c r="G3783" s="63">
        <v>8.8499999999999995E-2</v>
      </c>
    </row>
    <row r="3784" spans="1:7" x14ac:dyDescent="0.2">
      <c r="A3784" t="s">
        <v>71</v>
      </c>
      <c r="B3784" t="s">
        <v>13</v>
      </c>
      <c r="C3784" t="s">
        <v>197</v>
      </c>
      <c r="D3784" t="s">
        <v>74</v>
      </c>
      <c r="E3784" t="s">
        <v>82</v>
      </c>
      <c r="F3784" s="55">
        <v>111</v>
      </c>
      <c r="G3784" s="63">
        <v>0.17560000000000001</v>
      </c>
    </row>
    <row r="3785" spans="1:7" x14ac:dyDescent="0.2">
      <c r="A3785" t="s">
        <v>71</v>
      </c>
      <c r="B3785" t="s">
        <v>13</v>
      </c>
      <c r="C3785" t="s">
        <v>197</v>
      </c>
      <c r="D3785" t="s">
        <v>74</v>
      </c>
      <c r="E3785" t="s">
        <v>83</v>
      </c>
      <c r="F3785" s="55">
        <v>99</v>
      </c>
      <c r="G3785" s="63">
        <v>3.8600000000000002E-2</v>
      </c>
    </row>
    <row r="3786" spans="1:7" x14ac:dyDescent="0.2">
      <c r="A3786" t="s">
        <v>71</v>
      </c>
      <c r="B3786" t="s">
        <v>13</v>
      </c>
      <c r="C3786" t="s">
        <v>197</v>
      </c>
      <c r="D3786" t="s">
        <v>74</v>
      </c>
      <c r="E3786" t="s">
        <v>84</v>
      </c>
      <c r="F3786" s="55">
        <v>119</v>
      </c>
      <c r="G3786" s="63">
        <v>9.6699999999999994E-2</v>
      </c>
    </row>
    <row r="3787" spans="1:7" x14ac:dyDescent="0.2">
      <c r="A3787" t="s">
        <v>71</v>
      </c>
      <c r="B3787" t="s">
        <v>13</v>
      </c>
      <c r="C3787" t="s">
        <v>197</v>
      </c>
      <c r="D3787" t="s">
        <v>74</v>
      </c>
      <c r="E3787" t="s">
        <v>85</v>
      </c>
      <c r="F3787" s="55">
        <v>105</v>
      </c>
      <c r="G3787" s="63">
        <v>0.1144</v>
      </c>
    </row>
    <row r="3788" spans="1:7" x14ac:dyDescent="0.2">
      <c r="A3788" t="s">
        <v>71</v>
      </c>
      <c r="B3788" t="s">
        <v>13</v>
      </c>
      <c r="C3788" t="s">
        <v>197</v>
      </c>
      <c r="D3788" t="s">
        <v>74</v>
      </c>
      <c r="E3788" t="s">
        <v>86</v>
      </c>
      <c r="F3788" s="55">
        <v>115</v>
      </c>
      <c r="G3788" s="63">
        <v>0.1477</v>
      </c>
    </row>
    <row r="3789" spans="1:7" x14ac:dyDescent="0.2">
      <c r="A3789" t="s">
        <v>71</v>
      </c>
      <c r="B3789" t="s">
        <v>13</v>
      </c>
      <c r="C3789" t="s">
        <v>197</v>
      </c>
      <c r="D3789" t="s">
        <v>74</v>
      </c>
      <c r="E3789" t="s">
        <v>87</v>
      </c>
      <c r="F3789" s="55">
        <v>119</v>
      </c>
      <c r="G3789" s="63">
        <v>0.15210000000000001</v>
      </c>
    </row>
    <row r="3790" spans="1:7" x14ac:dyDescent="0.2">
      <c r="A3790" t="s">
        <v>71</v>
      </c>
      <c r="B3790" t="s">
        <v>13</v>
      </c>
      <c r="C3790" t="s">
        <v>197</v>
      </c>
      <c r="D3790" t="s">
        <v>74</v>
      </c>
      <c r="E3790" t="s">
        <v>88</v>
      </c>
      <c r="F3790" s="55">
        <v>107</v>
      </c>
      <c r="G3790" s="63">
        <v>6.9800000000000001E-2</v>
      </c>
    </row>
    <row r="3791" spans="1:7" x14ac:dyDescent="0.2">
      <c r="A3791" t="s">
        <v>89</v>
      </c>
      <c r="B3791" t="s">
        <v>142</v>
      </c>
      <c r="C3791" t="s">
        <v>197</v>
      </c>
      <c r="D3791" t="s">
        <v>74</v>
      </c>
      <c r="E3791" t="s">
        <v>75</v>
      </c>
      <c r="F3791" s="55">
        <v>100</v>
      </c>
      <c r="G3791" s="63">
        <v>6.8900000000000003E-2</v>
      </c>
    </row>
    <row r="3792" spans="1:7" x14ac:dyDescent="0.2">
      <c r="A3792" t="s">
        <v>89</v>
      </c>
      <c r="B3792" t="s">
        <v>142</v>
      </c>
      <c r="C3792" t="s">
        <v>197</v>
      </c>
      <c r="D3792" t="s">
        <v>74</v>
      </c>
      <c r="E3792" t="s">
        <v>76</v>
      </c>
      <c r="F3792" s="55">
        <v>96</v>
      </c>
      <c r="G3792" s="63">
        <v>9.9000000000000008E-3</v>
      </c>
    </row>
    <row r="3793" spans="1:7" x14ac:dyDescent="0.2">
      <c r="A3793" t="s">
        <v>89</v>
      </c>
      <c r="B3793" t="s">
        <v>142</v>
      </c>
      <c r="C3793" t="s">
        <v>197</v>
      </c>
      <c r="D3793" t="s">
        <v>74</v>
      </c>
      <c r="E3793" t="s">
        <v>77</v>
      </c>
      <c r="F3793" s="55">
        <v>107</v>
      </c>
      <c r="G3793" s="63">
        <v>2.69E-2</v>
      </c>
    </row>
    <row r="3794" spans="1:7" x14ac:dyDescent="0.2">
      <c r="A3794" t="s">
        <v>89</v>
      </c>
      <c r="B3794" t="s">
        <v>142</v>
      </c>
      <c r="C3794" t="s">
        <v>197</v>
      </c>
      <c r="D3794" t="s">
        <v>74</v>
      </c>
      <c r="E3794" t="s">
        <v>78</v>
      </c>
      <c r="F3794" s="55">
        <v>112</v>
      </c>
      <c r="G3794" s="63">
        <v>1.77E-2</v>
      </c>
    </row>
    <row r="3795" spans="1:7" x14ac:dyDescent="0.2">
      <c r="A3795" t="s">
        <v>89</v>
      </c>
      <c r="B3795" t="s">
        <v>142</v>
      </c>
      <c r="C3795" t="s">
        <v>197</v>
      </c>
      <c r="D3795" t="s">
        <v>74</v>
      </c>
      <c r="E3795" t="s">
        <v>79</v>
      </c>
      <c r="F3795" s="55">
        <v>102</v>
      </c>
      <c r="G3795" s="63">
        <v>4.1099999999999998E-2</v>
      </c>
    </row>
    <row r="3796" spans="1:7" x14ac:dyDescent="0.2">
      <c r="A3796" t="s">
        <v>89</v>
      </c>
      <c r="B3796" t="s">
        <v>142</v>
      </c>
      <c r="C3796" t="s">
        <v>197</v>
      </c>
      <c r="D3796" t="s">
        <v>74</v>
      </c>
      <c r="E3796" t="s">
        <v>80</v>
      </c>
      <c r="F3796" s="55">
        <v>70</v>
      </c>
      <c r="G3796" s="63">
        <v>1.49E-2</v>
      </c>
    </row>
    <row r="3797" spans="1:7" x14ac:dyDescent="0.2">
      <c r="A3797" t="s">
        <v>89</v>
      </c>
      <c r="B3797" t="s">
        <v>142</v>
      </c>
      <c r="C3797" t="s">
        <v>197</v>
      </c>
      <c r="D3797" t="s">
        <v>74</v>
      </c>
      <c r="E3797" t="s">
        <v>81</v>
      </c>
      <c r="F3797" s="55">
        <v>88</v>
      </c>
      <c r="G3797" s="63">
        <v>1.83E-2</v>
      </c>
    </row>
    <row r="3798" spans="1:7" x14ac:dyDescent="0.2">
      <c r="A3798" t="s">
        <v>89</v>
      </c>
      <c r="B3798" t="s">
        <v>142</v>
      </c>
      <c r="C3798" t="s">
        <v>197</v>
      </c>
      <c r="D3798" t="s">
        <v>74</v>
      </c>
      <c r="E3798" t="s">
        <v>82</v>
      </c>
      <c r="F3798" s="55">
        <v>105</v>
      </c>
      <c r="G3798" s="63">
        <v>3.3700000000000001E-2</v>
      </c>
    </row>
    <row r="3799" spans="1:7" x14ac:dyDescent="0.2">
      <c r="A3799" t="s">
        <v>89</v>
      </c>
      <c r="B3799" t="s">
        <v>142</v>
      </c>
      <c r="C3799" t="s">
        <v>197</v>
      </c>
      <c r="D3799" t="s">
        <v>74</v>
      </c>
      <c r="E3799" t="s">
        <v>83</v>
      </c>
      <c r="F3799" s="55">
        <v>109</v>
      </c>
      <c r="G3799" s="63">
        <v>8.5000000000000006E-3</v>
      </c>
    </row>
    <row r="3800" spans="1:7" x14ac:dyDescent="0.2">
      <c r="A3800" t="s">
        <v>89</v>
      </c>
      <c r="B3800" t="s">
        <v>142</v>
      </c>
      <c r="C3800" t="s">
        <v>197</v>
      </c>
      <c r="D3800" t="s">
        <v>74</v>
      </c>
      <c r="E3800" t="s">
        <v>84</v>
      </c>
      <c r="F3800" s="55">
        <v>111</v>
      </c>
      <c r="G3800" s="63">
        <v>1.61E-2</v>
      </c>
    </row>
    <row r="3801" spans="1:7" x14ac:dyDescent="0.2">
      <c r="A3801" t="s">
        <v>89</v>
      </c>
      <c r="B3801" t="s">
        <v>142</v>
      </c>
      <c r="C3801" t="s">
        <v>197</v>
      </c>
      <c r="D3801" t="s">
        <v>74</v>
      </c>
      <c r="E3801" t="s">
        <v>85</v>
      </c>
      <c r="F3801" s="55">
        <v>77</v>
      </c>
      <c r="G3801" s="63">
        <v>1.37E-2</v>
      </c>
    </row>
    <row r="3802" spans="1:7" x14ac:dyDescent="0.2">
      <c r="A3802" t="s">
        <v>89</v>
      </c>
      <c r="B3802" t="s">
        <v>142</v>
      </c>
      <c r="C3802" t="s">
        <v>197</v>
      </c>
      <c r="D3802" t="s">
        <v>74</v>
      </c>
      <c r="E3802" t="s">
        <v>86</v>
      </c>
      <c r="F3802" s="55">
        <v>91</v>
      </c>
      <c r="G3802" s="63">
        <v>1.9599999999999999E-2</v>
      </c>
    </row>
    <row r="3803" spans="1:7" x14ac:dyDescent="0.2">
      <c r="A3803" t="s">
        <v>89</v>
      </c>
      <c r="B3803" t="s">
        <v>142</v>
      </c>
      <c r="C3803" t="s">
        <v>197</v>
      </c>
      <c r="D3803" t="s">
        <v>74</v>
      </c>
      <c r="E3803" t="s">
        <v>87</v>
      </c>
      <c r="F3803" s="55">
        <v>112</v>
      </c>
      <c r="G3803" s="63">
        <v>2.06E-2</v>
      </c>
    </row>
    <row r="3804" spans="1:7" x14ac:dyDescent="0.2">
      <c r="A3804" t="s">
        <v>89</v>
      </c>
      <c r="B3804" t="s">
        <v>142</v>
      </c>
      <c r="C3804" t="s">
        <v>197</v>
      </c>
      <c r="D3804" t="s">
        <v>74</v>
      </c>
      <c r="E3804" t="s">
        <v>88</v>
      </c>
      <c r="F3804" s="55">
        <v>100</v>
      </c>
      <c r="G3804" s="63">
        <v>1.6299999999999999E-2</v>
      </c>
    </row>
    <row r="3805" spans="1:7" x14ac:dyDescent="0.2">
      <c r="A3805" t="s">
        <v>89</v>
      </c>
      <c r="B3805" t="s">
        <v>143</v>
      </c>
      <c r="C3805" t="s">
        <v>197</v>
      </c>
      <c r="D3805" t="s">
        <v>74</v>
      </c>
      <c r="E3805" t="s">
        <v>75</v>
      </c>
      <c r="F3805" s="55">
        <v>120</v>
      </c>
      <c r="G3805" s="63">
        <v>0.23849999999999999</v>
      </c>
    </row>
    <row r="3806" spans="1:7" x14ac:dyDescent="0.2">
      <c r="A3806" t="s">
        <v>89</v>
      </c>
      <c r="B3806" t="s">
        <v>143</v>
      </c>
      <c r="C3806" t="s">
        <v>197</v>
      </c>
      <c r="D3806" t="s">
        <v>74</v>
      </c>
      <c r="E3806" t="s">
        <v>76</v>
      </c>
      <c r="F3806" s="55">
        <v>122</v>
      </c>
      <c r="G3806" s="63">
        <v>4.2200000000000001E-2</v>
      </c>
    </row>
    <row r="3807" spans="1:7" x14ac:dyDescent="0.2">
      <c r="A3807" t="s">
        <v>89</v>
      </c>
      <c r="B3807" t="s">
        <v>143</v>
      </c>
      <c r="C3807" t="s">
        <v>197</v>
      </c>
      <c r="D3807" t="s">
        <v>74</v>
      </c>
      <c r="E3807" t="s">
        <v>77</v>
      </c>
      <c r="F3807" s="55">
        <v>122</v>
      </c>
      <c r="G3807" s="63">
        <v>0.1016</v>
      </c>
    </row>
    <row r="3808" spans="1:7" x14ac:dyDescent="0.2">
      <c r="A3808" t="s">
        <v>89</v>
      </c>
      <c r="B3808" t="s">
        <v>143</v>
      </c>
      <c r="C3808" t="s">
        <v>197</v>
      </c>
      <c r="D3808" t="s">
        <v>74</v>
      </c>
      <c r="E3808" t="s">
        <v>78</v>
      </c>
      <c r="F3808" s="55">
        <v>115</v>
      </c>
      <c r="G3808" s="63">
        <v>8.8099999999999998E-2</v>
      </c>
    </row>
    <row r="3809" spans="1:7" x14ac:dyDescent="0.2">
      <c r="A3809" t="s">
        <v>89</v>
      </c>
      <c r="B3809" t="s">
        <v>143</v>
      </c>
      <c r="C3809" t="s">
        <v>197</v>
      </c>
      <c r="D3809" t="s">
        <v>74</v>
      </c>
      <c r="E3809" t="s">
        <v>79</v>
      </c>
      <c r="F3809" s="55">
        <v>126</v>
      </c>
      <c r="G3809" s="63">
        <v>0.1696</v>
      </c>
    </row>
    <row r="3810" spans="1:7" x14ac:dyDescent="0.2">
      <c r="A3810" t="s">
        <v>89</v>
      </c>
      <c r="B3810" t="s">
        <v>143</v>
      </c>
      <c r="C3810" t="s">
        <v>197</v>
      </c>
      <c r="D3810" t="s">
        <v>74</v>
      </c>
      <c r="E3810" t="s">
        <v>80</v>
      </c>
      <c r="F3810" s="55">
        <v>119</v>
      </c>
      <c r="G3810" s="63">
        <v>6.7199999999999996E-2</v>
      </c>
    </row>
    <row r="3811" spans="1:7" x14ac:dyDescent="0.2">
      <c r="A3811" t="s">
        <v>89</v>
      </c>
      <c r="B3811" t="s">
        <v>143</v>
      </c>
      <c r="C3811" t="s">
        <v>197</v>
      </c>
      <c r="D3811" t="s">
        <v>74</v>
      </c>
      <c r="E3811" t="s">
        <v>81</v>
      </c>
      <c r="F3811" s="55">
        <v>116</v>
      </c>
      <c r="G3811" s="63">
        <v>7.0000000000000007E-2</v>
      </c>
    </row>
    <row r="3812" spans="1:7" x14ac:dyDescent="0.2">
      <c r="A3812" t="s">
        <v>89</v>
      </c>
      <c r="B3812" t="s">
        <v>143</v>
      </c>
      <c r="C3812" t="s">
        <v>197</v>
      </c>
      <c r="D3812" t="s">
        <v>74</v>
      </c>
      <c r="E3812" t="s">
        <v>82</v>
      </c>
      <c r="F3812" s="55">
        <v>119</v>
      </c>
      <c r="G3812" s="63">
        <v>0.13469999999999999</v>
      </c>
    </row>
    <row r="3813" spans="1:7" x14ac:dyDescent="0.2">
      <c r="A3813" t="s">
        <v>89</v>
      </c>
      <c r="B3813" t="s">
        <v>143</v>
      </c>
      <c r="C3813" t="s">
        <v>197</v>
      </c>
      <c r="D3813" t="s">
        <v>74</v>
      </c>
      <c r="E3813" t="s">
        <v>83</v>
      </c>
      <c r="F3813" s="55">
        <v>115</v>
      </c>
      <c r="G3813" s="63">
        <v>3.9300000000000002E-2</v>
      </c>
    </row>
    <row r="3814" spans="1:7" x14ac:dyDescent="0.2">
      <c r="A3814" t="s">
        <v>89</v>
      </c>
      <c r="B3814" t="s">
        <v>143</v>
      </c>
      <c r="C3814" t="s">
        <v>197</v>
      </c>
      <c r="D3814" t="s">
        <v>74</v>
      </c>
      <c r="E3814" t="s">
        <v>84</v>
      </c>
      <c r="F3814" s="55">
        <v>115</v>
      </c>
      <c r="G3814" s="63">
        <v>7.22E-2</v>
      </c>
    </row>
    <row r="3815" spans="1:7" x14ac:dyDescent="0.2">
      <c r="A3815" t="s">
        <v>89</v>
      </c>
      <c r="B3815" t="s">
        <v>143</v>
      </c>
      <c r="C3815" t="s">
        <v>197</v>
      </c>
      <c r="D3815" t="s">
        <v>74</v>
      </c>
      <c r="E3815" t="s">
        <v>85</v>
      </c>
      <c r="F3815" s="55">
        <v>125</v>
      </c>
      <c r="G3815" s="63">
        <v>7.3599999999999999E-2</v>
      </c>
    </row>
    <row r="3816" spans="1:7" x14ac:dyDescent="0.2">
      <c r="A3816" t="s">
        <v>89</v>
      </c>
      <c r="B3816" t="s">
        <v>143</v>
      </c>
      <c r="C3816" t="s">
        <v>197</v>
      </c>
      <c r="D3816" t="s">
        <v>74</v>
      </c>
      <c r="E3816" t="s">
        <v>86</v>
      </c>
      <c r="F3816" s="55">
        <v>128</v>
      </c>
      <c r="G3816" s="63">
        <v>9.7000000000000003E-2</v>
      </c>
    </row>
    <row r="3817" spans="1:7" x14ac:dyDescent="0.2">
      <c r="A3817" t="s">
        <v>89</v>
      </c>
      <c r="B3817" t="s">
        <v>143</v>
      </c>
      <c r="C3817" t="s">
        <v>197</v>
      </c>
      <c r="D3817" t="s">
        <v>74</v>
      </c>
      <c r="E3817" t="s">
        <v>87</v>
      </c>
      <c r="F3817" s="55">
        <v>129</v>
      </c>
      <c r="G3817" s="63">
        <v>0.109</v>
      </c>
    </row>
    <row r="3818" spans="1:7" x14ac:dyDescent="0.2">
      <c r="A3818" t="s">
        <v>89</v>
      </c>
      <c r="B3818" t="s">
        <v>143</v>
      </c>
      <c r="C3818" t="s">
        <v>197</v>
      </c>
      <c r="D3818" t="s">
        <v>74</v>
      </c>
      <c r="E3818" t="s">
        <v>88</v>
      </c>
      <c r="F3818" s="55">
        <v>118</v>
      </c>
      <c r="G3818" s="63">
        <v>6.0600000000000001E-2</v>
      </c>
    </row>
    <row r="3819" spans="1:7" x14ac:dyDescent="0.2">
      <c r="A3819" t="s">
        <v>71</v>
      </c>
      <c r="B3819" t="s">
        <v>144</v>
      </c>
      <c r="C3819" t="s">
        <v>197</v>
      </c>
      <c r="D3819" t="s">
        <v>74</v>
      </c>
      <c r="E3819" t="s">
        <v>75</v>
      </c>
      <c r="F3819" s="55">
        <v>94</v>
      </c>
      <c r="G3819" s="63">
        <v>0.20930000000000001</v>
      </c>
    </row>
    <row r="3820" spans="1:7" x14ac:dyDescent="0.2">
      <c r="A3820" t="s">
        <v>71</v>
      </c>
      <c r="B3820" t="s">
        <v>144</v>
      </c>
      <c r="C3820" t="s">
        <v>197</v>
      </c>
      <c r="D3820" t="s">
        <v>74</v>
      </c>
      <c r="E3820" t="s">
        <v>76</v>
      </c>
      <c r="F3820" s="55">
        <v>103</v>
      </c>
      <c r="G3820" s="63">
        <v>3.1199999999999999E-2</v>
      </c>
    </row>
    <row r="3821" spans="1:7" x14ac:dyDescent="0.2">
      <c r="A3821" t="s">
        <v>71</v>
      </c>
      <c r="B3821" t="s">
        <v>144</v>
      </c>
      <c r="C3821" t="s">
        <v>197</v>
      </c>
      <c r="D3821" t="s">
        <v>74</v>
      </c>
      <c r="E3821" t="s">
        <v>77</v>
      </c>
      <c r="F3821" s="55">
        <v>92</v>
      </c>
      <c r="G3821" s="63">
        <v>7.8399999999999997E-2</v>
      </c>
    </row>
    <row r="3822" spans="1:7" x14ac:dyDescent="0.2">
      <c r="A3822" t="s">
        <v>71</v>
      </c>
      <c r="B3822" t="s">
        <v>144</v>
      </c>
      <c r="C3822" t="s">
        <v>197</v>
      </c>
      <c r="D3822" t="s">
        <v>74</v>
      </c>
      <c r="E3822" t="s">
        <v>78</v>
      </c>
      <c r="F3822" s="55">
        <v>100</v>
      </c>
      <c r="G3822" s="63">
        <v>5.2400000000000002E-2</v>
      </c>
    </row>
    <row r="3823" spans="1:7" x14ac:dyDescent="0.2">
      <c r="A3823" t="s">
        <v>71</v>
      </c>
      <c r="B3823" t="s">
        <v>144</v>
      </c>
      <c r="C3823" t="s">
        <v>197</v>
      </c>
      <c r="D3823" t="s">
        <v>74</v>
      </c>
      <c r="E3823" t="s">
        <v>79</v>
      </c>
      <c r="F3823" s="55">
        <v>93</v>
      </c>
      <c r="G3823" s="63">
        <v>0.1308</v>
      </c>
    </row>
    <row r="3824" spans="1:7" x14ac:dyDescent="0.2">
      <c r="A3824" t="s">
        <v>71</v>
      </c>
      <c r="B3824" t="s">
        <v>144</v>
      </c>
      <c r="C3824" t="s">
        <v>197</v>
      </c>
      <c r="D3824" t="s">
        <v>74</v>
      </c>
      <c r="E3824" t="s">
        <v>80</v>
      </c>
      <c r="F3824" s="55">
        <v>92</v>
      </c>
      <c r="G3824" s="63">
        <v>5.2900000000000003E-2</v>
      </c>
    </row>
    <row r="3825" spans="1:7" x14ac:dyDescent="0.2">
      <c r="A3825" t="s">
        <v>71</v>
      </c>
      <c r="B3825" t="s">
        <v>144</v>
      </c>
      <c r="C3825" t="s">
        <v>197</v>
      </c>
      <c r="D3825" t="s">
        <v>74</v>
      </c>
      <c r="E3825" t="s">
        <v>81</v>
      </c>
      <c r="F3825" s="55">
        <v>93</v>
      </c>
      <c r="G3825" s="63">
        <v>5.8900000000000001E-2</v>
      </c>
    </row>
    <row r="3826" spans="1:7" x14ac:dyDescent="0.2">
      <c r="A3826" t="s">
        <v>71</v>
      </c>
      <c r="B3826" t="s">
        <v>144</v>
      </c>
      <c r="C3826" t="s">
        <v>197</v>
      </c>
      <c r="D3826" t="s">
        <v>74</v>
      </c>
      <c r="E3826" t="s">
        <v>82</v>
      </c>
      <c r="F3826" s="55">
        <v>92</v>
      </c>
      <c r="G3826" s="63">
        <v>9.7299999999999998E-2</v>
      </c>
    </row>
    <row r="3827" spans="1:7" x14ac:dyDescent="0.2">
      <c r="A3827" t="s">
        <v>71</v>
      </c>
      <c r="B3827" t="s">
        <v>144</v>
      </c>
      <c r="C3827" t="s">
        <v>197</v>
      </c>
      <c r="D3827" t="s">
        <v>74</v>
      </c>
      <c r="E3827" t="s">
        <v>83</v>
      </c>
      <c r="F3827" s="55">
        <v>101</v>
      </c>
      <c r="G3827" s="63">
        <v>2.8400000000000002E-2</v>
      </c>
    </row>
    <row r="3828" spans="1:7" x14ac:dyDescent="0.2">
      <c r="A3828" t="s">
        <v>71</v>
      </c>
      <c r="B3828" t="s">
        <v>144</v>
      </c>
      <c r="C3828" t="s">
        <v>197</v>
      </c>
      <c r="D3828" t="s">
        <v>74</v>
      </c>
      <c r="E3828" t="s">
        <v>84</v>
      </c>
      <c r="F3828" s="55">
        <v>100</v>
      </c>
      <c r="G3828" s="63">
        <v>4.2700000000000002E-2</v>
      </c>
    </row>
    <row r="3829" spans="1:7" x14ac:dyDescent="0.2">
      <c r="A3829" t="s">
        <v>71</v>
      </c>
      <c r="B3829" t="s">
        <v>144</v>
      </c>
      <c r="C3829" t="s">
        <v>197</v>
      </c>
      <c r="D3829" t="s">
        <v>74</v>
      </c>
      <c r="E3829" t="s">
        <v>85</v>
      </c>
      <c r="F3829" s="55">
        <v>94</v>
      </c>
      <c r="G3829" s="63">
        <v>5.5100000000000003E-2</v>
      </c>
    </row>
    <row r="3830" spans="1:7" x14ac:dyDescent="0.2">
      <c r="A3830" t="s">
        <v>71</v>
      </c>
      <c r="B3830" t="s">
        <v>144</v>
      </c>
      <c r="C3830" t="s">
        <v>197</v>
      </c>
      <c r="D3830" t="s">
        <v>74</v>
      </c>
      <c r="E3830" t="s">
        <v>86</v>
      </c>
      <c r="F3830" s="55">
        <v>91</v>
      </c>
      <c r="G3830" s="63">
        <v>6.5199999999999994E-2</v>
      </c>
    </row>
    <row r="3831" spans="1:7" x14ac:dyDescent="0.2">
      <c r="A3831" t="s">
        <v>71</v>
      </c>
      <c r="B3831" t="s">
        <v>144</v>
      </c>
      <c r="C3831" t="s">
        <v>197</v>
      </c>
      <c r="D3831" t="s">
        <v>74</v>
      </c>
      <c r="E3831" t="s">
        <v>87</v>
      </c>
      <c r="F3831" s="55">
        <v>92</v>
      </c>
      <c r="G3831" s="63">
        <v>6.5600000000000006E-2</v>
      </c>
    </row>
    <row r="3832" spans="1:7" x14ac:dyDescent="0.2">
      <c r="A3832" t="s">
        <v>71</v>
      </c>
      <c r="B3832" t="s">
        <v>144</v>
      </c>
      <c r="C3832" t="s">
        <v>197</v>
      </c>
      <c r="D3832" t="s">
        <v>74</v>
      </c>
      <c r="E3832" t="s">
        <v>88</v>
      </c>
      <c r="F3832" s="55">
        <v>101</v>
      </c>
      <c r="G3832" s="63">
        <v>4.9500000000000002E-2</v>
      </c>
    </row>
    <row r="3833" spans="1:7" x14ac:dyDescent="0.2">
      <c r="A3833" t="s">
        <v>71</v>
      </c>
      <c r="B3833" t="s">
        <v>201</v>
      </c>
      <c r="C3833" t="s">
        <v>197</v>
      </c>
      <c r="D3833" t="s">
        <v>74</v>
      </c>
      <c r="E3833" t="s">
        <v>75</v>
      </c>
      <c r="F3833" s="55">
        <v>23</v>
      </c>
      <c r="G3833" s="63">
        <v>5.7000000000000002E-3</v>
      </c>
    </row>
    <row r="3834" spans="1:7" x14ac:dyDescent="0.2">
      <c r="A3834" t="s">
        <v>71</v>
      </c>
      <c r="B3834" t="s">
        <v>14</v>
      </c>
      <c r="C3834" t="s">
        <v>197</v>
      </c>
      <c r="D3834" t="s">
        <v>74</v>
      </c>
      <c r="E3834" t="s">
        <v>75</v>
      </c>
      <c r="F3834" s="55">
        <v>105</v>
      </c>
      <c r="G3834" s="63">
        <v>0.3649</v>
      </c>
    </row>
    <row r="3835" spans="1:7" x14ac:dyDescent="0.2">
      <c r="A3835" t="s">
        <v>71</v>
      </c>
      <c r="B3835" t="s">
        <v>14</v>
      </c>
      <c r="C3835" t="s">
        <v>197</v>
      </c>
      <c r="D3835" t="s">
        <v>74</v>
      </c>
      <c r="E3835" t="s">
        <v>76</v>
      </c>
      <c r="F3835" s="55">
        <v>109</v>
      </c>
      <c r="G3835" s="63">
        <v>5.91E-2</v>
      </c>
    </row>
    <row r="3836" spans="1:7" x14ac:dyDescent="0.2">
      <c r="A3836" t="s">
        <v>71</v>
      </c>
      <c r="B3836" t="s">
        <v>14</v>
      </c>
      <c r="C3836" t="s">
        <v>197</v>
      </c>
      <c r="D3836" t="s">
        <v>74</v>
      </c>
      <c r="E3836" t="s">
        <v>77</v>
      </c>
      <c r="F3836" s="55">
        <v>109</v>
      </c>
      <c r="G3836" s="63">
        <v>0.16800000000000001</v>
      </c>
    </row>
    <row r="3837" spans="1:7" x14ac:dyDescent="0.2">
      <c r="A3837" t="s">
        <v>71</v>
      </c>
      <c r="B3837" t="s">
        <v>14</v>
      </c>
      <c r="C3837" t="s">
        <v>197</v>
      </c>
      <c r="D3837" t="s">
        <v>74</v>
      </c>
      <c r="E3837" t="s">
        <v>78</v>
      </c>
      <c r="F3837" s="55">
        <v>108</v>
      </c>
      <c r="G3837" s="63">
        <v>0.1487</v>
      </c>
    </row>
    <row r="3838" spans="1:7" x14ac:dyDescent="0.2">
      <c r="A3838" t="s">
        <v>71</v>
      </c>
      <c r="B3838" t="s">
        <v>14</v>
      </c>
      <c r="C3838" t="s">
        <v>197</v>
      </c>
      <c r="D3838" t="s">
        <v>74</v>
      </c>
      <c r="E3838" t="s">
        <v>79</v>
      </c>
      <c r="F3838" s="55">
        <v>105</v>
      </c>
      <c r="G3838" s="63">
        <v>0.28110000000000002</v>
      </c>
    </row>
    <row r="3839" spans="1:7" x14ac:dyDescent="0.2">
      <c r="A3839" t="s">
        <v>71</v>
      </c>
      <c r="B3839" t="s">
        <v>14</v>
      </c>
      <c r="C3839" t="s">
        <v>197</v>
      </c>
      <c r="D3839" t="s">
        <v>74</v>
      </c>
      <c r="E3839" t="s">
        <v>80</v>
      </c>
      <c r="F3839" s="55">
        <v>103</v>
      </c>
      <c r="G3839" s="63">
        <v>0.13439999999999999</v>
      </c>
    </row>
    <row r="3840" spans="1:7" x14ac:dyDescent="0.2">
      <c r="A3840" t="s">
        <v>71</v>
      </c>
      <c r="B3840" t="s">
        <v>14</v>
      </c>
      <c r="C3840" t="s">
        <v>197</v>
      </c>
      <c r="D3840" t="s">
        <v>74</v>
      </c>
      <c r="E3840" t="s">
        <v>81</v>
      </c>
      <c r="F3840" s="55">
        <v>107</v>
      </c>
      <c r="G3840" s="63">
        <v>0.12139999999999999</v>
      </c>
    </row>
    <row r="3841" spans="1:7" x14ac:dyDescent="0.2">
      <c r="A3841" t="s">
        <v>71</v>
      </c>
      <c r="B3841" t="s">
        <v>14</v>
      </c>
      <c r="C3841" t="s">
        <v>197</v>
      </c>
      <c r="D3841" t="s">
        <v>74</v>
      </c>
      <c r="E3841" t="s">
        <v>82</v>
      </c>
      <c r="F3841" s="55">
        <v>101</v>
      </c>
      <c r="G3841" s="63">
        <v>0.2165</v>
      </c>
    </row>
    <row r="3842" spans="1:7" x14ac:dyDescent="0.2">
      <c r="A3842" t="s">
        <v>71</v>
      </c>
      <c r="B3842" t="s">
        <v>14</v>
      </c>
      <c r="C3842" t="s">
        <v>197</v>
      </c>
      <c r="D3842" t="s">
        <v>74</v>
      </c>
      <c r="E3842" t="s">
        <v>83</v>
      </c>
      <c r="F3842" s="55">
        <v>108</v>
      </c>
      <c r="G3842" s="63">
        <v>5.8000000000000003E-2</v>
      </c>
    </row>
    <row r="3843" spans="1:7" x14ac:dyDescent="0.2">
      <c r="A3843" t="s">
        <v>71</v>
      </c>
      <c r="B3843" t="s">
        <v>14</v>
      </c>
      <c r="C3843" t="s">
        <v>197</v>
      </c>
      <c r="D3843" t="s">
        <v>74</v>
      </c>
      <c r="E3843" t="s">
        <v>84</v>
      </c>
      <c r="F3843" s="55">
        <v>110</v>
      </c>
      <c r="G3843" s="63">
        <v>0.1265</v>
      </c>
    </row>
    <row r="3844" spans="1:7" x14ac:dyDescent="0.2">
      <c r="A3844" t="s">
        <v>71</v>
      </c>
      <c r="B3844" t="s">
        <v>14</v>
      </c>
      <c r="C3844" t="s">
        <v>197</v>
      </c>
      <c r="D3844" t="s">
        <v>74</v>
      </c>
      <c r="E3844" t="s">
        <v>85</v>
      </c>
      <c r="F3844" s="55">
        <v>105</v>
      </c>
      <c r="G3844" s="63">
        <v>0.14810000000000001</v>
      </c>
    </row>
    <row r="3845" spans="1:7" x14ac:dyDescent="0.2">
      <c r="A3845" t="s">
        <v>71</v>
      </c>
      <c r="B3845" t="s">
        <v>14</v>
      </c>
      <c r="C3845" t="s">
        <v>197</v>
      </c>
      <c r="D3845" t="s">
        <v>74</v>
      </c>
      <c r="E3845" t="s">
        <v>86</v>
      </c>
      <c r="F3845" s="55">
        <v>105</v>
      </c>
      <c r="G3845" s="63">
        <v>0.18099999999999999</v>
      </c>
    </row>
    <row r="3846" spans="1:7" x14ac:dyDescent="0.2">
      <c r="A3846" t="s">
        <v>71</v>
      </c>
      <c r="B3846" t="s">
        <v>14</v>
      </c>
      <c r="C3846" t="s">
        <v>197</v>
      </c>
      <c r="D3846" t="s">
        <v>74</v>
      </c>
      <c r="E3846" t="s">
        <v>87</v>
      </c>
      <c r="F3846" s="55">
        <v>106</v>
      </c>
      <c r="G3846" s="63">
        <v>0.1951</v>
      </c>
    </row>
    <row r="3847" spans="1:7" x14ac:dyDescent="0.2">
      <c r="A3847" t="s">
        <v>71</v>
      </c>
      <c r="B3847" t="s">
        <v>14</v>
      </c>
      <c r="C3847" t="s">
        <v>197</v>
      </c>
      <c r="D3847" t="s">
        <v>74</v>
      </c>
      <c r="E3847" t="s">
        <v>88</v>
      </c>
      <c r="F3847" s="55">
        <v>107</v>
      </c>
      <c r="G3847" s="63">
        <v>0.09</v>
      </c>
    </row>
    <row r="3848" spans="1:7" x14ac:dyDescent="0.2">
      <c r="A3848" t="s">
        <v>89</v>
      </c>
      <c r="B3848" t="s">
        <v>145</v>
      </c>
      <c r="C3848" t="s">
        <v>197</v>
      </c>
      <c r="D3848" t="s">
        <v>74</v>
      </c>
      <c r="E3848" t="s">
        <v>75</v>
      </c>
      <c r="F3848" s="55">
        <v>97</v>
      </c>
      <c r="G3848" s="63">
        <v>9.8900000000000002E-2</v>
      </c>
    </row>
    <row r="3849" spans="1:7" x14ac:dyDescent="0.2">
      <c r="A3849" t="s">
        <v>89</v>
      </c>
      <c r="B3849" t="s">
        <v>145</v>
      </c>
      <c r="C3849" t="s">
        <v>197</v>
      </c>
      <c r="D3849" t="s">
        <v>74</v>
      </c>
      <c r="E3849" t="s">
        <v>76</v>
      </c>
      <c r="F3849" s="55">
        <v>91</v>
      </c>
      <c r="G3849" s="63">
        <v>1.4200000000000001E-2</v>
      </c>
    </row>
    <row r="3850" spans="1:7" x14ac:dyDescent="0.2">
      <c r="A3850" t="s">
        <v>89</v>
      </c>
      <c r="B3850" t="s">
        <v>145</v>
      </c>
      <c r="C3850" t="s">
        <v>197</v>
      </c>
      <c r="D3850" t="s">
        <v>74</v>
      </c>
      <c r="E3850" t="s">
        <v>77</v>
      </c>
      <c r="F3850" s="55">
        <v>96</v>
      </c>
      <c r="G3850" s="63">
        <v>3.5900000000000001E-2</v>
      </c>
    </row>
    <row r="3851" spans="1:7" x14ac:dyDescent="0.2">
      <c r="A3851" t="s">
        <v>89</v>
      </c>
      <c r="B3851" t="s">
        <v>145</v>
      </c>
      <c r="C3851" t="s">
        <v>197</v>
      </c>
      <c r="D3851" t="s">
        <v>74</v>
      </c>
      <c r="E3851" t="s">
        <v>78</v>
      </c>
      <c r="F3851" s="55">
        <v>101</v>
      </c>
      <c r="G3851" s="63">
        <v>2.7199999999999998E-2</v>
      </c>
    </row>
    <row r="3852" spans="1:7" x14ac:dyDescent="0.2">
      <c r="A3852" t="s">
        <v>89</v>
      </c>
      <c r="B3852" t="s">
        <v>145</v>
      </c>
      <c r="C3852" t="s">
        <v>197</v>
      </c>
      <c r="D3852" t="s">
        <v>74</v>
      </c>
      <c r="E3852" t="s">
        <v>79</v>
      </c>
      <c r="F3852" s="55">
        <v>101</v>
      </c>
      <c r="G3852" s="63">
        <v>6.1800000000000001E-2</v>
      </c>
    </row>
    <row r="3853" spans="1:7" x14ac:dyDescent="0.2">
      <c r="A3853" t="s">
        <v>89</v>
      </c>
      <c r="B3853" t="s">
        <v>145</v>
      </c>
      <c r="C3853" t="s">
        <v>197</v>
      </c>
      <c r="D3853" t="s">
        <v>74</v>
      </c>
      <c r="E3853" t="s">
        <v>80</v>
      </c>
      <c r="F3853" s="55">
        <v>94</v>
      </c>
      <c r="G3853" s="63">
        <v>3.09E-2</v>
      </c>
    </row>
    <row r="3854" spans="1:7" x14ac:dyDescent="0.2">
      <c r="A3854" t="s">
        <v>89</v>
      </c>
      <c r="B3854" t="s">
        <v>145</v>
      </c>
      <c r="C3854" t="s">
        <v>197</v>
      </c>
      <c r="D3854" t="s">
        <v>74</v>
      </c>
      <c r="E3854" t="s">
        <v>81</v>
      </c>
      <c r="F3854" s="55">
        <v>86</v>
      </c>
      <c r="G3854" s="63">
        <v>3.2000000000000001E-2</v>
      </c>
    </row>
    <row r="3855" spans="1:7" x14ac:dyDescent="0.2">
      <c r="A3855" t="s">
        <v>89</v>
      </c>
      <c r="B3855" t="s">
        <v>145</v>
      </c>
      <c r="C3855" t="s">
        <v>197</v>
      </c>
      <c r="D3855" t="s">
        <v>74</v>
      </c>
      <c r="E3855" t="s">
        <v>82</v>
      </c>
      <c r="F3855" s="55">
        <v>102</v>
      </c>
      <c r="G3855" s="63">
        <v>4.3799999999999999E-2</v>
      </c>
    </row>
    <row r="3856" spans="1:7" x14ac:dyDescent="0.2">
      <c r="A3856" t="s">
        <v>89</v>
      </c>
      <c r="B3856" t="s">
        <v>145</v>
      </c>
      <c r="C3856" t="s">
        <v>197</v>
      </c>
      <c r="D3856" t="s">
        <v>74</v>
      </c>
      <c r="E3856" t="s">
        <v>83</v>
      </c>
      <c r="F3856" s="55">
        <v>75</v>
      </c>
      <c r="G3856" s="63">
        <v>1.24E-2</v>
      </c>
    </row>
    <row r="3857" spans="1:7" x14ac:dyDescent="0.2">
      <c r="A3857" t="s">
        <v>89</v>
      </c>
      <c r="B3857" t="s">
        <v>145</v>
      </c>
      <c r="C3857" t="s">
        <v>197</v>
      </c>
      <c r="D3857" t="s">
        <v>74</v>
      </c>
      <c r="E3857" t="s">
        <v>84</v>
      </c>
      <c r="F3857" s="55">
        <v>90</v>
      </c>
      <c r="G3857" s="63">
        <v>2.18E-2</v>
      </c>
    </row>
    <row r="3858" spans="1:7" x14ac:dyDescent="0.2">
      <c r="A3858" t="s">
        <v>89</v>
      </c>
      <c r="B3858" t="s">
        <v>145</v>
      </c>
      <c r="C3858" t="s">
        <v>197</v>
      </c>
      <c r="D3858" t="s">
        <v>74</v>
      </c>
      <c r="E3858" t="s">
        <v>85</v>
      </c>
      <c r="F3858" s="55">
        <v>97</v>
      </c>
      <c r="G3858" s="63">
        <v>3.0099999999999998E-2</v>
      </c>
    </row>
    <row r="3859" spans="1:7" x14ac:dyDescent="0.2">
      <c r="A3859" t="s">
        <v>89</v>
      </c>
      <c r="B3859" t="s">
        <v>145</v>
      </c>
      <c r="C3859" t="s">
        <v>197</v>
      </c>
      <c r="D3859" t="s">
        <v>74</v>
      </c>
      <c r="E3859" t="s">
        <v>86</v>
      </c>
      <c r="F3859" s="55">
        <v>97</v>
      </c>
      <c r="G3859" s="63">
        <v>3.2000000000000001E-2</v>
      </c>
    </row>
    <row r="3860" spans="1:7" x14ac:dyDescent="0.2">
      <c r="A3860" t="s">
        <v>89</v>
      </c>
      <c r="B3860" t="s">
        <v>145</v>
      </c>
      <c r="C3860" t="s">
        <v>197</v>
      </c>
      <c r="D3860" t="s">
        <v>74</v>
      </c>
      <c r="E3860" t="s">
        <v>87</v>
      </c>
      <c r="F3860" s="55">
        <v>99</v>
      </c>
      <c r="G3860" s="63">
        <v>3.3599999999999998E-2</v>
      </c>
    </row>
    <row r="3861" spans="1:7" x14ac:dyDescent="0.2">
      <c r="A3861" t="s">
        <v>89</v>
      </c>
      <c r="B3861" t="s">
        <v>145</v>
      </c>
      <c r="C3861" t="s">
        <v>197</v>
      </c>
      <c r="D3861" t="s">
        <v>74</v>
      </c>
      <c r="E3861" t="s">
        <v>88</v>
      </c>
      <c r="F3861" s="55">
        <v>90</v>
      </c>
      <c r="G3861" s="63">
        <v>2.52E-2</v>
      </c>
    </row>
    <row r="3862" spans="1:7" x14ac:dyDescent="0.2">
      <c r="A3862" t="s">
        <v>71</v>
      </c>
      <c r="B3862" t="s">
        <v>146</v>
      </c>
      <c r="C3862" t="s">
        <v>197</v>
      </c>
      <c r="D3862" t="s">
        <v>74</v>
      </c>
      <c r="E3862" t="s">
        <v>75</v>
      </c>
      <c r="F3862" s="55">
        <v>93</v>
      </c>
      <c r="G3862" s="63">
        <v>0.23139999999999999</v>
      </c>
    </row>
    <row r="3863" spans="1:7" x14ac:dyDescent="0.2">
      <c r="A3863" t="s">
        <v>71</v>
      </c>
      <c r="B3863" t="s">
        <v>146</v>
      </c>
      <c r="C3863" t="s">
        <v>197</v>
      </c>
      <c r="D3863" t="s">
        <v>74</v>
      </c>
      <c r="E3863" t="s">
        <v>76</v>
      </c>
      <c r="F3863" s="55">
        <v>86</v>
      </c>
      <c r="G3863" s="63">
        <v>3.9600000000000003E-2</v>
      </c>
    </row>
    <row r="3864" spans="1:7" x14ac:dyDescent="0.2">
      <c r="A3864" t="s">
        <v>71</v>
      </c>
      <c r="B3864" t="s">
        <v>146</v>
      </c>
      <c r="C3864" t="s">
        <v>197</v>
      </c>
      <c r="D3864" t="s">
        <v>74</v>
      </c>
      <c r="E3864" t="s">
        <v>77</v>
      </c>
      <c r="F3864" s="55">
        <v>101</v>
      </c>
      <c r="G3864" s="63">
        <v>9.6299999999999997E-2</v>
      </c>
    </row>
    <row r="3865" spans="1:7" x14ac:dyDescent="0.2">
      <c r="A3865" t="s">
        <v>71</v>
      </c>
      <c r="B3865" t="s">
        <v>146</v>
      </c>
      <c r="C3865" t="s">
        <v>197</v>
      </c>
      <c r="D3865" t="s">
        <v>74</v>
      </c>
      <c r="E3865" t="s">
        <v>78</v>
      </c>
      <c r="F3865" s="55">
        <v>102</v>
      </c>
      <c r="G3865" s="63">
        <v>7.7299999999999994E-2</v>
      </c>
    </row>
    <row r="3866" spans="1:7" x14ac:dyDescent="0.2">
      <c r="A3866" t="s">
        <v>71</v>
      </c>
      <c r="B3866" t="s">
        <v>146</v>
      </c>
      <c r="C3866" t="s">
        <v>197</v>
      </c>
      <c r="D3866" t="s">
        <v>74</v>
      </c>
      <c r="E3866" t="s">
        <v>79</v>
      </c>
      <c r="F3866" s="55">
        <v>90</v>
      </c>
      <c r="G3866" s="63">
        <v>0.1593</v>
      </c>
    </row>
    <row r="3867" spans="1:7" x14ac:dyDescent="0.2">
      <c r="A3867" t="s">
        <v>71</v>
      </c>
      <c r="B3867" t="s">
        <v>146</v>
      </c>
      <c r="C3867" t="s">
        <v>197</v>
      </c>
      <c r="D3867" t="s">
        <v>74</v>
      </c>
      <c r="E3867" t="s">
        <v>80</v>
      </c>
      <c r="F3867" s="55">
        <v>93</v>
      </c>
      <c r="G3867" s="63">
        <v>7.6300000000000007E-2</v>
      </c>
    </row>
    <row r="3868" spans="1:7" x14ac:dyDescent="0.2">
      <c r="A3868" t="s">
        <v>71</v>
      </c>
      <c r="B3868" t="s">
        <v>146</v>
      </c>
      <c r="C3868" t="s">
        <v>197</v>
      </c>
      <c r="D3868" t="s">
        <v>74</v>
      </c>
      <c r="E3868" t="s">
        <v>81</v>
      </c>
      <c r="F3868" s="55">
        <v>89</v>
      </c>
      <c r="G3868" s="63">
        <v>7.5399999999999995E-2</v>
      </c>
    </row>
    <row r="3869" spans="1:7" x14ac:dyDescent="0.2">
      <c r="A3869" t="s">
        <v>71</v>
      </c>
      <c r="B3869" t="s">
        <v>146</v>
      </c>
      <c r="C3869" t="s">
        <v>197</v>
      </c>
      <c r="D3869" t="s">
        <v>74</v>
      </c>
      <c r="E3869" t="s">
        <v>82</v>
      </c>
      <c r="F3869" s="55">
        <v>94</v>
      </c>
      <c r="G3869" s="63">
        <v>0.1154</v>
      </c>
    </row>
    <row r="3870" spans="1:7" x14ac:dyDescent="0.2">
      <c r="A3870" t="s">
        <v>71</v>
      </c>
      <c r="B3870" t="s">
        <v>146</v>
      </c>
      <c r="C3870" t="s">
        <v>197</v>
      </c>
      <c r="D3870" t="s">
        <v>74</v>
      </c>
      <c r="E3870" t="s">
        <v>83</v>
      </c>
      <c r="F3870" s="55">
        <v>80</v>
      </c>
      <c r="G3870" s="63">
        <v>3.78E-2</v>
      </c>
    </row>
    <row r="3871" spans="1:7" x14ac:dyDescent="0.2">
      <c r="A3871" t="s">
        <v>71</v>
      </c>
      <c r="B3871" t="s">
        <v>146</v>
      </c>
      <c r="C3871" t="s">
        <v>197</v>
      </c>
      <c r="D3871" t="s">
        <v>74</v>
      </c>
      <c r="E3871" t="s">
        <v>84</v>
      </c>
      <c r="F3871" s="55">
        <v>103</v>
      </c>
      <c r="G3871" s="63">
        <v>6.5600000000000006E-2</v>
      </c>
    </row>
    <row r="3872" spans="1:7" x14ac:dyDescent="0.2">
      <c r="A3872" t="s">
        <v>71</v>
      </c>
      <c r="B3872" t="s">
        <v>146</v>
      </c>
      <c r="C3872" t="s">
        <v>197</v>
      </c>
      <c r="D3872" t="s">
        <v>74</v>
      </c>
      <c r="E3872" t="s">
        <v>85</v>
      </c>
      <c r="F3872" s="55">
        <v>87</v>
      </c>
      <c r="G3872" s="63">
        <v>7.6700000000000004E-2</v>
      </c>
    </row>
    <row r="3873" spans="1:7" x14ac:dyDescent="0.2">
      <c r="A3873" t="s">
        <v>71</v>
      </c>
      <c r="B3873" t="s">
        <v>146</v>
      </c>
      <c r="C3873" t="s">
        <v>197</v>
      </c>
      <c r="D3873" t="s">
        <v>74</v>
      </c>
      <c r="E3873" t="s">
        <v>86</v>
      </c>
      <c r="F3873" s="55">
        <v>90</v>
      </c>
      <c r="G3873" s="63">
        <v>8.5099999999999995E-2</v>
      </c>
    </row>
    <row r="3874" spans="1:7" x14ac:dyDescent="0.2">
      <c r="A3874" t="s">
        <v>71</v>
      </c>
      <c r="B3874" t="s">
        <v>146</v>
      </c>
      <c r="C3874" t="s">
        <v>197</v>
      </c>
      <c r="D3874" t="s">
        <v>74</v>
      </c>
      <c r="E3874" t="s">
        <v>87</v>
      </c>
      <c r="F3874" s="55">
        <v>92</v>
      </c>
      <c r="G3874" s="63">
        <v>9.2200000000000004E-2</v>
      </c>
    </row>
    <row r="3875" spans="1:7" x14ac:dyDescent="0.2">
      <c r="A3875" t="s">
        <v>71</v>
      </c>
      <c r="B3875" t="s">
        <v>146</v>
      </c>
      <c r="C3875" t="s">
        <v>197</v>
      </c>
      <c r="D3875" t="s">
        <v>74</v>
      </c>
      <c r="E3875" t="s">
        <v>88</v>
      </c>
      <c r="F3875" s="55">
        <v>84</v>
      </c>
      <c r="G3875" s="63">
        <v>5.7700000000000001E-2</v>
      </c>
    </row>
    <row r="3876" spans="1:7" x14ac:dyDescent="0.2">
      <c r="A3876" t="s">
        <v>89</v>
      </c>
      <c r="B3876" t="s">
        <v>147</v>
      </c>
      <c r="C3876" t="s">
        <v>197</v>
      </c>
      <c r="D3876" t="s">
        <v>91</v>
      </c>
      <c r="E3876" t="s">
        <v>75</v>
      </c>
      <c r="F3876" s="55">
        <v>108</v>
      </c>
      <c r="G3876" s="63">
        <v>0.34420000000000001</v>
      </c>
    </row>
    <row r="3877" spans="1:7" x14ac:dyDescent="0.2">
      <c r="A3877" t="s">
        <v>89</v>
      </c>
      <c r="B3877" t="s">
        <v>147</v>
      </c>
      <c r="C3877" t="s">
        <v>197</v>
      </c>
      <c r="D3877" t="s">
        <v>91</v>
      </c>
      <c r="E3877" t="s">
        <v>76</v>
      </c>
      <c r="F3877" s="55">
        <v>96</v>
      </c>
      <c r="G3877" s="63">
        <v>4.7800000000000002E-2</v>
      </c>
    </row>
    <row r="3878" spans="1:7" x14ac:dyDescent="0.2">
      <c r="A3878" t="s">
        <v>89</v>
      </c>
      <c r="B3878" t="s">
        <v>147</v>
      </c>
      <c r="C3878" t="s">
        <v>197</v>
      </c>
      <c r="D3878" t="s">
        <v>91</v>
      </c>
      <c r="E3878" t="s">
        <v>77</v>
      </c>
      <c r="F3878" s="55">
        <v>104</v>
      </c>
      <c r="G3878" s="63">
        <v>0.1525</v>
      </c>
    </row>
    <row r="3879" spans="1:7" x14ac:dyDescent="0.2">
      <c r="A3879" t="s">
        <v>89</v>
      </c>
      <c r="B3879" t="s">
        <v>147</v>
      </c>
      <c r="C3879" t="s">
        <v>197</v>
      </c>
      <c r="D3879" t="s">
        <v>91</v>
      </c>
      <c r="E3879" t="s">
        <v>78</v>
      </c>
      <c r="F3879" s="55">
        <v>105</v>
      </c>
      <c r="G3879" s="63">
        <v>0.1242</v>
      </c>
    </row>
    <row r="3880" spans="1:7" x14ac:dyDescent="0.2">
      <c r="A3880" t="s">
        <v>89</v>
      </c>
      <c r="B3880" t="s">
        <v>147</v>
      </c>
      <c r="C3880" t="s">
        <v>197</v>
      </c>
      <c r="D3880" t="s">
        <v>91</v>
      </c>
      <c r="E3880" t="s">
        <v>79</v>
      </c>
      <c r="F3880" s="55">
        <v>109</v>
      </c>
      <c r="G3880" s="63">
        <v>0.25729999999999997</v>
      </c>
    </row>
    <row r="3881" spans="1:7" x14ac:dyDescent="0.2">
      <c r="A3881" t="s">
        <v>89</v>
      </c>
      <c r="B3881" t="s">
        <v>147</v>
      </c>
      <c r="C3881" t="s">
        <v>197</v>
      </c>
      <c r="D3881" t="s">
        <v>91</v>
      </c>
      <c r="E3881" t="s">
        <v>80</v>
      </c>
      <c r="F3881" s="55">
        <v>105</v>
      </c>
      <c r="G3881" s="63">
        <v>0.12039999999999999</v>
      </c>
    </row>
    <row r="3882" spans="1:7" x14ac:dyDescent="0.2">
      <c r="A3882" t="s">
        <v>89</v>
      </c>
      <c r="B3882" t="s">
        <v>147</v>
      </c>
      <c r="C3882" t="s">
        <v>197</v>
      </c>
      <c r="D3882" t="s">
        <v>91</v>
      </c>
      <c r="E3882" t="s">
        <v>81</v>
      </c>
      <c r="F3882" s="55">
        <v>102</v>
      </c>
      <c r="G3882" s="63">
        <v>0.10349999999999999</v>
      </c>
    </row>
    <row r="3883" spans="1:7" x14ac:dyDescent="0.2">
      <c r="A3883" t="s">
        <v>89</v>
      </c>
      <c r="B3883" t="s">
        <v>147</v>
      </c>
      <c r="C3883" t="s">
        <v>197</v>
      </c>
      <c r="D3883" t="s">
        <v>91</v>
      </c>
      <c r="E3883" t="s">
        <v>82</v>
      </c>
      <c r="F3883" s="55">
        <v>115</v>
      </c>
      <c r="G3883" s="63">
        <v>0.17780000000000001</v>
      </c>
    </row>
    <row r="3884" spans="1:7" x14ac:dyDescent="0.2">
      <c r="A3884" t="s">
        <v>89</v>
      </c>
      <c r="B3884" t="s">
        <v>147</v>
      </c>
      <c r="C3884" t="s">
        <v>197</v>
      </c>
      <c r="D3884" t="s">
        <v>91</v>
      </c>
      <c r="E3884" t="s">
        <v>83</v>
      </c>
      <c r="F3884" s="55">
        <v>92</v>
      </c>
      <c r="G3884" s="63">
        <v>3.5799999999999998E-2</v>
      </c>
    </row>
    <row r="3885" spans="1:7" x14ac:dyDescent="0.2">
      <c r="A3885" t="s">
        <v>89</v>
      </c>
      <c r="B3885" t="s">
        <v>147</v>
      </c>
      <c r="C3885" t="s">
        <v>197</v>
      </c>
      <c r="D3885" t="s">
        <v>91</v>
      </c>
      <c r="E3885" t="s">
        <v>84</v>
      </c>
      <c r="F3885" s="55">
        <v>107</v>
      </c>
      <c r="G3885" s="63">
        <v>0.1061</v>
      </c>
    </row>
    <row r="3886" spans="1:7" x14ac:dyDescent="0.2">
      <c r="A3886" t="s">
        <v>89</v>
      </c>
      <c r="B3886" t="s">
        <v>147</v>
      </c>
      <c r="C3886" t="s">
        <v>197</v>
      </c>
      <c r="D3886" t="s">
        <v>91</v>
      </c>
      <c r="E3886" t="s">
        <v>85</v>
      </c>
      <c r="F3886" s="55">
        <v>104</v>
      </c>
      <c r="G3886" s="63">
        <v>0.14080000000000001</v>
      </c>
    </row>
    <row r="3887" spans="1:7" x14ac:dyDescent="0.2">
      <c r="A3887" t="s">
        <v>89</v>
      </c>
      <c r="B3887" t="s">
        <v>147</v>
      </c>
      <c r="C3887" t="s">
        <v>197</v>
      </c>
      <c r="D3887" t="s">
        <v>91</v>
      </c>
      <c r="E3887" t="s">
        <v>86</v>
      </c>
      <c r="F3887" s="55">
        <v>109</v>
      </c>
      <c r="G3887" s="63">
        <v>0.1552</v>
      </c>
    </row>
    <row r="3888" spans="1:7" x14ac:dyDescent="0.2">
      <c r="A3888" t="s">
        <v>89</v>
      </c>
      <c r="B3888" t="s">
        <v>147</v>
      </c>
      <c r="C3888" t="s">
        <v>197</v>
      </c>
      <c r="D3888" t="s">
        <v>91</v>
      </c>
      <c r="E3888" t="s">
        <v>87</v>
      </c>
      <c r="F3888" s="55">
        <v>111</v>
      </c>
      <c r="G3888" s="63">
        <v>0.16420000000000001</v>
      </c>
    </row>
    <row r="3889" spans="1:7" x14ac:dyDescent="0.2">
      <c r="A3889" t="s">
        <v>89</v>
      </c>
      <c r="B3889" t="s">
        <v>147</v>
      </c>
      <c r="C3889" t="s">
        <v>197</v>
      </c>
      <c r="D3889" t="s">
        <v>91</v>
      </c>
      <c r="E3889" t="s">
        <v>88</v>
      </c>
      <c r="F3889" s="55">
        <v>97</v>
      </c>
      <c r="G3889" s="63">
        <v>7.5399999999999995E-2</v>
      </c>
    </row>
    <row r="3890" spans="1:7" x14ac:dyDescent="0.2">
      <c r="A3890" t="s">
        <v>71</v>
      </c>
      <c r="B3890" t="s">
        <v>148</v>
      </c>
      <c r="C3890" t="s">
        <v>197</v>
      </c>
      <c r="D3890" t="s">
        <v>74</v>
      </c>
      <c r="E3890" t="s">
        <v>75</v>
      </c>
      <c r="F3890" s="55">
        <v>68</v>
      </c>
      <c r="G3890" s="63">
        <v>0.14530000000000001</v>
      </c>
    </row>
    <row r="3891" spans="1:7" x14ac:dyDescent="0.2">
      <c r="A3891" t="s">
        <v>71</v>
      </c>
      <c r="B3891" t="s">
        <v>148</v>
      </c>
      <c r="C3891" t="s">
        <v>197</v>
      </c>
      <c r="D3891" t="s">
        <v>74</v>
      </c>
      <c r="E3891" t="s">
        <v>76</v>
      </c>
      <c r="F3891" s="55">
        <v>73</v>
      </c>
      <c r="G3891" s="63">
        <v>1.9300000000000001E-2</v>
      </c>
    </row>
    <row r="3892" spans="1:7" x14ac:dyDescent="0.2">
      <c r="A3892" t="s">
        <v>71</v>
      </c>
      <c r="B3892" t="s">
        <v>148</v>
      </c>
      <c r="C3892" t="s">
        <v>197</v>
      </c>
      <c r="D3892" t="s">
        <v>74</v>
      </c>
      <c r="E3892" t="s">
        <v>77</v>
      </c>
      <c r="F3892" s="55">
        <v>69</v>
      </c>
      <c r="G3892" s="63">
        <v>5.2299999999999999E-2</v>
      </c>
    </row>
    <row r="3893" spans="1:7" x14ac:dyDescent="0.2">
      <c r="A3893" t="s">
        <v>71</v>
      </c>
      <c r="B3893" t="s">
        <v>148</v>
      </c>
      <c r="C3893" t="s">
        <v>197</v>
      </c>
      <c r="D3893" t="s">
        <v>74</v>
      </c>
      <c r="E3893" t="s">
        <v>78</v>
      </c>
      <c r="F3893" s="55">
        <v>71</v>
      </c>
      <c r="G3893" s="63">
        <v>3.9899999999999998E-2</v>
      </c>
    </row>
    <row r="3894" spans="1:7" x14ac:dyDescent="0.2">
      <c r="A3894" t="s">
        <v>71</v>
      </c>
      <c r="B3894" t="s">
        <v>148</v>
      </c>
      <c r="C3894" t="s">
        <v>197</v>
      </c>
      <c r="D3894" t="s">
        <v>74</v>
      </c>
      <c r="E3894" t="s">
        <v>79</v>
      </c>
      <c r="F3894" s="55">
        <v>69</v>
      </c>
      <c r="G3894" s="63">
        <v>9.0499999999999997E-2</v>
      </c>
    </row>
    <row r="3895" spans="1:7" x14ac:dyDescent="0.2">
      <c r="A3895" t="s">
        <v>71</v>
      </c>
      <c r="B3895" t="s">
        <v>148</v>
      </c>
      <c r="C3895" t="s">
        <v>197</v>
      </c>
      <c r="D3895" t="s">
        <v>74</v>
      </c>
      <c r="E3895" t="s">
        <v>80</v>
      </c>
      <c r="F3895" s="55">
        <v>65</v>
      </c>
      <c r="G3895" s="63">
        <v>4.1399999999999999E-2</v>
      </c>
    </row>
    <row r="3896" spans="1:7" x14ac:dyDescent="0.2">
      <c r="A3896" t="s">
        <v>71</v>
      </c>
      <c r="B3896" t="s">
        <v>148</v>
      </c>
      <c r="C3896" t="s">
        <v>197</v>
      </c>
      <c r="D3896" t="s">
        <v>74</v>
      </c>
      <c r="E3896" t="s">
        <v>81</v>
      </c>
      <c r="F3896" s="55">
        <v>67</v>
      </c>
      <c r="G3896" s="63">
        <v>3.7400000000000003E-2</v>
      </c>
    </row>
    <row r="3897" spans="1:7" x14ac:dyDescent="0.2">
      <c r="A3897" t="s">
        <v>71</v>
      </c>
      <c r="B3897" t="s">
        <v>148</v>
      </c>
      <c r="C3897" t="s">
        <v>197</v>
      </c>
      <c r="D3897" t="s">
        <v>74</v>
      </c>
      <c r="E3897" t="s">
        <v>82</v>
      </c>
      <c r="F3897" s="55">
        <v>65</v>
      </c>
      <c r="G3897" s="63">
        <v>6.8900000000000003E-2</v>
      </c>
    </row>
    <row r="3898" spans="1:7" x14ac:dyDescent="0.2">
      <c r="A3898" t="s">
        <v>71</v>
      </c>
      <c r="B3898" t="s">
        <v>148</v>
      </c>
      <c r="C3898" t="s">
        <v>197</v>
      </c>
      <c r="D3898" t="s">
        <v>74</v>
      </c>
      <c r="E3898" t="s">
        <v>83</v>
      </c>
      <c r="F3898" s="55">
        <v>74</v>
      </c>
      <c r="G3898" s="63">
        <v>1.6400000000000001E-2</v>
      </c>
    </row>
    <row r="3899" spans="1:7" x14ac:dyDescent="0.2">
      <c r="A3899" t="s">
        <v>71</v>
      </c>
      <c r="B3899" t="s">
        <v>148</v>
      </c>
      <c r="C3899" t="s">
        <v>197</v>
      </c>
      <c r="D3899" t="s">
        <v>74</v>
      </c>
      <c r="E3899" t="s">
        <v>84</v>
      </c>
      <c r="F3899" s="55">
        <v>72</v>
      </c>
      <c r="G3899" s="63">
        <v>3.32E-2</v>
      </c>
    </row>
    <row r="3900" spans="1:7" x14ac:dyDescent="0.2">
      <c r="A3900" t="s">
        <v>71</v>
      </c>
      <c r="B3900" t="s">
        <v>148</v>
      </c>
      <c r="C3900" t="s">
        <v>197</v>
      </c>
      <c r="D3900" t="s">
        <v>74</v>
      </c>
      <c r="E3900" t="s">
        <v>85</v>
      </c>
      <c r="F3900" s="55">
        <v>64</v>
      </c>
      <c r="G3900" s="63">
        <v>3.7699999999999997E-2</v>
      </c>
    </row>
    <row r="3901" spans="1:7" x14ac:dyDescent="0.2">
      <c r="A3901" t="s">
        <v>71</v>
      </c>
      <c r="B3901" t="s">
        <v>148</v>
      </c>
      <c r="C3901" t="s">
        <v>197</v>
      </c>
      <c r="D3901" t="s">
        <v>74</v>
      </c>
      <c r="E3901" t="s">
        <v>86</v>
      </c>
      <c r="F3901" s="55">
        <v>68</v>
      </c>
      <c r="G3901" s="63">
        <v>4.9200000000000001E-2</v>
      </c>
    </row>
    <row r="3902" spans="1:7" x14ac:dyDescent="0.2">
      <c r="A3902" t="s">
        <v>71</v>
      </c>
      <c r="B3902" t="s">
        <v>148</v>
      </c>
      <c r="C3902" t="s">
        <v>197</v>
      </c>
      <c r="D3902" t="s">
        <v>74</v>
      </c>
      <c r="E3902" t="s">
        <v>87</v>
      </c>
      <c r="F3902" s="55">
        <v>71</v>
      </c>
      <c r="G3902" s="63">
        <v>4.7199999999999999E-2</v>
      </c>
    </row>
    <row r="3903" spans="1:7" x14ac:dyDescent="0.2">
      <c r="A3903" t="s">
        <v>71</v>
      </c>
      <c r="B3903" t="s">
        <v>148</v>
      </c>
      <c r="C3903" t="s">
        <v>197</v>
      </c>
      <c r="D3903" t="s">
        <v>74</v>
      </c>
      <c r="E3903" t="s">
        <v>88</v>
      </c>
      <c r="F3903" s="55">
        <v>70</v>
      </c>
      <c r="G3903" s="63">
        <v>2.8799999999999999E-2</v>
      </c>
    </row>
    <row r="3904" spans="1:7" x14ac:dyDescent="0.2">
      <c r="A3904" t="s">
        <v>89</v>
      </c>
      <c r="B3904" t="s">
        <v>202</v>
      </c>
      <c r="C3904" t="s">
        <v>197</v>
      </c>
      <c r="D3904" t="s">
        <v>74</v>
      </c>
      <c r="E3904" t="s">
        <v>75</v>
      </c>
      <c r="F3904" s="55">
        <v>75</v>
      </c>
      <c r="G3904" s="63">
        <v>8.2000000000000007E-3</v>
      </c>
    </row>
    <row r="3905" spans="1:7" x14ac:dyDescent="0.2">
      <c r="A3905" t="s">
        <v>89</v>
      </c>
      <c r="B3905" t="s">
        <v>202</v>
      </c>
      <c r="C3905" t="s">
        <v>197</v>
      </c>
      <c r="D3905" t="s">
        <v>74</v>
      </c>
      <c r="E3905" t="s">
        <v>79</v>
      </c>
      <c r="F3905" s="55">
        <v>50</v>
      </c>
      <c r="G3905" s="63">
        <v>4.0000000000000001E-3</v>
      </c>
    </row>
    <row r="3906" spans="1:7" x14ac:dyDescent="0.2">
      <c r="A3906" t="s">
        <v>71</v>
      </c>
      <c r="B3906" t="s">
        <v>149</v>
      </c>
      <c r="C3906" t="s">
        <v>197</v>
      </c>
      <c r="D3906" t="s">
        <v>74</v>
      </c>
      <c r="E3906" t="s">
        <v>75</v>
      </c>
      <c r="F3906" s="55">
        <v>105</v>
      </c>
      <c r="G3906" s="63">
        <v>0.3024</v>
      </c>
    </row>
    <row r="3907" spans="1:7" x14ac:dyDescent="0.2">
      <c r="A3907" t="s">
        <v>71</v>
      </c>
      <c r="B3907" t="s">
        <v>149</v>
      </c>
      <c r="C3907" t="s">
        <v>197</v>
      </c>
      <c r="D3907" t="s">
        <v>74</v>
      </c>
      <c r="E3907" t="s">
        <v>76</v>
      </c>
      <c r="F3907" s="55">
        <v>105</v>
      </c>
      <c r="G3907" s="63">
        <v>3.2599999999999997E-2</v>
      </c>
    </row>
    <row r="3908" spans="1:7" x14ac:dyDescent="0.2">
      <c r="A3908" t="s">
        <v>71</v>
      </c>
      <c r="B3908" t="s">
        <v>149</v>
      </c>
      <c r="C3908" t="s">
        <v>197</v>
      </c>
      <c r="D3908" t="s">
        <v>74</v>
      </c>
      <c r="E3908" t="s">
        <v>77</v>
      </c>
      <c r="F3908" s="55">
        <v>117</v>
      </c>
      <c r="G3908" s="63">
        <v>0.11070000000000001</v>
      </c>
    </row>
    <row r="3909" spans="1:7" x14ac:dyDescent="0.2">
      <c r="A3909" t="s">
        <v>71</v>
      </c>
      <c r="B3909" t="s">
        <v>149</v>
      </c>
      <c r="C3909" t="s">
        <v>197</v>
      </c>
      <c r="D3909" t="s">
        <v>74</v>
      </c>
      <c r="E3909" t="s">
        <v>78</v>
      </c>
      <c r="F3909" s="55">
        <v>121</v>
      </c>
      <c r="G3909" s="63">
        <v>8.8700000000000001E-2</v>
      </c>
    </row>
    <row r="3910" spans="1:7" x14ac:dyDescent="0.2">
      <c r="A3910" t="s">
        <v>71</v>
      </c>
      <c r="B3910" t="s">
        <v>149</v>
      </c>
      <c r="C3910" t="s">
        <v>197</v>
      </c>
      <c r="D3910" t="s">
        <v>74</v>
      </c>
      <c r="E3910" t="s">
        <v>79</v>
      </c>
      <c r="F3910" s="55">
        <v>103</v>
      </c>
      <c r="G3910" s="63">
        <v>0.21360000000000001</v>
      </c>
    </row>
    <row r="3911" spans="1:7" x14ac:dyDescent="0.2">
      <c r="A3911" t="s">
        <v>71</v>
      </c>
      <c r="B3911" t="s">
        <v>149</v>
      </c>
      <c r="C3911" t="s">
        <v>197</v>
      </c>
      <c r="D3911" t="s">
        <v>74</v>
      </c>
      <c r="E3911" t="s">
        <v>80</v>
      </c>
      <c r="F3911" s="55">
        <v>107</v>
      </c>
      <c r="G3911" s="63">
        <v>9.8500000000000004E-2</v>
      </c>
    </row>
    <row r="3912" spans="1:7" x14ac:dyDescent="0.2">
      <c r="A3912" t="s">
        <v>71</v>
      </c>
      <c r="B3912" t="s">
        <v>149</v>
      </c>
      <c r="C3912" t="s">
        <v>197</v>
      </c>
      <c r="D3912" t="s">
        <v>74</v>
      </c>
      <c r="E3912" t="s">
        <v>81</v>
      </c>
      <c r="F3912" s="55">
        <v>108</v>
      </c>
      <c r="G3912" s="63">
        <v>8.7499999999999994E-2</v>
      </c>
    </row>
    <row r="3913" spans="1:7" x14ac:dyDescent="0.2">
      <c r="A3913" t="s">
        <v>71</v>
      </c>
      <c r="B3913" t="s">
        <v>149</v>
      </c>
      <c r="C3913" t="s">
        <v>197</v>
      </c>
      <c r="D3913" t="s">
        <v>74</v>
      </c>
      <c r="E3913" t="s">
        <v>82</v>
      </c>
      <c r="F3913" s="55">
        <v>75</v>
      </c>
      <c r="G3913" s="63">
        <v>0.15210000000000001</v>
      </c>
    </row>
    <row r="3914" spans="1:7" x14ac:dyDescent="0.2">
      <c r="A3914" t="s">
        <v>71</v>
      </c>
      <c r="B3914" t="s">
        <v>149</v>
      </c>
      <c r="C3914" t="s">
        <v>197</v>
      </c>
      <c r="D3914" t="s">
        <v>74</v>
      </c>
      <c r="E3914" t="s">
        <v>83</v>
      </c>
      <c r="F3914" s="55">
        <v>110</v>
      </c>
      <c r="G3914" s="63">
        <v>2.9700000000000001E-2</v>
      </c>
    </row>
    <row r="3915" spans="1:7" x14ac:dyDescent="0.2">
      <c r="A3915" t="s">
        <v>71</v>
      </c>
      <c r="B3915" t="s">
        <v>149</v>
      </c>
      <c r="C3915" t="s">
        <v>197</v>
      </c>
      <c r="D3915" t="s">
        <v>74</v>
      </c>
      <c r="E3915" t="s">
        <v>84</v>
      </c>
      <c r="F3915" s="55">
        <v>124</v>
      </c>
      <c r="G3915" s="63">
        <v>7.5600000000000001E-2</v>
      </c>
    </row>
    <row r="3916" spans="1:7" x14ac:dyDescent="0.2">
      <c r="A3916" t="s">
        <v>71</v>
      </c>
      <c r="B3916" t="s">
        <v>149</v>
      </c>
      <c r="C3916" t="s">
        <v>197</v>
      </c>
      <c r="D3916" t="s">
        <v>74</v>
      </c>
      <c r="E3916" t="s">
        <v>85</v>
      </c>
      <c r="F3916" s="55">
        <v>104</v>
      </c>
      <c r="G3916" s="63">
        <v>0.10580000000000001</v>
      </c>
    </row>
    <row r="3917" spans="1:7" x14ac:dyDescent="0.2">
      <c r="A3917" t="s">
        <v>71</v>
      </c>
      <c r="B3917" t="s">
        <v>149</v>
      </c>
      <c r="C3917" t="s">
        <v>197</v>
      </c>
      <c r="D3917" t="s">
        <v>74</v>
      </c>
      <c r="E3917" t="s">
        <v>86</v>
      </c>
      <c r="F3917" s="55">
        <v>107</v>
      </c>
      <c r="G3917" s="63">
        <v>0.12659999999999999</v>
      </c>
    </row>
    <row r="3918" spans="1:7" x14ac:dyDescent="0.2">
      <c r="A3918" t="s">
        <v>71</v>
      </c>
      <c r="B3918" t="s">
        <v>149</v>
      </c>
      <c r="C3918" t="s">
        <v>197</v>
      </c>
      <c r="D3918" t="s">
        <v>74</v>
      </c>
      <c r="E3918" t="s">
        <v>87</v>
      </c>
      <c r="F3918" s="55">
        <v>104</v>
      </c>
      <c r="G3918" s="63">
        <v>0.13320000000000001</v>
      </c>
    </row>
    <row r="3919" spans="1:7" x14ac:dyDescent="0.2">
      <c r="A3919" t="s">
        <v>71</v>
      </c>
      <c r="B3919" t="s">
        <v>149</v>
      </c>
      <c r="C3919" t="s">
        <v>197</v>
      </c>
      <c r="D3919" t="s">
        <v>74</v>
      </c>
      <c r="E3919" t="s">
        <v>88</v>
      </c>
      <c r="F3919" s="55">
        <v>103</v>
      </c>
      <c r="G3919" s="63">
        <v>5.0700000000000002E-2</v>
      </c>
    </row>
    <row r="3920" spans="1:7" x14ac:dyDescent="0.2">
      <c r="A3920" t="s">
        <v>89</v>
      </c>
      <c r="B3920" t="s">
        <v>150</v>
      </c>
      <c r="C3920" t="s">
        <v>197</v>
      </c>
      <c r="D3920" t="s">
        <v>74</v>
      </c>
      <c r="E3920" t="s">
        <v>75</v>
      </c>
      <c r="F3920" s="55">
        <v>83</v>
      </c>
      <c r="G3920" s="63">
        <v>3.0200000000000001E-2</v>
      </c>
    </row>
    <row r="3921" spans="1:7" x14ac:dyDescent="0.2">
      <c r="A3921" t="s">
        <v>89</v>
      </c>
      <c r="B3921" t="s">
        <v>150</v>
      </c>
      <c r="C3921" t="s">
        <v>197</v>
      </c>
      <c r="D3921" t="s">
        <v>74</v>
      </c>
      <c r="E3921" t="s">
        <v>77</v>
      </c>
      <c r="F3921" s="55">
        <v>92</v>
      </c>
      <c r="G3921" s="63">
        <v>7.1999999999999998E-3</v>
      </c>
    </row>
    <row r="3922" spans="1:7" x14ac:dyDescent="0.2">
      <c r="A3922" t="s">
        <v>89</v>
      </c>
      <c r="B3922" t="s">
        <v>150</v>
      </c>
      <c r="C3922" t="s">
        <v>197</v>
      </c>
      <c r="D3922" t="s">
        <v>74</v>
      </c>
      <c r="E3922" t="s">
        <v>78</v>
      </c>
      <c r="F3922" s="55">
        <v>94</v>
      </c>
      <c r="G3922" s="63">
        <v>6.7999999999999996E-3</v>
      </c>
    </row>
    <row r="3923" spans="1:7" x14ac:dyDescent="0.2">
      <c r="A3923" t="s">
        <v>89</v>
      </c>
      <c r="B3923" t="s">
        <v>150</v>
      </c>
      <c r="C3923" t="s">
        <v>197</v>
      </c>
      <c r="D3923" t="s">
        <v>74</v>
      </c>
      <c r="E3923" t="s">
        <v>79</v>
      </c>
      <c r="F3923" s="55">
        <v>77</v>
      </c>
      <c r="G3923" s="63">
        <v>1.7999999999999999E-2</v>
      </c>
    </row>
    <row r="3924" spans="1:7" x14ac:dyDescent="0.2">
      <c r="A3924" t="s">
        <v>89</v>
      </c>
      <c r="B3924" t="s">
        <v>150</v>
      </c>
      <c r="C3924" t="s">
        <v>197</v>
      </c>
      <c r="D3924" t="s">
        <v>74</v>
      </c>
      <c r="E3924" t="s">
        <v>80</v>
      </c>
      <c r="F3924" s="55">
        <v>77</v>
      </c>
      <c r="G3924" s="63">
        <v>7.1000000000000004E-3</v>
      </c>
    </row>
    <row r="3925" spans="1:7" x14ac:dyDescent="0.2">
      <c r="A3925" t="s">
        <v>89</v>
      </c>
      <c r="B3925" t="s">
        <v>150</v>
      </c>
      <c r="C3925" t="s">
        <v>197</v>
      </c>
      <c r="D3925" t="s">
        <v>74</v>
      </c>
      <c r="E3925" t="s">
        <v>81</v>
      </c>
      <c r="F3925" s="55">
        <v>80</v>
      </c>
      <c r="G3925" s="63">
        <v>6.7999999999999996E-3</v>
      </c>
    </row>
    <row r="3926" spans="1:7" x14ac:dyDescent="0.2">
      <c r="A3926" t="s">
        <v>89</v>
      </c>
      <c r="B3926" t="s">
        <v>150</v>
      </c>
      <c r="C3926" t="s">
        <v>197</v>
      </c>
      <c r="D3926" t="s">
        <v>74</v>
      </c>
      <c r="E3926" t="s">
        <v>82</v>
      </c>
      <c r="F3926" s="55">
        <v>85</v>
      </c>
      <c r="G3926" s="63">
        <v>1.3100000000000001E-2</v>
      </c>
    </row>
    <row r="3927" spans="1:7" x14ac:dyDescent="0.2">
      <c r="A3927" t="s">
        <v>89</v>
      </c>
      <c r="B3927" t="s">
        <v>150</v>
      </c>
      <c r="C3927" t="s">
        <v>197</v>
      </c>
      <c r="D3927" t="s">
        <v>74</v>
      </c>
      <c r="E3927" t="s">
        <v>84</v>
      </c>
      <c r="F3927" s="55">
        <v>98</v>
      </c>
      <c r="G3927" s="63">
        <v>4.8999999999999998E-3</v>
      </c>
    </row>
    <row r="3928" spans="1:7" x14ac:dyDescent="0.2">
      <c r="A3928" t="s">
        <v>89</v>
      </c>
      <c r="B3928" t="s">
        <v>150</v>
      </c>
      <c r="C3928" t="s">
        <v>197</v>
      </c>
      <c r="D3928" t="s">
        <v>74</v>
      </c>
      <c r="E3928" t="s">
        <v>85</v>
      </c>
      <c r="F3928" s="55">
        <v>75</v>
      </c>
      <c r="G3928" s="63">
        <v>7.4999999999999997E-3</v>
      </c>
    </row>
    <row r="3929" spans="1:7" x14ac:dyDescent="0.2">
      <c r="A3929" t="s">
        <v>89</v>
      </c>
      <c r="B3929" t="s">
        <v>150</v>
      </c>
      <c r="C3929" t="s">
        <v>197</v>
      </c>
      <c r="D3929" t="s">
        <v>74</v>
      </c>
      <c r="E3929" t="s">
        <v>86</v>
      </c>
      <c r="F3929" s="55">
        <v>85</v>
      </c>
      <c r="G3929" s="63">
        <v>7.7999999999999996E-3</v>
      </c>
    </row>
    <row r="3930" spans="1:7" x14ac:dyDescent="0.2">
      <c r="A3930" t="s">
        <v>89</v>
      </c>
      <c r="B3930" t="s">
        <v>150</v>
      </c>
      <c r="C3930" t="s">
        <v>197</v>
      </c>
      <c r="D3930" t="s">
        <v>74</v>
      </c>
      <c r="E3930" t="s">
        <v>87</v>
      </c>
      <c r="F3930" s="55">
        <v>75</v>
      </c>
      <c r="G3930" s="63">
        <v>8.0000000000000002E-3</v>
      </c>
    </row>
    <row r="3931" spans="1:7" x14ac:dyDescent="0.2">
      <c r="A3931" t="s">
        <v>89</v>
      </c>
      <c r="B3931" t="s">
        <v>150</v>
      </c>
      <c r="C3931" t="s">
        <v>197</v>
      </c>
      <c r="D3931" t="s">
        <v>74</v>
      </c>
      <c r="E3931" t="s">
        <v>88</v>
      </c>
      <c r="F3931" s="55">
        <v>84</v>
      </c>
      <c r="G3931" s="63">
        <v>5.3E-3</v>
      </c>
    </row>
    <row r="3932" spans="1:7" x14ac:dyDescent="0.2">
      <c r="A3932" t="s">
        <v>71</v>
      </c>
      <c r="B3932" t="s">
        <v>151</v>
      </c>
      <c r="C3932" t="s">
        <v>197</v>
      </c>
      <c r="D3932" t="s">
        <v>74</v>
      </c>
      <c r="E3932" t="s">
        <v>75</v>
      </c>
      <c r="F3932" s="55">
        <v>121</v>
      </c>
      <c r="G3932" s="63">
        <v>0.1239</v>
      </c>
    </row>
    <row r="3933" spans="1:7" x14ac:dyDescent="0.2">
      <c r="A3933" t="s">
        <v>71</v>
      </c>
      <c r="B3933" t="s">
        <v>151</v>
      </c>
      <c r="C3933" t="s">
        <v>197</v>
      </c>
      <c r="D3933" t="s">
        <v>74</v>
      </c>
      <c r="E3933" t="s">
        <v>76</v>
      </c>
      <c r="F3933" s="55">
        <v>119</v>
      </c>
      <c r="G3933" s="63">
        <v>1.8700000000000001E-2</v>
      </c>
    </row>
    <row r="3934" spans="1:7" x14ac:dyDescent="0.2">
      <c r="A3934" t="s">
        <v>71</v>
      </c>
      <c r="B3934" t="s">
        <v>151</v>
      </c>
      <c r="C3934" t="s">
        <v>197</v>
      </c>
      <c r="D3934" t="s">
        <v>74</v>
      </c>
      <c r="E3934" t="s">
        <v>77</v>
      </c>
      <c r="F3934" s="55">
        <v>127</v>
      </c>
      <c r="G3934" s="63">
        <v>5.4699999999999999E-2</v>
      </c>
    </row>
    <row r="3935" spans="1:7" x14ac:dyDescent="0.2">
      <c r="A3935" t="s">
        <v>71</v>
      </c>
      <c r="B3935" t="s">
        <v>151</v>
      </c>
      <c r="C3935" t="s">
        <v>197</v>
      </c>
      <c r="D3935" t="s">
        <v>74</v>
      </c>
      <c r="E3935" t="s">
        <v>78</v>
      </c>
      <c r="F3935" s="55">
        <v>125</v>
      </c>
      <c r="G3935" s="63">
        <v>4.5400000000000003E-2</v>
      </c>
    </row>
    <row r="3936" spans="1:7" x14ac:dyDescent="0.2">
      <c r="A3936" t="s">
        <v>71</v>
      </c>
      <c r="B3936" t="s">
        <v>151</v>
      </c>
      <c r="C3936" t="s">
        <v>197</v>
      </c>
      <c r="D3936" t="s">
        <v>74</v>
      </c>
      <c r="E3936" t="s">
        <v>79</v>
      </c>
      <c r="F3936" s="55">
        <v>119</v>
      </c>
      <c r="G3936" s="63">
        <v>8.6199999999999999E-2</v>
      </c>
    </row>
    <row r="3937" spans="1:7" x14ac:dyDescent="0.2">
      <c r="A3937" t="s">
        <v>71</v>
      </c>
      <c r="B3937" t="s">
        <v>151</v>
      </c>
      <c r="C3937" t="s">
        <v>197</v>
      </c>
      <c r="D3937" t="s">
        <v>74</v>
      </c>
      <c r="E3937" t="s">
        <v>80</v>
      </c>
      <c r="F3937" s="55">
        <v>119</v>
      </c>
      <c r="G3937" s="63">
        <v>3.8300000000000001E-2</v>
      </c>
    </row>
    <row r="3938" spans="1:7" x14ac:dyDescent="0.2">
      <c r="A3938" t="s">
        <v>71</v>
      </c>
      <c r="B3938" t="s">
        <v>151</v>
      </c>
      <c r="C3938" t="s">
        <v>197</v>
      </c>
      <c r="D3938" t="s">
        <v>74</v>
      </c>
      <c r="E3938" t="s">
        <v>81</v>
      </c>
      <c r="F3938" s="55">
        <v>124</v>
      </c>
      <c r="G3938" s="63">
        <v>3.61E-2</v>
      </c>
    </row>
    <row r="3939" spans="1:7" x14ac:dyDescent="0.2">
      <c r="A3939" t="s">
        <v>71</v>
      </c>
      <c r="B3939" t="s">
        <v>151</v>
      </c>
      <c r="C3939" t="s">
        <v>197</v>
      </c>
      <c r="D3939" t="s">
        <v>74</v>
      </c>
      <c r="E3939" t="s">
        <v>82</v>
      </c>
      <c r="F3939" s="55">
        <v>116</v>
      </c>
      <c r="G3939" s="63">
        <v>6.6600000000000006E-2</v>
      </c>
    </row>
    <row r="3940" spans="1:7" x14ac:dyDescent="0.2">
      <c r="A3940" t="s">
        <v>71</v>
      </c>
      <c r="B3940" t="s">
        <v>151</v>
      </c>
      <c r="C3940" t="s">
        <v>197</v>
      </c>
      <c r="D3940" t="s">
        <v>74</v>
      </c>
      <c r="E3940" t="s">
        <v>83</v>
      </c>
      <c r="F3940" s="55">
        <v>124</v>
      </c>
      <c r="G3940" s="63">
        <v>1.6299999999999999E-2</v>
      </c>
    </row>
    <row r="3941" spans="1:7" x14ac:dyDescent="0.2">
      <c r="A3941" t="s">
        <v>71</v>
      </c>
      <c r="B3941" t="s">
        <v>151</v>
      </c>
      <c r="C3941" t="s">
        <v>197</v>
      </c>
      <c r="D3941" t="s">
        <v>74</v>
      </c>
      <c r="E3941" t="s">
        <v>84</v>
      </c>
      <c r="F3941" s="55">
        <v>130</v>
      </c>
      <c r="G3941" s="63">
        <v>3.8899999999999997E-2</v>
      </c>
    </row>
    <row r="3942" spans="1:7" x14ac:dyDescent="0.2">
      <c r="A3942" t="s">
        <v>71</v>
      </c>
      <c r="B3942" t="s">
        <v>151</v>
      </c>
      <c r="C3942" t="s">
        <v>197</v>
      </c>
      <c r="D3942" t="s">
        <v>74</v>
      </c>
      <c r="E3942" t="s">
        <v>85</v>
      </c>
      <c r="F3942" s="55">
        <v>111</v>
      </c>
      <c r="G3942" s="63">
        <v>4.4699999999999997E-2</v>
      </c>
    </row>
    <row r="3943" spans="1:7" x14ac:dyDescent="0.2">
      <c r="A3943" t="s">
        <v>71</v>
      </c>
      <c r="B3943" t="s">
        <v>151</v>
      </c>
      <c r="C3943" t="s">
        <v>197</v>
      </c>
      <c r="D3943" t="s">
        <v>74</v>
      </c>
      <c r="E3943" t="s">
        <v>86</v>
      </c>
      <c r="F3943" s="55">
        <v>115</v>
      </c>
      <c r="G3943" s="63">
        <v>5.1900000000000002E-2</v>
      </c>
    </row>
    <row r="3944" spans="1:7" x14ac:dyDescent="0.2">
      <c r="A3944" t="s">
        <v>71</v>
      </c>
      <c r="B3944" t="s">
        <v>151</v>
      </c>
      <c r="C3944" t="s">
        <v>197</v>
      </c>
      <c r="D3944" t="s">
        <v>74</v>
      </c>
      <c r="E3944" t="s">
        <v>87</v>
      </c>
      <c r="F3944" s="55">
        <v>125</v>
      </c>
      <c r="G3944" s="63">
        <v>5.3900000000000003E-2</v>
      </c>
    </row>
    <row r="3945" spans="1:7" x14ac:dyDescent="0.2">
      <c r="A3945" t="s">
        <v>71</v>
      </c>
      <c r="B3945" t="s">
        <v>151</v>
      </c>
      <c r="C3945" t="s">
        <v>197</v>
      </c>
      <c r="D3945" t="s">
        <v>74</v>
      </c>
      <c r="E3945" t="s">
        <v>88</v>
      </c>
      <c r="F3945" s="55">
        <v>120</v>
      </c>
      <c r="G3945" s="63">
        <v>2.98E-2</v>
      </c>
    </row>
    <row r="3946" spans="1:7" x14ac:dyDescent="0.2">
      <c r="A3946" t="s">
        <v>71</v>
      </c>
      <c r="B3946" t="s">
        <v>152</v>
      </c>
      <c r="C3946" t="s">
        <v>197</v>
      </c>
      <c r="D3946" t="s">
        <v>74</v>
      </c>
      <c r="E3946" t="s">
        <v>75</v>
      </c>
      <c r="F3946" s="55">
        <v>99</v>
      </c>
      <c r="G3946" s="63">
        <v>0.33789999999999998</v>
      </c>
    </row>
    <row r="3947" spans="1:7" x14ac:dyDescent="0.2">
      <c r="A3947" t="s">
        <v>71</v>
      </c>
      <c r="B3947" t="s">
        <v>152</v>
      </c>
      <c r="C3947" t="s">
        <v>197</v>
      </c>
      <c r="D3947" t="s">
        <v>74</v>
      </c>
      <c r="E3947" t="s">
        <v>76</v>
      </c>
      <c r="F3947" s="55">
        <v>90</v>
      </c>
      <c r="G3947" s="63">
        <v>8.9700000000000002E-2</v>
      </c>
    </row>
    <row r="3948" spans="1:7" x14ac:dyDescent="0.2">
      <c r="A3948" t="s">
        <v>71</v>
      </c>
      <c r="B3948" t="s">
        <v>152</v>
      </c>
      <c r="C3948" t="s">
        <v>197</v>
      </c>
      <c r="D3948" t="s">
        <v>74</v>
      </c>
      <c r="E3948" t="s">
        <v>77</v>
      </c>
      <c r="F3948" s="55">
        <v>102</v>
      </c>
      <c r="G3948" s="63">
        <v>0.1769</v>
      </c>
    </row>
    <row r="3949" spans="1:7" x14ac:dyDescent="0.2">
      <c r="A3949" t="s">
        <v>71</v>
      </c>
      <c r="B3949" t="s">
        <v>152</v>
      </c>
      <c r="C3949" t="s">
        <v>197</v>
      </c>
      <c r="D3949" t="s">
        <v>74</v>
      </c>
      <c r="E3949" t="s">
        <v>78</v>
      </c>
      <c r="F3949" s="55">
        <v>103</v>
      </c>
      <c r="G3949" s="63">
        <v>0.1565</v>
      </c>
    </row>
    <row r="3950" spans="1:7" x14ac:dyDescent="0.2">
      <c r="A3950" t="s">
        <v>71</v>
      </c>
      <c r="B3950" t="s">
        <v>152</v>
      </c>
      <c r="C3950" t="s">
        <v>197</v>
      </c>
      <c r="D3950" t="s">
        <v>74</v>
      </c>
      <c r="E3950" t="s">
        <v>79</v>
      </c>
      <c r="F3950" s="55">
        <v>98</v>
      </c>
      <c r="G3950" s="63">
        <v>0.24379999999999999</v>
      </c>
    </row>
    <row r="3951" spans="1:7" x14ac:dyDescent="0.2">
      <c r="A3951" t="s">
        <v>71</v>
      </c>
      <c r="B3951" t="s">
        <v>152</v>
      </c>
      <c r="C3951" t="s">
        <v>197</v>
      </c>
      <c r="D3951" t="s">
        <v>74</v>
      </c>
      <c r="E3951" t="s">
        <v>80</v>
      </c>
      <c r="F3951" s="55">
        <v>97</v>
      </c>
      <c r="G3951" s="63">
        <v>0.13009999999999999</v>
      </c>
    </row>
    <row r="3952" spans="1:7" x14ac:dyDescent="0.2">
      <c r="A3952" t="s">
        <v>71</v>
      </c>
      <c r="B3952" t="s">
        <v>152</v>
      </c>
      <c r="C3952" t="s">
        <v>197</v>
      </c>
      <c r="D3952" t="s">
        <v>74</v>
      </c>
      <c r="E3952" t="s">
        <v>81</v>
      </c>
      <c r="F3952" s="55">
        <v>96</v>
      </c>
      <c r="G3952" s="63">
        <v>0.12740000000000001</v>
      </c>
    </row>
    <row r="3953" spans="1:7" x14ac:dyDescent="0.2">
      <c r="A3953" t="s">
        <v>71</v>
      </c>
      <c r="B3953" t="s">
        <v>152</v>
      </c>
      <c r="C3953" t="s">
        <v>197</v>
      </c>
      <c r="D3953" t="s">
        <v>74</v>
      </c>
      <c r="E3953" t="s">
        <v>82</v>
      </c>
      <c r="F3953" s="55">
        <v>98</v>
      </c>
      <c r="G3953" s="63">
        <v>0.20219999999999999</v>
      </c>
    </row>
    <row r="3954" spans="1:7" x14ac:dyDescent="0.2">
      <c r="A3954" t="s">
        <v>71</v>
      </c>
      <c r="B3954" t="s">
        <v>152</v>
      </c>
      <c r="C3954" t="s">
        <v>197</v>
      </c>
      <c r="D3954" t="s">
        <v>74</v>
      </c>
      <c r="E3954" t="s">
        <v>83</v>
      </c>
      <c r="F3954" s="55">
        <v>97</v>
      </c>
      <c r="G3954" s="63">
        <v>6.9400000000000003E-2</v>
      </c>
    </row>
    <row r="3955" spans="1:7" x14ac:dyDescent="0.2">
      <c r="A3955" t="s">
        <v>71</v>
      </c>
      <c r="B3955" t="s">
        <v>152</v>
      </c>
      <c r="C3955" t="s">
        <v>197</v>
      </c>
      <c r="D3955" t="s">
        <v>74</v>
      </c>
      <c r="E3955" t="s">
        <v>84</v>
      </c>
      <c r="F3955" s="55">
        <v>106</v>
      </c>
      <c r="G3955" s="63">
        <v>0.1404</v>
      </c>
    </row>
    <row r="3956" spans="1:7" x14ac:dyDescent="0.2">
      <c r="A3956" t="s">
        <v>71</v>
      </c>
      <c r="B3956" t="s">
        <v>152</v>
      </c>
      <c r="C3956" t="s">
        <v>197</v>
      </c>
      <c r="D3956" t="s">
        <v>74</v>
      </c>
      <c r="E3956" t="s">
        <v>85</v>
      </c>
      <c r="F3956" s="55">
        <v>99</v>
      </c>
      <c r="G3956" s="63">
        <v>0.14169999999999999</v>
      </c>
    </row>
    <row r="3957" spans="1:7" x14ac:dyDescent="0.2">
      <c r="A3957" t="s">
        <v>71</v>
      </c>
      <c r="B3957" t="s">
        <v>152</v>
      </c>
      <c r="C3957" t="s">
        <v>197</v>
      </c>
      <c r="D3957" t="s">
        <v>74</v>
      </c>
      <c r="E3957" t="s">
        <v>86</v>
      </c>
      <c r="F3957" s="55">
        <v>101</v>
      </c>
      <c r="G3957" s="63">
        <v>0.1525</v>
      </c>
    </row>
    <row r="3958" spans="1:7" x14ac:dyDescent="0.2">
      <c r="A3958" t="s">
        <v>71</v>
      </c>
      <c r="B3958" t="s">
        <v>152</v>
      </c>
      <c r="C3958" t="s">
        <v>197</v>
      </c>
      <c r="D3958" t="s">
        <v>74</v>
      </c>
      <c r="E3958" t="s">
        <v>87</v>
      </c>
      <c r="F3958" s="55">
        <v>99</v>
      </c>
      <c r="G3958" s="63">
        <v>0.15890000000000001</v>
      </c>
    </row>
    <row r="3959" spans="1:7" x14ac:dyDescent="0.2">
      <c r="A3959" t="s">
        <v>71</v>
      </c>
      <c r="B3959" t="s">
        <v>152</v>
      </c>
      <c r="C3959" t="s">
        <v>197</v>
      </c>
      <c r="D3959" t="s">
        <v>74</v>
      </c>
      <c r="E3959" t="s">
        <v>88</v>
      </c>
      <c r="F3959" s="55">
        <v>92</v>
      </c>
      <c r="G3959" s="63">
        <v>0.1198</v>
      </c>
    </row>
    <row r="3960" spans="1:7" x14ac:dyDescent="0.2">
      <c r="A3960" t="s">
        <v>71</v>
      </c>
      <c r="B3960" t="s">
        <v>153</v>
      </c>
      <c r="C3960" t="s">
        <v>197</v>
      </c>
      <c r="D3960" t="s">
        <v>74</v>
      </c>
      <c r="E3960" t="s">
        <v>75</v>
      </c>
      <c r="F3960" s="55">
        <v>96</v>
      </c>
      <c r="G3960" s="63">
        <v>8.9200000000000002E-2</v>
      </c>
    </row>
    <row r="3961" spans="1:7" x14ac:dyDescent="0.2">
      <c r="A3961" t="s">
        <v>71</v>
      </c>
      <c r="B3961" t="s">
        <v>153</v>
      </c>
      <c r="C3961" t="s">
        <v>197</v>
      </c>
      <c r="D3961" t="s">
        <v>74</v>
      </c>
      <c r="E3961" t="s">
        <v>76</v>
      </c>
      <c r="F3961" s="55">
        <v>48</v>
      </c>
      <c r="G3961" s="63">
        <v>5.0000000000000001E-3</v>
      </c>
    </row>
    <row r="3962" spans="1:7" x14ac:dyDescent="0.2">
      <c r="A3962" t="s">
        <v>71</v>
      </c>
      <c r="B3962" t="s">
        <v>153</v>
      </c>
      <c r="C3962" t="s">
        <v>197</v>
      </c>
      <c r="D3962" t="s">
        <v>74</v>
      </c>
      <c r="E3962" t="s">
        <v>77</v>
      </c>
      <c r="F3962" s="55">
        <v>104</v>
      </c>
      <c r="G3962" s="63">
        <v>3.5000000000000003E-2</v>
      </c>
    </row>
    <row r="3963" spans="1:7" x14ac:dyDescent="0.2">
      <c r="A3963" t="s">
        <v>71</v>
      </c>
      <c r="B3963" t="s">
        <v>153</v>
      </c>
      <c r="C3963" t="s">
        <v>197</v>
      </c>
      <c r="D3963" t="s">
        <v>74</v>
      </c>
      <c r="E3963" t="s">
        <v>78</v>
      </c>
      <c r="F3963" s="55">
        <v>102</v>
      </c>
      <c r="G3963" s="63">
        <v>2.8199999999999999E-2</v>
      </c>
    </row>
    <row r="3964" spans="1:7" x14ac:dyDescent="0.2">
      <c r="A3964" t="s">
        <v>71</v>
      </c>
      <c r="B3964" t="s">
        <v>153</v>
      </c>
      <c r="C3964" t="s">
        <v>197</v>
      </c>
      <c r="D3964" t="s">
        <v>74</v>
      </c>
      <c r="E3964" t="s">
        <v>79</v>
      </c>
      <c r="F3964" s="55">
        <v>95</v>
      </c>
      <c r="G3964" s="63">
        <v>5.5300000000000002E-2</v>
      </c>
    </row>
    <row r="3965" spans="1:7" x14ac:dyDescent="0.2">
      <c r="A3965" t="s">
        <v>71</v>
      </c>
      <c r="B3965" t="s">
        <v>153</v>
      </c>
      <c r="C3965" t="s">
        <v>197</v>
      </c>
      <c r="D3965" t="s">
        <v>74</v>
      </c>
      <c r="E3965" t="s">
        <v>80</v>
      </c>
      <c r="F3965" s="55">
        <v>79</v>
      </c>
      <c r="G3965" s="63">
        <v>1.2E-2</v>
      </c>
    </row>
    <row r="3966" spans="1:7" x14ac:dyDescent="0.2">
      <c r="A3966" t="s">
        <v>71</v>
      </c>
      <c r="B3966" t="s">
        <v>153</v>
      </c>
      <c r="C3966" t="s">
        <v>197</v>
      </c>
      <c r="D3966" t="s">
        <v>74</v>
      </c>
      <c r="E3966" t="s">
        <v>81</v>
      </c>
      <c r="F3966" s="55">
        <v>65</v>
      </c>
      <c r="G3966" s="63">
        <v>1.23E-2</v>
      </c>
    </row>
    <row r="3967" spans="1:7" x14ac:dyDescent="0.2">
      <c r="A3967" t="s">
        <v>71</v>
      </c>
      <c r="B3967" t="s">
        <v>153</v>
      </c>
      <c r="C3967" t="s">
        <v>197</v>
      </c>
      <c r="D3967" t="s">
        <v>74</v>
      </c>
      <c r="E3967" t="s">
        <v>82</v>
      </c>
      <c r="F3967" s="55">
        <v>102</v>
      </c>
      <c r="G3967" s="63">
        <v>4.6399999999999997E-2</v>
      </c>
    </row>
    <row r="3968" spans="1:7" x14ac:dyDescent="0.2">
      <c r="A3968" t="s">
        <v>71</v>
      </c>
      <c r="B3968" t="s">
        <v>153</v>
      </c>
      <c r="C3968" t="s">
        <v>197</v>
      </c>
      <c r="D3968" t="s">
        <v>74</v>
      </c>
      <c r="E3968" t="s">
        <v>84</v>
      </c>
      <c r="F3968" s="55">
        <v>108</v>
      </c>
      <c r="G3968" s="63">
        <v>2.53E-2</v>
      </c>
    </row>
    <row r="3969" spans="1:7" x14ac:dyDescent="0.2">
      <c r="A3969" t="s">
        <v>71</v>
      </c>
      <c r="B3969" t="s">
        <v>153</v>
      </c>
      <c r="C3969" t="s">
        <v>197</v>
      </c>
      <c r="D3969" t="s">
        <v>74</v>
      </c>
      <c r="E3969" t="s">
        <v>85</v>
      </c>
      <c r="F3969" s="55">
        <v>88</v>
      </c>
      <c r="G3969" s="63">
        <v>1.6799999999999999E-2</v>
      </c>
    </row>
    <row r="3970" spans="1:7" x14ac:dyDescent="0.2">
      <c r="A3970" t="s">
        <v>71</v>
      </c>
      <c r="B3970" t="s">
        <v>153</v>
      </c>
      <c r="C3970" t="s">
        <v>197</v>
      </c>
      <c r="D3970" t="s">
        <v>74</v>
      </c>
      <c r="E3970" t="s">
        <v>86</v>
      </c>
      <c r="F3970" s="55">
        <v>96</v>
      </c>
      <c r="G3970" s="63">
        <v>2.23E-2</v>
      </c>
    </row>
    <row r="3971" spans="1:7" x14ac:dyDescent="0.2">
      <c r="A3971" t="s">
        <v>71</v>
      </c>
      <c r="B3971" t="s">
        <v>153</v>
      </c>
      <c r="C3971" t="s">
        <v>197</v>
      </c>
      <c r="D3971" t="s">
        <v>74</v>
      </c>
      <c r="E3971" t="s">
        <v>87</v>
      </c>
      <c r="F3971" s="55">
        <v>98</v>
      </c>
      <c r="G3971" s="63">
        <v>2.8199999999999999E-2</v>
      </c>
    </row>
    <row r="3972" spans="1:7" x14ac:dyDescent="0.2">
      <c r="A3972" t="s">
        <v>71</v>
      </c>
      <c r="B3972" t="s">
        <v>153</v>
      </c>
      <c r="C3972" t="s">
        <v>197</v>
      </c>
      <c r="D3972" t="s">
        <v>74</v>
      </c>
      <c r="E3972" t="s">
        <v>88</v>
      </c>
      <c r="F3972" s="55">
        <v>58</v>
      </c>
      <c r="G3972" s="63">
        <v>9.5999999999999992E-3</v>
      </c>
    </row>
    <row r="3973" spans="1:7" x14ac:dyDescent="0.2">
      <c r="A3973" t="s">
        <v>89</v>
      </c>
      <c r="B3973" t="s">
        <v>154</v>
      </c>
      <c r="C3973" t="s">
        <v>197</v>
      </c>
      <c r="D3973" t="s">
        <v>74</v>
      </c>
      <c r="E3973" t="s">
        <v>75</v>
      </c>
      <c r="F3973" s="55">
        <v>105</v>
      </c>
      <c r="G3973" s="63">
        <v>0.13270000000000001</v>
      </c>
    </row>
    <row r="3974" spans="1:7" x14ac:dyDescent="0.2">
      <c r="A3974" t="s">
        <v>89</v>
      </c>
      <c r="B3974" t="s">
        <v>154</v>
      </c>
      <c r="C3974" t="s">
        <v>197</v>
      </c>
      <c r="D3974" t="s">
        <v>74</v>
      </c>
      <c r="E3974" t="s">
        <v>76</v>
      </c>
      <c r="F3974" s="55">
        <v>109</v>
      </c>
      <c r="G3974" s="63">
        <v>1.8100000000000002E-2</v>
      </c>
    </row>
    <row r="3975" spans="1:7" x14ac:dyDescent="0.2">
      <c r="A3975" t="s">
        <v>89</v>
      </c>
      <c r="B3975" t="s">
        <v>154</v>
      </c>
      <c r="C3975" t="s">
        <v>197</v>
      </c>
      <c r="D3975" t="s">
        <v>74</v>
      </c>
      <c r="E3975" t="s">
        <v>77</v>
      </c>
      <c r="F3975" s="55">
        <v>109</v>
      </c>
      <c r="G3975" s="63">
        <v>4.8500000000000001E-2</v>
      </c>
    </row>
    <row r="3976" spans="1:7" x14ac:dyDescent="0.2">
      <c r="A3976" t="s">
        <v>89</v>
      </c>
      <c r="B3976" t="s">
        <v>154</v>
      </c>
      <c r="C3976" t="s">
        <v>197</v>
      </c>
      <c r="D3976" t="s">
        <v>74</v>
      </c>
      <c r="E3976" t="s">
        <v>78</v>
      </c>
      <c r="F3976" s="55">
        <v>106</v>
      </c>
      <c r="G3976" s="63">
        <v>4.24E-2</v>
      </c>
    </row>
    <row r="3977" spans="1:7" x14ac:dyDescent="0.2">
      <c r="A3977" t="s">
        <v>89</v>
      </c>
      <c r="B3977" t="s">
        <v>154</v>
      </c>
      <c r="C3977" t="s">
        <v>197</v>
      </c>
      <c r="D3977" t="s">
        <v>74</v>
      </c>
      <c r="E3977" t="s">
        <v>79</v>
      </c>
      <c r="F3977" s="55">
        <v>103</v>
      </c>
      <c r="G3977" s="63">
        <v>8.6800000000000002E-2</v>
      </c>
    </row>
    <row r="3978" spans="1:7" x14ac:dyDescent="0.2">
      <c r="A3978" t="s">
        <v>89</v>
      </c>
      <c r="B3978" t="s">
        <v>154</v>
      </c>
      <c r="C3978" t="s">
        <v>197</v>
      </c>
      <c r="D3978" t="s">
        <v>74</v>
      </c>
      <c r="E3978" t="s">
        <v>80</v>
      </c>
      <c r="F3978" s="55">
        <v>98</v>
      </c>
      <c r="G3978" s="63">
        <v>3.4200000000000001E-2</v>
      </c>
    </row>
    <row r="3979" spans="1:7" x14ac:dyDescent="0.2">
      <c r="A3979" t="s">
        <v>89</v>
      </c>
      <c r="B3979" t="s">
        <v>154</v>
      </c>
      <c r="C3979" t="s">
        <v>197</v>
      </c>
      <c r="D3979" t="s">
        <v>74</v>
      </c>
      <c r="E3979" t="s">
        <v>81</v>
      </c>
      <c r="F3979" s="55">
        <v>97</v>
      </c>
      <c r="G3979" s="63">
        <v>3.44E-2</v>
      </c>
    </row>
    <row r="3980" spans="1:7" x14ac:dyDescent="0.2">
      <c r="A3980" t="s">
        <v>89</v>
      </c>
      <c r="B3980" t="s">
        <v>154</v>
      </c>
      <c r="C3980" t="s">
        <v>197</v>
      </c>
      <c r="D3980" t="s">
        <v>74</v>
      </c>
      <c r="E3980" t="s">
        <v>82</v>
      </c>
      <c r="F3980" s="55">
        <v>109</v>
      </c>
      <c r="G3980" s="63">
        <v>6.3E-2</v>
      </c>
    </row>
    <row r="3981" spans="1:7" x14ac:dyDescent="0.2">
      <c r="A3981" t="s">
        <v>89</v>
      </c>
      <c r="B3981" t="s">
        <v>154</v>
      </c>
      <c r="C3981" t="s">
        <v>197</v>
      </c>
      <c r="D3981" t="s">
        <v>74</v>
      </c>
      <c r="E3981" t="s">
        <v>83</v>
      </c>
      <c r="F3981" s="55">
        <v>97</v>
      </c>
      <c r="G3981" s="63">
        <v>1.7000000000000001E-2</v>
      </c>
    </row>
    <row r="3982" spans="1:7" x14ac:dyDescent="0.2">
      <c r="A3982" t="s">
        <v>89</v>
      </c>
      <c r="B3982" t="s">
        <v>154</v>
      </c>
      <c r="C3982" t="s">
        <v>197</v>
      </c>
      <c r="D3982" t="s">
        <v>74</v>
      </c>
      <c r="E3982" t="s">
        <v>84</v>
      </c>
      <c r="F3982" s="55">
        <v>107</v>
      </c>
      <c r="G3982" s="63">
        <v>3.39E-2</v>
      </c>
    </row>
    <row r="3983" spans="1:7" x14ac:dyDescent="0.2">
      <c r="A3983" t="s">
        <v>89</v>
      </c>
      <c r="B3983" t="s">
        <v>154</v>
      </c>
      <c r="C3983" t="s">
        <v>197</v>
      </c>
      <c r="D3983" t="s">
        <v>74</v>
      </c>
      <c r="E3983" t="s">
        <v>85</v>
      </c>
      <c r="F3983" s="55">
        <v>99</v>
      </c>
      <c r="G3983" s="63">
        <v>3.8199999999999998E-2</v>
      </c>
    </row>
    <row r="3984" spans="1:7" x14ac:dyDescent="0.2">
      <c r="A3984" t="s">
        <v>89</v>
      </c>
      <c r="B3984" t="s">
        <v>154</v>
      </c>
      <c r="C3984" t="s">
        <v>197</v>
      </c>
      <c r="D3984" t="s">
        <v>74</v>
      </c>
      <c r="E3984" t="s">
        <v>86</v>
      </c>
      <c r="F3984" s="55">
        <v>104</v>
      </c>
      <c r="G3984" s="63">
        <v>4.3200000000000002E-2</v>
      </c>
    </row>
    <row r="3985" spans="1:7" x14ac:dyDescent="0.2">
      <c r="A3985" t="s">
        <v>89</v>
      </c>
      <c r="B3985" t="s">
        <v>154</v>
      </c>
      <c r="C3985" t="s">
        <v>197</v>
      </c>
      <c r="D3985" t="s">
        <v>74</v>
      </c>
      <c r="E3985" t="s">
        <v>87</v>
      </c>
      <c r="F3985" s="55">
        <v>104</v>
      </c>
      <c r="G3985" s="63">
        <v>4.7899999999999998E-2</v>
      </c>
    </row>
    <row r="3986" spans="1:7" x14ac:dyDescent="0.2">
      <c r="A3986" t="s">
        <v>89</v>
      </c>
      <c r="B3986" t="s">
        <v>154</v>
      </c>
      <c r="C3986" t="s">
        <v>197</v>
      </c>
      <c r="D3986" t="s">
        <v>74</v>
      </c>
      <c r="E3986" t="s">
        <v>88</v>
      </c>
      <c r="F3986" s="55">
        <v>103</v>
      </c>
      <c r="G3986" s="63">
        <v>2.9399999999999999E-2</v>
      </c>
    </row>
    <row r="3987" spans="1:7" x14ac:dyDescent="0.2">
      <c r="A3987" t="s">
        <v>71</v>
      </c>
      <c r="B3987" t="s">
        <v>155</v>
      </c>
      <c r="C3987" t="s">
        <v>197</v>
      </c>
      <c r="D3987" t="s">
        <v>74</v>
      </c>
      <c r="E3987" t="s">
        <v>75</v>
      </c>
      <c r="F3987" s="55">
        <v>87</v>
      </c>
      <c r="G3987" s="63">
        <v>0.2132</v>
      </c>
    </row>
    <row r="3988" spans="1:7" x14ac:dyDescent="0.2">
      <c r="A3988" t="s">
        <v>71</v>
      </c>
      <c r="B3988" t="s">
        <v>155</v>
      </c>
      <c r="C3988" t="s">
        <v>197</v>
      </c>
      <c r="D3988" t="s">
        <v>74</v>
      </c>
      <c r="E3988" t="s">
        <v>76</v>
      </c>
      <c r="F3988" s="55">
        <v>95</v>
      </c>
      <c r="G3988" s="63">
        <v>2.0199999999999999E-2</v>
      </c>
    </row>
    <row r="3989" spans="1:7" x14ac:dyDescent="0.2">
      <c r="A3989" t="s">
        <v>71</v>
      </c>
      <c r="B3989" t="s">
        <v>155</v>
      </c>
      <c r="C3989" t="s">
        <v>197</v>
      </c>
      <c r="D3989" t="s">
        <v>74</v>
      </c>
      <c r="E3989" t="s">
        <v>77</v>
      </c>
      <c r="F3989" s="55">
        <v>103</v>
      </c>
      <c r="G3989" s="63">
        <v>5.7700000000000001E-2</v>
      </c>
    </row>
    <row r="3990" spans="1:7" x14ac:dyDescent="0.2">
      <c r="A3990" t="s">
        <v>71</v>
      </c>
      <c r="B3990" t="s">
        <v>155</v>
      </c>
      <c r="C3990" t="s">
        <v>197</v>
      </c>
      <c r="D3990" t="s">
        <v>74</v>
      </c>
      <c r="E3990" t="s">
        <v>78</v>
      </c>
      <c r="F3990" s="55">
        <v>95</v>
      </c>
      <c r="G3990" s="63">
        <v>5.7099999999999998E-2</v>
      </c>
    </row>
    <row r="3991" spans="1:7" x14ac:dyDescent="0.2">
      <c r="A3991" t="s">
        <v>71</v>
      </c>
      <c r="B3991" t="s">
        <v>155</v>
      </c>
      <c r="C3991" t="s">
        <v>197</v>
      </c>
      <c r="D3991" t="s">
        <v>74</v>
      </c>
      <c r="E3991" t="s">
        <v>79</v>
      </c>
      <c r="F3991" s="55">
        <v>69</v>
      </c>
      <c r="G3991" s="63">
        <v>0.14960000000000001</v>
      </c>
    </row>
    <row r="3992" spans="1:7" x14ac:dyDescent="0.2">
      <c r="A3992" t="s">
        <v>71</v>
      </c>
      <c r="B3992" t="s">
        <v>155</v>
      </c>
      <c r="C3992" t="s">
        <v>197</v>
      </c>
      <c r="D3992" t="s">
        <v>74</v>
      </c>
      <c r="E3992" t="s">
        <v>80</v>
      </c>
      <c r="F3992" s="55">
        <v>71</v>
      </c>
      <c r="G3992" s="63">
        <v>5.2600000000000001E-2</v>
      </c>
    </row>
    <row r="3993" spans="1:7" x14ac:dyDescent="0.2">
      <c r="A3993" t="s">
        <v>71</v>
      </c>
      <c r="B3993" t="s">
        <v>155</v>
      </c>
      <c r="C3993" t="s">
        <v>197</v>
      </c>
      <c r="D3993" t="s">
        <v>74</v>
      </c>
      <c r="E3993" t="s">
        <v>81</v>
      </c>
      <c r="F3993" s="55">
        <v>80</v>
      </c>
      <c r="G3993" s="63">
        <v>5.21E-2</v>
      </c>
    </row>
    <row r="3994" spans="1:7" x14ac:dyDescent="0.2">
      <c r="A3994" t="s">
        <v>71</v>
      </c>
      <c r="B3994" t="s">
        <v>155</v>
      </c>
      <c r="C3994" t="s">
        <v>197</v>
      </c>
      <c r="D3994" t="s">
        <v>74</v>
      </c>
      <c r="E3994" t="s">
        <v>82</v>
      </c>
      <c r="F3994" s="55">
        <v>98</v>
      </c>
      <c r="G3994" s="63">
        <v>9.2999999999999999E-2</v>
      </c>
    </row>
    <row r="3995" spans="1:7" x14ac:dyDescent="0.2">
      <c r="A3995" t="s">
        <v>71</v>
      </c>
      <c r="B3995" t="s">
        <v>155</v>
      </c>
      <c r="C3995" t="s">
        <v>197</v>
      </c>
      <c r="D3995" t="s">
        <v>74</v>
      </c>
      <c r="E3995" t="s">
        <v>83</v>
      </c>
      <c r="F3995" s="55">
        <v>92</v>
      </c>
      <c r="G3995" s="63">
        <v>2.1299999999999999E-2</v>
      </c>
    </row>
    <row r="3996" spans="1:7" x14ac:dyDescent="0.2">
      <c r="A3996" t="s">
        <v>71</v>
      </c>
      <c r="B3996" t="s">
        <v>155</v>
      </c>
      <c r="C3996" t="s">
        <v>197</v>
      </c>
      <c r="D3996" t="s">
        <v>74</v>
      </c>
      <c r="E3996" t="s">
        <v>84</v>
      </c>
      <c r="F3996" s="55">
        <v>98</v>
      </c>
      <c r="G3996" s="63">
        <v>4.3700000000000003E-2</v>
      </c>
    </row>
    <row r="3997" spans="1:7" x14ac:dyDescent="0.2">
      <c r="A3997" t="s">
        <v>71</v>
      </c>
      <c r="B3997" t="s">
        <v>155</v>
      </c>
      <c r="C3997" t="s">
        <v>197</v>
      </c>
      <c r="D3997" t="s">
        <v>74</v>
      </c>
      <c r="E3997" t="s">
        <v>85</v>
      </c>
      <c r="F3997" s="55">
        <v>68</v>
      </c>
      <c r="G3997" s="63">
        <v>5.3499999999999999E-2</v>
      </c>
    </row>
    <row r="3998" spans="1:7" x14ac:dyDescent="0.2">
      <c r="A3998" t="s">
        <v>71</v>
      </c>
      <c r="B3998" t="s">
        <v>155</v>
      </c>
      <c r="C3998" t="s">
        <v>197</v>
      </c>
      <c r="D3998" t="s">
        <v>74</v>
      </c>
      <c r="E3998" t="s">
        <v>86</v>
      </c>
      <c r="F3998" s="55">
        <v>66</v>
      </c>
      <c r="G3998" s="63">
        <v>6.0299999999999999E-2</v>
      </c>
    </row>
    <row r="3999" spans="1:7" x14ac:dyDescent="0.2">
      <c r="A3999" t="s">
        <v>71</v>
      </c>
      <c r="B3999" t="s">
        <v>155</v>
      </c>
      <c r="C3999" t="s">
        <v>197</v>
      </c>
      <c r="D3999" t="s">
        <v>74</v>
      </c>
      <c r="E3999" t="s">
        <v>87</v>
      </c>
      <c r="F3999" s="55">
        <v>67</v>
      </c>
      <c r="G3999" s="63">
        <v>7.3800000000000004E-2</v>
      </c>
    </row>
    <row r="4000" spans="1:7" x14ac:dyDescent="0.2">
      <c r="A4000" t="s">
        <v>71</v>
      </c>
      <c r="B4000" t="s">
        <v>155</v>
      </c>
      <c r="C4000" t="s">
        <v>197</v>
      </c>
      <c r="D4000" t="s">
        <v>74</v>
      </c>
      <c r="E4000" t="s">
        <v>88</v>
      </c>
      <c r="F4000" s="55">
        <v>92</v>
      </c>
      <c r="G4000" s="63">
        <v>3.15E-2</v>
      </c>
    </row>
    <row r="4001" spans="1:7" x14ac:dyDescent="0.2">
      <c r="A4001" t="s">
        <v>71</v>
      </c>
      <c r="B4001" t="s">
        <v>156</v>
      </c>
      <c r="C4001" t="s">
        <v>197</v>
      </c>
      <c r="D4001" t="s">
        <v>74</v>
      </c>
      <c r="E4001" t="s">
        <v>75</v>
      </c>
      <c r="F4001" s="55">
        <v>81</v>
      </c>
      <c r="G4001" s="63">
        <v>5.5800000000000002E-2</v>
      </c>
    </row>
    <row r="4002" spans="1:7" x14ac:dyDescent="0.2">
      <c r="A4002" t="s">
        <v>71</v>
      </c>
      <c r="B4002" t="s">
        <v>156</v>
      </c>
      <c r="C4002" t="s">
        <v>197</v>
      </c>
      <c r="D4002" t="s">
        <v>74</v>
      </c>
      <c r="E4002" t="s">
        <v>76</v>
      </c>
      <c r="F4002" s="55">
        <v>90</v>
      </c>
      <c r="G4002" s="63">
        <v>5.3E-3</v>
      </c>
    </row>
    <row r="4003" spans="1:7" x14ac:dyDescent="0.2">
      <c r="A4003" t="s">
        <v>71</v>
      </c>
      <c r="B4003" t="s">
        <v>156</v>
      </c>
      <c r="C4003" t="s">
        <v>197</v>
      </c>
      <c r="D4003" t="s">
        <v>74</v>
      </c>
      <c r="E4003" t="s">
        <v>77</v>
      </c>
      <c r="F4003" s="55">
        <v>120</v>
      </c>
      <c r="G4003" s="63">
        <v>1.49E-2</v>
      </c>
    </row>
    <row r="4004" spans="1:7" x14ac:dyDescent="0.2">
      <c r="A4004" t="s">
        <v>71</v>
      </c>
      <c r="B4004" t="s">
        <v>156</v>
      </c>
      <c r="C4004" t="s">
        <v>197</v>
      </c>
      <c r="D4004" t="s">
        <v>74</v>
      </c>
      <c r="E4004" t="s">
        <v>78</v>
      </c>
      <c r="F4004" s="55">
        <v>94</v>
      </c>
      <c r="G4004" s="63">
        <v>1.14E-2</v>
      </c>
    </row>
    <row r="4005" spans="1:7" x14ac:dyDescent="0.2">
      <c r="A4005" t="s">
        <v>71</v>
      </c>
      <c r="B4005" t="s">
        <v>156</v>
      </c>
      <c r="C4005" t="s">
        <v>197</v>
      </c>
      <c r="D4005" t="s">
        <v>74</v>
      </c>
      <c r="E4005" t="s">
        <v>79</v>
      </c>
      <c r="F4005" s="55">
        <v>82</v>
      </c>
      <c r="G4005" s="63">
        <v>2.8799999999999999E-2</v>
      </c>
    </row>
    <row r="4006" spans="1:7" x14ac:dyDescent="0.2">
      <c r="A4006" t="s">
        <v>71</v>
      </c>
      <c r="B4006" t="s">
        <v>156</v>
      </c>
      <c r="C4006" t="s">
        <v>197</v>
      </c>
      <c r="D4006" t="s">
        <v>74</v>
      </c>
      <c r="E4006" t="s">
        <v>80</v>
      </c>
      <c r="F4006" s="55">
        <v>55</v>
      </c>
      <c r="G4006" s="63">
        <v>7.4000000000000003E-3</v>
      </c>
    </row>
    <row r="4007" spans="1:7" x14ac:dyDescent="0.2">
      <c r="A4007" t="s">
        <v>71</v>
      </c>
      <c r="B4007" t="s">
        <v>156</v>
      </c>
      <c r="C4007" t="s">
        <v>197</v>
      </c>
      <c r="D4007" t="s">
        <v>74</v>
      </c>
      <c r="E4007" t="s">
        <v>81</v>
      </c>
      <c r="F4007" s="55">
        <v>67</v>
      </c>
      <c r="G4007" s="63">
        <v>9.4999999999999998E-3</v>
      </c>
    </row>
    <row r="4008" spans="1:7" x14ac:dyDescent="0.2">
      <c r="A4008" t="s">
        <v>71</v>
      </c>
      <c r="B4008" t="s">
        <v>156</v>
      </c>
      <c r="C4008" t="s">
        <v>197</v>
      </c>
      <c r="D4008" t="s">
        <v>74</v>
      </c>
      <c r="E4008" t="s">
        <v>82</v>
      </c>
      <c r="F4008" s="55">
        <v>57</v>
      </c>
      <c r="G4008" s="63">
        <v>1.9199999999999998E-2</v>
      </c>
    </row>
    <row r="4009" spans="1:7" x14ac:dyDescent="0.2">
      <c r="A4009" t="s">
        <v>71</v>
      </c>
      <c r="B4009" t="s">
        <v>156</v>
      </c>
      <c r="C4009" t="s">
        <v>197</v>
      </c>
      <c r="D4009" t="s">
        <v>74</v>
      </c>
      <c r="E4009" t="s">
        <v>83</v>
      </c>
      <c r="F4009" s="55">
        <v>78</v>
      </c>
      <c r="G4009" s="63">
        <v>4.7000000000000002E-3</v>
      </c>
    </row>
    <row r="4010" spans="1:7" x14ac:dyDescent="0.2">
      <c r="A4010" t="s">
        <v>71</v>
      </c>
      <c r="B4010" t="s">
        <v>156</v>
      </c>
      <c r="C4010" t="s">
        <v>197</v>
      </c>
      <c r="D4010" t="s">
        <v>74</v>
      </c>
      <c r="E4010" t="s">
        <v>84</v>
      </c>
      <c r="F4010" s="55">
        <v>100</v>
      </c>
      <c r="G4010" s="63">
        <v>8.0000000000000002E-3</v>
      </c>
    </row>
    <row r="4011" spans="1:7" x14ac:dyDescent="0.2">
      <c r="A4011" t="s">
        <v>71</v>
      </c>
      <c r="B4011" t="s">
        <v>156</v>
      </c>
      <c r="C4011" t="s">
        <v>197</v>
      </c>
      <c r="D4011" t="s">
        <v>74</v>
      </c>
      <c r="E4011" t="s">
        <v>85</v>
      </c>
      <c r="F4011" s="55">
        <v>74</v>
      </c>
      <c r="G4011" s="63">
        <v>7.6E-3</v>
      </c>
    </row>
    <row r="4012" spans="1:7" x14ac:dyDescent="0.2">
      <c r="A4012" t="s">
        <v>71</v>
      </c>
      <c r="B4012" t="s">
        <v>156</v>
      </c>
      <c r="C4012" t="s">
        <v>197</v>
      </c>
      <c r="D4012" t="s">
        <v>74</v>
      </c>
      <c r="E4012" t="s">
        <v>86</v>
      </c>
      <c r="F4012" s="55">
        <v>87</v>
      </c>
      <c r="G4012" s="63">
        <v>1.17E-2</v>
      </c>
    </row>
    <row r="4013" spans="1:7" x14ac:dyDescent="0.2">
      <c r="A4013" t="s">
        <v>71</v>
      </c>
      <c r="B4013" t="s">
        <v>156</v>
      </c>
      <c r="C4013" t="s">
        <v>197</v>
      </c>
      <c r="D4013" t="s">
        <v>74</v>
      </c>
      <c r="E4013" t="s">
        <v>87</v>
      </c>
      <c r="F4013" s="55">
        <v>85</v>
      </c>
      <c r="G4013" s="63">
        <v>1.14E-2</v>
      </c>
    </row>
    <row r="4014" spans="1:7" x14ac:dyDescent="0.2">
      <c r="A4014" t="s">
        <v>71</v>
      </c>
      <c r="B4014" t="s">
        <v>156</v>
      </c>
      <c r="C4014" t="s">
        <v>197</v>
      </c>
      <c r="D4014" t="s">
        <v>74</v>
      </c>
      <c r="E4014" t="s">
        <v>88</v>
      </c>
      <c r="F4014" s="55">
        <v>82</v>
      </c>
      <c r="G4014" s="63">
        <v>8.3000000000000001E-3</v>
      </c>
    </row>
    <row r="4015" spans="1:7" x14ac:dyDescent="0.2">
      <c r="A4015" t="s">
        <v>89</v>
      </c>
      <c r="B4015" t="s">
        <v>157</v>
      </c>
      <c r="C4015" t="s">
        <v>197</v>
      </c>
      <c r="D4015" t="s">
        <v>74</v>
      </c>
      <c r="E4015" t="s">
        <v>75</v>
      </c>
      <c r="F4015" s="55">
        <v>129</v>
      </c>
      <c r="G4015" s="63">
        <v>5.5E-2</v>
      </c>
    </row>
    <row r="4016" spans="1:7" x14ac:dyDescent="0.2">
      <c r="A4016" t="s">
        <v>89</v>
      </c>
      <c r="B4016" t="s">
        <v>157</v>
      </c>
      <c r="C4016" t="s">
        <v>197</v>
      </c>
      <c r="D4016" t="s">
        <v>74</v>
      </c>
      <c r="E4016" t="s">
        <v>76</v>
      </c>
      <c r="F4016" s="55">
        <v>107</v>
      </c>
      <c r="G4016" s="63">
        <v>4.7000000000000002E-3</v>
      </c>
    </row>
    <row r="4017" spans="1:7" x14ac:dyDescent="0.2">
      <c r="A4017" t="s">
        <v>89</v>
      </c>
      <c r="B4017" t="s">
        <v>157</v>
      </c>
      <c r="C4017" t="s">
        <v>197</v>
      </c>
      <c r="D4017" t="s">
        <v>74</v>
      </c>
      <c r="E4017" t="s">
        <v>77</v>
      </c>
      <c r="F4017" s="55">
        <v>131</v>
      </c>
      <c r="G4017" s="63">
        <v>2.0899999999999998E-2</v>
      </c>
    </row>
    <row r="4018" spans="1:7" x14ac:dyDescent="0.2">
      <c r="A4018" t="s">
        <v>89</v>
      </c>
      <c r="B4018" t="s">
        <v>157</v>
      </c>
      <c r="C4018" t="s">
        <v>197</v>
      </c>
      <c r="D4018" t="s">
        <v>74</v>
      </c>
      <c r="E4018" t="s">
        <v>78</v>
      </c>
      <c r="F4018" s="55">
        <v>123</v>
      </c>
      <c r="G4018" s="63">
        <v>1.4999999999999999E-2</v>
      </c>
    </row>
    <row r="4019" spans="1:7" x14ac:dyDescent="0.2">
      <c r="A4019" t="s">
        <v>89</v>
      </c>
      <c r="B4019" t="s">
        <v>157</v>
      </c>
      <c r="C4019" t="s">
        <v>197</v>
      </c>
      <c r="D4019" t="s">
        <v>74</v>
      </c>
      <c r="E4019" t="s">
        <v>79</v>
      </c>
      <c r="F4019" s="55">
        <v>134</v>
      </c>
      <c r="G4019" s="63">
        <v>3.49E-2</v>
      </c>
    </row>
    <row r="4020" spans="1:7" x14ac:dyDescent="0.2">
      <c r="A4020" t="s">
        <v>89</v>
      </c>
      <c r="B4020" t="s">
        <v>157</v>
      </c>
      <c r="C4020" t="s">
        <v>197</v>
      </c>
      <c r="D4020" t="s">
        <v>74</v>
      </c>
      <c r="E4020" t="s">
        <v>80</v>
      </c>
      <c r="F4020" s="55">
        <v>127</v>
      </c>
      <c r="G4020" s="63">
        <v>1.49E-2</v>
      </c>
    </row>
    <row r="4021" spans="1:7" x14ac:dyDescent="0.2">
      <c r="A4021" t="s">
        <v>89</v>
      </c>
      <c r="B4021" t="s">
        <v>157</v>
      </c>
      <c r="C4021" t="s">
        <v>197</v>
      </c>
      <c r="D4021" t="s">
        <v>74</v>
      </c>
      <c r="E4021" t="s">
        <v>81</v>
      </c>
      <c r="F4021" s="55">
        <v>129</v>
      </c>
      <c r="G4021" s="63">
        <v>1.0999999999999999E-2</v>
      </c>
    </row>
    <row r="4022" spans="1:7" x14ac:dyDescent="0.2">
      <c r="A4022" t="s">
        <v>89</v>
      </c>
      <c r="B4022" t="s">
        <v>157</v>
      </c>
      <c r="C4022" t="s">
        <v>197</v>
      </c>
      <c r="D4022" t="s">
        <v>74</v>
      </c>
      <c r="E4022" t="s">
        <v>82</v>
      </c>
      <c r="F4022" s="55">
        <v>120</v>
      </c>
      <c r="G4022" s="63">
        <v>2.2599999999999999E-2</v>
      </c>
    </row>
    <row r="4023" spans="1:7" x14ac:dyDescent="0.2">
      <c r="A4023" t="s">
        <v>89</v>
      </c>
      <c r="B4023" t="s">
        <v>157</v>
      </c>
      <c r="C4023" t="s">
        <v>197</v>
      </c>
      <c r="D4023" t="s">
        <v>74</v>
      </c>
      <c r="E4023" t="s">
        <v>84</v>
      </c>
      <c r="F4023" s="55">
        <v>129</v>
      </c>
      <c r="G4023" s="63">
        <v>1.17E-2</v>
      </c>
    </row>
    <row r="4024" spans="1:7" x14ac:dyDescent="0.2">
      <c r="A4024" t="s">
        <v>89</v>
      </c>
      <c r="B4024" t="s">
        <v>157</v>
      </c>
      <c r="C4024" t="s">
        <v>197</v>
      </c>
      <c r="D4024" t="s">
        <v>74</v>
      </c>
      <c r="E4024" t="s">
        <v>85</v>
      </c>
      <c r="F4024" s="55">
        <v>130</v>
      </c>
      <c r="G4024" s="63">
        <v>1.5800000000000002E-2</v>
      </c>
    </row>
    <row r="4025" spans="1:7" x14ac:dyDescent="0.2">
      <c r="A4025" t="s">
        <v>89</v>
      </c>
      <c r="B4025" t="s">
        <v>157</v>
      </c>
      <c r="C4025" t="s">
        <v>197</v>
      </c>
      <c r="D4025" t="s">
        <v>74</v>
      </c>
      <c r="E4025" t="s">
        <v>86</v>
      </c>
      <c r="F4025" s="55">
        <v>138</v>
      </c>
      <c r="G4025" s="63">
        <v>1.7999999999999999E-2</v>
      </c>
    </row>
    <row r="4026" spans="1:7" x14ac:dyDescent="0.2">
      <c r="A4026" t="s">
        <v>89</v>
      </c>
      <c r="B4026" t="s">
        <v>157</v>
      </c>
      <c r="C4026" t="s">
        <v>197</v>
      </c>
      <c r="D4026" t="s">
        <v>74</v>
      </c>
      <c r="E4026" t="s">
        <v>87</v>
      </c>
      <c r="F4026" s="55">
        <v>136</v>
      </c>
      <c r="G4026" s="63">
        <v>1.9599999999999999E-2</v>
      </c>
    </row>
    <row r="4027" spans="1:7" x14ac:dyDescent="0.2">
      <c r="A4027" t="s">
        <v>89</v>
      </c>
      <c r="B4027" t="s">
        <v>157</v>
      </c>
      <c r="C4027" t="s">
        <v>197</v>
      </c>
      <c r="D4027" t="s">
        <v>74</v>
      </c>
      <c r="E4027" t="s">
        <v>88</v>
      </c>
      <c r="F4027" s="55">
        <v>116</v>
      </c>
      <c r="G4027" s="63">
        <v>7.7999999999999996E-3</v>
      </c>
    </row>
    <row r="4028" spans="1:7" x14ac:dyDescent="0.2">
      <c r="A4028" t="s">
        <v>89</v>
      </c>
      <c r="B4028" t="s">
        <v>158</v>
      </c>
      <c r="C4028" t="s">
        <v>197</v>
      </c>
      <c r="D4028" t="s">
        <v>91</v>
      </c>
      <c r="E4028" t="s">
        <v>75</v>
      </c>
      <c r="F4028" s="55">
        <v>115</v>
      </c>
      <c r="G4028" s="63">
        <v>0.88939999999999997</v>
      </c>
    </row>
    <row r="4029" spans="1:7" x14ac:dyDescent="0.2">
      <c r="A4029" t="s">
        <v>89</v>
      </c>
      <c r="B4029" t="s">
        <v>158</v>
      </c>
      <c r="C4029" t="s">
        <v>197</v>
      </c>
      <c r="D4029" t="s">
        <v>91</v>
      </c>
      <c r="E4029" t="s">
        <v>76</v>
      </c>
      <c r="F4029" s="55">
        <v>109</v>
      </c>
      <c r="G4029" s="63">
        <v>0.28589999999999999</v>
      </c>
    </row>
    <row r="4030" spans="1:7" x14ac:dyDescent="0.2">
      <c r="A4030" t="s">
        <v>89</v>
      </c>
      <c r="B4030" t="s">
        <v>158</v>
      </c>
      <c r="C4030" t="s">
        <v>197</v>
      </c>
      <c r="D4030" t="s">
        <v>91</v>
      </c>
      <c r="E4030" t="s">
        <v>77</v>
      </c>
      <c r="F4030" s="55">
        <v>117</v>
      </c>
      <c r="G4030" s="63">
        <v>0.56020000000000003</v>
      </c>
    </row>
    <row r="4031" spans="1:7" x14ac:dyDescent="0.2">
      <c r="A4031" t="s">
        <v>89</v>
      </c>
      <c r="B4031" t="s">
        <v>158</v>
      </c>
      <c r="C4031" t="s">
        <v>197</v>
      </c>
      <c r="D4031" t="s">
        <v>91</v>
      </c>
      <c r="E4031" t="s">
        <v>78</v>
      </c>
      <c r="F4031" s="55">
        <v>122</v>
      </c>
      <c r="G4031" s="63">
        <v>0.56200000000000006</v>
      </c>
    </row>
    <row r="4032" spans="1:7" x14ac:dyDescent="0.2">
      <c r="A4032" t="s">
        <v>89</v>
      </c>
      <c r="B4032" t="s">
        <v>158</v>
      </c>
      <c r="C4032" t="s">
        <v>197</v>
      </c>
      <c r="D4032" t="s">
        <v>91</v>
      </c>
      <c r="E4032" t="s">
        <v>79</v>
      </c>
      <c r="F4032" s="55">
        <v>114</v>
      </c>
      <c r="G4032" s="63">
        <v>0.85440000000000005</v>
      </c>
    </row>
    <row r="4033" spans="1:7" x14ac:dyDescent="0.2">
      <c r="A4033" t="s">
        <v>89</v>
      </c>
      <c r="B4033" t="s">
        <v>158</v>
      </c>
      <c r="C4033" t="s">
        <v>197</v>
      </c>
      <c r="D4033" t="s">
        <v>91</v>
      </c>
      <c r="E4033" t="s">
        <v>80</v>
      </c>
      <c r="F4033" s="55">
        <v>114</v>
      </c>
      <c r="G4033" s="63">
        <v>0.49459999999999998</v>
      </c>
    </row>
    <row r="4034" spans="1:7" x14ac:dyDescent="0.2">
      <c r="A4034" t="s">
        <v>89</v>
      </c>
      <c r="B4034" t="s">
        <v>158</v>
      </c>
      <c r="C4034" t="s">
        <v>197</v>
      </c>
      <c r="D4034" t="s">
        <v>91</v>
      </c>
      <c r="E4034" t="s">
        <v>81</v>
      </c>
      <c r="F4034" s="55">
        <v>111</v>
      </c>
      <c r="G4034" s="63">
        <v>0.41959999999999997</v>
      </c>
    </row>
    <row r="4035" spans="1:7" x14ac:dyDescent="0.2">
      <c r="A4035" t="s">
        <v>89</v>
      </c>
      <c r="B4035" t="s">
        <v>158</v>
      </c>
      <c r="C4035" t="s">
        <v>197</v>
      </c>
      <c r="D4035" t="s">
        <v>91</v>
      </c>
      <c r="E4035" t="s">
        <v>82</v>
      </c>
      <c r="F4035" s="55">
        <v>112</v>
      </c>
      <c r="G4035" s="63">
        <v>0.79090000000000005</v>
      </c>
    </row>
    <row r="4036" spans="1:7" x14ac:dyDescent="0.2">
      <c r="A4036" t="s">
        <v>89</v>
      </c>
      <c r="B4036" t="s">
        <v>158</v>
      </c>
      <c r="C4036" t="s">
        <v>197</v>
      </c>
      <c r="D4036" t="s">
        <v>91</v>
      </c>
      <c r="E4036" t="s">
        <v>83</v>
      </c>
      <c r="F4036" s="55">
        <v>108</v>
      </c>
      <c r="G4036" s="63">
        <v>0.20569999999999999</v>
      </c>
    </row>
    <row r="4037" spans="1:7" x14ac:dyDescent="0.2">
      <c r="A4037" t="s">
        <v>89</v>
      </c>
      <c r="B4037" t="s">
        <v>158</v>
      </c>
      <c r="C4037" t="s">
        <v>197</v>
      </c>
      <c r="D4037" t="s">
        <v>91</v>
      </c>
      <c r="E4037" t="s">
        <v>84</v>
      </c>
      <c r="F4037" s="55">
        <v>123</v>
      </c>
      <c r="G4037" s="63">
        <v>0.49459999999999998</v>
      </c>
    </row>
    <row r="4038" spans="1:7" x14ac:dyDescent="0.2">
      <c r="A4038" t="s">
        <v>89</v>
      </c>
      <c r="B4038" t="s">
        <v>158</v>
      </c>
      <c r="C4038" t="s">
        <v>197</v>
      </c>
      <c r="D4038" t="s">
        <v>91</v>
      </c>
      <c r="E4038" t="s">
        <v>85</v>
      </c>
      <c r="F4038" s="55">
        <v>114</v>
      </c>
      <c r="G4038" s="63">
        <v>0.64039999999999997</v>
      </c>
    </row>
    <row r="4039" spans="1:7" x14ac:dyDescent="0.2">
      <c r="A4039" t="s">
        <v>89</v>
      </c>
      <c r="B4039" t="s">
        <v>158</v>
      </c>
      <c r="C4039" t="s">
        <v>197</v>
      </c>
      <c r="D4039" t="s">
        <v>91</v>
      </c>
      <c r="E4039" t="s">
        <v>86</v>
      </c>
      <c r="F4039" s="55">
        <v>115</v>
      </c>
      <c r="G4039" s="63">
        <v>0.7399</v>
      </c>
    </row>
    <row r="4040" spans="1:7" x14ac:dyDescent="0.2">
      <c r="A4040" t="s">
        <v>89</v>
      </c>
      <c r="B4040" t="s">
        <v>158</v>
      </c>
      <c r="C4040" t="s">
        <v>197</v>
      </c>
      <c r="D4040" t="s">
        <v>91</v>
      </c>
      <c r="E4040" t="s">
        <v>87</v>
      </c>
      <c r="F4040" s="55">
        <v>115</v>
      </c>
      <c r="G4040" s="63">
        <v>0.75949999999999995</v>
      </c>
    </row>
    <row r="4041" spans="1:7" x14ac:dyDescent="0.2">
      <c r="A4041" t="s">
        <v>89</v>
      </c>
      <c r="B4041" t="s">
        <v>158</v>
      </c>
      <c r="C4041" t="s">
        <v>197</v>
      </c>
      <c r="D4041" t="s">
        <v>91</v>
      </c>
      <c r="E4041" t="s">
        <v>88</v>
      </c>
      <c r="F4041" s="55">
        <v>110</v>
      </c>
      <c r="G4041" s="63">
        <v>0.40989999999999999</v>
      </c>
    </row>
    <row r="4042" spans="1:7" x14ac:dyDescent="0.2">
      <c r="A4042" t="s">
        <v>71</v>
      </c>
      <c r="B4042" t="s">
        <v>159</v>
      </c>
      <c r="C4042" t="s">
        <v>197</v>
      </c>
      <c r="D4042" t="s">
        <v>74</v>
      </c>
      <c r="E4042" t="s">
        <v>75</v>
      </c>
      <c r="F4042" s="55">
        <v>96</v>
      </c>
      <c r="G4042" s="63">
        <v>0.30020000000000002</v>
      </c>
    </row>
    <row r="4043" spans="1:7" x14ac:dyDescent="0.2">
      <c r="A4043" t="s">
        <v>71</v>
      </c>
      <c r="B4043" t="s">
        <v>159</v>
      </c>
      <c r="C4043" t="s">
        <v>197</v>
      </c>
      <c r="D4043" t="s">
        <v>74</v>
      </c>
      <c r="E4043" t="s">
        <v>76</v>
      </c>
      <c r="F4043" s="55">
        <v>89</v>
      </c>
      <c r="G4043" s="63">
        <v>1.9199999999999998E-2</v>
      </c>
    </row>
    <row r="4044" spans="1:7" x14ac:dyDescent="0.2">
      <c r="A4044" t="s">
        <v>71</v>
      </c>
      <c r="B4044" t="s">
        <v>159</v>
      </c>
      <c r="C4044" t="s">
        <v>197</v>
      </c>
      <c r="D4044" t="s">
        <v>74</v>
      </c>
      <c r="E4044" t="s">
        <v>77</v>
      </c>
      <c r="F4044" s="55">
        <v>100</v>
      </c>
      <c r="G4044" s="63">
        <v>0.1176</v>
      </c>
    </row>
    <row r="4045" spans="1:7" x14ac:dyDescent="0.2">
      <c r="A4045" t="s">
        <v>71</v>
      </c>
      <c r="B4045" t="s">
        <v>159</v>
      </c>
      <c r="C4045" t="s">
        <v>197</v>
      </c>
      <c r="D4045" t="s">
        <v>74</v>
      </c>
      <c r="E4045" t="s">
        <v>78</v>
      </c>
      <c r="F4045" s="55">
        <v>94</v>
      </c>
      <c r="G4045" s="63">
        <v>9.4799999999999995E-2</v>
      </c>
    </row>
    <row r="4046" spans="1:7" x14ac:dyDescent="0.2">
      <c r="A4046" t="s">
        <v>71</v>
      </c>
      <c r="B4046" t="s">
        <v>159</v>
      </c>
      <c r="C4046" t="s">
        <v>197</v>
      </c>
      <c r="D4046" t="s">
        <v>74</v>
      </c>
      <c r="E4046" t="s">
        <v>79</v>
      </c>
      <c r="F4046" s="55">
        <v>99</v>
      </c>
      <c r="G4046" s="63">
        <v>0.21199999999999999</v>
      </c>
    </row>
    <row r="4047" spans="1:7" x14ac:dyDescent="0.2">
      <c r="A4047" t="s">
        <v>71</v>
      </c>
      <c r="B4047" t="s">
        <v>159</v>
      </c>
      <c r="C4047" t="s">
        <v>197</v>
      </c>
      <c r="D4047" t="s">
        <v>74</v>
      </c>
      <c r="E4047" t="s">
        <v>80</v>
      </c>
      <c r="F4047" s="55">
        <v>87</v>
      </c>
      <c r="G4047" s="63">
        <v>7.9600000000000004E-2</v>
      </c>
    </row>
    <row r="4048" spans="1:7" x14ac:dyDescent="0.2">
      <c r="A4048" t="s">
        <v>71</v>
      </c>
      <c r="B4048" t="s">
        <v>159</v>
      </c>
      <c r="C4048" t="s">
        <v>197</v>
      </c>
      <c r="D4048" t="s">
        <v>74</v>
      </c>
      <c r="E4048" t="s">
        <v>81</v>
      </c>
      <c r="F4048" s="55">
        <v>84</v>
      </c>
      <c r="G4048" s="63">
        <v>7.6799999999999993E-2</v>
      </c>
    </row>
    <row r="4049" spans="1:7" x14ac:dyDescent="0.2">
      <c r="A4049" t="s">
        <v>71</v>
      </c>
      <c r="B4049" t="s">
        <v>159</v>
      </c>
      <c r="C4049" t="s">
        <v>197</v>
      </c>
      <c r="D4049" t="s">
        <v>74</v>
      </c>
      <c r="E4049" t="s">
        <v>82</v>
      </c>
      <c r="F4049" s="55">
        <v>95</v>
      </c>
      <c r="G4049" s="63">
        <v>0.13619999999999999</v>
      </c>
    </row>
    <row r="4050" spans="1:7" x14ac:dyDescent="0.2">
      <c r="A4050" t="s">
        <v>71</v>
      </c>
      <c r="B4050" t="s">
        <v>159</v>
      </c>
      <c r="C4050" t="s">
        <v>197</v>
      </c>
      <c r="D4050" t="s">
        <v>74</v>
      </c>
      <c r="E4050" t="s">
        <v>83</v>
      </c>
      <c r="F4050" s="55">
        <v>90</v>
      </c>
      <c r="G4050" s="63">
        <v>2.93E-2</v>
      </c>
    </row>
    <row r="4051" spans="1:7" x14ac:dyDescent="0.2">
      <c r="A4051" t="s">
        <v>71</v>
      </c>
      <c r="B4051" t="s">
        <v>159</v>
      </c>
      <c r="C4051" t="s">
        <v>197</v>
      </c>
      <c r="D4051" t="s">
        <v>74</v>
      </c>
      <c r="E4051" t="s">
        <v>84</v>
      </c>
      <c r="F4051" s="55">
        <v>96</v>
      </c>
      <c r="G4051" s="63">
        <v>7.6899999999999996E-2</v>
      </c>
    </row>
    <row r="4052" spans="1:7" x14ac:dyDescent="0.2">
      <c r="A4052" t="s">
        <v>71</v>
      </c>
      <c r="B4052" t="s">
        <v>159</v>
      </c>
      <c r="C4052" t="s">
        <v>197</v>
      </c>
      <c r="D4052" t="s">
        <v>74</v>
      </c>
      <c r="E4052" t="s">
        <v>85</v>
      </c>
      <c r="F4052" s="55">
        <v>96</v>
      </c>
      <c r="G4052" s="63">
        <v>8.8999999999999996E-2</v>
      </c>
    </row>
    <row r="4053" spans="1:7" x14ac:dyDescent="0.2">
      <c r="A4053" t="s">
        <v>71</v>
      </c>
      <c r="B4053" t="s">
        <v>159</v>
      </c>
      <c r="C4053" t="s">
        <v>197</v>
      </c>
      <c r="D4053" t="s">
        <v>74</v>
      </c>
      <c r="E4053" t="s">
        <v>86</v>
      </c>
      <c r="F4053" s="55">
        <v>100</v>
      </c>
      <c r="G4053" s="63">
        <v>0.1067</v>
      </c>
    </row>
    <row r="4054" spans="1:7" x14ac:dyDescent="0.2">
      <c r="A4054" t="s">
        <v>71</v>
      </c>
      <c r="B4054" t="s">
        <v>159</v>
      </c>
      <c r="C4054" t="s">
        <v>197</v>
      </c>
      <c r="D4054" t="s">
        <v>74</v>
      </c>
      <c r="E4054" t="s">
        <v>87</v>
      </c>
      <c r="F4054" s="55">
        <v>100</v>
      </c>
      <c r="G4054" s="63">
        <v>0.1173</v>
      </c>
    </row>
    <row r="4055" spans="1:7" x14ac:dyDescent="0.2">
      <c r="A4055" t="s">
        <v>71</v>
      </c>
      <c r="B4055" t="s">
        <v>159</v>
      </c>
      <c r="C4055" t="s">
        <v>197</v>
      </c>
      <c r="D4055" t="s">
        <v>74</v>
      </c>
      <c r="E4055" t="s">
        <v>88</v>
      </c>
      <c r="F4055" s="55">
        <v>84</v>
      </c>
      <c r="G4055" s="63">
        <v>3.6999999999999998E-2</v>
      </c>
    </row>
    <row r="4056" spans="1:7" x14ac:dyDescent="0.2">
      <c r="A4056" t="s">
        <v>89</v>
      </c>
      <c r="B4056" t="s">
        <v>160</v>
      </c>
      <c r="C4056" t="s">
        <v>197</v>
      </c>
      <c r="D4056" t="s">
        <v>74</v>
      </c>
      <c r="E4056" t="s">
        <v>75</v>
      </c>
      <c r="F4056" s="55">
        <v>102</v>
      </c>
      <c r="G4056" s="63">
        <v>1.9599999999999999E-2</v>
      </c>
    </row>
    <row r="4057" spans="1:7" x14ac:dyDescent="0.2">
      <c r="A4057" t="s">
        <v>89</v>
      </c>
      <c r="B4057" t="s">
        <v>160</v>
      </c>
      <c r="C4057" t="s">
        <v>197</v>
      </c>
      <c r="D4057" t="s">
        <v>74</v>
      </c>
      <c r="E4057" t="s">
        <v>77</v>
      </c>
      <c r="F4057" s="55">
        <v>102</v>
      </c>
      <c r="G4057" s="63">
        <v>5.1999999999999998E-3</v>
      </c>
    </row>
    <row r="4058" spans="1:7" x14ac:dyDescent="0.2">
      <c r="A4058" t="s">
        <v>89</v>
      </c>
      <c r="B4058" t="s">
        <v>160</v>
      </c>
      <c r="C4058" t="s">
        <v>197</v>
      </c>
      <c r="D4058" t="s">
        <v>74</v>
      </c>
      <c r="E4058" t="s">
        <v>78</v>
      </c>
      <c r="F4058" s="55">
        <v>98</v>
      </c>
      <c r="G4058" s="63">
        <v>4.7999999999999996E-3</v>
      </c>
    </row>
    <row r="4059" spans="1:7" x14ac:dyDescent="0.2">
      <c r="A4059" t="s">
        <v>89</v>
      </c>
      <c r="B4059" t="s">
        <v>160</v>
      </c>
      <c r="C4059" t="s">
        <v>197</v>
      </c>
      <c r="D4059" t="s">
        <v>74</v>
      </c>
      <c r="E4059" t="s">
        <v>79</v>
      </c>
      <c r="F4059" s="55">
        <v>125</v>
      </c>
      <c r="G4059" s="63">
        <v>1.21E-2</v>
      </c>
    </row>
    <row r="4060" spans="1:7" x14ac:dyDescent="0.2">
      <c r="A4060" t="s">
        <v>89</v>
      </c>
      <c r="B4060" t="s">
        <v>160</v>
      </c>
      <c r="C4060" t="s">
        <v>197</v>
      </c>
      <c r="D4060" t="s">
        <v>74</v>
      </c>
      <c r="E4060" t="s">
        <v>80</v>
      </c>
      <c r="F4060" s="55">
        <v>86</v>
      </c>
      <c r="G4060" s="63">
        <v>4.1999999999999997E-3</v>
      </c>
    </row>
    <row r="4061" spans="1:7" x14ac:dyDescent="0.2">
      <c r="A4061" t="s">
        <v>89</v>
      </c>
      <c r="B4061" t="s">
        <v>160</v>
      </c>
      <c r="C4061" t="s">
        <v>197</v>
      </c>
      <c r="D4061" t="s">
        <v>74</v>
      </c>
      <c r="E4061" t="s">
        <v>82</v>
      </c>
      <c r="F4061" s="55">
        <v>124</v>
      </c>
      <c r="G4061" s="63">
        <v>8.0000000000000002E-3</v>
      </c>
    </row>
    <row r="4062" spans="1:7" x14ac:dyDescent="0.2">
      <c r="A4062" t="s">
        <v>89</v>
      </c>
      <c r="B4062" t="s">
        <v>160</v>
      </c>
      <c r="C4062" t="s">
        <v>197</v>
      </c>
      <c r="D4062" t="s">
        <v>74</v>
      </c>
      <c r="E4062" t="s">
        <v>85</v>
      </c>
      <c r="F4062" s="55">
        <v>105</v>
      </c>
      <c r="G4062" s="63">
        <v>4.1000000000000003E-3</v>
      </c>
    </row>
    <row r="4063" spans="1:7" x14ac:dyDescent="0.2">
      <c r="A4063" t="s">
        <v>89</v>
      </c>
      <c r="B4063" t="s">
        <v>160</v>
      </c>
      <c r="C4063" t="s">
        <v>197</v>
      </c>
      <c r="D4063" t="s">
        <v>74</v>
      </c>
      <c r="E4063" t="s">
        <v>86</v>
      </c>
      <c r="F4063" s="55">
        <v>122</v>
      </c>
      <c r="G4063" s="63">
        <v>5.7999999999999996E-3</v>
      </c>
    </row>
    <row r="4064" spans="1:7" x14ac:dyDescent="0.2">
      <c r="A4064" t="s">
        <v>89</v>
      </c>
      <c r="B4064" t="s">
        <v>160</v>
      </c>
      <c r="C4064" t="s">
        <v>197</v>
      </c>
      <c r="D4064" t="s">
        <v>74</v>
      </c>
      <c r="E4064" t="s">
        <v>87</v>
      </c>
      <c r="F4064" s="55">
        <v>131</v>
      </c>
      <c r="G4064" s="63">
        <v>6.4999999999999997E-3</v>
      </c>
    </row>
    <row r="4065" spans="1:7" x14ac:dyDescent="0.2">
      <c r="A4065" t="s">
        <v>71</v>
      </c>
      <c r="B4065" t="s">
        <v>161</v>
      </c>
      <c r="C4065" t="s">
        <v>197</v>
      </c>
      <c r="D4065" t="s">
        <v>74</v>
      </c>
      <c r="E4065" t="s">
        <v>75</v>
      </c>
      <c r="F4065" s="55">
        <v>57</v>
      </c>
      <c r="G4065" s="63">
        <v>4.3700000000000003E-2</v>
      </c>
    </row>
    <row r="4066" spans="1:7" x14ac:dyDescent="0.2">
      <c r="A4066" t="s">
        <v>71</v>
      </c>
      <c r="B4066" t="s">
        <v>161</v>
      </c>
      <c r="C4066" t="s">
        <v>197</v>
      </c>
      <c r="D4066" t="s">
        <v>74</v>
      </c>
      <c r="E4066" t="s">
        <v>77</v>
      </c>
      <c r="F4066" s="55">
        <v>51</v>
      </c>
      <c r="G4066" s="63">
        <v>1.01E-2</v>
      </c>
    </row>
    <row r="4067" spans="1:7" x14ac:dyDescent="0.2">
      <c r="A4067" t="s">
        <v>71</v>
      </c>
      <c r="B4067" t="s">
        <v>161</v>
      </c>
      <c r="C4067" t="s">
        <v>197</v>
      </c>
      <c r="D4067" t="s">
        <v>74</v>
      </c>
      <c r="E4067" t="s">
        <v>78</v>
      </c>
      <c r="F4067" s="55">
        <v>58</v>
      </c>
      <c r="G4067" s="63">
        <v>8.8000000000000005E-3</v>
      </c>
    </row>
    <row r="4068" spans="1:7" x14ac:dyDescent="0.2">
      <c r="A4068" t="s">
        <v>71</v>
      </c>
      <c r="B4068" t="s">
        <v>161</v>
      </c>
      <c r="C4068" t="s">
        <v>197</v>
      </c>
      <c r="D4068" t="s">
        <v>74</v>
      </c>
      <c r="E4068" t="s">
        <v>79</v>
      </c>
      <c r="F4068" s="55">
        <v>66</v>
      </c>
      <c r="G4068" s="63">
        <v>2.92E-2</v>
      </c>
    </row>
    <row r="4069" spans="1:7" x14ac:dyDescent="0.2">
      <c r="A4069" t="s">
        <v>71</v>
      </c>
      <c r="B4069" t="s">
        <v>161</v>
      </c>
      <c r="C4069" t="s">
        <v>197</v>
      </c>
      <c r="D4069" t="s">
        <v>74</v>
      </c>
      <c r="E4069" t="s">
        <v>80</v>
      </c>
      <c r="F4069" s="55">
        <v>55</v>
      </c>
      <c r="G4069" s="63">
        <v>1.03E-2</v>
      </c>
    </row>
    <row r="4070" spans="1:7" x14ac:dyDescent="0.2">
      <c r="A4070" t="s">
        <v>71</v>
      </c>
      <c r="B4070" t="s">
        <v>161</v>
      </c>
      <c r="C4070" t="s">
        <v>197</v>
      </c>
      <c r="D4070" t="s">
        <v>74</v>
      </c>
      <c r="E4070" t="s">
        <v>81</v>
      </c>
      <c r="F4070" s="55">
        <v>41</v>
      </c>
      <c r="G4070" s="63">
        <v>8.0999999999999996E-3</v>
      </c>
    </row>
    <row r="4071" spans="1:7" x14ac:dyDescent="0.2">
      <c r="A4071" t="s">
        <v>71</v>
      </c>
      <c r="B4071" t="s">
        <v>161</v>
      </c>
      <c r="C4071" t="s">
        <v>197</v>
      </c>
      <c r="D4071" t="s">
        <v>74</v>
      </c>
      <c r="E4071" t="s">
        <v>82</v>
      </c>
      <c r="F4071" s="55">
        <v>54</v>
      </c>
      <c r="G4071" s="63">
        <v>1.6400000000000001E-2</v>
      </c>
    </row>
    <row r="4072" spans="1:7" x14ac:dyDescent="0.2">
      <c r="A4072" t="s">
        <v>71</v>
      </c>
      <c r="B4072" t="s">
        <v>161</v>
      </c>
      <c r="C4072" t="s">
        <v>197</v>
      </c>
      <c r="D4072" t="s">
        <v>74</v>
      </c>
      <c r="E4072" t="s">
        <v>84</v>
      </c>
      <c r="F4072" s="55">
        <v>58</v>
      </c>
      <c r="G4072" s="63">
        <v>6.3E-3</v>
      </c>
    </row>
    <row r="4073" spans="1:7" x14ac:dyDescent="0.2">
      <c r="A4073" t="s">
        <v>71</v>
      </c>
      <c r="B4073" t="s">
        <v>161</v>
      </c>
      <c r="C4073" t="s">
        <v>197</v>
      </c>
      <c r="D4073" t="s">
        <v>74</v>
      </c>
      <c r="E4073" t="s">
        <v>85</v>
      </c>
      <c r="F4073" s="55">
        <v>68</v>
      </c>
      <c r="G4073" s="63">
        <v>1.37E-2</v>
      </c>
    </row>
    <row r="4074" spans="1:7" x14ac:dyDescent="0.2">
      <c r="A4074" t="s">
        <v>71</v>
      </c>
      <c r="B4074" t="s">
        <v>161</v>
      </c>
      <c r="C4074" t="s">
        <v>197</v>
      </c>
      <c r="D4074" t="s">
        <v>74</v>
      </c>
      <c r="E4074" t="s">
        <v>86</v>
      </c>
      <c r="F4074" s="55">
        <v>61</v>
      </c>
      <c r="G4074" s="63">
        <v>1.52E-2</v>
      </c>
    </row>
    <row r="4075" spans="1:7" x14ac:dyDescent="0.2">
      <c r="A4075" t="s">
        <v>71</v>
      </c>
      <c r="B4075" t="s">
        <v>161</v>
      </c>
      <c r="C4075" t="s">
        <v>197</v>
      </c>
      <c r="D4075" t="s">
        <v>74</v>
      </c>
      <c r="E4075" t="s">
        <v>87</v>
      </c>
      <c r="F4075" s="55">
        <v>64</v>
      </c>
      <c r="G4075" s="63">
        <v>1.5599999999999999E-2</v>
      </c>
    </row>
    <row r="4076" spans="1:7" x14ac:dyDescent="0.2">
      <c r="A4076" t="s">
        <v>71</v>
      </c>
      <c r="B4076" t="s">
        <v>161</v>
      </c>
      <c r="C4076" t="s">
        <v>197</v>
      </c>
      <c r="D4076" t="s">
        <v>74</v>
      </c>
      <c r="E4076" t="s">
        <v>88</v>
      </c>
      <c r="F4076" s="55">
        <v>26</v>
      </c>
      <c r="G4076" s="63">
        <v>5.3E-3</v>
      </c>
    </row>
    <row r="4077" spans="1:7" x14ac:dyDescent="0.2">
      <c r="A4077" t="s">
        <v>89</v>
      </c>
      <c r="B4077" t="s">
        <v>162</v>
      </c>
      <c r="C4077" t="s">
        <v>197</v>
      </c>
      <c r="D4077" t="s">
        <v>74</v>
      </c>
      <c r="E4077" t="s">
        <v>75</v>
      </c>
      <c r="F4077" s="55">
        <v>26</v>
      </c>
      <c r="G4077" s="63">
        <v>1.04E-2</v>
      </c>
    </row>
    <row r="4078" spans="1:7" x14ac:dyDescent="0.2">
      <c r="A4078" t="s">
        <v>89</v>
      </c>
      <c r="B4078" t="s">
        <v>162</v>
      </c>
      <c r="C4078" t="s">
        <v>197</v>
      </c>
      <c r="D4078" t="s">
        <v>74</v>
      </c>
      <c r="E4078" t="s">
        <v>79</v>
      </c>
      <c r="F4078" s="55">
        <v>22</v>
      </c>
      <c r="G4078" s="63">
        <v>6.0000000000000001E-3</v>
      </c>
    </row>
    <row r="4079" spans="1:7" x14ac:dyDescent="0.2">
      <c r="A4079" t="s">
        <v>89</v>
      </c>
      <c r="B4079" t="s">
        <v>162</v>
      </c>
      <c r="C4079" t="s">
        <v>197</v>
      </c>
      <c r="D4079" t="s">
        <v>74</v>
      </c>
      <c r="E4079" t="s">
        <v>82</v>
      </c>
      <c r="F4079" s="55">
        <v>23</v>
      </c>
      <c r="G4079" s="63">
        <v>4.4999999999999997E-3</v>
      </c>
    </row>
    <row r="4080" spans="1:7" x14ac:dyDescent="0.2">
      <c r="A4080" t="s">
        <v>71</v>
      </c>
      <c r="B4080" t="s">
        <v>163</v>
      </c>
      <c r="C4080" t="s">
        <v>197</v>
      </c>
      <c r="D4080" t="s">
        <v>74</v>
      </c>
      <c r="E4080" t="s">
        <v>75</v>
      </c>
      <c r="F4080" s="55">
        <v>80</v>
      </c>
      <c r="G4080" s="63">
        <v>0.1333</v>
      </c>
    </row>
    <row r="4081" spans="1:7" x14ac:dyDescent="0.2">
      <c r="A4081" t="s">
        <v>71</v>
      </c>
      <c r="B4081" t="s">
        <v>163</v>
      </c>
      <c r="C4081" t="s">
        <v>197</v>
      </c>
      <c r="D4081" t="s">
        <v>74</v>
      </c>
      <c r="E4081" t="s">
        <v>76</v>
      </c>
      <c r="F4081" s="55">
        <v>73</v>
      </c>
      <c r="G4081" s="63">
        <v>1.4200000000000001E-2</v>
      </c>
    </row>
    <row r="4082" spans="1:7" x14ac:dyDescent="0.2">
      <c r="A4082" t="s">
        <v>71</v>
      </c>
      <c r="B4082" t="s">
        <v>163</v>
      </c>
      <c r="C4082" t="s">
        <v>197</v>
      </c>
      <c r="D4082" t="s">
        <v>74</v>
      </c>
      <c r="E4082" t="s">
        <v>77</v>
      </c>
      <c r="F4082" s="55">
        <v>88</v>
      </c>
      <c r="G4082" s="63">
        <v>4.4499999999999998E-2</v>
      </c>
    </row>
    <row r="4083" spans="1:7" x14ac:dyDescent="0.2">
      <c r="A4083" t="s">
        <v>71</v>
      </c>
      <c r="B4083" t="s">
        <v>163</v>
      </c>
      <c r="C4083" t="s">
        <v>197</v>
      </c>
      <c r="D4083" t="s">
        <v>74</v>
      </c>
      <c r="E4083" t="s">
        <v>78</v>
      </c>
      <c r="F4083" s="55">
        <v>78</v>
      </c>
      <c r="G4083" s="63">
        <v>3.7100000000000001E-2</v>
      </c>
    </row>
    <row r="4084" spans="1:7" x14ac:dyDescent="0.2">
      <c r="A4084" t="s">
        <v>71</v>
      </c>
      <c r="B4084" t="s">
        <v>163</v>
      </c>
      <c r="C4084" t="s">
        <v>197</v>
      </c>
      <c r="D4084" t="s">
        <v>74</v>
      </c>
      <c r="E4084" t="s">
        <v>79</v>
      </c>
      <c r="F4084" s="55">
        <v>80</v>
      </c>
      <c r="G4084" s="63">
        <v>8.9200000000000002E-2</v>
      </c>
    </row>
    <row r="4085" spans="1:7" x14ac:dyDescent="0.2">
      <c r="A4085" t="s">
        <v>71</v>
      </c>
      <c r="B4085" t="s">
        <v>163</v>
      </c>
      <c r="C4085" t="s">
        <v>197</v>
      </c>
      <c r="D4085" t="s">
        <v>74</v>
      </c>
      <c r="E4085" t="s">
        <v>80</v>
      </c>
      <c r="F4085" s="55">
        <v>70</v>
      </c>
      <c r="G4085" s="63">
        <v>2.87E-2</v>
      </c>
    </row>
    <row r="4086" spans="1:7" x14ac:dyDescent="0.2">
      <c r="A4086" t="s">
        <v>71</v>
      </c>
      <c r="B4086" t="s">
        <v>163</v>
      </c>
      <c r="C4086" t="s">
        <v>197</v>
      </c>
      <c r="D4086" t="s">
        <v>74</v>
      </c>
      <c r="E4086" t="s">
        <v>81</v>
      </c>
      <c r="F4086" s="55">
        <v>75</v>
      </c>
      <c r="G4086" s="63">
        <v>2.5399999999999999E-2</v>
      </c>
    </row>
    <row r="4087" spans="1:7" x14ac:dyDescent="0.2">
      <c r="A4087" t="s">
        <v>71</v>
      </c>
      <c r="B4087" t="s">
        <v>163</v>
      </c>
      <c r="C4087" t="s">
        <v>197</v>
      </c>
      <c r="D4087" t="s">
        <v>74</v>
      </c>
      <c r="E4087" t="s">
        <v>82</v>
      </c>
      <c r="F4087" s="55">
        <v>84</v>
      </c>
      <c r="G4087" s="63">
        <v>7.0900000000000005E-2</v>
      </c>
    </row>
    <row r="4088" spans="1:7" x14ac:dyDescent="0.2">
      <c r="A4088" t="s">
        <v>71</v>
      </c>
      <c r="B4088" t="s">
        <v>163</v>
      </c>
      <c r="C4088" t="s">
        <v>197</v>
      </c>
      <c r="D4088" t="s">
        <v>74</v>
      </c>
      <c r="E4088" t="s">
        <v>83</v>
      </c>
      <c r="F4088" s="55">
        <v>75</v>
      </c>
      <c r="G4088" s="63">
        <v>1.12E-2</v>
      </c>
    </row>
    <row r="4089" spans="1:7" x14ac:dyDescent="0.2">
      <c r="A4089" t="s">
        <v>71</v>
      </c>
      <c r="B4089" t="s">
        <v>163</v>
      </c>
      <c r="C4089" t="s">
        <v>197</v>
      </c>
      <c r="D4089" t="s">
        <v>74</v>
      </c>
      <c r="E4089" t="s">
        <v>84</v>
      </c>
      <c r="F4089" s="55">
        <v>80</v>
      </c>
      <c r="G4089" s="63">
        <v>3.0099999999999998E-2</v>
      </c>
    </row>
    <row r="4090" spans="1:7" x14ac:dyDescent="0.2">
      <c r="A4090" t="s">
        <v>71</v>
      </c>
      <c r="B4090" t="s">
        <v>163</v>
      </c>
      <c r="C4090" t="s">
        <v>197</v>
      </c>
      <c r="D4090" t="s">
        <v>74</v>
      </c>
      <c r="E4090" t="s">
        <v>85</v>
      </c>
      <c r="F4090" s="55">
        <v>71</v>
      </c>
      <c r="G4090" s="63">
        <v>3.2500000000000001E-2</v>
      </c>
    </row>
    <row r="4091" spans="1:7" x14ac:dyDescent="0.2">
      <c r="A4091" t="s">
        <v>71</v>
      </c>
      <c r="B4091" t="s">
        <v>163</v>
      </c>
      <c r="C4091" t="s">
        <v>197</v>
      </c>
      <c r="D4091" t="s">
        <v>74</v>
      </c>
      <c r="E4091" t="s">
        <v>86</v>
      </c>
      <c r="F4091" s="55">
        <v>85</v>
      </c>
      <c r="G4091" s="63">
        <v>4.1799999999999997E-2</v>
      </c>
    </row>
    <row r="4092" spans="1:7" x14ac:dyDescent="0.2">
      <c r="A4092" t="s">
        <v>71</v>
      </c>
      <c r="B4092" t="s">
        <v>163</v>
      </c>
      <c r="C4092" t="s">
        <v>197</v>
      </c>
      <c r="D4092" t="s">
        <v>74</v>
      </c>
      <c r="E4092" t="s">
        <v>87</v>
      </c>
      <c r="F4092" s="55">
        <v>87</v>
      </c>
      <c r="G4092" s="63">
        <v>4.7899999999999998E-2</v>
      </c>
    </row>
    <row r="4093" spans="1:7" x14ac:dyDescent="0.2">
      <c r="A4093" t="s">
        <v>71</v>
      </c>
      <c r="B4093" t="s">
        <v>163</v>
      </c>
      <c r="C4093" t="s">
        <v>197</v>
      </c>
      <c r="D4093" t="s">
        <v>74</v>
      </c>
      <c r="E4093" t="s">
        <v>88</v>
      </c>
      <c r="F4093" s="55">
        <v>76</v>
      </c>
      <c r="G4093" s="63">
        <v>2.2800000000000001E-2</v>
      </c>
    </row>
    <row r="4094" spans="1:7" x14ac:dyDescent="0.2">
      <c r="A4094" t="s">
        <v>89</v>
      </c>
      <c r="B4094" t="s">
        <v>164</v>
      </c>
      <c r="C4094" t="s">
        <v>197</v>
      </c>
      <c r="D4094" t="s">
        <v>74</v>
      </c>
      <c r="E4094" t="s">
        <v>75</v>
      </c>
      <c r="F4094" s="55">
        <v>84</v>
      </c>
      <c r="G4094" s="63">
        <v>2.2800000000000001E-2</v>
      </c>
    </row>
    <row r="4095" spans="1:7" x14ac:dyDescent="0.2">
      <c r="A4095" t="s">
        <v>89</v>
      </c>
      <c r="B4095" t="s">
        <v>164</v>
      </c>
      <c r="C4095" t="s">
        <v>197</v>
      </c>
      <c r="D4095" t="s">
        <v>74</v>
      </c>
      <c r="E4095" t="s">
        <v>77</v>
      </c>
      <c r="F4095" s="55">
        <v>64</v>
      </c>
      <c r="G4095" s="63">
        <v>5.7999999999999996E-3</v>
      </c>
    </row>
    <row r="4096" spans="1:7" x14ac:dyDescent="0.2">
      <c r="A4096" t="s">
        <v>89</v>
      </c>
      <c r="B4096" t="s">
        <v>164</v>
      </c>
      <c r="C4096" t="s">
        <v>197</v>
      </c>
      <c r="D4096" t="s">
        <v>74</v>
      </c>
      <c r="E4096" t="s">
        <v>78</v>
      </c>
      <c r="F4096" s="55">
        <v>83</v>
      </c>
      <c r="G4096" s="63">
        <v>6.1999999999999998E-3</v>
      </c>
    </row>
    <row r="4097" spans="1:7" x14ac:dyDescent="0.2">
      <c r="A4097" t="s">
        <v>89</v>
      </c>
      <c r="B4097" t="s">
        <v>164</v>
      </c>
      <c r="C4097" t="s">
        <v>197</v>
      </c>
      <c r="D4097" t="s">
        <v>74</v>
      </c>
      <c r="E4097" t="s">
        <v>79</v>
      </c>
      <c r="F4097" s="55">
        <v>88</v>
      </c>
      <c r="G4097" s="63">
        <v>1.14E-2</v>
      </c>
    </row>
    <row r="4098" spans="1:7" x14ac:dyDescent="0.2">
      <c r="A4098" t="s">
        <v>89</v>
      </c>
      <c r="B4098" t="s">
        <v>164</v>
      </c>
      <c r="C4098" t="s">
        <v>197</v>
      </c>
      <c r="D4098" t="s">
        <v>74</v>
      </c>
      <c r="E4098" t="s">
        <v>82</v>
      </c>
      <c r="F4098" s="55">
        <v>84</v>
      </c>
      <c r="G4098" s="63">
        <v>9.1000000000000004E-3</v>
      </c>
    </row>
    <row r="4099" spans="1:7" x14ac:dyDescent="0.2">
      <c r="A4099" t="s">
        <v>89</v>
      </c>
      <c r="B4099" t="s">
        <v>164</v>
      </c>
      <c r="C4099" t="s">
        <v>197</v>
      </c>
      <c r="D4099" t="s">
        <v>74</v>
      </c>
      <c r="E4099" t="s">
        <v>84</v>
      </c>
      <c r="F4099" s="55">
        <v>88</v>
      </c>
      <c r="G4099" s="63">
        <v>5.0000000000000001E-3</v>
      </c>
    </row>
    <row r="4100" spans="1:7" x14ac:dyDescent="0.2">
      <c r="A4100" t="s">
        <v>89</v>
      </c>
      <c r="B4100" t="s">
        <v>164</v>
      </c>
      <c r="C4100" t="s">
        <v>197</v>
      </c>
      <c r="D4100" t="s">
        <v>74</v>
      </c>
      <c r="E4100" t="s">
        <v>87</v>
      </c>
      <c r="F4100" s="55">
        <v>82</v>
      </c>
      <c r="G4100" s="63">
        <v>4.4000000000000003E-3</v>
      </c>
    </row>
    <row r="4101" spans="1:7" x14ac:dyDescent="0.2">
      <c r="A4101" t="s">
        <v>89</v>
      </c>
      <c r="B4101" t="s">
        <v>164</v>
      </c>
      <c r="C4101" t="s">
        <v>197</v>
      </c>
      <c r="D4101" t="s">
        <v>74</v>
      </c>
      <c r="E4101" t="s">
        <v>88</v>
      </c>
      <c r="F4101" s="55">
        <v>102</v>
      </c>
      <c r="G4101" s="63">
        <v>3.8E-3</v>
      </c>
    </row>
    <row r="4102" spans="1:7" x14ac:dyDescent="0.2">
      <c r="A4102" t="s">
        <v>89</v>
      </c>
      <c r="B4102" t="s">
        <v>165</v>
      </c>
      <c r="C4102" t="s">
        <v>197</v>
      </c>
      <c r="D4102" t="s">
        <v>74</v>
      </c>
      <c r="E4102" t="s">
        <v>75</v>
      </c>
      <c r="F4102" s="55">
        <v>63</v>
      </c>
      <c r="G4102" s="63">
        <v>2.0400000000000001E-2</v>
      </c>
    </row>
    <row r="4103" spans="1:7" x14ac:dyDescent="0.2">
      <c r="A4103" t="s">
        <v>89</v>
      </c>
      <c r="B4103" t="s">
        <v>165</v>
      </c>
      <c r="C4103" t="s">
        <v>197</v>
      </c>
      <c r="D4103" t="s">
        <v>74</v>
      </c>
      <c r="E4103" t="s">
        <v>77</v>
      </c>
      <c r="F4103" s="55">
        <v>59</v>
      </c>
      <c r="G4103" s="63">
        <v>6.4000000000000003E-3</v>
      </c>
    </row>
    <row r="4104" spans="1:7" x14ac:dyDescent="0.2">
      <c r="A4104" t="s">
        <v>89</v>
      </c>
      <c r="B4104" t="s">
        <v>165</v>
      </c>
      <c r="C4104" t="s">
        <v>197</v>
      </c>
      <c r="D4104" t="s">
        <v>74</v>
      </c>
      <c r="E4104" t="s">
        <v>78</v>
      </c>
      <c r="F4104" s="55">
        <v>63</v>
      </c>
      <c r="G4104" s="63">
        <v>4.7000000000000002E-3</v>
      </c>
    </row>
    <row r="4105" spans="1:7" x14ac:dyDescent="0.2">
      <c r="A4105" t="s">
        <v>89</v>
      </c>
      <c r="B4105" t="s">
        <v>165</v>
      </c>
      <c r="C4105" t="s">
        <v>197</v>
      </c>
      <c r="D4105" t="s">
        <v>74</v>
      </c>
      <c r="E4105" t="s">
        <v>79</v>
      </c>
      <c r="F4105" s="55">
        <v>66</v>
      </c>
      <c r="G4105" s="63">
        <v>1.04E-2</v>
      </c>
    </row>
    <row r="4106" spans="1:7" x14ac:dyDescent="0.2">
      <c r="A4106" t="s">
        <v>89</v>
      </c>
      <c r="B4106" t="s">
        <v>165</v>
      </c>
      <c r="C4106" t="s">
        <v>197</v>
      </c>
      <c r="D4106" t="s">
        <v>74</v>
      </c>
      <c r="E4106" t="s">
        <v>82</v>
      </c>
      <c r="F4106" s="55">
        <v>55</v>
      </c>
      <c r="G4106" s="63">
        <v>7.1000000000000004E-3</v>
      </c>
    </row>
    <row r="4107" spans="1:7" x14ac:dyDescent="0.2">
      <c r="A4107" t="s">
        <v>89</v>
      </c>
      <c r="B4107" t="s">
        <v>165</v>
      </c>
      <c r="C4107" t="s">
        <v>197</v>
      </c>
      <c r="D4107" t="s">
        <v>74</v>
      </c>
      <c r="E4107" t="s">
        <v>85</v>
      </c>
      <c r="F4107" s="55">
        <v>70</v>
      </c>
      <c r="G4107" s="63">
        <v>4.0000000000000001E-3</v>
      </c>
    </row>
    <row r="4108" spans="1:7" x14ac:dyDescent="0.2">
      <c r="A4108" t="s">
        <v>71</v>
      </c>
      <c r="B4108" t="s">
        <v>15</v>
      </c>
      <c r="C4108" t="s">
        <v>197</v>
      </c>
      <c r="D4108" t="s">
        <v>74</v>
      </c>
      <c r="E4108" t="s">
        <v>75</v>
      </c>
      <c r="F4108" s="55">
        <v>94</v>
      </c>
      <c r="G4108" s="63">
        <v>0.191</v>
      </c>
    </row>
    <row r="4109" spans="1:7" x14ac:dyDescent="0.2">
      <c r="A4109" t="s">
        <v>71</v>
      </c>
      <c r="B4109" t="s">
        <v>15</v>
      </c>
      <c r="C4109" t="s">
        <v>197</v>
      </c>
      <c r="D4109" t="s">
        <v>74</v>
      </c>
      <c r="E4109" t="s">
        <v>76</v>
      </c>
      <c r="F4109" s="55">
        <v>87</v>
      </c>
      <c r="G4109" s="63">
        <v>2.0199999999999999E-2</v>
      </c>
    </row>
    <row r="4110" spans="1:7" x14ac:dyDescent="0.2">
      <c r="A4110" t="s">
        <v>71</v>
      </c>
      <c r="B4110" t="s">
        <v>15</v>
      </c>
      <c r="C4110" t="s">
        <v>197</v>
      </c>
      <c r="D4110" t="s">
        <v>74</v>
      </c>
      <c r="E4110" t="s">
        <v>77</v>
      </c>
      <c r="F4110" s="55">
        <v>79</v>
      </c>
      <c r="G4110" s="63">
        <v>4.36E-2</v>
      </c>
    </row>
    <row r="4111" spans="1:7" x14ac:dyDescent="0.2">
      <c r="A4111" t="s">
        <v>71</v>
      </c>
      <c r="B4111" t="s">
        <v>15</v>
      </c>
      <c r="C4111" t="s">
        <v>197</v>
      </c>
      <c r="D4111" t="s">
        <v>74</v>
      </c>
      <c r="E4111" t="s">
        <v>78</v>
      </c>
      <c r="F4111" s="55">
        <v>63</v>
      </c>
      <c r="G4111" s="63">
        <v>3.4299999999999997E-2</v>
      </c>
    </row>
    <row r="4112" spans="1:7" x14ac:dyDescent="0.2">
      <c r="A4112" t="s">
        <v>71</v>
      </c>
      <c r="B4112" t="s">
        <v>15</v>
      </c>
      <c r="C4112" t="s">
        <v>197</v>
      </c>
      <c r="D4112" t="s">
        <v>74</v>
      </c>
      <c r="E4112" t="s">
        <v>79</v>
      </c>
      <c r="F4112" s="55">
        <v>99</v>
      </c>
      <c r="G4112" s="63">
        <v>0.1211</v>
      </c>
    </row>
    <row r="4113" spans="1:7" x14ac:dyDescent="0.2">
      <c r="A4113" t="s">
        <v>71</v>
      </c>
      <c r="B4113" t="s">
        <v>15</v>
      </c>
      <c r="C4113" t="s">
        <v>197</v>
      </c>
      <c r="D4113" t="s">
        <v>74</v>
      </c>
      <c r="E4113" t="s">
        <v>80</v>
      </c>
      <c r="F4113" s="55">
        <v>106</v>
      </c>
      <c r="G4113" s="63">
        <v>6.1800000000000001E-2</v>
      </c>
    </row>
    <row r="4114" spans="1:7" x14ac:dyDescent="0.2">
      <c r="A4114" t="s">
        <v>71</v>
      </c>
      <c r="B4114" t="s">
        <v>15</v>
      </c>
      <c r="C4114" t="s">
        <v>197</v>
      </c>
      <c r="D4114" t="s">
        <v>74</v>
      </c>
      <c r="E4114" t="s">
        <v>81</v>
      </c>
      <c r="F4114" s="55">
        <v>101</v>
      </c>
      <c r="G4114" s="63">
        <v>5.9299999999999999E-2</v>
      </c>
    </row>
    <row r="4115" spans="1:7" x14ac:dyDescent="0.2">
      <c r="A4115" t="s">
        <v>71</v>
      </c>
      <c r="B4115" t="s">
        <v>15</v>
      </c>
      <c r="C4115" t="s">
        <v>197</v>
      </c>
      <c r="D4115" t="s">
        <v>74</v>
      </c>
      <c r="E4115" t="s">
        <v>82</v>
      </c>
      <c r="F4115" s="55">
        <v>63</v>
      </c>
      <c r="G4115" s="63">
        <v>7.0400000000000004E-2</v>
      </c>
    </row>
    <row r="4116" spans="1:7" x14ac:dyDescent="0.2">
      <c r="A4116" t="s">
        <v>71</v>
      </c>
      <c r="B4116" t="s">
        <v>15</v>
      </c>
      <c r="C4116" t="s">
        <v>197</v>
      </c>
      <c r="D4116" t="s">
        <v>74</v>
      </c>
      <c r="E4116" t="s">
        <v>83</v>
      </c>
      <c r="F4116" s="55">
        <v>97</v>
      </c>
      <c r="G4116" s="63">
        <v>2.2499999999999999E-2</v>
      </c>
    </row>
    <row r="4117" spans="1:7" x14ac:dyDescent="0.2">
      <c r="A4117" t="s">
        <v>71</v>
      </c>
      <c r="B4117" t="s">
        <v>15</v>
      </c>
      <c r="C4117" t="s">
        <v>197</v>
      </c>
      <c r="D4117" t="s">
        <v>74</v>
      </c>
      <c r="E4117" t="s">
        <v>84</v>
      </c>
      <c r="F4117" s="55">
        <v>60</v>
      </c>
      <c r="G4117" s="63">
        <v>2.6599999999999999E-2</v>
      </c>
    </row>
    <row r="4118" spans="1:7" x14ac:dyDescent="0.2">
      <c r="A4118" t="s">
        <v>71</v>
      </c>
      <c r="B4118" t="s">
        <v>15</v>
      </c>
      <c r="C4118" t="s">
        <v>197</v>
      </c>
      <c r="D4118" t="s">
        <v>74</v>
      </c>
      <c r="E4118" t="s">
        <v>85</v>
      </c>
      <c r="F4118" s="55">
        <v>103</v>
      </c>
      <c r="G4118" s="63">
        <v>6.0100000000000001E-2</v>
      </c>
    </row>
    <row r="4119" spans="1:7" x14ac:dyDescent="0.2">
      <c r="A4119" t="s">
        <v>71</v>
      </c>
      <c r="B4119" t="s">
        <v>15</v>
      </c>
      <c r="C4119" t="s">
        <v>197</v>
      </c>
      <c r="D4119" t="s">
        <v>74</v>
      </c>
      <c r="E4119" t="s">
        <v>86</v>
      </c>
      <c r="F4119" s="55">
        <v>95</v>
      </c>
      <c r="G4119" s="63">
        <v>6.8400000000000002E-2</v>
      </c>
    </row>
    <row r="4120" spans="1:7" x14ac:dyDescent="0.2">
      <c r="A4120" t="s">
        <v>71</v>
      </c>
      <c r="B4120" t="s">
        <v>15</v>
      </c>
      <c r="C4120" t="s">
        <v>197</v>
      </c>
      <c r="D4120" t="s">
        <v>74</v>
      </c>
      <c r="E4120" t="s">
        <v>87</v>
      </c>
      <c r="F4120" s="55">
        <v>93</v>
      </c>
      <c r="G4120" s="63">
        <v>5.2900000000000003E-2</v>
      </c>
    </row>
    <row r="4121" spans="1:7" x14ac:dyDescent="0.2">
      <c r="A4121" t="s">
        <v>71</v>
      </c>
      <c r="B4121" t="s">
        <v>15</v>
      </c>
      <c r="C4121" t="s">
        <v>197</v>
      </c>
      <c r="D4121" t="s">
        <v>74</v>
      </c>
      <c r="E4121" t="s">
        <v>88</v>
      </c>
      <c r="F4121" s="55">
        <v>87</v>
      </c>
      <c r="G4121" s="63">
        <v>3.2899999999999999E-2</v>
      </c>
    </row>
    <row r="4122" spans="1:7" x14ac:dyDescent="0.2">
      <c r="A4122" t="s">
        <v>71</v>
      </c>
      <c r="B4122" t="s">
        <v>166</v>
      </c>
      <c r="C4122" t="s">
        <v>197</v>
      </c>
      <c r="D4122" t="s">
        <v>74</v>
      </c>
      <c r="E4122" t="s">
        <v>75</v>
      </c>
      <c r="F4122" s="55">
        <v>104</v>
      </c>
      <c r="G4122" s="63">
        <v>0.28149999999999997</v>
      </c>
    </row>
    <row r="4123" spans="1:7" x14ac:dyDescent="0.2">
      <c r="A4123" t="s">
        <v>71</v>
      </c>
      <c r="B4123" t="s">
        <v>166</v>
      </c>
      <c r="C4123" t="s">
        <v>197</v>
      </c>
      <c r="D4123" t="s">
        <v>74</v>
      </c>
      <c r="E4123" t="s">
        <v>76</v>
      </c>
      <c r="F4123" s="55">
        <v>100</v>
      </c>
      <c r="G4123" s="63">
        <v>4.5699999999999998E-2</v>
      </c>
    </row>
    <row r="4124" spans="1:7" x14ac:dyDescent="0.2">
      <c r="A4124" t="s">
        <v>71</v>
      </c>
      <c r="B4124" t="s">
        <v>166</v>
      </c>
      <c r="C4124" t="s">
        <v>197</v>
      </c>
      <c r="D4124" t="s">
        <v>74</v>
      </c>
      <c r="E4124" t="s">
        <v>77</v>
      </c>
      <c r="F4124" s="55">
        <v>107</v>
      </c>
      <c r="G4124" s="63">
        <v>0.1173</v>
      </c>
    </row>
    <row r="4125" spans="1:7" x14ac:dyDescent="0.2">
      <c r="A4125" t="s">
        <v>71</v>
      </c>
      <c r="B4125" t="s">
        <v>166</v>
      </c>
      <c r="C4125" t="s">
        <v>197</v>
      </c>
      <c r="D4125" t="s">
        <v>74</v>
      </c>
      <c r="E4125" t="s">
        <v>78</v>
      </c>
      <c r="F4125" s="55">
        <v>109</v>
      </c>
      <c r="G4125" s="63">
        <v>0.1077</v>
      </c>
    </row>
    <row r="4126" spans="1:7" x14ac:dyDescent="0.2">
      <c r="A4126" t="s">
        <v>71</v>
      </c>
      <c r="B4126" t="s">
        <v>166</v>
      </c>
      <c r="C4126" t="s">
        <v>197</v>
      </c>
      <c r="D4126" t="s">
        <v>74</v>
      </c>
      <c r="E4126" t="s">
        <v>79</v>
      </c>
      <c r="F4126" s="55">
        <v>104</v>
      </c>
      <c r="G4126" s="63">
        <v>0.18140000000000001</v>
      </c>
    </row>
    <row r="4127" spans="1:7" x14ac:dyDescent="0.2">
      <c r="A4127" t="s">
        <v>71</v>
      </c>
      <c r="B4127" t="s">
        <v>166</v>
      </c>
      <c r="C4127" t="s">
        <v>197</v>
      </c>
      <c r="D4127" t="s">
        <v>74</v>
      </c>
      <c r="E4127" t="s">
        <v>80</v>
      </c>
      <c r="F4127" s="55">
        <v>103</v>
      </c>
      <c r="G4127" s="63">
        <v>8.3699999999999997E-2</v>
      </c>
    </row>
    <row r="4128" spans="1:7" x14ac:dyDescent="0.2">
      <c r="A4128" t="s">
        <v>71</v>
      </c>
      <c r="B4128" t="s">
        <v>166</v>
      </c>
      <c r="C4128" t="s">
        <v>197</v>
      </c>
      <c r="D4128" t="s">
        <v>74</v>
      </c>
      <c r="E4128" t="s">
        <v>81</v>
      </c>
      <c r="F4128" s="55">
        <v>105</v>
      </c>
      <c r="G4128" s="63">
        <v>7.9899999999999999E-2</v>
      </c>
    </row>
    <row r="4129" spans="1:7" x14ac:dyDescent="0.2">
      <c r="A4129" t="s">
        <v>71</v>
      </c>
      <c r="B4129" t="s">
        <v>166</v>
      </c>
      <c r="C4129" t="s">
        <v>197</v>
      </c>
      <c r="D4129" t="s">
        <v>74</v>
      </c>
      <c r="E4129" t="s">
        <v>82</v>
      </c>
      <c r="F4129" s="55">
        <v>98</v>
      </c>
      <c r="G4129" s="63">
        <v>0.1246</v>
      </c>
    </row>
    <row r="4130" spans="1:7" x14ac:dyDescent="0.2">
      <c r="A4130" t="s">
        <v>71</v>
      </c>
      <c r="B4130" t="s">
        <v>166</v>
      </c>
      <c r="C4130" t="s">
        <v>197</v>
      </c>
      <c r="D4130" t="s">
        <v>74</v>
      </c>
      <c r="E4130" t="s">
        <v>83</v>
      </c>
      <c r="F4130" s="55">
        <v>103</v>
      </c>
      <c r="G4130" s="63">
        <v>4.0500000000000001E-2</v>
      </c>
    </row>
    <row r="4131" spans="1:7" x14ac:dyDescent="0.2">
      <c r="A4131" t="s">
        <v>71</v>
      </c>
      <c r="B4131" t="s">
        <v>166</v>
      </c>
      <c r="C4131" t="s">
        <v>197</v>
      </c>
      <c r="D4131" t="s">
        <v>74</v>
      </c>
      <c r="E4131" t="s">
        <v>84</v>
      </c>
      <c r="F4131" s="55">
        <v>109</v>
      </c>
      <c r="G4131" s="63">
        <v>9.2399999999999996E-2</v>
      </c>
    </row>
    <row r="4132" spans="1:7" x14ac:dyDescent="0.2">
      <c r="A4132" t="s">
        <v>71</v>
      </c>
      <c r="B4132" t="s">
        <v>166</v>
      </c>
      <c r="C4132" t="s">
        <v>197</v>
      </c>
      <c r="D4132" t="s">
        <v>74</v>
      </c>
      <c r="E4132" t="s">
        <v>85</v>
      </c>
      <c r="F4132" s="55">
        <v>102</v>
      </c>
      <c r="G4132" s="63">
        <v>9.0499999999999997E-2</v>
      </c>
    </row>
    <row r="4133" spans="1:7" x14ac:dyDescent="0.2">
      <c r="A4133" t="s">
        <v>71</v>
      </c>
      <c r="B4133" t="s">
        <v>166</v>
      </c>
      <c r="C4133" t="s">
        <v>197</v>
      </c>
      <c r="D4133" t="s">
        <v>74</v>
      </c>
      <c r="E4133" t="s">
        <v>86</v>
      </c>
      <c r="F4133" s="55">
        <v>103</v>
      </c>
      <c r="G4133" s="63">
        <v>9.8599999999999993E-2</v>
      </c>
    </row>
    <row r="4134" spans="1:7" x14ac:dyDescent="0.2">
      <c r="A4134" t="s">
        <v>71</v>
      </c>
      <c r="B4134" t="s">
        <v>166</v>
      </c>
      <c r="C4134" t="s">
        <v>197</v>
      </c>
      <c r="D4134" t="s">
        <v>74</v>
      </c>
      <c r="E4134" t="s">
        <v>87</v>
      </c>
      <c r="F4134" s="55">
        <v>103</v>
      </c>
      <c r="G4134" s="63">
        <v>0.1052</v>
      </c>
    </row>
    <row r="4135" spans="1:7" x14ac:dyDescent="0.2">
      <c r="A4135" t="s">
        <v>71</v>
      </c>
      <c r="B4135" t="s">
        <v>166</v>
      </c>
      <c r="C4135" t="s">
        <v>197</v>
      </c>
      <c r="D4135" t="s">
        <v>74</v>
      </c>
      <c r="E4135" t="s">
        <v>88</v>
      </c>
      <c r="F4135" s="55">
        <v>99</v>
      </c>
      <c r="G4135" s="63">
        <v>6.6299999999999998E-2</v>
      </c>
    </row>
    <row r="4136" spans="1:7" x14ac:dyDescent="0.2">
      <c r="A4136" t="s">
        <v>71</v>
      </c>
      <c r="B4136" t="s">
        <v>167</v>
      </c>
      <c r="C4136" t="s">
        <v>197</v>
      </c>
      <c r="D4136" t="s">
        <v>74</v>
      </c>
      <c r="E4136" t="s">
        <v>75</v>
      </c>
      <c r="F4136" s="55">
        <v>86</v>
      </c>
      <c r="G4136" s="63">
        <v>0.1759</v>
      </c>
    </row>
    <row r="4137" spans="1:7" x14ac:dyDescent="0.2">
      <c r="A4137" t="s">
        <v>71</v>
      </c>
      <c r="B4137" t="s">
        <v>167</v>
      </c>
      <c r="C4137" t="s">
        <v>197</v>
      </c>
      <c r="D4137" t="s">
        <v>74</v>
      </c>
      <c r="E4137" t="s">
        <v>76</v>
      </c>
      <c r="F4137" s="55">
        <v>103</v>
      </c>
      <c r="G4137" s="63">
        <v>1.9E-2</v>
      </c>
    </row>
    <row r="4138" spans="1:7" x14ac:dyDescent="0.2">
      <c r="A4138" t="s">
        <v>71</v>
      </c>
      <c r="B4138" t="s">
        <v>167</v>
      </c>
      <c r="C4138" t="s">
        <v>197</v>
      </c>
      <c r="D4138" t="s">
        <v>74</v>
      </c>
      <c r="E4138" t="s">
        <v>77</v>
      </c>
      <c r="F4138" s="55">
        <v>100</v>
      </c>
      <c r="G4138" s="63">
        <v>4.7E-2</v>
      </c>
    </row>
    <row r="4139" spans="1:7" x14ac:dyDescent="0.2">
      <c r="A4139" t="s">
        <v>71</v>
      </c>
      <c r="B4139" t="s">
        <v>167</v>
      </c>
      <c r="C4139" t="s">
        <v>197</v>
      </c>
      <c r="D4139" t="s">
        <v>74</v>
      </c>
      <c r="E4139" t="s">
        <v>78</v>
      </c>
      <c r="F4139" s="55">
        <v>99</v>
      </c>
      <c r="G4139" s="63">
        <v>3.9199999999999999E-2</v>
      </c>
    </row>
    <row r="4140" spans="1:7" x14ac:dyDescent="0.2">
      <c r="A4140" t="s">
        <v>71</v>
      </c>
      <c r="B4140" t="s">
        <v>167</v>
      </c>
      <c r="C4140" t="s">
        <v>197</v>
      </c>
      <c r="D4140" t="s">
        <v>74</v>
      </c>
      <c r="E4140" t="s">
        <v>79</v>
      </c>
      <c r="F4140" s="55">
        <v>76</v>
      </c>
      <c r="G4140" s="63">
        <v>0.1099</v>
      </c>
    </row>
    <row r="4141" spans="1:7" x14ac:dyDescent="0.2">
      <c r="A4141" t="s">
        <v>71</v>
      </c>
      <c r="B4141" t="s">
        <v>167</v>
      </c>
      <c r="C4141" t="s">
        <v>197</v>
      </c>
      <c r="D4141" t="s">
        <v>74</v>
      </c>
      <c r="E4141" t="s">
        <v>80</v>
      </c>
      <c r="F4141" s="55">
        <v>81</v>
      </c>
      <c r="G4141" s="63">
        <v>4.5100000000000001E-2</v>
      </c>
    </row>
    <row r="4142" spans="1:7" x14ac:dyDescent="0.2">
      <c r="A4142" t="s">
        <v>71</v>
      </c>
      <c r="B4142" t="s">
        <v>167</v>
      </c>
      <c r="C4142" t="s">
        <v>197</v>
      </c>
      <c r="D4142" t="s">
        <v>74</v>
      </c>
      <c r="E4142" t="s">
        <v>81</v>
      </c>
      <c r="F4142" s="55">
        <v>85</v>
      </c>
      <c r="G4142" s="63">
        <v>4.6600000000000003E-2</v>
      </c>
    </row>
    <row r="4143" spans="1:7" x14ac:dyDescent="0.2">
      <c r="A4143" t="s">
        <v>71</v>
      </c>
      <c r="B4143" t="s">
        <v>167</v>
      </c>
      <c r="C4143" t="s">
        <v>197</v>
      </c>
      <c r="D4143" t="s">
        <v>74</v>
      </c>
      <c r="E4143" t="s">
        <v>82</v>
      </c>
      <c r="F4143" s="55">
        <v>87</v>
      </c>
      <c r="G4143" s="63">
        <v>7.6999999999999999E-2</v>
      </c>
    </row>
    <row r="4144" spans="1:7" x14ac:dyDescent="0.2">
      <c r="A4144" t="s">
        <v>71</v>
      </c>
      <c r="B4144" t="s">
        <v>167</v>
      </c>
      <c r="C4144" t="s">
        <v>197</v>
      </c>
      <c r="D4144" t="s">
        <v>74</v>
      </c>
      <c r="E4144" t="s">
        <v>83</v>
      </c>
      <c r="F4144" s="55">
        <v>103</v>
      </c>
      <c r="G4144" s="63">
        <v>2.23E-2</v>
      </c>
    </row>
    <row r="4145" spans="1:7" x14ac:dyDescent="0.2">
      <c r="A4145" t="s">
        <v>71</v>
      </c>
      <c r="B4145" t="s">
        <v>167</v>
      </c>
      <c r="C4145" t="s">
        <v>197</v>
      </c>
      <c r="D4145" t="s">
        <v>74</v>
      </c>
      <c r="E4145" t="s">
        <v>84</v>
      </c>
      <c r="F4145" s="55">
        <v>104</v>
      </c>
      <c r="G4145" s="63">
        <v>3.0700000000000002E-2</v>
      </c>
    </row>
    <row r="4146" spans="1:7" x14ac:dyDescent="0.2">
      <c r="A4146" t="s">
        <v>71</v>
      </c>
      <c r="B4146" t="s">
        <v>167</v>
      </c>
      <c r="C4146" t="s">
        <v>197</v>
      </c>
      <c r="D4146" t="s">
        <v>74</v>
      </c>
      <c r="E4146" t="s">
        <v>85</v>
      </c>
      <c r="F4146" s="55">
        <v>77</v>
      </c>
      <c r="G4146" s="63">
        <v>4.4699999999999997E-2</v>
      </c>
    </row>
    <row r="4147" spans="1:7" x14ac:dyDescent="0.2">
      <c r="A4147" t="s">
        <v>71</v>
      </c>
      <c r="B4147" t="s">
        <v>167</v>
      </c>
      <c r="C4147" t="s">
        <v>197</v>
      </c>
      <c r="D4147" t="s">
        <v>74</v>
      </c>
      <c r="E4147" t="s">
        <v>86</v>
      </c>
      <c r="F4147" s="55">
        <v>79</v>
      </c>
      <c r="G4147" s="63">
        <v>5.1999999999999998E-2</v>
      </c>
    </row>
    <row r="4148" spans="1:7" x14ac:dyDescent="0.2">
      <c r="A4148" t="s">
        <v>71</v>
      </c>
      <c r="B4148" t="s">
        <v>167</v>
      </c>
      <c r="C4148" t="s">
        <v>197</v>
      </c>
      <c r="D4148" t="s">
        <v>74</v>
      </c>
      <c r="E4148" t="s">
        <v>87</v>
      </c>
      <c r="F4148" s="55">
        <v>78</v>
      </c>
      <c r="G4148" s="63">
        <v>5.5399999999999998E-2</v>
      </c>
    </row>
    <row r="4149" spans="1:7" x14ac:dyDescent="0.2">
      <c r="A4149" t="s">
        <v>71</v>
      </c>
      <c r="B4149" t="s">
        <v>167</v>
      </c>
      <c r="C4149" t="s">
        <v>197</v>
      </c>
      <c r="D4149" t="s">
        <v>74</v>
      </c>
      <c r="E4149" t="s">
        <v>88</v>
      </c>
      <c r="F4149" s="55">
        <v>90</v>
      </c>
      <c r="G4149" s="63">
        <v>3.2500000000000001E-2</v>
      </c>
    </row>
    <row r="4150" spans="1:7" x14ac:dyDescent="0.2">
      <c r="A4150" t="s">
        <v>89</v>
      </c>
      <c r="B4150" t="s">
        <v>168</v>
      </c>
      <c r="C4150" t="s">
        <v>197</v>
      </c>
      <c r="D4150" t="s">
        <v>74</v>
      </c>
      <c r="E4150" t="s">
        <v>75</v>
      </c>
      <c r="F4150" s="55">
        <v>137</v>
      </c>
      <c r="G4150" s="63">
        <v>2.06E-2</v>
      </c>
    </row>
    <row r="4151" spans="1:7" x14ac:dyDescent="0.2">
      <c r="A4151" t="s">
        <v>89</v>
      </c>
      <c r="B4151" t="s">
        <v>168</v>
      </c>
      <c r="C4151" t="s">
        <v>197</v>
      </c>
      <c r="D4151" t="s">
        <v>74</v>
      </c>
      <c r="E4151" t="s">
        <v>77</v>
      </c>
      <c r="F4151" s="55">
        <v>104</v>
      </c>
      <c r="G4151" s="63">
        <v>7.6E-3</v>
      </c>
    </row>
    <row r="4152" spans="1:7" x14ac:dyDescent="0.2">
      <c r="A4152" t="s">
        <v>89</v>
      </c>
      <c r="B4152" t="s">
        <v>168</v>
      </c>
      <c r="C4152" t="s">
        <v>197</v>
      </c>
      <c r="D4152" t="s">
        <v>74</v>
      </c>
      <c r="E4152" t="s">
        <v>78</v>
      </c>
      <c r="F4152" s="55">
        <v>131</v>
      </c>
      <c r="G4152" s="63">
        <v>6.1999999999999998E-3</v>
      </c>
    </row>
    <row r="4153" spans="1:7" x14ac:dyDescent="0.2">
      <c r="A4153" t="s">
        <v>89</v>
      </c>
      <c r="B4153" t="s">
        <v>168</v>
      </c>
      <c r="C4153" t="s">
        <v>197</v>
      </c>
      <c r="D4153" t="s">
        <v>74</v>
      </c>
      <c r="E4153" t="s">
        <v>79</v>
      </c>
      <c r="F4153" s="55">
        <v>171</v>
      </c>
      <c r="G4153" s="63">
        <v>1.18E-2</v>
      </c>
    </row>
    <row r="4154" spans="1:7" x14ac:dyDescent="0.2">
      <c r="A4154" t="s">
        <v>89</v>
      </c>
      <c r="B4154" t="s">
        <v>168</v>
      </c>
      <c r="C4154" t="s">
        <v>197</v>
      </c>
      <c r="D4154" t="s">
        <v>74</v>
      </c>
      <c r="E4154" t="s">
        <v>80</v>
      </c>
      <c r="F4154" s="55">
        <v>147</v>
      </c>
      <c r="G4154" s="63">
        <v>4.4999999999999997E-3</v>
      </c>
    </row>
    <row r="4155" spans="1:7" x14ac:dyDescent="0.2">
      <c r="A4155" t="s">
        <v>89</v>
      </c>
      <c r="B4155" t="s">
        <v>168</v>
      </c>
      <c r="C4155" t="s">
        <v>197</v>
      </c>
      <c r="D4155" t="s">
        <v>74</v>
      </c>
      <c r="E4155" t="s">
        <v>81</v>
      </c>
      <c r="F4155" s="55">
        <v>144</v>
      </c>
      <c r="G4155" s="63">
        <v>4.7999999999999996E-3</v>
      </c>
    </row>
    <row r="4156" spans="1:7" x14ac:dyDescent="0.2">
      <c r="A4156" t="s">
        <v>89</v>
      </c>
      <c r="B4156" t="s">
        <v>168</v>
      </c>
      <c r="C4156" t="s">
        <v>197</v>
      </c>
      <c r="D4156" t="s">
        <v>74</v>
      </c>
      <c r="E4156" t="s">
        <v>82</v>
      </c>
      <c r="F4156" s="55">
        <v>121</v>
      </c>
      <c r="G4156" s="63">
        <v>9.7999999999999997E-3</v>
      </c>
    </row>
    <row r="4157" spans="1:7" x14ac:dyDescent="0.2">
      <c r="A4157" t="s">
        <v>89</v>
      </c>
      <c r="B4157" t="s">
        <v>168</v>
      </c>
      <c r="C4157" t="s">
        <v>197</v>
      </c>
      <c r="D4157" t="s">
        <v>74</v>
      </c>
      <c r="E4157" t="s">
        <v>84</v>
      </c>
      <c r="F4157" s="55">
        <v>113</v>
      </c>
      <c r="G4157" s="63">
        <v>5.3E-3</v>
      </c>
    </row>
    <row r="4158" spans="1:7" x14ac:dyDescent="0.2">
      <c r="A4158" t="s">
        <v>89</v>
      </c>
      <c r="B4158" t="s">
        <v>168</v>
      </c>
      <c r="C4158" t="s">
        <v>197</v>
      </c>
      <c r="D4158" t="s">
        <v>74</v>
      </c>
      <c r="E4158" t="s">
        <v>85</v>
      </c>
      <c r="F4158" s="55">
        <v>155</v>
      </c>
      <c r="G4158" s="63">
        <v>5.3E-3</v>
      </c>
    </row>
    <row r="4159" spans="1:7" x14ac:dyDescent="0.2">
      <c r="A4159" t="s">
        <v>89</v>
      </c>
      <c r="B4159" t="s">
        <v>168</v>
      </c>
      <c r="C4159" t="s">
        <v>197</v>
      </c>
      <c r="D4159" t="s">
        <v>74</v>
      </c>
      <c r="E4159" t="s">
        <v>86</v>
      </c>
      <c r="F4159" s="55">
        <v>195</v>
      </c>
      <c r="G4159" s="63">
        <v>5.1999999999999998E-3</v>
      </c>
    </row>
    <row r="4160" spans="1:7" x14ac:dyDescent="0.2">
      <c r="A4160" t="s">
        <v>89</v>
      </c>
      <c r="B4160" t="s">
        <v>168</v>
      </c>
      <c r="C4160" t="s">
        <v>197</v>
      </c>
      <c r="D4160" t="s">
        <v>74</v>
      </c>
      <c r="E4160" t="s">
        <v>87</v>
      </c>
      <c r="F4160" s="55">
        <v>177</v>
      </c>
      <c r="G4160" s="63">
        <v>6.3E-3</v>
      </c>
    </row>
    <row r="4161" spans="1:7" x14ac:dyDescent="0.2">
      <c r="A4161" t="s">
        <v>89</v>
      </c>
      <c r="B4161" t="s">
        <v>168</v>
      </c>
      <c r="C4161" t="s">
        <v>197</v>
      </c>
      <c r="D4161" t="s">
        <v>74</v>
      </c>
      <c r="E4161" t="s">
        <v>88</v>
      </c>
      <c r="F4161" s="55">
        <v>132</v>
      </c>
      <c r="G4161" s="63">
        <v>5.0000000000000001E-3</v>
      </c>
    </row>
    <row r="4162" spans="1:7" x14ac:dyDescent="0.2">
      <c r="A4162" t="s">
        <v>89</v>
      </c>
      <c r="B4162" t="s">
        <v>169</v>
      </c>
      <c r="C4162" t="s">
        <v>197</v>
      </c>
      <c r="D4162" t="s">
        <v>74</v>
      </c>
      <c r="E4162" t="s">
        <v>75</v>
      </c>
      <c r="F4162" s="55">
        <v>120</v>
      </c>
      <c r="G4162" s="63">
        <v>5.2200000000000003E-2</v>
      </c>
    </row>
    <row r="4163" spans="1:7" x14ac:dyDescent="0.2">
      <c r="A4163" t="s">
        <v>89</v>
      </c>
      <c r="B4163" t="s">
        <v>169</v>
      </c>
      <c r="C4163" t="s">
        <v>197</v>
      </c>
      <c r="D4163" t="s">
        <v>74</v>
      </c>
      <c r="E4163" t="s">
        <v>76</v>
      </c>
      <c r="F4163" s="55">
        <v>120</v>
      </c>
      <c r="G4163" s="63">
        <v>7.0000000000000001E-3</v>
      </c>
    </row>
    <row r="4164" spans="1:7" x14ac:dyDescent="0.2">
      <c r="A4164" t="s">
        <v>89</v>
      </c>
      <c r="B4164" t="s">
        <v>169</v>
      </c>
      <c r="C4164" t="s">
        <v>197</v>
      </c>
      <c r="D4164" t="s">
        <v>74</v>
      </c>
      <c r="E4164" t="s">
        <v>77</v>
      </c>
      <c r="F4164" s="55">
        <v>132</v>
      </c>
      <c r="G4164" s="63">
        <v>2.3599999999999999E-2</v>
      </c>
    </row>
    <row r="4165" spans="1:7" x14ac:dyDescent="0.2">
      <c r="A4165" t="s">
        <v>89</v>
      </c>
      <c r="B4165" t="s">
        <v>169</v>
      </c>
      <c r="C4165" t="s">
        <v>197</v>
      </c>
      <c r="D4165" t="s">
        <v>74</v>
      </c>
      <c r="E4165" t="s">
        <v>78</v>
      </c>
      <c r="F4165" s="55">
        <v>116</v>
      </c>
      <c r="G4165" s="63">
        <v>1.9300000000000001E-2</v>
      </c>
    </row>
    <row r="4166" spans="1:7" x14ac:dyDescent="0.2">
      <c r="A4166" t="s">
        <v>89</v>
      </c>
      <c r="B4166" t="s">
        <v>169</v>
      </c>
      <c r="C4166" t="s">
        <v>197</v>
      </c>
      <c r="D4166" t="s">
        <v>74</v>
      </c>
      <c r="E4166" t="s">
        <v>79</v>
      </c>
      <c r="F4166" s="55">
        <v>122</v>
      </c>
      <c r="G4166" s="63">
        <v>3.5499999999999997E-2</v>
      </c>
    </row>
    <row r="4167" spans="1:7" x14ac:dyDescent="0.2">
      <c r="A4167" t="s">
        <v>89</v>
      </c>
      <c r="B4167" t="s">
        <v>169</v>
      </c>
      <c r="C4167" t="s">
        <v>197</v>
      </c>
      <c r="D4167" t="s">
        <v>74</v>
      </c>
      <c r="E4167" t="s">
        <v>80</v>
      </c>
      <c r="F4167" s="55">
        <v>94</v>
      </c>
      <c r="G4167" s="63">
        <v>1.7100000000000001E-2</v>
      </c>
    </row>
    <row r="4168" spans="1:7" x14ac:dyDescent="0.2">
      <c r="A4168" t="s">
        <v>89</v>
      </c>
      <c r="B4168" t="s">
        <v>169</v>
      </c>
      <c r="C4168" t="s">
        <v>197</v>
      </c>
      <c r="D4168" t="s">
        <v>74</v>
      </c>
      <c r="E4168" t="s">
        <v>81</v>
      </c>
      <c r="F4168" s="55">
        <v>78</v>
      </c>
      <c r="G4168" s="63">
        <v>1.26E-2</v>
      </c>
    </row>
    <row r="4169" spans="1:7" x14ac:dyDescent="0.2">
      <c r="A4169" t="s">
        <v>89</v>
      </c>
      <c r="B4169" t="s">
        <v>169</v>
      </c>
      <c r="C4169" t="s">
        <v>197</v>
      </c>
      <c r="D4169" t="s">
        <v>74</v>
      </c>
      <c r="E4169" t="s">
        <v>82</v>
      </c>
      <c r="F4169" s="55">
        <v>131</v>
      </c>
      <c r="G4169" s="63">
        <v>2.5100000000000001E-2</v>
      </c>
    </row>
    <row r="4170" spans="1:7" x14ac:dyDescent="0.2">
      <c r="A4170" t="s">
        <v>89</v>
      </c>
      <c r="B4170" t="s">
        <v>169</v>
      </c>
      <c r="C4170" t="s">
        <v>197</v>
      </c>
      <c r="D4170" t="s">
        <v>74</v>
      </c>
      <c r="E4170" t="s">
        <v>84</v>
      </c>
      <c r="F4170" s="55">
        <v>119</v>
      </c>
      <c r="G4170" s="63">
        <v>1.6500000000000001E-2</v>
      </c>
    </row>
    <row r="4171" spans="1:7" x14ac:dyDescent="0.2">
      <c r="A4171" t="s">
        <v>89</v>
      </c>
      <c r="B4171" t="s">
        <v>169</v>
      </c>
      <c r="C4171" t="s">
        <v>197</v>
      </c>
      <c r="D4171" t="s">
        <v>74</v>
      </c>
      <c r="E4171" t="s">
        <v>85</v>
      </c>
      <c r="F4171" s="55">
        <v>117</v>
      </c>
      <c r="G4171" s="63">
        <v>1.9E-2</v>
      </c>
    </row>
    <row r="4172" spans="1:7" x14ac:dyDescent="0.2">
      <c r="A4172" t="s">
        <v>89</v>
      </c>
      <c r="B4172" t="s">
        <v>169</v>
      </c>
      <c r="C4172" t="s">
        <v>197</v>
      </c>
      <c r="D4172" t="s">
        <v>74</v>
      </c>
      <c r="E4172" t="s">
        <v>86</v>
      </c>
      <c r="F4172" s="55">
        <v>130</v>
      </c>
      <c r="G4172" s="63">
        <v>2.0400000000000001E-2</v>
      </c>
    </row>
    <row r="4173" spans="1:7" x14ac:dyDescent="0.2">
      <c r="A4173" t="s">
        <v>89</v>
      </c>
      <c r="B4173" t="s">
        <v>169</v>
      </c>
      <c r="C4173" t="s">
        <v>197</v>
      </c>
      <c r="D4173" t="s">
        <v>74</v>
      </c>
      <c r="E4173" t="s">
        <v>87</v>
      </c>
      <c r="F4173" s="55">
        <v>128</v>
      </c>
      <c r="G4173" s="63">
        <v>2.29E-2</v>
      </c>
    </row>
    <row r="4174" spans="1:7" x14ac:dyDescent="0.2">
      <c r="A4174" t="s">
        <v>89</v>
      </c>
      <c r="B4174" t="s">
        <v>169</v>
      </c>
      <c r="C4174" t="s">
        <v>197</v>
      </c>
      <c r="D4174" t="s">
        <v>74</v>
      </c>
      <c r="E4174" t="s">
        <v>88</v>
      </c>
      <c r="F4174" s="55">
        <v>109</v>
      </c>
      <c r="G4174" s="63">
        <v>1.01E-2</v>
      </c>
    </row>
    <row r="4175" spans="1:7" x14ac:dyDescent="0.2">
      <c r="A4175" t="s">
        <v>71</v>
      </c>
      <c r="B4175" t="s">
        <v>170</v>
      </c>
      <c r="C4175" t="s">
        <v>197</v>
      </c>
      <c r="D4175" t="s">
        <v>74</v>
      </c>
      <c r="E4175" t="s">
        <v>75</v>
      </c>
      <c r="F4175" s="55">
        <v>89</v>
      </c>
      <c r="G4175" s="63">
        <v>0.19500000000000001</v>
      </c>
    </row>
    <row r="4176" spans="1:7" x14ac:dyDescent="0.2">
      <c r="A4176" t="s">
        <v>71</v>
      </c>
      <c r="B4176" t="s">
        <v>170</v>
      </c>
      <c r="C4176" t="s">
        <v>197</v>
      </c>
      <c r="D4176" t="s">
        <v>74</v>
      </c>
      <c r="E4176" t="s">
        <v>76</v>
      </c>
      <c r="F4176" s="55">
        <v>96</v>
      </c>
      <c r="G4176" s="63">
        <v>3.4099999999999998E-2</v>
      </c>
    </row>
    <row r="4177" spans="1:7" x14ac:dyDescent="0.2">
      <c r="A4177" t="s">
        <v>71</v>
      </c>
      <c r="B4177" t="s">
        <v>170</v>
      </c>
      <c r="C4177" t="s">
        <v>197</v>
      </c>
      <c r="D4177" t="s">
        <v>74</v>
      </c>
      <c r="E4177" t="s">
        <v>77</v>
      </c>
      <c r="F4177" s="55">
        <v>95</v>
      </c>
      <c r="G4177" s="63">
        <v>7.6499999999999999E-2</v>
      </c>
    </row>
    <row r="4178" spans="1:7" x14ac:dyDescent="0.2">
      <c r="A4178" t="s">
        <v>71</v>
      </c>
      <c r="B4178" t="s">
        <v>170</v>
      </c>
      <c r="C4178" t="s">
        <v>197</v>
      </c>
      <c r="D4178" t="s">
        <v>74</v>
      </c>
      <c r="E4178" t="s">
        <v>78</v>
      </c>
      <c r="F4178" s="55">
        <v>88</v>
      </c>
      <c r="G4178" s="63">
        <v>5.96E-2</v>
      </c>
    </row>
    <row r="4179" spans="1:7" x14ac:dyDescent="0.2">
      <c r="A4179" t="s">
        <v>71</v>
      </c>
      <c r="B4179" t="s">
        <v>170</v>
      </c>
      <c r="C4179" t="s">
        <v>197</v>
      </c>
      <c r="D4179" t="s">
        <v>74</v>
      </c>
      <c r="E4179" t="s">
        <v>79</v>
      </c>
      <c r="F4179" s="55">
        <v>87</v>
      </c>
      <c r="G4179" s="63">
        <v>0.12820000000000001</v>
      </c>
    </row>
    <row r="4180" spans="1:7" x14ac:dyDescent="0.2">
      <c r="A4180" t="s">
        <v>71</v>
      </c>
      <c r="B4180" t="s">
        <v>170</v>
      </c>
      <c r="C4180" t="s">
        <v>197</v>
      </c>
      <c r="D4180" t="s">
        <v>74</v>
      </c>
      <c r="E4180" t="s">
        <v>80</v>
      </c>
      <c r="F4180" s="55">
        <v>86</v>
      </c>
      <c r="G4180" s="63">
        <v>6.3399999999999998E-2</v>
      </c>
    </row>
    <row r="4181" spans="1:7" x14ac:dyDescent="0.2">
      <c r="A4181" t="s">
        <v>71</v>
      </c>
      <c r="B4181" t="s">
        <v>170</v>
      </c>
      <c r="C4181" t="s">
        <v>197</v>
      </c>
      <c r="D4181" t="s">
        <v>74</v>
      </c>
      <c r="E4181" t="s">
        <v>81</v>
      </c>
      <c r="F4181" s="55">
        <v>87</v>
      </c>
      <c r="G4181" s="63">
        <v>6.7699999999999996E-2</v>
      </c>
    </row>
    <row r="4182" spans="1:7" x14ac:dyDescent="0.2">
      <c r="A4182" t="s">
        <v>71</v>
      </c>
      <c r="B4182" t="s">
        <v>170</v>
      </c>
      <c r="C4182" t="s">
        <v>197</v>
      </c>
      <c r="D4182" t="s">
        <v>74</v>
      </c>
      <c r="E4182" t="s">
        <v>82</v>
      </c>
      <c r="F4182" s="55">
        <v>85</v>
      </c>
      <c r="G4182" s="63">
        <v>9.7900000000000001E-2</v>
      </c>
    </row>
    <row r="4183" spans="1:7" x14ac:dyDescent="0.2">
      <c r="A4183" t="s">
        <v>71</v>
      </c>
      <c r="B4183" t="s">
        <v>170</v>
      </c>
      <c r="C4183" t="s">
        <v>197</v>
      </c>
      <c r="D4183" t="s">
        <v>74</v>
      </c>
      <c r="E4183" t="s">
        <v>83</v>
      </c>
      <c r="F4183" s="55">
        <v>90</v>
      </c>
      <c r="G4183" s="63">
        <v>3.61E-2</v>
      </c>
    </row>
    <row r="4184" spans="1:7" x14ac:dyDescent="0.2">
      <c r="A4184" t="s">
        <v>71</v>
      </c>
      <c r="B4184" t="s">
        <v>170</v>
      </c>
      <c r="C4184" t="s">
        <v>197</v>
      </c>
      <c r="D4184" t="s">
        <v>74</v>
      </c>
      <c r="E4184" t="s">
        <v>84</v>
      </c>
      <c r="F4184" s="55">
        <v>90</v>
      </c>
      <c r="G4184" s="63">
        <v>5.0099999999999999E-2</v>
      </c>
    </row>
    <row r="4185" spans="1:7" x14ac:dyDescent="0.2">
      <c r="A4185" t="s">
        <v>71</v>
      </c>
      <c r="B4185" t="s">
        <v>170</v>
      </c>
      <c r="C4185" t="s">
        <v>197</v>
      </c>
      <c r="D4185" t="s">
        <v>74</v>
      </c>
      <c r="E4185" t="s">
        <v>85</v>
      </c>
      <c r="F4185" s="55">
        <v>87</v>
      </c>
      <c r="G4185" s="63">
        <v>6.3700000000000007E-2</v>
      </c>
    </row>
    <row r="4186" spans="1:7" x14ac:dyDescent="0.2">
      <c r="A4186" t="s">
        <v>71</v>
      </c>
      <c r="B4186" t="s">
        <v>170</v>
      </c>
      <c r="C4186" t="s">
        <v>197</v>
      </c>
      <c r="D4186" t="s">
        <v>74</v>
      </c>
      <c r="E4186" t="s">
        <v>86</v>
      </c>
      <c r="F4186" s="55">
        <v>89</v>
      </c>
      <c r="G4186" s="63">
        <v>7.0699999999999999E-2</v>
      </c>
    </row>
    <row r="4187" spans="1:7" x14ac:dyDescent="0.2">
      <c r="A4187" t="s">
        <v>71</v>
      </c>
      <c r="B4187" t="s">
        <v>170</v>
      </c>
      <c r="C4187" t="s">
        <v>197</v>
      </c>
      <c r="D4187" t="s">
        <v>74</v>
      </c>
      <c r="E4187" t="s">
        <v>87</v>
      </c>
      <c r="F4187" s="55">
        <v>87</v>
      </c>
      <c r="G4187" s="63">
        <v>7.3800000000000004E-2</v>
      </c>
    </row>
    <row r="4188" spans="1:7" x14ac:dyDescent="0.2">
      <c r="A4188" t="s">
        <v>71</v>
      </c>
      <c r="B4188" t="s">
        <v>170</v>
      </c>
      <c r="C4188" t="s">
        <v>197</v>
      </c>
      <c r="D4188" t="s">
        <v>74</v>
      </c>
      <c r="E4188" t="s">
        <v>88</v>
      </c>
      <c r="F4188" s="55">
        <v>94</v>
      </c>
      <c r="G4188" s="63">
        <v>5.3900000000000003E-2</v>
      </c>
    </row>
    <row r="4189" spans="1:7" x14ac:dyDescent="0.2">
      <c r="A4189" t="s">
        <v>71</v>
      </c>
      <c r="B4189" t="s">
        <v>16</v>
      </c>
      <c r="C4189" t="s">
        <v>197</v>
      </c>
      <c r="D4189" t="s">
        <v>74</v>
      </c>
      <c r="E4189" t="s">
        <v>75</v>
      </c>
      <c r="F4189" s="55">
        <v>88</v>
      </c>
      <c r="G4189" s="63">
        <v>0.33510000000000001</v>
      </c>
    </row>
    <row r="4190" spans="1:7" x14ac:dyDescent="0.2">
      <c r="A4190" t="s">
        <v>71</v>
      </c>
      <c r="B4190" t="s">
        <v>16</v>
      </c>
      <c r="C4190" t="s">
        <v>197</v>
      </c>
      <c r="D4190" t="s">
        <v>74</v>
      </c>
      <c r="E4190" t="s">
        <v>76</v>
      </c>
      <c r="F4190" s="55">
        <v>103</v>
      </c>
      <c r="G4190" s="63">
        <v>2.8500000000000001E-2</v>
      </c>
    </row>
    <row r="4191" spans="1:7" x14ac:dyDescent="0.2">
      <c r="A4191" t="s">
        <v>71</v>
      </c>
      <c r="B4191" t="s">
        <v>16</v>
      </c>
      <c r="C4191" t="s">
        <v>197</v>
      </c>
      <c r="D4191" t="s">
        <v>74</v>
      </c>
      <c r="E4191" t="s">
        <v>77</v>
      </c>
      <c r="F4191" s="55">
        <v>84</v>
      </c>
      <c r="G4191" s="63">
        <v>8.4000000000000005E-2</v>
      </c>
    </row>
    <row r="4192" spans="1:7" x14ac:dyDescent="0.2">
      <c r="A4192" t="s">
        <v>71</v>
      </c>
      <c r="B4192" t="s">
        <v>16</v>
      </c>
      <c r="C4192" t="s">
        <v>197</v>
      </c>
      <c r="D4192" t="s">
        <v>74</v>
      </c>
      <c r="E4192" t="s">
        <v>78</v>
      </c>
      <c r="F4192" s="55">
        <v>88</v>
      </c>
      <c r="G4192" s="63">
        <v>9.1800000000000007E-2</v>
      </c>
    </row>
    <row r="4193" spans="1:7" x14ac:dyDescent="0.2">
      <c r="A4193" t="s">
        <v>71</v>
      </c>
      <c r="B4193" t="s">
        <v>16</v>
      </c>
      <c r="C4193" t="s">
        <v>197</v>
      </c>
      <c r="D4193" t="s">
        <v>74</v>
      </c>
      <c r="E4193" t="s">
        <v>79</v>
      </c>
      <c r="F4193" s="55">
        <v>89</v>
      </c>
      <c r="G4193" s="63">
        <v>0.25419999999999998</v>
      </c>
    </row>
    <row r="4194" spans="1:7" x14ac:dyDescent="0.2">
      <c r="A4194" t="s">
        <v>71</v>
      </c>
      <c r="B4194" t="s">
        <v>16</v>
      </c>
      <c r="C4194" t="s">
        <v>197</v>
      </c>
      <c r="D4194" t="s">
        <v>74</v>
      </c>
      <c r="E4194" t="s">
        <v>80</v>
      </c>
      <c r="F4194" s="55">
        <v>86</v>
      </c>
      <c r="G4194" s="63">
        <v>0.1023</v>
      </c>
    </row>
    <row r="4195" spans="1:7" x14ac:dyDescent="0.2">
      <c r="A4195" t="s">
        <v>71</v>
      </c>
      <c r="B4195" t="s">
        <v>16</v>
      </c>
      <c r="C4195" t="s">
        <v>197</v>
      </c>
      <c r="D4195" t="s">
        <v>74</v>
      </c>
      <c r="E4195" t="s">
        <v>81</v>
      </c>
      <c r="F4195" s="55">
        <v>86</v>
      </c>
      <c r="G4195" s="63">
        <v>9.4600000000000004E-2</v>
      </c>
    </row>
    <row r="4196" spans="1:7" x14ac:dyDescent="0.2">
      <c r="A4196" t="s">
        <v>71</v>
      </c>
      <c r="B4196" t="s">
        <v>16</v>
      </c>
      <c r="C4196" t="s">
        <v>197</v>
      </c>
      <c r="D4196" t="s">
        <v>74</v>
      </c>
      <c r="E4196" t="s">
        <v>82</v>
      </c>
      <c r="F4196" s="55">
        <v>91</v>
      </c>
      <c r="G4196" s="63">
        <v>0.14829999999999999</v>
      </c>
    </row>
    <row r="4197" spans="1:7" x14ac:dyDescent="0.2">
      <c r="A4197" t="s">
        <v>71</v>
      </c>
      <c r="B4197" t="s">
        <v>16</v>
      </c>
      <c r="C4197" t="s">
        <v>197</v>
      </c>
      <c r="D4197" t="s">
        <v>74</v>
      </c>
      <c r="E4197" t="s">
        <v>83</v>
      </c>
      <c r="F4197" s="55">
        <v>94</v>
      </c>
      <c r="G4197" s="63">
        <v>3.39E-2</v>
      </c>
    </row>
    <row r="4198" spans="1:7" x14ac:dyDescent="0.2">
      <c r="A4198" t="s">
        <v>71</v>
      </c>
      <c r="B4198" t="s">
        <v>16</v>
      </c>
      <c r="C4198" t="s">
        <v>197</v>
      </c>
      <c r="D4198" t="s">
        <v>74</v>
      </c>
      <c r="E4198" t="s">
        <v>84</v>
      </c>
      <c r="F4198" s="55">
        <v>87</v>
      </c>
      <c r="G4198" s="63">
        <v>5.8599999999999999E-2</v>
      </c>
    </row>
    <row r="4199" spans="1:7" x14ac:dyDescent="0.2">
      <c r="A4199" t="s">
        <v>71</v>
      </c>
      <c r="B4199" t="s">
        <v>16</v>
      </c>
      <c r="C4199" t="s">
        <v>197</v>
      </c>
      <c r="D4199" t="s">
        <v>74</v>
      </c>
      <c r="E4199" t="s">
        <v>85</v>
      </c>
      <c r="F4199" s="55">
        <v>86</v>
      </c>
      <c r="G4199" s="63">
        <v>0.1132</v>
      </c>
    </row>
    <row r="4200" spans="1:7" x14ac:dyDescent="0.2">
      <c r="A4200" t="s">
        <v>71</v>
      </c>
      <c r="B4200" t="s">
        <v>16</v>
      </c>
      <c r="C4200" t="s">
        <v>197</v>
      </c>
      <c r="D4200" t="s">
        <v>74</v>
      </c>
      <c r="E4200" t="s">
        <v>86</v>
      </c>
      <c r="F4200" s="55">
        <v>87</v>
      </c>
      <c r="G4200" s="63">
        <v>0.13150000000000001</v>
      </c>
    </row>
    <row r="4201" spans="1:7" x14ac:dyDescent="0.2">
      <c r="A4201" t="s">
        <v>71</v>
      </c>
      <c r="B4201" t="s">
        <v>16</v>
      </c>
      <c r="C4201" t="s">
        <v>197</v>
      </c>
      <c r="D4201" t="s">
        <v>74</v>
      </c>
      <c r="E4201" t="s">
        <v>87</v>
      </c>
      <c r="F4201" s="55">
        <v>90</v>
      </c>
      <c r="G4201" s="63">
        <v>0.1464</v>
      </c>
    </row>
    <row r="4202" spans="1:7" x14ac:dyDescent="0.2">
      <c r="A4202" t="s">
        <v>71</v>
      </c>
      <c r="B4202" t="s">
        <v>16</v>
      </c>
      <c r="C4202" t="s">
        <v>197</v>
      </c>
      <c r="D4202" t="s">
        <v>74</v>
      </c>
      <c r="E4202" t="s">
        <v>88</v>
      </c>
      <c r="F4202" s="55">
        <v>99</v>
      </c>
      <c r="G4202" s="63">
        <v>5.3699999999999998E-2</v>
      </c>
    </row>
    <row r="4203" spans="1:7" x14ac:dyDescent="0.2">
      <c r="A4203" t="s">
        <v>89</v>
      </c>
      <c r="B4203" t="s">
        <v>171</v>
      </c>
      <c r="C4203" t="s">
        <v>197</v>
      </c>
      <c r="D4203" t="s">
        <v>91</v>
      </c>
      <c r="E4203" t="s">
        <v>75</v>
      </c>
      <c r="F4203" s="55">
        <v>126</v>
      </c>
      <c r="G4203" s="63">
        <v>0.46129999999999999</v>
      </c>
    </row>
    <row r="4204" spans="1:7" x14ac:dyDescent="0.2">
      <c r="A4204" t="s">
        <v>89</v>
      </c>
      <c r="B4204" t="s">
        <v>171</v>
      </c>
      <c r="C4204" t="s">
        <v>197</v>
      </c>
      <c r="D4204" t="s">
        <v>91</v>
      </c>
      <c r="E4204" t="s">
        <v>76</v>
      </c>
      <c r="F4204" s="55">
        <v>105</v>
      </c>
      <c r="G4204" s="63">
        <v>3.1899999999999998E-2</v>
      </c>
    </row>
    <row r="4205" spans="1:7" x14ac:dyDescent="0.2">
      <c r="A4205" t="s">
        <v>89</v>
      </c>
      <c r="B4205" t="s">
        <v>171</v>
      </c>
      <c r="C4205" t="s">
        <v>197</v>
      </c>
      <c r="D4205" t="s">
        <v>91</v>
      </c>
      <c r="E4205" t="s">
        <v>77</v>
      </c>
      <c r="F4205" s="55">
        <v>67</v>
      </c>
      <c r="G4205" s="63">
        <v>8.0500000000000002E-2</v>
      </c>
    </row>
    <row r="4206" spans="1:7" x14ac:dyDescent="0.2">
      <c r="A4206" t="s">
        <v>89</v>
      </c>
      <c r="B4206" t="s">
        <v>171</v>
      </c>
      <c r="C4206" t="s">
        <v>197</v>
      </c>
      <c r="D4206" t="s">
        <v>91</v>
      </c>
      <c r="E4206" t="s">
        <v>78</v>
      </c>
      <c r="F4206" s="55">
        <v>95</v>
      </c>
      <c r="G4206" s="63">
        <v>7.6399999999999996E-2</v>
      </c>
    </row>
    <row r="4207" spans="1:7" x14ac:dyDescent="0.2">
      <c r="A4207" t="s">
        <v>89</v>
      </c>
      <c r="B4207" t="s">
        <v>171</v>
      </c>
      <c r="C4207" t="s">
        <v>197</v>
      </c>
      <c r="D4207" t="s">
        <v>91</v>
      </c>
      <c r="E4207" t="s">
        <v>79</v>
      </c>
      <c r="F4207" s="55">
        <v>134</v>
      </c>
      <c r="G4207" s="63">
        <v>0.37140000000000001</v>
      </c>
    </row>
    <row r="4208" spans="1:7" x14ac:dyDescent="0.2">
      <c r="A4208" t="s">
        <v>89</v>
      </c>
      <c r="B4208" t="s">
        <v>171</v>
      </c>
      <c r="C4208" t="s">
        <v>197</v>
      </c>
      <c r="D4208" t="s">
        <v>91</v>
      </c>
      <c r="E4208" t="s">
        <v>80</v>
      </c>
      <c r="F4208" s="55">
        <v>123</v>
      </c>
      <c r="G4208" s="63">
        <v>0.1216</v>
      </c>
    </row>
    <row r="4209" spans="1:7" x14ac:dyDescent="0.2">
      <c r="A4209" t="s">
        <v>89</v>
      </c>
      <c r="B4209" t="s">
        <v>171</v>
      </c>
      <c r="C4209" t="s">
        <v>197</v>
      </c>
      <c r="D4209" t="s">
        <v>91</v>
      </c>
      <c r="E4209" t="s">
        <v>81</v>
      </c>
      <c r="F4209" s="55">
        <v>115</v>
      </c>
      <c r="G4209" s="63">
        <v>0.1069</v>
      </c>
    </row>
    <row r="4210" spans="1:7" x14ac:dyDescent="0.2">
      <c r="A4210" t="s">
        <v>89</v>
      </c>
      <c r="B4210" t="s">
        <v>171</v>
      </c>
      <c r="C4210" t="s">
        <v>197</v>
      </c>
      <c r="D4210" t="s">
        <v>91</v>
      </c>
      <c r="E4210" t="s">
        <v>82</v>
      </c>
      <c r="F4210" s="55">
        <v>122</v>
      </c>
      <c r="G4210" s="63">
        <v>0.26629999999999998</v>
      </c>
    </row>
    <row r="4211" spans="1:7" x14ac:dyDescent="0.2">
      <c r="A4211" t="s">
        <v>89</v>
      </c>
      <c r="B4211" t="s">
        <v>171</v>
      </c>
      <c r="C4211" t="s">
        <v>197</v>
      </c>
      <c r="D4211" t="s">
        <v>91</v>
      </c>
      <c r="E4211" t="s">
        <v>83</v>
      </c>
      <c r="F4211" s="55">
        <v>107</v>
      </c>
      <c r="G4211" s="63">
        <v>3.5499999999999997E-2</v>
      </c>
    </row>
    <row r="4212" spans="1:7" x14ac:dyDescent="0.2">
      <c r="A4212" t="s">
        <v>89</v>
      </c>
      <c r="B4212" t="s">
        <v>171</v>
      </c>
      <c r="C4212" t="s">
        <v>197</v>
      </c>
      <c r="D4212" t="s">
        <v>91</v>
      </c>
      <c r="E4212" t="s">
        <v>84</v>
      </c>
      <c r="F4212" s="55">
        <v>87</v>
      </c>
      <c r="G4212" s="63">
        <v>4.4600000000000001E-2</v>
      </c>
    </row>
    <row r="4213" spans="1:7" x14ac:dyDescent="0.2">
      <c r="A4213" t="s">
        <v>89</v>
      </c>
      <c r="B4213" t="s">
        <v>171</v>
      </c>
      <c r="C4213" t="s">
        <v>197</v>
      </c>
      <c r="D4213" t="s">
        <v>91</v>
      </c>
      <c r="E4213" t="s">
        <v>85</v>
      </c>
      <c r="F4213" s="55">
        <v>129</v>
      </c>
      <c r="G4213" s="63">
        <v>0.16139999999999999</v>
      </c>
    </row>
    <row r="4214" spans="1:7" x14ac:dyDescent="0.2">
      <c r="A4214" t="s">
        <v>89</v>
      </c>
      <c r="B4214" t="s">
        <v>171</v>
      </c>
      <c r="C4214" t="s">
        <v>197</v>
      </c>
      <c r="D4214" t="s">
        <v>91</v>
      </c>
      <c r="E4214" t="s">
        <v>86</v>
      </c>
      <c r="F4214" s="55">
        <v>136</v>
      </c>
      <c r="G4214" s="63">
        <v>0.20030000000000001</v>
      </c>
    </row>
    <row r="4215" spans="1:7" x14ac:dyDescent="0.2">
      <c r="A4215" t="s">
        <v>89</v>
      </c>
      <c r="B4215" t="s">
        <v>171</v>
      </c>
      <c r="C4215" t="s">
        <v>197</v>
      </c>
      <c r="D4215" t="s">
        <v>91</v>
      </c>
      <c r="E4215" t="s">
        <v>87</v>
      </c>
      <c r="F4215" s="55">
        <v>136</v>
      </c>
      <c r="G4215" s="63">
        <v>0.23599999999999999</v>
      </c>
    </row>
    <row r="4216" spans="1:7" x14ac:dyDescent="0.2">
      <c r="A4216" t="s">
        <v>89</v>
      </c>
      <c r="B4216" t="s">
        <v>171</v>
      </c>
      <c r="C4216" t="s">
        <v>197</v>
      </c>
      <c r="D4216" t="s">
        <v>91</v>
      </c>
      <c r="E4216" t="s">
        <v>88</v>
      </c>
      <c r="F4216" s="55">
        <v>109</v>
      </c>
      <c r="G4216" s="63">
        <v>6.9699999999999998E-2</v>
      </c>
    </row>
    <row r="4217" spans="1:7" x14ac:dyDescent="0.2">
      <c r="A4217" t="s">
        <v>89</v>
      </c>
      <c r="B4217" t="s">
        <v>172</v>
      </c>
      <c r="C4217" t="s">
        <v>197</v>
      </c>
      <c r="D4217" t="s">
        <v>74</v>
      </c>
      <c r="E4217" t="s">
        <v>75</v>
      </c>
      <c r="F4217" s="55">
        <v>109</v>
      </c>
      <c r="G4217" s="63">
        <v>0.15340000000000001</v>
      </c>
    </row>
    <row r="4218" spans="1:7" x14ac:dyDescent="0.2">
      <c r="A4218" t="s">
        <v>89</v>
      </c>
      <c r="B4218" t="s">
        <v>172</v>
      </c>
      <c r="C4218" t="s">
        <v>197</v>
      </c>
      <c r="D4218" t="s">
        <v>74</v>
      </c>
      <c r="E4218" t="s">
        <v>76</v>
      </c>
      <c r="F4218" s="55">
        <v>94</v>
      </c>
      <c r="G4218" s="63">
        <v>2.4400000000000002E-2</v>
      </c>
    </row>
    <row r="4219" spans="1:7" x14ac:dyDescent="0.2">
      <c r="A4219" t="s">
        <v>89</v>
      </c>
      <c r="B4219" t="s">
        <v>172</v>
      </c>
      <c r="C4219" t="s">
        <v>197</v>
      </c>
      <c r="D4219" t="s">
        <v>74</v>
      </c>
      <c r="E4219" t="s">
        <v>77</v>
      </c>
      <c r="F4219" s="55">
        <v>110</v>
      </c>
      <c r="G4219" s="63">
        <v>5.6599999999999998E-2</v>
      </c>
    </row>
    <row r="4220" spans="1:7" x14ac:dyDescent="0.2">
      <c r="A4220" t="s">
        <v>89</v>
      </c>
      <c r="B4220" t="s">
        <v>172</v>
      </c>
      <c r="C4220" t="s">
        <v>197</v>
      </c>
      <c r="D4220" t="s">
        <v>74</v>
      </c>
      <c r="E4220" t="s">
        <v>78</v>
      </c>
      <c r="F4220" s="55">
        <v>111</v>
      </c>
      <c r="G4220" s="63">
        <v>4.5499999999999999E-2</v>
      </c>
    </row>
    <row r="4221" spans="1:7" x14ac:dyDescent="0.2">
      <c r="A4221" t="s">
        <v>89</v>
      </c>
      <c r="B4221" t="s">
        <v>172</v>
      </c>
      <c r="C4221" t="s">
        <v>197</v>
      </c>
      <c r="D4221" t="s">
        <v>74</v>
      </c>
      <c r="E4221" t="s">
        <v>79</v>
      </c>
      <c r="F4221" s="55">
        <v>109</v>
      </c>
      <c r="G4221" s="63">
        <v>9.5100000000000004E-2</v>
      </c>
    </row>
    <row r="4222" spans="1:7" x14ac:dyDescent="0.2">
      <c r="A4222" t="s">
        <v>89</v>
      </c>
      <c r="B4222" t="s">
        <v>172</v>
      </c>
      <c r="C4222" t="s">
        <v>197</v>
      </c>
      <c r="D4222" t="s">
        <v>74</v>
      </c>
      <c r="E4222" t="s">
        <v>80</v>
      </c>
      <c r="F4222" s="55">
        <v>111</v>
      </c>
      <c r="G4222" s="63">
        <v>4.5499999999999999E-2</v>
      </c>
    </row>
    <row r="4223" spans="1:7" x14ac:dyDescent="0.2">
      <c r="A4223" t="s">
        <v>89</v>
      </c>
      <c r="B4223" t="s">
        <v>172</v>
      </c>
      <c r="C4223" t="s">
        <v>197</v>
      </c>
      <c r="D4223" t="s">
        <v>74</v>
      </c>
      <c r="E4223" t="s">
        <v>81</v>
      </c>
      <c r="F4223" s="55">
        <v>107</v>
      </c>
      <c r="G4223" s="63">
        <v>4.7399999999999998E-2</v>
      </c>
    </row>
    <row r="4224" spans="1:7" x14ac:dyDescent="0.2">
      <c r="A4224" t="s">
        <v>89</v>
      </c>
      <c r="B4224" t="s">
        <v>172</v>
      </c>
      <c r="C4224" t="s">
        <v>197</v>
      </c>
      <c r="D4224" t="s">
        <v>74</v>
      </c>
      <c r="E4224" t="s">
        <v>82</v>
      </c>
      <c r="F4224" s="55">
        <v>110</v>
      </c>
      <c r="G4224" s="63">
        <v>8.2100000000000006E-2</v>
      </c>
    </row>
    <row r="4225" spans="1:7" x14ac:dyDescent="0.2">
      <c r="A4225" t="s">
        <v>89</v>
      </c>
      <c r="B4225" t="s">
        <v>172</v>
      </c>
      <c r="C4225" t="s">
        <v>197</v>
      </c>
      <c r="D4225" t="s">
        <v>74</v>
      </c>
      <c r="E4225" t="s">
        <v>83</v>
      </c>
      <c r="F4225" s="55">
        <v>97</v>
      </c>
      <c r="G4225" s="63">
        <v>2.3400000000000001E-2</v>
      </c>
    </row>
    <row r="4226" spans="1:7" x14ac:dyDescent="0.2">
      <c r="A4226" t="s">
        <v>89</v>
      </c>
      <c r="B4226" t="s">
        <v>172</v>
      </c>
      <c r="C4226" t="s">
        <v>197</v>
      </c>
      <c r="D4226" t="s">
        <v>74</v>
      </c>
      <c r="E4226" t="s">
        <v>84</v>
      </c>
      <c r="F4226" s="55">
        <v>113</v>
      </c>
      <c r="G4226" s="63">
        <v>3.9899999999999998E-2</v>
      </c>
    </row>
    <row r="4227" spans="1:7" x14ac:dyDescent="0.2">
      <c r="A4227" t="s">
        <v>89</v>
      </c>
      <c r="B4227" t="s">
        <v>172</v>
      </c>
      <c r="C4227" t="s">
        <v>197</v>
      </c>
      <c r="D4227" t="s">
        <v>74</v>
      </c>
      <c r="E4227" t="s">
        <v>85</v>
      </c>
      <c r="F4227" s="55">
        <v>110</v>
      </c>
      <c r="G4227" s="63">
        <v>4.3700000000000003E-2</v>
      </c>
    </row>
    <row r="4228" spans="1:7" x14ac:dyDescent="0.2">
      <c r="A4228" t="s">
        <v>89</v>
      </c>
      <c r="B4228" t="s">
        <v>172</v>
      </c>
      <c r="C4228" t="s">
        <v>197</v>
      </c>
      <c r="D4228" t="s">
        <v>74</v>
      </c>
      <c r="E4228" t="s">
        <v>86</v>
      </c>
      <c r="F4228" s="55">
        <v>111</v>
      </c>
      <c r="G4228" s="63">
        <v>4.9000000000000002E-2</v>
      </c>
    </row>
    <row r="4229" spans="1:7" x14ac:dyDescent="0.2">
      <c r="A4229" t="s">
        <v>89</v>
      </c>
      <c r="B4229" t="s">
        <v>172</v>
      </c>
      <c r="C4229" t="s">
        <v>197</v>
      </c>
      <c r="D4229" t="s">
        <v>74</v>
      </c>
      <c r="E4229" t="s">
        <v>87</v>
      </c>
      <c r="F4229" s="55">
        <v>112</v>
      </c>
      <c r="G4229" s="63">
        <v>4.9000000000000002E-2</v>
      </c>
    </row>
    <row r="4230" spans="1:7" x14ac:dyDescent="0.2">
      <c r="A4230" t="s">
        <v>89</v>
      </c>
      <c r="B4230" t="s">
        <v>172</v>
      </c>
      <c r="C4230" t="s">
        <v>197</v>
      </c>
      <c r="D4230" t="s">
        <v>74</v>
      </c>
      <c r="E4230" t="s">
        <v>88</v>
      </c>
      <c r="F4230" s="55">
        <v>104</v>
      </c>
      <c r="G4230" s="63">
        <v>3.85E-2</v>
      </c>
    </row>
    <row r="4231" spans="1:7" x14ac:dyDescent="0.2">
      <c r="A4231" t="s">
        <v>89</v>
      </c>
      <c r="B4231" t="s">
        <v>173</v>
      </c>
      <c r="C4231" t="s">
        <v>197</v>
      </c>
      <c r="D4231" t="s">
        <v>74</v>
      </c>
      <c r="E4231" t="s">
        <v>75</v>
      </c>
      <c r="F4231" s="55">
        <v>104</v>
      </c>
      <c r="G4231" s="63">
        <v>8.1299999999999997E-2</v>
      </c>
    </row>
    <row r="4232" spans="1:7" x14ac:dyDescent="0.2">
      <c r="A4232" t="s">
        <v>89</v>
      </c>
      <c r="B4232" t="s">
        <v>173</v>
      </c>
      <c r="C4232" t="s">
        <v>197</v>
      </c>
      <c r="D4232" t="s">
        <v>74</v>
      </c>
      <c r="E4232" t="s">
        <v>77</v>
      </c>
      <c r="F4232" s="55">
        <v>110</v>
      </c>
      <c r="G4232" s="63">
        <v>2.7199999999999998E-2</v>
      </c>
    </row>
    <row r="4233" spans="1:7" x14ac:dyDescent="0.2">
      <c r="A4233" t="s">
        <v>89</v>
      </c>
      <c r="B4233" t="s">
        <v>173</v>
      </c>
      <c r="C4233" t="s">
        <v>197</v>
      </c>
      <c r="D4233" t="s">
        <v>74</v>
      </c>
      <c r="E4233" t="s">
        <v>78</v>
      </c>
      <c r="F4233" s="55">
        <v>108</v>
      </c>
      <c r="G4233" s="63">
        <v>1.9300000000000001E-2</v>
      </c>
    </row>
    <row r="4234" spans="1:7" x14ac:dyDescent="0.2">
      <c r="A4234" t="s">
        <v>89</v>
      </c>
      <c r="B4234" t="s">
        <v>173</v>
      </c>
      <c r="C4234" t="s">
        <v>197</v>
      </c>
      <c r="D4234" t="s">
        <v>74</v>
      </c>
      <c r="E4234" t="s">
        <v>79</v>
      </c>
      <c r="F4234" s="55">
        <v>102</v>
      </c>
      <c r="G4234" s="63">
        <v>4.99E-2</v>
      </c>
    </row>
    <row r="4235" spans="1:7" x14ac:dyDescent="0.2">
      <c r="A4235" t="s">
        <v>89</v>
      </c>
      <c r="B4235" t="s">
        <v>173</v>
      </c>
      <c r="C4235" t="s">
        <v>197</v>
      </c>
      <c r="D4235" t="s">
        <v>74</v>
      </c>
      <c r="E4235" t="s">
        <v>80</v>
      </c>
      <c r="F4235" s="55">
        <v>104</v>
      </c>
      <c r="G4235" s="63">
        <v>2.69E-2</v>
      </c>
    </row>
    <row r="4236" spans="1:7" x14ac:dyDescent="0.2">
      <c r="A4236" t="s">
        <v>89</v>
      </c>
      <c r="B4236" t="s">
        <v>173</v>
      </c>
      <c r="C4236" t="s">
        <v>197</v>
      </c>
      <c r="D4236" t="s">
        <v>74</v>
      </c>
      <c r="E4236" t="s">
        <v>81</v>
      </c>
      <c r="F4236" s="55">
        <v>102</v>
      </c>
      <c r="G4236" s="63">
        <v>2.1700000000000001E-2</v>
      </c>
    </row>
    <row r="4237" spans="1:7" x14ac:dyDescent="0.2">
      <c r="A4237" t="s">
        <v>89</v>
      </c>
      <c r="B4237" t="s">
        <v>173</v>
      </c>
      <c r="C4237" t="s">
        <v>197</v>
      </c>
      <c r="D4237" t="s">
        <v>74</v>
      </c>
      <c r="E4237" t="s">
        <v>82</v>
      </c>
      <c r="F4237" s="55">
        <v>103</v>
      </c>
      <c r="G4237" s="63">
        <v>3.8699999999999998E-2</v>
      </c>
    </row>
    <row r="4238" spans="1:7" x14ac:dyDescent="0.2">
      <c r="A4238" t="s">
        <v>89</v>
      </c>
      <c r="B4238" t="s">
        <v>173</v>
      </c>
      <c r="C4238" t="s">
        <v>197</v>
      </c>
      <c r="D4238" t="s">
        <v>74</v>
      </c>
      <c r="E4238" t="s">
        <v>84</v>
      </c>
      <c r="F4238" s="55">
        <v>113</v>
      </c>
      <c r="G4238" s="63">
        <v>1.5699999999999999E-2</v>
      </c>
    </row>
    <row r="4239" spans="1:7" x14ac:dyDescent="0.2">
      <c r="A4239" t="s">
        <v>89</v>
      </c>
      <c r="B4239" t="s">
        <v>173</v>
      </c>
      <c r="C4239" t="s">
        <v>197</v>
      </c>
      <c r="D4239" t="s">
        <v>74</v>
      </c>
      <c r="E4239" t="s">
        <v>85</v>
      </c>
      <c r="F4239" s="55">
        <v>106</v>
      </c>
      <c r="G4239" s="63">
        <v>2.7300000000000001E-2</v>
      </c>
    </row>
    <row r="4240" spans="1:7" x14ac:dyDescent="0.2">
      <c r="A4240" t="s">
        <v>89</v>
      </c>
      <c r="B4240" t="s">
        <v>173</v>
      </c>
      <c r="C4240" t="s">
        <v>197</v>
      </c>
      <c r="D4240" t="s">
        <v>74</v>
      </c>
      <c r="E4240" t="s">
        <v>86</v>
      </c>
      <c r="F4240" s="55">
        <v>105</v>
      </c>
      <c r="G4240" s="63">
        <v>2.7900000000000001E-2</v>
      </c>
    </row>
    <row r="4241" spans="1:7" x14ac:dyDescent="0.2">
      <c r="A4241" t="s">
        <v>89</v>
      </c>
      <c r="B4241" t="s">
        <v>173</v>
      </c>
      <c r="C4241" t="s">
        <v>197</v>
      </c>
      <c r="D4241" t="s">
        <v>74</v>
      </c>
      <c r="E4241" t="s">
        <v>87</v>
      </c>
      <c r="F4241" s="55">
        <v>102</v>
      </c>
      <c r="G4241" s="63">
        <v>2.9899999999999999E-2</v>
      </c>
    </row>
    <row r="4242" spans="1:7" x14ac:dyDescent="0.2">
      <c r="A4242" t="s">
        <v>89</v>
      </c>
      <c r="B4242" t="s">
        <v>173</v>
      </c>
      <c r="C4242" t="s">
        <v>197</v>
      </c>
      <c r="D4242" t="s">
        <v>74</v>
      </c>
      <c r="E4242" t="s">
        <v>88</v>
      </c>
      <c r="F4242" s="55">
        <v>95</v>
      </c>
      <c r="G4242" s="63">
        <v>1.11E-2</v>
      </c>
    </row>
    <row r="4243" spans="1:7" x14ac:dyDescent="0.2">
      <c r="A4243" t="s">
        <v>89</v>
      </c>
      <c r="B4243" t="s">
        <v>174</v>
      </c>
      <c r="C4243" t="s">
        <v>197</v>
      </c>
      <c r="D4243" t="s">
        <v>74</v>
      </c>
      <c r="E4243" t="s">
        <v>75</v>
      </c>
      <c r="F4243" s="55">
        <v>117</v>
      </c>
      <c r="G4243" s="63">
        <v>9.1999999999999998E-2</v>
      </c>
    </row>
    <row r="4244" spans="1:7" x14ac:dyDescent="0.2">
      <c r="A4244" t="s">
        <v>89</v>
      </c>
      <c r="B4244" t="s">
        <v>174</v>
      </c>
      <c r="C4244" t="s">
        <v>197</v>
      </c>
      <c r="D4244" t="s">
        <v>74</v>
      </c>
      <c r="E4244" t="s">
        <v>76</v>
      </c>
      <c r="F4244" s="55">
        <v>115</v>
      </c>
      <c r="G4244" s="63">
        <v>1.23E-2</v>
      </c>
    </row>
    <row r="4245" spans="1:7" x14ac:dyDescent="0.2">
      <c r="A4245" t="s">
        <v>89</v>
      </c>
      <c r="B4245" t="s">
        <v>174</v>
      </c>
      <c r="C4245" t="s">
        <v>197</v>
      </c>
      <c r="D4245" t="s">
        <v>74</v>
      </c>
      <c r="E4245" t="s">
        <v>77</v>
      </c>
      <c r="F4245" s="55">
        <v>117</v>
      </c>
      <c r="G4245" s="63">
        <v>3.49E-2</v>
      </c>
    </row>
    <row r="4246" spans="1:7" x14ac:dyDescent="0.2">
      <c r="A4246" t="s">
        <v>89</v>
      </c>
      <c r="B4246" t="s">
        <v>174</v>
      </c>
      <c r="C4246" t="s">
        <v>197</v>
      </c>
      <c r="D4246" t="s">
        <v>74</v>
      </c>
      <c r="E4246" t="s">
        <v>78</v>
      </c>
      <c r="F4246" s="55">
        <v>118</v>
      </c>
      <c r="G4246" s="63">
        <v>2.6700000000000002E-2</v>
      </c>
    </row>
    <row r="4247" spans="1:7" x14ac:dyDescent="0.2">
      <c r="A4247" t="s">
        <v>89</v>
      </c>
      <c r="B4247" t="s">
        <v>174</v>
      </c>
      <c r="C4247" t="s">
        <v>197</v>
      </c>
      <c r="D4247" t="s">
        <v>74</v>
      </c>
      <c r="E4247" t="s">
        <v>79</v>
      </c>
      <c r="F4247" s="55">
        <v>125</v>
      </c>
      <c r="G4247" s="63">
        <v>6.0299999999999999E-2</v>
      </c>
    </row>
    <row r="4248" spans="1:7" x14ac:dyDescent="0.2">
      <c r="A4248" t="s">
        <v>89</v>
      </c>
      <c r="B4248" t="s">
        <v>174</v>
      </c>
      <c r="C4248" t="s">
        <v>197</v>
      </c>
      <c r="D4248" t="s">
        <v>74</v>
      </c>
      <c r="E4248" t="s">
        <v>80</v>
      </c>
      <c r="F4248" s="55">
        <v>97</v>
      </c>
      <c r="G4248" s="63">
        <v>2.47E-2</v>
      </c>
    </row>
    <row r="4249" spans="1:7" x14ac:dyDescent="0.2">
      <c r="A4249" t="s">
        <v>89</v>
      </c>
      <c r="B4249" t="s">
        <v>174</v>
      </c>
      <c r="C4249" t="s">
        <v>197</v>
      </c>
      <c r="D4249" t="s">
        <v>74</v>
      </c>
      <c r="E4249" t="s">
        <v>81</v>
      </c>
      <c r="F4249" s="55">
        <v>98</v>
      </c>
      <c r="G4249" s="63">
        <v>2.47E-2</v>
      </c>
    </row>
    <row r="4250" spans="1:7" x14ac:dyDescent="0.2">
      <c r="A4250" t="s">
        <v>89</v>
      </c>
      <c r="B4250" t="s">
        <v>174</v>
      </c>
      <c r="C4250" t="s">
        <v>197</v>
      </c>
      <c r="D4250" t="s">
        <v>74</v>
      </c>
      <c r="E4250" t="s">
        <v>82</v>
      </c>
      <c r="F4250" s="55">
        <v>127</v>
      </c>
      <c r="G4250" s="63">
        <v>4.2200000000000001E-2</v>
      </c>
    </row>
    <row r="4251" spans="1:7" x14ac:dyDescent="0.2">
      <c r="A4251" t="s">
        <v>89</v>
      </c>
      <c r="B4251" t="s">
        <v>174</v>
      </c>
      <c r="C4251" t="s">
        <v>197</v>
      </c>
      <c r="D4251" t="s">
        <v>74</v>
      </c>
      <c r="E4251" t="s">
        <v>83</v>
      </c>
      <c r="F4251" s="55">
        <v>110</v>
      </c>
      <c r="G4251" s="63">
        <v>1.1599999999999999E-2</v>
      </c>
    </row>
    <row r="4252" spans="1:7" x14ac:dyDescent="0.2">
      <c r="A4252" t="s">
        <v>89</v>
      </c>
      <c r="B4252" t="s">
        <v>174</v>
      </c>
      <c r="C4252" t="s">
        <v>197</v>
      </c>
      <c r="D4252" t="s">
        <v>74</v>
      </c>
      <c r="E4252" t="s">
        <v>84</v>
      </c>
      <c r="F4252" s="55">
        <v>124</v>
      </c>
      <c r="G4252" s="63">
        <v>2.1899999999999999E-2</v>
      </c>
    </row>
    <row r="4253" spans="1:7" x14ac:dyDescent="0.2">
      <c r="A4253" t="s">
        <v>89</v>
      </c>
      <c r="B4253" t="s">
        <v>174</v>
      </c>
      <c r="C4253" t="s">
        <v>197</v>
      </c>
      <c r="D4253" t="s">
        <v>74</v>
      </c>
      <c r="E4253" t="s">
        <v>85</v>
      </c>
      <c r="F4253" s="55">
        <v>114</v>
      </c>
      <c r="G4253" s="63">
        <v>2.53E-2</v>
      </c>
    </row>
    <row r="4254" spans="1:7" x14ac:dyDescent="0.2">
      <c r="A4254" t="s">
        <v>89</v>
      </c>
      <c r="B4254" t="s">
        <v>174</v>
      </c>
      <c r="C4254" t="s">
        <v>197</v>
      </c>
      <c r="D4254" t="s">
        <v>74</v>
      </c>
      <c r="E4254" t="s">
        <v>86</v>
      </c>
      <c r="F4254" s="55">
        <v>118</v>
      </c>
      <c r="G4254" s="63">
        <v>3.0300000000000001E-2</v>
      </c>
    </row>
    <row r="4255" spans="1:7" x14ac:dyDescent="0.2">
      <c r="A4255" t="s">
        <v>89</v>
      </c>
      <c r="B4255" t="s">
        <v>174</v>
      </c>
      <c r="C4255" t="s">
        <v>197</v>
      </c>
      <c r="D4255" t="s">
        <v>74</v>
      </c>
      <c r="E4255" t="s">
        <v>87</v>
      </c>
      <c r="F4255" s="55">
        <v>129</v>
      </c>
      <c r="G4255" s="63">
        <v>3.2300000000000002E-2</v>
      </c>
    </row>
    <row r="4256" spans="1:7" x14ac:dyDescent="0.2">
      <c r="A4256" t="s">
        <v>89</v>
      </c>
      <c r="B4256" t="s">
        <v>174</v>
      </c>
      <c r="C4256" t="s">
        <v>197</v>
      </c>
      <c r="D4256" t="s">
        <v>74</v>
      </c>
      <c r="E4256" t="s">
        <v>88</v>
      </c>
      <c r="F4256" s="55">
        <v>115</v>
      </c>
      <c r="G4256" s="63">
        <v>1.9599999999999999E-2</v>
      </c>
    </row>
    <row r="4257" spans="1:7" x14ac:dyDescent="0.2">
      <c r="A4257" t="s">
        <v>71</v>
      </c>
      <c r="B4257" t="s">
        <v>17</v>
      </c>
      <c r="C4257" t="s">
        <v>197</v>
      </c>
      <c r="D4257" t="s">
        <v>74</v>
      </c>
      <c r="E4257" t="s">
        <v>75</v>
      </c>
      <c r="F4257" s="55">
        <v>99</v>
      </c>
      <c r="G4257" s="63">
        <v>0.17349999999999999</v>
      </c>
    </row>
    <row r="4258" spans="1:7" x14ac:dyDescent="0.2">
      <c r="A4258" t="s">
        <v>71</v>
      </c>
      <c r="B4258" t="s">
        <v>17</v>
      </c>
      <c r="C4258" t="s">
        <v>197</v>
      </c>
      <c r="D4258" t="s">
        <v>74</v>
      </c>
      <c r="E4258" t="s">
        <v>76</v>
      </c>
      <c r="F4258" s="55">
        <v>69</v>
      </c>
      <c r="G4258" s="63">
        <v>1.0699999999999999E-2</v>
      </c>
    </row>
    <row r="4259" spans="1:7" x14ac:dyDescent="0.2">
      <c r="A4259" t="s">
        <v>71</v>
      </c>
      <c r="B4259" t="s">
        <v>17</v>
      </c>
      <c r="C4259" t="s">
        <v>197</v>
      </c>
      <c r="D4259" t="s">
        <v>74</v>
      </c>
      <c r="E4259" t="s">
        <v>77</v>
      </c>
      <c r="F4259" s="55">
        <v>95</v>
      </c>
      <c r="G4259" s="63">
        <v>4.7600000000000003E-2</v>
      </c>
    </row>
    <row r="4260" spans="1:7" x14ac:dyDescent="0.2">
      <c r="A4260" t="s">
        <v>71</v>
      </c>
      <c r="B4260" t="s">
        <v>17</v>
      </c>
      <c r="C4260" t="s">
        <v>197</v>
      </c>
      <c r="D4260" t="s">
        <v>74</v>
      </c>
      <c r="E4260" t="s">
        <v>78</v>
      </c>
      <c r="F4260" s="55">
        <v>60</v>
      </c>
      <c r="G4260" s="63">
        <v>3.2800000000000003E-2</v>
      </c>
    </row>
    <row r="4261" spans="1:7" x14ac:dyDescent="0.2">
      <c r="A4261" t="s">
        <v>71</v>
      </c>
      <c r="B4261" t="s">
        <v>17</v>
      </c>
      <c r="C4261" t="s">
        <v>197</v>
      </c>
      <c r="D4261" t="s">
        <v>74</v>
      </c>
      <c r="E4261" t="s">
        <v>79</v>
      </c>
      <c r="F4261" s="55">
        <v>103</v>
      </c>
      <c r="G4261" s="63">
        <v>0.1147</v>
      </c>
    </row>
    <row r="4262" spans="1:7" x14ac:dyDescent="0.2">
      <c r="A4262" t="s">
        <v>71</v>
      </c>
      <c r="B4262" t="s">
        <v>17</v>
      </c>
      <c r="C4262" t="s">
        <v>197</v>
      </c>
      <c r="D4262" t="s">
        <v>74</v>
      </c>
      <c r="E4262" t="s">
        <v>80</v>
      </c>
      <c r="F4262" s="55">
        <v>94</v>
      </c>
      <c r="G4262" s="63">
        <v>2.7199999999999998E-2</v>
      </c>
    </row>
    <row r="4263" spans="1:7" x14ac:dyDescent="0.2">
      <c r="A4263" t="s">
        <v>71</v>
      </c>
      <c r="B4263" t="s">
        <v>17</v>
      </c>
      <c r="C4263" t="s">
        <v>197</v>
      </c>
      <c r="D4263" t="s">
        <v>74</v>
      </c>
      <c r="E4263" t="s">
        <v>81</v>
      </c>
      <c r="F4263" s="55">
        <v>99</v>
      </c>
      <c r="G4263" s="63">
        <v>2.86E-2</v>
      </c>
    </row>
    <row r="4264" spans="1:7" x14ac:dyDescent="0.2">
      <c r="A4264" t="s">
        <v>71</v>
      </c>
      <c r="B4264" t="s">
        <v>17</v>
      </c>
      <c r="C4264" t="s">
        <v>197</v>
      </c>
      <c r="D4264" t="s">
        <v>74</v>
      </c>
      <c r="E4264" t="s">
        <v>82</v>
      </c>
      <c r="F4264" s="55">
        <v>104</v>
      </c>
      <c r="G4264" s="63">
        <v>8.2000000000000003E-2</v>
      </c>
    </row>
    <row r="4265" spans="1:7" x14ac:dyDescent="0.2">
      <c r="A4265" t="s">
        <v>71</v>
      </c>
      <c r="B4265" t="s">
        <v>17</v>
      </c>
      <c r="C4265" t="s">
        <v>197</v>
      </c>
      <c r="D4265" t="s">
        <v>74</v>
      </c>
      <c r="E4265" t="s">
        <v>83</v>
      </c>
      <c r="F4265" s="55">
        <v>100</v>
      </c>
      <c r="G4265" s="63">
        <v>1.2E-2</v>
      </c>
    </row>
    <row r="4266" spans="1:7" x14ac:dyDescent="0.2">
      <c r="A4266" t="s">
        <v>71</v>
      </c>
      <c r="B4266" t="s">
        <v>17</v>
      </c>
      <c r="C4266" t="s">
        <v>197</v>
      </c>
      <c r="D4266" t="s">
        <v>74</v>
      </c>
      <c r="E4266" t="s">
        <v>84</v>
      </c>
      <c r="F4266" s="55">
        <v>51</v>
      </c>
      <c r="G4266" s="63">
        <v>1.9900000000000001E-2</v>
      </c>
    </row>
    <row r="4267" spans="1:7" x14ac:dyDescent="0.2">
      <c r="A4267" t="s">
        <v>71</v>
      </c>
      <c r="B4267" t="s">
        <v>17</v>
      </c>
      <c r="C4267" t="s">
        <v>197</v>
      </c>
      <c r="D4267" t="s">
        <v>74</v>
      </c>
      <c r="E4267" t="s">
        <v>85</v>
      </c>
      <c r="F4267" s="55">
        <v>99</v>
      </c>
      <c r="G4267" s="63">
        <v>3.7199999999999997E-2</v>
      </c>
    </row>
    <row r="4268" spans="1:7" x14ac:dyDescent="0.2">
      <c r="A4268" t="s">
        <v>71</v>
      </c>
      <c r="B4268" t="s">
        <v>17</v>
      </c>
      <c r="C4268" t="s">
        <v>197</v>
      </c>
      <c r="D4268" t="s">
        <v>74</v>
      </c>
      <c r="E4268" t="s">
        <v>86</v>
      </c>
      <c r="F4268" s="55">
        <v>109</v>
      </c>
      <c r="G4268" s="63">
        <v>5.4300000000000001E-2</v>
      </c>
    </row>
    <row r="4269" spans="1:7" x14ac:dyDescent="0.2">
      <c r="A4269" t="s">
        <v>71</v>
      </c>
      <c r="B4269" t="s">
        <v>17</v>
      </c>
      <c r="C4269" t="s">
        <v>197</v>
      </c>
      <c r="D4269" t="s">
        <v>74</v>
      </c>
      <c r="E4269" t="s">
        <v>87</v>
      </c>
      <c r="F4269" s="55">
        <v>106</v>
      </c>
      <c r="G4269" s="63">
        <v>6.6799999999999998E-2</v>
      </c>
    </row>
    <row r="4270" spans="1:7" x14ac:dyDescent="0.2">
      <c r="A4270" t="s">
        <v>71</v>
      </c>
      <c r="B4270" t="s">
        <v>17</v>
      </c>
      <c r="C4270" t="s">
        <v>197</v>
      </c>
      <c r="D4270" t="s">
        <v>74</v>
      </c>
      <c r="E4270" t="s">
        <v>88</v>
      </c>
      <c r="F4270" s="55">
        <v>79</v>
      </c>
      <c r="G4270" s="63">
        <v>1.9699999999999999E-2</v>
      </c>
    </row>
    <row r="4271" spans="1:7" x14ac:dyDescent="0.2">
      <c r="A4271" t="s">
        <v>89</v>
      </c>
      <c r="B4271" t="s">
        <v>175</v>
      </c>
      <c r="C4271" t="s">
        <v>197</v>
      </c>
      <c r="D4271" t="s">
        <v>74</v>
      </c>
      <c r="E4271" t="s">
        <v>75</v>
      </c>
      <c r="F4271" s="55">
        <v>103</v>
      </c>
      <c r="G4271" s="63">
        <v>0.1047</v>
      </c>
    </row>
    <row r="4272" spans="1:7" x14ac:dyDescent="0.2">
      <c r="A4272" t="s">
        <v>89</v>
      </c>
      <c r="B4272" t="s">
        <v>175</v>
      </c>
      <c r="C4272" t="s">
        <v>197</v>
      </c>
      <c r="D4272" t="s">
        <v>74</v>
      </c>
      <c r="E4272" t="s">
        <v>76</v>
      </c>
      <c r="F4272" s="55">
        <v>90</v>
      </c>
      <c r="G4272" s="63">
        <v>1.49E-2</v>
      </c>
    </row>
    <row r="4273" spans="1:7" x14ac:dyDescent="0.2">
      <c r="A4273" t="s">
        <v>89</v>
      </c>
      <c r="B4273" t="s">
        <v>175</v>
      </c>
      <c r="C4273" t="s">
        <v>197</v>
      </c>
      <c r="D4273" t="s">
        <v>74</v>
      </c>
      <c r="E4273" t="s">
        <v>77</v>
      </c>
      <c r="F4273" s="55">
        <v>108</v>
      </c>
      <c r="G4273" s="63">
        <v>4.4400000000000002E-2</v>
      </c>
    </row>
    <row r="4274" spans="1:7" x14ac:dyDescent="0.2">
      <c r="A4274" t="s">
        <v>89</v>
      </c>
      <c r="B4274" t="s">
        <v>175</v>
      </c>
      <c r="C4274" t="s">
        <v>197</v>
      </c>
      <c r="D4274" t="s">
        <v>74</v>
      </c>
      <c r="E4274" t="s">
        <v>78</v>
      </c>
      <c r="F4274" s="55">
        <v>109</v>
      </c>
      <c r="G4274" s="63">
        <v>3.5499999999999997E-2</v>
      </c>
    </row>
    <row r="4275" spans="1:7" x14ac:dyDescent="0.2">
      <c r="A4275" t="s">
        <v>89</v>
      </c>
      <c r="B4275" t="s">
        <v>175</v>
      </c>
      <c r="C4275" t="s">
        <v>197</v>
      </c>
      <c r="D4275" t="s">
        <v>74</v>
      </c>
      <c r="E4275" t="s">
        <v>79</v>
      </c>
      <c r="F4275" s="55">
        <v>100</v>
      </c>
      <c r="G4275" s="63">
        <v>7.1300000000000002E-2</v>
      </c>
    </row>
    <row r="4276" spans="1:7" x14ac:dyDescent="0.2">
      <c r="A4276" t="s">
        <v>89</v>
      </c>
      <c r="B4276" t="s">
        <v>175</v>
      </c>
      <c r="C4276" t="s">
        <v>197</v>
      </c>
      <c r="D4276" t="s">
        <v>74</v>
      </c>
      <c r="E4276" t="s">
        <v>80</v>
      </c>
      <c r="F4276" s="55">
        <v>91</v>
      </c>
      <c r="G4276" s="63">
        <v>2.93E-2</v>
      </c>
    </row>
    <row r="4277" spans="1:7" x14ac:dyDescent="0.2">
      <c r="A4277" t="s">
        <v>89</v>
      </c>
      <c r="B4277" t="s">
        <v>175</v>
      </c>
      <c r="C4277" t="s">
        <v>197</v>
      </c>
      <c r="D4277" t="s">
        <v>74</v>
      </c>
      <c r="E4277" t="s">
        <v>81</v>
      </c>
      <c r="F4277" s="55">
        <v>89</v>
      </c>
      <c r="G4277" s="63">
        <v>2.8799999999999999E-2</v>
      </c>
    </row>
    <row r="4278" spans="1:7" x14ac:dyDescent="0.2">
      <c r="A4278" t="s">
        <v>89</v>
      </c>
      <c r="B4278" t="s">
        <v>175</v>
      </c>
      <c r="C4278" t="s">
        <v>197</v>
      </c>
      <c r="D4278" t="s">
        <v>74</v>
      </c>
      <c r="E4278" t="s">
        <v>82</v>
      </c>
      <c r="F4278" s="55">
        <v>120</v>
      </c>
      <c r="G4278" s="63">
        <v>4.9000000000000002E-2</v>
      </c>
    </row>
    <row r="4279" spans="1:7" x14ac:dyDescent="0.2">
      <c r="A4279" t="s">
        <v>89</v>
      </c>
      <c r="B4279" t="s">
        <v>175</v>
      </c>
      <c r="C4279" t="s">
        <v>197</v>
      </c>
      <c r="D4279" t="s">
        <v>74</v>
      </c>
      <c r="E4279" t="s">
        <v>83</v>
      </c>
      <c r="F4279" s="55">
        <v>83</v>
      </c>
      <c r="G4279" s="63">
        <v>1.3100000000000001E-2</v>
      </c>
    </row>
    <row r="4280" spans="1:7" x14ac:dyDescent="0.2">
      <c r="A4280" t="s">
        <v>89</v>
      </c>
      <c r="B4280" t="s">
        <v>175</v>
      </c>
      <c r="C4280" t="s">
        <v>197</v>
      </c>
      <c r="D4280" t="s">
        <v>74</v>
      </c>
      <c r="E4280" t="s">
        <v>84</v>
      </c>
      <c r="F4280" s="55">
        <v>114</v>
      </c>
      <c r="G4280" s="63">
        <v>3.09E-2</v>
      </c>
    </row>
    <row r="4281" spans="1:7" x14ac:dyDescent="0.2">
      <c r="A4281" t="s">
        <v>89</v>
      </c>
      <c r="B4281" t="s">
        <v>175</v>
      </c>
      <c r="C4281" t="s">
        <v>197</v>
      </c>
      <c r="D4281" t="s">
        <v>74</v>
      </c>
      <c r="E4281" t="s">
        <v>85</v>
      </c>
      <c r="F4281" s="55">
        <v>87</v>
      </c>
      <c r="G4281" s="63">
        <v>3.1199999999999999E-2</v>
      </c>
    </row>
    <row r="4282" spans="1:7" x14ac:dyDescent="0.2">
      <c r="A4282" t="s">
        <v>89</v>
      </c>
      <c r="B4282" t="s">
        <v>175</v>
      </c>
      <c r="C4282" t="s">
        <v>197</v>
      </c>
      <c r="D4282" t="s">
        <v>74</v>
      </c>
      <c r="E4282" t="s">
        <v>86</v>
      </c>
      <c r="F4282" s="55">
        <v>99</v>
      </c>
      <c r="G4282" s="63">
        <v>3.8600000000000002E-2</v>
      </c>
    </row>
    <row r="4283" spans="1:7" x14ac:dyDescent="0.2">
      <c r="A4283" t="s">
        <v>89</v>
      </c>
      <c r="B4283" t="s">
        <v>175</v>
      </c>
      <c r="C4283" t="s">
        <v>197</v>
      </c>
      <c r="D4283" t="s">
        <v>74</v>
      </c>
      <c r="E4283" t="s">
        <v>87</v>
      </c>
      <c r="F4283" s="55">
        <v>102</v>
      </c>
      <c r="G4283" s="63">
        <v>4.2000000000000003E-2</v>
      </c>
    </row>
    <row r="4284" spans="1:7" x14ac:dyDescent="0.2">
      <c r="A4284" t="s">
        <v>89</v>
      </c>
      <c r="B4284" t="s">
        <v>175</v>
      </c>
      <c r="C4284" t="s">
        <v>197</v>
      </c>
      <c r="D4284" t="s">
        <v>74</v>
      </c>
      <c r="E4284" t="s">
        <v>88</v>
      </c>
      <c r="F4284" s="55">
        <v>91</v>
      </c>
      <c r="G4284" s="63">
        <v>2.41E-2</v>
      </c>
    </row>
    <row r="4285" spans="1:7" x14ac:dyDescent="0.2">
      <c r="A4285" t="s">
        <v>89</v>
      </c>
      <c r="B4285" t="s">
        <v>177</v>
      </c>
      <c r="C4285" t="s">
        <v>197</v>
      </c>
      <c r="D4285" t="s">
        <v>74</v>
      </c>
      <c r="E4285" t="s">
        <v>75</v>
      </c>
      <c r="F4285" s="55">
        <v>108</v>
      </c>
      <c r="G4285" s="63">
        <v>0.1149</v>
      </c>
    </row>
    <row r="4286" spans="1:7" x14ac:dyDescent="0.2">
      <c r="A4286" t="s">
        <v>89</v>
      </c>
      <c r="B4286" t="s">
        <v>177</v>
      </c>
      <c r="C4286" t="s">
        <v>197</v>
      </c>
      <c r="D4286" t="s">
        <v>74</v>
      </c>
      <c r="E4286" t="s">
        <v>76</v>
      </c>
      <c r="F4286" s="55">
        <v>112</v>
      </c>
      <c r="G4286" s="63">
        <v>1.83E-2</v>
      </c>
    </row>
    <row r="4287" spans="1:7" x14ac:dyDescent="0.2">
      <c r="A4287" t="s">
        <v>89</v>
      </c>
      <c r="B4287" t="s">
        <v>177</v>
      </c>
      <c r="C4287" t="s">
        <v>197</v>
      </c>
      <c r="D4287" t="s">
        <v>74</v>
      </c>
      <c r="E4287" t="s">
        <v>77</v>
      </c>
      <c r="F4287" s="55">
        <v>110</v>
      </c>
      <c r="G4287" s="63">
        <v>4.7E-2</v>
      </c>
    </row>
    <row r="4288" spans="1:7" x14ac:dyDescent="0.2">
      <c r="A4288" t="s">
        <v>89</v>
      </c>
      <c r="B4288" t="s">
        <v>177</v>
      </c>
      <c r="C4288" t="s">
        <v>197</v>
      </c>
      <c r="D4288" t="s">
        <v>74</v>
      </c>
      <c r="E4288" t="s">
        <v>78</v>
      </c>
      <c r="F4288" s="55">
        <v>109</v>
      </c>
      <c r="G4288" s="63">
        <v>3.6700000000000003E-2</v>
      </c>
    </row>
    <row r="4289" spans="1:7" x14ac:dyDescent="0.2">
      <c r="A4289" t="s">
        <v>89</v>
      </c>
      <c r="B4289" t="s">
        <v>177</v>
      </c>
      <c r="C4289" t="s">
        <v>197</v>
      </c>
      <c r="D4289" t="s">
        <v>74</v>
      </c>
      <c r="E4289" t="s">
        <v>79</v>
      </c>
      <c r="F4289" s="55">
        <v>108</v>
      </c>
      <c r="G4289" s="63">
        <v>7.6899999999999996E-2</v>
      </c>
    </row>
    <row r="4290" spans="1:7" x14ac:dyDescent="0.2">
      <c r="A4290" t="s">
        <v>89</v>
      </c>
      <c r="B4290" t="s">
        <v>177</v>
      </c>
      <c r="C4290" t="s">
        <v>197</v>
      </c>
      <c r="D4290" t="s">
        <v>74</v>
      </c>
      <c r="E4290" t="s">
        <v>80</v>
      </c>
      <c r="F4290" s="55">
        <v>100</v>
      </c>
      <c r="G4290" s="63">
        <v>3.78E-2</v>
      </c>
    </row>
    <row r="4291" spans="1:7" x14ac:dyDescent="0.2">
      <c r="A4291" t="s">
        <v>89</v>
      </c>
      <c r="B4291" t="s">
        <v>177</v>
      </c>
      <c r="C4291" t="s">
        <v>197</v>
      </c>
      <c r="D4291" t="s">
        <v>74</v>
      </c>
      <c r="E4291" t="s">
        <v>81</v>
      </c>
      <c r="F4291" s="55">
        <v>107</v>
      </c>
      <c r="G4291" s="63">
        <v>3.9899999999999998E-2</v>
      </c>
    </row>
    <row r="4292" spans="1:7" x14ac:dyDescent="0.2">
      <c r="A4292" t="s">
        <v>89</v>
      </c>
      <c r="B4292" t="s">
        <v>177</v>
      </c>
      <c r="C4292" t="s">
        <v>197</v>
      </c>
      <c r="D4292" t="s">
        <v>74</v>
      </c>
      <c r="E4292" t="s">
        <v>82</v>
      </c>
      <c r="F4292" s="55">
        <v>108</v>
      </c>
      <c r="G4292" s="63">
        <v>6.0400000000000002E-2</v>
      </c>
    </row>
    <row r="4293" spans="1:7" x14ac:dyDescent="0.2">
      <c r="A4293" t="s">
        <v>89</v>
      </c>
      <c r="B4293" t="s">
        <v>177</v>
      </c>
      <c r="C4293" t="s">
        <v>197</v>
      </c>
      <c r="D4293" t="s">
        <v>74</v>
      </c>
      <c r="E4293" t="s">
        <v>83</v>
      </c>
      <c r="F4293" s="55">
        <v>113</v>
      </c>
      <c r="G4293" s="63">
        <v>1.95E-2</v>
      </c>
    </row>
    <row r="4294" spans="1:7" x14ac:dyDescent="0.2">
      <c r="A4294" t="s">
        <v>89</v>
      </c>
      <c r="B4294" t="s">
        <v>177</v>
      </c>
      <c r="C4294" t="s">
        <v>197</v>
      </c>
      <c r="D4294" t="s">
        <v>74</v>
      </c>
      <c r="E4294" t="s">
        <v>84</v>
      </c>
      <c r="F4294" s="55">
        <v>112</v>
      </c>
      <c r="G4294" s="63">
        <v>3.0800000000000001E-2</v>
      </c>
    </row>
    <row r="4295" spans="1:7" x14ac:dyDescent="0.2">
      <c r="A4295" t="s">
        <v>89</v>
      </c>
      <c r="B4295" t="s">
        <v>177</v>
      </c>
      <c r="C4295" t="s">
        <v>197</v>
      </c>
      <c r="D4295" t="s">
        <v>74</v>
      </c>
      <c r="E4295" t="s">
        <v>85</v>
      </c>
      <c r="F4295" s="55">
        <v>103</v>
      </c>
      <c r="G4295" s="63">
        <v>3.85E-2</v>
      </c>
    </row>
    <row r="4296" spans="1:7" x14ac:dyDescent="0.2">
      <c r="A4296" t="s">
        <v>89</v>
      </c>
      <c r="B4296" t="s">
        <v>177</v>
      </c>
      <c r="C4296" t="s">
        <v>197</v>
      </c>
      <c r="D4296" t="s">
        <v>74</v>
      </c>
      <c r="E4296" t="s">
        <v>86</v>
      </c>
      <c r="F4296" s="55">
        <v>113</v>
      </c>
      <c r="G4296" s="63">
        <v>3.9600000000000003E-2</v>
      </c>
    </row>
    <row r="4297" spans="1:7" x14ac:dyDescent="0.2">
      <c r="A4297" t="s">
        <v>89</v>
      </c>
      <c r="B4297" t="s">
        <v>177</v>
      </c>
      <c r="C4297" t="s">
        <v>197</v>
      </c>
      <c r="D4297" t="s">
        <v>74</v>
      </c>
      <c r="E4297" t="s">
        <v>87</v>
      </c>
      <c r="F4297" s="55">
        <v>113</v>
      </c>
      <c r="G4297" s="63">
        <v>4.1700000000000001E-2</v>
      </c>
    </row>
    <row r="4298" spans="1:7" x14ac:dyDescent="0.2">
      <c r="A4298" t="s">
        <v>89</v>
      </c>
      <c r="B4298" t="s">
        <v>177</v>
      </c>
      <c r="C4298" t="s">
        <v>197</v>
      </c>
      <c r="D4298" t="s">
        <v>74</v>
      </c>
      <c r="E4298" t="s">
        <v>88</v>
      </c>
      <c r="F4298" s="55">
        <v>113</v>
      </c>
      <c r="G4298" s="63">
        <v>2.8799999999999999E-2</v>
      </c>
    </row>
    <row r="4299" spans="1:7" x14ac:dyDescent="0.2">
      <c r="A4299" t="s">
        <v>71</v>
      </c>
      <c r="B4299" t="s">
        <v>178</v>
      </c>
      <c r="C4299" t="s">
        <v>197</v>
      </c>
      <c r="D4299" t="s">
        <v>74</v>
      </c>
      <c r="E4299" t="s">
        <v>75</v>
      </c>
      <c r="F4299" s="55">
        <v>90</v>
      </c>
      <c r="G4299" s="63">
        <v>0.2273</v>
      </c>
    </row>
    <row r="4300" spans="1:7" x14ac:dyDescent="0.2">
      <c r="A4300" t="s">
        <v>71</v>
      </c>
      <c r="B4300" t="s">
        <v>178</v>
      </c>
      <c r="C4300" t="s">
        <v>197</v>
      </c>
      <c r="D4300" t="s">
        <v>74</v>
      </c>
      <c r="E4300" t="s">
        <v>76</v>
      </c>
      <c r="F4300" s="55">
        <v>97</v>
      </c>
      <c r="G4300" s="63">
        <v>3.32E-2</v>
      </c>
    </row>
    <row r="4301" spans="1:7" x14ac:dyDescent="0.2">
      <c r="A4301" t="s">
        <v>71</v>
      </c>
      <c r="B4301" t="s">
        <v>178</v>
      </c>
      <c r="C4301" t="s">
        <v>197</v>
      </c>
      <c r="D4301" t="s">
        <v>74</v>
      </c>
      <c r="E4301" t="s">
        <v>77</v>
      </c>
      <c r="F4301" s="55">
        <v>99</v>
      </c>
      <c r="G4301" s="63">
        <v>8.43E-2</v>
      </c>
    </row>
    <row r="4302" spans="1:7" x14ac:dyDescent="0.2">
      <c r="A4302" t="s">
        <v>71</v>
      </c>
      <c r="B4302" t="s">
        <v>178</v>
      </c>
      <c r="C4302" t="s">
        <v>197</v>
      </c>
      <c r="D4302" t="s">
        <v>74</v>
      </c>
      <c r="E4302" t="s">
        <v>78</v>
      </c>
      <c r="F4302" s="55">
        <v>100</v>
      </c>
      <c r="G4302" s="63">
        <v>6.3E-2</v>
      </c>
    </row>
    <row r="4303" spans="1:7" x14ac:dyDescent="0.2">
      <c r="A4303" t="s">
        <v>71</v>
      </c>
      <c r="B4303" t="s">
        <v>178</v>
      </c>
      <c r="C4303" t="s">
        <v>197</v>
      </c>
      <c r="D4303" t="s">
        <v>74</v>
      </c>
      <c r="E4303" t="s">
        <v>79</v>
      </c>
      <c r="F4303" s="55">
        <v>81</v>
      </c>
      <c r="G4303" s="63">
        <v>0.14849999999999999</v>
      </c>
    </row>
    <row r="4304" spans="1:7" x14ac:dyDescent="0.2">
      <c r="A4304" t="s">
        <v>71</v>
      </c>
      <c r="B4304" t="s">
        <v>178</v>
      </c>
      <c r="C4304" t="s">
        <v>197</v>
      </c>
      <c r="D4304" t="s">
        <v>74</v>
      </c>
      <c r="E4304" t="s">
        <v>80</v>
      </c>
      <c r="F4304" s="55">
        <v>89</v>
      </c>
      <c r="G4304" s="63">
        <v>5.45E-2</v>
      </c>
    </row>
    <row r="4305" spans="1:7" x14ac:dyDescent="0.2">
      <c r="A4305" t="s">
        <v>71</v>
      </c>
      <c r="B4305" t="s">
        <v>178</v>
      </c>
      <c r="C4305" t="s">
        <v>197</v>
      </c>
      <c r="D4305" t="s">
        <v>74</v>
      </c>
      <c r="E4305" t="s">
        <v>81</v>
      </c>
      <c r="F4305" s="55">
        <v>89</v>
      </c>
      <c r="G4305" s="63">
        <v>6.2300000000000001E-2</v>
      </c>
    </row>
    <row r="4306" spans="1:7" x14ac:dyDescent="0.2">
      <c r="A4306" t="s">
        <v>71</v>
      </c>
      <c r="B4306" t="s">
        <v>178</v>
      </c>
      <c r="C4306" t="s">
        <v>197</v>
      </c>
      <c r="D4306" t="s">
        <v>74</v>
      </c>
      <c r="E4306" t="s">
        <v>82</v>
      </c>
      <c r="F4306" s="55">
        <v>93</v>
      </c>
      <c r="G4306" s="63">
        <v>9.4500000000000001E-2</v>
      </c>
    </row>
    <row r="4307" spans="1:7" x14ac:dyDescent="0.2">
      <c r="A4307" t="s">
        <v>71</v>
      </c>
      <c r="B4307" t="s">
        <v>178</v>
      </c>
      <c r="C4307" t="s">
        <v>197</v>
      </c>
      <c r="D4307" t="s">
        <v>74</v>
      </c>
      <c r="E4307" t="s">
        <v>83</v>
      </c>
      <c r="F4307" s="55">
        <v>92</v>
      </c>
      <c r="G4307" s="63">
        <v>3.1199999999999999E-2</v>
      </c>
    </row>
    <row r="4308" spans="1:7" x14ac:dyDescent="0.2">
      <c r="A4308" t="s">
        <v>71</v>
      </c>
      <c r="B4308" t="s">
        <v>178</v>
      </c>
      <c r="C4308" t="s">
        <v>197</v>
      </c>
      <c r="D4308" t="s">
        <v>74</v>
      </c>
      <c r="E4308" t="s">
        <v>84</v>
      </c>
      <c r="F4308" s="55">
        <v>104</v>
      </c>
      <c r="G4308" s="63">
        <v>5.0700000000000002E-2</v>
      </c>
    </row>
    <row r="4309" spans="1:7" x14ac:dyDescent="0.2">
      <c r="A4309" t="s">
        <v>71</v>
      </c>
      <c r="B4309" t="s">
        <v>178</v>
      </c>
      <c r="C4309" t="s">
        <v>197</v>
      </c>
      <c r="D4309" t="s">
        <v>74</v>
      </c>
      <c r="E4309" t="s">
        <v>85</v>
      </c>
      <c r="F4309" s="55">
        <v>84</v>
      </c>
      <c r="G4309" s="63">
        <v>6.4100000000000004E-2</v>
      </c>
    </row>
    <row r="4310" spans="1:7" x14ac:dyDescent="0.2">
      <c r="A4310" t="s">
        <v>71</v>
      </c>
      <c r="B4310" t="s">
        <v>178</v>
      </c>
      <c r="C4310" t="s">
        <v>197</v>
      </c>
      <c r="D4310" t="s">
        <v>74</v>
      </c>
      <c r="E4310" t="s">
        <v>86</v>
      </c>
      <c r="F4310" s="55">
        <v>81</v>
      </c>
      <c r="G4310" s="63">
        <v>7.22E-2</v>
      </c>
    </row>
    <row r="4311" spans="1:7" x14ac:dyDescent="0.2">
      <c r="A4311" t="s">
        <v>71</v>
      </c>
      <c r="B4311" t="s">
        <v>178</v>
      </c>
      <c r="C4311" t="s">
        <v>197</v>
      </c>
      <c r="D4311" t="s">
        <v>74</v>
      </c>
      <c r="E4311" t="s">
        <v>87</v>
      </c>
      <c r="F4311" s="55">
        <v>80</v>
      </c>
      <c r="G4311" s="63">
        <v>7.2700000000000001E-2</v>
      </c>
    </row>
    <row r="4312" spans="1:7" x14ac:dyDescent="0.2">
      <c r="A4312" t="s">
        <v>71</v>
      </c>
      <c r="B4312" t="s">
        <v>178</v>
      </c>
      <c r="C4312" t="s">
        <v>197</v>
      </c>
      <c r="D4312" t="s">
        <v>74</v>
      </c>
      <c r="E4312" t="s">
        <v>88</v>
      </c>
      <c r="F4312" s="55">
        <v>92</v>
      </c>
      <c r="G4312" s="63">
        <v>4.8599999999999997E-2</v>
      </c>
    </row>
    <row r="4313" spans="1:7" x14ac:dyDescent="0.2">
      <c r="A4313" t="s">
        <v>71</v>
      </c>
      <c r="B4313" t="s">
        <v>179</v>
      </c>
      <c r="C4313" t="s">
        <v>197</v>
      </c>
      <c r="D4313" t="s">
        <v>74</v>
      </c>
      <c r="E4313" t="s">
        <v>75</v>
      </c>
      <c r="F4313" s="55">
        <v>94</v>
      </c>
      <c r="G4313" s="63">
        <v>0.36770000000000003</v>
      </c>
    </row>
    <row r="4314" spans="1:7" x14ac:dyDescent="0.2">
      <c r="A4314" t="s">
        <v>71</v>
      </c>
      <c r="B4314" t="s">
        <v>179</v>
      </c>
      <c r="C4314" t="s">
        <v>197</v>
      </c>
      <c r="D4314" t="s">
        <v>74</v>
      </c>
      <c r="E4314" t="s">
        <v>76</v>
      </c>
      <c r="F4314" s="55">
        <v>95</v>
      </c>
      <c r="G4314" s="63">
        <v>4.3299999999999998E-2</v>
      </c>
    </row>
    <row r="4315" spans="1:7" x14ac:dyDescent="0.2">
      <c r="A4315" t="s">
        <v>71</v>
      </c>
      <c r="B4315" t="s">
        <v>179</v>
      </c>
      <c r="C4315" t="s">
        <v>197</v>
      </c>
      <c r="D4315" t="s">
        <v>74</v>
      </c>
      <c r="E4315" t="s">
        <v>77</v>
      </c>
      <c r="F4315" s="55">
        <v>101</v>
      </c>
      <c r="G4315" s="63">
        <v>0.11360000000000001</v>
      </c>
    </row>
    <row r="4316" spans="1:7" x14ac:dyDescent="0.2">
      <c r="A4316" t="s">
        <v>71</v>
      </c>
      <c r="B4316" t="s">
        <v>179</v>
      </c>
      <c r="C4316" t="s">
        <v>197</v>
      </c>
      <c r="D4316" t="s">
        <v>74</v>
      </c>
      <c r="E4316" t="s">
        <v>78</v>
      </c>
      <c r="F4316" s="55">
        <v>96</v>
      </c>
      <c r="G4316" s="63">
        <v>0.1057</v>
      </c>
    </row>
    <row r="4317" spans="1:7" x14ac:dyDescent="0.2">
      <c r="A4317" t="s">
        <v>71</v>
      </c>
      <c r="B4317" t="s">
        <v>179</v>
      </c>
      <c r="C4317" t="s">
        <v>197</v>
      </c>
      <c r="D4317" t="s">
        <v>74</v>
      </c>
      <c r="E4317" t="s">
        <v>79</v>
      </c>
      <c r="F4317" s="55">
        <v>93</v>
      </c>
      <c r="G4317" s="63">
        <v>0.25819999999999999</v>
      </c>
    </row>
    <row r="4318" spans="1:7" x14ac:dyDescent="0.2">
      <c r="A4318" t="s">
        <v>71</v>
      </c>
      <c r="B4318" t="s">
        <v>179</v>
      </c>
      <c r="C4318" t="s">
        <v>197</v>
      </c>
      <c r="D4318" t="s">
        <v>74</v>
      </c>
      <c r="E4318" t="s">
        <v>80</v>
      </c>
      <c r="F4318" s="55">
        <v>93</v>
      </c>
      <c r="G4318" s="63">
        <v>9.7900000000000001E-2</v>
      </c>
    </row>
    <row r="4319" spans="1:7" x14ac:dyDescent="0.2">
      <c r="A4319" t="s">
        <v>71</v>
      </c>
      <c r="B4319" t="s">
        <v>179</v>
      </c>
      <c r="C4319" t="s">
        <v>197</v>
      </c>
      <c r="D4319" t="s">
        <v>74</v>
      </c>
      <c r="E4319" t="s">
        <v>81</v>
      </c>
      <c r="F4319" s="55">
        <v>92</v>
      </c>
      <c r="G4319" s="63">
        <v>9.3200000000000005E-2</v>
      </c>
    </row>
    <row r="4320" spans="1:7" x14ac:dyDescent="0.2">
      <c r="A4320" t="s">
        <v>71</v>
      </c>
      <c r="B4320" t="s">
        <v>179</v>
      </c>
      <c r="C4320" t="s">
        <v>197</v>
      </c>
      <c r="D4320" t="s">
        <v>74</v>
      </c>
      <c r="E4320" t="s">
        <v>82</v>
      </c>
      <c r="F4320" s="55">
        <v>88</v>
      </c>
      <c r="G4320" s="63">
        <v>0.1721</v>
      </c>
    </row>
    <row r="4321" spans="1:7" x14ac:dyDescent="0.2">
      <c r="A4321" t="s">
        <v>71</v>
      </c>
      <c r="B4321" t="s">
        <v>179</v>
      </c>
      <c r="C4321" t="s">
        <v>197</v>
      </c>
      <c r="D4321" t="s">
        <v>74</v>
      </c>
      <c r="E4321" t="s">
        <v>83</v>
      </c>
      <c r="F4321" s="55">
        <v>89</v>
      </c>
      <c r="G4321" s="63">
        <v>3.5900000000000001E-2</v>
      </c>
    </row>
    <row r="4322" spans="1:7" x14ac:dyDescent="0.2">
      <c r="A4322" t="s">
        <v>71</v>
      </c>
      <c r="B4322" t="s">
        <v>179</v>
      </c>
      <c r="C4322" t="s">
        <v>197</v>
      </c>
      <c r="D4322" t="s">
        <v>74</v>
      </c>
      <c r="E4322" t="s">
        <v>84</v>
      </c>
      <c r="F4322" s="55">
        <v>95</v>
      </c>
      <c r="G4322" s="63">
        <v>8.6499999999999994E-2</v>
      </c>
    </row>
    <row r="4323" spans="1:7" x14ac:dyDescent="0.2">
      <c r="A4323" t="s">
        <v>71</v>
      </c>
      <c r="B4323" t="s">
        <v>179</v>
      </c>
      <c r="C4323" t="s">
        <v>197</v>
      </c>
      <c r="D4323" t="s">
        <v>74</v>
      </c>
      <c r="E4323" t="s">
        <v>85</v>
      </c>
      <c r="F4323" s="55">
        <v>94</v>
      </c>
      <c r="G4323" s="63">
        <v>0.11219999999999999</v>
      </c>
    </row>
    <row r="4324" spans="1:7" x14ac:dyDescent="0.2">
      <c r="A4324" t="s">
        <v>71</v>
      </c>
      <c r="B4324" t="s">
        <v>179</v>
      </c>
      <c r="C4324" t="s">
        <v>197</v>
      </c>
      <c r="D4324" t="s">
        <v>74</v>
      </c>
      <c r="E4324" t="s">
        <v>86</v>
      </c>
      <c r="F4324" s="55">
        <v>94</v>
      </c>
      <c r="G4324" s="63">
        <v>0.1366</v>
      </c>
    </row>
    <row r="4325" spans="1:7" x14ac:dyDescent="0.2">
      <c r="A4325" t="s">
        <v>71</v>
      </c>
      <c r="B4325" t="s">
        <v>179</v>
      </c>
      <c r="C4325" t="s">
        <v>197</v>
      </c>
      <c r="D4325" t="s">
        <v>74</v>
      </c>
      <c r="E4325" t="s">
        <v>87</v>
      </c>
      <c r="F4325" s="55">
        <v>94</v>
      </c>
      <c r="G4325" s="63">
        <v>0.1477</v>
      </c>
    </row>
    <row r="4326" spans="1:7" x14ac:dyDescent="0.2">
      <c r="A4326" t="s">
        <v>71</v>
      </c>
      <c r="B4326" t="s">
        <v>179</v>
      </c>
      <c r="C4326" t="s">
        <v>197</v>
      </c>
      <c r="D4326" t="s">
        <v>74</v>
      </c>
      <c r="E4326" t="s">
        <v>88</v>
      </c>
      <c r="F4326" s="55">
        <v>93</v>
      </c>
      <c r="G4326" s="63">
        <v>6.6500000000000004E-2</v>
      </c>
    </row>
    <row r="4327" spans="1:7" x14ac:dyDescent="0.2">
      <c r="A4327" t="s">
        <v>89</v>
      </c>
      <c r="B4327" t="s">
        <v>180</v>
      </c>
      <c r="C4327" t="s">
        <v>197</v>
      </c>
      <c r="D4327" t="s">
        <v>74</v>
      </c>
      <c r="E4327" t="s">
        <v>75</v>
      </c>
      <c r="F4327" s="55">
        <v>30</v>
      </c>
      <c r="G4327" s="63">
        <v>0.25080000000000002</v>
      </c>
    </row>
    <row r="4328" spans="1:7" x14ac:dyDescent="0.2">
      <c r="A4328" t="s">
        <v>89</v>
      </c>
      <c r="B4328" t="s">
        <v>180</v>
      </c>
      <c r="C4328" t="s">
        <v>197</v>
      </c>
      <c r="D4328" t="s">
        <v>74</v>
      </c>
      <c r="E4328" t="s">
        <v>76</v>
      </c>
      <c r="F4328" s="55">
        <v>38</v>
      </c>
      <c r="G4328" s="63">
        <v>1.6799999999999999E-2</v>
      </c>
    </row>
    <row r="4329" spans="1:7" x14ac:dyDescent="0.2">
      <c r="A4329" t="s">
        <v>89</v>
      </c>
      <c r="B4329" t="s">
        <v>180</v>
      </c>
      <c r="C4329" t="s">
        <v>197</v>
      </c>
      <c r="D4329" t="s">
        <v>74</v>
      </c>
      <c r="E4329" t="s">
        <v>77</v>
      </c>
      <c r="F4329" s="55">
        <v>28</v>
      </c>
      <c r="G4329" s="63">
        <v>5.3800000000000001E-2</v>
      </c>
    </row>
    <row r="4330" spans="1:7" x14ac:dyDescent="0.2">
      <c r="A4330" t="s">
        <v>89</v>
      </c>
      <c r="B4330" t="s">
        <v>180</v>
      </c>
      <c r="C4330" t="s">
        <v>197</v>
      </c>
      <c r="D4330" t="s">
        <v>74</v>
      </c>
      <c r="E4330" t="s">
        <v>78</v>
      </c>
      <c r="F4330" s="55">
        <v>30</v>
      </c>
      <c r="G4330" s="63">
        <v>3.6700000000000003E-2</v>
      </c>
    </row>
    <row r="4331" spans="1:7" x14ac:dyDescent="0.2">
      <c r="A4331" t="s">
        <v>89</v>
      </c>
      <c r="B4331" t="s">
        <v>180</v>
      </c>
      <c r="C4331" t="s">
        <v>197</v>
      </c>
      <c r="D4331" t="s">
        <v>74</v>
      </c>
      <c r="E4331" t="s">
        <v>79</v>
      </c>
      <c r="F4331" s="55">
        <v>27</v>
      </c>
      <c r="G4331" s="63">
        <v>0.15629999999999999</v>
      </c>
    </row>
    <row r="4332" spans="1:7" x14ac:dyDescent="0.2">
      <c r="A4332" t="s">
        <v>89</v>
      </c>
      <c r="B4332" t="s">
        <v>180</v>
      </c>
      <c r="C4332" t="s">
        <v>197</v>
      </c>
      <c r="D4332" t="s">
        <v>74</v>
      </c>
      <c r="E4332" t="s">
        <v>80</v>
      </c>
      <c r="F4332" s="55">
        <v>32</v>
      </c>
      <c r="G4332" s="63">
        <v>2.81E-2</v>
      </c>
    </row>
    <row r="4333" spans="1:7" x14ac:dyDescent="0.2">
      <c r="A4333" t="s">
        <v>89</v>
      </c>
      <c r="B4333" t="s">
        <v>180</v>
      </c>
      <c r="C4333" t="s">
        <v>197</v>
      </c>
      <c r="D4333" t="s">
        <v>74</v>
      </c>
      <c r="E4333" t="s">
        <v>81</v>
      </c>
      <c r="F4333" s="55">
        <v>42</v>
      </c>
      <c r="G4333" s="63">
        <v>2.81E-2</v>
      </c>
    </row>
    <row r="4334" spans="1:7" x14ac:dyDescent="0.2">
      <c r="A4334" t="s">
        <v>89</v>
      </c>
      <c r="B4334" t="s">
        <v>180</v>
      </c>
      <c r="C4334" t="s">
        <v>197</v>
      </c>
      <c r="D4334" t="s">
        <v>74</v>
      </c>
      <c r="E4334" t="s">
        <v>82</v>
      </c>
      <c r="F4334" s="55">
        <v>32</v>
      </c>
      <c r="G4334" s="63">
        <v>0.128</v>
      </c>
    </row>
    <row r="4335" spans="1:7" x14ac:dyDescent="0.2">
      <c r="A4335" t="s">
        <v>89</v>
      </c>
      <c r="B4335" t="s">
        <v>180</v>
      </c>
      <c r="C4335" t="s">
        <v>197</v>
      </c>
      <c r="D4335" t="s">
        <v>74</v>
      </c>
      <c r="E4335" t="s">
        <v>83</v>
      </c>
      <c r="F4335" s="55">
        <v>59</v>
      </c>
      <c r="G4335" s="63">
        <v>1.14E-2</v>
      </c>
    </row>
    <row r="4336" spans="1:7" x14ac:dyDescent="0.2">
      <c r="A4336" t="s">
        <v>89</v>
      </c>
      <c r="B4336" t="s">
        <v>180</v>
      </c>
      <c r="C4336" t="s">
        <v>197</v>
      </c>
      <c r="D4336" t="s">
        <v>74</v>
      </c>
      <c r="E4336" t="s">
        <v>84</v>
      </c>
      <c r="F4336" s="55">
        <v>33</v>
      </c>
      <c r="G4336" s="63">
        <v>2.76E-2</v>
      </c>
    </row>
    <row r="4337" spans="1:7" x14ac:dyDescent="0.2">
      <c r="A4337" t="s">
        <v>89</v>
      </c>
      <c r="B4337" t="s">
        <v>180</v>
      </c>
      <c r="C4337" t="s">
        <v>197</v>
      </c>
      <c r="D4337" t="s">
        <v>74</v>
      </c>
      <c r="E4337" t="s">
        <v>85</v>
      </c>
      <c r="F4337" s="55">
        <v>26</v>
      </c>
      <c r="G4337" s="63">
        <v>3.4000000000000002E-2</v>
      </c>
    </row>
    <row r="4338" spans="1:7" x14ac:dyDescent="0.2">
      <c r="A4338" t="s">
        <v>89</v>
      </c>
      <c r="B4338" t="s">
        <v>180</v>
      </c>
      <c r="C4338" t="s">
        <v>197</v>
      </c>
      <c r="D4338" t="s">
        <v>74</v>
      </c>
      <c r="E4338" t="s">
        <v>86</v>
      </c>
      <c r="F4338" s="55">
        <v>27</v>
      </c>
      <c r="G4338" s="63">
        <v>4.7500000000000001E-2</v>
      </c>
    </row>
    <row r="4339" spans="1:7" x14ac:dyDescent="0.2">
      <c r="A4339" t="s">
        <v>89</v>
      </c>
      <c r="B4339" t="s">
        <v>180</v>
      </c>
      <c r="C4339" t="s">
        <v>197</v>
      </c>
      <c r="D4339" t="s">
        <v>74</v>
      </c>
      <c r="E4339" t="s">
        <v>87</v>
      </c>
      <c r="F4339" s="55">
        <v>26</v>
      </c>
      <c r="G4339" s="63">
        <v>5.6399999999999999E-2</v>
      </c>
    </row>
    <row r="4340" spans="1:7" x14ac:dyDescent="0.2">
      <c r="A4340" t="s">
        <v>89</v>
      </c>
      <c r="B4340" t="s">
        <v>180</v>
      </c>
      <c r="C4340" t="s">
        <v>197</v>
      </c>
      <c r="D4340" t="s">
        <v>74</v>
      </c>
      <c r="E4340" t="s">
        <v>88</v>
      </c>
      <c r="F4340" s="55">
        <v>39</v>
      </c>
      <c r="G4340" s="63">
        <v>2.7099999999999999E-2</v>
      </c>
    </row>
    <row r="4341" spans="1:7" x14ac:dyDescent="0.2">
      <c r="A4341" t="s">
        <v>71</v>
      </c>
      <c r="B4341" t="s">
        <v>18</v>
      </c>
      <c r="C4341" t="s">
        <v>197</v>
      </c>
      <c r="D4341" t="s">
        <v>74</v>
      </c>
      <c r="E4341" t="s">
        <v>75</v>
      </c>
      <c r="F4341" s="55">
        <v>109</v>
      </c>
      <c r="G4341" s="63">
        <v>0.34399999999999997</v>
      </c>
    </row>
    <row r="4342" spans="1:7" x14ac:dyDescent="0.2">
      <c r="A4342" t="s">
        <v>71</v>
      </c>
      <c r="B4342" t="s">
        <v>18</v>
      </c>
      <c r="C4342" t="s">
        <v>197</v>
      </c>
      <c r="D4342" t="s">
        <v>74</v>
      </c>
      <c r="E4342" t="s">
        <v>76</v>
      </c>
      <c r="F4342" s="55">
        <v>93</v>
      </c>
      <c r="G4342" s="63">
        <v>4.3900000000000002E-2</v>
      </c>
    </row>
    <row r="4343" spans="1:7" x14ac:dyDescent="0.2">
      <c r="A4343" t="s">
        <v>71</v>
      </c>
      <c r="B4343" t="s">
        <v>18</v>
      </c>
      <c r="C4343" t="s">
        <v>197</v>
      </c>
      <c r="D4343" t="s">
        <v>74</v>
      </c>
      <c r="E4343" t="s">
        <v>77</v>
      </c>
      <c r="F4343" s="55">
        <v>112</v>
      </c>
      <c r="G4343" s="63">
        <v>0.14530000000000001</v>
      </c>
    </row>
    <row r="4344" spans="1:7" x14ac:dyDescent="0.2">
      <c r="A4344" t="s">
        <v>71</v>
      </c>
      <c r="B4344" t="s">
        <v>18</v>
      </c>
      <c r="C4344" t="s">
        <v>197</v>
      </c>
      <c r="D4344" t="s">
        <v>74</v>
      </c>
      <c r="E4344" t="s">
        <v>78</v>
      </c>
      <c r="F4344" s="55">
        <v>113</v>
      </c>
      <c r="G4344" s="63">
        <v>0.122</v>
      </c>
    </row>
    <row r="4345" spans="1:7" x14ac:dyDescent="0.2">
      <c r="A4345" t="s">
        <v>71</v>
      </c>
      <c r="B4345" t="s">
        <v>18</v>
      </c>
      <c r="C4345" t="s">
        <v>197</v>
      </c>
      <c r="D4345" t="s">
        <v>74</v>
      </c>
      <c r="E4345" t="s">
        <v>79</v>
      </c>
      <c r="F4345" s="55">
        <v>112</v>
      </c>
      <c r="G4345" s="63">
        <v>0.251</v>
      </c>
    </row>
    <row r="4346" spans="1:7" x14ac:dyDescent="0.2">
      <c r="A4346" t="s">
        <v>71</v>
      </c>
      <c r="B4346" t="s">
        <v>18</v>
      </c>
      <c r="C4346" t="s">
        <v>197</v>
      </c>
      <c r="D4346" t="s">
        <v>74</v>
      </c>
      <c r="E4346" t="s">
        <v>80</v>
      </c>
      <c r="F4346" s="55">
        <v>102</v>
      </c>
      <c r="G4346" s="63">
        <v>0.107</v>
      </c>
    </row>
    <row r="4347" spans="1:7" x14ac:dyDescent="0.2">
      <c r="A4347" t="s">
        <v>71</v>
      </c>
      <c r="B4347" t="s">
        <v>18</v>
      </c>
      <c r="C4347" t="s">
        <v>197</v>
      </c>
      <c r="D4347" t="s">
        <v>74</v>
      </c>
      <c r="E4347" t="s">
        <v>81</v>
      </c>
      <c r="F4347" s="55">
        <v>101</v>
      </c>
      <c r="G4347" s="63">
        <v>9.2200000000000004E-2</v>
      </c>
    </row>
    <row r="4348" spans="1:7" x14ac:dyDescent="0.2">
      <c r="A4348" t="s">
        <v>71</v>
      </c>
      <c r="B4348" t="s">
        <v>18</v>
      </c>
      <c r="C4348" t="s">
        <v>197</v>
      </c>
      <c r="D4348" t="s">
        <v>74</v>
      </c>
      <c r="E4348" t="s">
        <v>82</v>
      </c>
      <c r="F4348" s="55">
        <v>109</v>
      </c>
      <c r="G4348" s="63">
        <v>0.1807</v>
      </c>
    </row>
    <row r="4349" spans="1:7" x14ac:dyDescent="0.2">
      <c r="A4349" t="s">
        <v>71</v>
      </c>
      <c r="B4349" t="s">
        <v>18</v>
      </c>
      <c r="C4349" t="s">
        <v>197</v>
      </c>
      <c r="D4349" t="s">
        <v>74</v>
      </c>
      <c r="E4349" t="s">
        <v>83</v>
      </c>
      <c r="F4349" s="55">
        <v>87</v>
      </c>
      <c r="G4349" s="63">
        <v>3.04E-2</v>
      </c>
    </row>
    <row r="4350" spans="1:7" x14ac:dyDescent="0.2">
      <c r="A4350" t="s">
        <v>71</v>
      </c>
      <c r="B4350" t="s">
        <v>18</v>
      </c>
      <c r="C4350" t="s">
        <v>197</v>
      </c>
      <c r="D4350" t="s">
        <v>74</v>
      </c>
      <c r="E4350" t="s">
        <v>84</v>
      </c>
      <c r="F4350" s="55">
        <v>115</v>
      </c>
      <c r="G4350" s="63">
        <v>0.1003</v>
      </c>
    </row>
    <row r="4351" spans="1:7" x14ac:dyDescent="0.2">
      <c r="A4351" t="s">
        <v>71</v>
      </c>
      <c r="B4351" t="s">
        <v>18</v>
      </c>
      <c r="C4351" t="s">
        <v>197</v>
      </c>
      <c r="D4351" t="s">
        <v>74</v>
      </c>
      <c r="E4351" t="s">
        <v>85</v>
      </c>
      <c r="F4351" s="55">
        <v>105</v>
      </c>
      <c r="G4351" s="63">
        <v>0.1211</v>
      </c>
    </row>
    <row r="4352" spans="1:7" x14ac:dyDescent="0.2">
      <c r="A4352" t="s">
        <v>71</v>
      </c>
      <c r="B4352" t="s">
        <v>18</v>
      </c>
      <c r="C4352" t="s">
        <v>197</v>
      </c>
      <c r="D4352" t="s">
        <v>74</v>
      </c>
      <c r="E4352" t="s">
        <v>86</v>
      </c>
      <c r="F4352" s="55">
        <v>110</v>
      </c>
      <c r="G4352" s="63">
        <v>0.1477</v>
      </c>
    </row>
    <row r="4353" spans="1:7" x14ac:dyDescent="0.2">
      <c r="A4353" t="s">
        <v>71</v>
      </c>
      <c r="B4353" t="s">
        <v>18</v>
      </c>
      <c r="C4353" t="s">
        <v>197</v>
      </c>
      <c r="D4353" t="s">
        <v>74</v>
      </c>
      <c r="E4353" t="s">
        <v>87</v>
      </c>
      <c r="F4353" s="55">
        <v>114</v>
      </c>
      <c r="G4353" s="63">
        <v>0.15720000000000001</v>
      </c>
    </row>
    <row r="4354" spans="1:7" x14ac:dyDescent="0.2">
      <c r="A4354" t="s">
        <v>71</v>
      </c>
      <c r="B4354" t="s">
        <v>18</v>
      </c>
      <c r="C4354" t="s">
        <v>197</v>
      </c>
      <c r="D4354" t="s">
        <v>74</v>
      </c>
      <c r="E4354" t="s">
        <v>88</v>
      </c>
      <c r="F4354" s="55">
        <v>93</v>
      </c>
      <c r="G4354" s="63">
        <v>6.8199999999999997E-2</v>
      </c>
    </row>
    <row r="4355" spans="1:7" x14ac:dyDescent="0.2">
      <c r="A4355" t="s">
        <v>89</v>
      </c>
      <c r="B4355" t="s">
        <v>181</v>
      </c>
      <c r="C4355" t="s">
        <v>197</v>
      </c>
      <c r="D4355" t="s">
        <v>74</v>
      </c>
      <c r="E4355" t="s">
        <v>75</v>
      </c>
      <c r="F4355" s="55">
        <v>95</v>
      </c>
      <c r="G4355" s="63">
        <v>0.19989999999999999</v>
      </c>
    </row>
    <row r="4356" spans="1:7" x14ac:dyDescent="0.2">
      <c r="A4356" t="s">
        <v>89</v>
      </c>
      <c r="B4356" t="s">
        <v>181</v>
      </c>
      <c r="C4356" t="s">
        <v>197</v>
      </c>
      <c r="D4356" t="s">
        <v>74</v>
      </c>
      <c r="E4356" t="s">
        <v>76</v>
      </c>
      <c r="F4356" s="55">
        <v>83</v>
      </c>
      <c r="G4356" s="63">
        <v>3.3700000000000001E-2</v>
      </c>
    </row>
    <row r="4357" spans="1:7" x14ac:dyDescent="0.2">
      <c r="A4357" t="s">
        <v>89</v>
      </c>
      <c r="B4357" t="s">
        <v>181</v>
      </c>
      <c r="C4357" t="s">
        <v>197</v>
      </c>
      <c r="D4357" t="s">
        <v>74</v>
      </c>
      <c r="E4357" t="s">
        <v>77</v>
      </c>
      <c r="F4357" s="55">
        <v>96</v>
      </c>
      <c r="G4357" s="63">
        <v>9.0300000000000005E-2</v>
      </c>
    </row>
    <row r="4358" spans="1:7" x14ac:dyDescent="0.2">
      <c r="A4358" t="s">
        <v>89</v>
      </c>
      <c r="B4358" t="s">
        <v>181</v>
      </c>
      <c r="C4358" t="s">
        <v>197</v>
      </c>
      <c r="D4358" t="s">
        <v>74</v>
      </c>
      <c r="E4358" t="s">
        <v>78</v>
      </c>
      <c r="F4358" s="55">
        <v>95</v>
      </c>
      <c r="G4358" s="63">
        <v>8.2299999999999998E-2</v>
      </c>
    </row>
    <row r="4359" spans="1:7" x14ac:dyDescent="0.2">
      <c r="A4359" t="s">
        <v>89</v>
      </c>
      <c r="B4359" t="s">
        <v>181</v>
      </c>
      <c r="C4359" t="s">
        <v>197</v>
      </c>
      <c r="D4359" t="s">
        <v>74</v>
      </c>
      <c r="E4359" t="s">
        <v>79</v>
      </c>
      <c r="F4359" s="55">
        <v>97</v>
      </c>
      <c r="G4359" s="63">
        <v>0.14710000000000001</v>
      </c>
    </row>
    <row r="4360" spans="1:7" x14ac:dyDescent="0.2">
      <c r="A4360" t="s">
        <v>89</v>
      </c>
      <c r="B4360" t="s">
        <v>181</v>
      </c>
      <c r="C4360" t="s">
        <v>197</v>
      </c>
      <c r="D4360" t="s">
        <v>74</v>
      </c>
      <c r="E4360" t="s">
        <v>80</v>
      </c>
      <c r="F4360" s="55">
        <v>95</v>
      </c>
      <c r="G4360" s="63">
        <v>7.51E-2</v>
      </c>
    </row>
    <row r="4361" spans="1:7" x14ac:dyDescent="0.2">
      <c r="A4361" t="s">
        <v>89</v>
      </c>
      <c r="B4361" t="s">
        <v>181</v>
      </c>
      <c r="C4361" t="s">
        <v>197</v>
      </c>
      <c r="D4361" t="s">
        <v>74</v>
      </c>
      <c r="E4361" t="s">
        <v>81</v>
      </c>
      <c r="F4361" s="55">
        <v>87</v>
      </c>
      <c r="G4361" s="63">
        <v>6.6799999999999998E-2</v>
      </c>
    </row>
    <row r="4362" spans="1:7" x14ac:dyDescent="0.2">
      <c r="A4362" t="s">
        <v>89</v>
      </c>
      <c r="B4362" t="s">
        <v>181</v>
      </c>
      <c r="C4362" t="s">
        <v>197</v>
      </c>
      <c r="D4362" t="s">
        <v>74</v>
      </c>
      <c r="E4362" t="s">
        <v>82</v>
      </c>
      <c r="F4362" s="55">
        <v>97</v>
      </c>
      <c r="G4362" s="63">
        <v>0.12609999999999999</v>
      </c>
    </row>
    <row r="4363" spans="1:7" x14ac:dyDescent="0.2">
      <c r="A4363" t="s">
        <v>89</v>
      </c>
      <c r="B4363" t="s">
        <v>181</v>
      </c>
      <c r="C4363" t="s">
        <v>197</v>
      </c>
      <c r="D4363" t="s">
        <v>74</v>
      </c>
      <c r="E4363" t="s">
        <v>83</v>
      </c>
      <c r="F4363" s="55">
        <v>83</v>
      </c>
      <c r="G4363" s="63">
        <v>2.7199999999999998E-2</v>
      </c>
    </row>
    <row r="4364" spans="1:7" x14ac:dyDescent="0.2">
      <c r="A4364" t="s">
        <v>89</v>
      </c>
      <c r="B4364" t="s">
        <v>181</v>
      </c>
      <c r="C4364" t="s">
        <v>197</v>
      </c>
      <c r="D4364" t="s">
        <v>74</v>
      </c>
      <c r="E4364" t="s">
        <v>84</v>
      </c>
      <c r="F4364" s="55">
        <v>95</v>
      </c>
      <c r="G4364" s="63">
        <v>7.1400000000000005E-2</v>
      </c>
    </row>
    <row r="4365" spans="1:7" x14ac:dyDescent="0.2">
      <c r="A4365" t="s">
        <v>89</v>
      </c>
      <c r="B4365" t="s">
        <v>181</v>
      </c>
      <c r="C4365" t="s">
        <v>197</v>
      </c>
      <c r="D4365" t="s">
        <v>74</v>
      </c>
      <c r="E4365" t="s">
        <v>85</v>
      </c>
      <c r="F4365" s="55">
        <v>92</v>
      </c>
      <c r="G4365" s="63">
        <v>8.5900000000000004E-2</v>
      </c>
    </row>
    <row r="4366" spans="1:7" x14ac:dyDescent="0.2">
      <c r="A4366" t="s">
        <v>89</v>
      </c>
      <c r="B4366" t="s">
        <v>181</v>
      </c>
      <c r="C4366" t="s">
        <v>197</v>
      </c>
      <c r="D4366" t="s">
        <v>74</v>
      </c>
      <c r="E4366" t="s">
        <v>86</v>
      </c>
      <c r="F4366" s="55">
        <v>96</v>
      </c>
      <c r="G4366" s="63">
        <v>9.4200000000000006E-2</v>
      </c>
    </row>
    <row r="4367" spans="1:7" x14ac:dyDescent="0.2">
      <c r="A4367" t="s">
        <v>89</v>
      </c>
      <c r="B4367" t="s">
        <v>181</v>
      </c>
      <c r="C4367" t="s">
        <v>197</v>
      </c>
      <c r="D4367" t="s">
        <v>74</v>
      </c>
      <c r="E4367" t="s">
        <v>87</v>
      </c>
      <c r="F4367" s="55">
        <v>96</v>
      </c>
      <c r="G4367" s="63">
        <v>0.10059999999999999</v>
      </c>
    </row>
    <row r="4368" spans="1:7" x14ac:dyDescent="0.2">
      <c r="A4368" t="s">
        <v>89</v>
      </c>
      <c r="B4368" t="s">
        <v>181</v>
      </c>
      <c r="C4368" t="s">
        <v>197</v>
      </c>
      <c r="D4368" t="s">
        <v>74</v>
      </c>
      <c r="E4368" t="s">
        <v>88</v>
      </c>
      <c r="F4368" s="55">
        <v>83</v>
      </c>
      <c r="G4368" s="63">
        <v>4.4699999999999997E-2</v>
      </c>
    </row>
    <row r="4369" spans="1:7" x14ac:dyDescent="0.2">
      <c r="A4369" t="s">
        <v>71</v>
      </c>
      <c r="B4369" t="s">
        <v>182</v>
      </c>
      <c r="C4369" t="s">
        <v>197</v>
      </c>
      <c r="D4369" t="s">
        <v>74</v>
      </c>
      <c r="E4369" t="s">
        <v>75</v>
      </c>
      <c r="F4369" s="55">
        <v>91</v>
      </c>
      <c r="G4369" s="63">
        <v>0.23350000000000001</v>
      </c>
    </row>
    <row r="4370" spans="1:7" x14ac:dyDescent="0.2">
      <c r="A4370" t="s">
        <v>71</v>
      </c>
      <c r="B4370" t="s">
        <v>182</v>
      </c>
      <c r="C4370" t="s">
        <v>197</v>
      </c>
      <c r="D4370" t="s">
        <v>74</v>
      </c>
      <c r="E4370" t="s">
        <v>76</v>
      </c>
      <c r="F4370" s="55">
        <v>114</v>
      </c>
      <c r="G4370" s="63">
        <v>3.3099999999999997E-2</v>
      </c>
    </row>
    <row r="4371" spans="1:7" x14ac:dyDescent="0.2">
      <c r="A4371" t="s">
        <v>71</v>
      </c>
      <c r="B4371" t="s">
        <v>182</v>
      </c>
      <c r="C4371" t="s">
        <v>197</v>
      </c>
      <c r="D4371" t="s">
        <v>74</v>
      </c>
      <c r="E4371" t="s">
        <v>77</v>
      </c>
      <c r="F4371" s="55">
        <v>99</v>
      </c>
      <c r="G4371" s="63">
        <v>9.3799999999999994E-2</v>
      </c>
    </row>
    <row r="4372" spans="1:7" x14ac:dyDescent="0.2">
      <c r="A4372" t="s">
        <v>71</v>
      </c>
      <c r="B4372" t="s">
        <v>182</v>
      </c>
      <c r="C4372" t="s">
        <v>197</v>
      </c>
      <c r="D4372" t="s">
        <v>74</v>
      </c>
      <c r="E4372" t="s">
        <v>78</v>
      </c>
      <c r="F4372" s="55">
        <v>90</v>
      </c>
      <c r="G4372" s="63">
        <v>6.9699999999999998E-2</v>
      </c>
    </row>
    <row r="4373" spans="1:7" x14ac:dyDescent="0.2">
      <c r="A4373" t="s">
        <v>71</v>
      </c>
      <c r="B4373" t="s">
        <v>182</v>
      </c>
      <c r="C4373" t="s">
        <v>197</v>
      </c>
      <c r="D4373" t="s">
        <v>74</v>
      </c>
      <c r="E4373" t="s">
        <v>79</v>
      </c>
      <c r="F4373" s="55">
        <v>90</v>
      </c>
      <c r="G4373" s="63">
        <v>0.1525</v>
      </c>
    </row>
    <row r="4374" spans="1:7" x14ac:dyDescent="0.2">
      <c r="A4374" t="s">
        <v>71</v>
      </c>
      <c r="B4374" t="s">
        <v>182</v>
      </c>
      <c r="C4374" t="s">
        <v>197</v>
      </c>
      <c r="D4374" t="s">
        <v>74</v>
      </c>
      <c r="E4374" t="s">
        <v>80</v>
      </c>
      <c r="F4374" s="55">
        <v>91</v>
      </c>
      <c r="G4374" s="63">
        <v>6.5500000000000003E-2</v>
      </c>
    </row>
    <row r="4375" spans="1:7" x14ac:dyDescent="0.2">
      <c r="A4375" t="s">
        <v>71</v>
      </c>
      <c r="B4375" t="s">
        <v>182</v>
      </c>
      <c r="C4375" t="s">
        <v>197</v>
      </c>
      <c r="D4375" t="s">
        <v>74</v>
      </c>
      <c r="E4375" t="s">
        <v>81</v>
      </c>
      <c r="F4375" s="55">
        <v>89</v>
      </c>
      <c r="G4375" s="63">
        <v>6.4000000000000001E-2</v>
      </c>
    </row>
    <row r="4376" spans="1:7" x14ac:dyDescent="0.2">
      <c r="A4376" t="s">
        <v>71</v>
      </c>
      <c r="B4376" t="s">
        <v>182</v>
      </c>
      <c r="C4376" t="s">
        <v>197</v>
      </c>
      <c r="D4376" t="s">
        <v>74</v>
      </c>
      <c r="E4376" t="s">
        <v>82</v>
      </c>
      <c r="F4376" s="55">
        <v>86</v>
      </c>
      <c r="G4376" s="63">
        <v>0.1069</v>
      </c>
    </row>
    <row r="4377" spans="1:7" x14ac:dyDescent="0.2">
      <c r="A4377" t="s">
        <v>71</v>
      </c>
      <c r="B4377" t="s">
        <v>182</v>
      </c>
      <c r="C4377" t="s">
        <v>197</v>
      </c>
      <c r="D4377" t="s">
        <v>74</v>
      </c>
      <c r="E4377" t="s">
        <v>83</v>
      </c>
      <c r="F4377" s="55">
        <v>89</v>
      </c>
      <c r="G4377" s="63">
        <v>2.8500000000000001E-2</v>
      </c>
    </row>
    <row r="4378" spans="1:7" x14ac:dyDescent="0.2">
      <c r="A4378" t="s">
        <v>71</v>
      </c>
      <c r="B4378" t="s">
        <v>182</v>
      </c>
      <c r="C4378" t="s">
        <v>197</v>
      </c>
      <c r="D4378" t="s">
        <v>74</v>
      </c>
      <c r="E4378" t="s">
        <v>84</v>
      </c>
      <c r="F4378" s="55">
        <v>90</v>
      </c>
      <c r="G4378" s="63">
        <v>5.7000000000000002E-2</v>
      </c>
    </row>
    <row r="4379" spans="1:7" x14ac:dyDescent="0.2">
      <c r="A4379" t="s">
        <v>71</v>
      </c>
      <c r="B4379" t="s">
        <v>182</v>
      </c>
      <c r="C4379" t="s">
        <v>197</v>
      </c>
      <c r="D4379" t="s">
        <v>74</v>
      </c>
      <c r="E4379" t="s">
        <v>85</v>
      </c>
      <c r="F4379" s="55">
        <v>93</v>
      </c>
      <c r="G4379" s="63">
        <v>7.1599999999999997E-2</v>
      </c>
    </row>
    <row r="4380" spans="1:7" x14ac:dyDescent="0.2">
      <c r="A4380" t="s">
        <v>71</v>
      </c>
      <c r="B4380" t="s">
        <v>182</v>
      </c>
      <c r="C4380" t="s">
        <v>197</v>
      </c>
      <c r="D4380" t="s">
        <v>74</v>
      </c>
      <c r="E4380" t="s">
        <v>86</v>
      </c>
      <c r="F4380" s="55">
        <v>92</v>
      </c>
      <c r="G4380" s="63">
        <v>8.6499999999999994E-2</v>
      </c>
    </row>
    <row r="4381" spans="1:7" x14ac:dyDescent="0.2">
      <c r="A4381" t="s">
        <v>71</v>
      </c>
      <c r="B4381" t="s">
        <v>182</v>
      </c>
      <c r="C4381" t="s">
        <v>197</v>
      </c>
      <c r="D4381" t="s">
        <v>74</v>
      </c>
      <c r="E4381" t="s">
        <v>87</v>
      </c>
      <c r="F4381" s="55">
        <v>90</v>
      </c>
      <c r="G4381" s="63">
        <v>8.5199999999999998E-2</v>
      </c>
    </row>
    <row r="4382" spans="1:7" x14ac:dyDescent="0.2">
      <c r="A4382" t="s">
        <v>71</v>
      </c>
      <c r="B4382" t="s">
        <v>182</v>
      </c>
      <c r="C4382" t="s">
        <v>197</v>
      </c>
      <c r="D4382" t="s">
        <v>74</v>
      </c>
      <c r="E4382" t="s">
        <v>88</v>
      </c>
      <c r="F4382" s="55">
        <v>97</v>
      </c>
      <c r="G4382" s="63">
        <v>5.3900000000000003E-2</v>
      </c>
    </row>
    <row r="4383" spans="1:7" x14ac:dyDescent="0.2">
      <c r="A4383" t="s">
        <v>89</v>
      </c>
      <c r="B4383" t="s">
        <v>183</v>
      </c>
      <c r="C4383" t="s">
        <v>197</v>
      </c>
      <c r="D4383" t="s">
        <v>74</v>
      </c>
      <c r="E4383" t="s">
        <v>75</v>
      </c>
      <c r="F4383" s="55">
        <v>96</v>
      </c>
      <c r="G4383" s="63">
        <v>3.7600000000000001E-2</v>
      </c>
    </row>
    <row r="4384" spans="1:7" x14ac:dyDescent="0.2">
      <c r="A4384" t="s">
        <v>89</v>
      </c>
      <c r="B4384" t="s">
        <v>183</v>
      </c>
      <c r="C4384" t="s">
        <v>197</v>
      </c>
      <c r="D4384" t="s">
        <v>74</v>
      </c>
      <c r="E4384" t="s">
        <v>76</v>
      </c>
      <c r="F4384" s="55">
        <v>85</v>
      </c>
      <c r="G4384" s="63">
        <v>7.9000000000000008E-3</v>
      </c>
    </row>
    <row r="4385" spans="1:7" x14ac:dyDescent="0.2">
      <c r="A4385" t="s">
        <v>89</v>
      </c>
      <c r="B4385" t="s">
        <v>183</v>
      </c>
      <c r="C4385" t="s">
        <v>197</v>
      </c>
      <c r="D4385" t="s">
        <v>74</v>
      </c>
      <c r="E4385" t="s">
        <v>77</v>
      </c>
      <c r="F4385" s="55">
        <v>102</v>
      </c>
      <c r="G4385" s="63">
        <v>1.7100000000000001E-2</v>
      </c>
    </row>
    <row r="4386" spans="1:7" x14ac:dyDescent="0.2">
      <c r="A4386" t="s">
        <v>89</v>
      </c>
      <c r="B4386" t="s">
        <v>183</v>
      </c>
      <c r="C4386" t="s">
        <v>197</v>
      </c>
      <c r="D4386" t="s">
        <v>74</v>
      </c>
      <c r="E4386" t="s">
        <v>78</v>
      </c>
      <c r="F4386" s="55">
        <v>99</v>
      </c>
      <c r="G4386" s="63">
        <v>1.55E-2</v>
      </c>
    </row>
    <row r="4387" spans="1:7" x14ac:dyDescent="0.2">
      <c r="A4387" t="s">
        <v>89</v>
      </c>
      <c r="B4387" t="s">
        <v>183</v>
      </c>
      <c r="C4387" t="s">
        <v>197</v>
      </c>
      <c r="D4387" t="s">
        <v>74</v>
      </c>
      <c r="E4387" t="s">
        <v>79</v>
      </c>
      <c r="F4387" s="55">
        <v>94</v>
      </c>
      <c r="G4387" s="63">
        <v>2.4299999999999999E-2</v>
      </c>
    </row>
    <row r="4388" spans="1:7" x14ac:dyDescent="0.2">
      <c r="A4388" t="s">
        <v>89</v>
      </c>
      <c r="B4388" t="s">
        <v>183</v>
      </c>
      <c r="C4388" t="s">
        <v>197</v>
      </c>
      <c r="D4388" t="s">
        <v>74</v>
      </c>
      <c r="E4388" t="s">
        <v>80</v>
      </c>
      <c r="F4388" s="55">
        <v>79</v>
      </c>
      <c r="G4388" s="63">
        <v>1.0999999999999999E-2</v>
      </c>
    </row>
    <row r="4389" spans="1:7" x14ac:dyDescent="0.2">
      <c r="A4389" t="s">
        <v>89</v>
      </c>
      <c r="B4389" t="s">
        <v>183</v>
      </c>
      <c r="C4389" t="s">
        <v>197</v>
      </c>
      <c r="D4389" t="s">
        <v>74</v>
      </c>
      <c r="E4389" t="s">
        <v>81</v>
      </c>
      <c r="F4389" s="55">
        <v>80</v>
      </c>
      <c r="G4389" s="63">
        <v>1.2E-2</v>
      </c>
    </row>
    <row r="4390" spans="1:7" x14ac:dyDescent="0.2">
      <c r="A4390" t="s">
        <v>89</v>
      </c>
      <c r="B4390" t="s">
        <v>183</v>
      </c>
      <c r="C4390" t="s">
        <v>197</v>
      </c>
      <c r="D4390" t="s">
        <v>74</v>
      </c>
      <c r="E4390" t="s">
        <v>82</v>
      </c>
      <c r="F4390" s="55">
        <v>104</v>
      </c>
      <c r="G4390" s="63">
        <v>2.3599999999999999E-2</v>
      </c>
    </row>
    <row r="4391" spans="1:7" x14ac:dyDescent="0.2">
      <c r="A4391" t="s">
        <v>89</v>
      </c>
      <c r="B4391" t="s">
        <v>183</v>
      </c>
      <c r="C4391" t="s">
        <v>197</v>
      </c>
      <c r="D4391" t="s">
        <v>74</v>
      </c>
      <c r="E4391" t="s">
        <v>83</v>
      </c>
      <c r="F4391" s="55">
        <v>94</v>
      </c>
      <c r="G4391" s="63">
        <v>6.7000000000000002E-3</v>
      </c>
    </row>
    <row r="4392" spans="1:7" x14ac:dyDescent="0.2">
      <c r="A4392" t="s">
        <v>89</v>
      </c>
      <c r="B4392" t="s">
        <v>183</v>
      </c>
      <c r="C4392" t="s">
        <v>197</v>
      </c>
      <c r="D4392" t="s">
        <v>74</v>
      </c>
      <c r="E4392" t="s">
        <v>84</v>
      </c>
      <c r="F4392" s="55">
        <v>97</v>
      </c>
      <c r="G4392" s="63">
        <v>1.37E-2</v>
      </c>
    </row>
    <row r="4393" spans="1:7" x14ac:dyDescent="0.2">
      <c r="A4393" t="s">
        <v>89</v>
      </c>
      <c r="B4393" t="s">
        <v>183</v>
      </c>
      <c r="C4393" t="s">
        <v>197</v>
      </c>
      <c r="D4393" t="s">
        <v>74</v>
      </c>
      <c r="E4393" t="s">
        <v>85</v>
      </c>
      <c r="F4393" s="55">
        <v>80</v>
      </c>
      <c r="G4393" s="63">
        <v>1.26E-2</v>
      </c>
    </row>
    <row r="4394" spans="1:7" x14ac:dyDescent="0.2">
      <c r="A4394" t="s">
        <v>89</v>
      </c>
      <c r="B4394" t="s">
        <v>183</v>
      </c>
      <c r="C4394" t="s">
        <v>197</v>
      </c>
      <c r="D4394" t="s">
        <v>74</v>
      </c>
      <c r="E4394" t="s">
        <v>86</v>
      </c>
      <c r="F4394" s="55">
        <v>90</v>
      </c>
      <c r="G4394" s="63">
        <v>1.2699999999999999E-2</v>
      </c>
    </row>
    <row r="4395" spans="1:7" x14ac:dyDescent="0.2">
      <c r="A4395" t="s">
        <v>89</v>
      </c>
      <c r="B4395" t="s">
        <v>183</v>
      </c>
      <c r="C4395" t="s">
        <v>197</v>
      </c>
      <c r="D4395" t="s">
        <v>74</v>
      </c>
      <c r="E4395" t="s">
        <v>87</v>
      </c>
      <c r="F4395" s="55">
        <v>95</v>
      </c>
      <c r="G4395" s="63">
        <v>1.55E-2</v>
      </c>
    </row>
    <row r="4396" spans="1:7" x14ac:dyDescent="0.2">
      <c r="A4396" t="s">
        <v>89</v>
      </c>
      <c r="B4396" t="s">
        <v>183</v>
      </c>
      <c r="C4396" t="s">
        <v>197</v>
      </c>
      <c r="D4396" t="s">
        <v>74</v>
      </c>
      <c r="E4396" t="s">
        <v>88</v>
      </c>
      <c r="F4396" s="55">
        <v>87</v>
      </c>
      <c r="G4396" s="63">
        <v>1.18E-2</v>
      </c>
    </row>
    <row r="4397" spans="1:7" x14ac:dyDescent="0.2">
      <c r="A4397" t="s">
        <v>71</v>
      </c>
      <c r="B4397" t="s">
        <v>184</v>
      </c>
      <c r="C4397" t="s">
        <v>197</v>
      </c>
      <c r="D4397" t="s">
        <v>74</v>
      </c>
      <c r="E4397" t="s">
        <v>75</v>
      </c>
      <c r="F4397" s="55">
        <v>104</v>
      </c>
      <c r="G4397" s="63">
        <v>0.24129999999999999</v>
      </c>
    </row>
    <row r="4398" spans="1:7" x14ac:dyDescent="0.2">
      <c r="A4398" t="s">
        <v>71</v>
      </c>
      <c r="B4398" t="s">
        <v>184</v>
      </c>
      <c r="C4398" t="s">
        <v>197</v>
      </c>
      <c r="D4398" t="s">
        <v>74</v>
      </c>
      <c r="E4398" t="s">
        <v>76</v>
      </c>
      <c r="F4398" s="55">
        <v>103</v>
      </c>
      <c r="G4398" s="63">
        <v>4.07E-2</v>
      </c>
    </row>
    <row r="4399" spans="1:7" x14ac:dyDescent="0.2">
      <c r="A4399" t="s">
        <v>71</v>
      </c>
      <c r="B4399" t="s">
        <v>184</v>
      </c>
      <c r="C4399" t="s">
        <v>197</v>
      </c>
      <c r="D4399" t="s">
        <v>74</v>
      </c>
      <c r="E4399" t="s">
        <v>77</v>
      </c>
      <c r="F4399" s="55">
        <v>112</v>
      </c>
      <c r="G4399" s="63">
        <v>0.1022</v>
      </c>
    </row>
    <row r="4400" spans="1:7" x14ac:dyDescent="0.2">
      <c r="A4400" t="s">
        <v>71</v>
      </c>
      <c r="B4400" t="s">
        <v>184</v>
      </c>
      <c r="C4400" t="s">
        <v>197</v>
      </c>
      <c r="D4400" t="s">
        <v>74</v>
      </c>
      <c r="E4400" t="s">
        <v>78</v>
      </c>
      <c r="F4400" s="55">
        <v>104</v>
      </c>
      <c r="G4400" s="63">
        <v>7.1400000000000005E-2</v>
      </c>
    </row>
    <row r="4401" spans="1:7" x14ac:dyDescent="0.2">
      <c r="A4401" t="s">
        <v>71</v>
      </c>
      <c r="B4401" t="s">
        <v>184</v>
      </c>
      <c r="C4401" t="s">
        <v>197</v>
      </c>
      <c r="D4401" t="s">
        <v>74</v>
      </c>
      <c r="E4401" t="s">
        <v>79</v>
      </c>
      <c r="F4401" s="55">
        <v>105</v>
      </c>
      <c r="G4401" s="63">
        <v>0.15659999999999999</v>
      </c>
    </row>
    <row r="4402" spans="1:7" x14ac:dyDescent="0.2">
      <c r="A4402" t="s">
        <v>71</v>
      </c>
      <c r="B4402" t="s">
        <v>184</v>
      </c>
      <c r="C4402" t="s">
        <v>197</v>
      </c>
      <c r="D4402" t="s">
        <v>74</v>
      </c>
      <c r="E4402" t="s">
        <v>80</v>
      </c>
      <c r="F4402" s="55">
        <v>93</v>
      </c>
      <c r="G4402" s="63">
        <v>6.2100000000000002E-2</v>
      </c>
    </row>
    <row r="4403" spans="1:7" x14ac:dyDescent="0.2">
      <c r="A4403" t="s">
        <v>71</v>
      </c>
      <c r="B4403" t="s">
        <v>184</v>
      </c>
      <c r="C4403" t="s">
        <v>197</v>
      </c>
      <c r="D4403" t="s">
        <v>74</v>
      </c>
      <c r="E4403" t="s">
        <v>81</v>
      </c>
      <c r="F4403" s="55">
        <v>97</v>
      </c>
      <c r="G4403" s="63">
        <v>6.4899999999999999E-2</v>
      </c>
    </row>
    <row r="4404" spans="1:7" x14ac:dyDescent="0.2">
      <c r="A4404" t="s">
        <v>71</v>
      </c>
      <c r="B4404" t="s">
        <v>184</v>
      </c>
      <c r="C4404" t="s">
        <v>197</v>
      </c>
      <c r="D4404" t="s">
        <v>74</v>
      </c>
      <c r="E4404" t="s">
        <v>82</v>
      </c>
      <c r="F4404" s="55">
        <v>102</v>
      </c>
      <c r="G4404" s="63">
        <v>0.1356</v>
      </c>
    </row>
    <row r="4405" spans="1:7" x14ac:dyDescent="0.2">
      <c r="A4405" t="s">
        <v>71</v>
      </c>
      <c r="B4405" t="s">
        <v>184</v>
      </c>
      <c r="C4405" t="s">
        <v>197</v>
      </c>
      <c r="D4405" t="s">
        <v>74</v>
      </c>
      <c r="E4405" t="s">
        <v>83</v>
      </c>
      <c r="F4405" s="55">
        <v>99</v>
      </c>
      <c r="G4405" s="63">
        <v>3.2000000000000001E-2</v>
      </c>
    </row>
    <row r="4406" spans="1:7" x14ac:dyDescent="0.2">
      <c r="A4406" t="s">
        <v>71</v>
      </c>
      <c r="B4406" t="s">
        <v>184</v>
      </c>
      <c r="C4406" t="s">
        <v>197</v>
      </c>
      <c r="D4406" t="s">
        <v>74</v>
      </c>
      <c r="E4406" t="s">
        <v>84</v>
      </c>
      <c r="F4406" s="55">
        <v>102</v>
      </c>
      <c r="G4406" s="63">
        <v>5.8900000000000001E-2</v>
      </c>
    </row>
    <row r="4407" spans="1:7" x14ac:dyDescent="0.2">
      <c r="A4407" t="s">
        <v>71</v>
      </c>
      <c r="B4407" t="s">
        <v>184</v>
      </c>
      <c r="C4407" t="s">
        <v>197</v>
      </c>
      <c r="D4407" t="s">
        <v>74</v>
      </c>
      <c r="E4407" t="s">
        <v>85</v>
      </c>
      <c r="F4407" s="55">
        <v>98</v>
      </c>
      <c r="G4407" s="63">
        <v>6.2799999999999995E-2</v>
      </c>
    </row>
    <row r="4408" spans="1:7" x14ac:dyDescent="0.2">
      <c r="A4408" t="s">
        <v>71</v>
      </c>
      <c r="B4408" t="s">
        <v>184</v>
      </c>
      <c r="C4408" t="s">
        <v>197</v>
      </c>
      <c r="D4408" t="s">
        <v>74</v>
      </c>
      <c r="E4408" t="s">
        <v>86</v>
      </c>
      <c r="F4408" s="55">
        <v>102</v>
      </c>
      <c r="G4408" s="63">
        <v>7.8100000000000003E-2</v>
      </c>
    </row>
    <row r="4409" spans="1:7" x14ac:dyDescent="0.2">
      <c r="A4409" t="s">
        <v>71</v>
      </c>
      <c r="B4409" t="s">
        <v>184</v>
      </c>
      <c r="C4409" t="s">
        <v>197</v>
      </c>
      <c r="D4409" t="s">
        <v>74</v>
      </c>
      <c r="E4409" t="s">
        <v>87</v>
      </c>
      <c r="F4409" s="55">
        <v>108</v>
      </c>
      <c r="G4409" s="63">
        <v>7.9000000000000001E-2</v>
      </c>
    </row>
    <row r="4410" spans="1:7" x14ac:dyDescent="0.2">
      <c r="A4410" t="s">
        <v>71</v>
      </c>
      <c r="B4410" t="s">
        <v>184</v>
      </c>
      <c r="C4410" t="s">
        <v>197</v>
      </c>
      <c r="D4410" t="s">
        <v>74</v>
      </c>
      <c r="E4410" t="s">
        <v>88</v>
      </c>
      <c r="F4410" s="55">
        <v>100</v>
      </c>
      <c r="G4410" s="63">
        <v>5.96E-2</v>
      </c>
    </row>
    <row r="4411" spans="1:7" x14ac:dyDescent="0.2">
      <c r="A4411" t="s">
        <v>89</v>
      </c>
      <c r="B4411" t="s">
        <v>185</v>
      </c>
      <c r="C4411" t="s">
        <v>197</v>
      </c>
      <c r="D4411" t="s">
        <v>74</v>
      </c>
      <c r="E4411" t="s">
        <v>75</v>
      </c>
      <c r="F4411" s="55">
        <v>43</v>
      </c>
      <c r="G4411" s="63">
        <v>8.5000000000000006E-3</v>
      </c>
    </row>
    <row r="4412" spans="1:7" x14ac:dyDescent="0.2">
      <c r="A4412" t="s">
        <v>71</v>
      </c>
      <c r="B4412" t="s">
        <v>186</v>
      </c>
      <c r="C4412" t="s">
        <v>197</v>
      </c>
      <c r="D4412" t="s">
        <v>74</v>
      </c>
      <c r="E4412" t="s">
        <v>75</v>
      </c>
      <c r="F4412" s="55">
        <v>111</v>
      </c>
      <c r="G4412" s="63">
        <v>0.18779999999999999</v>
      </c>
    </row>
    <row r="4413" spans="1:7" x14ac:dyDescent="0.2">
      <c r="A4413" t="s">
        <v>71</v>
      </c>
      <c r="B4413" t="s">
        <v>186</v>
      </c>
      <c r="C4413" t="s">
        <v>197</v>
      </c>
      <c r="D4413" t="s">
        <v>74</v>
      </c>
      <c r="E4413" t="s">
        <v>76</v>
      </c>
      <c r="F4413" s="55">
        <v>89</v>
      </c>
      <c r="G4413" s="63">
        <v>1.6799999999999999E-2</v>
      </c>
    </row>
    <row r="4414" spans="1:7" x14ac:dyDescent="0.2">
      <c r="A4414" t="s">
        <v>71</v>
      </c>
      <c r="B4414" t="s">
        <v>186</v>
      </c>
      <c r="C4414" t="s">
        <v>197</v>
      </c>
      <c r="D4414" t="s">
        <v>74</v>
      </c>
      <c r="E4414" t="s">
        <v>77</v>
      </c>
      <c r="F4414" s="55">
        <v>111</v>
      </c>
      <c r="G4414" s="63">
        <v>7.3499999999999996E-2</v>
      </c>
    </row>
    <row r="4415" spans="1:7" x14ac:dyDescent="0.2">
      <c r="A4415" t="s">
        <v>71</v>
      </c>
      <c r="B4415" t="s">
        <v>186</v>
      </c>
      <c r="C4415" t="s">
        <v>197</v>
      </c>
      <c r="D4415" t="s">
        <v>74</v>
      </c>
      <c r="E4415" t="s">
        <v>78</v>
      </c>
      <c r="F4415" s="55">
        <v>111</v>
      </c>
      <c r="G4415" s="63">
        <v>5.7599999999999998E-2</v>
      </c>
    </row>
    <row r="4416" spans="1:7" x14ac:dyDescent="0.2">
      <c r="A4416" t="s">
        <v>71</v>
      </c>
      <c r="B4416" t="s">
        <v>186</v>
      </c>
      <c r="C4416" t="s">
        <v>197</v>
      </c>
      <c r="D4416" t="s">
        <v>74</v>
      </c>
      <c r="E4416" t="s">
        <v>79</v>
      </c>
      <c r="F4416" s="55">
        <v>116</v>
      </c>
      <c r="G4416" s="63">
        <v>0.1195</v>
      </c>
    </row>
    <row r="4417" spans="1:7" x14ac:dyDescent="0.2">
      <c r="A4417" t="s">
        <v>71</v>
      </c>
      <c r="B4417" t="s">
        <v>186</v>
      </c>
      <c r="C4417" t="s">
        <v>197</v>
      </c>
      <c r="D4417" t="s">
        <v>74</v>
      </c>
      <c r="E4417" t="s">
        <v>80</v>
      </c>
      <c r="F4417" s="55">
        <v>100</v>
      </c>
      <c r="G4417" s="63">
        <v>4.3499999999999997E-2</v>
      </c>
    </row>
    <row r="4418" spans="1:7" x14ac:dyDescent="0.2">
      <c r="A4418" t="s">
        <v>71</v>
      </c>
      <c r="B4418" t="s">
        <v>186</v>
      </c>
      <c r="C4418" t="s">
        <v>197</v>
      </c>
      <c r="D4418" t="s">
        <v>74</v>
      </c>
      <c r="E4418" t="s">
        <v>81</v>
      </c>
      <c r="F4418" s="55">
        <v>100</v>
      </c>
      <c r="G4418" s="63">
        <v>4.1799999999999997E-2</v>
      </c>
    </row>
    <row r="4419" spans="1:7" x14ac:dyDescent="0.2">
      <c r="A4419" t="s">
        <v>71</v>
      </c>
      <c r="B4419" t="s">
        <v>186</v>
      </c>
      <c r="C4419" t="s">
        <v>197</v>
      </c>
      <c r="D4419" t="s">
        <v>74</v>
      </c>
      <c r="E4419" t="s">
        <v>82</v>
      </c>
      <c r="F4419" s="55">
        <v>115</v>
      </c>
      <c r="G4419" s="63">
        <v>7.8700000000000006E-2</v>
      </c>
    </row>
    <row r="4420" spans="1:7" x14ac:dyDescent="0.2">
      <c r="A4420" t="s">
        <v>71</v>
      </c>
      <c r="B4420" t="s">
        <v>186</v>
      </c>
      <c r="C4420" t="s">
        <v>197</v>
      </c>
      <c r="D4420" t="s">
        <v>74</v>
      </c>
      <c r="E4420" t="s">
        <v>83</v>
      </c>
      <c r="F4420" s="55">
        <v>106</v>
      </c>
      <c r="G4420" s="63">
        <v>1.23E-2</v>
      </c>
    </row>
    <row r="4421" spans="1:7" x14ac:dyDescent="0.2">
      <c r="A4421" t="s">
        <v>71</v>
      </c>
      <c r="B4421" t="s">
        <v>186</v>
      </c>
      <c r="C4421" t="s">
        <v>197</v>
      </c>
      <c r="D4421" t="s">
        <v>74</v>
      </c>
      <c r="E4421" t="s">
        <v>84</v>
      </c>
      <c r="F4421" s="55">
        <v>112</v>
      </c>
      <c r="G4421" s="63">
        <v>4.6199999999999998E-2</v>
      </c>
    </row>
    <row r="4422" spans="1:7" x14ac:dyDescent="0.2">
      <c r="A4422" t="s">
        <v>71</v>
      </c>
      <c r="B4422" t="s">
        <v>186</v>
      </c>
      <c r="C4422" t="s">
        <v>197</v>
      </c>
      <c r="D4422" t="s">
        <v>74</v>
      </c>
      <c r="E4422" t="s">
        <v>85</v>
      </c>
      <c r="F4422" s="55">
        <v>110</v>
      </c>
      <c r="G4422" s="63">
        <v>4.5699999999999998E-2</v>
      </c>
    </row>
    <row r="4423" spans="1:7" x14ac:dyDescent="0.2">
      <c r="A4423" t="s">
        <v>71</v>
      </c>
      <c r="B4423" t="s">
        <v>186</v>
      </c>
      <c r="C4423" t="s">
        <v>197</v>
      </c>
      <c r="D4423" t="s">
        <v>74</v>
      </c>
      <c r="E4423" t="s">
        <v>86</v>
      </c>
      <c r="F4423" s="55">
        <v>115</v>
      </c>
      <c r="G4423" s="63">
        <v>5.6000000000000001E-2</v>
      </c>
    </row>
    <row r="4424" spans="1:7" x14ac:dyDescent="0.2">
      <c r="A4424" t="s">
        <v>71</v>
      </c>
      <c r="B4424" t="s">
        <v>186</v>
      </c>
      <c r="C4424" t="s">
        <v>197</v>
      </c>
      <c r="D4424" t="s">
        <v>74</v>
      </c>
      <c r="E4424" t="s">
        <v>87</v>
      </c>
      <c r="F4424" s="55">
        <v>118</v>
      </c>
      <c r="G4424" s="63">
        <v>6.1499999999999999E-2</v>
      </c>
    </row>
    <row r="4425" spans="1:7" x14ac:dyDescent="0.2">
      <c r="A4425" t="s">
        <v>71</v>
      </c>
      <c r="B4425" t="s">
        <v>186</v>
      </c>
      <c r="C4425" t="s">
        <v>197</v>
      </c>
      <c r="D4425" t="s">
        <v>74</v>
      </c>
      <c r="E4425" t="s">
        <v>88</v>
      </c>
      <c r="F4425" s="55">
        <v>95</v>
      </c>
      <c r="G4425" s="63">
        <v>2.9399999999999999E-2</v>
      </c>
    </row>
    <row r="4426" spans="1:7" x14ac:dyDescent="0.2">
      <c r="A4426" t="s">
        <v>71</v>
      </c>
      <c r="B4426" t="s">
        <v>187</v>
      </c>
      <c r="C4426" t="s">
        <v>197</v>
      </c>
      <c r="D4426" t="s">
        <v>74</v>
      </c>
      <c r="E4426" t="s">
        <v>75</v>
      </c>
      <c r="F4426" s="55">
        <v>85</v>
      </c>
      <c r="G4426" s="63">
        <v>0.24410000000000001</v>
      </c>
    </row>
    <row r="4427" spans="1:7" x14ac:dyDescent="0.2">
      <c r="A4427" t="s">
        <v>71</v>
      </c>
      <c r="B4427" t="s">
        <v>187</v>
      </c>
      <c r="C4427" t="s">
        <v>197</v>
      </c>
      <c r="D4427" t="s">
        <v>74</v>
      </c>
      <c r="E4427" t="s">
        <v>76</v>
      </c>
      <c r="F4427" s="55">
        <v>102</v>
      </c>
      <c r="G4427" s="63">
        <v>1.3299999999999999E-2</v>
      </c>
    </row>
    <row r="4428" spans="1:7" x14ac:dyDescent="0.2">
      <c r="A4428" t="s">
        <v>71</v>
      </c>
      <c r="B4428" t="s">
        <v>187</v>
      </c>
      <c r="C4428" t="s">
        <v>197</v>
      </c>
      <c r="D4428" t="s">
        <v>74</v>
      </c>
      <c r="E4428" t="s">
        <v>77</v>
      </c>
      <c r="F4428" s="55">
        <v>101</v>
      </c>
      <c r="G4428" s="63">
        <v>5.5899999999999998E-2</v>
      </c>
    </row>
    <row r="4429" spans="1:7" x14ac:dyDescent="0.2">
      <c r="A4429" t="s">
        <v>71</v>
      </c>
      <c r="B4429" t="s">
        <v>187</v>
      </c>
      <c r="C4429" t="s">
        <v>197</v>
      </c>
      <c r="D4429" t="s">
        <v>74</v>
      </c>
      <c r="E4429" t="s">
        <v>78</v>
      </c>
      <c r="F4429" s="55">
        <v>98</v>
      </c>
      <c r="G4429" s="63">
        <v>4.7500000000000001E-2</v>
      </c>
    </row>
    <row r="4430" spans="1:7" x14ac:dyDescent="0.2">
      <c r="A4430" t="s">
        <v>71</v>
      </c>
      <c r="B4430" t="s">
        <v>187</v>
      </c>
      <c r="C4430" t="s">
        <v>197</v>
      </c>
      <c r="D4430" t="s">
        <v>74</v>
      </c>
      <c r="E4430" t="s">
        <v>79</v>
      </c>
      <c r="F4430" s="55">
        <v>76</v>
      </c>
      <c r="G4430" s="63">
        <v>0.14580000000000001</v>
      </c>
    </row>
    <row r="4431" spans="1:7" x14ac:dyDescent="0.2">
      <c r="A4431" t="s">
        <v>71</v>
      </c>
      <c r="B4431" t="s">
        <v>187</v>
      </c>
      <c r="C4431" t="s">
        <v>197</v>
      </c>
      <c r="D4431" t="s">
        <v>74</v>
      </c>
      <c r="E4431" t="s">
        <v>80</v>
      </c>
      <c r="F4431" s="55">
        <v>84</v>
      </c>
      <c r="G4431" s="63">
        <v>5.45E-2</v>
      </c>
    </row>
    <row r="4432" spans="1:7" x14ac:dyDescent="0.2">
      <c r="A4432" t="s">
        <v>71</v>
      </c>
      <c r="B4432" t="s">
        <v>187</v>
      </c>
      <c r="C4432" t="s">
        <v>197</v>
      </c>
      <c r="D4432" t="s">
        <v>74</v>
      </c>
      <c r="E4432" t="s">
        <v>81</v>
      </c>
      <c r="F4432" s="55">
        <v>86</v>
      </c>
      <c r="G4432" s="63">
        <v>4.9700000000000001E-2</v>
      </c>
    </row>
    <row r="4433" spans="1:7" x14ac:dyDescent="0.2">
      <c r="A4433" t="s">
        <v>71</v>
      </c>
      <c r="B4433" t="s">
        <v>187</v>
      </c>
      <c r="C4433" t="s">
        <v>197</v>
      </c>
      <c r="D4433" t="s">
        <v>74</v>
      </c>
      <c r="E4433" t="s">
        <v>82</v>
      </c>
      <c r="F4433" s="55">
        <v>81</v>
      </c>
      <c r="G4433" s="63">
        <v>0.1137</v>
      </c>
    </row>
    <row r="4434" spans="1:7" x14ac:dyDescent="0.2">
      <c r="A4434" t="s">
        <v>71</v>
      </c>
      <c r="B4434" t="s">
        <v>187</v>
      </c>
      <c r="C4434" t="s">
        <v>197</v>
      </c>
      <c r="D4434" t="s">
        <v>74</v>
      </c>
      <c r="E4434" t="s">
        <v>83</v>
      </c>
      <c r="F4434" s="55">
        <v>93</v>
      </c>
      <c r="G4434" s="63">
        <v>1.0800000000000001E-2</v>
      </c>
    </row>
    <row r="4435" spans="1:7" x14ac:dyDescent="0.2">
      <c r="A4435" t="s">
        <v>71</v>
      </c>
      <c r="B4435" t="s">
        <v>187</v>
      </c>
      <c r="C4435" t="s">
        <v>197</v>
      </c>
      <c r="D4435" t="s">
        <v>74</v>
      </c>
      <c r="E4435" t="s">
        <v>84</v>
      </c>
      <c r="F4435" s="55">
        <v>99</v>
      </c>
      <c r="G4435" s="63">
        <v>3.7199999999999997E-2</v>
      </c>
    </row>
    <row r="4436" spans="1:7" x14ac:dyDescent="0.2">
      <c r="A4436" t="s">
        <v>71</v>
      </c>
      <c r="B4436" t="s">
        <v>187</v>
      </c>
      <c r="C4436" t="s">
        <v>197</v>
      </c>
      <c r="D4436" t="s">
        <v>74</v>
      </c>
      <c r="E4436" t="s">
        <v>85</v>
      </c>
      <c r="F4436" s="55">
        <v>79</v>
      </c>
      <c r="G4436" s="63">
        <v>5.1900000000000002E-2</v>
      </c>
    </row>
    <row r="4437" spans="1:7" x14ac:dyDescent="0.2">
      <c r="A4437" t="s">
        <v>71</v>
      </c>
      <c r="B4437" t="s">
        <v>187</v>
      </c>
      <c r="C4437" t="s">
        <v>197</v>
      </c>
      <c r="D4437" t="s">
        <v>74</v>
      </c>
      <c r="E4437" t="s">
        <v>86</v>
      </c>
      <c r="F4437" s="55">
        <v>76</v>
      </c>
      <c r="G4437" s="63">
        <v>5.9700000000000003E-2</v>
      </c>
    </row>
    <row r="4438" spans="1:7" x14ac:dyDescent="0.2">
      <c r="A4438" t="s">
        <v>71</v>
      </c>
      <c r="B4438" t="s">
        <v>187</v>
      </c>
      <c r="C4438" t="s">
        <v>197</v>
      </c>
      <c r="D4438" t="s">
        <v>74</v>
      </c>
      <c r="E4438" t="s">
        <v>87</v>
      </c>
      <c r="F4438" s="55">
        <v>77</v>
      </c>
      <c r="G4438" s="63">
        <v>5.8900000000000001E-2</v>
      </c>
    </row>
    <row r="4439" spans="1:7" x14ac:dyDescent="0.2">
      <c r="A4439" t="s">
        <v>71</v>
      </c>
      <c r="B4439" t="s">
        <v>187</v>
      </c>
      <c r="C4439" t="s">
        <v>197</v>
      </c>
      <c r="D4439" t="s">
        <v>74</v>
      </c>
      <c r="E4439" t="s">
        <v>88</v>
      </c>
      <c r="F4439" s="55">
        <v>99</v>
      </c>
      <c r="G4439" s="63">
        <v>3.04E-2</v>
      </c>
    </row>
    <row r="4440" spans="1:7" x14ac:dyDescent="0.2">
      <c r="A4440" t="s">
        <v>89</v>
      </c>
      <c r="B4440" t="s">
        <v>188</v>
      </c>
      <c r="C4440" t="s">
        <v>197</v>
      </c>
      <c r="D4440" t="s">
        <v>74</v>
      </c>
      <c r="E4440" t="s">
        <v>75</v>
      </c>
      <c r="F4440" s="55">
        <v>24</v>
      </c>
      <c r="G4440" s="63">
        <v>2.1899999999999999E-2</v>
      </c>
    </row>
    <row r="4441" spans="1:7" x14ac:dyDescent="0.2">
      <c r="A4441" t="s">
        <v>89</v>
      </c>
      <c r="B4441" t="s">
        <v>188</v>
      </c>
      <c r="C4441" t="s">
        <v>197</v>
      </c>
      <c r="D4441" t="s">
        <v>74</v>
      </c>
      <c r="E4441" t="s">
        <v>77</v>
      </c>
      <c r="F4441" s="55">
        <v>32</v>
      </c>
      <c r="G4441" s="63">
        <v>7.0000000000000001E-3</v>
      </c>
    </row>
    <row r="4442" spans="1:7" x14ac:dyDescent="0.2">
      <c r="A4442" t="s">
        <v>89</v>
      </c>
      <c r="B4442" t="s">
        <v>188</v>
      </c>
      <c r="C4442" t="s">
        <v>197</v>
      </c>
      <c r="D4442" t="s">
        <v>74</v>
      </c>
      <c r="E4442" t="s">
        <v>78</v>
      </c>
      <c r="F4442" s="55">
        <v>32</v>
      </c>
      <c r="G4442" s="63">
        <v>5.4000000000000003E-3</v>
      </c>
    </row>
    <row r="4443" spans="1:7" x14ac:dyDescent="0.2">
      <c r="A4443" t="s">
        <v>89</v>
      </c>
      <c r="B4443" t="s">
        <v>188</v>
      </c>
      <c r="C4443" t="s">
        <v>197</v>
      </c>
      <c r="D4443" t="s">
        <v>74</v>
      </c>
      <c r="E4443" t="s">
        <v>79</v>
      </c>
      <c r="F4443" s="55">
        <v>21</v>
      </c>
      <c r="G4443" s="63">
        <v>1.21E-2</v>
      </c>
    </row>
    <row r="4444" spans="1:7" x14ac:dyDescent="0.2">
      <c r="A4444" t="s">
        <v>89</v>
      </c>
      <c r="B4444" t="s">
        <v>188</v>
      </c>
      <c r="C4444" t="s">
        <v>197</v>
      </c>
      <c r="D4444" t="s">
        <v>74</v>
      </c>
      <c r="E4444" t="s">
        <v>80</v>
      </c>
      <c r="F4444" s="55">
        <v>20</v>
      </c>
      <c r="G4444" s="63">
        <v>5.0000000000000001E-3</v>
      </c>
    </row>
    <row r="4445" spans="1:7" x14ac:dyDescent="0.2">
      <c r="A4445" t="s">
        <v>89</v>
      </c>
      <c r="B4445" t="s">
        <v>188</v>
      </c>
      <c r="C4445" t="s">
        <v>197</v>
      </c>
      <c r="D4445" t="s">
        <v>74</v>
      </c>
      <c r="E4445" t="s">
        <v>81</v>
      </c>
      <c r="F4445" s="55">
        <v>29</v>
      </c>
      <c r="G4445" s="63">
        <v>4.4000000000000003E-3</v>
      </c>
    </row>
    <row r="4446" spans="1:7" x14ac:dyDescent="0.2">
      <c r="A4446" t="s">
        <v>89</v>
      </c>
      <c r="B4446" t="s">
        <v>188</v>
      </c>
      <c r="C4446" t="s">
        <v>197</v>
      </c>
      <c r="D4446" t="s">
        <v>74</v>
      </c>
      <c r="E4446" t="s">
        <v>82</v>
      </c>
      <c r="F4446" s="55">
        <v>27</v>
      </c>
      <c r="G4446" s="63">
        <v>8.3000000000000001E-3</v>
      </c>
    </row>
    <row r="4447" spans="1:7" x14ac:dyDescent="0.2">
      <c r="A4447" t="s">
        <v>89</v>
      </c>
      <c r="B4447" t="s">
        <v>188</v>
      </c>
      <c r="C4447" t="s">
        <v>197</v>
      </c>
      <c r="D4447" t="s">
        <v>74</v>
      </c>
      <c r="E4447" t="s">
        <v>84</v>
      </c>
      <c r="F4447" s="55">
        <v>31</v>
      </c>
      <c r="G4447" s="63">
        <v>4.3E-3</v>
      </c>
    </row>
    <row r="4448" spans="1:7" x14ac:dyDescent="0.2">
      <c r="A4448" t="s">
        <v>89</v>
      </c>
      <c r="B4448" t="s">
        <v>188</v>
      </c>
      <c r="C4448" t="s">
        <v>197</v>
      </c>
      <c r="D4448" t="s">
        <v>74</v>
      </c>
      <c r="E4448" t="s">
        <v>85</v>
      </c>
      <c r="F4448" s="55">
        <v>18</v>
      </c>
      <c r="G4448" s="63">
        <v>5.4999999999999997E-3</v>
      </c>
    </row>
    <row r="4449" spans="1:7" x14ac:dyDescent="0.2">
      <c r="A4449" t="s">
        <v>89</v>
      </c>
      <c r="B4449" t="s">
        <v>188</v>
      </c>
      <c r="C4449" t="s">
        <v>197</v>
      </c>
      <c r="D4449" t="s">
        <v>74</v>
      </c>
      <c r="E4449" t="s">
        <v>86</v>
      </c>
      <c r="F4449" s="55">
        <v>20</v>
      </c>
      <c r="G4449" s="63">
        <v>6.7000000000000002E-3</v>
      </c>
    </row>
    <row r="4450" spans="1:7" x14ac:dyDescent="0.2">
      <c r="A4450" t="s">
        <v>89</v>
      </c>
      <c r="B4450" t="s">
        <v>188</v>
      </c>
      <c r="C4450" t="s">
        <v>197</v>
      </c>
      <c r="D4450" t="s">
        <v>74</v>
      </c>
      <c r="E4450" t="s">
        <v>87</v>
      </c>
      <c r="F4450" s="55">
        <v>22</v>
      </c>
      <c r="G4450" s="63">
        <v>6.4000000000000003E-3</v>
      </c>
    </row>
    <row r="4451" spans="1:7" x14ac:dyDescent="0.2">
      <c r="A4451" t="s">
        <v>71</v>
      </c>
      <c r="B4451" t="s">
        <v>19</v>
      </c>
      <c r="C4451" t="s">
        <v>197</v>
      </c>
      <c r="D4451" t="s">
        <v>74</v>
      </c>
      <c r="E4451" t="s">
        <v>75</v>
      </c>
      <c r="F4451" s="55">
        <v>90</v>
      </c>
      <c r="G4451" s="63">
        <v>0.38129999999999997</v>
      </c>
    </row>
    <row r="4452" spans="1:7" x14ac:dyDescent="0.2">
      <c r="A4452" t="s">
        <v>71</v>
      </c>
      <c r="B4452" t="s">
        <v>19</v>
      </c>
      <c r="C4452" t="s">
        <v>197</v>
      </c>
      <c r="D4452" t="s">
        <v>74</v>
      </c>
      <c r="E4452" t="s">
        <v>76</v>
      </c>
      <c r="F4452" s="55">
        <v>84</v>
      </c>
      <c r="G4452" s="63">
        <v>3.9899999999999998E-2</v>
      </c>
    </row>
    <row r="4453" spans="1:7" x14ac:dyDescent="0.2">
      <c r="A4453" t="s">
        <v>71</v>
      </c>
      <c r="B4453" t="s">
        <v>19</v>
      </c>
      <c r="C4453" t="s">
        <v>197</v>
      </c>
      <c r="D4453" t="s">
        <v>74</v>
      </c>
      <c r="E4453" t="s">
        <v>77</v>
      </c>
      <c r="F4453" s="55">
        <v>100</v>
      </c>
      <c r="G4453" s="63">
        <v>0.1333</v>
      </c>
    </row>
    <row r="4454" spans="1:7" x14ac:dyDescent="0.2">
      <c r="A4454" t="s">
        <v>71</v>
      </c>
      <c r="B4454" t="s">
        <v>19</v>
      </c>
      <c r="C4454" t="s">
        <v>197</v>
      </c>
      <c r="D4454" t="s">
        <v>74</v>
      </c>
      <c r="E4454" t="s">
        <v>78</v>
      </c>
      <c r="F4454" s="55">
        <v>88</v>
      </c>
      <c r="G4454" s="63">
        <v>0.11269999999999999</v>
      </c>
    </row>
    <row r="4455" spans="1:7" x14ac:dyDescent="0.2">
      <c r="A4455" t="s">
        <v>71</v>
      </c>
      <c r="B4455" t="s">
        <v>19</v>
      </c>
      <c r="C4455" t="s">
        <v>197</v>
      </c>
      <c r="D4455" t="s">
        <v>74</v>
      </c>
      <c r="E4455" t="s">
        <v>79</v>
      </c>
      <c r="F4455" s="55">
        <v>85</v>
      </c>
      <c r="G4455" s="63">
        <v>0.2601</v>
      </c>
    </row>
    <row r="4456" spans="1:7" x14ac:dyDescent="0.2">
      <c r="A4456" t="s">
        <v>71</v>
      </c>
      <c r="B4456" t="s">
        <v>19</v>
      </c>
      <c r="C4456" t="s">
        <v>197</v>
      </c>
      <c r="D4456" t="s">
        <v>74</v>
      </c>
      <c r="E4456" t="s">
        <v>80</v>
      </c>
      <c r="F4456" s="55">
        <v>89</v>
      </c>
      <c r="G4456" s="63">
        <v>0.1195</v>
      </c>
    </row>
    <row r="4457" spans="1:7" x14ac:dyDescent="0.2">
      <c r="A4457" t="s">
        <v>71</v>
      </c>
      <c r="B4457" t="s">
        <v>19</v>
      </c>
      <c r="C4457" t="s">
        <v>197</v>
      </c>
      <c r="D4457" t="s">
        <v>74</v>
      </c>
      <c r="E4457" t="s">
        <v>81</v>
      </c>
      <c r="F4457" s="55">
        <v>89</v>
      </c>
      <c r="G4457" s="63">
        <v>0.1108</v>
      </c>
    </row>
    <row r="4458" spans="1:7" x14ac:dyDescent="0.2">
      <c r="A4458" t="s">
        <v>71</v>
      </c>
      <c r="B4458" t="s">
        <v>19</v>
      </c>
      <c r="C4458" t="s">
        <v>197</v>
      </c>
      <c r="D4458" t="s">
        <v>74</v>
      </c>
      <c r="E4458" t="s">
        <v>82</v>
      </c>
      <c r="F4458" s="55">
        <v>90</v>
      </c>
      <c r="G4458" s="63">
        <v>0.18029999999999999</v>
      </c>
    </row>
    <row r="4459" spans="1:7" x14ac:dyDescent="0.2">
      <c r="A4459" t="s">
        <v>71</v>
      </c>
      <c r="B4459" t="s">
        <v>19</v>
      </c>
      <c r="C4459" t="s">
        <v>197</v>
      </c>
      <c r="D4459" t="s">
        <v>74</v>
      </c>
      <c r="E4459" t="s">
        <v>83</v>
      </c>
      <c r="F4459" s="55">
        <v>81</v>
      </c>
      <c r="G4459" s="63">
        <v>3.9100000000000003E-2</v>
      </c>
    </row>
    <row r="4460" spans="1:7" x14ac:dyDescent="0.2">
      <c r="A4460" t="s">
        <v>71</v>
      </c>
      <c r="B4460" t="s">
        <v>19</v>
      </c>
      <c r="C4460" t="s">
        <v>197</v>
      </c>
      <c r="D4460" t="s">
        <v>74</v>
      </c>
      <c r="E4460" t="s">
        <v>84</v>
      </c>
      <c r="F4460" s="55">
        <v>90</v>
      </c>
      <c r="G4460" s="63">
        <v>8.9599999999999999E-2</v>
      </c>
    </row>
    <row r="4461" spans="1:7" x14ac:dyDescent="0.2">
      <c r="A4461" t="s">
        <v>71</v>
      </c>
      <c r="B4461" t="s">
        <v>19</v>
      </c>
      <c r="C4461" t="s">
        <v>197</v>
      </c>
      <c r="D4461" t="s">
        <v>74</v>
      </c>
      <c r="E4461" t="s">
        <v>85</v>
      </c>
      <c r="F4461" s="55">
        <v>90</v>
      </c>
      <c r="G4461" s="63">
        <v>0.1193</v>
      </c>
    </row>
    <row r="4462" spans="1:7" x14ac:dyDescent="0.2">
      <c r="A4462" t="s">
        <v>71</v>
      </c>
      <c r="B4462" t="s">
        <v>19</v>
      </c>
      <c r="C4462" t="s">
        <v>197</v>
      </c>
      <c r="D4462" t="s">
        <v>74</v>
      </c>
      <c r="E4462" t="s">
        <v>86</v>
      </c>
      <c r="F4462" s="55">
        <v>89</v>
      </c>
      <c r="G4462" s="63">
        <v>0.13250000000000001</v>
      </c>
    </row>
    <row r="4463" spans="1:7" x14ac:dyDescent="0.2">
      <c r="A4463" t="s">
        <v>71</v>
      </c>
      <c r="B4463" t="s">
        <v>19</v>
      </c>
      <c r="C4463" t="s">
        <v>197</v>
      </c>
      <c r="D4463" t="s">
        <v>74</v>
      </c>
      <c r="E4463" t="s">
        <v>87</v>
      </c>
      <c r="F4463" s="55">
        <v>82</v>
      </c>
      <c r="G4463" s="63">
        <v>0.12520000000000001</v>
      </c>
    </row>
    <row r="4464" spans="1:7" x14ac:dyDescent="0.2">
      <c r="A4464" t="s">
        <v>71</v>
      </c>
      <c r="B4464" t="s">
        <v>19</v>
      </c>
      <c r="C4464" t="s">
        <v>197</v>
      </c>
      <c r="D4464" t="s">
        <v>74</v>
      </c>
      <c r="E4464" t="s">
        <v>88</v>
      </c>
      <c r="F4464" s="55">
        <v>84</v>
      </c>
      <c r="G4464" s="63">
        <v>6.9199999999999998E-2</v>
      </c>
    </row>
    <row r="4465" spans="1:7" x14ac:dyDescent="0.2">
      <c r="A4465" t="s">
        <v>89</v>
      </c>
      <c r="B4465" t="s">
        <v>189</v>
      </c>
      <c r="C4465" t="s">
        <v>197</v>
      </c>
      <c r="D4465" t="s">
        <v>74</v>
      </c>
      <c r="E4465" t="s">
        <v>75</v>
      </c>
      <c r="F4465" s="55">
        <v>61</v>
      </c>
      <c r="G4465" s="63">
        <v>0.12139999999999999</v>
      </c>
    </row>
    <row r="4466" spans="1:7" x14ac:dyDescent="0.2">
      <c r="A4466" t="s">
        <v>89</v>
      </c>
      <c r="B4466" t="s">
        <v>189</v>
      </c>
      <c r="C4466" t="s">
        <v>197</v>
      </c>
      <c r="D4466" t="s">
        <v>74</v>
      </c>
      <c r="E4466" t="s">
        <v>76</v>
      </c>
      <c r="F4466" s="55">
        <v>61</v>
      </c>
      <c r="G4466" s="63">
        <v>1.26E-2</v>
      </c>
    </row>
    <row r="4467" spans="1:7" x14ac:dyDescent="0.2">
      <c r="A4467" t="s">
        <v>89</v>
      </c>
      <c r="B4467" t="s">
        <v>189</v>
      </c>
      <c r="C4467" t="s">
        <v>197</v>
      </c>
      <c r="D4467" t="s">
        <v>74</v>
      </c>
      <c r="E4467" t="s">
        <v>77</v>
      </c>
      <c r="F4467" s="55">
        <v>58</v>
      </c>
      <c r="G4467" s="63">
        <v>3.44E-2</v>
      </c>
    </row>
    <row r="4468" spans="1:7" x14ac:dyDescent="0.2">
      <c r="A4468" t="s">
        <v>89</v>
      </c>
      <c r="B4468" t="s">
        <v>189</v>
      </c>
      <c r="C4468" t="s">
        <v>197</v>
      </c>
      <c r="D4468" t="s">
        <v>74</v>
      </c>
      <c r="E4468" t="s">
        <v>78</v>
      </c>
      <c r="F4468" s="55">
        <v>65</v>
      </c>
      <c r="G4468" s="63">
        <v>2.3900000000000001E-2</v>
      </c>
    </row>
    <row r="4469" spans="1:7" x14ac:dyDescent="0.2">
      <c r="A4469" t="s">
        <v>89</v>
      </c>
      <c r="B4469" t="s">
        <v>189</v>
      </c>
      <c r="C4469" t="s">
        <v>197</v>
      </c>
      <c r="D4469" t="s">
        <v>74</v>
      </c>
      <c r="E4469" t="s">
        <v>79</v>
      </c>
      <c r="F4469" s="55">
        <v>61</v>
      </c>
      <c r="G4469" s="63">
        <v>8.0199999999999994E-2</v>
      </c>
    </row>
    <row r="4470" spans="1:7" x14ac:dyDescent="0.2">
      <c r="A4470" t="s">
        <v>89</v>
      </c>
      <c r="B4470" t="s">
        <v>189</v>
      </c>
      <c r="C4470" t="s">
        <v>197</v>
      </c>
      <c r="D4470" t="s">
        <v>74</v>
      </c>
      <c r="E4470" t="s">
        <v>80</v>
      </c>
      <c r="F4470" s="55">
        <v>64</v>
      </c>
      <c r="G4470" s="63">
        <v>3.4799999999999998E-2</v>
      </c>
    </row>
    <row r="4471" spans="1:7" x14ac:dyDescent="0.2">
      <c r="A4471" t="s">
        <v>89</v>
      </c>
      <c r="B4471" t="s">
        <v>189</v>
      </c>
      <c r="C4471" t="s">
        <v>197</v>
      </c>
      <c r="D4471" t="s">
        <v>74</v>
      </c>
      <c r="E4471" t="s">
        <v>81</v>
      </c>
      <c r="F4471" s="55">
        <v>70</v>
      </c>
      <c r="G4471" s="63">
        <v>3.2800000000000003E-2</v>
      </c>
    </row>
    <row r="4472" spans="1:7" x14ac:dyDescent="0.2">
      <c r="A4472" t="s">
        <v>89</v>
      </c>
      <c r="B4472" t="s">
        <v>189</v>
      </c>
      <c r="C4472" t="s">
        <v>197</v>
      </c>
      <c r="D4472" t="s">
        <v>74</v>
      </c>
      <c r="E4472" t="s">
        <v>82</v>
      </c>
      <c r="F4472" s="55">
        <v>57</v>
      </c>
      <c r="G4472" s="63">
        <v>5.3100000000000001E-2</v>
      </c>
    </row>
    <row r="4473" spans="1:7" x14ac:dyDescent="0.2">
      <c r="A4473" t="s">
        <v>89</v>
      </c>
      <c r="B4473" t="s">
        <v>189</v>
      </c>
      <c r="C4473" t="s">
        <v>197</v>
      </c>
      <c r="D4473" t="s">
        <v>74</v>
      </c>
      <c r="E4473" t="s">
        <v>83</v>
      </c>
      <c r="F4473" s="55">
        <v>72</v>
      </c>
      <c r="G4473" s="63">
        <v>1.26E-2</v>
      </c>
    </row>
    <row r="4474" spans="1:7" x14ac:dyDescent="0.2">
      <c r="A4474" t="s">
        <v>89</v>
      </c>
      <c r="B4474" t="s">
        <v>189</v>
      </c>
      <c r="C4474" t="s">
        <v>197</v>
      </c>
      <c r="D4474" t="s">
        <v>74</v>
      </c>
      <c r="E4474" t="s">
        <v>84</v>
      </c>
      <c r="F4474" s="55">
        <v>58</v>
      </c>
      <c r="G4474" s="63">
        <v>1.77E-2</v>
      </c>
    </row>
    <row r="4475" spans="1:7" x14ac:dyDescent="0.2">
      <c r="A4475" t="s">
        <v>89</v>
      </c>
      <c r="B4475" t="s">
        <v>189</v>
      </c>
      <c r="C4475" t="s">
        <v>197</v>
      </c>
      <c r="D4475" t="s">
        <v>74</v>
      </c>
      <c r="E4475" t="s">
        <v>85</v>
      </c>
      <c r="F4475" s="55">
        <v>60</v>
      </c>
      <c r="G4475" s="63">
        <v>3.2599999999999997E-2</v>
      </c>
    </row>
    <row r="4476" spans="1:7" x14ac:dyDescent="0.2">
      <c r="A4476" t="s">
        <v>89</v>
      </c>
      <c r="B4476" t="s">
        <v>189</v>
      </c>
      <c r="C4476" t="s">
        <v>197</v>
      </c>
      <c r="D4476" t="s">
        <v>74</v>
      </c>
      <c r="E4476" t="s">
        <v>86</v>
      </c>
      <c r="F4476" s="55">
        <v>57</v>
      </c>
      <c r="G4476" s="63">
        <v>3.6400000000000002E-2</v>
      </c>
    </row>
    <row r="4477" spans="1:7" x14ac:dyDescent="0.2">
      <c r="A4477" t="s">
        <v>89</v>
      </c>
      <c r="B4477" t="s">
        <v>189</v>
      </c>
      <c r="C4477" t="s">
        <v>197</v>
      </c>
      <c r="D4477" t="s">
        <v>74</v>
      </c>
      <c r="E4477" t="s">
        <v>87</v>
      </c>
      <c r="F4477" s="55">
        <v>59</v>
      </c>
      <c r="G4477" s="63">
        <v>4.0500000000000001E-2</v>
      </c>
    </row>
    <row r="4478" spans="1:7" x14ac:dyDescent="0.2">
      <c r="A4478" t="s">
        <v>89</v>
      </c>
      <c r="B4478" t="s">
        <v>189</v>
      </c>
      <c r="C4478" t="s">
        <v>197</v>
      </c>
      <c r="D4478" t="s">
        <v>74</v>
      </c>
      <c r="E4478" t="s">
        <v>88</v>
      </c>
      <c r="F4478" s="55">
        <v>62</v>
      </c>
      <c r="G4478" s="63">
        <v>2.2499999999999999E-2</v>
      </c>
    </row>
    <row r="4479" spans="1:7" x14ac:dyDescent="0.2">
      <c r="A4479" t="s">
        <v>89</v>
      </c>
      <c r="B4479" t="s">
        <v>190</v>
      </c>
      <c r="C4479" t="s">
        <v>197</v>
      </c>
      <c r="D4479" t="s">
        <v>74</v>
      </c>
      <c r="E4479" t="s">
        <v>75</v>
      </c>
      <c r="F4479" s="55">
        <v>34</v>
      </c>
      <c r="G4479" s="63">
        <v>0.15720000000000001</v>
      </c>
    </row>
    <row r="4480" spans="1:7" x14ac:dyDescent="0.2">
      <c r="A4480" t="s">
        <v>89</v>
      </c>
      <c r="B4480" t="s">
        <v>190</v>
      </c>
      <c r="C4480" t="s">
        <v>197</v>
      </c>
      <c r="D4480" t="s">
        <v>74</v>
      </c>
      <c r="E4480" t="s">
        <v>76</v>
      </c>
      <c r="F4480" s="55">
        <v>41</v>
      </c>
      <c r="G4480" s="63">
        <v>7.4000000000000003E-3</v>
      </c>
    </row>
    <row r="4481" spans="1:7" x14ac:dyDescent="0.2">
      <c r="A4481" t="s">
        <v>89</v>
      </c>
      <c r="B4481" t="s">
        <v>190</v>
      </c>
      <c r="C4481" t="s">
        <v>197</v>
      </c>
      <c r="D4481" t="s">
        <v>74</v>
      </c>
      <c r="E4481" t="s">
        <v>77</v>
      </c>
      <c r="F4481" s="55">
        <v>36</v>
      </c>
      <c r="G4481" s="63">
        <v>3.8399999999999997E-2</v>
      </c>
    </row>
    <row r="4482" spans="1:7" x14ac:dyDescent="0.2">
      <c r="A4482" t="s">
        <v>89</v>
      </c>
      <c r="B4482" t="s">
        <v>190</v>
      </c>
      <c r="C4482" t="s">
        <v>197</v>
      </c>
      <c r="D4482" t="s">
        <v>74</v>
      </c>
      <c r="E4482" t="s">
        <v>78</v>
      </c>
      <c r="F4482" s="55">
        <v>44</v>
      </c>
      <c r="G4482" s="63">
        <v>2.6800000000000001E-2</v>
      </c>
    </row>
    <row r="4483" spans="1:7" x14ac:dyDescent="0.2">
      <c r="A4483" t="s">
        <v>89</v>
      </c>
      <c r="B4483" t="s">
        <v>190</v>
      </c>
      <c r="C4483" t="s">
        <v>197</v>
      </c>
      <c r="D4483" t="s">
        <v>74</v>
      </c>
      <c r="E4483" t="s">
        <v>79</v>
      </c>
      <c r="F4483" s="55">
        <v>32</v>
      </c>
      <c r="G4483" s="63">
        <v>9.0200000000000002E-2</v>
      </c>
    </row>
    <row r="4484" spans="1:7" x14ac:dyDescent="0.2">
      <c r="A4484" t="s">
        <v>89</v>
      </c>
      <c r="B4484" t="s">
        <v>190</v>
      </c>
      <c r="C4484" t="s">
        <v>197</v>
      </c>
      <c r="D4484" t="s">
        <v>74</v>
      </c>
      <c r="E4484" t="s">
        <v>80</v>
      </c>
      <c r="F4484" s="55">
        <v>40</v>
      </c>
      <c r="G4484" s="63">
        <v>2.35E-2</v>
      </c>
    </row>
    <row r="4485" spans="1:7" x14ac:dyDescent="0.2">
      <c r="A4485" t="s">
        <v>89</v>
      </c>
      <c r="B4485" t="s">
        <v>190</v>
      </c>
      <c r="C4485" t="s">
        <v>197</v>
      </c>
      <c r="D4485" t="s">
        <v>74</v>
      </c>
      <c r="E4485" t="s">
        <v>81</v>
      </c>
      <c r="F4485" s="55">
        <v>39</v>
      </c>
      <c r="G4485" s="63">
        <v>2.18E-2</v>
      </c>
    </row>
    <row r="4486" spans="1:7" x14ac:dyDescent="0.2">
      <c r="A4486" t="s">
        <v>89</v>
      </c>
      <c r="B4486" t="s">
        <v>190</v>
      </c>
      <c r="C4486" t="s">
        <v>197</v>
      </c>
      <c r="D4486" t="s">
        <v>74</v>
      </c>
      <c r="E4486" t="s">
        <v>82</v>
      </c>
      <c r="F4486" s="55">
        <v>30</v>
      </c>
      <c r="G4486" s="63">
        <v>7.0099999999999996E-2</v>
      </c>
    </row>
    <row r="4487" spans="1:7" x14ac:dyDescent="0.2">
      <c r="A4487" t="s">
        <v>89</v>
      </c>
      <c r="B4487" t="s">
        <v>190</v>
      </c>
      <c r="C4487" t="s">
        <v>197</v>
      </c>
      <c r="D4487" t="s">
        <v>74</v>
      </c>
      <c r="E4487" t="s">
        <v>83</v>
      </c>
      <c r="F4487" s="55">
        <v>34</v>
      </c>
      <c r="G4487" s="63">
        <v>6.0000000000000001E-3</v>
      </c>
    </row>
    <row r="4488" spans="1:7" x14ac:dyDescent="0.2">
      <c r="A4488" t="s">
        <v>89</v>
      </c>
      <c r="B4488" t="s">
        <v>190</v>
      </c>
      <c r="C4488" t="s">
        <v>197</v>
      </c>
      <c r="D4488" t="s">
        <v>74</v>
      </c>
      <c r="E4488" t="s">
        <v>84</v>
      </c>
      <c r="F4488" s="55">
        <v>41</v>
      </c>
      <c r="G4488" s="63">
        <v>2.18E-2</v>
      </c>
    </row>
    <row r="4489" spans="1:7" x14ac:dyDescent="0.2">
      <c r="A4489" t="s">
        <v>89</v>
      </c>
      <c r="B4489" t="s">
        <v>190</v>
      </c>
      <c r="C4489" t="s">
        <v>197</v>
      </c>
      <c r="D4489" t="s">
        <v>74</v>
      </c>
      <c r="E4489" t="s">
        <v>85</v>
      </c>
      <c r="F4489" s="55">
        <v>35</v>
      </c>
      <c r="G4489" s="63">
        <v>1.9699999999999999E-2</v>
      </c>
    </row>
    <row r="4490" spans="1:7" x14ac:dyDescent="0.2">
      <c r="A4490" t="s">
        <v>89</v>
      </c>
      <c r="B4490" t="s">
        <v>190</v>
      </c>
      <c r="C4490" t="s">
        <v>197</v>
      </c>
      <c r="D4490" t="s">
        <v>74</v>
      </c>
      <c r="E4490" t="s">
        <v>86</v>
      </c>
      <c r="F4490" s="55">
        <v>32</v>
      </c>
      <c r="G4490" s="63">
        <v>2.98E-2</v>
      </c>
    </row>
    <row r="4491" spans="1:7" x14ac:dyDescent="0.2">
      <c r="A4491" t="s">
        <v>89</v>
      </c>
      <c r="B4491" t="s">
        <v>190</v>
      </c>
      <c r="C4491" t="s">
        <v>197</v>
      </c>
      <c r="D4491" t="s">
        <v>74</v>
      </c>
      <c r="E4491" t="s">
        <v>87</v>
      </c>
      <c r="F4491" s="55">
        <v>31</v>
      </c>
      <c r="G4491" s="63">
        <v>3.6999999999999998E-2</v>
      </c>
    </row>
    <row r="4492" spans="1:7" x14ac:dyDescent="0.2">
      <c r="A4492" t="s">
        <v>89</v>
      </c>
      <c r="B4492" t="s">
        <v>190</v>
      </c>
      <c r="C4492" t="s">
        <v>197</v>
      </c>
      <c r="D4492" t="s">
        <v>74</v>
      </c>
      <c r="E4492" t="s">
        <v>88</v>
      </c>
      <c r="F4492" s="55">
        <v>38</v>
      </c>
      <c r="G4492" s="63">
        <v>1.26E-2</v>
      </c>
    </row>
    <row r="4493" spans="1:7" x14ac:dyDescent="0.2">
      <c r="A4493" t="s">
        <v>89</v>
      </c>
      <c r="B4493" t="s">
        <v>191</v>
      </c>
      <c r="C4493" t="s">
        <v>197</v>
      </c>
      <c r="D4493" t="s">
        <v>91</v>
      </c>
      <c r="E4493" t="s">
        <v>75</v>
      </c>
      <c r="F4493" s="55">
        <v>28</v>
      </c>
      <c r="G4493" s="63">
        <v>0.1837</v>
      </c>
    </row>
    <row r="4494" spans="1:7" x14ac:dyDescent="0.2">
      <c r="A4494" t="s">
        <v>89</v>
      </c>
      <c r="B4494" t="s">
        <v>191</v>
      </c>
      <c r="C4494" t="s">
        <v>197</v>
      </c>
      <c r="D4494" t="s">
        <v>91</v>
      </c>
      <c r="E4494" t="s">
        <v>76</v>
      </c>
      <c r="F4494" s="55">
        <v>23</v>
      </c>
      <c r="G4494" s="63">
        <v>2.0199999999999999E-2</v>
      </c>
    </row>
    <row r="4495" spans="1:7" x14ac:dyDescent="0.2">
      <c r="A4495" t="s">
        <v>89</v>
      </c>
      <c r="B4495" t="s">
        <v>191</v>
      </c>
      <c r="C4495" t="s">
        <v>197</v>
      </c>
      <c r="D4495" t="s">
        <v>91</v>
      </c>
      <c r="E4495" t="s">
        <v>77</v>
      </c>
      <c r="F4495" s="55">
        <v>28</v>
      </c>
      <c r="G4495" s="63">
        <v>5.8599999999999999E-2</v>
      </c>
    </row>
    <row r="4496" spans="1:7" x14ac:dyDescent="0.2">
      <c r="A4496" t="s">
        <v>89</v>
      </c>
      <c r="B4496" t="s">
        <v>191</v>
      </c>
      <c r="C4496" t="s">
        <v>197</v>
      </c>
      <c r="D4496" t="s">
        <v>91</v>
      </c>
      <c r="E4496" t="s">
        <v>78</v>
      </c>
      <c r="F4496" s="55">
        <v>28</v>
      </c>
      <c r="G4496" s="63">
        <v>4.2500000000000003E-2</v>
      </c>
    </row>
    <row r="4497" spans="1:7" x14ac:dyDescent="0.2">
      <c r="A4497" t="s">
        <v>89</v>
      </c>
      <c r="B4497" t="s">
        <v>191</v>
      </c>
      <c r="C4497" t="s">
        <v>197</v>
      </c>
      <c r="D4497" t="s">
        <v>91</v>
      </c>
      <c r="E4497" t="s">
        <v>79</v>
      </c>
      <c r="F4497" s="55">
        <v>28</v>
      </c>
      <c r="G4497" s="63">
        <v>0.1018</v>
      </c>
    </row>
    <row r="4498" spans="1:7" x14ac:dyDescent="0.2">
      <c r="A4498" t="s">
        <v>89</v>
      </c>
      <c r="B4498" t="s">
        <v>191</v>
      </c>
      <c r="C4498" t="s">
        <v>197</v>
      </c>
      <c r="D4498" t="s">
        <v>91</v>
      </c>
      <c r="E4498" t="s">
        <v>80</v>
      </c>
      <c r="F4498" s="55">
        <v>26</v>
      </c>
      <c r="G4498" s="63">
        <v>3.04E-2</v>
      </c>
    </row>
    <row r="4499" spans="1:7" x14ac:dyDescent="0.2">
      <c r="A4499" t="s">
        <v>89</v>
      </c>
      <c r="B4499" t="s">
        <v>191</v>
      </c>
      <c r="C4499" t="s">
        <v>197</v>
      </c>
      <c r="D4499" t="s">
        <v>91</v>
      </c>
      <c r="E4499" t="s">
        <v>81</v>
      </c>
      <c r="F4499" s="55">
        <v>27</v>
      </c>
      <c r="G4499" s="63">
        <v>3.5799999999999998E-2</v>
      </c>
    </row>
    <row r="4500" spans="1:7" x14ac:dyDescent="0.2">
      <c r="A4500" t="s">
        <v>89</v>
      </c>
      <c r="B4500" t="s">
        <v>191</v>
      </c>
      <c r="C4500" t="s">
        <v>197</v>
      </c>
      <c r="D4500" t="s">
        <v>91</v>
      </c>
      <c r="E4500" t="s">
        <v>82</v>
      </c>
      <c r="F4500" s="55">
        <v>30</v>
      </c>
      <c r="G4500" s="63">
        <v>7.7899999999999997E-2</v>
      </c>
    </row>
    <row r="4501" spans="1:7" x14ac:dyDescent="0.2">
      <c r="A4501" t="s">
        <v>89</v>
      </c>
      <c r="B4501" t="s">
        <v>191</v>
      </c>
      <c r="C4501" t="s">
        <v>197</v>
      </c>
      <c r="D4501" t="s">
        <v>91</v>
      </c>
      <c r="E4501" t="s">
        <v>83</v>
      </c>
      <c r="F4501" s="55">
        <v>24</v>
      </c>
      <c r="G4501" s="63">
        <v>1.61E-2</v>
      </c>
    </row>
    <row r="4502" spans="1:7" x14ac:dyDescent="0.2">
      <c r="A4502" t="s">
        <v>89</v>
      </c>
      <c r="B4502" t="s">
        <v>191</v>
      </c>
      <c r="C4502" t="s">
        <v>197</v>
      </c>
      <c r="D4502" t="s">
        <v>91</v>
      </c>
      <c r="E4502" t="s">
        <v>84</v>
      </c>
      <c r="F4502" s="55">
        <v>30</v>
      </c>
      <c r="G4502" s="63">
        <v>3.3000000000000002E-2</v>
      </c>
    </row>
    <row r="4503" spans="1:7" x14ac:dyDescent="0.2">
      <c r="A4503" t="s">
        <v>89</v>
      </c>
      <c r="B4503" t="s">
        <v>191</v>
      </c>
      <c r="C4503" t="s">
        <v>197</v>
      </c>
      <c r="D4503" t="s">
        <v>91</v>
      </c>
      <c r="E4503" t="s">
        <v>85</v>
      </c>
      <c r="F4503" s="55">
        <v>25</v>
      </c>
      <c r="G4503" s="63">
        <v>3.3500000000000002E-2</v>
      </c>
    </row>
    <row r="4504" spans="1:7" x14ac:dyDescent="0.2">
      <c r="A4504" t="s">
        <v>89</v>
      </c>
      <c r="B4504" t="s">
        <v>191</v>
      </c>
      <c r="C4504" t="s">
        <v>197</v>
      </c>
      <c r="D4504" t="s">
        <v>91</v>
      </c>
      <c r="E4504" t="s">
        <v>86</v>
      </c>
      <c r="F4504" s="55">
        <v>31</v>
      </c>
      <c r="G4504" s="63">
        <v>4.0899999999999999E-2</v>
      </c>
    </row>
    <row r="4505" spans="1:7" x14ac:dyDescent="0.2">
      <c r="A4505" t="s">
        <v>89</v>
      </c>
      <c r="B4505" t="s">
        <v>191</v>
      </c>
      <c r="C4505" t="s">
        <v>197</v>
      </c>
      <c r="D4505" t="s">
        <v>91</v>
      </c>
      <c r="E4505" t="s">
        <v>87</v>
      </c>
      <c r="F4505" s="55">
        <v>30</v>
      </c>
      <c r="G4505" s="63">
        <v>4.1500000000000002E-2</v>
      </c>
    </row>
    <row r="4506" spans="1:7" x14ac:dyDescent="0.2">
      <c r="A4506" t="s">
        <v>89</v>
      </c>
      <c r="B4506" t="s">
        <v>191</v>
      </c>
      <c r="C4506" t="s">
        <v>197</v>
      </c>
      <c r="D4506" t="s">
        <v>91</v>
      </c>
      <c r="E4506" t="s">
        <v>88</v>
      </c>
      <c r="F4506" s="55">
        <v>24</v>
      </c>
      <c r="G4506" s="63">
        <v>3.2500000000000001E-2</v>
      </c>
    </row>
    <row r="4507" spans="1:7" x14ac:dyDescent="0.2">
      <c r="A4507" t="s">
        <v>89</v>
      </c>
      <c r="B4507" t="s">
        <v>192</v>
      </c>
      <c r="C4507" t="s">
        <v>197</v>
      </c>
      <c r="D4507" t="s">
        <v>74</v>
      </c>
      <c r="E4507" t="s">
        <v>75</v>
      </c>
      <c r="F4507" s="55">
        <v>99</v>
      </c>
      <c r="G4507" s="63">
        <v>8.5599999999999996E-2</v>
      </c>
    </row>
    <row r="4508" spans="1:7" x14ac:dyDescent="0.2">
      <c r="A4508" t="s">
        <v>89</v>
      </c>
      <c r="B4508" t="s">
        <v>192</v>
      </c>
      <c r="C4508" t="s">
        <v>197</v>
      </c>
      <c r="D4508" t="s">
        <v>74</v>
      </c>
      <c r="E4508" t="s">
        <v>76</v>
      </c>
      <c r="F4508" s="55">
        <v>80</v>
      </c>
      <c r="G4508" s="63">
        <v>7.9000000000000008E-3</v>
      </c>
    </row>
    <row r="4509" spans="1:7" x14ac:dyDescent="0.2">
      <c r="A4509" t="s">
        <v>89</v>
      </c>
      <c r="B4509" t="s">
        <v>192</v>
      </c>
      <c r="C4509" t="s">
        <v>197</v>
      </c>
      <c r="D4509" t="s">
        <v>74</v>
      </c>
      <c r="E4509" t="s">
        <v>77</v>
      </c>
      <c r="F4509" s="55">
        <v>94</v>
      </c>
      <c r="G4509" s="63">
        <v>3.2500000000000001E-2</v>
      </c>
    </row>
    <row r="4510" spans="1:7" x14ac:dyDescent="0.2">
      <c r="A4510" t="s">
        <v>89</v>
      </c>
      <c r="B4510" t="s">
        <v>192</v>
      </c>
      <c r="C4510" t="s">
        <v>197</v>
      </c>
      <c r="D4510" t="s">
        <v>74</v>
      </c>
      <c r="E4510" t="s">
        <v>78</v>
      </c>
      <c r="F4510" s="55">
        <v>91</v>
      </c>
      <c r="G4510" s="63">
        <v>2.52E-2</v>
      </c>
    </row>
    <row r="4511" spans="1:7" x14ac:dyDescent="0.2">
      <c r="A4511" t="s">
        <v>89</v>
      </c>
      <c r="B4511" t="s">
        <v>192</v>
      </c>
      <c r="C4511" t="s">
        <v>197</v>
      </c>
      <c r="D4511" t="s">
        <v>74</v>
      </c>
      <c r="E4511" t="s">
        <v>79</v>
      </c>
      <c r="F4511" s="55">
        <v>96</v>
      </c>
      <c r="G4511" s="63">
        <v>0.05</v>
      </c>
    </row>
    <row r="4512" spans="1:7" x14ac:dyDescent="0.2">
      <c r="A4512" t="s">
        <v>89</v>
      </c>
      <c r="B4512" t="s">
        <v>192</v>
      </c>
      <c r="C4512" t="s">
        <v>197</v>
      </c>
      <c r="D4512" t="s">
        <v>74</v>
      </c>
      <c r="E4512" t="s">
        <v>80</v>
      </c>
      <c r="F4512" s="55">
        <v>119</v>
      </c>
      <c r="G4512" s="63">
        <v>2.5100000000000001E-2</v>
      </c>
    </row>
    <row r="4513" spans="1:7" x14ac:dyDescent="0.2">
      <c r="A4513" t="s">
        <v>89</v>
      </c>
      <c r="B4513" t="s">
        <v>192</v>
      </c>
      <c r="C4513" t="s">
        <v>197</v>
      </c>
      <c r="D4513" t="s">
        <v>74</v>
      </c>
      <c r="E4513" t="s">
        <v>81</v>
      </c>
      <c r="F4513" s="55">
        <v>109</v>
      </c>
      <c r="G4513" s="63">
        <v>2.4400000000000002E-2</v>
      </c>
    </row>
    <row r="4514" spans="1:7" x14ac:dyDescent="0.2">
      <c r="A4514" t="s">
        <v>89</v>
      </c>
      <c r="B4514" t="s">
        <v>192</v>
      </c>
      <c r="C4514" t="s">
        <v>197</v>
      </c>
      <c r="D4514" t="s">
        <v>74</v>
      </c>
      <c r="E4514" t="s">
        <v>82</v>
      </c>
      <c r="F4514" s="55">
        <v>98</v>
      </c>
      <c r="G4514" s="63">
        <v>3.5000000000000003E-2</v>
      </c>
    </row>
    <row r="4515" spans="1:7" x14ac:dyDescent="0.2">
      <c r="A4515" t="s">
        <v>89</v>
      </c>
      <c r="B4515" t="s">
        <v>192</v>
      </c>
      <c r="C4515" t="s">
        <v>197</v>
      </c>
      <c r="D4515" t="s">
        <v>74</v>
      </c>
      <c r="E4515" t="s">
        <v>83</v>
      </c>
      <c r="F4515" s="55">
        <v>78</v>
      </c>
      <c r="G4515" s="63">
        <v>7.7999999999999996E-3</v>
      </c>
    </row>
    <row r="4516" spans="1:7" x14ac:dyDescent="0.2">
      <c r="A4516" t="s">
        <v>89</v>
      </c>
      <c r="B4516" t="s">
        <v>192</v>
      </c>
      <c r="C4516" t="s">
        <v>197</v>
      </c>
      <c r="D4516" t="s">
        <v>74</v>
      </c>
      <c r="E4516" t="s">
        <v>84</v>
      </c>
      <c r="F4516" s="55">
        <v>91</v>
      </c>
      <c r="G4516" s="63">
        <v>2.1299999999999999E-2</v>
      </c>
    </row>
    <row r="4517" spans="1:7" x14ac:dyDescent="0.2">
      <c r="A4517" t="s">
        <v>89</v>
      </c>
      <c r="B4517" t="s">
        <v>192</v>
      </c>
      <c r="C4517" t="s">
        <v>197</v>
      </c>
      <c r="D4517" t="s">
        <v>74</v>
      </c>
      <c r="E4517" t="s">
        <v>85</v>
      </c>
      <c r="F4517" s="55">
        <v>117</v>
      </c>
      <c r="G4517" s="63">
        <v>2.6599999999999999E-2</v>
      </c>
    </row>
    <row r="4518" spans="1:7" x14ac:dyDescent="0.2">
      <c r="A4518" t="s">
        <v>89</v>
      </c>
      <c r="B4518" t="s">
        <v>192</v>
      </c>
      <c r="C4518" t="s">
        <v>197</v>
      </c>
      <c r="D4518" t="s">
        <v>74</v>
      </c>
      <c r="E4518" t="s">
        <v>86</v>
      </c>
      <c r="F4518" s="55">
        <v>95</v>
      </c>
      <c r="G4518" s="63">
        <v>2.53E-2</v>
      </c>
    </row>
    <row r="4519" spans="1:7" x14ac:dyDescent="0.2">
      <c r="A4519" t="s">
        <v>89</v>
      </c>
      <c r="B4519" t="s">
        <v>192</v>
      </c>
      <c r="C4519" t="s">
        <v>197</v>
      </c>
      <c r="D4519" t="s">
        <v>74</v>
      </c>
      <c r="E4519" t="s">
        <v>87</v>
      </c>
      <c r="F4519" s="55">
        <v>93</v>
      </c>
      <c r="G4519" s="63">
        <v>2.5899999999999999E-2</v>
      </c>
    </row>
    <row r="4520" spans="1:7" x14ac:dyDescent="0.2">
      <c r="A4520" t="s">
        <v>89</v>
      </c>
      <c r="B4520" t="s">
        <v>192</v>
      </c>
      <c r="C4520" t="s">
        <v>197</v>
      </c>
      <c r="D4520" t="s">
        <v>74</v>
      </c>
      <c r="E4520" t="s">
        <v>88</v>
      </c>
      <c r="F4520" s="55">
        <v>86</v>
      </c>
      <c r="G4520" s="63">
        <v>1.3299999999999999E-2</v>
      </c>
    </row>
    <row r="4521" spans="1:7" x14ac:dyDescent="0.2">
      <c r="A4521" t="s">
        <v>71</v>
      </c>
      <c r="B4521" t="s">
        <v>20</v>
      </c>
      <c r="C4521" t="s">
        <v>197</v>
      </c>
      <c r="D4521" t="s">
        <v>74</v>
      </c>
      <c r="E4521" t="s">
        <v>75</v>
      </c>
      <c r="F4521" s="55">
        <v>111</v>
      </c>
      <c r="G4521" s="63">
        <v>0.46489999999999998</v>
      </c>
    </row>
    <row r="4522" spans="1:7" x14ac:dyDescent="0.2">
      <c r="A4522" t="s">
        <v>71</v>
      </c>
      <c r="B4522" t="s">
        <v>20</v>
      </c>
      <c r="C4522" t="s">
        <v>197</v>
      </c>
      <c r="D4522" t="s">
        <v>74</v>
      </c>
      <c r="E4522" t="s">
        <v>76</v>
      </c>
      <c r="F4522" s="55">
        <v>114</v>
      </c>
      <c r="G4522" s="63">
        <v>0.1023</v>
      </c>
    </row>
    <row r="4523" spans="1:7" x14ac:dyDescent="0.2">
      <c r="A4523" t="s">
        <v>71</v>
      </c>
      <c r="B4523" t="s">
        <v>20</v>
      </c>
      <c r="C4523" t="s">
        <v>197</v>
      </c>
      <c r="D4523" t="s">
        <v>74</v>
      </c>
      <c r="E4523" t="s">
        <v>77</v>
      </c>
      <c r="F4523" s="55">
        <v>119</v>
      </c>
      <c r="G4523" s="63">
        <v>0.24729999999999999</v>
      </c>
    </row>
    <row r="4524" spans="1:7" x14ac:dyDescent="0.2">
      <c r="A4524" t="s">
        <v>71</v>
      </c>
      <c r="B4524" t="s">
        <v>20</v>
      </c>
      <c r="C4524" t="s">
        <v>197</v>
      </c>
      <c r="D4524" t="s">
        <v>74</v>
      </c>
      <c r="E4524" t="s">
        <v>78</v>
      </c>
      <c r="F4524" s="55">
        <v>113</v>
      </c>
      <c r="G4524" s="63">
        <v>0.22539999999999999</v>
      </c>
    </row>
    <row r="4525" spans="1:7" x14ac:dyDescent="0.2">
      <c r="A4525" t="s">
        <v>71</v>
      </c>
      <c r="B4525" t="s">
        <v>20</v>
      </c>
      <c r="C4525" t="s">
        <v>197</v>
      </c>
      <c r="D4525" t="s">
        <v>74</v>
      </c>
      <c r="E4525" t="s">
        <v>79</v>
      </c>
      <c r="F4525" s="55">
        <v>104</v>
      </c>
      <c r="G4525" s="63">
        <v>0.35749999999999998</v>
      </c>
    </row>
    <row r="4526" spans="1:7" x14ac:dyDescent="0.2">
      <c r="A4526" t="s">
        <v>71</v>
      </c>
      <c r="B4526" t="s">
        <v>20</v>
      </c>
      <c r="C4526" t="s">
        <v>197</v>
      </c>
      <c r="D4526" t="s">
        <v>74</v>
      </c>
      <c r="E4526" t="s">
        <v>80</v>
      </c>
      <c r="F4526" s="55">
        <v>104</v>
      </c>
      <c r="G4526" s="63">
        <v>0.17069999999999999</v>
      </c>
    </row>
    <row r="4527" spans="1:7" x14ac:dyDescent="0.2">
      <c r="A4527" t="s">
        <v>71</v>
      </c>
      <c r="B4527" t="s">
        <v>20</v>
      </c>
      <c r="C4527" t="s">
        <v>197</v>
      </c>
      <c r="D4527" t="s">
        <v>74</v>
      </c>
      <c r="E4527" t="s">
        <v>81</v>
      </c>
      <c r="F4527" s="55">
        <v>104</v>
      </c>
      <c r="G4527" s="63">
        <v>0.161</v>
      </c>
    </row>
    <row r="4528" spans="1:7" x14ac:dyDescent="0.2">
      <c r="A4528" t="s">
        <v>71</v>
      </c>
      <c r="B4528" t="s">
        <v>20</v>
      </c>
      <c r="C4528" t="s">
        <v>197</v>
      </c>
      <c r="D4528" t="s">
        <v>74</v>
      </c>
      <c r="E4528" t="s">
        <v>82</v>
      </c>
      <c r="F4528" s="55">
        <v>115</v>
      </c>
      <c r="G4528" s="63">
        <v>0.31319999999999998</v>
      </c>
    </row>
    <row r="4529" spans="1:7" x14ac:dyDescent="0.2">
      <c r="A4529" t="s">
        <v>71</v>
      </c>
      <c r="B4529" t="s">
        <v>20</v>
      </c>
      <c r="C4529" t="s">
        <v>197</v>
      </c>
      <c r="D4529" t="s">
        <v>74</v>
      </c>
      <c r="E4529" t="s">
        <v>83</v>
      </c>
      <c r="F4529" s="55">
        <v>108</v>
      </c>
      <c r="G4529" s="63">
        <v>8.1100000000000005E-2</v>
      </c>
    </row>
    <row r="4530" spans="1:7" x14ac:dyDescent="0.2">
      <c r="A4530" t="s">
        <v>71</v>
      </c>
      <c r="B4530" t="s">
        <v>20</v>
      </c>
      <c r="C4530" t="s">
        <v>197</v>
      </c>
      <c r="D4530" t="s">
        <v>74</v>
      </c>
      <c r="E4530" t="s">
        <v>84</v>
      </c>
      <c r="F4530" s="55">
        <v>114</v>
      </c>
      <c r="G4530" s="63">
        <v>0.19850000000000001</v>
      </c>
    </row>
    <row r="4531" spans="1:7" x14ac:dyDescent="0.2">
      <c r="A4531" t="s">
        <v>71</v>
      </c>
      <c r="B4531" t="s">
        <v>20</v>
      </c>
      <c r="C4531" t="s">
        <v>197</v>
      </c>
      <c r="D4531" t="s">
        <v>74</v>
      </c>
      <c r="E4531" t="s">
        <v>85</v>
      </c>
      <c r="F4531" s="55">
        <v>101</v>
      </c>
      <c r="G4531" s="63">
        <v>0.2026</v>
      </c>
    </row>
    <row r="4532" spans="1:7" x14ac:dyDescent="0.2">
      <c r="A4532" t="s">
        <v>71</v>
      </c>
      <c r="B4532" t="s">
        <v>20</v>
      </c>
      <c r="C4532" t="s">
        <v>197</v>
      </c>
      <c r="D4532" t="s">
        <v>74</v>
      </c>
      <c r="E4532" t="s">
        <v>86</v>
      </c>
      <c r="F4532" s="55">
        <v>101</v>
      </c>
      <c r="G4532" s="63">
        <v>0.22600000000000001</v>
      </c>
    </row>
    <row r="4533" spans="1:7" x14ac:dyDescent="0.2">
      <c r="A4533" t="s">
        <v>71</v>
      </c>
      <c r="B4533" t="s">
        <v>20</v>
      </c>
      <c r="C4533" t="s">
        <v>197</v>
      </c>
      <c r="D4533" t="s">
        <v>74</v>
      </c>
      <c r="E4533" t="s">
        <v>87</v>
      </c>
      <c r="F4533" s="55">
        <v>101</v>
      </c>
      <c r="G4533" s="63">
        <v>0.2392</v>
      </c>
    </row>
    <row r="4534" spans="1:7" x14ac:dyDescent="0.2">
      <c r="A4534" t="s">
        <v>71</v>
      </c>
      <c r="B4534" t="s">
        <v>20</v>
      </c>
      <c r="C4534" t="s">
        <v>197</v>
      </c>
      <c r="D4534" t="s">
        <v>74</v>
      </c>
      <c r="E4534" t="s">
        <v>88</v>
      </c>
      <c r="F4534" s="55">
        <v>111</v>
      </c>
      <c r="G4534" s="63">
        <v>0.1414</v>
      </c>
    </row>
    <row r="4535" spans="1:7" x14ac:dyDescent="0.2">
      <c r="A4535" t="s">
        <v>71</v>
      </c>
      <c r="B4535" t="s">
        <v>193</v>
      </c>
      <c r="C4535" t="s">
        <v>197</v>
      </c>
      <c r="D4535" t="s">
        <v>74</v>
      </c>
      <c r="E4535" t="s">
        <v>75</v>
      </c>
      <c r="F4535" s="55">
        <v>69</v>
      </c>
      <c r="G4535" s="63">
        <v>0.2104</v>
      </c>
    </row>
    <row r="4536" spans="1:7" x14ac:dyDescent="0.2">
      <c r="A4536" t="s">
        <v>71</v>
      </c>
      <c r="B4536" t="s">
        <v>193</v>
      </c>
      <c r="C4536" t="s">
        <v>197</v>
      </c>
      <c r="D4536" t="s">
        <v>74</v>
      </c>
      <c r="E4536" t="s">
        <v>76</v>
      </c>
      <c r="F4536" s="55">
        <v>46</v>
      </c>
      <c r="G4536" s="63">
        <v>1.12E-2</v>
      </c>
    </row>
    <row r="4537" spans="1:7" x14ac:dyDescent="0.2">
      <c r="A4537" t="s">
        <v>71</v>
      </c>
      <c r="B4537" t="s">
        <v>193</v>
      </c>
      <c r="C4537" t="s">
        <v>197</v>
      </c>
      <c r="D4537" t="s">
        <v>74</v>
      </c>
      <c r="E4537" t="s">
        <v>77</v>
      </c>
      <c r="F4537" s="55">
        <v>59</v>
      </c>
      <c r="G4537" s="63">
        <v>4.4400000000000002E-2</v>
      </c>
    </row>
    <row r="4538" spans="1:7" x14ac:dyDescent="0.2">
      <c r="A4538" t="s">
        <v>71</v>
      </c>
      <c r="B4538" t="s">
        <v>193</v>
      </c>
      <c r="C4538" t="s">
        <v>197</v>
      </c>
      <c r="D4538" t="s">
        <v>74</v>
      </c>
      <c r="E4538" t="s">
        <v>78</v>
      </c>
      <c r="F4538" s="55">
        <v>68</v>
      </c>
      <c r="G4538" s="63">
        <v>3.1E-2</v>
      </c>
    </row>
    <row r="4539" spans="1:7" x14ac:dyDescent="0.2">
      <c r="A4539" t="s">
        <v>71</v>
      </c>
      <c r="B4539" t="s">
        <v>193</v>
      </c>
      <c r="C4539" t="s">
        <v>197</v>
      </c>
      <c r="D4539" t="s">
        <v>74</v>
      </c>
      <c r="E4539" t="s">
        <v>79</v>
      </c>
      <c r="F4539" s="55">
        <v>75</v>
      </c>
      <c r="G4539" s="63">
        <v>0.15659999999999999</v>
      </c>
    </row>
    <row r="4540" spans="1:7" x14ac:dyDescent="0.2">
      <c r="A4540" t="s">
        <v>71</v>
      </c>
      <c r="B4540" t="s">
        <v>193</v>
      </c>
      <c r="C4540" t="s">
        <v>197</v>
      </c>
      <c r="D4540" t="s">
        <v>74</v>
      </c>
      <c r="E4540" t="s">
        <v>80</v>
      </c>
      <c r="F4540" s="55">
        <v>75</v>
      </c>
      <c r="G4540" s="63">
        <v>5.3499999999999999E-2</v>
      </c>
    </row>
    <row r="4541" spans="1:7" x14ac:dyDescent="0.2">
      <c r="A4541" t="s">
        <v>71</v>
      </c>
      <c r="B4541" t="s">
        <v>193</v>
      </c>
      <c r="C4541" t="s">
        <v>197</v>
      </c>
      <c r="D4541" t="s">
        <v>74</v>
      </c>
      <c r="E4541" t="s">
        <v>81</v>
      </c>
      <c r="F4541" s="55">
        <v>61</v>
      </c>
      <c r="G4541" s="63">
        <v>4.2099999999999999E-2</v>
      </c>
    </row>
    <row r="4542" spans="1:7" x14ac:dyDescent="0.2">
      <c r="A4542" t="s">
        <v>71</v>
      </c>
      <c r="B4542" t="s">
        <v>193</v>
      </c>
      <c r="C4542" t="s">
        <v>197</v>
      </c>
      <c r="D4542" t="s">
        <v>74</v>
      </c>
      <c r="E4542" t="s">
        <v>82</v>
      </c>
      <c r="F4542" s="55">
        <v>66</v>
      </c>
      <c r="G4542" s="63">
        <v>7.5999999999999998E-2</v>
      </c>
    </row>
    <row r="4543" spans="1:7" x14ac:dyDescent="0.2">
      <c r="A4543" t="s">
        <v>71</v>
      </c>
      <c r="B4543" t="s">
        <v>193</v>
      </c>
      <c r="C4543" t="s">
        <v>197</v>
      </c>
      <c r="D4543" t="s">
        <v>74</v>
      </c>
      <c r="E4543" t="s">
        <v>83</v>
      </c>
      <c r="F4543" s="55">
        <v>54</v>
      </c>
      <c r="G4543" s="63">
        <v>1.03E-2</v>
      </c>
    </row>
    <row r="4544" spans="1:7" x14ac:dyDescent="0.2">
      <c r="A4544" t="s">
        <v>71</v>
      </c>
      <c r="B4544" t="s">
        <v>193</v>
      </c>
      <c r="C4544" t="s">
        <v>197</v>
      </c>
      <c r="D4544" t="s">
        <v>74</v>
      </c>
      <c r="E4544" t="s">
        <v>84</v>
      </c>
      <c r="F4544" s="55">
        <v>71</v>
      </c>
      <c r="G4544" s="63">
        <v>2.0899999999999998E-2</v>
      </c>
    </row>
    <row r="4545" spans="1:7" x14ac:dyDescent="0.2">
      <c r="A4545" t="s">
        <v>71</v>
      </c>
      <c r="B4545" t="s">
        <v>193</v>
      </c>
      <c r="C4545" t="s">
        <v>197</v>
      </c>
      <c r="D4545" t="s">
        <v>74</v>
      </c>
      <c r="E4545" t="s">
        <v>85</v>
      </c>
      <c r="F4545" s="55">
        <v>78</v>
      </c>
      <c r="G4545" s="63">
        <v>6.3200000000000006E-2</v>
      </c>
    </row>
    <row r="4546" spans="1:7" x14ac:dyDescent="0.2">
      <c r="A4546" t="s">
        <v>71</v>
      </c>
      <c r="B4546" t="s">
        <v>193</v>
      </c>
      <c r="C4546" t="s">
        <v>197</v>
      </c>
      <c r="D4546" t="s">
        <v>74</v>
      </c>
      <c r="E4546" t="s">
        <v>86</v>
      </c>
      <c r="F4546" s="55">
        <v>80</v>
      </c>
      <c r="G4546" s="63">
        <v>7.7100000000000002E-2</v>
      </c>
    </row>
    <row r="4547" spans="1:7" x14ac:dyDescent="0.2">
      <c r="A4547" t="s">
        <v>71</v>
      </c>
      <c r="B4547" t="s">
        <v>193</v>
      </c>
      <c r="C4547" t="s">
        <v>197</v>
      </c>
      <c r="D4547" t="s">
        <v>74</v>
      </c>
      <c r="E4547" t="s">
        <v>87</v>
      </c>
      <c r="F4547" s="55">
        <v>75</v>
      </c>
      <c r="G4547" s="63">
        <v>7.7799999999999994E-2</v>
      </c>
    </row>
    <row r="4548" spans="1:7" x14ac:dyDescent="0.2">
      <c r="A4548" t="s">
        <v>71</v>
      </c>
      <c r="B4548" t="s">
        <v>193</v>
      </c>
      <c r="C4548" t="s">
        <v>197</v>
      </c>
      <c r="D4548" t="s">
        <v>74</v>
      </c>
      <c r="E4548" t="s">
        <v>88</v>
      </c>
      <c r="F4548" s="55">
        <v>54</v>
      </c>
      <c r="G4548" s="63">
        <v>2.0199999999999999E-2</v>
      </c>
    </row>
    <row r="4549" spans="1:7" x14ac:dyDescent="0.2">
      <c r="A4549" t="s">
        <v>89</v>
      </c>
      <c r="B4549" t="s">
        <v>194</v>
      </c>
      <c r="C4549" t="s">
        <v>197</v>
      </c>
      <c r="D4549" t="s">
        <v>74</v>
      </c>
      <c r="E4549" t="s">
        <v>75</v>
      </c>
      <c r="F4549" s="55">
        <v>86</v>
      </c>
      <c r="G4549" s="63">
        <v>6.5199999999999994E-2</v>
      </c>
    </row>
    <row r="4550" spans="1:7" x14ac:dyDescent="0.2">
      <c r="A4550" t="s">
        <v>89</v>
      </c>
      <c r="B4550" t="s">
        <v>194</v>
      </c>
      <c r="C4550" t="s">
        <v>197</v>
      </c>
      <c r="D4550" t="s">
        <v>74</v>
      </c>
      <c r="E4550" t="s">
        <v>77</v>
      </c>
      <c r="F4550" s="55">
        <v>81</v>
      </c>
      <c r="G4550" s="63">
        <v>1.8100000000000002E-2</v>
      </c>
    </row>
    <row r="4551" spans="1:7" x14ac:dyDescent="0.2">
      <c r="A4551" t="s">
        <v>89</v>
      </c>
      <c r="B4551" t="s">
        <v>194</v>
      </c>
      <c r="C4551" t="s">
        <v>197</v>
      </c>
      <c r="D4551" t="s">
        <v>74</v>
      </c>
      <c r="E4551" t="s">
        <v>78</v>
      </c>
      <c r="F4551" s="55">
        <v>68</v>
      </c>
      <c r="G4551" s="63">
        <v>1.2999999999999999E-2</v>
      </c>
    </row>
    <row r="4552" spans="1:7" x14ac:dyDescent="0.2">
      <c r="A4552" t="s">
        <v>89</v>
      </c>
      <c r="B4552" t="s">
        <v>194</v>
      </c>
      <c r="C4552" t="s">
        <v>197</v>
      </c>
      <c r="D4552" t="s">
        <v>74</v>
      </c>
      <c r="E4552" t="s">
        <v>79</v>
      </c>
      <c r="F4552" s="55">
        <v>86</v>
      </c>
      <c r="G4552" s="63">
        <v>3.95E-2</v>
      </c>
    </row>
    <row r="4553" spans="1:7" x14ac:dyDescent="0.2">
      <c r="A4553" t="s">
        <v>89</v>
      </c>
      <c r="B4553" t="s">
        <v>194</v>
      </c>
      <c r="C4553" t="s">
        <v>197</v>
      </c>
      <c r="D4553" t="s">
        <v>74</v>
      </c>
      <c r="E4553" t="s">
        <v>80</v>
      </c>
      <c r="F4553" s="55">
        <v>97</v>
      </c>
      <c r="G4553" s="63">
        <v>1.24E-2</v>
      </c>
    </row>
    <row r="4554" spans="1:7" x14ac:dyDescent="0.2">
      <c r="A4554" t="s">
        <v>89</v>
      </c>
      <c r="B4554" t="s">
        <v>194</v>
      </c>
      <c r="C4554" t="s">
        <v>197</v>
      </c>
      <c r="D4554" t="s">
        <v>74</v>
      </c>
      <c r="E4554" t="s">
        <v>81</v>
      </c>
      <c r="F4554" s="55">
        <v>91</v>
      </c>
      <c r="G4554" s="63">
        <v>1.35E-2</v>
      </c>
    </row>
    <row r="4555" spans="1:7" x14ac:dyDescent="0.2">
      <c r="A4555" t="s">
        <v>89</v>
      </c>
      <c r="B4555" t="s">
        <v>194</v>
      </c>
      <c r="C4555" t="s">
        <v>197</v>
      </c>
      <c r="D4555" t="s">
        <v>74</v>
      </c>
      <c r="E4555" t="s">
        <v>82</v>
      </c>
      <c r="F4555" s="55">
        <v>93</v>
      </c>
      <c r="G4555" s="63">
        <v>2.3099999999999999E-2</v>
      </c>
    </row>
    <row r="4556" spans="1:7" x14ac:dyDescent="0.2">
      <c r="A4556" t="s">
        <v>89</v>
      </c>
      <c r="B4556" t="s">
        <v>194</v>
      </c>
      <c r="C4556" t="s">
        <v>197</v>
      </c>
      <c r="D4556" t="s">
        <v>74</v>
      </c>
      <c r="E4556" t="s">
        <v>83</v>
      </c>
      <c r="F4556" s="55">
        <v>101</v>
      </c>
      <c r="G4556" s="63">
        <v>4.4999999999999997E-3</v>
      </c>
    </row>
    <row r="4557" spans="1:7" x14ac:dyDescent="0.2">
      <c r="A4557" t="s">
        <v>89</v>
      </c>
      <c r="B4557" t="s">
        <v>194</v>
      </c>
      <c r="C4557" t="s">
        <v>197</v>
      </c>
      <c r="D4557" t="s">
        <v>74</v>
      </c>
      <c r="E4557" t="s">
        <v>84</v>
      </c>
      <c r="F4557" s="55">
        <v>72</v>
      </c>
      <c r="G4557" s="63">
        <v>1.0200000000000001E-2</v>
      </c>
    </row>
    <row r="4558" spans="1:7" x14ac:dyDescent="0.2">
      <c r="A4558" t="s">
        <v>89</v>
      </c>
      <c r="B4558" t="s">
        <v>194</v>
      </c>
      <c r="C4558" t="s">
        <v>197</v>
      </c>
      <c r="D4558" t="s">
        <v>74</v>
      </c>
      <c r="E4558" t="s">
        <v>85</v>
      </c>
      <c r="F4558" s="55">
        <v>92</v>
      </c>
      <c r="G4558" s="63">
        <v>1.4200000000000001E-2</v>
      </c>
    </row>
    <row r="4559" spans="1:7" x14ac:dyDescent="0.2">
      <c r="A4559" t="s">
        <v>89</v>
      </c>
      <c r="B4559" t="s">
        <v>194</v>
      </c>
      <c r="C4559" t="s">
        <v>197</v>
      </c>
      <c r="D4559" t="s">
        <v>74</v>
      </c>
      <c r="E4559" t="s">
        <v>86</v>
      </c>
      <c r="F4559" s="55">
        <v>86</v>
      </c>
      <c r="G4559" s="63">
        <v>1.55E-2</v>
      </c>
    </row>
    <row r="4560" spans="1:7" x14ac:dyDescent="0.2">
      <c r="A4560" t="s">
        <v>89</v>
      </c>
      <c r="B4560" t="s">
        <v>194</v>
      </c>
      <c r="C4560" t="s">
        <v>197</v>
      </c>
      <c r="D4560" t="s">
        <v>74</v>
      </c>
      <c r="E4560" t="s">
        <v>87</v>
      </c>
      <c r="F4560" s="55">
        <v>91</v>
      </c>
      <c r="G4560" s="63">
        <v>1.5699999999999999E-2</v>
      </c>
    </row>
    <row r="4561" spans="1:7" x14ac:dyDescent="0.2">
      <c r="A4561" t="s">
        <v>89</v>
      </c>
      <c r="B4561" t="s">
        <v>194</v>
      </c>
      <c r="C4561" t="s">
        <v>197</v>
      </c>
      <c r="D4561" t="s">
        <v>74</v>
      </c>
      <c r="E4561" t="s">
        <v>88</v>
      </c>
      <c r="F4561" s="55">
        <v>102</v>
      </c>
      <c r="G4561" s="63">
        <v>7.1999999999999998E-3</v>
      </c>
    </row>
    <row r="4562" spans="1:7" x14ac:dyDescent="0.2">
      <c r="A4562" t="s">
        <v>89</v>
      </c>
      <c r="B4562" t="s">
        <v>203</v>
      </c>
      <c r="C4562" t="s">
        <v>197</v>
      </c>
      <c r="D4562" t="s">
        <v>74</v>
      </c>
      <c r="E4562" t="s">
        <v>75</v>
      </c>
      <c r="F4562" s="55">
        <v>51</v>
      </c>
      <c r="G4562" s="63">
        <v>4.1000000000000003E-3</v>
      </c>
    </row>
    <row r="4563" spans="1:7" x14ac:dyDescent="0.2">
      <c r="A4563" t="s">
        <v>71</v>
      </c>
      <c r="B4563" t="s">
        <v>195</v>
      </c>
      <c r="C4563" t="s">
        <v>197</v>
      </c>
      <c r="D4563" t="s">
        <v>74</v>
      </c>
      <c r="E4563" t="s">
        <v>75</v>
      </c>
      <c r="F4563" s="55">
        <v>123</v>
      </c>
      <c r="G4563" s="63">
        <v>0.1106</v>
      </c>
    </row>
    <row r="4564" spans="1:7" x14ac:dyDescent="0.2">
      <c r="A4564" t="s">
        <v>71</v>
      </c>
      <c r="B4564" t="s">
        <v>195</v>
      </c>
      <c r="C4564" t="s">
        <v>197</v>
      </c>
      <c r="D4564" t="s">
        <v>74</v>
      </c>
      <c r="E4564" t="s">
        <v>76</v>
      </c>
      <c r="F4564" s="55">
        <v>83</v>
      </c>
      <c r="G4564" s="63">
        <v>8.2000000000000007E-3</v>
      </c>
    </row>
    <row r="4565" spans="1:7" x14ac:dyDescent="0.2">
      <c r="A4565" t="s">
        <v>71</v>
      </c>
      <c r="B4565" t="s">
        <v>195</v>
      </c>
      <c r="C4565" t="s">
        <v>197</v>
      </c>
      <c r="D4565" t="s">
        <v>74</v>
      </c>
      <c r="E4565" t="s">
        <v>77</v>
      </c>
      <c r="F4565" s="55">
        <v>130</v>
      </c>
      <c r="G4565" s="63">
        <v>4.6699999999999998E-2</v>
      </c>
    </row>
    <row r="4566" spans="1:7" x14ac:dyDescent="0.2">
      <c r="A4566" t="s">
        <v>71</v>
      </c>
      <c r="B4566" t="s">
        <v>195</v>
      </c>
      <c r="C4566" t="s">
        <v>197</v>
      </c>
      <c r="D4566" t="s">
        <v>74</v>
      </c>
      <c r="E4566" t="s">
        <v>78</v>
      </c>
      <c r="F4566" s="55">
        <v>141</v>
      </c>
      <c r="G4566" s="63">
        <v>4.0899999999999999E-2</v>
      </c>
    </row>
    <row r="4567" spans="1:7" x14ac:dyDescent="0.2">
      <c r="A4567" t="s">
        <v>71</v>
      </c>
      <c r="B4567" t="s">
        <v>195</v>
      </c>
      <c r="C4567" t="s">
        <v>197</v>
      </c>
      <c r="D4567" t="s">
        <v>74</v>
      </c>
      <c r="E4567" t="s">
        <v>79</v>
      </c>
      <c r="F4567" s="55">
        <v>118</v>
      </c>
      <c r="G4567" s="63">
        <v>7.6700000000000004E-2</v>
      </c>
    </row>
    <row r="4568" spans="1:7" x14ac:dyDescent="0.2">
      <c r="A4568" t="s">
        <v>71</v>
      </c>
      <c r="B4568" t="s">
        <v>195</v>
      </c>
      <c r="C4568" t="s">
        <v>197</v>
      </c>
      <c r="D4568" t="s">
        <v>74</v>
      </c>
      <c r="E4568" t="s">
        <v>80</v>
      </c>
      <c r="F4568" s="55">
        <v>112</v>
      </c>
      <c r="G4568" s="63">
        <v>3.6999999999999998E-2</v>
      </c>
    </row>
    <row r="4569" spans="1:7" x14ac:dyDescent="0.2">
      <c r="A4569" t="s">
        <v>71</v>
      </c>
      <c r="B4569" t="s">
        <v>195</v>
      </c>
      <c r="C4569" t="s">
        <v>197</v>
      </c>
      <c r="D4569" t="s">
        <v>74</v>
      </c>
      <c r="E4569" t="s">
        <v>81</v>
      </c>
      <c r="F4569" s="55">
        <v>100</v>
      </c>
      <c r="G4569" s="63">
        <v>3.5200000000000002E-2</v>
      </c>
    </row>
    <row r="4570" spans="1:7" x14ac:dyDescent="0.2">
      <c r="A4570" t="s">
        <v>71</v>
      </c>
      <c r="B4570" t="s">
        <v>195</v>
      </c>
      <c r="C4570" t="s">
        <v>197</v>
      </c>
      <c r="D4570" t="s">
        <v>74</v>
      </c>
      <c r="E4570" t="s">
        <v>82</v>
      </c>
      <c r="F4570" s="55">
        <v>128</v>
      </c>
      <c r="G4570" s="63">
        <v>5.1900000000000002E-2</v>
      </c>
    </row>
    <row r="4571" spans="1:7" x14ac:dyDescent="0.2">
      <c r="A4571" t="s">
        <v>71</v>
      </c>
      <c r="B4571" t="s">
        <v>195</v>
      </c>
      <c r="C4571" t="s">
        <v>197</v>
      </c>
      <c r="D4571" t="s">
        <v>74</v>
      </c>
      <c r="E4571" t="s">
        <v>83</v>
      </c>
      <c r="F4571" s="55">
        <v>80</v>
      </c>
      <c r="G4571" s="63">
        <v>1.0699999999999999E-2</v>
      </c>
    </row>
    <row r="4572" spans="1:7" x14ac:dyDescent="0.2">
      <c r="A4572" t="s">
        <v>71</v>
      </c>
      <c r="B4572" t="s">
        <v>195</v>
      </c>
      <c r="C4572" t="s">
        <v>197</v>
      </c>
      <c r="D4572" t="s">
        <v>74</v>
      </c>
      <c r="E4572" t="s">
        <v>84</v>
      </c>
      <c r="F4572" s="55">
        <v>142</v>
      </c>
      <c r="G4572" s="63">
        <v>3.5499999999999997E-2</v>
      </c>
    </row>
    <row r="4573" spans="1:7" x14ac:dyDescent="0.2">
      <c r="A4573" t="s">
        <v>71</v>
      </c>
      <c r="B4573" t="s">
        <v>195</v>
      </c>
      <c r="C4573" t="s">
        <v>197</v>
      </c>
      <c r="D4573" t="s">
        <v>74</v>
      </c>
      <c r="E4573" t="s">
        <v>85</v>
      </c>
      <c r="F4573" s="55">
        <v>113</v>
      </c>
      <c r="G4573" s="63">
        <v>4.0899999999999999E-2</v>
      </c>
    </row>
    <row r="4574" spans="1:7" x14ac:dyDescent="0.2">
      <c r="A4574" t="s">
        <v>71</v>
      </c>
      <c r="B4574" t="s">
        <v>195</v>
      </c>
      <c r="C4574" t="s">
        <v>197</v>
      </c>
      <c r="D4574" t="s">
        <v>74</v>
      </c>
      <c r="E4574" t="s">
        <v>86</v>
      </c>
      <c r="F4574" s="55">
        <v>118</v>
      </c>
      <c r="G4574" s="63">
        <v>4.53E-2</v>
      </c>
    </row>
    <row r="4575" spans="1:7" x14ac:dyDescent="0.2">
      <c r="A4575" t="s">
        <v>71</v>
      </c>
      <c r="B4575" t="s">
        <v>195</v>
      </c>
      <c r="C4575" t="s">
        <v>197</v>
      </c>
      <c r="D4575" t="s">
        <v>74</v>
      </c>
      <c r="E4575" t="s">
        <v>87</v>
      </c>
      <c r="F4575" s="55">
        <v>114</v>
      </c>
      <c r="G4575" s="63">
        <v>4.6100000000000002E-2</v>
      </c>
    </row>
    <row r="4576" spans="1:7" x14ac:dyDescent="0.2">
      <c r="A4576" t="s">
        <v>71</v>
      </c>
      <c r="B4576" t="s">
        <v>195</v>
      </c>
      <c r="C4576" t="s">
        <v>197</v>
      </c>
      <c r="D4576" t="s">
        <v>74</v>
      </c>
      <c r="E4576" t="s">
        <v>88</v>
      </c>
      <c r="F4576" s="55">
        <v>74</v>
      </c>
      <c r="G4576" s="63">
        <v>1.3299999999999999E-2</v>
      </c>
    </row>
    <row r="4577" spans="1:7" x14ac:dyDescent="0.2">
      <c r="A4577" t="s">
        <v>71</v>
      </c>
      <c r="B4577" t="s">
        <v>72</v>
      </c>
      <c r="C4577" t="s">
        <v>204</v>
      </c>
      <c r="D4577" t="s">
        <v>74</v>
      </c>
      <c r="E4577" t="s">
        <v>75</v>
      </c>
      <c r="F4577" s="55">
        <v>96</v>
      </c>
      <c r="G4577" s="63">
        <v>0.2883</v>
      </c>
    </row>
    <row r="4578" spans="1:7" x14ac:dyDescent="0.2">
      <c r="A4578" t="s">
        <v>71</v>
      </c>
      <c r="B4578" t="s">
        <v>72</v>
      </c>
      <c r="C4578" t="s">
        <v>204</v>
      </c>
      <c r="D4578" t="s">
        <v>74</v>
      </c>
      <c r="E4578" t="s">
        <v>76</v>
      </c>
      <c r="F4578" s="55">
        <v>103</v>
      </c>
      <c r="G4578" s="63">
        <v>4.4400000000000002E-2</v>
      </c>
    </row>
    <row r="4579" spans="1:7" x14ac:dyDescent="0.2">
      <c r="A4579" t="s">
        <v>71</v>
      </c>
      <c r="B4579" t="s">
        <v>72</v>
      </c>
      <c r="C4579" t="s">
        <v>204</v>
      </c>
      <c r="D4579" t="s">
        <v>74</v>
      </c>
      <c r="E4579" t="s">
        <v>77</v>
      </c>
      <c r="F4579" s="55">
        <v>98</v>
      </c>
      <c r="G4579" s="63">
        <v>0.1234</v>
      </c>
    </row>
    <row r="4580" spans="1:7" x14ac:dyDescent="0.2">
      <c r="A4580" t="s">
        <v>71</v>
      </c>
      <c r="B4580" t="s">
        <v>72</v>
      </c>
      <c r="C4580" t="s">
        <v>204</v>
      </c>
      <c r="D4580" t="s">
        <v>74</v>
      </c>
      <c r="E4580" t="s">
        <v>78</v>
      </c>
      <c r="F4580" s="55">
        <v>94</v>
      </c>
      <c r="G4580" s="63">
        <v>0.1106</v>
      </c>
    </row>
    <row r="4581" spans="1:7" x14ac:dyDescent="0.2">
      <c r="A4581" t="s">
        <v>71</v>
      </c>
      <c r="B4581" t="s">
        <v>72</v>
      </c>
      <c r="C4581" t="s">
        <v>204</v>
      </c>
      <c r="D4581" t="s">
        <v>74</v>
      </c>
      <c r="E4581" t="s">
        <v>79</v>
      </c>
      <c r="F4581" s="55">
        <v>95</v>
      </c>
      <c r="G4581" s="63">
        <v>0.19420000000000001</v>
      </c>
    </row>
    <row r="4582" spans="1:7" x14ac:dyDescent="0.2">
      <c r="A4582" t="s">
        <v>71</v>
      </c>
      <c r="B4582" t="s">
        <v>72</v>
      </c>
      <c r="C4582" t="s">
        <v>204</v>
      </c>
      <c r="D4582" t="s">
        <v>74</v>
      </c>
      <c r="E4582" t="s">
        <v>80</v>
      </c>
      <c r="F4582" s="55">
        <v>94</v>
      </c>
      <c r="G4582" s="63">
        <v>6.25E-2</v>
      </c>
    </row>
    <row r="4583" spans="1:7" x14ac:dyDescent="0.2">
      <c r="A4583" t="s">
        <v>71</v>
      </c>
      <c r="B4583" t="s">
        <v>72</v>
      </c>
      <c r="C4583" t="s">
        <v>204</v>
      </c>
      <c r="D4583" t="s">
        <v>74</v>
      </c>
      <c r="E4583" t="s">
        <v>81</v>
      </c>
      <c r="F4583" s="55">
        <v>96</v>
      </c>
      <c r="G4583" s="63">
        <v>5.91E-2</v>
      </c>
    </row>
    <row r="4584" spans="1:7" x14ac:dyDescent="0.2">
      <c r="A4584" t="s">
        <v>71</v>
      </c>
      <c r="B4584" t="s">
        <v>72</v>
      </c>
      <c r="C4584" t="s">
        <v>204</v>
      </c>
      <c r="D4584" t="s">
        <v>74</v>
      </c>
      <c r="E4584" t="s">
        <v>82</v>
      </c>
      <c r="F4584" s="55">
        <v>100</v>
      </c>
      <c r="G4584" s="63">
        <v>0.15010000000000001</v>
      </c>
    </row>
    <row r="4585" spans="1:7" x14ac:dyDescent="0.2">
      <c r="A4585" t="s">
        <v>71</v>
      </c>
      <c r="B4585" t="s">
        <v>72</v>
      </c>
      <c r="C4585" t="s">
        <v>204</v>
      </c>
      <c r="D4585" t="s">
        <v>74</v>
      </c>
      <c r="E4585" t="s">
        <v>83</v>
      </c>
      <c r="F4585" s="55">
        <v>97</v>
      </c>
      <c r="G4585" s="63">
        <v>2.3E-2</v>
      </c>
    </row>
    <row r="4586" spans="1:7" x14ac:dyDescent="0.2">
      <c r="A4586" t="s">
        <v>71</v>
      </c>
      <c r="B4586" t="s">
        <v>72</v>
      </c>
      <c r="C4586" t="s">
        <v>204</v>
      </c>
      <c r="D4586" t="s">
        <v>74</v>
      </c>
      <c r="E4586" t="s">
        <v>84</v>
      </c>
      <c r="F4586" s="55">
        <v>94</v>
      </c>
      <c r="G4586" s="63">
        <v>8.7300000000000003E-2</v>
      </c>
    </row>
    <row r="4587" spans="1:7" x14ac:dyDescent="0.2">
      <c r="A4587" t="s">
        <v>71</v>
      </c>
      <c r="B4587" t="s">
        <v>72</v>
      </c>
      <c r="C4587" t="s">
        <v>204</v>
      </c>
      <c r="D4587" t="s">
        <v>74</v>
      </c>
      <c r="E4587" t="s">
        <v>85</v>
      </c>
      <c r="F4587" s="55">
        <v>92</v>
      </c>
      <c r="G4587" s="63">
        <v>7.1199999999999999E-2</v>
      </c>
    </row>
    <row r="4588" spans="1:7" x14ac:dyDescent="0.2">
      <c r="A4588" t="s">
        <v>71</v>
      </c>
      <c r="B4588" t="s">
        <v>72</v>
      </c>
      <c r="C4588" t="s">
        <v>204</v>
      </c>
      <c r="D4588" t="s">
        <v>74</v>
      </c>
      <c r="E4588" t="s">
        <v>86</v>
      </c>
      <c r="F4588" s="55">
        <v>94</v>
      </c>
      <c r="G4588" s="63">
        <v>9.2499999999999999E-2</v>
      </c>
    </row>
    <row r="4589" spans="1:7" x14ac:dyDescent="0.2">
      <c r="A4589" t="s">
        <v>71</v>
      </c>
      <c r="B4589" t="s">
        <v>72</v>
      </c>
      <c r="C4589" t="s">
        <v>204</v>
      </c>
      <c r="D4589" t="s">
        <v>74</v>
      </c>
      <c r="E4589" t="s">
        <v>87</v>
      </c>
      <c r="F4589" s="55">
        <v>96</v>
      </c>
      <c r="G4589" s="63">
        <v>0.1077</v>
      </c>
    </row>
    <row r="4590" spans="1:7" x14ac:dyDescent="0.2">
      <c r="A4590" t="s">
        <v>71</v>
      </c>
      <c r="B4590" t="s">
        <v>72</v>
      </c>
      <c r="C4590" t="s">
        <v>204</v>
      </c>
      <c r="D4590" t="s">
        <v>74</v>
      </c>
      <c r="E4590" t="s">
        <v>88</v>
      </c>
      <c r="F4590" s="55">
        <v>101</v>
      </c>
      <c r="G4590" s="63">
        <v>6.8900000000000003E-2</v>
      </c>
    </row>
    <row r="4591" spans="1:7" x14ac:dyDescent="0.2">
      <c r="A4591" t="s">
        <v>89</v>
      </c>
      <c r="B4591" t="s">
        <v>90</v>
      </c>
      <c r="C4591" t="s">
        <v>204</v>
      </c>
      <c r="D4591" t="s">
        <v>91</v>
      </c>
      <c r="E4591" t="s">
        <v>75</v>
      </c>
      <c r="F4591" s="55">
        <v>115</v>
      </c>
      <c r="G4591" s="63">
        <v>0.8669</v>
      </c>
    </row>
    <row r="4592" spans="1:7" x14ac:dyDescent="0.2">
      <c r="A4592" t="s">
        <v>89</v>
      </c>
      <c r="B4592" t="s">
        <v>90</v>
      </c>
      <c r="C4592" t="s">
        <v>204</v>
      </c>
      <c r="D4592" t="s">
        <v>91</v>
      </c>
      <c r="E4592" t="s">
        <v>76</v>
      </c>
      <c r="F4592" s="55">
        <v>110</v>
      </c>
      <c r="G4592" s="63">
        <v>0.34039999999999998</v>
      </c>
    </row>
    <row r="4593" spans="1:7" x14ac:dyDescent="0.2">
      <c r="A4593" t="s">
        <v>89</v>
      </c>
      <c r="B4593" t="s">
        <v>90</v>
      </c>
      <c r="C4593" t="s">
        <v>204</v>
      </c>
      <c r="D4593" t="s">
        <v>91</v>
      </c>
      <c r="E4593" t="s">
        <v>77</v>
      </c>
      <c r="F4593" s="55">
        <v>116</v>
      </c>
      <c r="G4593" s="63">
        <v>0.51160000000000005</v>
      </c>
    </row>
    <row r="4594" spans="1:7" x14ac:dyDescent="0.2">
      <c r="A4594" t="s">
        <v>89</v>
      </c>
      <c r="B4594" t="s">
        <v>90</v>
      </c>
      <c r="C4594" t="s">
        <v>204</v>
      </c>
      <c r="D4594" t="s">
        <v>91</v>
      </c>
      <c r="E4594" t="s">
        <v>78</v>
      </c>
      <c r="F4594" s="55">
        <v>120</v>
      </c>
      <c r="G4594" s="63">
        <v>0.57120000000000004</v>
      </c>
    </row>
    <row r="4595" spans="1:7" x14ac:dyDescent="0.2">
      <c r="A4595" t="s">
        <v>89</v>
      </c>
      <c r="B4595" t="s">
        <v>90</v>
      </c>
      <c r="C4595" t="s">
        <v>204</v>
      </c>
      <c r="D4595" t="s">
        <v>91</v>
      </c>
      <c r="E4595" t="s">
        <v>79</v>
      </c>
      <c r="F4595" s="55">
        <v>118</v>
      </c>
      <c r="G4595" s="63">
        <v>0.74029999999999996</v>
      </c>
    </row>
    <row r="4596" spans="1:7" x14ac:dyDescent="0.2">
      <c r="A4596" t="s">
        <v>89</v>
      </c>
      <c r="B4596" t="s">
        <v>90</v>
      </c>
      <c r="C4596" t="s">
        <v>204</v>
      </c>
      <c r="D4596" t="s">
        <v>91</v>
      </c>
      <c r="E4596" t="s">
        <v>80</v>
      </c>
      <c r="F4596" s="55">
        <v>115</v>
      </c>
      <c r="G4596" s="63">
        <v>0.32850000000000001</v>
      </c>
    </row>
    <row r="4597" spans="1:7" x14ac:dyDescent="0.2">
      <c r="A4597" t="s">
        <v>89</v>
      </c>
      <c r="B4597" t="s">
        <v>90</v>
      </c>
      <c r="C4597" t="s">
        <v>204</v>
      </c>
      <c r="D4597" t="s">
        <v>91</v>
      </c>
      <c r="E4597" t="s">
        <v>81</v>
      </c>
      <c r="F4597" s="55">
        <v>108</v>
      </c>
      <c r="G4597" s="63">
        <v>0.35260000000000002</v>
      </c>
    </row>
    <row r="4598" spans="1:7" x14ac:dyDescent="0.2">
      <c r="A4598" t="s">
        <v>89</v>
      </c>
      <c r="B4598" t="s">
        <v>90</v>
      </c>
      <c r="C4598" t="s">
        <v>204</v>
      </c>
      <c r="D4598" t="s">
        <v>91</v>
      </c>
      <c r="E4598" t="s">
        <v>82</v>
      </c>
      <c r="F4598" s="55">
        <v>105</v>
      </c>
      <c r="G4598" s="63">
        <v>0.65159999999999996</v>
      </c>
    </row>
    <row r="4599" spans="1:7" x14ac:dyDescent="0.2">
      <c r="A4599" t="s">
        <v>89</v>
      </c>
      <c r="B4599" t="s">
        <v>90</v>
      </c>
      <c r="C4599" t="s">
        <v>204</v>
      </c>
      <c r="D4599" t="s">
        <v>91</v>
      </c>
      <c r="E4599" t="s">
        <v>83</v>
      </c>
      <c r="F4599" s="55">
        <v>105</v>
      </c>
      <c r="G4599" s="63">
        <v>0.24990000000000001</v>
      </c>
    </row>
    <row r="4600" spans="1:7" x14ac:dyDescent="0.2">
      <c r="A4600" t="s">
        <v>89</v>
      </c>
      <c r="B4600" t="s">
        <v>90</v>
      </c>
      <c r="C4600" t="s">
        <v>204</v>
      </c>
      <c r="D4600" t="s">
        <v>91</v>
      </c>
      <c r="E4600" t="s">
        <v>84</v>
      </c>
      <c r="F4600" s="55">
        <v>119</v>
      </c>
      <c r="G4600" s="63">
        <v>0.48409999999999997</v>
      </c>
    </row>
    <row r="4601" spans="1:7" x14ac:dyDescent="0.2">
      <c r="A4601" t="s">
        <v>89</v>
      </c>
      <c r="B4601" t="s">
        <v>90</v>
      </c>
      <c r="C4601" t="s">
        <v>204</v>
      </c>
      <c r="D4601" t="s">
        <v>91</v>
      </c>
      <c r="E4601" t="s">
        <v>85</v>
      </c>
      <c r="F4601" s="55">
        <v>116</v>
      </c>
      <c r="G4601" s="63">
        <v>0.42259999999999998</v>
      </c>
    </row>
    <row r="4602" spans="1:7" x14ac:dyDescent="0.2">
      <c r="A4602" t="s">
        <v>89</v>
      </c>
      <c r="B4602" t="s">
        <v>90</v>
      </c>
      <c r="C4602" t="s">
        <v>204</v>
      </c>
      <c r="D4602" t="s">
        <v>91</v>
      </c>
      <c r="E4602" t="s">
        <v>86</v>
      </c>
      <c r="F4602" s="55">
        <v>116</v>
      </c>
      <c r="G4602" s="63">
        <v>0.4582</v>
      </c>
    </row>
    <row r="4603" spans="1:7" x14ac:dyDescent="0.2">
      <c r="A4603" t="s">
        <v>89</v>
      </c>
      <c r="B4603" t="s">
        <v>90</v>
      </c>
      <c r="C4603" t="s">
        <v>204</v>
      </c>
      <c r="D4603" t="s">
        <v>91</v>
      </c>
      <c r="E4603" t="s">
        <v>87</v>
      </c>
      <c r="F4603" s="55">
        <v>115</v>
      </c>
      <c r="G4603" s="63">
        <v>0.51</v>
      </c>
    </row>
    <row r="4604" spans="1:7" x14ac:dyDescent="0.2">
      <c r="A4604" t="s">
        <v>89</v>
      </c>
      <c r="B4604" t="s">
        <v>90</v>
      </c>
      <c r="C4604" t="s">
        <v>204</v>
      </c>
      <c r="D4604" t="s">
        <v>91</v>
      </c>
      <c r="E4604" t="s">
        <v>88</v>
      </c>
      <c r="F4604" s="55">
        <v>109</v>
      </c>
      <c r="G4604" s="63">
        <v>0.43709999999999999</v>
      </c>
    </row>
    <row r="4605" spans="1:7" x14ac:dyDescent="0.2">
      <c r="A4605" t="s">
        <v>71</v>
      </c>
      <c r="B4605" t="s">
        <v>92</v>
      </c>
      <c r="C4605" t="s">
        <v>204</v>
      </c>
      <c r="D4605" t="s">
        <v>74</v>
      </c>
      <c r="E4605" t="s">
        <v>75</v>
      </c>
      <c r="F4605" s="55">
        <v>132</v>
      </c>
      <c r="G4605" s="63">
        <v>3.78E-2</v>
      </c>
    </row>
    <row r="4606" spans="1:7" x14ac:dyDescent="0.2">
      <c r="A4606" t="s">
        <v>71</v>
      </c>
      <c r="B4606" t="s">
        <v>92</v>
      </c>
      <c r="C4606" t="s">
        <v>204</v>
      </c>
      <c r="D4606" t="s">
        <v>74</v>
      </c>
      <c r="E4606" t="s">
        <v>76</v>
      </c>
      <c r="F4606" s="55">
        <v>122</v>
      </c>
      <c r="G4606" s="63">
        <v>1.1999999999999999E-3</v>
      </c>
    </row>
    <row r="4607" spans="1:7" x14ac:dyDescent="0.2">
      <c r="A4607" t="s">
        <v>71</v>
      </c>
      <c r="B4607" t="s">
        <v>92</v>
      </c>
      <c r="C4607" t="s">
        <v>204</v>
      </c>
      <c r="D4607" t="s">
        <v>74</v>
      </c>
      <c r="E4607" t="s">
        <v>77</v>
      </c>
      <c r="F4607" s="55">
        <v>110</v>
      </c>
      <c r="G4607" s="63">
        <v>6.7000000000000002E-3</v>
      </c>
    </row>
    <row r="4608" spans="1:7" x14ac:dyDescent="0.2">
      <c r="A4608" t="s">
        <v>71</v>
      </c>
      <c r="B4608" t="s">
        <v>92</v>
      </c>
      <c r="C4608" t="s">
        <v>204</v>
      </c>
      <c r="D4608" t="s">
        <v>74</v>
      </c>
      <c r="E4608" t="s">
        <v>78</v>
      </c>
      <c r="F4608" s="55">
        <v>106</v>
      </c>
      <c r="G4608" s="63">
        <v>7.0000000000000001E-3</v>
      </c>
    </row>
    <row r="4609" spans="1:7" x14ac:dyDescent="0.2">
      <c r="A4609" t="s">
        <v>71</v>
      </c>
      <c r="B4609" t="s">
        <v>92</v>
      </c>
      <c r="C4609" t="s">
        <v>204</v>
      </c>
      <c r="D4609" t="s">
        <v>74</v>
      </c>
      <c r="E4609" t="s">
        <v>79</v>
      </c>
      <c r="F4609" s="55">
        <v>139</v>
      </c>
      <c r="G4609" s="63">
        <v>2.47E-2</v>
      </c>
    </row>
    <row r="4610" spans="1:7" x14ac:dyDescent="0.2">
      <c r="A4610" t="s">
        <v>71</v>
      </c>
      <c r="B4610" t="s">
        <v>92</v>
      </c>
      <c r="C4610" t="s">
        <v>204</v>
      </c>
      <c r="D4610" t="s">
        <v>74</v>
      </c>
      <c r="E4610" t="s">
        <v>80</v>
      </c>
      <c r="F4610" s="55">
        <v>127</v>
      </c>
      <c r="G4610" s="63">
        <v>7.6E-3</v>
      </c>
    </row>
    <row r="4611" spans="1:7" x14ac:dyDescent="0.2">
      <c r="A4611" t="s">
        <v>71</v>
      </c>
      <c r="B4611" t="s">
        <v>92</v>
      </c>
      <c r="C4611" t="s">
        <v>204</v>
      </c>
      <c r="D4611" t="s">
        <v>74</v>
      </c>
      <c r="E4611" t="s">
        <v>81</v>
      </c>
      <c r="F4611" s="55">
        <v>114</v>
      </c>
      <c r="G4611" s="63">
        <v>5.8999999999999999E-3</v>
      </c>
    </row>
    <row r="4612" spans="1:7" x14ac:dyDescent="0.2">
      <c r="A4612" t="s">
        <v>71</v>
      </c>
      <c r="B4612" t="s">
        <v>92</v>
      </c>
      <c r="C4612" t="s">
        <v>204</v>
      </c>
      <c r="D4612" t="s">
        <v>74</v>
      </c>
      <c r="E4612" t="s">
        <v>82</v>
      </c>
      <c r="F4612" s="55">
        <v>130</v>
      </c>
      <c r="G4612" s="63">
        <v>1.41E-2</v>
      </c>
    </row>
    <row r="4613" spans="1:7" x14ac:dyDescent="0.2">
      <c r="A4613" t="s">
        <v>71</v>
      </c>
      <c r="B4613" t="s">
        <v>92</v>
      </c>
      <c r="C4613" t="s">
        <v>204</v>
      </c>
      <c r="D4613" t="s">
        <v>74</v>
      </c>
      <c r="E4613" t="s">
        <v>83</v>
      </c>
      <c r="F4613" s="55">
        <v>115</v>
      </c>
      <c r="G4613" s="63">
        <v>1.4E-3</v>
      </c>
    </row>
    <row r="4614" spans="1:7" x14ac:dyDescent="0.2">
      <c r="A4614" t="s">
        <v>71</v>
      </c>
      <c r="B4614" t="s">
        <v>92</v>
      </c>
      <c r="C4614" t="s">
        <v>204</v>
      </c>
      <c r="D4614" t="s">
        <v>74</v>
      </c>
      <c r="E4614" t="s">
        <v>84</v>
      </c>
      <c r="F4614" s="55">
        <v>107</v>
      </c>
      <c r="G4614" s="63">
        <v>4.4000000000000003E-3</v>
      </c>
    </row>
    <row r="4615" spans="1:7" x14ac:dyDescent="0.2">
      <c r="A4615" t="s">
        <v>71</v>
      </c>
      <c r="B4615" t="s">
        <v>92</v>
      </c>
      <c r="C4615" t="s">
        <v>204</v>
      </c>
      <c r="D4615" t="s">
        <v>74</v>
      </c>
      <c r="E4615" t="s">
        <v>85</v>
      </c>
      <c r="F4615" s="55">
        <v>128</v>
      </c>
      <c r="G4615" s="63">
        <v>8.0000000000000002E-3</v>
      </c>
    </row>
    <row r="4616" spans="1:7" x14ac:dyDescent="0.2">
      <c r="A4616" t="s">
        <v>71</v>
      </c>
      <c r="B4616" t="s">
        <v>92</v>
      </c>
      <c r="C4616" t="s">
        <v>204</v>
      </c>
      <c r="D4616" t="s">
        <v>74</v>
      </c>
      <c r="E4616" t="s">
        <v>86</v>
      </c>
      <c r="F4616" s="55">
        <v>131</v>
      </c>
      <c r="G4616" s="63">
        <v>9.9000000000000008E-3</v>
      </c>
    </row>
    <row r="4617" spans="1:7" x14ac:dyDescent="0.2">
      <c r="A4617" t="s">
        <v>71</v>
      </c>
      <c r="B4617" t="s">
        <v>92</v>
      </c>
      <c r="C4617" t="s">
        <v>204</v>
      </c>
      <c r="D4617" t="s">
        <v>74</v>
      </c>
      <c r="E4617" t="s">
        <v>87</v>
      </c>
      <c r="F4617" s="55">
        <v>140</v>
      </c>
      <c r="G4617" s="63">
        <v>1.12E-2</v>
      </c>
    </row>
    <row r="4618" spans="1:7" x14ac:dyDescent="0.2">
      <c r="A4618" t="s">
        <v>71</v>
      </c>
      <c r="B4618" t="s">
        <v>92</v>
      </c>
      <c r="C4618" t="s">
        <v>204</v>
      </c>
      <c r="D4618" t="s">
        <v>74</v>
      </c>
      <c r="E4618" t="s">
        <v>88</v>
      </c>
      <c r="F4618" s="55">
        <v>120</v>
      </c>
      <c r="G4618" s="63">
        <v>2.3E-3</v>
      </c>
    </row>
    <row r="4619" spans="1:7" x14ac:dyDescent="0.2">
      <c r="A4619" t="s">
        <v>71</v>
      </c>
      <c r="B4619" t="s">
        <v>93</v>
      </c>
      <c r="C4619" t="s">
        <v>204</v>
      </c>
      <c r="D4619" t="s">
        <v>74</v>
      </c>
      <c r="E4619" t="s">
        <v>75</v>
      </c>
      <c r="F4619" s="55">
        <v>121</v>
      </c>
      <c r="G4619" s="63">
        <v>8.8499999999999995E-2</v>
      </c>
    </row>
    <row r="4620" spans="1:7" x14ac:dyDescent="0.2">
      <c r="A4620" t="s">
        <v>71</v>
      </c>
      <c r="B4620" t="s">
        <v>93</v>
      </c>
      <c r="C4620" t="s">
        <v>204</v>
      </c>
      <c r="D4620" t="s">
        <v>74</v>
      </c>
      <c r="E4620" t="s">
        <v>76</v>
      </c>
      <c r="F4620" s="55">
        <v>126</v>
      </c>
      <c r="G4620" s="63">
        <v>9.1999999999999998E-3</v>
      </c>
    </row>
    <row r="4621" spans="1:7" x14ac:dyDescent="0.2">
      <c r="A4621" t="s">
        <v>71</v>
      </c>
      <c r="B4621" t="s">
        <v>93</v>
      </c>
      <c r="C4621" t="s">
        <v>204</v>
      </c>
      <c r="D4621" t="s">
        <v>74</v>
      </c>
      <c r="E4621" t="s">
        <v>77</v>
      </c>
      <c r="F4621" s="55">
        <v>114</v>
      </c>
      <c r="G4621" s="63">
        <v>2.75E-2</v>
      </c>
    </row>
    <row r="4622" spans="1:7" x14ac:dyDescent="0.2">
      <c r="A4622" t="s">
        <v>71</v>
      </c>
      <c r="B4622" t="s">
        <v>93</v>
      </c>
      <c r="C4622" t="s">
        <v>204</v>
      </c>
      <c r="D4622" t="s">
        <v>74</v>
      </c>
      <c r="E4622" t="s">
        <v>78</v>
      </c>
      <c r="F4622" s="55">
        <v>120</v>
      </c>
      <c r="G4622" s="63">
        <v>2.4899999999999999E-2</v>
      </c>
    </row>
    <row r="4623" spans="1:7" x14ac:dyDescent="0.2">
      <c r="A4623" t="s">
        <v>71</v>
      </c>
      <c r="B4623" t="s">
        <v>93</v>
      </c>
      <c r="C4623" t="s">
        <v>204</v>
      </c>
      <c r="D4623" t="s">
        <v>74</v>
      </c>
      <c r="E4623" t="s">
        <v>79</v>
      </c>
      <c r="F4623" s="55">
        <v>123</v>
      </c>
      <c r="G4623" s="63">
        <v>5.74E-2</v>
      </c>
    </row>
    <row r="4624" spans="1:7" x14ac:dyDescent="0.2">
      <c r="A4624" t="s">
        <v>71</v>
      </c>
      <c r="B4624" t="s">
        <v>93</v>
      </c>
      <c r="C4624" t="s">
        <v>204</v>
      </c>
      <c r="D4624" t="s">
        <v>74</v>
      </c>
      <c r="E4624" t="s">
        <v>80</v>
      </c>
      <c r="F4624" s="55">
        <v>119</v>
      </c>
      <c r="G4624" s="63">
        <v>3.3399999999999999E-2</v>
      </c>
    </row>
    <row r="4625" spans="1:7" x14ac:dyDescent="0.2">
      <c r="A4625" t="s">
        <v>71</v>
      </c>
      <c r="B4625" t="s">
        <v>93</v>
      </c>
      <c r="C4625" t="s">
        <v>204</v>
      </c>
      <c r="D4625" t="s">
        <v>74</v>
      </c>
      <c r="E4625" t="s">
        <v>81</v>
      </c>
      <c r="F4625" s="55">
        <v>119</v>
      </c>
      <c r="G4625" s="63">
        <v>3.2800000000000003E-2</v>
      </c>
    </row>
    <row r="4626" spans="1:7" x14ac:dyDescent="0.2">
      <c r="A4626" t="s">
        <v>71</v>
      </c>
      <c r="B4626" t="s">
        <v>93</v>
      </c>
      <c r="C4626" t="s">
        <v>204</v>
      </c>
      <c r="D4626" t="s">
        <v>74</v>
      </c>
      <c r="E4626" t="s">
        <v>82</v>
      </c>
      <c r="F4626" s="55">
        <v>125</v>
      </c>
      <c r="G4626" s="63">
        <v>3.56E-2</v>
      </c>
    </row>
    <row r="4627" spans="1:7" x14ac:dyDescent="0.2">
      <c r="A4627" t="s">
        <v>71</v>
      </c>
      <c r="B4627" t="s">
        <v>93</v>
      </c>
      <c r="C4627" t="s">
        <v>204</v>
      </c>
      <c r="D4627" t="s">
        <v>74</v>
      </c>
      <c r="E4627" t="s">
        <v>83</v>
      </c>
      <c r="F4627" s="55">
        <v>128</v>
      </c>
      <c r="G4627" s="63">
        <v>1.17E-2</v>
      </c>
    </row>
    <row r="4628" spans="1:7" x14ac:dyDescent="0.2">
      <c r="A4628" t="s">
        <v>71</v>
      </c>
      <c r="B4628" t="s">
        <v>93</v>
      </c>
      <c r="C4628" t="s">
        <v>204</v>
      </c>
      <c r="D4628" t="s">
        <v>74</v>
      </c>
      <c r="E4628" t="s">
        <v>84</v>
      </c>
      <c r="F4628" s="55">
        <v>120</v>
      </c>
      <c r="G4628" s="63">
        <v>1.9800000000000002E-2</v>
      </c>
    </row>
    <row r="4629" spans="1:7" x14ac:dyDescent="0.2">
      <c r="A4629" t="s">
        <v>71</v>
      </c>
      <c r="B4629" t="s">
        <v>93</v>
      </c>
      <c r="C4629" t="s">
        <v>204</v>
      </c>
      <c r="D4629" t="s">
        <v>74</v>
      </c>
      <c r="E4629" t="s">
        <v>85</v>
      </c>
      <c r="F4629" s="55">
        <v>120</v>
      </c>
      <c r="G4629" s="63">
        <v>2.9399999999999999E-2</v>
      </c>
    </row>
    <row r="4630" spans="1:7" x14ac:dyDescent="0.2">
      <c r="A4630" t="s">
        <v>71</v>
      </c>
      <c r="B4630" t="s">
        <v>93</v>
      </c>
      <c r="C4630" t="s">
        <v>204</v>
      </c>
      <c r="D4630" t="s">
        <v>74</v>
      </c>
      <c r="E4630" t="s">
        <v>86</v>
      </c>
      <c r="F4630" s="55">
        <v>124</v>
      </c>
      <c r="G4630" s="63">
        <v>2.81E-2</v>
      </c>
    </row>
    <row r="4631" spans="1:7" x14ac:dyDescent="0.2">
      <c r="A4631" t="s">
        <v>71</v>
      </c>
      <c r="B4631" t="s">
        <v>93</v>
      </c>
      <c r="C4631" t="s">
        <v>204</v>
      </c>
      <c r="D4631" t="s">
        <v>74</v>
      </c>
      <c r="E4631" t="s">
        <v>87</v>
      </c>
      <c r="F4631" s="55">
        <v>123</v>
      </c>
      <c r="G4631" s="63">
        <v>2.6700000000000002E-2</v>
      </c>
    </row>
    <row r="4632" spans="1:7" x14ac:dyDescent="0.2">
      <c r="A4632" t="s">
        <v>71</v>
      </c>
      <c r="B4632" t="s">
        <v>93</v>
      </c>
      <c r="C4632" t="s">
        <v>204</v>
      </c>
      <c r="D4632" t="s">
        <v>74</v>
      </c>
      <c r="E4632" t="s">
        <v>88</v>
      </c>
      <c r="F4632" s="55">
        <v>122</v>
      </c>
      <c r="G4632" s="63">
        <v>1.49E-2</v>
      </c>
    </row>
    <row r="4633" spans="1:7" x14ac:dyDescent="0.2">
      <c r="A4633" t="s">
        <v>71</v>
      </c>
      <c r="B4633" t="s">
        <v>4</v>
      </c>
      <c r="C4633" t="s">
        <v>204</v>
      </c>
      <c r="D4633" t="s">
        <v>74</v>
      </c>
      <c r="E4633" t="s">
        <v>75</v>
      </c>
      <c r="F4633" s="55">
        <v>89</v>
      </c>
      <c r="G4633" s="63">
        <v>0.4037</v>
      </c>
    </row>
    <row r="4634" spans="1:7" x14ac:dyDescent="0.2">
      <c r="A4634" t="s">
        <v>71</v>
      </c>
      <c r="B4634" t="s">
        <v>4</v>
      </c>
      <c r="C4634" t="s">
        <v>204</v>
      </c>
      <c r="D4634" t="s">
        <v>74</v>
      </c>
      <c r="E4634" t="s">
        <v>76</v>
      </c>
      <c r="F4634" s="55">
        <v>94</v>
      </c>
      <c r="G4634" s="63">
        <v>3.7100000000000001E-2</v>
      </c>
    </row>
    <row r="4635" spans="1:7" x14ac:dyDescent="0.2">
      <c r="A4635" t="s">
        <v>71</v>
      </c>
      <c r="B4635" t="s">
        <v>4</v>
      </c>
      <c r="C4635" t="s">
        <v>204</v>
      </c>
      <c r="D4635" t="s">
        <v>74</v>
      </c>
      <c r="E4635" t="s">
        <v>77</v>
      </c>
      <c r="F4635" s="55">
        <v>91</v>
      </c>
      <c r="G4635" s="63">
        <v>0.17369999999999999</v>
      </c>
    </row>
    <row r="4636" spans="1:7" x14ac:dyDescent="0.2">
      <c r="A4636" t="s">
        <v>71</v>
      </c>
      <c r="B4636" t="s">
        <v>4</v>
      </c>
      <c r="C4636" t="s">
        <v>204</v>
      </c>
      <c r="D4636" t="s">
        <v>74</v>
      </c>
      <c r="E4636" t="s">
        <v>78</v>
      </c>
      <c r="F4636" s="55">
        <v>91</v>
      </c>
      <c r="G4636" s="63">
        <v>0.18440000000000001</v>
      </c>
    </row>
    <row r="4637" spans="1:7" x14ac:dyDescent="0.2">
      <c r="A4637" t="s">
        <v>71</v>
      </c>
      <c r="B4637" t="s">
        <v>4</v>
      </c>
      <c r="C4637" t="s">
        <v>204</v>
      </c>
      <c r="D4637" t="s">
        <v>74</v>
      </c>
      <c r="E4637" t="s">
        <v>79</v>
      </c>
      <c r="F4637" s="55">
        <v>88</v>
      </c>
      <c r="G4637" s="63">
        <v>0.28360000000000002</v>
      </c>
    </row>
    <row r="4638" spans="1:7" x14ac:dyDescent="0.2">
      <c r="A4638" t="s">
        <v>71</v>
      </c>
      <c r="B4638" t="s">
        <v>4</v>
      </c>
      <c r="C4638" t="s">
        <v>204</v>
      </c>
      <c r="D4638" t="s">
        <v>74</v>
      </c>
      <c r="E4638" t="s">
        <v>80</v>
      </c>
      <c r="F4638" s="55">
        <v>88</v>
      </c>
      <c r="G4638" s="63">
        <v>9.0300000000000005E-2</v>
      </c>
    </row>
    <row r="4639" spans="1:7" x14ac:dyDescent="0.2">
      <c r="A4639" t="s">
        <v>71</v>
      </c>
      <c r="B4639" t="s">
        <v>4</v>
      </c>
      <c r="C4639" t="s">
        <v>204</v>
      </c>
      <c r="D4639" t="s">
        <v>74</v>
      </c>
      <c r="E4639" t="s">
        <v>81</v>
      </c>
      <c r="F4639" s="55">
        <v>90</v>
      </c>
      <c r="G4639" s="63">
        <v>9.1899999999999996E-2</v>
      </c>
    </row>
    <row r="4640" spans="1:7" x14ac:dyDescent="0.2">
      <c r="A4640" t="s">
        <v>71</v>
      </c>
      <c r="B4640" t="s">
        <v>4</v>
      </c>
      <c r="C4640" t="s">
        <v>204</v>
      </c>
      <c r="D4640" t="s">
        <v>74</v>
      </c>
      <c r="E4640" t="s">
        <v>82</v>
      </c>
      <c r="F4640" s="55">
        <v>89</v>
      </c>
      <c r="G4640" s="63">
        <v>0.22459999999999999</v>
      </c>
    </row>
    <row r="4641" spans="1:7" x14ac:dyDescent="0.2">
      <c r="A4641" t="s">
        <v>71</v>
      </c>
      <c r="B4641" t="s">
        <v>4</v>
      </c>
      <c r="C4641" t="s">
        <v>204</v>
      </c>
      <c r="D4641" t="s">
        <v>74</v>
      </c>
      <c r="E4641" t="s">
        <v>83</v>
      </c>
      <c r="F4641" s="55">
        <v>92</v>
      </c>
      <c r="G4641" s="63">
        <v>3.4700000000000002E-2</v>
      </c>
    </row>
    <row r="4642" spans="1:7" x14ac:dyDescent="0.2">
      <c r="A4642" t="s">
        <v>71</v>
      </c>
      <c r="B4642" t="s">
        <v>4</v>
      </c>
      <c r="C4642" t="s">
        <v>204</v>
      </c>
      <c r="D4642" t="s">
        <v>74</v>
      </c>
      <c r="E4642" t="s">
        <v>84</v>
      </c>
      <c r="F4642" s="55">
        <v>91</v>
      </c>
      <c r="G4642" s="63">
        <v>0.14530000000000001</v>
      </c>
    </row>
    <row r="4643" spans="1:7" x14ac:dyDescent="0.2">
      <c r="A4643" t="s">
        <v>71</v>
      </c>
      <c r="B4643" t="s">
        <v>4</v>
      </c>
      <c r="C4643" t="s">
        <v>204</v>
      </c>
      <c r="D4643" t="s">
        <v>74</v>
      </c>
      <c r="E4643" t="s">
        <v>85</v>
      </c>
      <c r="F4643" s="55">
        <v>89</v>
      </c>
      <c r="G4643" s="63">
        <v>0.10349999999999999</v>
      </c>
    </row>
    <row r="4644" spans="1:7" x14ac:dyDescent="0.2">
      <c r="A4644" t="s">
        <v>71</v>
      </c>
      <c r="B4644" t="s">
        <v>4</v>
      </c>
      <c r="C4644" t="s">
        <v>204</v>
      </c>
      <c r="D4644" t="s">
        <v>74</v>
      </c>
      <c r="E4644" t="s">
        <v>86</v>
      </c>
      <c r="F4644" s="55">
        <v>89</v>
      </c>
      <c r="G4644" s="63">
        <v>0.1338</v>
      </c>
    </row>
    <row r="4645" spans="1:7" x14ac:dyDescent="0.2">
      <c r="A4645" t="s">
        <v>71</v>
      </c>
      <c r="B4645" t="s">
        <v>4</v>
      </c>
      <c r="C4645" t="s">
        <v>204</v>
      </c>
      <c r="D4645" t="s">
        <v>74</v>
      </c>
      <c r="E4645" t="s">
        <v>87</v>
      </c>
      <c r="F4645" s="55">
        <v>90</v>
      </c>
      <c r="G4645" s="63">
        <v>0.1628</v>
      </c>
    </row>
    <row r="4646" spans="1:7" x14ac:dyDescent="0.2">
      <c r="A4646" t="s">
        <v>71</v>
      </c>
      <c r="B4646" t="s">
        <v>4</v>
      </c>
      <c r="C4646" t="s">
        <v>204</v>
      </c>
      <c r="D4646" t="s">
        <v>74</v>
      </c>
      <c r="E4646" t="s">
        <v>88</v>
      </c>
      <c r="F4646" s="55">
        <v>89</v>
      </c>
      <c r="G4646" s="63">
        <v>8.9099999999999999E-2</v>
      </c>
    </row>
    <row r="4647" spans="1:7" x14ac:dyDescent="0.2">
      <c r="A4647" t="s">
        <v>71</v>
      </c>
      <c r="B4647" t="s">
        <v>94</v>
      </c>
      <c r="C4647" t="s">
        <v>204</v>
      </c>
      <c r="D4647" t="s">
        <v>74</v>
      </c>
      <c r="E4647" t="s">
        <v>75</v>
      </c>
      <c r="F4647" s="55">
        <v>112</v>
      </c>
      <c r="G4647" s="63">
        <v>0.32540000000000002</v>
      </c>
    </row>
    <row r="4648" spans="1:7" x14ac:dyDescent="0.2">
      <c r="A4648" t="s">
        <v>71</v>
      </c>
      <c r="B4648" t="s">
        <v>94</v>
      </c>
      <c r="C4648" t="s">
        <v>204</v>
      </c>
      <c r="D4648" t="s">
        <v>74</v>
      </c>
      <c r="E4648" t="s">
        <v>76</v>
      </c>
      <c r="F4648" s="55">
        <v>105</v>
      </c>
      <c r="G4648" s="63">
        <v>4.5699999999999998E-2</v>
      </c>
    </row>
    <row r="4649" spans="1:7" x14ac:dyDescent="0.2">
      <c r="A4649" t="s">
        <v>71</v>
      </c>
      <c r="B4649" t="s">
        <v>94</v>
      </c>
      <c r="C4649" t="s">
        <v>204</v>
      </c>
      <c r="D4649" t="s">
        <v>74</v>
      </c>
      <c r="E4649" t="s">
        <v>77</v>
      </c>
      <c r="F4649" s="55">
        <v>115</v>
      </c>
      <c r="G4649" s="63">
        <v>0.10920000000000001</v>
      </c>
    </row>
    <row r="4650" spans="1:7" x14ac:dyDescent="0.2">
      <c r="A4650" t="s">
        <v>71</v>
      </c>
      <c r="B4650" t="s">
        <v>94</v>
      </c>
      <c r="C4650" t="s">
        <v>204</v>
      </c>
      <c r="D4650" t="s">
        <v>74</v>
      </c>
      <c r="E4650" t="s">
        <v>78</v>
      </c>
      <c r="F4650" s="55">
        <v>102</v>
      </c>
      <c r="G4650" s="63">
        <v>0.1009</v>
      </c>
    </row>
    <row r="4651" spans="1:7" x14ac:dyDescent="0.2">
      <c r="A4651" t="s">
        <v>71</v>
      </c>
      <c r="B4651" t="s">
        <v>94</v>
      </c>
      <c r="C4651" t="s">
        <v>204</v>
      </c>
      <c r="D4651" t="s">
        <v>74</v>
      </c>
      <c r="E4651" t="s">
        <v>79</v>
      </c>
      <c r="F4651" s="55">
        <v>112</v>
      </c>
      <c r="G4651" s="63">
        <v>0.1981</v>
      </c>
    </row>
    <row r="4652" spans="1:7" x14ac:dyDescent="0.2">
      <c r="A4652" t="s">
        <v>71</v>
      </c>
      <c r="B4652" t="s">
        <v>94</v>
      </c>
      <c r="C4652" t="s">
        <v>204</v>
      </c>
      <c r="D4652" t="s">
        <v>74</v>
      </c>
      <c r="E4652" t="s">
        <v>80</v>
      </c>
      <c r="F4652" s="55">
        <v>109</v>
      </c>
      <c r="G4652" s="63">
        <v>5.2299999999999999E-2</v>
      </c>
    </row>
    <row r="4653" spans="1:7" x14ac:dyDescent="0.2">
      <c r="A4653" t="s">
        <v>71</v>
      </c>
      <c r="B4653" t="s">
        <v>94</v>
      </c>
      <c r="C4653" t="s">
        <v>204</v>
      </c>
      <c r="D4653" t="s">
        <v>74</v>
      </c>
      <c r="E4653" t="s">
        <v>81</v>
      </c>
      <c r="F4653" s="55">
        <v>108</v>
      </c>
      <c r="G4653" s="63">
        <v>5.79E-2</v>
      </c>
    </row>
    <row r="4654" spans="1:7" x14ac:dyDescent="0.2">
      <c r="A4654" t="s">
        <v>71</v>
      </c>
      <c r="B4654" t="s">
        <v>94</v>
      </c>
      <c r="C4654" t="s">
        <v>204</v>
      </c>
      <c r="D4654" t="s">
        <v>74</v>
      </c>
      <c r="E4654" t="s">
        <v>82</v>
      </c>
      <c r="F4654" s="55">
        <v>117</v>
      </c>
      <c r="G4654" s="63">
        <v>0.186</v>
      </c>
    </row>
    <row r="4655" spans="1:7" x14ac:dyDescent="0.2">
      <c r="A4655" t="s">
        <v>71</v>
      </c>
      <c r="B4655" t="s">
        <v>94</v>
      </c>
      <c r="C4655" t="s">
        <v>204</v>
      </c>
      <c r="D4655" t="s">
        <v>74</v>
      </c>
      <c r="E4655" t="s">
        <v>83</v>
      </c>
      <c r="F4655" s="55">
        <v>106</v>
      </c>
      <c r="G4655" s="63">
        <v>3.1899999999999998E-2</v>
      </c>
    </row>
    <row r="4656" spans="1:7" x14ac:dyDescent="0.2">
      <c r="A4656" t="s">
        <v>71</v>
      </c>
      <c r="B4656" t="s">
        <v>94</v>
      </c>
      <c r="C4656" t="s">
        <v>204</v>
      </c>
      <c r="D4656" t="s">
        <v>74</v>
      </c>
      <c r="E4656" t="s">
        <v>84</v>
      </c>
      <c r="F4656" s="55">
        <v>104</v>
      </c>
      <c r="G4656" s="63">
        <v>7.6899999999999996E-2</v>
      </c>
    </row>
    <row r="4657" spans="1:7" x14ac:dyDescent="0.2">
      <c r="A4657" t="s">
        <v>71</v>
      </c>
      <c r="B4657" t="s">
        <v>94</v>
      </c>
      <c r="C4657" t="s">
        <v>204</v>
      </c>
      <c r="D4657" t="s">
        <v>74</v>
      </c>
      <c r="E4657" t="s">
        <v>85</v>
      </c>
      <c r="F4657" s="55">
        <v>110</v>
      </c>
      <c r="G4657" s="63">
        <v>5.8599999999999999E-2</v>
      </c>
    </row>
    <row r="4658" spans="1:7" x14ac:dyDescent="0.2">
      <c r="A4658" t="s">
        <v>71</v>
      </c>
      <c r="B4658" t="s">
        <v>94</v>
      </c>
      <c r="C4658" t="s">
        <v>204</v>
      </c>
      <c r="D4658" t="s">
        <v>74</v>
      </c>
      <c r="E4658" t="s">
        <v>86</v>
      </c>
      <c r="F4658" s="55">
        <v>110</v>
      </c>
      <c r="G4658" s="63">
        <v>8.0699999999999994E-2</v>
      </c>
    </row>
    <row r="4659" spans="1:7" x14ac:dyDescent="0.2">
      <c r="A4659" t="s">
        <v>71</v>
      </c>
      <c r="B4659" t="s">
        <v>94</v>
      </c>
      <c r="C4659" t="s">
        <v>204</v>
      </c>
      <c r="D4659" t="s">
        <v>74</v>
      </c>
      <c r="E4659" t="s">
        <v>87</v>
      </c>
      <c r="F4659" s="55">
        <v>112</v>
      </c>
      <c r="G4659" s="63">
        <v>9.9099999999999994E-2</v>
      </c>
    </row>
    <row r="4660" spans="1:7" x14ac:dyDescent="0.2">
      <c r="A4660" t="s">
        <v>71</v>
      </c>
      <c r="B4660" t="s">
        <v>94</v>
      </c>
      <c r="C4660" t="s">
        <v>204</v>
      </c>
      <c r="D4660" t="s">
        <v>74</v>
      </c>
      <c r="E4660" t="s">
        <v>88</v>
      </c>
      <c r="F4660" s="55">
        <v>106</v>
      </c>
      <c r="G4660" s="63">
        <v>7.5800000000000006E-2</v>
      </c>
    </row>
    <row r="4661" spans="1:7" x14ac:dyDescent="0.2">
      <c r="A4661" t="s">
        <v>71</v>
      </c>
      <c r="B4661" t="s">
        <v>95</v>
      </c>
      <c r="C4661" t="s">
        <v>204</v>
      </c>
      <c r="D4661" t="s">
        <v>74</v>
      </c>
      <c r="E4661" t="s">
        <v>75</v>
      </c>
      <c r="F4661" s="55">
        <v>76</v>
      </c>
      <c r="G4661" s="63">
        <v>4.2200000000000001E-2</v>
      </c>
    </row>
    <row r="4662" spans="1:7" x14ac:dyDescent="0.2">
      <c r="A4662" t="s">
        <v>71</v>
      </c>
      <c r="B4662" t="s">
        <v>95</v>
      </c>
      <c r="C4662" t="s">
        <v>204</v>
      </c>
      <c r="D4662" t="s">
        <v>74</v>
      </c>
      <c r="E4662" t="s">
        <v>76</v>
      </c>
      <c r="F4662" s="55">
        <v>114</v>
      </c>
      <c r="G4662" s="63">
        <v>2.0999999999999999E-3</v>
      </c>
    </row>
    <row r="4663" spans="1:7" x14ac:dyDescent="0.2">
      <c r="A4663" t="s">
        <v>71</v>
      </c>
      <c r="B4663" t="s">
        <v>95</v>
      </c>
      <c r="C4663" t="s">
        <v>204</v>
      </c>
      <c r="D4663" t="s">
        <v>74</v>
      </c>
      <c r="E4663" t="s">
        <v>77</v>
      </c>
      <c r="F4663" s="55">
        <v>53</v>
      </c>
      <c r="G4663" s="63">
        <v>8.2000000000000007E-3</v>
      </c>
    </row>
    <row r="4664" spans="1:7" x14ac:dyDescent="0.2">
      <c r="A4664" t="s">
        <v>71</v>
      </c>
      <c r="B4664" t="s">
        <v>95</v>
      </c>
      <c r="C4664" t="s">
        <v>204</v>
      </c>
      <c r="D4664" t="s">
        <v>74</v>
      </c>
      <c r="E4664" t="s">
        <v>78</v>
      </c>
      <c r="F4664" s="55">
        <v>54</v>
      </c>
      <c r="G4664" s="63">
        <v>6.1000000000000004E-3</v>
      </c>
    </row>
    <row r="4665" spans="1:7" x14ac:dyDescent="0.2">
      <c r="A4665" t="s">
        <v>71</v>
      </c>
      <c r="B4665" t="s">
        <v>95</v>
      </c>
      <c r="C4665" t="s">
        <v>204</v>
      </c>
      <c r="D4665" t="s">
        <v>74</v>
      </c>
      <c r="E4665" t="s">
        <v>79</v>
      </c>
      <c r="F4665" s="55">
        <v>82</v>
      </c>
      <c r="G4665" s="63">
        <v>2.3199999999999998E-2</v>
      </c>
    </row>
    <row r="4666" spans="1:7" x14ac:dyDescent="0.2">
      <c r="A4666" t="s">
        <v>71</v>
      </c>
      <c r="B4666" t="s">
        <v>95</v>
      </c>
      <c r="C4666" t="s">
        <v>204</v>
      </c>
      <c r="D4666" t="s">
        <v>74</v>
      </c>
      <c r="E4666" t="s">
        <v>80</v>
      </c>
      <c r="F4666" s="55">
        <v>83</v>
      </c>
      <c r="G4666" s="63">
        <v>1.12E-2</v>
      </c>
    </row>
    <row r="4667" spans="1:7" x14ac:dyDescent="0.2">
      <c r="A4667" t="s">
        <v>71</v>
      </c>
      <c r="B4667" t="s">
        <v>95</v>
      </c>
      <c r="C4667" t="s">
        <v>204</v>
      </c>
      <c r="D4667" t="s">
        <v>74</v>
      </c>
      <c r="E4667" t="s">
        <v>81</v>
      </c>
      <c r="F4667" s="55">
        <v>105</v>
      </c>
      <c r="G4667" s="63">
        <v>9.1999999999999998E-3</v>
      </c>
    </row>
    <row r="4668" spans="1:7" x14ac:dyDescent="0.2">
      <c r="A4668" t="s">
        <v>71</v>
      </c>
      <c r="B4668" t="s">
        <v>95</v>
      </c>
      <c r="C4668" t="s">
        <v>204</v>
      </c>
      <c r="D4668" t="s">
        <v>74</v>
      </c>
      <c r="E4668" t="s">
        <v>82</v>
      </c>
      <c r="F4668" s="55">
        <v>59</v>
      </c>
      <c r="G4668" s="63">
        <v>1.1599999999999999E-2</v>
      </c>
    </row>
    <row r="4669" spans="1:7" x14ac:dyDescent="0.2">
      <c r="A4669" t="s">
        <v>71</v>
      </c>
      <c r="B4669" t="s">
        <v>95</v>
      </c>
      <c r="C4669" t="s">
        <v>204</v>
      </c>
      <c r="D4669" t="s">
        <v>74</v>
      </c>
      <c r="E4669" t="s">
        <v>83</v>
      </c>
      <c r="F4669" s="55">
        <v>189</v>
      </c>
      <c r="G4669" s="63">
        <v>1.9E-3</v>
      </c>
    </row>
    <row r="4670" spans="1:7" x14ac:dyDescent="0.2">
      <c r="A4670" t="s">
        <v>71</v>
      </c>
      <c r="B4670" t="s">
        <v>95</v>
      </c>
      <c r="C4670" t="s">
        <v>204</v>
      </c>
      <c r="D4670" t="s">
        <v>74</v>
      </c>
      <c r="E4670" t="s">
        <v>84</v>
      </c>
      <c r="F4670" s="55">
        <v>50</v>
      </c>
      <c r="G4670" s="63">
        <v>4.0000000000000001E-3</v>
      </c>
    </row>
    <row r="4671" spans="1:7" x14ac:dyDescent="0.2">
      <c r="A4671" t="s">
        <v>71</v>
      </c>
      <c r="B4671" t="s">
        <v>95</v>
      </c>
      <c r="C4671" t="s">
        <v>204</v>
      </c>
      <c r="D4671" t="s">
        <v>74</v>
      </c>
      <c r="E4671" t="s">
        <v>85</v>
      </c>
      <c r="F4671" s="55">
        <v>88</v>
      </c>
      <c r="G4671" s="63">
        <v>8.5000000000000006E-3</v>
      </c>
    </row>
    <row r="4672" spans="1:7" x14ac:dyDescent="0.2">
      <c r="A4672" t="s">
        <v>71</v>
      </c>
      <c r="B4672" t="s">
        <v>95</v>
      </c>
      <c r="C4672" t="s">
        <v>204</v>
      </c>
      <c r="D4672" t="s">
        <v>74</v>
      </c>
      <c r="E4672" t="s">
        <v>86</v>
      </c>
      <c r="F4672" s="55">
        <v>81</v>
      </c>
      <c r="G4672" s="63">
        <v>7.7000000000000002E-3</v>
      </c>
    </row>
    <row r="4673" spans="1:7" x14ac:dyDescent="0.2">
      <c r="A4673" t="s">
        <v>71</v>
      </c>
      <c r="B4673" t="s">
        <v>95</v>
      </c>
      <c r="C4673" t="s">
        <v>204</v>
      </c>
      <c r="D4673" t="s">
        <v>74</v>
      </c>
      <c r="E4673" t="s">
        <v>87</v>
      </c>
      <c r="F4673" s="55">
        <v>71</v>
      </c>
      <c r="G4673" s="63">
        <v>7.3000000000000001E-3</v>
      </c>
    </row>
    <row r="4674" spans="1:7" x14ac:dyDescent="0.2">
      <c r="A4674" t="s">
        <v>71</v>
      </c>
      <c r="B4674" t="s">
        <v>95</v>
      </c>
      <c r="C4674" t="s">
        <v>204</v>
      </c>
      <c r="D4674" t="s">
        <v>74</v>
      </c>
      <c r="E4674" t="s">
        <v>88</v>
      </c>
      <c r="F4674" s="55">
        <v>125</v>
      </c>
      <c r="G4674" s="63">
        <v>3.8E-3</v>
      </c>
    </row>
    <row r="4675" spans="1:7" x14ac:dyDescent="0.2">
      <c r="A4675" t="s">
        <v>89</v>
      </c>
      <c r="B4675" t="s">
        <v>96</v>
      </c>
      <c r="C4675" t="s">
        <v>204</v>
      </c>
      <c r="D4675" t="s">
        <v>74</v>
      </c>
      <c r="E4675" t="s">
        <v>75</v>
      </c>
      <c r="F4675" s="55">
        <v>113</v>
      </c>
      <c r="G4675" s="63">
        <v>5.4800000000000001E-2</v>
      </c>
    </row>
    <row r="4676" spans="1:7" x14ac:dyDescent="0.2">
      <c r="A4676" t="s">
        <v>89</v>
      </c>
      <c r="B4676" t="s">
        <v>96</v>
      </c>
      <c r="C4676" t="s">
        <v>204</v>
      </c>
      <c r="D4676" t="s">
        <v>74</v>
      </c>
      <c r="E4676" t="s">
        <v>76</v>
      </c>
      <c r="F4676" s="55">
        <v>85</v>
      </c>
      <c r="G4676" s="63">
        <v>1.5E-3</v>
      </c>
    </row>
    <row r="4677" spans="1:7" x14ac:dyDescent="0.2">
      <c r="A4677" t="s">
        <v>89</v>
      </c>
      <c r="B4677" t="s">
        <v>96</v>
      </c>
      <c r="C4677" t="s">
        <v>204</v>
      </c>
      <c r="D4677" t="s">
        <v>74</v>
      </c>
      <c r="E4677" t="s">
        <v>77</v>
      </c>
      <c r="F4677" s="55">
        <v>109</v>
      </c>
      <c r="G4677" s="63">
        <v>1.4999999999999999E-2</v>
      </c>
    </row>
    <row r="4678" spans="1:7" x14ac:dyDescent="0.2">
      <c r="A4678" t="s">
        <v>89</v>
      </c>
      <c r="B4678" t="s">
        <v>96</v>
      </c>
      <c r="C4678" t="s">
        <v>204</v>
      </c>
      <c r="D4678" t="s">
        <v>74</v>
      </c>
      <c r="E4678" t="s">
        <v>78</v>
      </c>
      <c r="F4678" s="55">
        <v>114</v>
      </c>
      <c r="G4678" s="63">
        <v>1.23E-2</v>
      </c>
    </row>
    <row r="4679" spans="1:7" x14ac:dyDescent="0.2">
      <c r="A4679" t="s">
        <v>89</v>
      </c>
      <c r="B4679" t="s">
        <v>96</v>
      </c>
      <c r="C4679" t="s">
        <v>204</v>
      </c>
      <c r="D4679" t="s">
        <v>74</v>
      </c>
      <c r="E4679" t="s">
        <v>79</v>
      </c>
      <c r="F4679" s="55">
        <v>114</v>
      </c>
      <c r="G4679" s="63">
        <v>3.2199999999999999E-2</v>
      </c>
    </row>
    <row r="4680" spans="1:7" x14ac:dyDescent="0.2">
      <c r="A4680" t="s">
        <v>89</v>
      </c>
      <c r="B4680" t="s">
        <v>96</v>
      </c>
      <c r="C4680" t="s">
        <v>204</v>
      </c>
      <c r="D4680" t="s">
        <v>74</v>
      </c>
      <c r="E4680" t="s">
        <v>80</v>
      </c>
      <c r="F4680" s="55">
        <v>115</v>
      </c>
      <c r="G4680" s="63">
        <v>1.8599999999999998E-2</v>
      </c>
    </row>
    <row r="4681" spans="1:7" x14ac:dyDescent="0.2">
      <c r="A4681" t="s">
        <v>89</v>
      </c>
      <c r="B4681" t="s">
        <v>96</v>
      </c>
      <c r="C4681" t="s">
        <v>204</v>
      </c>
      <c r="D4681" t="s">
        <v>74</v>
      </c>
      <c r="E4681" t="s">
        <v>81</v>
      </c>
      <c r="F4681" s="55">
        <v>109</v>
      </c>
      <c r="G4681" s="63">
        <v>1.6E-2</v>
      </c>
    </row>
    <row r="4682" spans="1:7" x14ac:dyDescent="0.2">
      <c r="A4682" t="s">
        <v>89</v>
      </c>
      <c r="B4682" t="s">
        <v>96</v>
      </c>
      <c r="C4682" t="s">
        <v>204</v>
      </c>
      <c r="D4682" t="s">
        <v>74</v>
      </c>
      <c r="E4682" t="s">
        <v>82</v>
      </c>
      <c r="F4682" s="55">
        <v>116</v>
      </c>
      <c r="G4682" s="63">
        <v>1.9699999999999999E-2</v>
      </c>
    </row>
    <row r="4683" spans="1:7" x14ac:dyDescent="0.2">
      <c r="A4683" t="s">
        <v>89</v>
      </c>
      <c r="B4683" t="s">
        <v>96</v>
      </c>
      <c r="C4683" t="s">
        <v>204</v>
      </c>
      <c r="D4683" t="s">
        <v>74</v>
      </c>
      <c r="E4683" t="s">
        <v>83</v>
      </c>
      <c r="F4683" s="55">
        <v>126</v>
      </c>
      <c r="G4683" s="63">
        <v>2.2000000000000001E-3</v>
      </c>
    </row>
    <row r="4684" spans="1:7" x14ac:dyDescent="0.2">
      <c r="A4684" t="s">
        <v>89</v>
      </c>
      <c r="B4684" t="s">
        <v>96</v>
      </c>
      <c r="C4684" t="s">
        <v>204</v>
      </c>
      <c r="D4684" t="s">
        <v>74</v>
      </c>
      <c r="E4684" t="s">
        <v>84</v>
      </c>
      <c r="F4684" s="55">
        <v>111</v>
      </c>
      <c r="G4684" s="63">
        <v>9.2999999999999992E-3</v>
      </c>
    </row>
    <row r="4685" spans="1:7" x14ac:dyDescent="0.2">
      <c r="A4685" t="s">
        <v>89</v>
      </c>
      <c r="B4685" t="s">
        <v>96</v>
      </c>
      <c r="C4685" t="s">
        <v>204</v>
      </c>
      <c r="D4685" t="s">
        <v>74</v>
      </c>
      <c r="E4685" t="s">
        <v>85</v>
      </c>
      <c r="F4685" s="55">
        <v>118</v>
      </c>
      <c r="G4685" s="63">
        <v>1.5800000000000002E-2</v>
      </c>
    </row>
    <row r="4686" spans="1:7" x14ac:dyDescent="0.2">
      <c r="A4686" t="s">
        <v>89</v>
      </c>
      <c r="B4686" t="s">
        <v>96</v>
      </c>
      <c r="C4686" t="s">
        <v>204</v>
      </c>
      <c r="D4686" t="s">
        <v>74</v>
      </c>
      <c r="E4686" t="s">
        <v>86</v>
      </c>
      <c r="F4686" s="55">
        <v>108</v>
      </c>
      <c r="G4686" s="63">
        <v>1.5599999999999999E-2</v>
      </c>
    </row>
    <row r="4687" spans="1:7" x14ac:dyDescent="0.2">
      <c r="A4687" t="s">
        <v>89</v>
      </c>
      <c r="B4687" t="s">
        <v>96</v>
      </c>
      <c r="C4687" t="s">
        <v>204</v>
      </c>
      <c r="D4687" t="s">
        <v>74</v>
      </c>
      <c r="E4687" t="s">
        <v>87</v>
      </c>
      <c r="F4687" s="55">
        <v>116</v>
      </c>
      <c r="G4687" s="63">
        <v>1.2800000000000001E-2</v>
      </c>
    </row>
    <row r="4688" spans="1:7" x14ac:dyDescent="0.2">
      <c r="A4688" t="s">
        <v>89</v>
      </c>
      <c r="B4688" t="s">
        <v>96</v>
      </c>
      <c r="C4688" t="s">
        <v>204</v>
      </c>
      <c r="D4688" t="s">
        <v>74</v>
      </c>
      <c r="E4688" t="s">
        <v>88</v>
      </c>
      <c r="F4688" s="55">
        <v>99</v>
      </c>
      <c r="G4688" s="63">
        <v>2.5999999999999999E-3</v>
      </c>
    </row>
    <row r="4689" spans="1:7" x14ac:dyDescent="0.2">
      <c r="A4689" t="s">
        <v>89</v>
      </c>
      <c r="B4689" t="s">
        <v>198</v>
      </c>
      <c r="C4689" t="s">
        <v>204</v>
      </c>
      <c r="D4689" t="s">
        <v>74</v>
      </c>
      <c r="E4689" t="s">
        <v>75</v>
      </c>
      <c r="F4689" s="55">
        <v>44</v>
      </c>
      <c r="G4689" s="63">
        <v>0.1328</v>
      </c>
    </row>
    <row r="4690" spans="1:7" x14ac:dyDescent="0.2">
      <c r="A4690" t="s">
        <v>89</v>
      </c>
      <c r="B4690" t="s">
        <v>198</v>
      </c>
      <c r="C4690" t="s">
        <v>204</v>
      </c>
      <c r="D4690" t="s">
        <v>74</v>
      </c>
      <c r="E4690" t="s">
        <v>76</v>
      </c>
      <c r="F4690" s="55">
        <v>54</v>
      </c>
      <c r="G4690" s="63">
        <v>1.29E-2</v>
      </c>
    </row>
    <row r="4691" spans="1:7" x14ac:dyDescent="0.2">
      <c r="A4691" t="s">
        <v>89</v>
      </c>
      <c r="B4691" t="s">
        <v>198</v>
      </c>
      <c r="C4691" t="s">
        <v>204</v>
      </c>
      <c r="D4691" t="s">
        <v>74</v>
      </c>
      <c r="E4691" t="s">
        <v>77</v>
      </c>
      <c r="F4691" s="55">
        <v>46</v>
      </c>
      <c r="G4691" s="63">
        <v>4.2200000000000001E-2</v>
      </c>
    </row>
    <row r="4692" spans="1:7" x14ac:dyDescent="0.2">
      <c r="A4692" t="s">
        <v>89</v>
      </c>
      <c r="B4692" t="s">
        <v>198</v>
      </c>
      <c r="C4692" t="s">
        <v>204</v>
      </c>
      <c r="D4692" t="s">
        <v>74</v>
      </c>
      <c r="E4692" t="s">
        <v>78</v>
      </c>
      <c r="F4692" s="55">
        <v>46</v>
      </c>
      <c r="G4692" s="63">
        <v>3.1899999999999998E-2</v>
      </c>
    </row>
    <row r="4693" spans="1:7" x14ac:dyDescent="0.2">
      <c r="A4693" t="s">
        <v>89</v>
      </c>
      <c r="B4693" t="s">
        <v>198</v>
      </c>
      <c r="C4693" t="s">
        <v>204</v>
      </c>
      <c r="D4693" t="s">
        <v>74</v>
      </c>
      <c r="E4693" t="s">
        <v>79</v>
      </c>
      <c r="F4693" s="55">
        <v>41</v>
      </c>
      <c r="G4693" s="63">
        <v>6.7299999999999999E-2</v>
      </c>
    </row>
    <row r="4694" spans="1:7" x14ac:dyDescent="0.2">
      <c r="A4694" t="s">
        <v>89</v>
      </c>
      <c r="B4694" t="s">
        <v>198</v>
      </c>
      <c r="C4694" t="s">
        <v>204</v>
      </c>
      <c r="D4694" t="s">
        <v>74</v>
      </c>
      <c r="E4694" t="s">
        <v>80</v>
      </c>
      <c r="F4694" s="55">
        <v>53</v>
      </c>
      <c r="G4694" s="63">
        <v>1.0699999999999999E-2</v>
      </c>
    </row>
    <row r="4695" spans="1:7" x14ac:dyDescent="0.2">
      <c r="A4695" t="s">
        <v>89</v>
      </c>
      <c r="B4695" t="s">
        <v>198</v>
      </c>
      <c r="C4695" t="s">
        <v>204</v>
      </c>
      <c r="D4695" t="s">
        <v>74</v>
      </c>
      <c r="E4695" t="s">
        <v>81</v>
      </c>
      <c r="F4695" s="55">
        <v>70</v>
      </c>
      <c r="G4695" s="63">
        <v>1.41E-2</v>
      </c>
    </row>
    <row r="4696" spans="1:7" x14ac:dyDescent="0.2">
      <c r="A4696" t="s">
        <v>89</v>
      </c>
      <c r="B4696" t="s">
        <v>198</v>
      </c>
      <c r="C4696" t="s">
        <v>204</v>
      </c>
      <c r="D4696" t="s">
        <v>74</v>
      </c>
      <c r="E4696" t="s">
        <v>82</v>
      </c>
      <c r="F4696" s="55">
        <v>42</v>
      </c>
      <c r="G4696" s="63">
        <v>5.4899999999999997E-2</v>
      </c>
    </row>
    <row r="4697" spans="1:7" x14ac:dyDescent="0.2">
      <c r="A4697" t="s">
        <v>89</v>
      </c>
      <c r="B4697" t="s">
        <v>198</v>
      </c>
      <c r="C4697" t="s">
        <v>204</v>
      </c>
      <c r="D4697" t="s">
        <v>74</v>
      </c>
      <c r="E4697" t="s">
        <v>83</v>
      </c>
      <c r="F4697" s="55">
        <v>56</v>
      </c>
      <c r="G4697" s="63">
        <v>6.7000000000000002E-3</v>
      </c>
    </row>
    <row r="4698" spans="1:7" x14ac:dyDescent="0.2">
      <c r="A4698" t="s">
        <v>89</v>
      </c>
      <c r="B4698" t="s">
        <v>198</v>
      </c>
      <c r="C4698" t="s">
        <v>204</v>
      </c>
      <c r="D4698" t="s">
        <v>74</v>
      </c>
      <c r="E4698" t="s">
        <v>84</v>
      </c>
      <c r="F4698" s="55">
        <v>48</v>
      </c>
      <c r="G4698" s="63">
        <v>2.1000000000000001E-2</v>
      </c>
    </row>
    <row r="4699" spans="1:7" x14ac:dyDescent="0.2">
      <c r="A4699" t="s">
        <v>89</v>
      </c>
      <c r="B4699" t="s">
        <v>198</v>
      </c>
      <c r="C4699" t="s">
        <v>204</v>
      </c>
      <c r="D4699" t="s">
        <v>74</v>
      </c>
      <c r="E4699" t="s">
        <v>85</v>
      </c>
      <c r="F4699" s="55">
        <v>38</v>
      </c>
      <c r="G4699" s="63">
        <v>9.4999999999999998E-3</v>
      </c>
    </row>
    <row r="4700" spans="1:7" x14ac:dyDescent="0.2">
      <c r="A4700" t="s">
        <v>89</v>
      </c>
      <c r="B4700" t="s">
        <v>198</v>
      </c>
      <c r="C4700" t="s">
        <v>204</v>
      </c>
      <c r="D4700" t="s">
        <v>74</v>
      </c>
      <c r="E4700" t="s">
        <v>86</v>
      </c>
      <c r="F4700" s="55">
        <v>38</v>
      </c>
      <c r="G4700" s="63">
        <v>1.8700000000000001E-2</v>
      </c>
    </row>
    <row r="4701" spans="1:7" x14ac:dyDescent="0.2">
      <c r="A4701" t="s">
        <v>89</v>
      </c>
      <c r="B4701" t="s">
        <v>198</v>
      </c>
      <c r="C4701" t="s">
        <v>204</v>
      </c>
      <c r="D4701" t="s">
        <v>74</v>
      </c>
      <c r="E4701" t="s">
        <v>87</v>
      </c>
      <c r="F4701" s="55">
        <v>39</v>
      </c>
      <c r="G4701" s="63">
        <v>2.63E-2</v>
      </c>
    </row>
    <row r="4702" spans="1:7" x14ac:dyDescent="0.2">
      <c r="A4702" t="s">
        <v>89</v>
      </c>
      <c r="B4702" t="s">
        <v>198</v>
      </c>
      <c r="C4702" t="s">
        <v>204</v>
      </c>
      <c r="D4702" t="s">
        <v>74</v>
      </c>
      <c r="E4702" t="s">
        <v>88</v>
      </c>
      <c r="F4702" s="55">
        <v>53</v>
      </c>
      <c r="G4702" s="63">
        <v>2.1100000000000001E-2</v>
      </c>
    </row>
    <row r="4703" spans="1:7" x14ac:dyDescent="0.2">
      <c r="A4703" t="s">
        <v>71</v>
      </c>
      <c r="B4703" t="s">
        <v>97</v>
      </c>
      <c r="C4703" t="s">
        <v>204</v>
      </c>
      <c r="D4703" t="s">
        <v>74</v>
      </c>
      <c r="E4703" t="s">
        <v>75</v>
      </c>
      <c r="F4703" s="55">
        <v>96</v>
      </c>
      <c r="G4703" s="63">
        <v>0.21210000000000001</v>
      </c>
    </row>
    <row r="4704" spans="1:7" x14ac:dyDescent="0.2">
      <c r="A4704" t="s">
        <v>71</v>
      </c>
      <c r="B4704" t="s">
        <v>97</v>
      </c>
      <c r="C4704" t="s">
        <v>204</v>
      </c>
      <c r="D4704" t="s">
        <v>74</v>
      </c>
      <c r="E4704" t="s">
        <v>76</v>
      </c>
      <c r="F4704" s="55">
        <v>104</v>
      </c>
      <c r="G4704" s="63">
        <v>2.86E-2</v>
      </c>
    </row>
    <row r="4705" spans="1:7" x14ac:dyDescent="0.2">
      <c r="A4705" t="s">
        <v>71</v>
      </c>
      <c r="B4705" t="s">
        <v>97</v>
      </c>
      <c r="C4705" t="s">
        <v>204</v>
      </c>
      <c r="D4705" t="s">
        <v>74</v>
      </c>
      <c r="E4705" t="s">
        <v>77</v>
      </c>
      <c r="F4705" s="55">
        <v>99</v>
      </c>
      <c r="G4705" s="63">
        <v>8.3599999999999994E-2</v>
      </c>
    </row>
    <row r="4706" spans="1:7" x14ac:dyDescent="0.2">
      <c r="A4706" t="s">
        <v>71</v>
      </c>
      <c r="B4706" t="s">
        <v>97</v>
      </c>
      <c r="C4706" t="s">
        <v>204</v>
      </c>
      <c r="D4706" t="s">
        <v>74</v>
      </c>
      <c r="E4706" t="s">
        <v>78</v>
      </c>
      <c r="F4706" s="55">
        <v>99</v>
      </c>
      <c r="G4706" s="63">
        <v>8.1600000000000006E-2</v>
      </c>
    </row>
    <row r="4707" spans="1:7" x14ac:dyDescent="0.2">
      <c r="A4707" t="s">
        <v>71</v>
      </c>
      <c r="B4707" t="s">
        <v>97</v>
      </c>
      <c r="C4707" t="s">
        <v>204</v>
      </c>
      <c r="D4707" t="s">
        <v>74</v>
      </c>
      <c r="E4707" t="s">
        <v>79</v>
      </c>
      <c r="F4707" s="55">
        <v>96</v>
      </c>
      <c r="G4707" s="63">
        <v>0.14030000000000001</v>
      </c>
    </row>
    <row r="4708" spans="1:7" x14ac:dyDescent="0.2">
      <c r="A4708" t="s">
        <v>71</v>
      </c>
      <c r="B4708" t="s">
        <v>97</v>
      </c>
      <c r="C4708" t="s">
        <v>204</v>
      </c>
      <c r="D4708" t="s">
        <v>74</v>
      </c>
      <c r="E4708" t="s">
        <v>80</v>
      </c>
      <c r="F4708" s="55">
        <v>102</v>
      </c>
      <c r="G4708" s="63">
        <v>3.61E-2</v>
      </c>
    </row>
    <row r="4709" spans="1:7" x14ac:dyDescent="0.2">
      <c r="A4709" t="s">
        <v>71</v>
      </c>
      <c r="B4709" t="s">
        <v>97</v>
      </c>
      <c r="C4709" t="s">
        <v>204</v>
      </c>
      <c r="D4709" t="s">
        <v>74</v>
      </c>
      <c r="E4709" t="s">
        <v>81</v>
      </c>
      <c r="F4709" s="55">
        <v>109</v>
      </c>
      <c r="G4709" s="63">
        <v>3.9399999999999998E-2</v>
      </c>
    </row>
    <row r="4710" spans="1:7" x14ac:dyDescent="0.2">
      <c r="A4710" t="s">
        <v>71</v>
      </c>
      <c r="B4710" t="s">
        <v>97</v>
      </c>
      <c r="C4710" t="s">
        <v>204</v>
      </c>
      <c r="D4710" t="s">
        <v>74</v>
      </c>
      <c r="E4710" t="s">
        <v>82</v>
      </c>
      <c r="F4710" s="55">
        <v>85</v>
      </c>
      <c r="G4710" s="63">
        <v>9.0300000000000005E-2</v>
      </c>
    </row>
    <row r="4711" spans="1:7" x14ac:dyDescent="0.2">
      <c r="A4711" t="s">
        <v>71</v>
      </c>
      <c r="B4711" t="s">
        <v>97</v>
      </c>
      <c r="C4711" t="s">
        <v>204</v>
      </c>
      <c r="D4711" t="s">
        <v>74</v>
      </c>
      <c r="E4711" t="s">
        <v>83</v>
      </c>
      <c r="F4711" s="55">
        <v>111</v>
      </c>
      <c r="G4711" s="63">
        <v>2.1899999999999999E-2</v>
      </c>
    </row>
    <row r="4712" spans="1:7" x14ac:dyDescent="0.2">
      <c r="A4712" t="s">
        <v>71</v>
      </c>
      <c r="B4712" t="s">
        <v>97</v>
      </c>
      <c r="C4712" t="s">
        <v>204</v>
      </c>
      <c r="D4712" t="s">
        <v>74</v>
      </c>
      <c r="E4712" t="s">
        <v>84</v>
      </c>
      <c r="F4712" s="55">
        <v>100</v>
      </c>
      <c r="G4712" s="63">
        <v>6.3700000000000007E-2</v>
      </c>
    </row>
    <row r="4713" spans="1:7" x14ac:dyDescent="0.2">
      <c r="A4713" t="s">
        <v>71</v>
      </c>
      <c r="B4713" t="s">
        <v>97</v>
      </c>
      <c r="C4713" t="s">
        <v>204</v>
      </c>
      <c r="D4713" t="s">
        <v>74</v>
      </c>
      <c r="E4713" t="s">
        <v>85</v>
      </c>
      <c r="F4713" s="55">
        <v>98</v>
      </c>
      <c r="G4713" s="63">
        <v>4.4200000000000003E-2</v>
      </c>
    </row>
    <row r="4714" spans="1:7" x14ac:dyDescent="0.2">
      <c r="A4714" t="s">
        <v>71</v>
      </c>
      <c r="B4714" t="s">
        <v>97</v>
      </c>
      <c r="C4714" t="s">
        <v>204</v>
      </c>
      <c r="D4714" t="s">
        <v>74</v>
      </c>
      <c r="E4714" t="s">
        <v>86</v>
      </c>
      <c r="F4714" s="55">
        <v>97</v>
      </c>
      <c r="G4714" s="63">
        <v>6.0199999999999997E-2</v>
      </c>
    </row>
    <row r="4715" spans="1:7" x14ac:dyDescent="0.2">
      <c r="A4715" t="s">
        <v>71</v>
      </c>
      <c r="B4715" t="s">
        <v>97</v>
      </c>
      <c r="C4715" t="s">
        <v>204</v>
      </c>
      <c r="D4715" t="s">
        <v>74</v>
      </c>
      <c r="E4715" t="s">
        <v>87</v>
      </c>
      <c r="F4715" s="55">
        <v>96</v>
      </c>
      <c r="G4715" s="63">
        <v>7.4099999999999999E-2</v>
      </c>
    </row>
    <row r="4716" spans="1:7" x14ac:dyDescent="0.2">
      <c r="A4716" t="s">
        <v>71</v>
      </c>
      <c r="B4716" t="s">
        <v>97</v>
      </c>
      <c r="C4716" t="s">
        <v>204</v>
      </c>
      <c r="D4716" t="s">
        <v>74</v>
      </c>
      <c r="E4716" t="s">
        <v>88</v>
      </c>
      <c r="F4716" s="55">
        <v>100</v>
      </c>
      <c r="G4716" s="63">
        <v>4.6399999999999997E-2</v>
      </c>
    </row>
    <row r="4717" spans="1:7" x14ac:dyDescent="0.2">
      <c r="A4717" t="s">
        <v>89</v>
      </c>
      <c r="B4717" t="s">
        <v>98</v>
      </c>
      <c r="C4717" t="s">
        <v>204</v>
      </c>
      <c r="D4717" t="s">
        <v>74</v>
      </c>
      <c r="E4717" t="s">
        <v>75</v>
      </c>
      <c r="F4717" s="55">
        <v>64</v>
      </c>
      <c r="G4717" s="63">
        <v>2.3099999999999999E-2</v>
      </c>
    </row>
    <row r="4718" spans="1:7" x14ac:dyDescent="0.2">
      <c r="A4718" t="s">
        <v>89</v>
      </c>
      <c r="B4718" t="s">
        <v>98</v>
      </c>
      <c r="C4718" t="s">
        <v>204</v>
      </c>
      <c r="D4718" t="s">
        <v>74</v>
      </c>
      <c r="E4718" t="s">
        <v>76</v>
      </c>
      <c r="F4718" s="55">
        <v>83</v>
      </c>
      <c r="G4718" s="63">
        <v>6.9999999999999999E-4</v>
      </c>
    </row>
    <row r="4719" spans="1:7" x14ac:dyDescent="0.2">
      <c r="A4719" t="s">
        <v>89</v>
      </c>
      <c r="B4719" t="s">
        <v>98</v>
      </c>
      <c r="C4719" t="s">
        <v>204</v>
      </c>
      <c r="D4719" t="s">
        <v>74</v>
      </c>
      <c r="E4719" t="s">
        <v>77</v>
      </c>
      <c r="F4719" s="55">
        <v>63</v>
      </c>
      <c r="G4719" s="63">
        <v>6.0000000000000001E-3</v>
      </c>
    </row>
    <row r="4720" spans="1:7" x14ac:dyDescent="0.2">
      <c r="A4720" t="s">
        <v>89</v>
      </c>
      <c r="B4720" t="s">
        <v>98</v>
      </c>
      <c r="C4720" t="s">
        <v>204</v>
      </c>
      <c r="D4720" t="s">
        <v>74</v>
      </c>
      <c r="E4720" t="s">
        <v>78</v>
      </c>
      <c r="F4720" s="55">
        <v>58</v>
      </c>
      <c r="G4720" s="63">
        <v>4.5999999999999999E-3</v>
      </c>
    </row>
    <row r="4721" spans="1:7" x14ac:dyDescent="0.2">
      <c r="A4721" t="s">
        <v>89</v>
      </c>
      <c r="B4721" t="s">
        <v>98</v>
      </c>
      <c r="C4721" t="s">
        <v>204</v>
      </c>
      <c r="D4721" t="s">
        <v>74</v>
      </c>
      <c r="E4721" t="s">
        <v>79</v>
      </c>
      <c r="F4721" s="55">
        <v>61</v>
      </c>
      <c r="G4721" s="63">
        <v>1.3299999999999999E-2</v>
      </c>
    </row>
    <row r="4722" spans="1:7" x14ac:dyDescent="0.2">
      <c r="A4722" t="s">
        <v>89</v>
      </c>
      <c r="B4722" t="s">
        <v>98</v>
      </c>
      <c r="C4722" t="s">
        <v>204</v>
      </c>
      <c r="D4722" t="s">
        <v>74</v>
      </c>
      <c r="E4722" t="s">
        <v>80</v>
      </c>
      <c r="F4722" s="55">
        <v>61</v>
      </c>
      <c r="G4722" s="63">
        <v>5.0000000000000001E-3</v>
      </c>
    </row>
    <row r="4723" spans="1:7" x14ac:dyDescent="0.2">
      <c r="A4723" t="s">
        <v>89</v>
      </c>
      <c r="B4723" t="s">
        <v>98</v>
      </c>
      <c r="C4723" t="s">
        <v>204</v>
      </c>
      <c r="D4723" t="s">
        <v>74</v>
      </c>
      <c r="E4723" t="s">
        <v>81</v>
      </c>
      <c r="F4723" s="55">
        <v>66</v>
      </c>
      <c r="G4723" s="63">
        <v>4.4999999999999997E-3</v>
      </c>
    </row>
    <row r="4724" spans="1:7" x14ac:dyDescent="0.2">
      <c r="A4724" t="s">
        <v>89</v>
      </c>
      <c r="B4724" t="s">
        <v>98</v>
      </c>
      <c r="C4724" t="s">
        <v>204</v>
      </c>
      <c r="D4724" t="s">
        <v>74</v>
      </c>
      <c r="E4724" t="s">
        <v>82</v>
      </c>
      <c r="F4724" s="55">
        <v>68</v>
      </c>
      <c r="G4724" s="63">
        <v>7.7999999999999996E-3</v>
      </c>
    </row>
    <row r="4725" spans="1:7" x14ac:dyDescent="0.2">
      <c r="A4725" t="s">
        <v>89</v>
      </c>
      <c r="B4725" t="s">
        <v>98</v>
      </c>
      <c r="C4725" t="s">
        <v>204</v>
      </c>
      <c r="D4725" t="s">
        <v>74</v>
      </c>
      <c r="E4725" t="s">
        <v>84</v>
      </c>
      <c r="F4725" s="55">
        <v>54</v>
      </c>
      <c r="G4725" s="63">
        <v>3.3E-3</v>
      </c>
    </row>
    <row r="4726" spans="1:7" x14ac:dyDescent="0.2">
      <c r="A4726" t="s">
        <v>89</v>
      </c>
      <c r="B4726" t="s">
        <v>98</v>
      </c>
      <c r="C4726" t="s">
        <v>204</v>
      </c>
      <c r="D4726" t="s">
        <v>74</v>
      </c>
      <c r="E4726" t="s">
        <v>85</v>
      </c>
      <c r="F4726" s="55">
        <v>64</v>
      </c>
      <c r="G4726" s="63">
        <v>5.1999999999999998E-3</v>
      </c>
    </row>
    <row r="4727" spans="1:7" x14ac:dyDescent="0.2">
      <c r="A4727" t="s">
        <v>89</v>
      </c>
      <c r="B4727" t="s">
        <v>98</v>
      </c>
      <c r="C4727" t="s">
        <v>204</v>
      </c>
      <c r="D4727" t="s">
        <v>74</v>
      </c>
      <c r="E4727" t="s">
        <v>86</v>
      </c>
      <c r="F4727" s="55">
        <v>69</v>
      </c>
      <c r="G4727" s="63">
        <v>5.3E-3</v>
      </c>
    </row>
    <row r="4728" spans="1:7" x14ac:dyDescent="0.2">
      <c r="A4728" t="s">
        <v>89</v>
      </c>
      <c r="B4728" t="s">
        <v>98</v>
      </c>
      <c r="C4728" t="s">
        <v>204</v>
      </c>
      <c r="D4728" t="s">
        <v>74</v>
      </c>
      <c r="E4728" t="s">
        <v>87</v>
      </c>
      <c r="F4728" s="55">
        <v>48</v>
      </c>
      <c r="G4728" s="63">
        <v>3.8E-3</v>
      </c>
    </row>
    <row r="4729" spans="1:7" x14ac:dyDescent="0.2">
      <c r="A4729" t="s">
        <v>89</v>
      </c>
      <c r="B4729" t="s">
        <v>98</v>
      </c>
      <c r="C4729" t="s">
        <v>204</v>
      </c>
      <c r="D4729" t="s">
        <v>74</v>
      </c>
      <c r="E4729" t="s">
        <v>88</v>
      </c>
      <c r="F4729" s="55">
        <v>87</v>
      </c>
      <c r="G4729" s="63">
        <v>1.2999999999999999E-3</v>
      </c>
    </row>
    <row r="4730" spans="1:7" x14ac:dyDescent="0.2">
      <c r="A4730" t="s">
        <v>89</v>
      </c>
      <c r="B4730" t="s">
        <v>99</v>
      </c>
      <c r="C4730" t="s">
        <v>204</v>
      </c>
      <c r="D4730" t="s">
        <v>74</v>
      </c>
      <c r="E4730" t="s">
        <v>75</v>
      </c>
      <c r="F4730" s="55">
        <v>65</v>
      </c>
      <c r="G4730" s="63">
        <v>2.8000000000000001E-2</v>
      </c>
    </row>
    <row r="4731" spans="1:7" x14ac:dyDescent="0.2">
      <c r="A4731" t="s">
        <v>89</v>
      </c>
      <c r="B4731" t="s">
        <v>99</v>
      </c>
      <c r="C4731" t="s">
        <v>204</v>
      </c>
      <c r="D4731" t="s">
        <v>74</v>
      </c>
      <c r="E4731" t="s">
        <v>76</v>
      </c>
      <c r="F4731" s="55">
        <v>96</v>
      </c>
      <c r="G4731" s="63">
        <v>1.5E-3</v>
      </c>
    </row>
    <row r="4732" spans="1:7" x14ac:dyDescent="0.2">
      <c r="A4732" t="s">
        <v>89</v>
      </c>
      <c r="B4732" t="s">
        <v>99</v>
      </c>
      <c r="C4732" t="s">
        <v>204</v>
      </c>
      <c r="D4732" t="s">
        <v>74</v>
      </c>
      <c r="E4732" t="s">
        <v>77</v>
      </c>
      <c r="F4732" s="55">
        <v>58</v>
      </c>
      <c r="G4732" s="63">
        <v>6.0000000000000001E-3</v>
      </c>
    </row>
    <row r="4733" spans="1:7" x14ac:dyDescent="0.2">
      <c r="A4733" t="s">
        <v>89</v>
      </c>
      <c r="B4733" t="s">
        <v>99</v>
      </c>
      <c r="C4733" t="s">
        <v>204</v>
      </c>
      <c r="D4733" t="s">
        <v>74</v>
      </c>
      <c r="E4733" t="s">
        <v>78</v>
      </c>
      <c r="F4733" s="55">
        <v>51</v>
      </c>
      <c r="G4733" s="63">
        <v>4.4000000000000003E-3</v>
      </c>
    </row>
    <row r="4734" spans="1:7" x14ac:dyDescent="0.2">
      <c r="A4734" t="s">
        <v>89</v>
      </c>
      <c r="B4734" t="s">
        <v>99</v>
      </c>
      <c r="C4734" t="s">
        <v>204</v>
      </c>
      <c r="D4734" t="s">
        <v>74</v>
      </c>
      <c r="E4734" t="s">
        <v>79</v>
      </c>
      <c r="F4734" s="55">
        <v>63</v>
      </c>
      <c r="G4734" s="63">
        <v>1.5800000000000002E-2</v>
      </c>
    </row>
    <row r="4735" spans="1:7" x14ac:dyDescent="0.2">
      <c r="A4735" t="s">
        <v>89</v>
      </c>
      <c r="B4735" t="s">
        <v>99</v>
      </c>
      <c r="C4735" t="s">
        <v>204</v>
      </c>
      <c r="D4735" t="s">
        <v>74</v>
      </c>
      <c r="E4735" t="s">
        <v>80</v>
      </c>
      <c r="F4735" s="55">
        <v>61</v>
      </c>
      <c r="G4735" s="63">
        <v>7.7000000000000002E-3</v>
      </c>
    </row>
    <row r="4736" spans="1:7" x14ac:dyDescent="0.2">
      <c r="A4736" t="s">
        <v>89</v>
      </c>
      <c r="B4736" t="s">
        <v>99</v>
      </c>
      <c r="C4736" t="s">
        <v>204</v>
      </c>
      <c r="D4736" t="s">
        <v>74</v>
      </c>
      <c r="E4736" t="s">
        <v>81</v>
      </c>
      <c r="F4736" s="55">
        <v>67</v>
      </c>
      <c r="G4736" s="63">
        <v>7.7000000000000002E-3</v>
      </c>
    </row>
    <row r="4737" spans="1:7" x14ac:dyDescent="0.2">
      <c r="A4737" t="s">
        <v>89</v>
      </c>
      <c r="B4737" t="s">
        <v>99</v>
      </c>
      <c r="C4737" t="s">
        <v>204</v>
      </c>
      <c r="D4737" t="s">
        <v>74</v>
      </c>
      <c r="E4737" t="s">
        <v>82</v>
      </c>
      <c r="F4737" s="55">
        <v>77</v>
      </c>
      <c r="G4737" s="63">
        <v>8.8999999999999999E-3</v>
      </c>
    </row>
    <row r="4738" spans="1:7" x14ac:dyDescent="0.2">
      <c r="A4738" t="s">
        <v>89</v>
      </c>
      <c r="B4738" t="s">
        <v>99</v>
      </c>
      <c r="C4738" t="s">
        <v>204</v>
      </c>
      <c r="D4738" t="s">
        <v>74</v>
      </c>
      <c r="E4738" t="s">
        <v>83</v>
      </c>
      <c r="F4738" s="55">
        <v>79</v>
      </c>
      <c r="G4738" s="63">
        <v>2.2000000000000001E-3</v>
      </c>
    </row>
    <row r="4739" spans="1:7" x14ac:dyDescent="0.2">
      <c r="A4739" t="s">
        <v>89</v>
      </c>
      <c r="B4739" t="s">
        <v>99</v>
      </c>
      <c r="C4739" t="s">
        <v>204</v>
      </c>
      <c r="D4739" t="s">
        <v>74</v>
      </c>
      <c r="E4739" t="s">
        <v>84</v>
      </c>
      <c r="F4739" s="55">
        <v>55</v>
      </c>
      <c r="G4739" s="63">
        <v>3.3999999999999998E-3</v>
      </c>
    </row>
    <row r="4740" spans="1:7" x14ac:dyDescent="0.2">
      <c r="A4740" t="s">
        <v>89</v>
      </c>
      <c r="B4740" t="s">
        <v>99</v>
      </c>
      <c r="C4740" t="s">
        <v>204</v>
      </c>
      <c r="D4740" t="s">
        <v>74</v>
      </c>
      <c r="E4740" t="s">
        <v>85</v>
      </c>
      <c r="F4740" s="55">
        <v>65</v>
      </c>
      <c r="G4740" s="63">
        <v>6.7999999999999996E-3</v>
      </c>
    </row>
    <row r="4741" spans="1:7" x14ac:dyDescent="0.2">
      <c r="A4741" t="s">
        <v>89</v>
      </c>
      <c r="B4741" t="s">
        <v>99</v>
      </c>
      <c r="C4741" t="s">
        <v>204</v>
      </c>
      <c r="D4741" t="s">
        <v>74</v>
      </c>
      <c r="E4741" t="s">
        <v>86</v>
      </c>
      <c r="F4741" s="55">
        <v>67</v>
      </c>
      <c r="G4741" s="63">
        <v>6.4999999999999997E-3</v>
      </c>
    </row>
    <row r="4742" spans="1:7" x14ac:dyDescent="0.2">
      <c r="A4742" t="s">
        <v>89</v>
      </c>
      <c r="B4742" t="s">
        <v>99</v>
      </c>
      <c r="C4742" t="s">
        <v>204</v>
      </c>
      <c r="D4742" t="s">
        <v>74</v>
      </c>
      <c r="E4742" t="s">
        <v>87</v>
      </c>
      <c r="F4742" s="55">
        <v>64</v>
      </c>
      <c r="G4742" s="63">
        <v>6.1000000000000004E-3</v>
      </c>
    </row>
    <row r="4743" spans="1:7" x14ac:dyDescent="0.2">
      <c r="A4743" t="s">
        <v>89</v>
      </c>
      <c r="B4743" t="s">
        <v>99</v>
      </c>
      <c r="C4743" t="s">
        <v>204</v>
      </c>
      <c r="D4743" t="s">
        <v>74</v>
      </c>
      <c r="E4743" t="s">
        <v>88</v>
      </c>
      <c r="F4743" s="55">
        <v>80</v>
      </c>
      <c r="G4743" s="63">
        <v>3.0000000000000001E-3</v>
      </c>
    </row>
    <row r="4744" spans="1:7" x14ac:dyDescent="0.2">
      <c r="A4744" t="s">
        <v>71</v>
      </c>
      <c r="B4744" t="s">
        <v>100</v>
      </c>
      <c r="C4744" t="s">
        <v>204</v>
      </c>
      <c r="D4744" t="s">
        <v>74</v>
      </c>
      <c r="E4744" t="s">
        <v>75</v>
      </c>
      <c r="F4744" s="55">
        <v>130</v>
      </c>
      <c r="G4744" s="63">
        <v>1.7299999999999999E-2</v>
      </c>
    </row>
    <row r="4745" spans="1:7" x14ac:dyDescent="0.2">
      <c r="A4745" t="s">
        <v>71</v>
      </c>
      <c r="B4745" t="s">
        <v>100</v>
      </c>
      <c r="C4745" t="s">
        <v>204</v>
      </c>
      <c r="D4745" t="s">
        <v>74</v>
      </c>
      <c r="E4745" t="s">
        <v>77</v>
      </c>
      <c r="F4745" s="55">
        <v>81</v>
      </c>
      <c r="G4745" s="63">
        <v>2.0999999999999999E-3</v>
      </c>
    </row>
    <row r="4746" spans="1:7" x14ac:dyDescent="0.2">
      <c r="A4746" t="s">
        <v>71</v>
      </c>
      <c r="B4746" t="s">
        <v>100</v>
      </c>
      <c r="C4746" t="s">
        <v>204</v>
      </c>
      <c r="D4746" t="s">
        <v>74</v>
      </c>
      <c r="E4746" t="s">
        <v>78</v>
      </c>
      <c r="F4746" s="55">
        <v>99</v>
      </c>
      <c r="G4746" s="63">
        <v>3.0999999999999999E-3</v>
      </c>
    </row>
    <row r="4747" spans="1:7" x14ac:dyDescent="0.2">
      <c r="A4747" t="s">
        <v>71</v>
      </c>
      <c r="B4747" t="s">
        <v>100</v>
      </c>
      <c r="C4747" t="s">
        <v>204</v>
      </c>
      <c r="D4747" t="s">
        <v>74</v>
      </c>
      <c r="E4747" t="s">
        <v>79</v>
      </c>
      <c r="F4747" s="55">
        <v>140</v>
      </c>
      <c r="G4747" s="63">
        <v>1.34E-2</v>
      </c>
    </row>
    <row r="4748" spans="1:7" x14ac:dyDescent="0.2">
      <c r="A4748" t="s">
        <v>71</v>
      </c>
      <c r="B4748" t="s">
        <v>100</v>
      </c>
      <c r="C4748" t="s">
        <v>204</v>
      </c>
      <c r="D4748" t="s">
        <v>74</v>
      </c>
      <c r="E4748" t="s">
        <v>80</v>
      </c>
      <c r="F4748" s="55">
        <v>123</v>
      </c>
      <c r="G4748" s="63">
        <v>5.3E-3</v>
      </c>
    </row>
    <row r="4749" spans="1:7" x14ac:dyDescent="0.2">
      <c r="A4749" t="s">
        <v>71</v>
      </c>
      <c r="B4749" t="s">
        <v>100</v>
      </c>
      <c r="C4749" t="s">
        <v>204</v>
      </c>
      <c r="D4749" t="s">
        <v>74</v>
      </c>
      <c r="E4749" t="s">
        <v>81</v>
      </c>
      <c r="F4749" s="55">
        <v>136</v>
      </c>
      <c r="G4749" s="63">
        <v>3.5000000000000001E-3</v>
      </c>
    </row>
    <row r="4750" spans="1:7" x14ac:dyDescent="0.2">
      <c r="A4750" t="s">
        <v>71</v>
      </c>
      <c r="B4750" t="s">
        <v>100</v>
      </c>
      <c r="C4750" t="s">
        <v>204</v>
      </c>
      <c r="D4750" t="s">
        <v>74</v>
      </c>
      <c r="E4750" t="s">
        <v>82</v>
      </c>
      <c r="F4750" s="55">
        <v>120</v>
      </c>
      <c r="G4750" s="63">
        <v>7.1999999999999998E-3</v>
      </c>
    </row>
    <row r="4751" spans="1:7" x14ac:dyDescent="0.2">
      <c r="A4751" t="s">
        <v>71</v>
      </c>
      <c r="B4751" t="s">
        <v>100</v>
      </c>
      <c r="C4751" t="s">
        <v>204</v>
      </c>
      <c r="D4751" t="s">
        <v>74</v>
      </c>
      <c r="E4751" t="s">
        <v>83</v>
      </c>
      <c r="F4751" s="55">
        <v>110</v>
      </c>
      <c r="G4751" s="63">
        <v>8.0000000000000004E-4</v>
      </c>
    </row>
    <row r="4752" spans="1:7" x14ac:dyDescent="0.2">
      <c r="A4752" t="s">
        <v>71</v>
      </c>
      <c r="B4752" t="s">
        <v>100</v>
      </c>
      <c r="C4752" t="s">
        <v>204</v>
      </c>
      <c r="D4752" t="s">
        <v>74</v>
      </c>
      <c r="E4752" t="s">
        <v>84</v>
      </c>
      <c r="F4752" s="55">
        <v>88</v>
      </c>
      <c r="G4752" s="63">
        <v>1.6000000000000001E-3</v>
      </c>
    </row>
    <row r="4753" spans="1:7" x14ac:dyDescent="0.2">
      <c r="A4753" t="s">
        <v>71</v>
      </c>
      <c r="B4753" t="s">
        <v>100</v>
      </c>
      <c r="C4753" t="s">
        <v>204</v>
      </c>
      <c r="D4753" t="s">
        <v>74</v>
      </c>
      <c r="E4753" t="s">
        <v>85</v>
      </c>
      <c r="F4753" s="55">
        <v>133</v>
      </c>
      <c r="G4753" s="63">
        <v>7.4999999999999997E-3</v>
      </c>
    </row>
    <row r="4754" spans="1:7" x14ac:dyDescent="0.2">
      <c r="A4754" t="s">
        <v>71</v>
      </c>
      <c r="B4754" t="s">
        <v>100</v>
      </c>
      <c r="C4754" t="s">
        <v>204</v>
      </c>
      <c r="D4754" t="s">
        <v>74</v>
      </c>
      <c r="E4754" t="s">
        <v>86</v>
      </c>
      <c r="F4754" s="55">
        <v>145</v>
      </c>
      <c r="G4754" s="63">
        <v>8.3000000000000001E-3</v>
      </c>
    </row>
    <row r="4755" spans="1:7" x14ac:dyDescent="0.2">
      <c r="A4755" t="s">
        <v>71</v>
      </c>
      <c r="B4755" t="s">
        <v>100</v>
      </c>
      <c r="C4755" t="s">
        <v>204</v>
      </c>
      <c r="D4755" t="s">
        <v>74</v>
      </c>
      <c r="E4755" t="s">
        <v>87</v>
      </c>
      <c r="F4755" s="55">
        <v>149</v>
      </c>
      <c r="G4755" s="63">
        <v>7.3000000000000001E-3</v>
      </c>
    </row>
    <row r="4756" spans="1:7" x14ac:dyDescent="0.2">
      <c r="A4756" t="s">
        <v>71</v>
      </c>
      <c r="B4756" t="s">
        <v>100</v>
      </c>
      <c r="C4756" t="s">
        <v>204</v>
      </c>
      <c r="D4756" t="s">
        <v>74</v>
      </c>
      <c r="E4756" t="s">
        <v>88</v>
      </c>
      <c r="F4756" s="55">
        <v>89</v>
      </c>
      <c r="G4756" s="63">
        <v>8.0000000000000004E-4</v>
      </c>
    </row>
    <row r="4757" spans="1:7" x14ac:dyDescent="0.2">
      <c r="A4757" t="s">
        <v>71</v>
      </c>
      <c r="B4757" t="s">
        <v>101</v>
      </c>
      <c r="C4757" t="s">
        <v>204</v>
      </c>
      <c r="D4757" t="s">
        <v>74</v>
      </c>
      <c r="E4757" t="s">
        <v>75</v>
      </c>
      <c r="F4757" s="55">
        <v>68</v>
      </c>
      <c r="G4757" s="63">
        <v>0.19650000000000001</v>
      </c>
    </row>
    <row r="4758" spans="1:7" x14ac:dyDescent="0.2">
      <c r="A4758" t="s">
        <v>71</v>
      </c>
      <c r="B4758" t="s">
        <v>101</v>
      </c>
      <c r="C4758" t="s">
        <v>204</v>
      </c>
      <c r="D4758" t="s">
        <v>74</v>
      </c>
      <c r="E4758" t="s">
        <v>76</v>
      </c>
      <c r="F4758" s="55">
        <v>67</v>
      </c>
      <c r="G4758" s="63">
        <v>1.72E-2</v>
      </c>
    </row>
    <row r="4759" spans="1:7" x14ac:dyDescent="0.2">
      <c r="A4759" t="s">
        <v>71</v>
      </c>
      <c r="B4759" t="s">
        <v>101</v>
      </c>
      <c r="C4759" t="s">
        <v>204</v>
      </c>
      <c r="D4759" t="s">
        <v>74</v>
      </c>
      <c r="E4759" t="s">
        <v>77</v>
      </c>
      <c r="F4759" s="55">
        <v>64</v>
      </c>
      <c r="G4759" s="63">
        <v>4.9000000000000002E-2</v>
      </c>
    </row>
    <row r="4760" spans="1:7" x14ac:dyDescent="0.2">
      <c r="A4760" t="s">
        <v>71</v>
      </c>
      <c r="B4760" t="s">
        <v>101</v>
      </c>
      <c r="C4760" t="s">
        <v>204</v>
      </c>
      <c r="D4760" t="s">
        <v>74</v>
      </c>
      <c r="E4760" t="s">
        <v>78</v>
      </c>
      <c r="F4760" s="55">
        <v>67</v>
      </c>
      <c r="G4760" s="63">
        <v>5.0799999999999998E-2</v>
      </c>
    </row>
    <row r="4761" spans="1:7" x14ac:dyDescent="0.2">
      <c r="A4761" t="s">
        <v>71</v>
      </c>
      <c r="B4761" t="s">
        <v>101</v>
      </c>
      <c r="C4761" t="s">
        <v>204</v>
      </c>
      <c r="D4761" t="s">
        <v>74</v>
      </c>
      <c r="E4761" t="s">
        <v>79</v>
      </c>
      <c r="F4761" s="55">
        <v>70</v>
      </c>
      <c r="G4761" s="63">
        <v>0.12809999999999999</v>
      </c>
    </row>
    <row r="4762" spans="1:7" x14ac:dyDescent="0.2">
      <c r="A4762" t="s">
        <v>71</v>
      </c>
      <c r="B4762" t="s">
        <v>101</v>
      </c>
      <c r="C4762" t="s">
        <v>204</v>
      </c>
      <c r="D4762" t="s">
        <v>74</v>
      </c>
      <c r="E4762" t="s">
        <v>80</v>
      </c>
      <c r="F4762" s="55">
        <v>62</v>
      </c>
      <c r="G4762" s="63">
        <v>3.2199999999999999E-2</v>
      </c>
    </row>
    <row r="4763" spans="1:7" x14ac:dyDescent="0.2">
      <c r="A4763" t="s">
        <v>71</v>
      </c>
      <c r="B4763" t="s">
        <v>101</v>
      </c>
      <c r="C4763" t="s">
        <v>204</v>
      </c>
      <c r="D4763" t="s">
        <v>74</v>
      </c>
      <c r="E4763" t="s">
        <v>81</v>
      </c>
      <c r="F4763" s="55">
        <v>60</v>
      </c>
      <c r="G4763" s="63">
        <v>3.3000000000000002E-2</v>
      </c>
    </row>
    <row r="4764" spans="1:7" x14ac:dyDescent="0.2">
      <c r="A4764" t="s">
        <v>71</v>
      </c>
      <c r="B4764" t="s">
        <v>101</v>
      </c>
      <c r="C4764" t="s">
        <v>204</v>
      </c>
      <c r="D4764" t="s">
        <v>74</v>
      </c>
      <c r="E4764" t="s">
        <v>82</v>
      </c>
      <c r="F4764" s="55">
        <v>74</v>
      </c>
      <c r="G4764" s="63">
        <v>9.2700000000000005E-2</v>
      </c>
    </row>
    <row r="4765" spans="1:7" x14ac:dyDescent="0.2">
      <c r="A4765" t="s">
        <v>71</v>
      </c>
      <c r="B4765" t="s">
        <v>101</v>
      </c>
      <c r="C4765" t="s">
        <v>204</v>
      </c>
      <c r="D4765" t="s">
        <v>74</v>
      </c>
      <c r="E4765" t="s">
        <v>83</v>
      </c>
      <c r="F4765" s="55">
        <v>62</v>
      </c>
      <c r="G4765" s="63">
        <v>1.3899999999999999E-2</v>
      </c>
    </row>
    <row r="4766" spans="1:7" x14ac:dyDescent="0.2">
      <c r="A4766" t="s">
        <v>71</v>
      </c>
      <c r="B4766" t="s">
        <v>101</v>
      </c>
      <c r="C4766" t="s">
        <v>204</v>
      </c>
      <c r="D4766" t="s">
        <v>74</v>
      </c>
      <c r="E4766" t="s">
        <v>84</v>
      </c>
      <c r="F4766" s="55">
        <v>66</v>
      </c>
      <c r="G4766" s="63">
        <v>3.3700000000000001E-2</v>
      </c>
    </row>
    <row r="4767" spans="1:7" x14ac:dyDescent="0.2">
      <c r="A4767" t="s">
        <v>71</v>
      </c>
      <c r="B4767" t="s">
        <v>101</v>
      </c>
      <c r="C4767" t="s">
        <v>204</v>
      </c>
      <c r="D4767" t="s">
        <v>74</v>
      </c>
      <c r="E4767" t="s">
        <v>85</v>
      </c>
      <c r="F4767" s="55">
        <v>66</v>
      </c>
      <c r="G4767" s="63">
        <v>3.5099999999999999E-2</v>
      </c>
    </row>
    <row r="4768" spans="1:7" x14ac:dyDescent="0.2">
      <c r="A4768" t="s">
        <v>71</v>
      </c>
      <c r="B4768" t="s">
        <v>101</v>
      </c>
      <c r="C4768" t="s">
        <v>204</v>
      </c>
      <c r="D4768" t="s">
        <v>74</v>
      </c>
      <c r="E4768" t="s">
        <v>86</v>
      </c>
      <c r="F4768" s="55">
        <v>70</v>
      </c>
      <c r="G4768" s="63">
        <v>5.04E-2</v>
      </c>
    </row>
    <row r="4769" spans="1:7" x14ac:dyDescent="0.2">
      <c r="A4769" t="s">
        <v>71</v>
      </c>
      <c r="B4769" t="s">
        <v>101</v>
      </c>
      <c r="C4769" t="s">
        <v>204</v>
      </c>
      <c r="D4769" t="s">
        <v>74</v>
      </c>
      <c r="E4769" t="s">
        <v>87</v>
      </c>
      <c r="F4769" s="55">
        <v>73</v>
      </c>
      <c r="G4769" s="63">
        <v>5.9499999999999997E-2</v>
      </c>
    </row>
    <row r="4770" spans="1:7" x14ac:dyDescent="0.2">
      <c r="A4770" t="s">
        <v>71</v>
      </c>
      <c r="B4770" t="s">
        <v>101</v>
      </c>
      <c r="C4770" t="s">
        <v>204</v>
      </c>
      <c r="D4770" t="s">
        <v>74</v>
      </c>
      <c r="E4770" t="s">
        <v>88</v>
      </c>
      <c r="F4770" s="55">
        <v>68</v>
      </c>
      <c r="G4770" s="63">
        <v>3.15E-2</v>
      </c>
    </row>
    <row r="4771" spans="1:7" x14ac:dyDescent="0.2">
      <c r="A4771" t="s">
        <v>71</v>
      </c>
      <c r="B4771" t="s">
        <v>102</v>
      </c>
      <c r="C4771" t="s">
        <v>204</v>
      </c>
      <c r="D4771" t="s">
        <v>74</v>
      </c>
      <c r="E4771" t="s">
        <v>75</v>
      </c>
      <c r="F4771" s="55">
        <v>105</v>
      </c>
      <c r="G4771" s="63">
        <v>3.9100000000000003E-2</v>
      </c>
    </row>
    <row r="4772" spans="1:7" x14ac:dyDescent="0.2">
      <c r="A4772" t="s">
        <v>71</v>
      </c>
      <c r="B4772" t="s">
        <v>102</v>
      </c>
      <c r="C4772" t="s">
        <v>204</v>
      </c>
      <c r="D4772" t="s">
        <v>74</v>
      </c>
      <c r="E4772" t="s">
        <v>76</v>
      </c>
      <c r="F4772" s="55">
        <v>104</v>
      </c>
      <c r="G4772" s="63">
        <v>4.8999999999999998E-3</v>
      </c>
    </row>
    <row r="4773" spans="1:7" x14ac:dyDescent="0.2">
      <c r="A4773" t="s">
        <v>71</v>
      </c>
      <c r="B4773" t="s">
        <v>102</v>
      </c>
      <c r="C4773" t="s">
        <v>204</v>
      </c>
      <c r="D4773" t="s">
        <v>74</v>
      </c>
      <c r="E4773" t="s">
        <v>77</v>
      </c>
      <c r="F4773" s="55">
        <v>106</v>
      </c>
      <c r="G4773" s="63">
        <v>1.49E-2</v>
      </c>
    </row>
    <row r="4774" spans="1:7" x14ac:dyDescent="0.2">
      <c r="A4774" t="s">
        <v>71</v>
      </c>
      <c r="B4774" t="s">
        <v>102</v>
      </c>
      <c r="C4774" t="s">
        <v>204</v>
      </c>
      <c r="D4774" t="s">
        <v>74</v>
      </c>
      <c r="E4774" t="s">
        <v>78</v>
      </c>
      <c r="F4774" s="55">
        <v>112</v>
      </c>
      <c r="G4774" s="63">
        <v>1.17E-2</v>
      </c>
    </row>
    <row r="4775" spans="1:7" x14ac:dyDescent="0.2">
      <c r="A4775" t="s">
        <v>71</v>
      </c>
      <c r="B4775" t="s">
        <v>102</v>
      </c>
      <c r="C4775" t="s">
        <v>204</v>
      </c>
      <c r="D4775" t="s">
        <v>74</v>
      </c>
      <c r="E4775" t="s">
        <v>79</v>
      </c>
      <c r="F4775" s="55">
        <v>98</v>
      </c>
      <c r="G4775" s="63">
        <v>2.0500000000000001E-2</v>
      </c>
    </row>
    <row r="4776" spans="1:7" x14ac:dyDescent="0.2">
      <c r="A4776" t="s">
        <v>71</v>
      </c>
      <c r="B4776" t="s">
        <v>102</v>
      </c>
      <c r="C4776" t="s">
        <v>204</v>
      </c>
      <c r="D4776" t="s">
        <v>74</v>
      </c>
      <c r="E4776" t="s">
        <v>80</v>
      </c>
      <c r="F4776" s="55">
        <v>111</v>
      </c>
      <c r="G4776" s="63">
        <v>1.0200000000000001E-2</v>
      </c>
    </row>
    <row r="4777" spans="1:7" x14ac:dyDescent="0.2">
      <c r="A4777" t="s">
        <v>71</v>
      </c>
      <c r="B4777" t="s">
        <v>102</v>
      </c>
      <c r="C4777" t="s">
        <v>204</v>
      </c>
      <c r="D4777" t="s">
        <v>74</v>
      </c>
      <c r="E4777" t="s">
        <v>81</v>
      </c>
      <c r="F4777" s="55">
        <v>104</v>
      </c>
      <c r="G4777" s="63">
        <v>1.1599999999999999E-2</v>
      </c>
    </row>
    <row r="4778" spans="1:7" x14ac:dyDescent="0.2">
      <c r="A4778" t="s">
        <v>71</v>
      </c>
      <c r="B4778" t="s">
        <v>102</v>
      </c>
      <c r="C4778" t="s">
        <v>204</v>
      </c>
      <c r="D4778" t="s">
        <v>74</v>
      </c>
      <c r="E4778" t="s">
        <v>82</v>
      </c>
      <c r="F4778" s="55">
        <v>112</v>
      </c>
      <c r="G4778" s="63">
        <v>1.26E-2</v>
      </c>
    </row>
    <row r="4779" spans="1:7" x14ac:dyDescent="0.2">
      <c r="A4779" t="s">
        <v>71</v>
      </c>
      <c r="B4779" t="s">
        <v>102</v>
      </c>
      <c r="C4779" t="s">
        <v>204</v>
      </c>
      <c r="D4779" t="s">
        <v>74</v>
      </c>
      <c r="E4779" t="s">
        <v>83</v>
      </c>
      <c r="F4779" s="55">
        <v>103</v>
      </c>
      <c r="G4779" s="63">
        <v>4.8999999999999998E-3</v>
      </c>
    </row>
    <row r="4780" spans="1:7" x14ac:dyDescent="0.2">
      <c r="A4780" t="s">
        <v>71</v>
      </c>
      <c r="B4780" t="s">
        <v>102</v>
      </c>
      <c r="C4780" t="s">
        <v>204</v>
      </c>
      <c r="D4780" t="s">
        <v>74</v>
      </c>
      <c r="E4780" t="s">
        <v>84</v>
      </c>
      <c r="F4780" s="55">
        <v>114</v>
      </c>
      <c r="G4780" s="63">
        <v>9.9000000000000008E-3</v>
      </c>
    </row>
    <row r="4781" spans="1:7" x14ac:dyDescent="0.2">
      <c r="A4781" t="s">
        <v>71</v>
      </c>
      <c r="B4781" t="s">
        <v>102</v>
      </c>
      <c r="C4781" t="s">
        <v>204</v>
      </c>
      <c r="D4781" t="s">
        <v>74</v>
      </c>
      <c r="E4781" t="s">
        <v>85</v>
      </c>
      <c r="F4781" s="55">
        <v>102</v>
      </c>
      <c r="G4781" s="63">
        <v>8.5000000000000006E-3</v>
      </c>
    </row>
    <row r="4782" spans="1:7" x14ac:dyDescent="0.2">
      <c r="A4782" t="s">
        <v>71</v>
      </c>
      <c r="B4782" t="s">
        <v>102</v>
      </c>
      <c r="C4782" t="s">
        <v>204</v>
      </c>
      <c r="D4782" t="s">
        <v>74</v>
      </c>
      <c r="E4782" t="s">
        <v>86</v>
      </c>
      <c r="F4782" s="55">
        <v>96</v>
      </c>
      <c r="G4782" s="63">
        <v>8.6999999999999994E-3</v>
      </c>
    </row>
    <row r="4783" spans="1:7" x14ac:dyDescent="0.2">
      <c r="A4783" t="s">
        <v>71</v>
      </c>
      <c r="B4783" t="s">
        <v>102</v>
      </c>
      <c r="C4783" t="s">
        <v>204</v>
      </c>
      <c r="D4783" t="s">
        <v>74</v>
      </c>
      <c r="E4783" t="s">
        <v>87</v>
      </c>
      <c r="F4783" s="55">
        <v>95</v>
      </c>
      <c r="G4783" s="63">
        <v>8.8999999999999999E-3</v>
      </c>
    </row>
    <row r="4784" spans="1:7" x14ac:dyDescent="0.2">
      <c r="A4784" t="s">
        <v>71</v>
      </c>
      <c r="B4784" t="s">
        <v>102</v>
      </c>
      <c r="C4784" t="s">
        <v>204</v>
      </c>
      <c r="D4784" t="s">
        <v>74</v>
      </c>
      <c r="E4784" t="s">
        <v>88</v>
      </c>
      <c r="F4784" s="55">
        <v>104</v>
      </c>
      <c r="G4784" s="63">
        <v>7.0000000000000001E-3</v>
      </c>
    </row>
    <row r="4785" spans="1:7" x14ac:dyDescent="0.2">
      <c r="A4785" t="s">
        <v>71</v>
      </c>
      <c r="B4785" t="s">
        <v>103</v>
      </c>
      <c r="C4785" t="s">
        <v>204</v>
      </c>
      <c r="D4785" t="s">
        <v>74</v>
      </c>
      <c r="E4785" t="s">
        <v>75</v>
      </c>
      <c r="F4785" s="55">
        <v>83</v>
      </c>
      <c r="G4785" s="63">
        <v>3.0499999999999999E-2</v>
      </c>
    </row>
    <row r="4786" spans="1:7" x14ac:dyDescent="0.2">
      <c r="A4786" t="s">
        <v>71</v>
      </c>
      <c r="B4786" t="s">
        <v>103</v>
      </c>
      <c r="C4786" t="s">
        <v>204</v>
      </c>
      <c r="D4786" t="s">
        <v>74</v>
      </c>
      <c r="E4786" t="s">
        <v>76</v>
      </c>
      <c r="F4786" s="55">
        <v>97</v>
      </c>
      <c r="G4786" s="63">
        <v>2.2000000000000001E-3</v>
      </c>
    </row>
    <row r="4787" spans="1:7" x14ac:dyDescent="0.2">
      <c r="A4787" t="s">
        <v>71</v>
      </c>
      <c r="B4787" t="s">
        <v>103</v>
      </c>
      <c r="C4787" t="s">
        <v>204</v>
      </c>
      <c r="D4787" t="s">
        <v>74</v>
      </c>
      <c r="E4787" t="s">
        <v>77</v>
      </c>
      <c r="F4787" s="55">
        <v>81</v>
      </c>
      <c r="G4787" s="63">
        <v>8.3999999999999995E-3</v>
      </c>
    </row>
    <row r="4788" spans="1:7" x14ac:dyDescent="0.2">
      <c r="A4788" t="s">
        <v>71</v>
      </c>
      <c r="B4788" t="s">
        <v>103</v>
      </c>
      <c r="C4788" t="s">
        <v>204</v>
      </c>
      <c r="D4788" t="s">
        <v>74</v>
      </c>
      <c r="E4788" t="s">
        <v>78</v>
      </c>
      <c r="F4788" s="55">
        <v>80</v>
      </c>
      <c r="G4788" s="63">
        <v>6.1999999999999998E-3</v>
      </c>
    </row>
    <row r="4789" spans="1:7" x14ac:dyDescent="0.2">
      <c r="A4789" t="s">
        <v>71</v>
      </c>
      <c r="B4789" t="s">
        <v>103</v>
      </c>
      <c r="C4789" t="s">
        <v>204</v>
      </c>
      <c r="D4789" t="s">
        <v>74</v>
      </c>
      <c r="E4789" t="s">
        <v>79</v>
      </c>
      <c r="F4789" s="55">
        <v>78</v>
      </c>
      <c r="G4789" s="63">
        <v>1.6500000000000001E-2</v>
      </c>
    </row>
    <row r="4790" spans="1:7" x14ac:dyDescent="0.2">
      <c r="A4790" t="s">
        <v>71</v>
      </c>
      <c r="B4790" t="s">
        <v>103</v>
      </c>
      <c r="C4790" t="s">
        <v>204</v>
      </c>
      <c r="D4790" t="s">
        <v>74</v>
      </c>
      <c r="E4790" t="s">
        <v>80</v>
      </c>
      <c r="F4790" s="55">
        <v>80</v>
      </c>
      <c r="G4790" s="63">
        <v>6.4999999999999997E-3</v>
      </c>
    </row>
    <row r="4791" spans="1:7" x14ac:dyDescent="0.2">
      <c r="A4791" t="s">
        <v>71</v>
      </c>
      <c r="B4791" t="s">
        <v>103</v>
      </c>
      <c r="C4791" t="s">
        <v>204</v>
      </c>
      <c r="D4791" t="s">
        <v>74</v>
      </c>
      <c r="E4791" t="s">
        <v>81</v>
      </c>
      <c r="F4791" s="55">
        <v>95</v>
      </c>
      <c r="G4791" s="63">
        <v>7.7000000000000002E-3</v>
      </c>
    </row>
    <row r="4792" spans="1:7" x14ac:dyDescent="0.2">
      <c r="A4792" t="s">
        <v>71</v>
      </c>
      <c r="B4792" t="s">
        <v>103</v>
      </c>
      <c r="C4792" t="s">
        <v>204</v>
      </c>
      <c r="D4792" t="s">
        <v>74</v>
      </c>
      <c r="E4792" t="s">
        <v>82</v>
      </c>
      <c r="F4792" s="55">
        <v>85</v>
      </c>
      <c r="G4792" s="63">
        <v>8.9999999999999993E-3</v>
      </c>
    </row>
    <row r="4793" spans="1:7" x14ac:dyDescent="0.2">
      <c r="A4793" t="s">
        <v>71</v>
      </c>
      <c r="B4793" t="s">
        <v>103</v>
      </c>
      <c r="C4793" t="s">
        <v>204</v>
      </c>
      <c r="D4793" t="s">
        <v>74</v>
      </c>
      <c r="E4793" t="s">
        <v>83</v>
      </c>
      <c r="F4793" s="55">
        <v>107</v>
      </c>
      <c r="G4793" s="63">
        <v>3.3E-3</v>
      </c>
    </row>
    <row r="4794" spans="1:7" x14ac:dyDescent="0.2">
      <c r="A4794" t="s">
        <v>71</v>
      </c>
      <c r="B4794" t="s">
        <v>103</v>
      </c>
      <c r="C4794" t="s">
        <v>204</v>
      </c>
      <c r="D4794" t="s">
        <v>74</v>
      </c>
      <c r="E4794" t="s">
        <v>84</v>
      </c>
      <c r="F4794" s="55">
        <v>85</v>
      </c>
      <c r="G4794" s="63">
        <v>4.4000000000000003E-3</v>
      </c>
    </row>
    <row r="4795" spans="1:7" x14ac:dyDescent="0.2">
      <c r="A4795" t="s">
        <v>71</v>
      </c>
      <c r="B4795" t="s">
        <v>103</v>
      </c>
      <c r="C4795" t="s">
        <v>204</v>
      </c>
      <c r="D4795" t="s">
        <v>74</v>
      </c>
      <c r="E4795" t="s">
        <v>85</v>
      </c>
      <c r="F4795" s="55">
        <v>81</v>
      </c>
      <c r="G4795" s="63">
        <v>6.0000000000000001E-3</v>
      </c>
    </row>
    <row r="4796" spans="1:7" x14ac:dyDescent="0.2">
      <c r="A4796" t="s">
        <v>71</v>
      </c>
      <c r="B4796" t="s">
        <v>103</v>
      </c>
      <c r="C4796" t="s">
        <v>204</v>
      </c>
      <c r="D4796" t="s">
        <v>74</v>
      </c>
      <c r="E4796" t="s">
        <v>86</v>
      </c>
      <c r="F4796" s="55">
        <v>82</v>
      </c>
      <c r="G4796" s="63">
        <v>6.7999999999999996E-3</v>
      </c>
    </row>
    <row r="4797" spans="1:7" x14ac:dyDescent="0.2">
      <c r="A4797" t="s">
        <v>71</v>
      </c>
      <c r="B4797" t="s">
        <v>103</v>
      </c>
      <c r="C4797" t="s">
        <v>204</v>
      </c>
      <c r="D4797" t="s">
        <v>74</v>
      </c>
      <c r="E4797" t="s">
        <v>87</v>
      </c>
      <c r="F4797" s="55">
        <v>86</v>
      </c>
      <c r="G4797" s="63">
        <v>6.1999999999999998E-3</v>
      </c>
    </row>
    <row r="4798" spans="1:7" x14ac:dyDescent="0.2">
      <c r="A4798" t="s">
        <v>71</v>
      </c>
      <c r="B4798" t="s">
        <v>103</v>
      </c>
      <c r="C4798" t="s">
        <v>204</v>
      </c>
      <c r="D4798" t="s">
        <v>74</v>
      </c>
      <c r="E4798" t="s">
        <v>88</v>
      </c>
      <c r="F4798" s="55">
        <v>101</v>
      </c>
      <c r="G4798" s="63">
        <v>3.8E-3</v>
      </c>
    </row>
    <row r="4799" spans="1:7" x14ac:dyDescent="0.2">
      <c r="A4799" t="s">
        <v>71</v>
      </c>
      <c r="B4799" t="s">
        <v>104</v>
      </c>
      <c r="C4799" t="s">
        <v>204</v>
      </c>
      <c r="D4799" t="s">
        <v>74</v>
      </c>
      <c r="E4799" t="s">
        <v>75</v>
      </c>
      <c r="F4799" s="55">
        <v>93</v>
      </c>
      <c r="G4799" s="63">
        <v>0.27379999999999999</v>
      </c>
    </row>
    <row r="4800" spans="1:7" x14ac:dyDescent="0.2">
      <c r="A4800" t="s">
        <v>71</v>
      </c>
      <c r="B4800" t="s">
        <v>104</v>
      </c>
      <c r="C4800" t="s">
        <v>204</v>
      </c>
      <c r="D4800" t="s">
        <v>74</v>
      </c>
      <c r="E4800" t="s">
        <v>76</v>
      </c>
      <c r="F4800" s="55">
        <v>99</v>
      </c>
      <c r="G4800" s="63">
        <v>4.2299999999999997E-2</v>
      </c>
    </row>
    <row r="4801" spans="1:7" x14ac:dyDescent="0.2">
      <c r="A4801" t="s">
        <v>71</v>
      </c>
      <c r="B4801" t="s">
        <v>104</v>
      </c>
      <c r="C4801" t="s">
        <v>204</v>
      </c>
      <c r="D4801" t="s">
        <v>74</v>
      </c>
      <c r="E4801" t="s">
        <v>77</v>
      </c>
      <c r="F4801" s="55">
        <v>98</v>
      </c>
      <c r="G4801" s="63">
        <v>0.1002</v>
      </c>
    </row>
    <row r="4802" spans="1:7" x14ac:dyDescent="0.2">
      <c r="A4802" t="s">
        <v>71</v>
      </c>
      <c r="B4802" t="s">
        <v>104</v>
      </c>
      <c r="C4802" t="s">
        <v>204</v>
      </c>
      <c r="D4802" t="s">
        <v>74</v>
      </c>
      <c r="E4802" t="s">
        <v>78</v>
      </c>
      <c r="F4802" s="55">
        <v>94</v>
      </c>
      <c r="G4802" s="63">
        <v>9.6699999999999994E-2</v>
      </c>
    </row>
    <row r="4803" spans="1:7" x14ac:dyDescent="0.2">
      <c r="A4803" t="s">
        <v>71</v>
      </c>
      <c r="B4803" t="s">
        <v>104</v>
      </c>
      <c r="C4803" t="s">
        <v>204</v>
      </c>
      <c r="D4803" t="s">
        <v>74</v>
      </c>
      <c r="E4803" t="s">
        <v>79</v>
      </c>
      <c r="F4803" s="55">
        <v>90</v>
      </c>
      <c r="G4803" s="63">
        <v>0.18790000000000001</v>
      </c>
    </row>
    <row r="4804" spans="1:7" x14ac:dyDescent="0.2">
      <c r="A4804" t="s">
        <v>71</v>
      </c>
      <c r="B4804" t="s">
        <v>104</v>
      </c>
      <c r="C4804" t="s">
        <v>204</v>
      </c>
      <c r="D4804" t="s">
        <v>74</v>
      </c>
      <c r="E4804" t="s">
        <v>80</v>
      </c>
      <c r="F4804" s="55">
        <v>93</v>
      </c>
      <c r="G4804" s="63">
        <v>5.91E-2</v>
      </c>
    </row>
    <row r="4805" spans="1:7" x14ac:dyDescent="0.2">
      <c r="A4805" t="s">
        <v>71</v>
      </c>
      <c r="B4805" t="s">
        <v>104</v>
      </c>
      <c r="C4805" t="s">
        <v>204</v>
      </c>
      <c r="D4805" t="s">
        <v>74</v>
      </c>
      <c r="E4805" t="s">
        <v>81</v>
      </c>
      <c r="F4805" s="55">
        <v>98</v>
      </c>
      <c r="G4805" s="63">
        <v>6.0699999999999997E-2</v>
      </c>
    </row>
    <row r="4806" spans="1:7" x14ac:dyDescent="0.2">
      <c r="A4806" t="s">
        <v>71</v>
      </c>
      <c r="B4806" t="s">
        <v>104</v>
      </c>
      <c r="C4806" t="s">
        <v>204</v>
      </c>
      <c r="D4806" t="s">
        <v>74</v>
      </c>
      <c r="E4806" t="s">
        <v>82</v>
      </c>
      <c r="F4806" s="55">
        <v>92</v>
      </c>
      <c r="G4806" s="63">
        <v>0.12180000000000001</v>
      </c>
    </row>
    <row r="4807" spans="1:7" x14ac:dyDescent="0.2">
      <c r="A4807" t="s">
        <v>71</v>
      </c>
      <c r="B4807" t="s">
        <v>104</v>
      </c>
      <c r="C4807" t="s">
        <v>204</v>
      </c>
      <c r="D4807" t="s">
        <v>74</v>
      </c>
      <c r="E4807" t="s">
        <v>83</v>
      </c>
      <c r="F4807" s="55">
        <v>103</v>
      </c>
      <c r="G4807" s="63">
        <v>3.2599999999999997E-2</v>
      </c>
    </row>
    <row r="4808" spans="1:7" x14ac:dyDescent="0.2">
      <c r="A4808" t="s">
        <v>71</v>
      </c>
      <c r="B4808" t="s">
        <v>104</v>
      </c>
      <c r="C4808" t="s">
        <v>204</v>
      </c>
      <c r="D4808" t="s">
        <v>74</v>
      </c>
      <c r="E4808" t="s">
        <v>84</v>
      </c>
      <c r="F4808" s="55">
        <v>95</v>
      </c>
      <c r="G4808" s="63">
        <v>7.4399999999999994E-2</v>
      </c>
    </row>
    <row r="4809" spans="1:7" x14ac:dyDescent="0.2">
      <c r="A4809" t="s">
        <v>71</v>
      </c>
      <c r="B4809" t="s">
        <v>104</v>
      </c>
      <c r="C4809" t="s">
        <v>204</v>
      </c>
      <c r="D4809" t="s">
        <v>74</v>
      </c>
      <c r="E4809" t="s">
        <v>85</v>
      </c>
      <c r="F4809" s="55">
        <v>92</v>
      </c>
      <c r="G4809" s="63">
        <v>6.9699999999999998E-2</v>
      </c>
    </row>
    <row r="4810" spans="1:7" x14ac:dyDescent="0.2">
      <c r="A4810" t="s">
        <v>71</v>
      </c>
      <c r="B4810" t="s">
        <v>104</v>
      </c>
      <c r="C4810" t="s">
        <v>204</v>
      </c>
      <c r="D4810" t="s">
        <v>74</v>
      </c>
      <c r="E4810" t="s">
        <v>86</v>
      </c>
      <c r="F4810" s="55">
        <v>91</v>
      </c>
      <c r="G4810" s="63">
        <v>8.9700000000000002E-2</v>
      </c>
    </row>
    <row r="4811" spans="1:7" x14ac:dyDescent="0.2">
      <c r="A4811" t="s">
        <v>71</v>
      </c>
      <c r="B4811" t="s">
        <v>104</v>
      </c>
      <c r="C4811" t="s">
        <v>204</v>
      </c>
      <c r="D4811" t="s">
        <v>74</v>
      </c>
      <c r="E4811" t="s">
        <v>87</v>
      </c>
      <c r="F4811" s="55">
        <v>89</v>
      </c>
      <c r="G4811" s="63">
        <v>0.1061</v>
      </c>
    </row>
    <row r="4812" spans="1:7" x14ac:dyDescent="0.2">
      <c r="A4812" t="s">
        <v>71</v>
      </c>
      <c r="B4812" t="s">
        <v>104</v>
      </c>
      <c r="C4812" t="s">
        <v>204</v>
      </c>
      <c r="D4812" t="s">
        <v>74</v>
      </c>
      <c r="E4812" t="s">
        <v>88</v>
      </c>
      <c r="F4812" s="55">
        <v>98</v>
      </c>
      <c r="G4812" s="63">
        <v>6.1600000000000002E-2</v>
      </c>
    </row>
    <row r="4813" spans="1:7" x14ac:dyDescent="0.2">
      <c r="A4813" t="s">
        <v>89</v>
      </c>
      <c r="B4813" t="s">
        <v>199</v>
      </c>
      <c r="C4813" t="s">
        <v>204</v>
      </c>
      <c r="D4813" t="s">
        <v>74</v>
      </c>
      <c r="E4813" t="s">
        <v>75</v>
      </c>
      <c r="F4813" s="55">
        <v>20</v>
      </c>
      <c r="G4813" s="63">
        <v>3.3E-3</v>
      </c>
    </row>
    <row r="4814" spans="1:7" x14ac:dyDescent="0.2">
      <c r="A4814" t="s">
        <v>89</v>
      </c>
      <c r="B4814" t="s">
        <v>199</v>
      </c>
      <c r="C4814" t="s">
        <v>204</v>
      </c>
      <c r="D4814" t="s">
        <v>74</v>
      </c>
      <c r="E4814" t="s">
        <v>79</v>
      </c>
      <c r="F4814" s="55">
        <v>25</v>
      </c>
      <c r="G4814" s="63">
        <v>1.8E-3</v>
      </c>
    </row>
    <row r="4815" spans="1:7" x14ac:dyDescent="0.2">
      <c r="A4815" t="s">
        <v>89</v>
      </c>
      <c r="B4815" t="s">
        <v>199</v>
      </c>
      <c r="C4815" t="s">
        <v>204</v>
      </c>
      <c r="D4815" t="s">
        <v>74</v>
      </c>
      <c r="E4815" t="s">
        <v>80</v>
      </c>
      <c r="F4815" s="55">
        <v>21</v>
      </c>
      <c r="G4815" s="63">
        <v>8.0000000000000004E-4</v>
      </c>
    </row>
    <row r="4816" spans="1:7" x14ac:dyDescent="0.2">
      <c r="A4816" t="s">
        <v>89</v>
      </c>
      <c r="B4816" t="s">
        <v>199</v>
      </c>
      <c r="C4816" t="s">
        <v>204</v>
      </c>
      <c r="D4816" t="s">
        <v>74</v>
      </c>
      <c r="E4816" t="s">
        <v>82</v>
      </c>
      <c r="F4816" s="55">
        <v>16</v>
      </c>
      <c r="G4816" s="63">
        <v>1.1000000000000001E-3</v>
      </c>
    </row>
    <row r="4817" spans="1:7" x14ac:dyDescent="0.2">
      <c r="A4817" t="s">
        <v>71</v>
      </c>
      <c r="B4817" t="s">
        <v>105</v>
      </c>
      <c r="C4817" t="s">
        <v>204</v>
      </c>
      <c r="D4817" t="s">
        <v>74</v>
      </c>
      <c r="E4817" t="s">
        <v>75</v>
      </c>
      <c r="F4817" s="55">
        <v>80</v>
      </c>
      <c r="G4817" s="63">
        <v>0.1459</v>
      </c>
    </row>
    <row r="4818" spans="1:7" x14ac:dyDescent="0.2">
      <c r="A4818" t="s">
        <v>71</v>
      </c>
      <c r="B4818" t="s">
        <v>105</v>
      </c>
      <c r="C4818" t="s">
        <v>204</v>
      </c>
      <c r="D4818" t="s">
        <v>74</v>
      </c>
      <c r="E4818" t="s">
        <v>76</v>
      </c>
      <c r="F4818" s="55">
        <v>80</v>
      </c>
      <c r="G4818" s="63">
        <v>1.5699999999999999E-2</v>
      </c>
    </row>
    <row r="4819" spans="1:7" x14ac:dyDescent="0.2">
      <c r="A4819" t="s">
        <v>71</v>
      </c>
      <c r="B4819" t="s">
        <v>105</v>
      </c>
      <c r="C4819" t="s">
        <v>204</v>
      </c>
      <c r="D4819" t="s">
        <v>74</v>
      </c>
      <c r="E4819" t="s">
        <v>77</v>
      </c>
      <c r="F4819" s="55">
        <v>68</v>
      </c>
      <c r="G4819" s="63">
        <v>3.9399999999999998E-2</v>
      </c>
    </row>
    <row r="4820" spans="1:7" x14ac:dyDescent="0.2">
      <c r="A4820" t="s">
        <v>71</v>
      </c>
      <c r="B4820" t="s">
        <v>105</v>
      </c>
      <c r="C4820" t="s">
        <v>204</v>
      </c>
      <c r="D4820" t="s">
        <v>74</v>
      </c>
      <c r="E4820" t="s">
        <v>78</v>
      </c>
      <c r="F4820" s="55">
        <v>68</v>
      </c>
      <c r="G4820" s="63">
        <v>3.8399999999999997E-2</v>
      </c>
    </row>
    <row r="4821" spans="1:7" x14ac:dyDescent="0.2">
      <c r="A4821" t="s">
        <v>71</v>
      </c>
      <c r="B4821" t="s">
        <v>105</v>
      </c>
      <c r="C4821" t="s">
        <v>204</v>
      </c>
      <c r="D4821" t="s">
        <v>74</v>
      </c>
      <c r="E4821" t="s">
        <v>79</v>
      </c>
      <c r="F4821" s="55">
        <v>84</v>
      </c>
      <c r="G4821" s="63">
        <v>7.9200000000000007E-2</v>
      </c>
    </row>
    <row r="4822" spans="1:7" x14ac:dyDescent="0.2">
      <c r="A4822" t="s">
        <v>71</v>
      </c>
      <c r="B4822" t="s">
        <v>105</v>
      </c>
      <c r="C4822" t="s">
        <v>204</v>
      </c>
      <c r="D4822" t="s">
        <v>74</v>
      </c>
      <c r="E4822" t="s">
        <v>80</v>
      </c>
      <c r="F4822" s="55">
        <v>85</v>
      </c>
      <c r="G4822" s="63">
        <v>2.4199999999999999E-2</v>
      </c>
    </row>
    <row r="4823" spans="1:7" x14ac:dyDescent="0.2">
      <c r="A4823" t="s">
        <v>71</v>
      </c>
      <c r="B4823" t="s">
        <v>105</v>
      </c>
      <c r="C4823" t="s">
        <v>204</v>
      </c>
      <c r="D4823" t="s">
        <v>74</v>
      </c>
      <c r="E4823" t="s">
        <v>81</v>
      </c>
      <c r="F4823" s="55">
        <v>90</v>
      </c>
      <c r="G4823" s="63">
        <v>2.5899999999999999E-2</v>
      </c>
    </row>
    <row r="4824" spans="1:7" x14ac:dyDescent="0.2">
      <c r="A4824" t="s">
        <v>71</v>
      </c>
      <c r="B4824" t="s">
        <v>105</v>
      </c>
      <c r="C4824" t="s">
        <v>204</v>
      </c>
      <c r="D4824" t="s">
        <v>74</v>
      </c>
      <c r="E4824" t="s">
        <v>82</v>
      </c>
      <c r="F4824" s="55">
        <v>73</v>
      </c>
      <c r="G4824" s="63">
        <v>5.57E-2</v>
      </c>
    </row>
    <row r="4825" spans="1:7" x14ac:dyDescent="0.2">
      <c r="A4825" t="s">
        <v>71</v>
      </c>
      <c r="B4825" t="s">
        <v>105</v>
      </c>
      <c r="C4825" t="s">
        <v>204</v>
      </c>
      <c r="D4825" t="s">
        <v>74</v>
      </c>
      <c r="E4825" t="s">
        <v>83</v>
      </c>
      <c r="F4825" s="55">
        <v>99</v>
      </c>
      <c r="G4825" s="63">
        <v>1.2800000000000001E-2</v>
      </c>
    </row>
    <row r="4826" spans="1:7" x14ac:dyDescent="0.2">
      <c r="A4826" t="s">
        <v>71</v>
      </c>
      <c r="B4826" t="s">
        <v>105</v>
      </c>
      <c r="C4826" t="s">
        <v>204</v>
      </c>
      <c r="D4826" t="s">
        <v>74</v>
      </c>
      <c r="E4826" t="s">
        <v>84</v>
      </c>
      <c r="F4826" s="55">
        <v>65</v>
      </c>
      <c r="G4826" s="63">
        <v>2.6800000000000001E-2</v>
      </c>
    </row>
    <row r="4827" spans="1:7" x14ac:dyDescent="0.2">
      <c r="A4827" t="s">
        <v>71</v>
      </c>
      <c r="B4827" t="s">
        <v>105</v>
      </c>
      <c r="C4827" t="s">
        <v>204</v>
      </c>
      <c r="D4827" t="s">
        <v>74</v>
      </c>
      <c r="E4827" t="s">
        <v>85</v>
      </c>
      <c r="F4827" s="55">
        <v>85</v>
      </c>
      <c r="G4827" s="63">
        <v>2.5100000000000001E-2</v>
      </c>
    </row>
    <row r="4828" spans="1:7" x14ac:dyDescent="0.2">
      <c r="A4828" t="s">
        <v>71</v>
      </c>
      <c r="B4828" t="s">
        <v>105</v>
      </c>
      <c r="C4828" t="s">
        <v>204</v>
      </c>
      <c r="D4828" t="s">
        <v>74</v>
      </c>
      <c r="E4828" t="s">
        <v>86</v>
      </c>
      <c r="F4828" s="55">
        <v>86</v>
      </c>
      <c r="G4828" s="63">
        <v>3.2000000000000001E-2</v>
      </c>
    </row>
    <row r="4829" spans="1:7" x14ac:dyDescent="0.2">
      <c r="A4829" t="s">
        <v>71</v>
      </c>
      <c r="B4829" t="s">
        <v>105</v>
      </c>
      <c r="C4829" t="s">
        <v>204</v>
      </c>
      <c r="D4829" t="s">
        <v>74</v>
      </c>
      <c r="E4829" t="s">
        <v>87</v>
      </c>
      <c r="F4829" s="55">
        <v>86</v>
      </c>
      <c r="G4829" s="63">
        <v>3.6700000000000003E-2</v>
      </c>
    </row>
    <row r="4830" spans="1:7" x14ac:dyDescent="0.2">
      <c r="A4830" t="s">
        <v>71</v>
      </c>
      <c r="B4830" t="s">
        <v>105</v>
      </c>
      <c r="C4830" t="s">
        <v>204</v>
      </c>
      <c r="D4830" t="s">
        <v>74</v>
      </c>
      <c r="E4830" t="s">
        <v>88</v>
      </c>
      <c r="F4830" s="55">
        <v>83</v>
      </c>
      <c r="G4830" s="63">
        <v>2.63E-2</v>
      </c>
    </row>
    <row r="4831" spans="1:7" x14ac:dyDescent="0.2">
      <c r="A4831" t="s">
        <v>89</v>
      </c>
      <c r="B4831" t="s">
        <v>106</v>
      </c>
      <c r="C4831" t="s">
        <v>204</v>
      </c>
      <c r="D4831" t="s">
        <v>91</v>
      </c>
      <c r="E4831" t="s">
        <v>75</v>
      </c>
      <c r="F4831" s="55">
        <v>112</v>
      </c>
      <c r="G4831" s="63">
        <v>0.89129999999999998</v>
      </c>
    </row>
    <row r="4832" spans="1:7" x14ac:dyDescent="0.2">
      <c r="A4832" t="s">
        <v>89</v>
      </c>
      <c r="B4832" t="s">
        <v>106</v>
      </c>
      <c r="C4832" t="s">
        <v>204</v>
      </c>
      <c r="D4832" t="s">
        <v>91</v>
      </c>
      <c r="E4832" t="s">
        <v>76</v>
      </c>
      <c r="F4832" s="55">
        <v>112</v>
      </c>
      <c r="G4832" s="63">
        <v>0.2792</v>
      </c>
    </row>
    <row r="4833" spans="1:7" x14ac:dyDescent="0.2">
      <c r="A4833" t="s">
        <v>89</v>
      </c>
      <c r="B4833" t="s">
        <v>106</v>
      </c>
      <c r="C4833" t="s">
        <v>204</v>
      </c>
      <c r="D4833" t="s">
        <v>91</v>
      </c>
      <c r="E4833" t="s">
        <v>77</v>
      </c>
      <c r="F4833" s="55">
        <v>107</v>
      </c>
      <c r="G4833" s="63">
        <v>0.45689999999999997</v>
      </c>
    </row>
    <row r="4834" spans="1:7" x14ac:dyDescent="0.2">
      <c r="A4834" t="s">
        <v>89</v>
      </c>
      <c r="B4834" t="s">
        <v>106</v>
      </c>
      <c r="C4834" t="s">
        <v>204</v>
      </c>
      <c r="D4834" t="s">
        <v>91</v>
      </c>
      <c r="E4834" t="s">
        <v>78</v>
      </c>
      <c r="F4834" s="55">
        <v>113</v>
      </c>
      <c r="G4834" s="63">
        <v>0.47339999999999999</v>
      </c>
    </row>
    <row r="4835" spans="1:7" x14ac:dyDescent="0.2">
      <c r="A4835" t="s">
        <v>89</v>
      </c>
      <c r="B4835" t="s">
        <v>106</v>
      </c>
      <c r="C4835" t="s">
        <v>204</v>
      </c>
      <c r="D4835" t="s">
        <v>91</v>
      </c>
      <c r="E4835" t="s">
        <v>79</v>
      </c>
      <c r="F4835" s="55">
        <v>113</v>
      </c>
      <c r="G4835" s="63">
        <v>0.74129999999999996</v>
      </c>
    </row>
    <row r="4836" spans="1:7" x14ac:dyDescent="0.2">
      <c r="A4836" t="s">
        <v>89</v>
      </c>
      <c r="B4836" t="s">
        <v>106</v>
      </c>
      <c r="C4836" t="s">
        <v>204</v>
      </c>
      <c r="D4836" t="s">
        <v>91</v>
      </c>
      <c r="E4836" t="s">
        <v>80</v>
      </c>
      <c r="F4836" s="55">
        <v>116</v>
      </c>
      <c r="G4836" s="63">
        <v>0.2893</v>
      </c>
    </row>
    <row r="4837" spans="1:7" x14ac:dyDescent="0.2">
      <c r="A4837" t="s">
        <v>89</v>
      </c>
      <c r="B4837" t="s">
        <v>106</v>
      </c>
      <c r="C4837" t="s">
        <v>204</v>
      </c>
      <c r="D4837" t="s">
        <v>91</v>
      </c>
      <c r="E4837" t="s">
        <v>81</v>
      </c>
      <c r="F4837" s="55">
        <v>112</v>
      </c>
      <c r="G4837" s="63">
        <v>0.2969</v>
      </c>
    </row>
    <row r="4838" spans="1:7" x14ac:dyDescent="0.2">
      <c r="A4838" t="s">
        <v>89</v>
      </c>
      <c r="B4838" t="s">
        <v>106</v>
      </c>
      <c r="C4838" t="s">
        <v>204</v>
      </c>
      <c r="D4838" t="s">
        <v>91</v>
      </c>
      <c r="E4838" t="s">
        <v>82</v>
      </c>
      <c r="F4838" s="55">
        <v>116</v>
      </c>
      <c r="G4838" s="63">
        <v>0.70279999999999998</v>
      </c>
    </row>
    <row r="4839" spans="1:7" x14ac:dyDescent="0.2">
      <c r="A4839" t="s">
        <v>89</v>
      </c>
      <c r="B4839" t="s">
        <v>106</v>
      </c>
      <c r="C4839" t="s">
        <v>204</v>
      </c>
      <c r="D4839" t="s">
        <v>91</v>
      </c>
      <c r="E4839" t="s">
        <v>83</v>
      </c>
      <c r="F4839" s="55">
        <v>109</v>
      </c>
      <c r="G4839" s="63">
        <v>0.18890000000000001</v>
      </c>
    </row>
    <row r="4840" spans="1:7" x14ac:dyDescent="0.2">
      <c r="A4840" t="s">
        <v>89</v>
      </c>
      <c r="B4840" t="s">
        <v>106</v>
      </c>
      <c r="C4840" t="s">
        <v>204</v>
      </c>
      <c r="D4840" t="s">
        <v>91</v>
      </c>
      <c r="E4840" t="s">
        <v>84</v>
      </c>
      <c r="F4840" s="55">
        <v>113</v>
      </c>
      <c r="G4840" s="63">
        <v>0.3881</v>
      </c>
    </row>
    <row r="4841" spans="1:7" x14ac:dyDescent="0.2">
      <c r="A4841" t="s">
        <v>89</v>
      </c>
      <c r="B4841" t="s">
        <v>106</v>
      </c>
      <c r="C4841" t="s">
        <v>204</v>
      </c>
      <c r="D4841" t="s">
        <v>91</v>
      </c>
      <c r="E4841" t="s">
        <v>85</v>
      </c>
      <c r="F4841" s="55">
        <v>116</v>
      </c>
      <c r="G4841" s="63">
        <v>0.37619999999999998</v>
      </c>
    </row>
    <row r="4842" spans="1:7" x14ac:dyDescent="0.2">
      <c r="A4842" t="s">
        <v>89</v>
      </c>
      <c r="B4842" t="s">
        <v>106</v>
      </c>
      <c r="C4842" t="s">
        <v>204</v>
      </c>
      <c r="D4842" t="s">
        <v>91</v>
      </c>
      <c r="E4842" t="s">
        <v>86</v>
      </c>
      <c r="F4842" s="55">
        <v>116</v>
      </c>
      <c r="G4842" s="63">
        <v>0.42809999999999998</v>
      </c>
    </row>
    <row r="4843" spans="1:7" x14ac:dyDescent="0.2">
      <c r="A4843" t="s">
        <v>89</v>
      </c>
      <c r="B4843" t="s">
        <v>106</v>
      </c>
      <c r="C4843" t="s">
        <v>204</v>
      </c>
      <c r="D4843" t="s">
        <v>91</v>
      </c>
      <c r="E4843" t="s">
        <v>87</v>
      </c>
      <c r="F4843" s="55">
        <v>116</v>
      </c>
      <c r="G4843" s="63">
        <v>0.49049999999999999</v>
      </c>
    </row>
    <row r="4844" spans="1:7" x14ac:dyDescent="0.2">
      <c r="A4844" t="s">
        <v>89</v>
      </c>
      <c r="B4844" t="s">
        <v>106</v>
      </c>
      <c r="C4844" t="s">
        <v>204</v>
      </c>
      <c r="D4844" t="s">
        <v>91</v>
      </c>
      <c r="E4844" t="s">
        <v>88</v>
      </c>
      <c r="F4844" s="55">
        <v>112</v>
      </c>
      <c r="G4844" s="63">
        <v>0.39190000000000003</v>
      </c>
    </row>
    <row r="4845" spans="1:7" x14ac:dyDescent="0.2">
      <c r="A4845" t="s">
        <v>89</v>
      </c>
      <c r="B4845" t="s">
        <v>107</v>
      </c>
      <c r="C4845" t="s">
        <v>204</v>
      </c>
      <c r="D4845" t="s">
        <v>74</v>
      </c>
      <c r="E4845" t="s">
        <v>75</v>
      </c>
      <c r="F4845" s="55">
        <v>103</v>
      </c>
      <c r="G4845" s="63">
        <v>4.9299999999999997E-2</v>
      </c>
    </row>
    <row r="4846" spans="1:7" x14ac:dyDescent="0.2">
      <c r="A4846" t="s">
        <v>89</v>
      </c>
      <c r="B4846" t="s">
        <v>107</v>
      </c>
      <c r="C4846" t="s">
        <v>204</v>
      </c>
      <c r="D4846" t="s">
        <v>74</v>
      </c>
      <c r="E4846" t="s">
        <v>76</v>
      </c>
      <c r="F4846" s="55">
        <v>62</v>
      </c>
      <c r="G4846" s="63">
        <v>1.6999999999999999E-3</v>
      </c>
    </row>
    <row r="4847" spans="1:7" x14ac:dyDescent="0.2">
      <c r="A4847" t="s">
        <v>89</v>
      </c>
      <c r="B4847" t="s">
        <v>107</v>
      </c>
      <c r="C4847" t="s">
        <v>204</v>
      </c>
      <c r="D4847" t="s">
        <v>74</v>
      </c>
      <c r="E4847" t="s">
        <v>77</v>
      </c>
      <c r="F4847" s="55">
        <v>91</v>
      </c>
      <c r="G4847" s="63">
        <v>1.01E-2</v>
      </c>
    </row>
    <row r="4848" spans="1:7" x14ac:dyDescent="0.2">
      <c r="A4848" t="s">
        <v>89</v>
      </c>
      <c r="B4848" t="s">
        <v>107</v>
      </c>
      <c r="C4848" t="s">
        <v>204</v>
      </c>
      <c r="D4848" t="s">
        <v>74</v>
      </c>
      <c r="E4848" t="s">
        <v>78</v>
      </c>
      <c r="F4848" s="55">
        <v>101</v>
      </c>
      <c r="G4848" s="63">
        <v>1.11E-2</v>
      </c>
    </row>
    <row r="4849" spans="1:7" x14ac:dyDescent="0.2">
      <c r="A4849" t="s">
        <v>89</v>
      </c>
      <c r="B4849" t="s">
        <v>107</v>
      </c>
      <c r="C4849" t="s">
        <v>204</v>
      </c>
      <c r="D4849" t="s">
        <v>74</v>
      </c>
      <c r="E4849" t="s">
        <v>79</v>
      </c>
      <c r="F4849" s="55">
        <v>110</v>
      </c>
      <c r="G4849" s="63">
        <v>3.0499999999999999E-2</v>
      </c>
    </row>
    <row r="4850" spans="1:7" x14ac:dyDescent="0.2">
      <c r="A4850" t="s">
        <v>89</v>
      </c>
      <c r="B4850" t="s">
        <v>107</v>
      </c>
      <c r="C4850" t="s">
        <v>204</v>
      </c>
      <c r="D4850" t="s">
        <v>74</v>
      </c>
      <c r="E4850" t="s">
        <v>80</v>
      </c>
      <c r="F4850" s="55">
        <v>105</v>
      </c>
      <c r="G4850" s="63">
        <v>1.4500000000000001E-2</v>
      </c>
    </row>
    <row r="4851" spans="1:7" x14ac:dyDescent="0.2">
      <c r="A4851" t="s">
        <v>89</v>
      </c>
      <c r="B4851" t="s">
        <v>107</v>
      </c>
      <c r="C4851" t="s">
        <v>204</v>
      </c>
      <c r="D4851" t="s">
        <v>74</v>
      </c>
      <c r="E4851" t="s">
        <v>81</v>
      </c>
      <c r="F4851" s="55">
        <v>99</v>
      </c>
      <c r="G4851" s="63">
        <v>1.3299999999999999E-2</v>
      </c>
    </row>
    <row r="4852" spans="1:7" x14ac:dyDescent="0.2">
      <c r="A4852" t="s">
        <v>89</v>
      </c>
      <c r="B4852" t="s">
        <v>107</v>
      </c>
      <c r="C4852" t="s">
        <v>204</v>
      </c>
      <c r="D4852" t="s">
        <v>74</v>
      </c>
      <c r="E4852" t="s">
        <v>82</v>
      </c>
      <c r="F4852" s="55">
        <v>116</v>
      </c>
      <c r="G4852" s="63">
        <v>1.5100000000000001E-2</v>
      </c>
    </row>
    <row r="4853" spans="1:7" x14ac:dyDescent="0.2">
      <c r="A4853" t="s">
        <v>89</v>
      </c>
      <c r="B4853" t="s">
        <v>107</v>
      </c>
      <c r="C4853" t="s">
        <v>204</v>
      </c>
      <c r="D4853" t="s">
        <v>74</v>
      </c>
      <c r="E4853" t="s">
        <v>83</v>
      </c>
      <c r="F4853" s="55">
        <v>71</v>
      </c>
      <c r="G4853" s="63">
        <v>3.0000000000000001E-3</v>
      </c>
    </row>
    <row r="4854" spans="1:7" x14ac:dyDescent="0.2">
      <c r="A4854" t="s">
        <v>89</v>
      </c>
      <c r="B4854" t="s">
        <v>107</v>
      </c>
      <c r="C4854" t="s">
        <v>204</v>
      </c>
      <c r="D4854" t="s">
        <v>74</v>
      </c>
      <c r="E4854" t="s">
        <v>84</v>
      </c>
      <c r="F4854" s="55">
        <v>99</v>
      </c>
      <c r="G4854" s="63">
        <v>6.8999999999999999E-3</v>
      </c>
    </row>
    <row r="4855" spans="1:7" x14ac:dyDescent="0.2">
      <c r="A4855" t="s">
        <v>89</v>
      </c>
      <c r="B4855" t="s">
        <v>107</v>
      </c>
      <c r="C4855" t="s">
        <v>204</v>
      </c>
      <c r="D4855" t="s">
        <v>74</v>
      </c>
      <c r="E4855" t="s">
        <v>85</v>
      </c>
      <c r="F4855" s="55">
        <v>99</v>
      </c>
      <c r="G4855" s="63">
        <v>1.35E-2</v>
      </c>
    </row>
    <row r="4856" spans="1:7" x14ac:dyDescent="0.2">
      <c r="A4856" t="s">
        <v>89</v>
      </c>
      <c r="B4856" t="s">
        <v>107</v>
      </c>
      <c r="C4856" t="s">
        <v>204</v>
      </c>
      <c r="D4856" t="s">
        <v>74</v>
      </c>
      <c r="E4856" t="s">
        <v>86</v>
      </c>
      <c r="F4856" s="55">
        <v>107</v>
      </c>
      <c r="G4856" s="63">
        <v>1.43E-2</v>
      </c>
    </row>
    <row r="4857" spans="1:7" x14ac:dyDescent="0.2">
      <c r="A4857" t="s">
        <v>89</v>
      </c>
      <c r="B4857" t="s">
        <v>107</v>
      </c>
      <c r="C4857" t="s">
        <v>204</v>
      </c>
      <c r="D4857" t="s">
        <v>74</v>
      </c>
      <c r="E4857" t="s">
        <v>87</v>
      </c>
      <c r="F4857" s="55">
        <v>116</v>
      </c>
      <c r="G4857" s="63">
        <v>1.2999999999999999E-2</v>
      </c>
    </row>
    <row r="4858" spans="1:7" x14ac:dyDescent="0.2">
      <c r="A4858" t="s">
        <v>89</v>
      </c>
      <c r="B4858" t="s">
        <v>107</v>
      </c>
      <c r="C4858" t="s">
        <v>204</v>
      </c>
      <c r="D4858" t="s">
        <v>74</v>
      </c>
      <c r="E4858" t="s">
        <v>88</v>
      </c>
      <c r="F4858" s="55">
        <v>70</v>
      </c>
      <c r="G4858" s="63">
        <v>3.7000000000000002E-3</v>
      </c>
    </row>
    <row r="4859" spans="1:7" x14ac:dyDescent="0.2">
      <c r="A4859" t="s">
        <v>71</v>
      </c>
      <c r="B4859" t="s">
        <v>5</v>
      </c>
      <c r="C4859" t="s">
        <v>204</v>
      </c>
      <c r="D4859" t="s">
        <v>74</v>
      </c>
      <c r="E4859" t="s">
        <v>75</v>
      </c>
      <c r="F4859" s="55">
        <v>103</v>
      </c>
      <c r="G4859" s="63">
        <v>0.37459999999999999</v>
      </c>
    </row>
    <row r="4860" spans="1:7" x14ac:dyDescent="0.2">
      <c r="A4860" t="s">
        <v>71</v>
      </c>
      <c r="B4860" t="s">
        <v>5</v>
      </c>
      <c r="C4860" t="s">
        <v>204</v>
      </c>
      <c r="D4860" t="s">
        <v>74</v>
      </c>
      <c r="E4860" t="s">
        <v>76</v>
      </c>
      <c r="F4860" s="55">
        <v>92</v>
      </c>
      <c r="G4860" s="63">
        <v>4.0099999999999997E-2</v>
      </c>
    </row>
    <row r="4861" spans="1:7" x14ac:dyDescent="0.2">
      <c r="A4861" t="s">
        <v>71</v>
      </c>
      <c r="B4861" t="s">
        <v>5</v>
      </c>
      <c r="C4861" t="s">
        <v>204</v>
      </c>
      <c r="D4861" t="s">
        <v>74</v>
      </c>
      <c r="E4861" t="s">
        <v>77</v>
      </c>
      <c r="F4861" s="55">
        <v>99</v>
      </c>
      <c r="G4861" s="63">
        <v>0.1207</v>
      </c>
    </row>
    <row r="4862" spans="1:7" x14ac:dyDescent="0.2">
      <c r="A4862" t="s">
        <v>71</v>
      </c>
      <c r="B4862" t="s">
        <v>5</v>
      </c>
      <c r="C4862" t="s">
        <v>204</v>
      </c>
      <c r="D4862" t="s">
        <v>74</v>
      </c>
      <c r="E4862" t="s">
        <v>78</v>
      </c>
      <c r="F4862" s="55">
        <v>108</v>
      </c>
      <c r="G4862" s="63">
        <v>0.14499999999999999</v>
      </c>
    </row>
    <row r="4863" spans="1:7" x14ac:dyDescent="0.2">
      <c r="A4863" t="s">
        <v>71</v>
      </c>
      <c r="B4863" t="s">
        <v>5</v>
      </c>
      <c r="C4863" t="s">
        <v>204</v>
      </c>
      <c r="D4863" t="s">
        <v>74</v>
      </c>
      <c r="E4863" t="s">
        <v>79</v>
      </c>
      <c r="F4863" s="55">
        <v>109</v>
      </c>
      <c r="G4863" s="63">
        <v>0.27310000000000001</v>
      </c>
    </row>
    <row r="4864" spans="1:7" x14ac:dyDescent="0.2">
      <c r="A4864" t="s">
        <v>71</v>
      </c>
      <c r="B4864" t="s">
        <v>5</v>
      </c>
      <c r="C4864" t="s">
        <v>204</v>
      </c>
      <c r="D4864" t="s">
        <v>74</v>
      </c>
      <c r="E4864" t="s">
        <v>80</v>
      </c>
      <c r="F4864" s="55">
        <v>101</v>
      </c>
      <c r="G4864" s="63">
        <v>0.1075</v>
      </c>
    </row>
    <row r="4865" spans="1:7" x14ac:dyDescent="0.2">
      <c r="A4865" t="s">
        <v>71</v>
      </c>
      <c r="B4865" t="s">
        <v>5</v>
      </c>
      <c r="C4865" t="s">
        <v>204</v>
      </c>
      <c r="D4865" t="s">
        <v>74</v>
      </c>
      <c r="E4865" t="s">
        <v>81</v>
      </c>
      <c r="F4865" s="55">
        <v>99</v>
      </c>
      <c r="G4865" s="63">
        <v>0.1125</v>
      </c>
    </row>
    <row r="4866" spans="1:7" x14ac:dyDescent="0.2">
      <c r="A4866" t="s">
        <v>71</v>
      </c>
      <c r="B4866" t="s">
        <v>5</v>
      </c>
      <c r="C4866" t="s">
        <v>204</v>
      </c>
      <c r="D4866" t="s">
        <v>74</v>
      </c>
      <c r="E4866" t="s">
        <v>82</v>
      </c>
      <c r="F4866" s="55">
        <v>116</v>
      </c>
      <c r="G4866" s="63">
        <v>0.17</v>
      </c>
    </row>
    <row r="4867" spans="1:7" x14ac:dyDescent="0.2">
      <c r="A4867" t="s">
        <v>71</v>
      </c>
      <c r="B4867" t="s">
        <v>5</v>
      </c>
      <c r="C4867" t="s">
        <v>204</v>
      </c>
      <c r="D4867" t="s">
        <v>74</v>
      </c>
      <c r="E4867" t="s">
        <v>83</v>
      </c>
      <c r="F4867" s="55">
        <v>92</v>
      </c>
      <c r="G4867" s="63">
        <v>4.0300000000000002E-2</v>
      </c>
    </row>
    <row r="4868" spans="1:7" x14ac:dyDescent="0.2">
      <c r="A4868" t="s">
        <v>71</v>
      </c>
      <c r="B4868" t="s">
        <v>5</v>
      </c>
      <c r="C4868" t="s">
        <v>204</v>
      </c>
      <c r="D4868" t="s">
        <v>74</v>
      </c>
      <c r="E4868" t="s">
        <v>84</v>
      </c>
      <c r="F4868" s="55">
        <v>106</v>
      </c>
      <c r="G4868" s="63">
        <v>0.1162</v>
      </c>
    </row>
    <row r="4869" spans="1:7" x14ac:dyDescent="0.2">
      <c r="A4869" t="s">
        <v>71</v>
      </c>
      <c r="B4869" t="s">
        <v>5</v>
      </c>
      <c r="C4869" t="s">
        <v>204</v>
      </c>
      <c r="D4869" t="s">
        <v>74</v>
      </c>
      <c r="E4869" t="s">
        <v>85</v>
      </c>
      <c r="F4869" s="55">
        <v>101</v>
      </c>
      <c r="G4869" s="63">
        <v>0.11310000000000001</v>
      </c>
    </row>
    <row r="4870" spans="1:7" x14ac:dyDescent="0.2">
      <c r="A4870" t="s">
        <v>71</v>
      </c>
      <c r="B4870" t="s">
        <v>5</v>
      </c>
      <c r="C4870" t="s">
        <v>204</v>
      </c>
      <c r="D4870" t="s">
        <v>74</v>
      </c>
      <c r="E4870" t="s">
        <v>86</v>
      </c>
      <c r="F4870" s="55">
        <v>106</v>
      </c>
      <c r="G4870" s="63">
        <v>0.13930000000000001</v>
      </c>
    </row>
    <row r="4871" spans="1:7" x14ac:dyDescent="0.2">
      <c r="A4871" t="s">
        <v>71</v>
      </c>
      <c r="B4871" t="s">
        <v>5</v>
      </c>
      <c r="C4871" t="s">
        <v>204</v>
      </c>
      <c r="D4871" t="s">
        <v>74</v>
      </c>
      <c r="E4871" t="s">
        <v>87</v>
      </c>
      <c r="F4871" s="55">
        <v>107</v>
      </c>
      <c r="G4871" s="63">
        <v>0.14330000000000001</v>
      </c>
    </row>
    <row r="4872" spans="1:7" x14ac:dyDescent="0.2">
      <c r="A4872" t="s">
        <v>71</v>
      </c>
      <c r="B4872" t="s">
        <v>5</v>
      </c>
      <c r="C4872" t="s">
        <v>204</v>
      </c>
      <c r="D4872" t="s">
        <v>74</v>
      </c>
      <c r="E4872" t="s">
        <v>88</v>
      </c>
      <c r="F4872" s="55">
        <v>92</v>
      </c>
      <c r="G4872" s="63">
        <v>6.0400000000000002E-2</v>
      </c>
    </row>
    <row r="4873" spans="1:7" x14ac:dyDescent="0.2">
      <c r="A4873" t="s">
        <v>71</v>
      </c>
      <c r="B4873" t="s">
        <v>6</v>
      </c>
      <c r="C4873" t="s">
        <v>204</v>
      </c>
      <c r="D4873" t="s">
        <v>74</v>
      </c>
      <c r="E4873" t="s">
        <v>75</v>
      </c>
      <c r="F4873" s="55">
        <v>102</v>
      </c>
      <c r="G4873" s="63">
        <v>0.54590000000000005</v>
      </c>
    </row>
    <row r="4874" spans="1:7" x14ac:dyDescent="0.2">
      <c r="A4874" t="s">
        <v>71</v>
      </c>
      <c r="B4874" t="s">
        <v>6</v>
      </c>
      <c r="C4874" t="s">
        <v>204</v>
      </c>
      <c r="D4874" t="s">
        <v>74</v>
      </c>
      <c r="E4874" t="s">
        <v>76</v>
      </c>
      <c r="F4874" s="55">
        <v>99</v>
      </c>
      <c r="G4874" s="63">
        <v>0.11020000000000001</v>
      </c>
    </row>
    <row r="4875" spans="1:7" x14ac:dyDescent="0.2">
      <c r="A4875" t="s">
        <v>71</v>
      </c>
      <c r="B4875" t="s">
        <v>6</v>
      </c>
      <c r="C4875" t="s">
        <v>204</v>
      </c>
      <c r="D4875" t="s">
        <v>74</v>
      </c>
      <c r="E4875" t="s">
        <v>77</v>
      </c>
      <c r="F4875" s="55">
        <v>102</v>
      </c>
      <c r="G4875" s="63">
        <v>0.2969</v>
      </c>
    </row>
    <row r="4876" spans="1:7" x14ac:dyDescent="0.2">
      <c r="A4876" t="s">
        <v>71</v>
      </c>
      <c r="B4876" t="s">
        <v>6</v>
      </c>
      <c r="C4876" t="s">
        <v>204</v>
      </c>
      <c r="D4876" t="s">
        <v>74</v>
      </c>
      <c r="E4876" t="s">
        <v>78</v>
      </c>
      <c r="F4876" s="55">
        <v>106</v>
      </c>
      <c r="G4876" s="63">
        <v>0.26340000000000002</v>
      </c>
    </row>
    <row r="4877" spans="1:7" x14ac:dyDescent="0.2">
      <c r="A4877" t="s">
        <v>71</v>
      </c>
      <c r="B4877" t="s">
        <v>6</v>
      </c>
      <c r="C4877" t="s">
        <v>204</v>
      </c>
      <c r="D4877" t="s">
        <v>74</v>
      </c>
      <c r="E4877" t="s">
        <v>79</v>
      </c>
      <c r="F4877" s="55">
        <v>103</v>
      </c>
      <c r="G4877" s="63">
        <v>0.43030000000000002</v>
      </c>
    </row>
    <row r="4878" spans="1:7" x14ac:dyDescent="0.2">
      <c r="A4878" t="s">
        <v>71</v>
      </c>
      <c r="B4878" t="s">
        <v>6</v>
      </c>
      <c r="C4878" t="s">
        <v>204</v>
      </c>
      <c r="D4878" t="s">
        <v>74</v>
      </c>
      <c r="E4878" t="s">
        <v>80</v>
      </c>
      <c r="F4878" s="55">
        <v>99</v>
      </c>
      <c r="G4878" s="63">
        <v>0.29389999999999999</v>
      </c>
    </row>
    <row r="4879" spans="1:7" x14ac:dyDescent="0.2">
      <c r="A4879" t="s">
        <v>71</v>
      </c>
      <c r="B4879" t="s">
        <v>6</v>
      </c>
      <c r="C4879" t="s">
        <v>204</v>
      </c>
      <c r="D4879" t="s">
        <v>74</v>
      </c>
      <c r="E4879" t="s">
        <v>81</v>
      </c>
      <c r="F4879" s="55">
        <v>99</v>
      </c>
      <c r="G4879" s="63">
        <v>0.2828</v>
      </c>
    </row>
    <row r="4880" spans="1:7" x14ac:dyDescent="0.2">
      <c r="A4880" t="s">
        <v>71</v>
      </c>
      <c r="B4880" t="s">
        <v>6</v>
      </c>
      <c r="C4880" t="s">
        <v>204</v>
      </c>
      <c r="D4880" t="s">
        <v>74</v>
      </c>
      <c r="E4880" t="s">
        <v>82</v>
      </c>
      <c r="F4880" s="55">
        <v>101</v>
      </c>
      <c r="G4880" s="63">
        <v>0.36959999999999998</v>
      </c>
    </row>
    <row r="4881" spans="1:7" x14ac:dyDescent="0.2">
      <c r="A4881" t="s">
        <v>71</v>
      </c>
      <c r="B4881" t="s">
        <v>6</v>
      </c>
      <c r="C4881" t="s">
        <v>204</v>
      </c>
      <c r="D4881" t="s">
        <v>74</v>
      </c>
      <c r="E4881" t="s">
        <v>83</v>
      </c>
      <c r="F4881" s="55">
        <v>97</v>
      </c>
      <c r="G4881" s="63">
        <v>0.11650000000000001</v>
      </c>
    </row>
    <row r="4882" spans="1:7" x14ac:dyDescent="0.2">
      <c r="A4882" t="s">
        <v>71</v>
      </c>
      <c r="B4882" t="s">
        <v>6</v>
      </c>
      <c r="C4882" t="s">
        <v>204</v>
      </c>
      <c r="D4882" t="s">
        <v>74</v>
      </c>
      <c r="E4882" t="s">
        <v>84</v>
      </c>
      <c r="F4882" s="55">
        <v>106</v>
      </c>
      <c r="G4882" s="63">
        <v>0.2387</v>
      </c>
    </row>
    <row r="4883" spans="1:7" x14ac:dyDescent="0.2">
      <c r="A4883" t="s">
        <v>71</v>
      </c>
      <c r="B4883" t="s">
        <v>6</v>
      </c>
      <c r="C4883" t="s">
        <v>204</v>
      </c>
      <c r="D4883" t="s">
        <v>74</v>
      </c>
      <c r="E4883" t="s">
        <v>85</v>
      </c>
      <c r="F4883" s="55">
        <v>97</v>
      </c>
      <c r="G4883" s="63">
        <v>0.29170000000000001</v>
      </c>
    </row>
    <row r="4884" spans="1:7" x14ac:dyDescent="0.2">
      <c r="A4884" t="s">
        <v>71</v>
      </c>
      <c r="B4884" t="s">
        <v>6</v>
      </c>
      <c r="C4884" t="s">
        <v>204</v>
      </c>
      <c r="D4884" t="s">
        <v>74</v>
      </c>
      <c r="E4884" t="s">
        <v>86</v>
      </c>
      <c r="F4884" s="55">
        <v>97</v>
      </c>
      <c r="G4884" s="63">
        <v>0.28720000000000001</v>
      </c>
    </row>
    <row r="4885" spans="1:7" x14ac:dyDescent="0.2">
      <c r="A4885" t="s">
        <v>71</v>
      </c>
      <c r="B4885" t="s">
        <v>6</v>
      </c>
      <c r="C4885" t="s">
        <v>204</v>
      </c>
      <c r="D4885" t="s">
        <v>74</v>
      </c>
      <c r="E4885" t="s">
        <v>87</v>
      </c>
      <c r="F4885" s="55">
        <v>103</v>
      </c>
      <c r="G4885" s="63">
        <v>0.27879999999999999</v>
      </c>
    </row>
    <row r="4886" spans="1:7" x14ac:dyDescent="0.2">
      <c r="A4886" t="s">
        <v>71</v>
      </c>
      <c r="B4886" t="s">
        <v>6</v>
      </c>
      <c r="C4886" t="s">
        <v>204</v>
      </c>
      <c r="D4886" t="s">
        <v>74</v>
      </c>
      <c r="E4886" t="s">
        <v>88</v>
      </c>
      <c r="F4886" s="55">
        <v>98</v>
      </c>
      <c r="G4886" s="63">
        <v>0.1542</v>
      </c>
    </row>
    <row r="4887" spans="1:7" x14ac:dyDescent="0.2">
      <c r="A4887" t="s">
        <v>71</v>
      </c>
      <c r="B4887" t="s">
        <v>108</v>
      </c>
      <c r="C4887" t="s">
        <v>204</v>
      </c>
      <c r="D4887" t="s">
        <v>74</v>
      </c>
      <c r="E4887" t="s">
        <v>75</v>
      </c>
      <c r="F4887" s="55">
        <v>41</v>
      </c>
      <c r="G4887" s="63">
        <v>9.9000000000000008E-3</v>
      </c>
    </row>
    <row r="4888" spans="1:7" x14ac:dyDescent="0.2">
      <c r="A4888" t="s">
        <v>71</v>
      </c>
      <c r="B4888" t="s">
        <v>108</v>
      </c>
      <c r="C4888" t="s">
        <v>204</v>
      </c>
      <c r="D4888" t="s">
        <v>74</v>
      </c>
      <c r="E4888" t="s">
        <v>77</v>
      </c>
      <c r="F4888" s="55">
        <v>46</v>
      </c>
      <c r="G4888" s="63">
        <v>4.0000000000000001E-3</v>
      </c>
    </row>
    <row r="4889" spans="1:7" x14ac:dyDescent="0.2">
      <c r="A4889" t="s">
        <v>71</v>
      </c>
      <c r="B4889" t="s">
        <v>108</v>
      </c>
      <c r="C4889" t="s">
        <v>204</v>
      </c>
      <c r="D4889" t="s">
        <v>74</v>
      </c>
      <c r="E4889" t="s">
        <v>78</v>
      </c>
      <c r="F4889" s="55">
        <v>40</v>
      </c>
      <c r="G4889" s="63">
        <v>3.5000000000000001E-3</v>
      </c>
    </row>
    <row r="4890" spans="1:7" x14ac:dyDescent="0.2">
      <c r="A4890" t="s">
        <v>71</v>
      </c>
      <c r="B4890" t="s">
        <v>108</v>
      </c>
      <c r="C4890" t="s">
        <v>204</v>
      </c>
      <c r="D4890" t="s">
        <v>74</v>
      </c>
      <c r="E4890" t="s">
        <v>79</v>
      </c>
      <c r="F4890" s="55">
        <v>42</v>
      </c>
      <c r="G4890" s="63">
        <v>6.7999999999999996E-3</v>
      </c>
    </row>
    <row r="4891" spans="1:7" x14ac:dyDescent="0.2">
      <c r="A4891" t="s">
        <v>71</v>
      </c>
      <c r="B4891" t="s">
        <v>108</v>
      </c>
      <c r="C4891" t="s">
        <v>204</v>
      </c>
      <c r="D4891" t="s">
        <v>74</v>
      </c>
      <c r="E4891" t="s">
        <v>80</v>
      </c>
      <c r="F4891" s="55">
        <v>39</v>
      </c>
      <c r="G4891" s="63">
        <v>4.0000000000000001E-3</v>
      </c>
    </row>
    <row r="4892" spans="1:7" x14ac:dyDescent="0.2">
      <c r="A4892" t="s">
        <v>71</v>
      </c>
      <c r="B4892" t="s">
        <v>108</v>
      </c>
      <c r="C4892" t="s">
        <v>204</v>
      </c>
      <c r="D4892" t="s">
        <v>74</v>
      </c>
      <c r="E4892" t="s">
        <v>81</v>
      </c>
      <c r="F4892" s="55">
        <v>40</v>
      </c>
      <c r="G4892" s="63">
        <v>3.2000000000000002E-3</v>
      </c>
    </row>
    <row r="4893" spans="1:7" x14ac:dyDescent="0.2">
      <c r="A4893" t="s">
        <v>71</v>
      </c>
      <c r="B4893" t="s">
        <v>108</v>
      </c>
      <c r="C4893" t="s">
        <v>204</v>
      </c>
      <c r="D4893" t="s">
        <v>74</v>
      </c>
      <c r="E4893" t="s">
        <v>82</v>
      </c>
      <c r="F4893" s="55">
        <v>37</v>
      </c>
      <c r="G4893" s="63">
        <v>5.3E-3</v>
      </c>
    </row>
    <row r="4894" spans="1:7" x14ac:dyDescent="0.2">
      <c r="A4894" t="s">
        <v>71</v>
      </c>
      <c r="B4894" t="s">
        <v>108</v>
      </c>
      <c r="C4894" t="s">
        <v>204</v>
      </c>
      <c r="D4894" t="s">
        <v>74</v>
      </c>
      <c r="E4894" t="s">
        <v>83</v>
      </c>
      <c r="F4894" s="55">
        <v>42</v>
      </c>
      <c r="G4894" s="63">
        <v>8.0000000000000004E-4</v>
      </c>
    </row>
    <row r="4895" spans="1:7" x14ac:dyDescent="0.2">
      <c r="A4895" t="s">
        <v>71</v>
      </c>
      <c r="B4895" t="s">
        <v>108</v>
      </c>
      <c r="C4895" t="s">
        <v>204</v>
      </c>
      <c r="D4895" t="s">
        <v>74</v>
      </c>
      <c r="E4895" t="s">
        <v>84</v>
      </c>
      <c r="F4895" s="55">
        <v>41</v>
      </c>
      <c r="G4895" s="63">
        <v>2.8E-3</v>
      </c>
    </row>
    <row r="4896" spans="1:7" x14ac:dyDescent="0.2">
      <c r="A4896" t="s">
        <v>71</v>
      </c>
      <c r="B4896" t="s">
        <v>108</v>
      </c>
      <c r="C4896" t="s">
        <v>204</v>
      </c>
      <c r="D4896" t="s">
        <v>74</v>
      </c>
      <c r="E4896" t="s">
        <v>85</v>
      </c>
      <c r="F4896" s="55">
        <v>42</v>
      </c>
      <c r="G4896" s="63">
        <v>3.7000000000000002E-3</v>
      </c>
    </row>
    <row r="4897" spans="1:7" x14ac:dyDescent="0.2">
      <c r="A4897" t="s">
        <v>71</v>
      </c>
      <c r="B4897" t="s">
        <v>108</v>
      </c>
      <c r="C4897" t="s">
        <v>204</v>
      </c>
      <c r="D4897" t="s">
        <v>74</v>
      </c>
      <c r="E4897" t="s">
        <v>86</v>
      </c>
      <c r="F4897" s="55">
        <v>43</v>
      </c>
      <c r="G4897" s="63">
        <v>3.5999999999999999E-3</v>
      </c>
    </row>
    <row r="4898" spans="1:7" x14ac:dyDescent="0.2">
      <c r="A4898" t="s">
        <v>71</v>
      </c>
      <c r="B4898" t="s">
        <v>108</v>
      </c>
      <c r="C4898" t="s">
        <v>204</v>
      </c>
      <c r="D4898" t="s">
        <v>74</v>
      </c>
      <c r="E4898" t="s">
        <v>87</v>
      </c>
      <c r="F4898" s="55">
        <v>48</v>
      </c>
      <c r="G4898" s="63">
        <v>3.0999999999999999E-3</v>
      </c>
    </row>
    <row r="4899" spans="1:7" x14ac:dyDescent="0.2">
      <c r="A4899" t="s">
        <v>71</v>
      </c>
      <c r="B4899" t="s">
        <v>108</v>
      </c>
      <c r="C4899" t="s">
        <v>204</v>
      </c>
      <c r="D4899" t="s">
        <v>74</v>
      </c>
      <c r="E4899" t="s">
        <v>88</v>
      </c>
      <c r="F4899" s="55">
        <v>44</v>
      </c>
      <c r="G4899" s="63">
        <v>1.1999999999999999E-3</v>
      </c>
    </row>
    <row r="4900" spans="1:7" x14ac:dyDescent="0.2">
      <c r="A4900" t="s">
        <v>89</v>
      </c>
      <c r="B4900" t="s">
        <v>109</v>
      </c>
      <c r="C4900" t="s">
        <v>204</v>
      </c>
      <c r="D4900" t="s">
        <v>74</v>
      </c>
      <c r="E4900" t="s">
        <v>75</v>
      </c>
      <c r="F4900" s="55">
        <v>115</v>
      </c>
      <c r="G4900" s="63">
        <v>2.0999999999999999E-3</v>
      </c>
    </row>
    <row r="4901" spans="1:7" x14ac:dyDescent="0.2">
      <c r="A4901" t="s">
        <v>89</v>
      </c>
      <c r="B4901" t="s">
        <v>109</v>
      </c>
      <c r="C4901" t="s">
        <v>204</v>
      </c>
      <c r="D4901" t="s">
        <v>74</v>
      </c>
      <c r="E4901" t="s">
        <v>79</v>
      </c>
      <c r="F4901" s="55">
        <v>142</v>
      </c>
      <c r="G4901" s="63">
        <v>1.1999999999999999E-3</v>
      </c>
    </row>
    <row r="4902" spans="1:7" x14ac:dyDescent="0.2">
      <c r="A4902" t="s">
        <v>89</v>
      </c>
      <c r="B4902" t="s">
        <v>109</v>
      </c>
      <c r="C4902" t="s">
        <v>204</v>
      </c>
      <c r="D4902" t="s">
        <v>74</v>
      </c>
      <c r="E4902" t="s">
        <v>80</v>
      </c>
      <c r="F4902" s="55">
        <v>140</v>
      </c>
      <c r="G4902" s="63">
        <v>8.0000000000000004E-4</v>
      </c>
    </row>
    <row r="4903" spans="1:7" x14ac:dyDescent="0.2">
      <c r="A4903" t="s">
        <v>89</v>
      </c>
      <c r="B4903" t="s">
        <v>109</v>
      </c>
      <c r="C4903" t="s">
        <v>204</v>
      </c>
      <c r="D4903" t="s">
        <v>74</v>
      </c>
      <c r="E4903" t="s">
        <v>81</v>
      </c>
      <c r="F4903" s="55">
        <v>100</v>
      </c>
      <c r="G4903" s="63">
        <v>8.0000000000000004E-4</v>
      </c>
    </row>
    <row r="4904" spans="1:7" x14ac:dyDescent="0.2">
      <c r="A4904" t="s">
        <v>71</v>
      </c>
      <c r="B4904" t="s">
        <v>7</v>
      </c>
      <c r="C4904" t="s">
        <v>204</v>
      </c>
      <c r="D4904" t="s">
        <v>74</v>
      </c>
      <c r="E4904" t="s">
        <v>75</v>
      </c>
      <c r="F4904" s="55">
        <v>91</v>
      </c>
      <c r="G4904" s="63">
        <v>0.24</v>
      </c>
    </row>
    <row r="4905" spans="1:7" x14ac:dyDescent="0.2">
      <c r="A4905" t="s">
        <v>71</v>
      </c>
      <c r="B4905" t="s">
        <v>7</v>
      </c>
      <c r="C4905" t="s">
        <v>204</v>
      </c>
      <c r="D4905" t="s">
        <v>74</v>
      </c>
      <c r="E4905" t="s">
        <v>76</v>
      </c>
      <c r="F4905" s="55">
        <v>92</v>
      </c>
      <c r="G4905" s="63">
        <v>2.4500000000000001E-2</v>
      </c>
    </row>
    <row r="4906" spans="1:7" x14ac:dyDescent="0.2">
      <c r="A4906" t="s">
        <v>71</v>
      </c>
      <c r="B4906" t="s">
        <v>7</v>
      </c>
      <c r="C4906" t="s">
        <v>204</v>
      </c>
      <c r="D4906" t="s">
        <v>74</v>
      </c>
      <c r="E4906" t="s">
        <v>77</v>
      </c>
      <c r="F4906" s="55">
        <v>89</v>
      </c>
      <c r="G4906" s="63">
        <v>7.4300000000000005E-2</v>
      </c>
    </row>
    <row r="4907" spans="1:7" x14ac:dyDescent="0.2">
      <c r="A4907" t="s">
        <v>71</v>
      </c>
      <c r="B4907" t="s">
        <v>7</v>
      </c>
      <c r="C4907" t="s">
        <v>204</v>
      </c>
      <c r="D4907" t="s">
        <v>74</v>
      </c>
      <c r="E4907" t="s">
        <v>78</v>
      </c>
      <c r="F4907" s="55">
        <v>91</v>
      </c>
      <c r="G4907" s="63">
        <v>7.4800000000000005E-2</v>
      </c>
    </row>
    <row r="4908" spans="1:7" x14ac:dyDescent="0.2">
      <c r="A4908" t="s">
        <v>71</v>
      </c>
      <c r="B4908" t="s">
        <v>7</v>
      </c>
      <c r="C4908" t="s">
        <v>204</v>
      </c>
      <c r="D4908" t="s">
        <v>74</v>
      </c>
      <c r="E4908" t="s">
        <v>79</v>
      </c>
      <c r="F4908" s="55">
        <v>91</v>
      </c>
      <c r="G4908" s="63">
        <v>0.15659999999999999</v>
      </c>
    </row>
    <row r="4909" spans="1:7" x14ac:dyDescent="0.2">
      <c r="A4909" t="s">
        <v>71</v>
      </c>
      <c r="B4909" t="s">
        <v>7</v>
      </c>
      <c r="C4909" t="s">
        <v>204</v>
      </c>
      <c r="D4909" t="s">
        <v>74</v>
      </c>
      <c r="E4909" t="s">
        <v>80</v>
      </c>
      <c r="F4909" s="55">
        <v>95</v>
      </c>
      <c r="G4909" s="63">
        <v>4.65E-2</v>
      </c>
    </row>
    <row r="4910" spans="1:7" x14ac:dyDescent="0.2">
      <c r="A4910" t="s">
        <v>71</v>
      </c>
      <c r="B4910" t="s">
        <v>7</v>
      </c>
      <c r="C4910" t="s">
        <v>204</v>
      </c>
      <c r="D4910" t="s">
        <v>74</v>
      </c>
      <c r="E4910" t="s">
        <v>81</v>
      </c>
      <c r="F4910" s="55">
        <v>96</v>
      </c>
      <c r="G4910" s="63">
        <v>4.3700000000000003E-2</v>
      </c>
    </row>
    <row r="4911" spans="1:7" x14ac:dyDescent="0.2">
      <c r="A4911" t="s">
        <v>71</v>
      </c>
      <c r="B4911" t="s">
        <v>7</v>
      </c>
      <c r="C4911" t="s">
        <v>204</v>
      </c>
      <c r="D4911" t="s">
        <v>74</v>
      </c>
      <c r="E4911" t="s">
        <v>82</v>
      </c>
      <c r="F4911" s="55">
        <v>88</v>
      </c>
      <c r="G4911" s="63">
        <v>0.1077</v>
      </c>
    </row>
    <row r="4912" spans="1:7" x14ac:dyDescent="0.2">
      <c r="A4912" t="s">
        <v>71</v>
      </c>
      <c r="B4912" t="s">
        <v>7</v>
      </c>
      <c r="C4912" t="s">
        <v>204</v>
      </c>
      <c r="D4912" t="s">
        <v>74</v>
      </c>
      <c r="E4912" t="s">
        <v>83</v>
      </c>
      <c r="F4912" s="55">
        <v>102</v>
      </c>
      <c r="G4912" s="63">
        <v>1.9099999999999999E-2</v>
      </c>
    </row>
    <row r="4913" spans="1:7" x14ac:dyDescent="0.2">
      <c r="A4913" t="s">
        <v>71</v>
      </c>
      <c r="B4913" t="s">
        <v>7</v>
      </c>
      <c r="C4913" t="s">
        <v>204</v>
      </c>
      <c r="D4913" t="s">
        <v>74</v>
      </c>
      <c r="E4913" t="s">
        <v>84</v>
      </c>
      <c r="F4913" s="55">
        <v>93</v>
      </c>
      <c r="G4913" s="63">
        <v>6.0699999999999997E-2</v>
      </c>
    </row>
    <row r="4914" spans="1:7" x14ac:dyDescent="0.2">
      <c r="A4914" t="s">
        <v>71</v>
      </c>
      <c r="B4914" t="s">
        <v>7</v>
      </c>
      <c r="C4914" t="s">
        <v>204</v>
      </c>
      <c r="D4914" t="s">
        <v>74</v>
      </c>
      <c r="E4914" t="s">
        <v>85</v>
      </c>
      <c r="F4914" s="55">
        <v>101</v>
      </c>
      <c r="G4914" s="63">
        <v>5.9299999999999999E-2</v>
      </c>
    </row>
    <row r="4915" spans="1:7" x14ac:dyDescent="0.2">
      <c r="A4915" t="s">
        <v>71</v>
      </c>
      <c r="B4915" t="s">
        <v>7</v>
      </c>
      <c r="C4915" t="s">
        <v>204</v>
      </c>
      <c r="D4915" t="s">
        <v>74</v>
      </c>
      <c r="E4915" t="s">
        <v>86</v>
      </c>
      <c r="F4915" s="55">
        <v>89</v>
      </c>
      <c r="G4915" s="63">
        <v>6.3200000000000006E-2</v>
      </c>
    </row>
    <row r="4916" spans="1:7" x14ac:dyDescent="0.2">
      <c r="A4916" t="s">
        <v>71</v>
      </c>
      <c r="B4916" t="s">
        <v>7</v>
      </c>
      <c r="C4916" t="s">
        <v>204</v>
      </c>
      <c r="D4916" t="s">
        <v>74</v>
      </c>
      <c r="E4916" t="s">
        <v>87</v>
      </c>
      <c r="F4916" s="55">
        <v>87</v>
      </c>
      <c r="G4916" s="63">
        <v>6.83E-2</v>
      </c>
    </row>
    <row r="4917" spans="1:7" x14ac:dyDescent="0.2">
      <c r="A4917" t="s">
        <v>71</v>
      </c>
      <c r="B4917" t="s">
        <v>7</v>
      </c>
      <c r="C4917" t="s">
        <v>204</v>
      </c>
      <c r="D4917" t="s">
        <v>74</v>
      </c>
      <c r="E4917" t="s">
        <v>88</v>
      </c>
      <c r="F4917" s="55">
        <v>94</v>
      </c>
      <c r="G4917" s="63">
        <v>3.9600000000000003E-2</v>
      </c>
    </row>
    <row r="4918" spans="1:7" x14ac:dyDescent="0.2">
      <c r="A4918" t="s">
        <v>71</v>
      </c>
      <c r="B4918" t="s">
        <v>110</v>
      </c>
      <c r="C4918" t="s">
        <v>204</v>
      </c>
      <c r="D4918" t="s">
        <v>74</v>
      </c>
      <c r="E4918" t="s">
        <v>75</v>
      </c>
      <c r="F4918" s="55">
        <v>114</v>
      </c>
      <c r="G4918" s="63">
        <v>8.0399999999999999E-2</v>
      </c>
    </row>
    <row r="4919" spans="1:7" x14ac:dyDescent="0.2">
      <c r="A4919" t="s">
        <v>71</v>
      </c>
      <c r="B4919" t="s">
        <v>110</v>
      </c>
      <c r="C4919" t="s">
        <v>204</v>
      </c>
      <c r="D4919" t="s">
        <v>74</v>
      </c>
      <c r="E4919" t="s">
        <v>76</v>
      </c>
      <c r="F4919" s="55">
        <v>127</v>
      </c>
      <c r="G4919" s="63">
        <v>7.0000000000000001E-3</v>
      </c>
    </row>
    <row r="4920" spans="1:7" x14ac:dyDescent="0.2">
      <c r="A4920" t="s">
        <v>71</v>
      </c>
      <c r="B4920" t="s">
        <v>110</v>
      </c>
      <c r="C4920" t="s">
        <v>204</v>
      </c>
      <c r="D4920" t="s">
        <v>74</v>
      </c>
      <c r="E4920" t="s">
        <v>77</v>
      </c>
      <c r="F4920" s="55">
        <v>121</v>
      </c>
      <c r="G4920" s="63">
        <v>2.63E-2</v>
      </c>
    </row>
    <row r="4921" spans="1:7" x14ac:dyDescent="0.2">
      <c r="A4921" t="s">
        <v>71</v>
      </c>
      <c r="B4921" t="s">
        <v>110</v>
      </c>
      <c r="C4921" t="s">
        <v>204</v>
      </c>
      <c r="D4921" t="s">
        <v>74</v>
      </c>
      <c r="E4921" t="s">
        <v>78</v>
      </c>
      <c r="F4921" s="55">
        <v>122</v>
      </c>
      <c r="G4921" s="63">
        <v>2.4199999999999999E-2</v>
      </c>
    </row>
    <row r="4922" spans="1:7" x14ac:dyDescent="0.2">
      <c r="A4922" t="s">
        <v>71</v>
      </c>
      <c r="B4922" t="s">
        <v>110</v>
      </c>
      <c r="C4922" t="s">
        <v>204</v>
      </c>
      <c r="D4922" t="s">
        <v>74</v>
      </c>
      <c r="E4922" t="s">
        <v>79</v>
      </c>
      <c r="F4922" s="55">
        <v>110</v>
      </c>
      <c r="G4922" s="63">
        <v>5.28E-2</v>
      </c>
    </row>
    <row r="4923" spans="1:7" x14ac:dyDescent="0.2">
      <c r="A4923" t="s">
        <v>71</v>
      </c>
      <c r="B4923" t="s">
        <v>110</v>
      </c>
      <c r="C4923" t="s">
        <v>204</v>
      </c>
      <c r="D4923" t="s">
        <v>74</v>
      </c>
      <c r="E4923" t="s">
        <v>80</v>
      </c>
      <c r="F4923" s="55">
        <v>111</v>
      </c>
      <c r="G4923" s="63">
        <v>3.1800000000000002E-2</v>
      </c>
    </row>
    <row r="4924" spans="1:7" x14ac:dyDescent="0.2">
      <c r="A4924" t="s">
        <v>71</v>
      </c>
      <c r="B4924" t="s">
        <v>110</v>
      </c>
      <c r="C4924" t="s">
        <v>204</v>
      </c>
      <c r="D4924" t="s">
        <v>74</v>
      </c>
      <c r="E4924" t="s">
        <v>81</v>
      </c>
      <c r="F4924" s="55">
        <v>111</v>
      </c>
      <c r="G4924" s="63">
        <v>2.9499999999999998E-2</v>
      </c>
    </row>
    <row r="4925" spans="1:7" x14ac:dyDescent="0.2">
      <c r="A4925" t="s">
        <v>71</v>
      </c>
      <c r="B4925" t="s">
        <v>110</v>
      </c>
      <c r="C4925" t="s">
        <v>204</v>
      </c>
      <c r="D4925" t="s">
        <v>74</v>
      </c>
      <c r="E4925" t="s">
        <v>82</v>
      </c>
      <c r="F4925" s="55">
        <v>112</v>
      </c>
      <c r="G4925" s="63">
        <v>3.2899999999999999E-2</v>
      </c>
    </row>
    <row r="4926" spans="1:7" x14ac:dyDescent="0.2">
      <c r="A4926" t="s">
        <v>71</v>
      </c>
      <c r="B4926" t="s">
        <v>110</v>
      </c>
      <c r="C4926" t="s">
        <v>204</v>
      </c>
      <c r="D4926" t="s">
        <v>74</v>
      </c>
      <c r="E4926" t="s">
        <v>83</v>
      </c>
      <c r="F4926" s="55">
        <v>114</v>
      </c>
      <c r="G4926" s="63">
        <v>8.8999999999999999E-3</v>
      </c>
    </row>
    <row r="4927" spans="1:7" x14ac:dyDescent="0.2">
      <c r="A4927" t="s">
        <v>71</v>
      </c>
      <c r="B4927" t="s">
        <v>110</v>
      </c>
      <c r="C4927" t="s">
        <v>204</v>
      </c>
      <c r="D4927" t="s">
        <v>74</v>
      </c>
      <c r="E4927" t="s">
        <v>84</v>
      </c>
      <c r="F4927" s="55">
        <v>123</v>
      </c>
      <c r="G4927" s="63">
        <v>1.95E-2</v>
      </c>
    </row>
    <row r="4928" spans="1:7" x14ac:dyDescent="0.2">
      <c r="A4928" t="s">
        <v>71</v>
      </c>
      <c r="B4928" t="s">
        <v>110</v>
      </c>
      <c r="C4928" t="s">
        <v>204</v>
      </c>
      <c r="D4928" t="s">
        <v>74</v>
      </c>
      <c r="E4928" t="s">
        <v>85</v>
      </c>
      <c r="F4928" s="55">
        <v>108</v>
      </c>
      <c r="G4928" s="63">
        <v>2.8299999999999999E-2</v>
      </c>
    </row>
    <row r="4929" spans="1:7" x14ac:dyDescent="0.2">
      <c r="A4929" t="s">
        <v>71</v>
      </c>
      <c r="B4929" t="s">
        <v>110</v>
      </c>
      <c r="C4929" t="s">
        <v>204</v>
      </c>
      <c r="D4929" t="s">
        <v>74</v>
      </c>
      <c r="E4929" t="s">
        <v>86</v>
      </c>
      <c r="F4929" s="55">
        <v>109</v>
      </c>
      <c r="G4929" s="63">
        <v>2.7799999999999998E-2</v>
      </c>
    </row>
    <row r="4930" spans="1:7" x14ac:dyDescent="0.2">
      <c r="A4930" t="s">
        <v>71</v>
      </c>
      <c r="B4930" t="s">
        <v>110</v>
      </c>
      <c r="C4930" t="s">
        <v>204</v>
      </c>
      <c r="D4930" t="s">
        <v>74</v>
      </c>
      <c r="E4930" t="s">
        <v>87</v>
      </c>
      <c r="F4930" s="55">
        <v>108</v>
      </c>
      <c r="G4930" s="63">
        <v>2.5499999999999998E-2</v>
      </c>
    </row>
    <row r="4931" spans="1:7" x14ac:dyDescent="0.2">
      <c r="A4931" t="s">
        <v>71</v>
      </c>
      <c r="B4931" t="s">
        <v>110</v>
      </c>
      <c r="C4931" t="s">
        <v>204</v>
      </c>
      <c r="D4931" t="s">
        <v>74</v>
      </c>
      <c r="E4931" t="s">
        <v>88</v>
      </c>
      <c r="F4931" s="55">
        <v>123</v>
      </c>
      <c r="G4931" s="63">
        <v>1.29E-2</v>
      </c>
    </row>
    <row r="4932" spans="1:7" x14ac:dyDescent="0.2">
      <c r="A4932" t="s">
        <v>71</v>
      </c>
      <c r="B4932" t="s">
        <v>111</v>
      </c>
      <c r="C4932" t="s">
        <v>204</v>
      </c>
      <c r="D4932" t="s">
        <v>74</v>
      </c>
      <c r="E4932" t="s">
        <v>75</v>
      </c>
      <c r="F4932" s="55">
        <v>102</v>
      </c>
      <c r="G4932" s="63">
        <v>9.2100000000000001E-2</v>
      </c>
    </row>
    <row r="4933" spans="1:7" x14ac:dyDescent="0.2">
      <c r="A4933" t="s">
        <v>71</v>
      </c>
      <c r="B4933" t="s">
        <v>111</v>
      </c>
      <c r="C4933" t="s">
        <v>204</v>
      </c>
      <c r="D4933" t="s">
        <v>74</v>
      </c>
      <c r="E4933" t="s">
        <v>76</v>
      </c>
      <c r="F4933" s="55">
        <v>87</v>
      </c>
      <c r="G4933" s="63">
        <v>8.3999999999999995E-3</v>
      </c>
    </row>
    <row r="4934" spans="1:7" x14ac:dyDescent="0.2">
      <c r="A4934" t="s">
        <v>71</v>
      </c>
      <c r="B4934" t="s">
        <v>111</v>
      </c>
      <c r="C4934" t="s">
        <v>204</v>
      </c>
      <c r="D4934" t="s">
        <v>74</v>
      </c>
      <c r="E4934" t="s">
        <v>77</v>
      </c>
      <c r="F4934" s="55">
        <v>99</v>
      </c>
      <c r="G4934" s="63">
        <v>2.5000000000000001E-2</v>
      </c>
    </row>
    <row r="4935" spans="1:7" x14ac:dyDescent="0.2">
      <c r="A4935" t="s">
        <v>71</v>
      </c>
      <c r="B4935" t="s">
        <v>111</v>
      </c>
      <c r="C4935" t="s">
        <v>204</v>
      </c>
      <c r="D4935" t="s">
        <v>74</v>
      </c>
      <c r="E4935" t="s">
        <v>78</v>
      </c>
      <c r="F4935" s="55">
        <v>93</v>
      </c>
      <c r="G4935" s="63">
        <v>2.12E-2</v>
      </c>
    </row>
    <row r="4936" spans="1:7" x14ac:dyDescent="0.2">
      <c r="A4936" t="s">
        <v>71</v>
      </c>
      <c r="B4936" t="s">
        <v>111</v>
      </c>
      <c r="C4936" t="s">
        <v>204</v>
      </c>
      <c r="D4936" t="s">
        <v>74</v>
      </c>
      <c r="E4936" t="s">
        <v>79</v>
      </c>
      <c r="F4936" s="55">
        <v>102</v>
      </c>
      <c r="G4936" s="63">
        <v>5.33E-2</v>
      </c>
    </row>
    <row r="4937" spans="1:7" x14ac:dyDescent="0.2">
      <c r="A4937" t="s">
        <v>71</v>
      </c>
      <c r="B4937" t="s">
        <v>111</v>
      </c>
      <c r="C4937" t="s">
        <v>204</v>
      </c>
      <c r="D4937" t="s">
        <v>74</v>
      </c>
      <c r="E4937" t="s">
        <v>80</v>
      </c>
      <c r="F4937" s="55">
        <v>103</v>
      </c>
      <c r="G4937" s="63">
        <v>1.61E-2</v>
      </c>
    </row>
    <row r="4938" spans="1:7" x14ac:dyDescent="0.2">
      <c r="A4938" t="s">
        <v>71</v>
      </c>
      <c r="B4938" t="s">
        <v>111</v>
      </c>
      <c r="C4938" t="s">
        <v>204</v>
      </c>
      <c r="D4938" t="s">
        <v>74</v>
      </c>
      <c r="E4938" t="s">
        <v>81</v>
      </c>
      <c r="F4938" s="55">
        <v>108</v>
      </c>
      <c r="G4938" s="63">
        <v>1.6500000000000001E-2</v>
      </c>
    </row>
    <row r="4939" spans="1:7" x14ac:dyDescent="0.2">
      <c r="A4939" t="s">
        <v>71</v>
      </c>
      <c r="B4939" t="s">
        <v>111</v>
      </c>
      <c r="C4939" t="s">
        <v>204</v>
      </c>
      <c r="D4939" t="s">
        <v>74</v>
      </c>
      <c r="E4939" t="s">
        <v>82</v>
      </c>
      <c r="F4939" s="55">
        <v>110</v>
      </c>
      <c r="G4939" s="63">
        <v>4.6800000000000001E-2</v>
      </c>
    </row>
    <row r="4940" spans="1:7" x14ac:dyDescent="0.2">
      <c r="A4940" t="s">
        <v>71</v>
      </c>
      <c r="B4940" t="s">
        <v>111</v>
      </c>
      <c r="C4940" t="s">
        <v>204</v>
      </c>
      <c r="D4940" t="s">
        <v>74</v>
      </c>
      <c r="E4940" t="s">
        <v>83</v>
      </c>
      <c r="F4940" s="55">
        <v>101</v>
      </c>
      <c r="G4940" s="63">
        <v>7.1000000000000004E-3</v>
      </c>
    </row>
    <row r="4941" spans="1:7" x14ac:dyDescent="0.2">
      <c r="A4941" t="s">
        <v>71</v>
      </c>
      <c r="B4941" t="s">
        <v>111</v>
      </c>
      <c r="C4941" t="s">
        <v>204</v>
      </c>
      <c r="D4941" t="s">
        <v>74</v>
      </c>
      <c r="E4941" t="s">
        <v>84</v>
      </c>
      <c r="F4941" s="55">
        <v>92</v>
      </c>
      <c r="G4941" s="63">
        <v>1.6799999999999999E-2</v>
      </c>
    </row>
    <row r="4942" spans="1:7" x14ac:dyDescent="0.2">
      <c r="A4942" t="s">
        <v>71</v>
      </c>
      <c r="B4942" t="s">
        <v>111</v>
      </c>
      <c r="C4942" t="s">
        <v>204</v>
      </c>
      <c r="D4942" t="s">
        <v>74</v>
      </c>
      <c r="E4942" t="s">
        <v>85</v>
      </c>
      <c r="F4942" s="55">
        <v>99</v>
      </c>
      <c r="G4942" s="63">
        <v>1.7600000000000001E-2</v>
      </c>
    </row>
    <row r="4943" spans="1:7" x14ac:dyDescent="0.2">
      <c r="A4943" t="s">
        <v>71</v>
      </c>
      <c r="B4943" t="s">
        <v>111</v>
      </c>
      <c r="C4943" t="s">
        <v>204</v>
      </c>
      <c r="D4943" t="s">
        <v>74</v>
      </c>
      <c r="E4943" t="s">
        <v>86</v>
      </c>
      <c r="F4943" s="55">
        <v>103</v>
      </c>
      <c r="G4943" s="63">
        <v>2.1100000000000001E-2</v>
      </c>
    </row>
    <row r="4944" spans="1:7" x14ac:dyDescent="0.2">
      <c r="A4944" t="s">
        <v>71</v>
      </c>
      <c r="B4944" t="s">
        <v>111</v>
      </c>
      <c r="C4944" t="s">
        <v>204</v>
      </c>
      <c r="D4944" t="s">
        <v>74</v>
      </c>
      <c r="E4944" t="s">
        <v>87</v>
      </c>
      <c r="F4944" s="55">
        <v>105</v>
      </c>
      <c r="G4944" s="63">
        <v>2.4199999999999999E-2</v>
      </c>
    </row>
    <row r="4945" spans="1:7" x14ac:dyDescent="0.2">
      <c r="A4945" t="s">
        <v>71</v>
      </c>
      <c r="B4945" t="s">
        <v>111</v>
      </c>
      <c r="C4945" t="s">
        <v>204</v>
      </c>
      <c r="D4945" t="s">
        <v>74</v>
      </c>
      <c r="E4945" t="s">
        <v>88</v>
      </c>
      <c r="F4945" s="55">
        <v>98</v>
      </c>
      <c r="G4945" s="63">
        <v>1.6E-2</v>
      </c>
    </row>
    <row r="4946" spans="1:7" x14ac:dyDescent="0.2">
      <c r="A4946" t="s">
        <v>89</v>
      </c>
      <c r="B4946" t="s">
        <v>112</v>
      </c>
      <c r="C4946" t="s">
        <v>204</v>
      </c>
      <c r="D4946" t="s">
        <v>74</v>
      </c>
      <c r="E4946" t="s">
        <v>75</v>
      </c>
      <c r="F4946" s="55">
        <v>106</v>
      </c>
      <c r="G4946" s="63">
        <v>5.7099999999999998E-2</v>
      </c>
    </row>
    <row r="4947" spans="1:7" x14ac:dyDescent="0.2">
      <c r="A4947" t="s">
        <v>89</v>
      </c>
      <c r="B4947" t="s">
        <v>112</v>
      </c>
      <c r="C4947" t="s">
        <v>204</v>
      </c>
      <c r="D4947" t="s">
        <v>74</v>
      </c>
      <c r="E4947" t="s">
        <v>76</v>
      </c>
      <c r="F4947" s="55">
        <v>99</v>
      </c>
      <c r="G4947" s="63">
        <v>3.8E-3</v>
      </c>
    </row>
    <row r="4948" spans="1:7" x14ac:dyDescent="0.2">
      <c r="A4948" t="s">
        <v>89</v>
      </c>
      <c r="B4948" t="s">
        <v>112</v>
      </c>
      <c r="C4948" t="s">
        <v>204</v>
      </c>
      <c r="D4948" t="s">
        <v>74</v>
      </c>
      <c r="E4948" t="s">
        <v>77</v>
      </c>
      <c r="F4948" s="55">
        <v>101</v>
      </c>
      <c r="G4948" s="63">
        <v>1.34E-2</v>
      </c>
    </row>
    <row r="4949" spans="1:7" x14ac:dyDescent="0.2">
      <c r="A4949" t="s">
        <v>89</v>
      </c>
      <c r="B4949" t="s">
        <v>112</v>
      </c>
      <c r="C4949" t="s">
        <v>204</v>
      </c>
      <c r="D4949" t="s">
        <v>74</v>
      </c>
      <c r="E4949" t="s">
        <v>78</v>
      </c>
      <c r="F4949" s="55">
        <v>92</v>
      </c>
      <c r="G4949" s="63">
        <v>1.06E-2</v>
      </c>
    </row>
    <row r="4950" spans="1:7" x14ac:dyDescent="0.2">
      <c r="A4950" t="s">
        <v>89</v>
      </c>
      <c r="B4950" t="s">
        <v>112</v>
      </c>
      <c r="C4950" t="s">
        <v>204</v>
      </c>
      <c r="D4950" t="s">
        <v>74</v>
      </c>
      <c r="E4950" t="s">
        <v>79</v>
      </c>
      <c r="F4950" s="55">
        <v>115</v>
      </c>
      <c r="G4950" s="63">
        <v>3.27E-2</v>
      </c>
    </row>
    <row r="4951" spans="1:7" x14ac:dyDescent="0.2">
      <c r="A4951" t="s">
        <v>89</v>
      </c>
      <c r="B4951" t="s">
        <v>112</v>
      </c>
      <c r="C4951" t="s">
        <v>204</v>
      </c>
      <c r="D4951" t="s">
        <v>74</v>
      </c>
      <c r="E4951" t="s">
        <v>80</v>
      </c>
      <c r="F4951" s="55">
        <v>109</v>
      </c>
      <c r="G4951" s="63">
        <v>1.7000000000000001E-2</v>
      </c>
    </row>
    <row r="4952" spans="1:7" x14ac:dyDescent="0.2">
      <c r="A4952" t="s">
        <v>89</v>
      </c>
      <c r="B4952" t="s">
        <v>112</v>
      </c>
      <c r="C4952" t="s">
        <v>204</v>
      </c>
      <c r="D4952" t="s">
        <v>74</v>
      </c>
      <c r="E4952" t="s">
        <v>81</v>
      </c>
      <c r="F4952" s="55">
        <v>99</v>
      </c>
      <c r="G4952" s="63">
        <v>1.7299999999999999E-2</v>
      </c>
    </row>
    <row r="4953" spans="1:7" x14ac:dyDescent="0.2">
      <c r="A4953" t="s">
        <v>89</v>
      </c>
      <c r="B4953" t="s">
        <v>112</v>
      </c>
      <c r="C4953" t="s">
        <v>204</v>
      </c>
      <c r="D4953" t="s">
        <v>74</v>
      </c>
      <c r="E4953" t="s">
        <v>82</v>
      </c>
      <c r="F4953" s="55">
        <v>106</v>
      </c>
      <c r="G4953" s="63">
        <v>2.1700000000000001E-2</v>
      </c>
    </row>
    <row r="4954" spans="1:7" x14ac:dyDescent="0.2">
      <c r="A4954" t="s">
        <v>89</v>
      </c>
      <c r="B4954" t="s">
        <v>112</v>
      </c>
      <c r="C4954" t="s">
        <v>204</v>
      </c>
      <c r="D4954" t="s">
        <v>74</v>
      </c>
      <c r="E4954" t="s">
        <v>83</v>
      </c>
      <c r="F4954" s="55">
        <v>90</v>
      </c>
      <c r="G4954" s="63">
        <v>5.1999999999999998E-3</v>
      </c>
    </row>
    <row r="4955" spans="1:7" x14ac:dyDescent="0.2">
      <c r="A4955" t="s">
        <v>89</v>
      </c>
      <c r="B4955" t="s">
        <v>112</v>
      </c>
      <c r="C4955" t="s">
        <v>204</v>
      </c>
      <c r="D4955" t="s">
        <v>74</v>
      </c>
      <c r="E4955" t="s">
        <v>84</v>
      </c>
      <c r="F4955" s="55">
        <v>95</v>
      </c>
      <c r="G4955" s="63">
        <v>8.3999999999999995E-3</v>
      </c>
    </row>
    <row r="4956" spans="1:7" x14ac:dyDescent="0.2">
      <c r="A4956" t="s">
        <v>89</v>
      </c>
      <c r="B4956" t="s">
        <v>112</v>
      </c>
      <c r="C4956" t="s">
        <v>204</v>
      </c>
      <c r="D4956" t="s">
        <v>74</v>
      </c>
      <c r="E4956" t="s">
        <v>85</v>
      </c>
      <c r="F4956" s="55">
        <v>115</v>
      </c>
      <c r="G4956" s="63">
        <v>1.41E-2</v>
      </c>
    </row>
    <row r="4957" spans="1:7" x14ac:dyDescent="0.2">
      <c r="A4957" t="s">
        <v>89</v>
      </c>
      <c r="B4957" t="s">
        <v>112</v>
      </c>
      <c r="C4957" t="s">
        <v>204</v>
      </c>
      <c r="D4957" t="s">
        <v>74</v>
      </c>
      <c r="E4957" t="s">
        <v>86</v>
      </c>
      <c r="F4957" s="55">
        <v>112</v>
      </c>
      <c r="G4957" s="63">
        <v>1.34E-2</v>
      </c>
    </row>
    <row r="4958" spans="1:7" x14ac:dyDescent="0.2">
      <c r="A4958" t="s">
        <v>89</v>
      </c>
      <c r="B4958" t="s">
        <v>112</v>
      </c>
      <c r="C4958" t="s">
        <v>204</v>
      </c>
      <c r="D4958" t="s">
        <v>74</v>
      </c>
      <c r="E4958" t="s">
        <v>87</v>
      </c>
      <c r="F4958" s="55">
        <v>116</v>
      </c>
      <c r="G4958" s="63">
        <v>1.2800000000000001E-2</v>
      </c>
    </row>
    <row r="4959" spans="1:7" x14ac:dyDescent="0.2">
      <c r="A4959" t="s">
        <v>89</v>
      </c>
      <c r="B4959" t="s">
        <v>112</v>
      </c>
      <c r="C4959" t="s">
        <v>204</v>
      </c>
      <c r="D4959" t="s">
        <v>74</v>
      </c>
      <c r="E4959" t="s">
        <v>88</v>
      </c>
      <c r="F4959" s="55">
        <v>96</v>
      </c>
      <c r="G4959" s="63">
        <v>7.1999999999999998E-3</v>
      </c>
    </row>
    <row r="4960" spans="1:7" x14ac:dyDescent="0.2">
      <c r="A4960" t="s">
        <v>89</v>
      </c>
      <c r="B4960" t="s">
        <v>113</v>
      </c>
      <c r="C4960" t="s">
        <v>204</v>
      </c>
      <c r="D4960" t="s">
        <v>91</v>
      </c>
      <c r="E4960" t="s">
        <v>75</v>
      </c>
      <c r="F4960" s="55">
        <v>104</v>
      </c>
      <c r="G4960" s="63">
        <v>0.79610000000000003</v>
      </c>
    </row>
    <row r="4961" spans="1:7" x14ac:dyDescent="0.2">
      <c r="A4961" t="s">
        <v>89</v>
      </c>
      <c r="B4961" t="s">
        <v>113</v>
      </c>
      <c r="C4961" t="s">
        <v>204</v>
      </c>
      <c r="D4961" t="s">
        <v>91</v>
      </c>
      <c r="E4961" t="s">
        <v>76</v>
      </c>
      <c r="F4961" s="55">
        <v>101</v>
      </c>
      <c r="G4961" s="63">
        <v>0.36880000000000002</v>
      </c>
    </row>
    <row r="4962" spans="1:7" x14ac:dyDescent="0.2">
      <c r="A4962" t="s">
        <v>89</v>
      </c>
      <c r="B4962" t="s">
        <v>113</v>
      </c>
      <c r="C4962" t="s">
        <v>204</v>
      </c>
      <c r="D4962" t="s">
        <v>91</v>
      </c>
      <c r="E4962" t="s">
        <v>77</v>
      </c>
      <c r="F4962" s="55">
        <v>105</v>
      </c>
      <c r="G4962" s="63">
        <v>0.52039999999999997</v>
      </c>
    </row>
    <row r="4963" spans="1:7" x14ac:dyDescent="0.2">
      <c r="A4963" t="s">
        <v>89</v>
      </c>
      <c r="B4963" t="s">
        <v>113</v>
      </c>
      <c r="C4963" t="s">
        <v>204</v>
      </c>
      <c r="D4963" t="s">
        <v>91</v>
      </c>
      <c r="E4963" t="s">
        <v>78</v>
      </c>
      <c r="F4963" s="55">
        <v>104</v>
      </c>
      <c r="G4963" s="63">
        <v>0.44790000000000002</v>
      </c>
    </row>
    <row r="4964" spans="1:7" x14ac:dyDescent="0.2">
      <c r="A4964" t="s">
        <v>89</v>
      </c>
      <c r="B4964" t="s">
        <v>113</v>
      </c>
      <c r="C4964" t="s">
        <v>204</v>
      </c>
      <c r="D4964" t="s">
        <v>91</v>
      </c>
      <c r="E4964" t="s">
        <v>79</v>
      </c>
      <c r="F4964" s="55">
        <v>107</v>
      </c>
      <c r="G4964" s="63">
        <v>0.60870000000000002</v>
      </c>
    </row>
    <row r="4965" spans="1:7" x14ac:dyDescent="0.2">
      <c r="A4965" t="s">
        <v>89</v>
      </c>
      <c r="B4965" t="s">
        <v>113</v>
      </c>
      <c r="C4965" t="s">
        <v>204</v>
      </c>
      <c r="D4965" t="s">
        <v>91</v>
      </c>
      <c r="E4965" t="s">
        <v>80</v>
      </c>
      <c r="F4965" s="55">
        <v>110</v>
      </c>
      <c r="G4965" s="63">
        <v>0.24129999999999999</v>
      </c>
    </row>
    <row r="4966" spans="1:7" x14ac:dyDescent="0.2">
      <c r="A4966" t="s">
        <v>89</v>
      </c>
      <c r="B4966" t="s">
        <v>113</v>
      </c>
      <c r="C4966" t="s">
        <v>204</v>
      </c>
      <c r="D4966" t="s">
        <v>91</v>
      </c>
      <c r="E4966" t="s">
        <v>81</v>
      </c>
      <c r="F4966" s="55">
        <v>99</v>
      </c>
      <c r="G4966" s="63">
        <v>0.27600000000000002</v>
      </c>
    </row>
    <row r="4967" spans="1:7" x14ac:dyDescent="0.2">
      <c r="A4967" t="s">
        <v>89</v>
      </c>
      <c r="B4967" t="s">
        <v>113</v>
      </c>
      <c r="C4967" t="s">
        <v>204</v>
      </c>
      <c r="D4967" t="s">
        <v>91</v>
      </c>
      <c r="E4967" t="s">
        <v>82</v>
      </c>
      <c r="F4967" s="55">
        <v>103</v>
      </c>
      <c r="G4967" s="63">
        <v>0.57320000000000004</v>
      </c>
    </row>
    <row r="4968" spans="1:7" x14ac:dyDescent="0.2">
      <c r="A4968" t="s">
        <v>89</v>
      </c>
      <c r="B4968" t="s">
        <v>113</v>
      </c>
      <c r="C4968" t="s">
        <v>204</v>
      </c>
      <c r="D4968" t="s">
        <v>91</v>
      </c>
      <c r="E4968" t="s">
        <v>83</v>
      </c>
      <c r="F4968" s="55">
        <v>96</v>
      </c>
      <c r="G4968" s="63">
        <v>0.2482</v>
      </c>
    </row>
    <row r="4969" spans="1:7" x14ac:dyDescent="0.2">
      <c r="A4969" t="s">
        <v>89</v>
      </c>
      <c r="B4969" t="s">
        <v>113</v>
      </c>
      <c r="C4969" t="s">
        <v>204</v>
      </c>
      <c r="D4969" t="s">
        <v>91</v>
      </c>
      <c r="E4969" t="s">
        <v>84</v>
      </c>
      <c r="F4969" s="55">
        <v>106</v>
      </c>
      <c r="G4969" s="63">
        <v>0.39419999999999999</v>
      </c>
    </row>
    <row r="4970" spans="1:7" x14ac:dyDescent="0.2">
      <c r="A4970" t="s">
        <v>89</v>
      </c>
      <c r="B4970" t="s">
        <v>113</v>
      </c>
      <c r="C4970" t="s">
        <v>204</v>
      </c>
      <c r="D4970" t="s">
        <v>91</v>
      </c>
      <c r="E4970" t="s">
        <v>85</v>
      </c>
      <c r="F4970" s="55">
        <v>113</v>
      </c>
      <c r="G4970" s="63">
        <v>0.3014</v>
      </c>
    </row>
    <row r="4971" spans="1:7" x14ac:dyDescent="0.2">
      <c r="A4971" t="s">
        <v>89</v>
      </c>
      <c r="B4971" t="s">
        <v>113</v>
      </c>
      <c r="C4971" t="s">
        <v>204</v>
      </c>
      <c r="D4971" t="s">
        <v>91</v>
      </c>
      <c r="E4971" t="s">
        <v>86</v>
      </c>
      <c r="F4971" s="55">
        <v>112</v>
      </c>
      <c r="G4971" s="63">
        <v>0.37080000000000002</v>
      </c>
    </row>
    <row r="4972" spans="1:7" x14ac:dyDescent="0.2">
      <c r="A4972" t="s">
        <v>89</v>
      </c>
      <c r="B4972" t="s">
        <v>113</v>
      </c>
      <c r="C4972" t="s">
        <v>204</v>
      </c>
      <c r="D4972" t="s">
        <v>91</v>
      </c>
      <c r="E4972" t="s">
        <v>87</v>
      </c>
      <c r="F4972" s="55">
        <v>105</v>
      </c>
      <c r="G4972" s="63">
        <v>0.35170000000000001</v>
      </c>
    </row>
    <row r="4973" spans="1:7" x14ac:dyDescent="0.2">
      <c r="A4973" t="s">
        <v>89</v>
      </c>
      <c r="B4973" t="s">
        <v>113</v>
      </c>
      <c r="C4973" t="s">
        <v>204</v>
      </c>
      <c r="D4973" t="s">
        <v>91</v>
      </c>
      <c r="E4973" t="s">
        <v>88</v>
      </c>
      <c r="F4973" s="55">
        <v>100</v>
      </c>
      <c r="G4973" s="63">
        <v>0.44009999999999999</v>
      </c>
    </row>
    <row r="4974" spans="1:7" x14ac:dyDescent="0.2">
      <c r="A4974" t="s">
        <v>71</v>
      </c>
      <c r="B4974" t="s">
        <v>115</v>
      </c>
      <c r="C4974" t="s">
        <v>204</v>
      </c>
      <c r="D4974" t="s">
        <v>74</v>
      </c>
      <c r="E4974" t="s">
        <v>75</v>
      </c>
      <c r="F4974" s="55">
        <v>123</v>
      </c>
      <c r="G4974" s="63">
        <v>8.4400000000000003E-2</v>
      </c>
    </row>
    <row r="4975" spans="1:7" x14ac:dyDescent="0.2">
      <c r="A4975" t="s">
        <v>71</v>
      </c>
      <c r="B4975" t="s">
        <v>115</v>
      </c>
      <c r="C4975" t="s">
        <v>204</v>
      </c>
      <c r="D4975" t="s">
        <v>74</v>
      </c>
      <c r="E4975" t="s">
        <v>76</v>
      </c>
      <c r="F4975" s="55">
        <v>121</v>
      </c>
      <c r="G4975" s="63">
        <v>8.0000000000000002E-3</v>
      </c>
    </row>
    <row r="4976" spans="1:7" x14ac:dyDescent="0.2">
      <c r="A4976" t="s">
        <v>71</v>
      </c>
      <c r="B4976" t="s">
        <v>115</v>
      </c>
      <c r="C4976" t="s">
        <v>204</v>
      </c>
      <c r="D4976" t="s">
        <v>74</v>
      </c>
      <c r="E4976" t="s">
        <v>77</v>
      </c>
      <c r="F4976" s="55">
        <v>125</v>
      </c>
      <c r="G4976" s="63">
        <v>2.52E-2</v>
      </c>
    </row>
    <row r="4977" spans="1:7" x14ac:dyDescent="0.2">
      <c r="A4977" t="s">
        <v>71</v>
      </c>
      <c r="B4977" t="s">
        <v>115</v>
      </c>
      <c r="C4977" t="s">
        <v>204</v>
      </c>
      <c r="D4977" t="s">
        <v>74</v>
      </c>
      <c r="E4977" t="s">
        <v>78</v>
      </c>
      <c r="F4977" s="55">
        <v>132</v>
      </c>
      <c r="G4977" s="63">
        <v>2.1600000000000001E-2</v>
      </c>
    </row>
    <row r="4978" spans="1:7" x14ac:dyDescent="0.2">
      <c r="A4978" t="s">
        <v>71</v>
      </c>
      <c r="B4978" t="s">
        <v>115</v>
      </c>
      <c r="C4978" t="s">
        <v>204</v>
      </c>
      <c r="D4978" t="s">
        <v>74</v>
      </c>
      <c r="E4978" t="s">
        <v>79</v>
      </c>
      <c r="F4978" s="55">
        <v>124</v>
      </c>
      <c r="G4978" s="63">
        <v>5.11E-2</v>
      </c>
    </row>
    <row r="4979" spans="1:7" x14ac:dyDescent="0.2">
      <c r="A4979" t="s">
        <v>71</v>
      </c>
      <c r="B4979" t="s">
        <v>115</v>
      </c>
      <c r="C4979" t="s">
        <v>204</v>
      </c>
      <c r="D4979" t="s">
        <v>74</v>
      </c>
      <c r="E4979" t="s">
        <v>80</v>
      </c>
      <c r="F4979" s="55">
        <v>119</v>
      </c>
      <c r="G4979" s="63">
        <v>2.93E-2</v>
      </c>
    </row>
    <row r="4980" spans="1:7" x14ac:dyDescent="0.2">
      <c r="A4980" t="s">
        <v>71</v>
      </c>
      <c r="B4980" t="s">
        <v>115</v>
      </c>
      <c r="C4980" t="s">
        <v>204</v>
      </c>
      <c r="D4980" t="s">
        <v>74</v>
      </c>
      <c r="E4980" t="s">
        <v>81</v>
      </c>
      <c r="F4980" s="55">
        <v>114</v>
      </c>
      <c r="G4980" s="63">
        <v>2.8500000000000001E-2</v>
      </c>
    </row>
    <row r="4981" spans="1:7" x14ac:dyDescent="0.2">
      <c r="A4981" t="s">
        <v>71</v>
      </c>
      <c r="B4981" t="s">
        <v>115</v>
      </c>
      <c r="C4981" t="s">
        <v>204</v>
      </c>
      <c r="D4981" t="s">
        <v>74</v>
      </c>
      <c r="E4981" t="s">
        <v>82</v>
      </c>
      <c r="F4981" s="55">
        <v>122</v>
      </c>
      <c r="G4981" s="63">
        <v>3.2899999999999999E-2</v>
      </c>
    </row>
    <row r="4982" spans="1:7" x14ac:dyDescent="0.2">
      <c r="A4982" t="s">
        <v>71</v>
      </c>
      <c r="B4982" t="s">
        <v>115</v>
      </c>
      <c r="C4982" t="s">
        <v>204</v>
      </c>
      <c r="D4982" t="s">
        <v>74</v>
      </c>
      <c r="E4982" t="s">
        <v>83</v>
      </c>
      <c r="F4982" s="55">
        <v>116</v>
      </c>
      <c r="G4982" s="63">
        <v>9.4000000000000004E-3</v>
      </c>
    </row>
    <row r="4983" spans="1:7" x14ac:dyDescent="0.2">
      <c r="A4983" t="s">
        <v>71</v>
      </c>
      <c r="B4983" t="s">
        <v>115</v>
      </c>
      <c r="C4983" t="s">
        <v>204</v>
      </c>
      <c r="D4983" t="s">
        <v>74</v>
      </c>
      <c r="E4983" t="s">
        <v>84</v>
      </c>
      <c r="F4983" s="55">
        <v>135</v>
      </c>
      <c r="G4983" s="63">
        <v>1.77E-2</v>
      </c>
    </row>
    <row r="4984" spans="1:7" x14ac:dyDescent="0.2">
      <c r="A4984" t="s">
        <v>71</v>
      </c>
      <c r="B4984" t="s">
        <v>115</v>
      </c>
      <c r="C4984" t="s">
        <v>204</v>
      </c>
      <c r="D4984" t="s">
        <v>74</v>
      </c>
      <c r="E4984" t="s">
        <v>85</v>
      </c>
      <c r="F4984" s="55">
        <v>124</v>
      </c>
      <c r="G4984" s="63">
        <v>2.4799999999999999E-2</v>
      </c>
    </row>
    <row r="4985" spans="1:7" x14ac:dyDescent="0.2">
      <c r="A4985" t="s">
        <v>71</v>
      </c>
      <c r="B4985" t="s">
        <v>115</v>
      </c>
      <c r="C4985" t="s">
        <v>204</v>
      </c>
      <c r="D4985" t="s">
        <v>74</v>
      </c>
      <c r="E4985" t="s">
        <v>86</v>
      </c>
      <c r="F4985" s="55">
        <v>126</v>
      </c>
      <c r="G4985" s="63">
        <v>2.4E-2</v>
      </c>
    </row>
    <row r="4986" spans="1:7" x14ac:dyDescent="0.2">
      <c r="A4986" t="s">
        <v>71</v>
      </c>
      <c r="B4986" t="s">
        <v>115</v>
      </c>
      <c r="C4986" t="s">
        <v>204</v>
      </c>
      <c r="D4986" t="s">
        <v>74</v>
      </c>
      <c r="E4986" t="s">
        <v>87</v>
      </c>
      <c r="F4986" s="55">
        <v>125</v>
      </c>
      <c r="G4986" s="63">
        <v>2.3199999999999998E-2</v>
      </c>
    </row>
    <row r="4987" spans="1:7" x14ac:dyDescent="0.2">
      <c r="A4987" t="s">
        <v>71</v>
      </c>
      <c r="B4987" t="s">
        <v>115</v>
      </c>
      <c r="C4987" t="s">
        <v>204</v>
      </c>
      <c r="D4987" t="s">
        <v>74</v>
      </c>
      <c r="E4987" t="s">
        <v>88</v>
      </c>
      <c r="F4987" s="55">
        <v>120</v>
      </c>
      <c r="G4987" s="63">
        <v>1.29E-2</v>
      </c>
    </row>
    <row r="4988" spans="1:7" x14ac:dyDescent="0.2">
      <c r="A4988" t="s">
        <v>89</v>
      </c>
      <c r="B4988" t="s">
        <v>116</v>
      </c>
      <c r="C4988" t="s">
        <v>204</v>
      </c>
      <c r="D4988" t="s">
        <v>74</v>
      </c>
      <c r="E4988" t="s">
        <v>75</v>
      </c>
      <c r="F4988" s="55">
        <v>127</v>
      </c>
      <c r="G4988" s="63">
        <v>4.24E-2</v>
      </c>
    </row>
    <row r="4989" spans="1:7" x14ac:dyDescent="0.2">
      <c r="A4989" t="s">
        <v>89</v>
      </c>
      <c r="B4989" t="s">
        <v>116</v>
      </c>
      <c r="C4989" t="s">
        <v>204</v>
      </c>
      <c r="D4989" t="s">
        <v>74</v>
      </c>
      <c r="E4989" t="s">
        <v>76</v>
      </c>
      <c r="F4989" s="55">
        <v>147</v>
      </c>
      <c r="G4989" s="63">
        <v>1.1999999999999999E-3</v>
      </c>
    </row>
    <row r="4990" spans="1:7" x14ac:dyDescent="0.2">
      <c r="A4990" t="s">
        <v>89</v>
      </c>
      <c r="B4990" t="s">
        <v>116</v>
      </c>
      <c r="C4990" t="s">
        <v>204</v>
      </c>
      <c r="D4990" t="s">
        <v>74</v>
      </c>
      <c r="E4990" t="s">
        <v>77</v>
      </c>
      <c r="F4990" s="55">
        <v>91</v>
      </c>
      <c r="G4990" s="63">
        <v>5.1000000000000004E-3</v>
      </c>
    </row>
    <row r="4991" spans="1:7" x14ac:dyDescent="0.2">
      <c r="A4991" t="s">
        <v>89</v>
      </c>
      <c r="B4991" t="s">
        <v>116</v>
      </c>
      <c r="C4991" t="s">
        <v>204</v>
      </c>
      <c r="D4991" t="s">
        <v>74</v>
      </c>
      <c r="E4991" t="s">
        <v>78</v>
      </c>
      <c r="F4991" s="55">
        <v>116</v>
      </c>
      <c r="G4991" s="63">
        <v>6.4999999999999997E-3</v>
      </c>
    </row>
    <row r="4992" spans="1:7" x14ac:dyDescent="0.2">
      <c r="A4992" t="s">
        <v>89</v>
      </c>
      <c r="B4992" t="s">
        <v>116</v>
      </c>
      <c r="C4992" t="s">
        <v>204</v>
      </c>
      <c r="D4992" t="s">
        <v>74</v>
      </c>
      <c r="E4992" t="s">
        <v>79</v>
      </c>
      <c r="F4992" s="55">
        <v>130</v>
      </c>
      <c r="G4992" s="63">
        <v>2.64E-2</v>
      </c>
    </row>
    <row r="4993" spans="1:7" x14ac:dyDescent="0.2">
      <c r="A4993" t="s">
        <v>89</v>
      </c>
      <c r="B4993" t="s">
        <v>116</v>
      </c>
      <c r="C4993" t="s">
        <v>204</v>
      </c>
      <c r="D4993" t="s">
        <v>74</v>
      </c>
      <c r="E4993" t="s">
        <v>80</v>
      </c>
      <c r="F4993" s="55">
        <v>134</v>
      </c>
      <c r="G4993" s="63">
        <v>1.24E-2</v>
      </c>
    </row>
    <row r="4994" spans="1:7" x14ac:dyDescent="0.2">
      <c r="A4994" t="s">
        <v>89</v>
      </c>
      <c r="B4994" t="s">
        <v>116</v>
      </c>
      <c r="C4994" t="s">
        <v>204</v>
      </c>
      <c r="D4994" t="s">
        <v>74</v>
      </c>
      <c r="E4994" t="s">
        <v>81</v>
      </c>
      <c r="F4994" s="55">
        <v>133</v>
      </c>
      <c r="G4994" s="63">
        <v>1.2E-2</v>
      </c>
    </row>
    <row r="4995" spans="1:7" x14ac:dyDescent="0.2">
      <c r="A4995" t="s">
        <v>89</v>
      </c>
      <c r="B4995" t="s">
        <v>116</v>
      </c>
      <c r="C4995" t="s">
        <v>204</v>
      </c>
      <c r="D4995" t="s">
        <v>74</v>
      </c>
      <c r="E4995" t="s">
        <v>82</v>
      </c>
      <c r="F4995" s="55">
        <v>124</v>
      </c>
      <c r="G4995" s="63">
        <v>1.12E-2</v>
      </c>
    </row>
    <row r="4996" spans="1:7" x14ac:dyDescent="0.2">
      <c r="A4996" t="s">
        <v>89</v>
      </c>
      <c r="B4996" t="s">
        <v>116</v>
      </c>
      <c r="C4996" t="s">
        <v>204</v>
      </c>
      <c r="D4996" t="s">
        <v>74</v>
      </c>
      <c r="E4996" t="s">
        <v>83</v>
      </c>
      <c r="F4996" s="55">
        <v>148</v>
      </c>
      <c r="G4996" s="63">
        <v>2.5999999999999999E-3</v>
      </c>
    </row>
    <row r="4997" spans="1:7" x14ac:dyDescent="0.2">
      <c r="A4997" t="s">
        <v>89</v>
      </c>
      <c r="B4997" t="s">
        <v>116</v>
      </c>
      <c r="C4997" t="s">
        <v>204</v>
      </c>
      <c r="D4997" t="s">
        <v>74</v>
      </c>
      <c r="E4997" t="s">
        <v>84</v>
      </c>
      <c r="F4997" s="55">
        <v>114</v>
      </c>
      <c r="G4997" s="63">
        <v>4.1999999999999997E-3</v>
      </c>
    </row>
    <row r="4998" spans="1:7" x14ac:dyDescent="0.2">
      <c r="A4998" t="s">
        <v>89</v>
      </c>
      <c r="B4998" t="s">
        <v>116</v>
      </c>
      <c r="C4998" t="s">
        <v>204</v>
      </c>
      <c r="D4998" t="s">
        <v>74</v>
      </c>
      <c r="E4998" t="s">
        <v>85</v>
      </c>
      <c r="F4998" s="55">
        <v>123</v>
      </c>
      <c r="G4998" s="63">
        <v>1.1599999999999999E-2</v>
      </c>
    </row>
    <row r="4999" spans="1:7" x14ac:dyDescent="0.2">
      <c r="A4999" t="s">
        <v>89</v>
      </c>
      <c r="B4999" t="s">
        <v>116</v>
      </c>
      <c r="C4999" t="s">
        <v>204</v>
      </c>
      <c r="D4999" t="s">
        <v>74</v>
      </c>
      <c r="E4999" t="s">
        <v>86</v>
      </c>
      <c r="F4999" s="55">
        <v>128</v>
      </c>
      <c r="G4999" s="63">
        <v>1.0800000000000001E-2</v>
      </c>
    </row>
    <row r="5000" spans="1:7" x14ac:dyDescent="0.2">
      <c r="A5000" t="s">
        <v>89</v>
      </c>
      <c r="B5000" t="s">
        <v>116</v>
      </c>
      <c r="C5000" t="s">
        <v>204</v>
      </c>
      <c r="D5000" t="s">
        <v>74</v>
      </c>
      <c r="E5000" t="s">
        <v>87</v>
      </c>
      <c r="F5000" s="55">
        <v>127</v>
      </c>
      <c r="G5000" s="63">
        <v>1.03E-2</v>
      </c>
    </row>
    <row r="5001" spans="1:7" x14ac:dyDescent="0.2">
      <c r="A5001" t="s">
        <v>89</v>
      </c>
      <c r="B5001" t="s">
        <v>116</v>
      </c>
      <c r="C5001" t="s">
        <v>204</v>
      </c>
      <c r="D5001" t="s">
        <v>74</v>
      </c>
      <c r="E5001" t="s">
        <v>88</v>
      </c>
      <c r="F5001" s="55">
        <v>147</v>
      </c>
      <c r="G5001" s="63">
        <v>4.0000000000000001E-3</v>
      </c>
    </row>
    <row r="5002" spans="1:7" x14ac:dyDescent="0.2">
      <c r="A5002" t="s">
        <v>71</v>
      </c>
      <c r="B5002" t="s">
        <v>117</v>
      </c>
      <c r="C5002" t="s">
        <v>204</v>
      </c>
      <c r="D5002" t="s">
        <v>74</v>
      </c>
      <c r="E5002" t="s">
        <v>75</v>
      </c>
      <c r="F5002" s="55">
        <v>107</v>
      </c>
      <c r="G5002" s="63">
        <v>0.32490000000000002</v>
      </c>
    </row>
    <row r="5003" spans="1:7" x14ac:dyDescent="0.2">
      <c r="A5003" t="s">
        <v>71</v>
      </c>
      <c r="B5003" t="s">
        <v>117</v>
      </c>
      <c r="C5003" t="s">
        <v>204</v>
      </c>
      <c r="D5003" t="s">
        <v>74</v>
      </c>
      <c r="E5003" t="s">
        <v>76</v>
      </c>
      <c r="F5003" s="55">
        <v>109</v>
      </c>
      <c r="G5003" s="63">
        <v>5.1900000000000002E-2</v>
      </c>
    </row>
    <row r="5004" spans="1:7" x14ac:dyDescent="0.2">
      <c r="A5004" t="s">
        <v>71</v>
      </c>
      <c r="B5004" t="s">
        <v>117</v>
      </c>
      <c r="C5004" t="s">
        <v>204</v>
      </c>
      <c r="D5004" t="s">
        <v>74</v>
      </c>
      <c r="E5004" t="s">
        <v>77</v>
      </c>
      <c r="F5004" s="55">
        <v>109</v>
      </c>
      <c r="G5004" s="63">
        <v>0.12989999999999999</v>
      </c>
    </row>
    <row r="5005" spans="1:7" x14ac:dyDescent="0.2">
      <c r="A5005" t="s">
        <v>71</v>
      </c>
      <c r="B5005" t="s">
        <v>117</v>
      </c>
      <c r="C5005" t="s">
        <v>204</v>
      </c>
      <c r="D5005" t="s">
        <v>74</v>
      </c>
      <c r="E5005" t="s">
        <v>78</v>
      </c>
      <c r="F5005" s="55">
        <v>106</v>
      </c>
      <c r="G5005" s="63">
        <v>0.1305</v>
      </c>
    </row>
    <row r="5006" spans="1:7" x14ac:dyDescent="0.2">
      <c r="A5006" t="s">
        <v>71</v>
      </c>
      <c r="B5006" t="s">
        <v>117</v>
      </c>
      <c r="C5006" t="s">
        <v>204</v>
      </c>
      <c r="D5006" t="s">
        <v>74</v>
      </c>
      <c r="E5006" t="s">
        <v>79</v>
      </c>
      <c r="F5006" s="55">
        <v>107</v>
      </c>
      <c r="G5006" s="63">
        <v>0.21709999999999999</v>
      </c>
    </row>
    <row r="5007" spans="1:7" x14ac:dyDescent="0.2">
      <c r="A5007" t="s">
        <v>71</v>
      </c>
      <c r="B5007" t="s">
        <v>117</v>
      </c>
      <c r="C5007" t="s">
        <v>204</v>
      </c>
      <c r="D5007" t="s">
        <v>74</v>
      </c>
      <c r="E5007" t="s">
        <v>80</v>
      </c>
      <c r="F5007" s="55">
        <v>105</v>
      </c>
      <c r="G5007" s="63">
        <v>6.9500000000000006E-2</v>
      </c>
    </row>
    <row r="5008" spans="1:7" x14ac:dyDescent="0.2">
      <c r="A5008" t="s">
        <v>71</v>
      </c>
      <c r="B5008" t="s">
        <v>117</v>
      </c>
      <c r="C5008" t="s">
        <v>204</v>
      </c>
      <c r="D5008" t="s">
        <v>74</v>
      </c>
      <c r="E5008" t="s">
        <v>81</v>
      </c>
      <c r="F5008" s="55">
        <v>106</v>
      </c>
      <c r="G5008" s="63">
        <v>7.0999999999999994E-2</v>
      </c>
    </row>
    <row r="5009" spans="1:7" x14ac:dyDescent="0.2">
      <c r="A5009" t="s">
        <v>71</v>
      </c>
      <c r="B5009" t="s">
        <v>117</v>
      </c>
      <c r="C5009" t="s">
        <v>204</v>
      </c>
      <c r="D5009" t="s">
        <v>74</v>
      </c>
      <c r="E5009" t="s">
        <v>82</v>
      </c>
      <c r="F5009" s="55">
        <v>107</v>
      </c>
      <c r="G5009" s="63">
        <v>0.18440000000000001</v>
      </c>
    </row>
    <row r="5010" spans="1:7" x14ac:dyDescent="0.2">
      <c r="A5010" t="s">
        <v>71</v>
      </c>
      <c r="B5010" t="s">
        <v>117</v>
      </c>
      <c r="C5010" t="s">
        <v>204</v>
      </c>
      <c r="D5010" t="s">
        <v>74</v>
      </c>
      <c r="E5010" t="s">
        <v>83</v>
      </c>
      <c r="F5010" s="55">
        <v>109</v>
      </c>
      <c r="G5010" s="63">
        <v>3.7400000000000003E-2</v>
      </c>
    </row>
    <row r="5011" spans="1:7" x14ac:dyDescent="0.2">
      <c r="A5011" t="s">
        <v>71</v>
      </c>
      <c r="B5011" t="s">
        <v>117</v>
      </c>
      <c r="C5011" t="s">
        <v>204</v>
      </c>
      <c r="D5011" t="s">
        <v>74</v>
      </c>
      <c r="E5011" t="s">
        <v>84</v>
      </c>
      <c r="F5011" s="55">
        <v>107</v>
      </c>
      <c r="G5011" s="63">
        <v>0.1026</v>
      </c>
    </row>
    <row r="5012" spans="1:7" x14ac:dyDescent="0.2">
      <c r="A5012" t="s">
        <v>71</v>
      </c>
      <c r="B5012" t="s">
        <v>117</v>
      </c>
      <c r="C5012" t="s">
        <v>204</v>
      </c>
      <c r="D5012" t="s">
        <v>74</v>
      </c>
      <c r="E5012" t="s">
        <v>85</v>
      </c>
      <c r="F5012" s="55">
        <v>106</v>
      </c>
      <c r="G5012" s="63">
        <v>8.2699999999999996E-2</v>
      </c>
    </row>
    <row r="5013" spans="1:7" x14ac:dyDescent="0.2">
      <c r="A5013" t="s">
        <v>71</v>
      </c>
      <c r="B5013" t="s">
        <v>117</v>
      </c>
      <c r="C5013" t="s">
        <v>204</v>
      </c>
      <c r="D5013" t="s">
        <v>74</v>
      </c>
      <c r="E5013" t="s">
        <v>86</v>
      </c>
      <c r="F5013" s="55">
        <v>107</v>
      </c>
      <c r="G5013" s="63">
        <v>0.1072</v>
      </c>
    </row>
    <row r="5014" spans="1:7" x14ac:dyDescent="0.2">
      <c r="A5014" t="s">
        <v>71</v>
      </c>
      <c r="B5014" t="s">
        <v>117</v>
      </c>
      <c r="C5014" t="s">
        <v>204</v>
      </c>
      <c r="D5014" t="s">
        <v>74</v>
      </c>
      <c r="E5014" t="s">
        <v>87</v>
      </c>
      <c r="F5014" s="55">
        <v>108</v>
      </c>
      <c r="G5014" s="63">
        <v>0.12820000000000001</v>
      </c>
    </row>
    <row r="5015" spans="1:7" x14ac:dyDescent="0.2">
      <c r="A5015" t="s">
        <v>71</v>
      </c>
      <c r="B5015" t="s">
        <v>117</v>
      </c>
      <c r="C5015" t="s">
        <v>204</v>
      </c>
      <c r="D5015" t="s">
        <v>74</v>
      </c>
      <c r="E5015" t="s">
        <v>88</v>
      </c>
      <c r="F5015" s="55">
        <v>107</v>
      </c>
      <c r="G5015" s="63">
        <v>7.7399999999999997E-2</v>
      </c>
    </row>
    <row r="5016" spans="1:7" x14ac:dyDescent="0.2">
      <c r="A5016" t="s">
        <v>71</v>
      </c>
      <c r="B5016" t="s">
        <v>118</v>
      </c>
      <c r="C5016" t="s">
        <v>204</v>
      </c>
      <c r="D5016" t="s">
        <v>74</v>
      </c>
      <c r="E5016" t="s">
        <v>75</v>
      </c>
      <c r="F5016" s="55">
        <v>28</v>
      </c>
      <c r="G5016" s="63">
        <v>9.4999999999999998E-3</v>
      </c>
    </row>
    <row r="5017" spans="1:7" x14ac:dyDescent="0.2">
      <c r="A5017" t="s">
        <v>71</v>
      </c>
      <c r="B5017" t="s">
        <v>118</v>
      </c>
      <c r="C5017" t="s">
        <v>204</v>
      </c>
      <c r="D5017" t="s">
        <v>74</v>
      </c>
      <c r="E5017" t="s">
        <v>77</v>
      </c>
      <c r="F5017" s="55">
        <v>24</v>
      </c>
      <c r="G5017" s="63">
        <v>3.2000000000000002E-3</v>
      </c>
    </row>
    <row r="5018" spans="1:7" x14ac:dyDescent="0.2">
      <c r="A5018" t="s">
        <v>71</v>
      </c>
      <c r="B5018" t="s">
        <v>118</v>
      </c>
      <c r="C5018" t="s">
        <v>204</v>
      </c>
      <c r="D5018" t="s">
        <v>74</v>
      </c>
      <c r="E5018" t="s">
        <v>78</v>
      </c>
      <c r="F5018" s="55">
        <v>26</v>
      </c>
      <c r="G5018" s="63">
        <v>3.0999999999999999E-3</v>
      </c>
    </row>
    <row r="5019" spans="1:7" x14ac:dyDescent="0.2">
      <c r="A5019" t="s">
        <v>71</v>
      </c>
      <c r="B5019" t="s">
        <v>118</v>
      </c>
      <c r="C5019" t="s">
        <v>204</v>
      </c>
      <c r="D5019" t="s">
        <v>74</v>
      </c>
      <c r="E5019" t="s">
        <v>79</v>
      </c>
      <c r="F5019" s="55">
        <v>32</v>
      </c>
      <c r="G5019" s="63">
        <v>6.4000000000000003E-3</v>
      </c>
    </row>
    <row r="5020" spans="1:7" x14ac:dyDescent="0.2">
      <c r="A5020" t="s">
        <v>71</v>
      </c>
      <c r="B5020" t="s">
        <v>118</v>
      </c>
      <c r="C5020" t="s">
        <v>204</v>
      </c>
      <c r="D5020" t="s">
        <v>74</v>
      </c>
      <c r="E5020" t="s">
        <v>80</v>
      </c>
      <c r="F5020" s="55">
        <v>29</v>
      </c>
      <c r="G5020" s="63">
        <v>4.1999999999999997E-3</v>
      </c>
    </row>
    <row r="5021" spans="1:7" x14ac:dyDescent="0.2">
      <c r="A5021" t="s">
        <v>71</v>
      </c>
      <c r="B5021" t="s">
        <v>118</v>
      </c>
      <c r="C5021" t="s">
        <v>204</v>
      </c>
      <c r="D5021" t="s">
        <v>74</v>
      </c>
      <c r="E5021" t="s">
        <v>81</v>
      </c>
      <c r="F5021" s="55">
        <v>29</v>
      </c>
      <c r="G5021" s="63">
        <v>3.5000000000000001E-3</v>
      </c>
    </row>
    <row r="5022" spans="1:7" x14ac:dyDescent="0.2">
      <c r="A5022" t="s">
        <v>71</v>
      </c>
      <c r="B5022" t="s">
        <v>118</v>
      </c>
      <c r="C5022" t="s">
        <v>204</v>
      </c>
      <c r="D5022" t="s">
        <v>74</v>
      </c>
      <c r="E5022" t="s">
        <v>82</v>
      </c>
      <c r="F5022" s="55">
        <v>25</v>
      </c>
      <c r="G5022" s="63">
        <v>4.1999999999999997E-3</v>
      </c>
    </row>
    <row r="5023" spans="1:7" x14ac:dyDescent="0.2">
      <c r="A5023" t="s">
        <v>71</v>
      </c>
      <c r="B5023" t="s">
        <v>118</v>
      </c>
      <c r="C5023" t="s">
        <v>204</v>
      </c>
      <c r="D5023" t="s">
        <v>74</v>
      </c>
      <c r="E5023" t="s">
        <v>83</v>
      </c>
      <c r="F5023" s="55">
        <v>28</v>
      </c>
      <c r="G5023" s="63">
        <v>1E-3</v>
      </c>
    </row>
    <row r="5024" spans="1:7" x14ac:dyDescent="0.2">
      <c r="A5024" t="s">
        <v>71</v>
      </c>
      <c r="B5024" t="s">
        <v>118</v>
      </c>
      <c r="C5024" t="s">
        <v>204</v>
      </c>
      <c r="D5024" t="s">
        <v>74</v>
      </c>
      <c r="E5024" t="s">
        <v>84</v>
      </c>
      <c r="F5024" s="55">
        <v>26</v>
      </c>
      <c r="G5024" s="63">
        <v>2.5000000000000001E-3</v>
      </c>
    </row>
    <row r="5025" spans="1:7" x14ac:dyDescent="0.2">
      <c r="A5025" t="s">
        <v>71</v>
      </c>
      <c r="B5025" t="s">
        <v>118</v>
      </c>
      <c r="C5025" t="s">
        <v>204</v>
      </c>
      <c r="D5025" t="s">
        <v>74</v>
      </c>
      <c r="E5025" t="s">
        <v>85</v>
      </c>
      <c r="F5025" s="55">
        <v>31</v>
      </c>
      <c r="G5025" s="63">
        <v>3.8E-3</v>
      </c>
    </row>
    <row r="5026" spans="1:7" x14ac:dyDescent="0.2">
      <c r="A5026" t="s">
        <v>71</v>
      </c>
      <c r="B5026" t="s">
        <v>118</v>
      </c>
      <c r="C5026" t="s">
        <v>204</v>
      </c>
      <c r="D5026" t="s">
        <v>74</v>
      </c>
      <c r="E5026" t="s">
        <v>86</v>
      </c>
      <c r="F5026" s="55">
        <v>32</v>
      </c>
      <c r="G5026" s="63">
        <v>3.8E-3</v>
      </c>
    </row>
    <row r="5027" spans="1:7" x14ac:dyDescent="0.2">
      <c r="A5027" t="s">
        <v>71</v>
      </c>
      <c r="B5027" t="s">
        <v>118</v>
      </c>
      <c r="C5027" t="s">
        <v>204</v>
      </c>
      <c r="D5027" t="s">
        <v>74</v>
      </c>
      <c r="E5027" t="s">
        <v>87</v>
      </c>
      <c r="F5027" s="55">
        <v>29</v>
      </c>
      <c r="G5027" s="63">
        <v>3.3E-3</v>
      </c>
    </row>
    <row r="5028" spans="1:7" x14ac:dyDescent="0.2">
      <c r="A5028" t="s">
        <v>71</v>
      </c>
      <c r="B5028" t="s">
        <v>118</v>
      </c>
      <c r="C5028" t="s">
        <v>204</v>
      </c>
      <c r="D5028" t="s">
        <v>74</v>
      </c>
      <c r="E5028" t="s">
        <v>88</v>
      </c>
      <c r="F5028" s="55">
        <v>28</v>
      </c>
      <c r="G5028" s="63">
        <v>1.1999999999999999E-3</v>
      </c>
    </row>
    <row r="5029" spans="1:7" x14ac:dyDescent="0.2">
      <c r="A5029" t="s">
        <v>71</v>
      </c>
      <c r="B5029" t="s">
        <v>119</v>
      </c>
      <c r="C5029" t="s">
        <v>204</v>
      </c>
      <c r="D5029" t="s">
        <v>74</v>
      </c>
      <c r="E5029" t="s">
        <v>75</v>
      </c>
      <c r="F5029" s="55">
        <v>103</v>
      </c>
      <c r="G5029" s="63">
        <v>4.7399999999999998E-2</v>
      </c>
    </row>
    <row r="5030" spans="1:7" x14ac:dyDescent="0.2">
      <c r="A5030" t="s">
        <v>71</v>
      </c>
      <c r="B5030" t="s">
        <v>119</v>
      </c>
      <c r="C5030" t="s">
        <v>204</v>
      </c>
      <c r="D5030" t="s">
        <v>74</v>
      </c>
      <c r="E5030" t="s">
        <v>76</v>
      </c>
      <c r="F5030" s="55">
        <v>90</v>
      </c>
      <c r="G5030" s="63">
        <v>4.3E-3</v>
      </c>
    </row>
    <row r="5031" spans="1:7" x14ac:dyDescent="0.2">
      <c r="A5031" t="s">
        <v>71</v>
      </c>
      <c r="B5031" t="s">
        <v>119</v>
      </c>
      <c r="C5031" t="s">
        <v>204</v>
      </c>
      <c r="D5031" t="s">
        <v>74</v>
      </c>
      <c r="E5031" t="s">
        <v>77</v>
      </c>
      <c r="F5031" s="55">
        <v>101</v>
      </c>
      <c r="G5031" s="63">
        <v>1.34E-2</v>
      </c>
    </row>
    <row r="5032" spans="1:7" x14ac:dyDescent="0.2">
      <c r="A5032" t="s">
        <v>71</v>
      </c>
      <c r="B5032" t="s">
        <v>119</v>
      </c>
      <c r="C5032" t="s">
        <v>204</v>
      </c>
      <c r="D5032" t="s">
        <v>74</v>
      </c>
      <c r="E5032" t="s">
        <v>78</v>
      </c>
      <c r="F5032" s="55">
        <v>100</v>
      </c>
      <c r="G5032" s="63">
        <v>1.2E-2</v>
      </c>
    </row>
    <row r="5033" spans="1:7" x14ac:dyDescent="0.2">
      <c r="A5033" t="s">
        <v>71</v>
      </c>
      <c r="B5033" t="s">
        <v>119</v>
      </c>
      <c r="C5033" t="s">
        <v>204</v>
      </c>
      <c r="D5033" t="s">
        <v>74</v>
      </c>
      <c r="E5033" t="s">
        <v>79</v>
      </c>
      <c r="F5033" s="55">
        <v>110</v>
      </c>
      <c r="G5033" s="63">
        <v>2.75E-2</v>
      </c>
    </row>
    <row r="5034" spans="1:7" x14ac:dyDescent="0.2">
      <c r="A5034" t="s">
        <v>71</v>
      </c>
      <c r="B5034" t="s">
        <v>119</v>
      </c>
      <c r="C5034" t="s">
        <v>204</v>
      </c>
      <c r="D5034" t="s">
        <v>74</v>
      </c>
      <c r="E5034" t="s">
        <v>80</v>
      </c>
      <c r="F5034" s="55">
        <v>105</v>
      </c>
      <c r="G5034" s="63">
        <v>1.7000000000000001E-2</v>
      </c>
    </row>
    <row r="5035" spans="1:7" x14ac:dyDescent="0.2">
      <c r="A5035" t="s">
        <v>71</v>
      </c>
      <c r="B5035" t="s">
        <v>119</v>
      </c>
      <c r="C5035" t="s">
        <v>204</v>
      </c>
      <c r="D5035" t="s">
        <v>74</v>
      </c>
      <c r="E5035" t="s">
        <v>81</v>
      </c>
      <c r="F5035" s="55">
        <v>99</v>
      </c>
      <c r="G5035" s="63">
        <v>1.7100000000000001E-2</v>
      </c>
    </row>
    <row r="5036" spans="1:7" x14ac:dyDescent="0.2">
      <c r="A5036" t="s">
        <v>71</v>
      </c>
      <c r="B5036" t="s">
        <v>119</v>
      </c>
      <c r="C5036" t="s">
        <v>204</v>
      </c>
      <c r="D5036" t="s">
        <v>74</v>
      </c>
      <c r="E5036" t="s">
        <v>82</v>
      </c>
      <c r="F5036" s="55">
        <v>97</v>
      </c>
      <c r="G5036" s="63">
        <v>1.49E-2</v>
      </c>
    </row>
    <row r="5037" spans="1:7" x14ac:dyDescent="0.2">
      <c r="A5037" t="s">
        <v>71</v>
      </c>
      <c r="B5037" t="s">
        <v>119</v>
      </c>
      <c r="C5037" t="s">
        <v>204</v>
      </c>
      <c r="D5037" t="s">
        <v>74</v>
      </c>
      <c r="E5037" t="s">
        <v>83</v>
      </c>
      <c r="F5037" s="55">
        <v>80</v>
      </c>
      <c r="G5037" s="63">
        <v>4.4999999999999997E-3</v>
      </c>
    </row>
    <row r="5038" spans="1:7" x14ac:dyDescent="0.2">
      <c r="A5038" t="s">
        <v>71</v>
      </c>
      <c r="B5038" t="s">
        <v>119</v>
      </c>
      <c r="C5038" t="s">
        <v>204</v>
      </c>
      <c r="D5038" t="s">
        <v>74</v>
      </c>
      <c r="E5038" t="s">
        <v>84</v>
      </c>
      <c r="F5038" s="55">
        <v>98</v>
      </c>
      <c r="G5038" s="63">
        <v>9.2999999999999992E-3</v>
      </c>
    </row>
    <row r="5039" spans="1:7" x14ac:dyDescent="0.2">
      <c r="A5039" t="s">
        <v>71</v>
      </c>
      <c r="B5039" t="s">
        <v>119</v>
      </c>
      <c r="C5039" t="s">
        <v>204</v>
      </c>
      <c r="D5039" t="s">
        <v>74</v>
      </c>
      <c r="E5039" t="s">
        <v>85</v>
      </c>
      <c r="F5039" s="55">
        <v>111</v>
      </c>
      <c r="G5039" s="63">
        <v>1.3599999999999999E-2</v>
      </c>
    </row>
    <row r="5040" spans="1:7" x14ac:dyDescent="0.2">
      <c r="A5040" t="s">
        <v>71</v>
      </c>
      <c r="B5040" t="s">
        <v>119</v>
      </c>
      <c r="C5040" t="s">
        <v>204</v>
      </c>
      <c r="D5040" t="s">
        <v>74</v>
      </c>
      <c r="E5040" t="s">
        <v>86</v>
      </c>
      <c r="F5040" s="55">
        <v>106</v>
      </c>
      <c r="G5040" s="63">
        <v>1.29E-2</v>
      </c>
    </row>
    <row r="5041" spans="1:7" x14ac:dyDescent="0.2">
      <c r="A5041" t="s">
        <v>71</v>
      </c>
      <c r="B5041" t="s">
        <v>119</v>
      </c>
      <c r="C5041" t="s">
        <v>204</v>
      </c>
      <c r="D5041" t="s">
        <v>74</v>
      </c>
      <c r="E5041" t="s">
        <v>87</v>
      </c>
      <c r="F5041" s="55">
        <v>107</v>
      </c>
      <c r="G5041" s="63">
        <v>1.1299999999999999E-2</v>
      </c>
    </row>
    <row r="5042" spans="1:7" x14ac:dyDescent="0.2">
      <c r="A5042" t="s">
        <v>71</v>
      </c>
      <c r="B5042" t="s">
        <v>119</v>
      </c>
      <c r="C5042" t="s">
        <v>204</v>
      </c>
      <c r="D5042" t="s">
        <v>74</v>
      </c>
      <c r="E5042" t="s">
        <v>88</v>
      </c>
      <c r="F5042" s="55">
        <v>93</v>
      </c>
      <c r="G5042" s="63">
        <v>7.7000000000000002E-3</v>
      </c>
    </row>
    <row r="5043" spans="1:7" x14ac:dyDescent="0.2">
      <c r="A5043" t="s">
        <v>89</v>
      </c>
      <c r="B5043" t="s">
        <v>120</v>
      </c>
      <c r="C5043" t="s">
        <v>204</v>
      </c>
      <c r="D5043" t="s">
        <v>74</v>
      </c>
      <c r="E5043" t="s">
        <v>75</v>
      </c>
      <c r="F5043" s="55">
        <v>65</v>
      </c>
      <c r="G5043" s="63">
        <v>0.18290000000000001</v>
      </c>
    </row>
    <row r="5044" spans="1:7" x14ac:dyDescent="0.2">
      <c r="A5044" t="s">
        <v>89</v>
      </c>
      <c r="B5044" t="s">
        <v>120</v>
      </c>
      <c r="C5044" t="s">
        <v>204</v>
      </c>
      <c r="D5044" t="s">
        <v>74</v>
      </c>
      <c r="E5044" t="s">
        <v>76</v>
      </c>
      <c r="F5044" s="55">
        <v>64</v>
      </c>
      <c r="G5044" s="63">
        <v>2.0899999999999998E-2</v>
      </c>
    </row>
    <row r="5045" spans="1:7" x14ac:dyDescent="0.2">
      <c r="A5045" t="s">
        <v>89</v>
      </c>
      <c r="B5045" t="s">
        <v>120</v>
      </c>
      <c r="C5045" t="s">
        <v>204</v>
      </c>
      <c r="D5045" t="s">
        <v>74</v>
      </c>
      <c r="E5045" t="s">
        <v>77</v>
      </c>
      <c r="F5045" s="55">
        <v>65</v>
      </c>
      <c r="G5045" s="63">
        <v>5.2600000000000001E-2</v>
      </c>
    </row>
    <row r="5046" spans="1:7" x14ac:dyDescent="0.2">
      <c r="A5046" t="s">
        <v>89</v>
      </c>
      <c r="B5046" t="s">
        <v>120</v>
      </c>
      <c r="C5046" t="s">
        <v>204</v>
      </c>
      <c r="D5046" t="s">
        <v>74</v>
      </c>
      <c r="E5046" t="s">
        <v>78</v>
      </c>
      <c r="F5046" s="55">
        <v>67</v>
      </c>
      <c r="G5046" s="63">
        <v>5.2400000000000002E-2</v>
      </c>
    </row>
    <row r="5047" spans="1:7" x14ac:dyDescent="0.2">
      <c r="A5047" t="s">
        <v>89</v>
      </c>
      <c r="B5047" t="s">
        <v>120</v>
      </c>
      <c r="C5047" t="s">
        <v>204</v>
      </c>
      <c r="D5047" t="s">
        <v>74</v>
      </c>
      <c r="E5047" t="s">
        <v>79</v>
      </c>
      <c r="F5047" s="55">
        <v>63</v>
      </c>
      <c r="G5047" s="63">
        <v>0.10249999999999999</v>
      </c>
    </row>
    <row r="5048" spans="1:7" x14ac:dyDescent="0.2">
      <c r="A5048" t="s">
        <v>89</v>
      </c>
      <c r="B5048" t="s">
        <v>120</v>
      </c>
      <c r="C5048" t="s">
        <v>204</v>
      </c>
      <c r="D5048" t="s">
        <v>74</v>
      </c>
      <c r="E5048" t="s">
        <v>80</v>
      </c>
      <c r="F5048" s="55">
        <v>67</v>
      </c>
      <c r="G5048" s="63">
        <v>1.4500000000000001E-2</v>
      </c>
    </row>
    <row r="5049" spans="1:7" x14ac:dyDescent="0.2">
      <c r="A5049" t="s">
        <v>89</v>
      </c>
      <c r="B5049" t="s">
        <v>120</v>
      </c>
      <c r="C5049" t="s">
        <v>204</v>
      </c>
      <c r="D5049" t="s">
        <v>74</v>
      </c>
      <c r="E5049" t="s">
        <v>81</v>
      </c>
      <c r="F5049" s="55">
        <v>74</v>
      </c>
      <c r="G5049" s="63">
        <v>1.9199999999999998E-2</v>
      </c>
    </row>
    <row r="5050" spans="1:7" x14ac:dyDescent="0.2">
      <c r="A5050" t="s">
        <v>89</v>
      </c>
      <c r="B5050" t="s">
        <v>120</v>
      </c>
      <c r="C5050" t="s">
        <v>204</v>
      </c>
      <c r="D5050" t="s">
        <v>74</v>
      </c>
      <c r="E5050" t="s">
        <v>82</v>
      </c>
      <c r="F5050" s="55">
        <v>67</v>
      </c>
      <c r="G5050" s="63">
        <v>7.6499999999999999E-2</v>
      </c>
    </row>
    <row r="5051" spans="1:7" x14ac:dyDescent="0.2">
      <c r="A5051" t="s">
        <v>89</v>
      </c>
      <c r="B5051" t="s">
        <v>120</v>
      </c>
      <c r="C5051" t="s">
        <v>204</v>
      </c>
      <c r="D5051" t="s">
        <v>74</v>
      </c>
      <c r="E5051" t="s">
        <v>83</v>
      </c>
      <c r="F5051" s="55">
        <v>76</v>
      </c>
      <c r="G5051" s="63">
        <v>1.26E-2</v>
      </c>
    </row>
    <row r="5052" spans="1:7" x14ac:dyDescent="0.2">
      <c r="A5052" t="s">
        <v>89</v>
      </c>
      <c r="B5052" t="s">
        <v>120</v>
      </c>
      <c r="C5052" t="s">
        <v>204</v>
      </c>
      <c r="D5052" t="s">
        <v>74</v>
      </c>
      <c r="E5052" t="s">
        <v>84</v>
      </c>
      <c r="F5052" s="55">
        <v>66</v>
      </c>
      <c r="G5052" s="63">
        <v>3.8899999999999997E-2</v>
      </c>
    </row>
    <row r="5053" spans="1:7" x14ac:dyDescent="0.2">
      <c r="A5053" t="s">
        <v>89</v>
      </c>
      <c r="B5053" t="s">
        <v>120</v>
      </c>
      <c r="C5053" t="s">
        <v>204</v>
      </c>
      <c r="D5053" t="s">
        <v>74</v>
      </c>
      <c r="E5053" t="s">
        <v>85</v>
      </c>
      <c r="F5053" s="55">
        <v>58</v>
      </c>
      <c r="G5053" s="63">
        <v>1.6500000000000001E-2</v>
      </c>
    </row>
    <row r="5054" spans="1:7" x14ac:dyDescent="0.2">
      <c r="A5054" t="s">
        <v>89</v>
      </c>
      <c r="B5054" t="s">
        <v>120</v>
      </c>
      <c r="C5054" t="s">
        <v>204</v>
      </c>
      <c r="D5054" t="s">
        <v>74</v>
      </c>
      <c r="E5054" t="s">
        <v>86</v>
      </c>
      <c r="F5054" s="55">
        <v>62</v>
      </c>
      <c r="G5054" s="63">
        <v>2.4E-2</v>
      </c>
    </row>
    <row r="5055" spans="1:7" x14ac:dyDescent="0.2">
      <c r="A5055" t="s">
        <v>89</v>
      </c>
      <c r="B5055" t="s">
        <v>120</v>
      </c>
      <c r="C5055" t="s">
        <v>204</v>
      </c>
      <c r="D5055" t="s">
        <v>74</v>
      </c>
      <c r="E5055" t="s">
        <v>87</v>
      </c>
      <c r="F5055" s="55">
        <v>64</v>
      </c>
      <c r="G5055" s="63">
        <v>4.0399999999999998E-2</v>
      </c>
    </row>
    <row r="5056" spans="1:7" x14ac:dyDescent="0.2">
      <c r="A5056" t="s">
        <v>89</v>
      </c>
      <c r="B5056" t="s">
        <v>120</v>
      </c>
      <c r="C5056" t="s">
        <v>204</v>
      </c>
      <c r="D5056" t="s">
        <v>74</v>
      </c>
      <c r="E5056" t="s">
        <v>88</v>
      </c>
      <c r="F5056" s="55">
        <v>65</v>
      </c>
      <c r="G5056" s="63">
        <v>3.1300000000000001E-2</v>
      </c>
    </row>
    <row r="5057" spans="1:7" x14ac:dyDescent="0.2">
      <c r="A5057" t="s">
        <v>71</v>
      </c>
      <c r="B5057" t="s">
        <v>121</v>
      </c>
      <c r="C5057" t="s">
        <v>204</v>
      </c>
      <c r="D5057" t="s">
        <v>74</v>
      </c>
      <c r="E5057" t="s">
        <v>75</v>
      </c>
      <c r="F5057" s="55">
        <v>76</v>
      </c>
      <c r="G5057" s="63">
        <v>1.7100000000000001E-2</v>
      </c>
    </row>
    <row r="5058" spans="1:7" x14ac:dyDescent="0.2">
      <c r="A5058" t="s">
        <v>71</v>
      </c>
      <c r="B5058" t="s">
        <v>121</v>
      </c>
      <c r="C5058" t="s">
        <v>204</v>
      </c>
      <c r="D5058" t="s">
        <v>74</v>
      </c>
      <c r="E5058" t="s">
        <v>76</v>
      </c>
      <c r="F5058" s="55">
        <v>77</v>
      </c>
      <c r="G5058" s="63">
        <v>1.6000000000000001E-3</v>
      </c>
    </row>
    <row r="5059" spans="1:7" x14ac:dyDescent="0.2">
      <c r="A5059" t="s">
        <v>71</v>
      </c>
      <c r="B5059" t="s">
        <v>121</v>
      </c>
      <c r="C5059" t="s">
        <v>204</v>
      </c>
      <c r="D5059" t="s">
        <v>74</v>
      </c>
      <c r="E5059" t="s">
        <v>77</v>
      </c>
      <c r="F5059" s="55">
        <v>78</v>
      </c>
      <c r="G5059" s="63">
        <v>4.3E-3</v>
      </c>
    </row>
    <row r="5060" spans="1:7" x14ac:dyDescent="0.2">
      <c r="A5060" t="s">
        <v>71</v>
      </c>
      <c r="B5060" t="s">
        <v>121</v>
      </c>
      <c r="C5060" t="s">
        <v>204</v>
      </c>
      <c r="D5060" t="s">
        <v>74</v>
      </c>
      <c r="E5060" t="s">
        <v>78</v>
      </c>
      <c r="F5060" s="55">
        <v>67</v>
      </c>
      <c r="G5060" s="63">
        <v>4.4000000000000003E-3</v>
      </c>
    </row>
    <row r="5061" spans="1:7" x14ac:dyDescent="0.2">
      <c r="A5061" t="s">
        <v>71</v>
      </c>
      <c r="B5061" t="s">
        <v>121</v>
      </c>
      <c r="C5061" t="s">
        <v>204</v>
      </c>
      <c r="D5061" t="s">
        <v>74</v>
      </c>
      <c r="E5061" t="s">
        <v>79</v>
      </c>
      <c r="F5061" s="55">
        <v>73</v>
      </c>
      <c r="G5061" s="63">
        <v>6.8999999999999999E-3</v>
      </c>
    </row>
    <row r="5062" spans="1:7" x14ac:dyDescent="0.2">
      <c r="A5062" t="s">
        <v>71</v>
      </c>
      <c r="B5062" t="s">
        <v>121</v>
      </c>
      <c r="C5062" t="s">
        <v>204</v>
      </c>
      <c r="D5062" t="s">
        <v>74</v>
      </c>
      <c r="E5062" t="s">
        <v>80</v>
      </c>
      <c r="F5062" s="55">
        <v>68</v>
      </c>
      <c r="G5062" s="63">
        <v>1.9E-3</v>
      </c>
    </row>
    <row r="5063" spans="1:7" x14ac:dyDescent="0.2">
      <c r="A5063" t="s">
        <v>71</v>
      </c>
      <c r="B5063" t="s">
        <v>121</v>
      </c>
      <c r="C5063" t="s">
        <v>204</v>
      </c>
      <c r="D5063" t="s">
        <v>74</v>
      </c>
      <c r="E5063" t="s">
        <v>81</v>
      </c>
      <c r="F5063" s="55">
        <v>72</v>
      </c>
      <c r="G5063" s="63">
        <v>2.2000000000000001E-3</v>
      </c>
    </row>
    <row r="5064" spans="1:7" x14ac:dyDescent="0.2">
      <c r="A5064" t="s">
        <v>71</v>
      </c>
      <c r="B5064" t="s">
        <v>121</v>
      </c>
      <c r="C5064" t="s">
        <v>204</v>
      </c>
      <c r="D5064" t="s">
        <v>74</v>
      </c>
      <c r="E5064" t="s">
        <v>82</v>
      </c>
      <c r="F5064" s="55">
        <v>71</v>
      </c>
      <c r="G5064" s="63">
        <v>5.0000000000000001E-3</v>
      </c>
    </row>
    <row r="5065" spans="1:7" x14ac:dyDescent="0.2">
      <c r="A5065" t="s">
        <v>71</v>
      </c>
      <c r="B5065" t="s">
        <v>121</v>
      </c>
      <c r="C5065" t="s">
        <v>204</v>
      </c>
      <c r="D5065" t="s">
        <v>74</v>
      </c>
      <c r="E5065" t="s">
        <v>83</v>
      </c>
      <c r="F5065" s="55">
        <v>80</v>
      </c>
      <c r="G5065" s="63">
        <v>1E-3</v>
      </c>
    </row>
    <row r="5066" spans="1:7" x14ac:dyDescent="0.2">
      <c r="A5066" t="s">
        <v>71</v>
      </c>
      <c r="B5066" t="s">
        <v>121</v>
      </c>
      <c r="C5066" t="s">
        <v>204</v>
      </c>
      <c r="D5066" t="s">
        <v>74</v>
      </c>
      <c r="E5066" t="s">
        <v>84</v>
      </c>
      <c r="F5066" s="55">
        <v>69</v>
      </c>
      <c r="G5066" s="63">
        <v>3.0999999999999999E-3</v>
      </c>
    </row>
    <row r="5067" spans="1:7" x14ac:dyDescent="0.2">
      <c r="A5067" t="s">
        <v>71</v>
      </c>
      <c r="B5067" t="s">
        <v>121</v>
      </c>
      <c r="C5067" t="s">
        <v>204</v>
      </c>
      <c r="D5067" t="s">
        <v>74</v>
      </c>
      <c r="E5067" t="s">
        <v>85</v>
      </c>
      <c r="F5067" s="55">
        <v>81</v>
      </c>
      <c r="G5067" s="63">
        <v>1.8E-3</v>
      </c>
    </row>
    <row r="5068" spans="1:7" x14ac:dyDescent="0.2">
      <c r="A5068" t="s">
        <v>71</v>
      </c>
      <c r="B5068" t="s">
        <v>121</v>
      </c>
      <c r="C5068" t="s">
        <v>204</v>
      </c>
      <c r="D5068" t="s">
        <v>74</v>
      </c>
      <c r="E5068" t="s">
        <v>86</v>
      </c>
      <c r="F5068" s="55">
        <v>79</v>
      </c>
      <c r="G5068" s="63">
        <v>1.6999999999999999E-3</v>
      </c>
    </row>
    <row r="5069" spans="1:7" x14ac:dyDescent="0.2">
      <c r="A5069" t="s">
        <v>71</v>
      </c>
      <c r="B5069" t="s">
        <v>121</v>
      </c>
      <c r="C5069" t="s">
        <v>204</v>
      </c>
      <c r="D5069" t="s">
        <v>74</v>
      </c>
      <c r="E5069" t="s">
        <v>87</v>
      </c>
      <c r="F5069" s="55">
        <v>82</v>
      </c>
      <c r="G5069" s="63">
        <v>2E-3</v>
      </c>
    </row>
    <row r="5070" spans="1:7" x14ac:dyDescent="0.2">
      <c r="A5070" t="s">
        <v>71</v>
      </c>
      <c r="B5070" t="s">
        <v>121</v>
      </c>
      <c r="C5070" t="s">
        <v>204</v>
      </c>
      <c r="D5070" t="s">
        <v>74</v>
      </c>
      <c r="E5070" t="s">
        <v>88</v>
      </c>
      <c r="F5070" s="55">
        <v>76</v>
      </c>
      <c r="G5070" s="63">
        <v>2.3999999999999998E-3</v>
      </c>
    </row>
    <row r="5071" spans="1:7" x14ac:dyDescent="0.2">
      <c r="A5071" t="s">
        <v>71</v>
      </c>
      <c r="B5071" t="s">
        <v>8</v>
      </c>
      <c r="C5071" t="s">
        <v>204</v>
      </c>
      <c r="D5071" t="s">
        <v>74</v>
      </c>
      <c r="E5071" t="s">
        <v>75</v>
      </c>
      <c r="F5071" s="55">
        <v>97</v>
      </c>
      <c r="G5071" s="63">
        <v>0.28520000000000001</v>
      </c>
    </row>
    <row r="5072" spans="1:7" x14ac:dyDescent="0.2">
      <c r="A5072" t="s">
        <v>71</v>
      </c>
      <c r="B5072" t="s">
        <v>8</v>
      </c>
      <c r="C5072" t="s">
        <v>204</v>
      </c>
      <c r="D5072" t="s">
        <v>74</v>
      </c>
      <c r="E5072" t="s">
        <v>76</v>
      </c>
      <c r="F5072" s="55">
        <v>97</v>
      </c>
      <c r="G5072" s="63">
        <v>3.7699999999999997E-2</v>
      </c>
    </row>
    <row r="5073" spans="1:7" x14ac:dyDescent="0.2">
      <c r="A5073" t="s">
        <v>71</v>
      </c>
      <c r="B5073" t="s">
        <v>8</v>
      </c>
      <c r="C5073" t="s">
        <v>204</v>
      </c>
      <c r="D5073" t="s">
        <v>74</v>
      </c>
      <c r="E5073" t="s">
        <v>77</v>
      </c>
      <c r="F5073" s="55">
        <v>98</v>
      </c>
      <c r="G5073" s="63">
        <v>0.1012</v>
      </c>
    </row>
    <row r="5074" spans="1:7" x14ac:dyDescent="0.2">
      <c r="A5074" t="s">
        <v>71</v>
      </c>
      <c r="B5074" t="s">
        <v>8</v>
      </c>
      <c r="C5074" t="s">
        <v>204</v>
      </c>
      <c r="D5074" t="s">
        <v>74</v>
      </c>
      <c r="E5074" t="s">
        <v>78</v>
      </c>
      <c r="F5074" s="55">
        <v>98</v>
      </c>
      <c r="G5074" s="63">
        <v>9.0200000000000002E-2</v>
      </c>
    </row>
    <row r="5075" spans="1:7" x14ac:dyDescent="0.2">
      <c r="A5075" t="s">
        <v>71</v>
      </c>
      <c r="B5075" t="s">
        <v>8</v>
      </c>
      <c r="C5075" t="s">
        <v>204</v>
      </c>
      <c r="D5075" t="s">
        <v>74</v>
      </c>
      <c r="E5075" t="s">
        <v>79</v>
      </c>
      <c r="F5075" s="55">
        <v>93</v>
      </c>
      <c r="G5075" s="63">
        <v>0.1709</v>
      </c>
    </row>
    <row r="5076" spans="1:7" x14ac:dyDescent="0.2">
      <c r="A5076" t="s">
        <v>71</v>
      </c>
      <c r="B5076" t="s">
        <v>8</v>
      </c>
      <c r="C5076" t="s">
        <v>204</v>
      </c>
      <c r="D5076" t="s">
        <v>74</v>
      </c>
      <c r="E5076" t="s">
        <v>80</v>
      </c>
      <c r="F5076" s="55">
        <v>99</v>
      </c>
      <c r="G5076" s="63">
        <v>5.1799999999999999E-2</v>
      </c>
    </row>
    <row r="5077" spans="1:7" x14ac:dyDescent="0.2">
      <c r="A5077" t="s">
        <v>71</v>
      </c>
      <c r="B5077" t="s">
        <v>8</v>
      </c>
      <c r="C5077" t="s">
        <v>204</v>
      </c>
      <c r="D5077" t="s">
        <v>74</v>
      </c>
      <c r="E5077" t="s">
        <v>81</v>
      </c>
      <c r="F5077" s="55">
        <v>100</v>
      </c>
      <c r="G5077" s="63">
        <v>5.5500000000000001E-2</v>
      </c>
    </row>
    <row r="5078" spans="1:7" x14ac:dyDescent="0.2">
      <c r="A5078" t="s">
        <v>71</v>
      </c>
      <c r="B5078" t="s">
        <v>8</v>
      </c>
      <c r="C5078" t="s">
        <v>204</v>
      </c>
      <c r="D5078" t="s">
        <v>74</v>
      </c>
      <c r="E5078" t="s">
        <v>82</v>
      </c>
      <c r="F5078" s="55">
        <v>99</v>
      </c>
      <c r="G5078" s="63">
        <v>0.14560000000000001</v>
      </c>
    </row>
    <row r="5079" spans="1:7" x14ac:dyDescent="0.2">
      <c r="A5079" t="s">
        <v>71</v>
      </c>
      <c r="B5079" t="s">
        <v>8</v>
      </c>
      <c r="C5079" t="s">
        <v>204</v>
      </c>
      <c r="D5079" t="s">
        <v>74</v>
      </c>
      <c r="E5079" t="s">
        <v>83</v>
      </c>
      <c r="F5079" s="55">
        <v>100</v>
      </c>
      <c r="G5079" s="63">
        <v>2.8400000000000002E-2</v>
      </c>
    </row>
    <row r="5080" spans="1:7" x14ac:dyDescent="0.2">
      <c r="A5080" t="s">
        <v>71</v>
      </c>
      <c r="B5080" t="s">
        <v>8</v>
      </c>
      <c r="C5080" t="s">
        <v>204</v>
      </c>
      <c r="D5080" t="s">
        <v>74</v>
      </c>
      <c r="E5080" t="s">
        <v>84</v>
      </c>
      <c r="F5080" s="55">
        <v>99</v>
      </c>
      <c r="G5080" s="63">
        <v>6.8400000000000002E-2</v>
      </c>
    </row>
    <row r="5081" spans="1:7" x14ac:dyDescent="0.2">
      <c r="A5081" t="s">
        <v>71</v>
      </c>
      <c r="B5081" t="s">
        <v>8</v>
      </c>
      <c r="C5081" t="s">
        <v>204</v>
      </c>
      <c r="D5081" t="s">
        <v>74</v>
      </c>
      <c r="E5081" t="s">
        <v>85</v>
      </c>
      <c r="F5081" s="55">
        <v>96</v>
      </c>
      <c r="G5081" s="63">
        <v>5.4399999999999997E-2</v>
      </c>
    </row>
    <row r="5082" spans="1:7" x14ac:dyDescent="0.2">
      <c r="A5082" t="s">
        <v>71</v>
      </c>
      <c r="B5082" t="s">
        <v>8</v>
      </c>
      <c r="C5082" t="s">
        <v>204</v>
      </c>
      <c r="D5082" t="s">
        <v>74</v>
      </c>
      <c r="E5082" t="s">
        <v>86</v>
      </c>
      <c r="F5082" s="55">
        <v>95</v>
      </c>
      <c r="G5082" s="63">
        <v>7.0199999999999999E-2</v>
      </c>
    </row>
    <row r="5083" spans="1:7" x14ac:dyDescent="0.2">
      <c r="A5083" t="s">
        <v>71</v>
      </c>
      <c r="B5083" t="s">
        <v>8</v>
      </c>
      <c r="C5083" t="s">
        <v>204</v>
      </c>
      <c r="D5083" t="s">
        <v>74</v>
      </c>
      <c r="E5083" t="s">
        <v>87</v>
      </c>
      <c r="F5083" s="55">
        <v>92</v>
      </c>
      <c r="G5083" s="63">
        <v>8.09E-2</v>
      </c>
    </row>
    <row r="5084" spans="1:7" x14ac:dyDescent="0.2">
      <c r="A5084" t="s">
        <v>71</v>
      </c>
      <c r="B5084" t="s">
        <v>8</v>
      </c>
      <c r="C5084" t="s">
        <v>204</v>
      </c>
      <c r="D5084" t="s">
        <v>74</v>
      </c>
      <c r="E5084" t="s">
        <v>88</v>
      </c>
      <c r="F5084" s="55">
        <v>99</v>
      </c>
      <c r="G5084" s="63">
        <v>6.13E-2</v>
      </c>
    </row>
    <row r="5085" spans="1:7" x14ac:dyDescent="0.2">
      <c r="A5085" t="s">
        <v>71</v>
      </c>
      <c r="B5085" t="s">
        <v>9</v>
      </c>
      <c r="C5085" t="s">
        <v>204</v>
      </c>
      <c r="D5085" t="s">
        <v>74</v>
      </c>
      <c r="E5085" t="s">
        <v>75</v>
      </c>
      <c r="F5085" s="55">
        <v>88</v>
      </c>
      <c r="G5085" s="63">
        <v>0.4289</v>
      </c>
    </row>
    <row r="5086" spans="1:7" x14ac:dyDescent="0.2">
      <c r="A5086" t="s">
        <v>71</v>
      </c>
      <c r="B5086" t="s">
        <v>9</v>
      </c>
      <c r="C5086" t="s">
        <v>204</v>
      </c>
      <c r="D5086" t="s">
        <v>74</v>
      </c>
      <c r="E5086" t="s">
        <v>76</v>
      </c>
      <c r="F5086" s="55">
        <v>91</v>
      </c>
      <c r="G5086" s="63">
        <v>5.1200000000000002E-2</v>
      </c>
    </row>
    <row r="5087" spans="1:7" x14ac:dyDescent="0.2">
      <c r="A5087" t="s">
        <v>71</v>
      </c>
      <c r="B5087" t="s">
        <v>9</v>
      </c>
      <c r="C5087" t="s">
        <v>204</v>
      </c>
      <c r="D5087" t="s">
        <v>74</v>
      </c>
      <c r="E5087" t="s">
        <v>77</v>
      </c>
      <c r="F5087" s="55">
        <v>82</v>
      </c>
      <c r="G5087" s="63">
        <v>0.15060000000000001</v>
      </c>
    </row>
    <row r="5088" spans="1:7" x14ac:dyDescent="0.2">
      <c r="A5088" t="s">
        <v>71</v>
      </c>
      <c r="B5088" t="s">
        <v>9</v>
      </c>
      <c r="C5088" t="s">
        <v>204</v>
      </c>
      <c r="D5088" t="s">
        <v>74</v>
      </c>
      <c r="E5088" t="s">
        <v>78</v>
      </c>
      <c r="F5088" s="55">
        <v>88</v>
      </c>
      <c r="G5088" s="63">
        <v>0.14449999999999999</v>
      </c>
    </row>
    <row r="5089" spans="1:7" x14ac:dyDescent="0.2">
      <c r="A5089" t="s">
        <v>71</v>
      </c>
      <c r="B5089" t="s">
        <v>9</v>
      </c>
      <c r="C5089" t="s">
        <v>204</v>
      </c>
      <c r="D5089" t="s">
        <v>74</v>
      </c>
      <c r="E5089" t="s">
        <v>79</v>
      </c>
      <c r="F5089" s="55">
        <v>89</v>
      </c>
      <c r="G5089" s="63">
        <v>0.33679999999999999</v>
      </c>
    </row>
    <row r="5090" spans="1:7" x14ac:dyDescent="0.2">
      <c r="A5090" t="s">
        <v>71</v>
      </c>
      <c r="B5090" t="s">
        <v>9</v>
      </c>
      <c r="C5090" t="s">
        <v>204</v>
      </c>
      <c r="D5090" t="s">
        <v>74</v>
      </c>
      <c r="E5090" t="s">
        <v>80</v>
      </c>
      <c r="F5090" s="55">
        <v>87</v>
      </c>
      <c r="G5090" s="63">
        <v>0.20660000000000001</v>
      </c>
    </row>
    <row r="5091" spans="1:7" x14ac:dyDescent="0.2">
      <c r="A5091" t="s">
        <v>71</v>
      </c>
      <c r="B5091" t="s">
        <v>9</v>
      </c>
      <c r="C5091" t="s">
        <v>204</v>
      </c>
      <c r="D5091" t="s">
        <v>74</v>
      </c>
      <c r="E5091" t="s">
        <v>81</v>
      </c>
      <c r="F5091" s="55">
        <v>90</v>
      </c>
      <c r="G5091" s="63">
        <v>0.18210000000000001</v>
      </c>
    </row>
    <row r="5092" spans="1:7" x14ac:dyDescent="0.2">
      <c r="A5092" t="s">
        <v>71</v>
      </c>
      <c r="B5092" t="s">
        <v>9</v>
      </c>
      <c r="C5092" t="s">
        <v>204</v>
      </c>
      <c r="D5092" t="s">
        <v>74</v>
      </c>
      <c r="E5092" t="s">
        <v>82</v>
      </c>
      <c r="F5092" s="55">
        <v>89</v>
      </c>
      <c r="G5092" s="63">
        <v>0.22689999999999999</v>
      </c>
    </row>
    <row r="5093" spans="1:7" x14ac:dyDescent="0.2">
      <c r="A5093" t="s">
        <v>71</v>
      </c>
      <c r="B5093" t="s">
        <v>9</v>
      </c>
      <c r="C5093" t="s">
        <v>204</v>
      </c>
      <c r="D5093" t="s">
        <v>74</v>
      </c>
      <c r="E5093" t="s">
        <v>83</v>
      </c>
      <c r="F5093" s="55">
        <v>90</v>
      </c>
      <c r="G5093" s="63">
        <v>5.4800000000000001E-2</v>
      </c>
    </row>
    <row r="5094" spans="1:7" x14ac:dyDescent="0.2">
      <c r="A5094" t="s">
        <v>71</v>
      </c>
      <c r="B5094" t="s">
        <v>9</v>
      </c>
      <c r="C5094" t="s">
        <v>204</v>
      </c>
      <c r="D5094" t="s">
        <v>74</v>
      </c>
      <c r="E5094" t="s">
        <v>84</v>
      </c>
      <c r="F5094" s="55">
        <v>87</v>
      </c>
      <c r="G5094" s="63">
        <v>0.114</v>
      </c>
    </row>
    <row r="5095" spans="1:7" x14ac:dyDescent="0.2">
      <c r="A5095" t="s">
        <v>71</v>
      </c>
      <c r="B5095" t="s">
        <v>9</v>
      </c>
      <c r="C5095" t="s">
        <v>204</v>
      </c>
      <c r="D5095" t="s">
        <v>74</v>
      </c>
      <c r="E5095" t="s">
        <v>85</v>
      </c>
      <c r="F5095" s="55">
        <v>85</v>
      </c>
      <c r="G5095" s="63">
        <v>0.21099999999999999</v>
      </c>
    </row>
    <row r="5096" spans="1:7" x14ac:dyDescent="0.2">
      <c r="A5096" t="s">
        <v>71</v>
      </c>
      <c r="B5096" t="s">
        <v>9</v>
      </c>
      <c r="C5096" t="s">
        <v>204</v>
      </c>
      <c r="D5096" t="s">
        <v>74</v>
      </c>
      <c r="E5096" t="s">
        <v>86</v>
      </c>
      <c r="F5096" s="55">
        <v>88</v>
      </c>
      <c r="G5096" s="63">
        <v>0.219</v>
      </c>
    </row>
    <row r="5097" spans="1:7" x14ac:dyDescent="0.2">
      <c r="A5097" t="s">
        <v>71</v>
      </c>
      <c r="B5097" t="s">
        <v>9</v>
      </c>
      <c r="C5097" t="s">
        <v>204</v>
      </c>
      <c r="D5097" t="s">
        <v>74</v>
      </c>
      <c r="E5097" t="s">
        <v>87</v>
      </c>
      <c r="F5097" s="55">
        <v>89</v>
      </c>
      <c r="G5097" s="63">
        <v>0.20710000000000001</v>
      </c>
    </row>
    <row r="5098" spans="1:7" x14ac:dyDescent="0.2">
      <c r="A5098" t="s">
        <v>71</v>
      </c>
      <c r="B5098" t="s">
        <v>9</v>
      </c>
      <c r="C5098" t="s">
        <v>204</v>
      </c>
      <c r="D5098" t="s">
        <v>74</v>
      </c>
      <c r="E5098" t="s">
        <v>88</v>
      </c>
      <c r="F5098" s="55">
        <v>92</v>
      </c>
      <c r="G5098" s="63">
        <v>8.6400000000000005E-2</v>
      </c>
    </row>
    <row r="5099" spans="1:7" x14ac:dyDescent="0.2">
      <c r="A5099" t="s">
        <v>71</v>
      </c>
      <c r="B5099" t="s">
        <v>122</v>
      </c>
      <c r="C5099" t="s">
        <v>204</v>
      </c>
      <c r="D5099" t="s">
        <v>74</v>
      </c>
      <c r="E5099" t="s">
        <v>75</v>
      </c>
      <c r="F5099" s="55">
        <v>34</v>
      </c>
      <c r="G5099" s="63">
        <v>3.7600000000000001E-2</v>
      </c>
    </row>
    <row r="5100" spans="1:7" x14ac:dyDescent="0.2">
      <c r="A5100" t="s">
        <v>71</v>
      </c>
      <c r="B5100" t="s">
        <v>122</v>
      </c>
      <c r="C5100" t="s">
        <v>204</v>
      </c>
      <c r="D5100" t="s">
        <v>74</v>
      </c>
      <c r="E5100" t="s">
        <v>76</v>
      </c>
      <c r="F5100" s="55">
        <v>30</v>
      </c>
      <c r="G5100" s="63">
        <v>1.8E-3</v>
      </c>
    </row>
    <row r="5101" spans="1:7" x14ac:dyDescent="0.2">
      <c r="A5101" t="s">
        <v>71</v>
      </c>
      <c r="B5101" t="s">
        <v>122</v>
      </c>
      <c r="C5101" t="s">
        <v>204</v>
      </c>
      <c r="D5101" t="s">
        <v>74</v>
      </c>
      <c r="E5101" t="s">
        <v>77</v>
      </c>
      <c r="F5101" s="55">
        <v>33</v>
      </c>
      <c r="G5101" s="63">
        <v>1.2699999999999999E-2</v>
      </c>
    </row>
    <row r="5102" spans="1:7" x14ac:dyDescent="0.2">
      <c r="A5102" t="s">
        <v>71</v>
      </c>
      <c r="B5102" t="s">
        <v>122</v>
      </c>
      <c r="C5102" t="s">
        <v>204</v>
      </c>
      <c r="D5102" t="s">
        <v>74</v>
      </c>
      <c r="E5102" t="s">
        <v>78</v>
      </c>
      <c r="F5102" s="55">
        <v>37</v>
      </c>
      <c r="G5102" s="63">
        <v>1.24E-2</v>
      </c>
    </row>
    <row r="5103" spans="1:7" x14ac:dyDescent="0.2">
      <c r="A5103" t="s">
        <v>71</v>
      </c>
      <c r="B5103" t="s">
        <v>122</v>
      </c>
      <c r="C5103" t="s">
        <v>204</v>
      </c>
      <c r="D5103" t="s">
        <v>74</v>
      </c>
      <c r="E5103" t="s">
        <v>79</v>
      </c>
      <c r="F5103" s="55">
        <v>38</v>
      </c>
      <c r="G5103" s="63">
        <v>2.3400000000000001E-2</v>
      </c>
    </row>
    <row r="5104" spans="1:7" x14ac:dyDescent="0.2">
      <c r="A5104" t="s">
        <v>71</v>
      </c>
      <c r="B5104" t="s">
        <v>122</v>
      </c>
      <c r="C5104" t="s">
        <v>204</v>
      </c>
      <c r="D5104" t="s">
        <v>74</v>
      </c>
      <c r="E5104" t="s">
        <v>80</v>
      </c>
      <c r="F5104" s="55">
        <v>31</v>
      </c>
      <c r="G5104" s="63">
        <v>1.18E-2</v>
      </c>
    </row>
    <row r="5105" spans="1:7" x14ac:dyDescent="0.2">
      <c r="A5105" t="s">
        <v>71</v>
      </c>
      <c r="B5105" t="s">
        <v>122</v>
      </c>
      <c r="C5105" t="s">
        <v>204</v>
      </c>
      <c r="D5105" t="s">
        <v>74</v>
      </c>
      <c r="E5105" t="s">
        <v>81</v>
      </c>
      <c r="F5105" s="55">
        <v>32</v>
      </c>
      <c r="G5105" s="63">
        <v>0.01</v>
      </c>
    </row>
    <row r="5106" spans="1:7" x14ac:dyDescent="0.2">
      <c r="A5106" t="s">
        <v>71</v>
      </c>
      <c r="B5106" t="s">
        <v>122</v>
      </c>
      <c r="C5106" t="s">
        <v>204</v>
      </c>
      <c r="D5106" t="s">
        <v>74</v>
      </c>
      <c r="E5106" t="s">
        <v>82</v>
      </c>
      <c r="F5106" s="55">
        <v>32</v>
      </c>
      <c r="G5106" s="63">
        <v>1.72E-2</v>
      </c>
    </row>
    <row r="5107" spans="1:7" x14ac:dyDescent="0.2">
      <c r="A5107" t="s">
        <v>71</v>
      </c>
      <c r="B5107" t="s">
        <v>122</v>
      </c>
      <c r="C5107" t="s">
        <v>204</v>
      </c>
      <c r="D5107" t="s">
        <v>74</v>
      </c>
      <c r="E5107" t="s">
        <v>83</v>
      </c>
      <c r="F5107" s="55">
        <v>35</v>
      </c>
      <c r="G5107" s="63">
        <v>2E-3</v>
      </c>
    </row>
    <row r="5108" spans="1:7" x14ac:dyDescent="0.2">
      <c r="A5108" t="s">
        <v>71</v>
      </c>
      <c r="B5108" t="s">
        <v>122</v>
      </c>
      <c r="C5108" t="s">
        <v>204</v>
      </c>
      <c r="D5108" t="s">
        <v>74</v>
      </c>
      <c r="E5108" t="s">
        <v>84</v>
      </c>
      <c r="F5108" s="55">
        <v>36</v>
      </c>
      <c r="G5108" s="63">
        <v>1.03E-2</v>
      </c>
    </row>
    <row r="5109" spans="1:7" x14ac:dyDescent="0.2">
      <c r="A5109" t="s">
        <v>71</v>
      </c>
      <c r="B5109" t="s">
        <v>122</v>
      </c>
      <c r="C5109" t="s">
        <v>204</v>
      </c>
      <c r="D5109" t="s">
        <v>74</v>
      </c>
      <c r="E5109" t="s">
        <v>85</v>
      </c>
      <c r="F5109" s="55">
        <v>36</v>
      </c>
      <c r="G5109" s="63">
        <v>1.14E-2</v>
      </c>
    </row>
    <row r="5110" spans="1:7" x14ac:dyDescent="0.2">
      <c r="A5110" t="s">
        <v>71</v>
      </c>
      <c r="B5110" t="s">
        <v>122</v>
      </c>
      <c r="C5110" t="s">
        <v>204</v>
      </c>
      <c r="D5110" t="s">
        <v>74</v>
      </c>
      <c r="E5110" t="s">
        <v>86</v>
      </c>
      <c r="F5110" s="55">
        <v>37</v>
      </c>
      <c r="G5110" s="63">
        <v>1.23E-2</v>
      </c>
    </row>
    <row r="5111" spans="1:7" x14ac:dyDescent="0.2">
      <c r="A5111" t="s">
        <v>71</v>
      </c>
      <c r="B5111" t="s">
        <v>122</v>
      </c>
      <c r="C5111" t="s">
        <v>204</v>
      </c>
      <c r="D5111" t="s">
        <v>74</v>
      </c>
      <c r="E5111" t="s">
        <v>87</v>
      </c>
      <c r="F5111" s="55">
        <v>40</v>
      </c>
      <c r="G5111" s="63">
        <v>1.11E-2</v>
      </c>
    </row>
    <row r="5112" spans="1:7" x14ac:dyDescent="0.2">
      <c r="A5112" t="s">
        <v>71</v>
      </c>
      <c r="B5112" t="s">
        <v>122</v>
      </c>
      <c r="C5112" t="s">
        <v>204</v>
      </c>
      <c r="D5112" t="s">
        <v>74</v>
      </c>
      <c r="E5112" t="s">
        <v>88</v>
      </c>
      <c r="F5112" s="55">
        <v>33</v>
      </c>
      <c r="G5112" s="63">
        <v>4.0000000000000001E-3</v>
      </c>
    </row>
    <row r="5113" spans="1:7" x14ac:dyDescent="0.2">
      <c r="A5113" t="s">
        <v>71</v>
      </c>
      <c r="B5113" t="s">
        <v>123</v>
      </c>
      <c r="C5113" t="s">
        <v>204</v>
      </c>
      <c r="D5113" t="s">
        <v>74</v>
      </c>
      <c r="E5113" t="s">
        <v>75</v>
      </c>
      <c r="F5113" s="55">
        <v>94</v>
      </c>
      <c r="G5113" s="63">
        <v>0.33160000000000001</v>
      </c>
    </row>
    <row r="5114" spans="1:7" x14ac:dyDescent="0.2">
      <c r="A5114" t="s">
        <v>71</v>
      </c>
      <c r="B5114" t="s">
        <v>123</v>
      </c>
      <c r="C5114" t="s">
        <v>204</v>
      </c>
      <c r="D5114" t="s">
        <v>74</v>
      </c>
      <c r="E5114" t="s">
        <v>76</v>
      </c>
      <c r="F5114" s="55">
        <v>104</v>
      </c>
      <c r="G5114" s="63">
        <v>2.92E-2</v>
      </c>
    </row>
    <row r="5115" spans="1:7" x14ac:dyDescent="0.2">
      <c r="A5115" t="s">
        <v>71</v>
      </c>
      <c r="B5115" t="s">
        <v>123</v>
      </c>
      <c r="C5115" t="s">
        <v>204</v>
      </c>
      <c r="D5115" t="s">
        <v>74</v>
      </c>
      <c r="E5115" t="s">
        <v>77</v>
      </c>
      <c r="F5115" s="55">
        <v>86</v>
      </c>
      <c r="G5115" s="63">
        <v>0.1101</v>
      </c>
    </row>
    <row r="5116" spans="1:7" x14ac:dyDescent="0.2">
      <c r="A5116" t="s">
        <v>71</v>
      </c>
      <c r="B5116" t="s">
        <v>123</v>
      </c>
      <c r="C5116" t="s">
        <v>204</v>
      </c>
      <c r="D5116" t="s">
        <v>74</v>
      </c>
      <c r="E5116" t="s">
        <v>78</v>
      </c>
      <c r="F5116" s="55">
        <v>89</v>
      </c>
      <c r="G5116" s="63">
        <v>9.9400000000000002E-2</v>
      </c>
    </row>
    <row r="5117" spans="1:7" x14ac:dyDescent="0.2">
      <c r="A5117" t="s">
        <v>71</v>
      </c>
      <c r="B5117" t="s">
        <v>123</v>
      </c>
      <c r="C5117" t="s">
        <v>204</v>
      </c>
      <c r="D5117" t="s">
        <v>74</v>
      </c>
      <c r="E5117" t="s">
        <v>79</v>
      </c>
      <c r="F5117" s="55">
        <v>98</v>
      </c>
      <c r="G5117" s="63">
        <v>0.22220000000000001</v>
      </c>
    </row>
    <row r="5118" spans="1:7" x14ac:dyDescent="0.2">
      <c r="A5118" t="s">
        <v>71</v>
      </c>
      <c r="B5118" t="s">
        <v>123</v>
      </c>
      <c r="C5118" t="s">
        <v>204</v>
      </c>
      <c r="D5118" t="s">
        <v>74</v>
      </c>
      <c r="E5118" t="s">
        <v>80</v>
      </c>
      <c r="F5118" s="55">
        <v>95</v>
      </c>
      <c r="G5118" s="63">
        <v>0.1191</v>
      </c>
    </row>
    <row r="5119" spans="1:7" x14ac:dyDescent="0.2">
      <c r="A5119" t="s">
        <v>71</v>
      </c>
      <c r="B5119" t="s">
        <v>123</v>
      </c>
      <c r="C5119" t="s">
        <v>204</v>
      </c>
      <c r="D5119" t="s">
        <v>74</v>
      </c>
      <c r="E5119" t="s">
        <v>81</v>
      </c>
      <c r="F5119" s="55">
        <v>93</v>
      </c>
      <c r="G5119" s="63">
        <v>0.1076</v>
      </c>
    </row>
    <row r="5120" spans="1:7" x14ac:dyDescent="0.2">
      <c r="A5120" t="s">
        <v>71</v>
      </c>
      <c r="B5120" t="s">
        <v>123</v>
      </c>
      <c r="C5120" t="s">
        <v>204</v>
      </c>
      <c r="D5120" t="s">
        <v>74</v>
      </c>
      <c r="E5120" t="s">
        <v>82</v>
      </c>
      <c r="F5120" s="55">
        <v>97</v>
      </c>
      <c r="G5120" s="63">
        <v>0.15310000000000001</v>
      </c>
    </row>
    <row r="5121" spans="1:7" x14ac:dyDescent="0.2">
      <c r="A5121" t="s">
        <v>71</v>
      </c>
      <c r="B5121" t="s">
        <v>123</v>
      </c>
      <c r="C5121" t="s">
        <v>204</v>
      </c>
      <c r="D5121" t="s">
        <v>74</v>
      </c>
      <c r="E5121" t="s">
        <v>83</v>
      </c>
      <c r="F5121" s="55">
        <v>97</v>
      </c>
      <c r="G5121" s="63">
        <v>3.1E-2</v>
      </c>
    </row>
    <row r="5122" spans="1:7" x14ac:dyDescent="0.2">
      <c r="A5122" t="s">
        <v>71</v>
      </c>
      <c r="B5122" t="s">
        <v>123</v>
      </c>
      <c r="C5122" t="s">
        <v>204</v>
      </c>
      <c r="D5122" t="s">
        <v>74</v>
      </c>
      <c r="E5122" t="s">
        <v>84</v>
      </c>
      <c r="F5122" s="55">
        <v>88</v>
      </c>
      <c r="G5122" s="63">
        <v>7.8700000000000006E-2</v>
      </c>
    </row>
    <row r="5123" spans="1:7" x14ac:dyDescent="0.2">
      <c r="A5123" t="s">
        <v>71</v>
      </c>
      <c r="B5123" t="s">
        <v>123</v>
      </c>
      <c r="C5123" t="s">
        <v>204</v>
      </c>
      <c r="D5123" t="s">
        <v>74</v>
      </c>
      <c r="E5123" t="s">
        <v>85</v>
      </c>
      <c r="F5123" s="55">
        <v>97</v>
      </c>
      <c r="G5123" s="63">
        <v>0.1168</v>
      </c>
    </row>
    <row r="5124" spans="1:7" x14ac:dyDescent="0.2">
      <c r="A5124" t="s">
        <v>71</v>
      </c>
      <c r="B5124" t="s">
        <v>123</v>
      </c>
      <c r="C5124" t="s">
        <v>204</v>
      </c>
      <c r="D5124" t="s">
        <v>74</v>
      </c>
      <c r="E5124" t="s">
        <v>86</v>
      </c>
      <c r="F5124" s="55">
        <v>98</v>
      </c>
      <c r="G5124" s="63">
        <v>0.11840000000000001</v>
      </c>
    </row>
    <row r="5125" spans="1:7" x14ac:dyDescent="0.2">
      <c r="A5125" t="s">
        <v>71</v>
      </c>
      <c r="B5125" t="s">
        <v>123</v>
      </c>
      <c r="C5125" t="s">
        <v>204</v>
      </c>
      <c r="D5125" t="s">
        <v>74</v>
      </c>
      <c r="E5125" t="s">
        <v>87</v>
      </c>
      <c r="F5125" s="55">
        <v>99</v>
      </c>
      <c r="G5125" s="63">
        <v>0.11260000000000001</v>
      </c>
    </row>
    <row r="5126" spans="1:7" x14ac:dyDescent="0.2">
      <c r="A5126" t="s">
        <v>71</v>
      </c>
      <c r="B5126" t="s">
        <v>123</v>
      </c>
      <c r="C5126" t="s">
        <v>204</v>
      </c>
      <c r="D5126" t="s">
        <v>74</v>
      </c>
      <c r="E5126" t="s">
        <v>88</v>
      </c>
      <c r="F5126" s="55">
        <v>99</v>
      </c>
      <c r="G5126" s="63">
        <v>4.7800000000000002E-2</v>
      </c>
    </row>
    <row r="5127" spans="1:7" x14ac:dyDescent="0.2">
      <c r="A5127" t="s">
        <v>71</v>
      </c>
      <c r="B5127" t="s">
        <v>124</v>
      </c>
      <c r="C5127" t="s">
        <v>204</v>
      </c>
      <c r="D5127" t="s">
        <v>74</v>
      </c>
      <c r="E5127" t="s">
        <v>75</v>
      </c>
      <c r="F5127" s="55">
        <v>98</v>
      </c>
      <c r="G5127" s="63">
        <v>5.6399999999999999E-2</v>
      </c>
    </row>
    <row r="5128" spans="1:7" x14ac:dyDescent="0.2">
      <c r="A5128" t="s">
        <v>71</v>
      </c>
      <c r="B5128" t="s">
        <v>124</v>
      </c>
      <c r="C5128" t="s">
        <v>204</v>
      </c>
      <c r="D5128" t="s">
        <v>74</v>
      </c>
      <c r="E5128" t="s">
        <v>76</v>
      </c>
      <c r="F5128" s="55">
        <v>89</v>
      </c>
      <c r="G5128" s="63">
        <v>3.0000000000000001E-3</v>
      </c>
    </row>
    <row r="5129" spans="1:7" x14ac:dyDescent="0.2">
      <c r="A5129" t="s">
        <v>71</v>
      </c>
      <c r="B5129" t="s">
        <v>124</v>
      </c>
      <c r="C5129" t="s">
        <v>204</v>
      </c>
      <c r="D5129" t="s">
        <v>74</v>
      </c>
      <c r="E5129" t="s">
        <v>77</v>
      </c>
      <c r="F5129" s="55">
        <v>101</v>
      </c>
      <c r="G5129" s="63">
        <v>1.66E-2</v>
      </c>
    </row>
    <row r="5130" spans="1:7" x14ac:dyDescent="0.2">
      <c r="A5130" t="s">
        <v>71</v>
      </c>
      <c r="B5130" t="s">
        <v>124</v>
      </c>
      <c r="C5130" t="s">
        <v>204</v>
      </c>
      <c r="D5130" t="s">
        <v>74</v>
      </c>
      <c r="E5130" t="s">
        <v>78</v>
      </c>
      <c r="F5130" s="55">
        <v>84</v>
      </c>
      <c r="G5130" s="63">
        <v>1.4200000000000001E-2</v>
      </c>
    </row>
    <row r="5131" spans="1:7" x14ac:dyDescent="0.2">
      <c r="A5131" t="s">
        <v>71</v>
      </c>
      <c r="B5131" t="s">
        <v>124</v>
      </c>
      <c r="C5131" t="s">
        <v>204</v>
      </c>
      <c r="D5131" t="s">
        <v>74</v>
      </c>
      <c r="E5131" t="s">
        <v>79</v>
      </c>
      <c r="F5131" s="55">
        <v>105</v>
      </c>
      <c r="G5131" s="63">
        <v>3.5999999999999997E-2</v>
      </c>
    </row>
    <row r="5132" spans="1:7" x14ac:dyDescent="0.2">
      <c r="A5132" t="s">
        <v>71</v>
      </c>
      <c r="B5132" t="s">
        <v>124</v>
      </c>
      <c r="C5132" t="s">
        <v>204</v>
      </c>
      <c r="D5132" t="s">
        <v>74</v>
      </c>
      <c r="E5132" t="s">
        <v>80</v>
      </c>
      <c r="F5132" s="55">
        <v>88</v>
      </c>
      <c r="G5132" s="63">
        <v>1.23E-2</v>
      </c>
    </row>
    <row r="5133" spans="1:7" x14ac:dyDescent="0.2">
      <c r="A5133" t="s">
        <v>71</v>
      </c>
      <c r="B5133" t="s">
        <v>124</v>
      </c>
      <c r="C5133" t="s">
        <v>204</v>
      </c>
      <c r="D5133" t="s">
        <v>74</v>
      </c>
      <c r="E5133" t="s">
        <v>81</v>
      </c>
      <c r="F5133" s="55">
        <v>87</v>
      </c>
      <c r="G5133" s="63">
        <v>1.0999999999999999E-2</v>
      </c>
    </row>
    <row r="5134" spans="1:7" x14ac:dyDescent="0.2">
      <c r="A5134" t="s">
        <v>71</v>
      </c>
      <c r="B5134" t="s">
        <v>124</v>
      </c>
      <c r="C5134" t="s">
        <v>204</v>
      </c>
      <c r="D5134" t="s">
        <v>74</v>
      </c>
      <c r="E5134" t="s">
        <v>82</v>
      </c>
      <c r="F5134" s="55">
        <v>85</v>
      </c>
      <c r="G5134" s="63">
        <v>1.67E-2</v>
      </c>
    </row>
    <row r="5135" spans="1:7" x14ac:dyDescent="0.2">
      <c r="A5135" t="s">
        <v>71</v>
      </c>
      <c r="B5135" t="s">
        <v>124</v>
      </c>
      <c r="C5135" t="s">
        <v>204</v>
      </c>
      <c r="D5135" t="s">
        <v>74</v>
      </c>
      <c r="E5135" t="s">
        <v>83</v>
      </c>
      <c r="F5135" s="55">
        <v>80</v>
      </c>
      <c r="G5135" s="63">
        <v>3.0000000000000001E-3</v>
      </c>
    </row>
    <row r="5136" spans="1:7" x14ac:dyDescent="0.2">
      <c r="A5136" t="s">
        <v>71</v>
      </c>
      <c r="B5136" t="s">
        <v>124</v>
      </c>
      <c r="C5136" t="s">
        <v>204</v>
      </c>
      <c r="D5136" t="s">
        <v>74</v>
      </c>
      <c r="E5136" t="s">
        <v>84</v>
      </c>
      <c r="F5136" s="55">
        <v>81</v>
      </c>
      <c r="G5136" s="63">
        <v>1.0200000000000001E-2</v>
      </c>
    </row>
    <row r="5137" spans="1:7" x14ac:dyDescent="0.2">
      <c r="A5137" t="s">
        <v>71</v>
      </c>
      <c r="B5137" t="s">
        <v>124</v>
      </c>
      <c r="C5137" t="s">
        <v>204</v>
      </c>
      <c r="D5137" t="s">
        <v>74</v>
      </c>
      <c r="E5137" t="s">
        <v>85</v>
      </c>
      <c r="F5137" s="55">
        <v>105</v>
      </c>
      <c r="G5137" s="63">
        <v>1.2999999999999999E-2</v>
      </c>
    </row>
    <row r="5138" spans="1:7" x14ac:dyDescent="0.2">
      <c r="A5138" t="s">
        <v>71</v>
      </c>
      <c r="B5138" t="s">
        <v>124</v>
      </c>
      <c r="C5138" t="s">
        <v>204</v>
      </c>
      <c r="D5138" t="s">
        <v>74</v>
      </c>
      <c r="E5138" t="s">
        <v>86</v>
      </c>
      <c r="F5138" s="55">
        <v>109</v>
      </c>
      <c r="G5138" s="63">
        <v>1.5599999999999999E-2</v>
      </c>
    </row>
    <row r="5139" spans="1:7" x14ac:dyDescent="0.2">
      <c r="A5139" t="s">
        <v>71</v>
      </c>
      <c r="B5139" t="s">
        <v>124</v>
      </c>
      <c r="C5139" t="s">
        <v>204</v>
      </c>
      <c r="D5139" t="s">
        <v>74</v>
      </c>
      <c r="E5139" t="s">
        <v>87</v>
      </c>
      <c r="F5139" s="55">
        <v>107</v>
      </c>
      <c r="G5139" s="63">
        <v>1.5699999999999999E-2</v>
      </c>
    </row>
    <row r="5140" spans="1:7" x14ac:dyDescent="0.2">
      <c r="A5140" t="s">
        <v>71</v>
      </c>
      <c r="B5140" t="s">
        <v>124</v>
      </c>
      <c r="C5140" t="s">
        <v>204</v>
      </c>
      <c r="D5140" t="s">
        <v>74</v>
      </c>
      <c r="E5140" t="s">
        <v>88</v>
      </c>
      <c r="F5140" s="55">
        <v>92</v>
      </c>
      <c r="G5140" s="63">
        <v>4.7000000000000002E-3</v>
      </c>
    </row>
    <row r="5141" spans="1:7" x14ac:dyDescent="0.2">
      <c r="A5141" t="s">
        <v>71</v>
      </c>
      <c r="B5141" t="s">
        <v>125</v>
      </c>
      <c r="C5141" t="s">
        <v>204</v>
      </c>
      <c r="D5141" t="s">
        <v>74</v>
      </c>
      <c r="E5141" t="s">
        <v>75</v>
      </c>
      <c r="F5141" s="55">
        <v>129</v>
      </c>
      <c r="G5141" s="63">
        <v>6.3299999999999995E-2</v>
      </c>
    </row>
    <row r="5142" spans="1:7" x14ac:dyDescent="0.2">
      <c r="A5142" t="s">
        <v>71</v>
      </c>
      <c r="B5142" t="s">
        <v>125</v>
      </c>
      <c r="C5142" t="s">
        <v>204</v>
      </c>
      <c r="D5142" t="s">
        <v>74</v>
      </c>
      <c r="E5142" t="s">
        <v>76</v>
      </c>
      <c r="F5142" s="55">
        <v>151</v>
      </c>
      <c r="G5142" s="63">
        <v>2.8999999999999998E-3</v>
      </c>
    </row>
    <row r="5143" spans="1:7" x14ac:dyDescent="0.2">
      <c r="A5143" t="s">
        <v>71</v>
      </c>
      <c r="B5143" t="s">
        <v>125</v>
      </c>
      <c r="C5143" t="s">
        <v>204</v>
      </c>
      <c r="D5143" t="s">
        <v>74</v>
      </c>
      <c r="E5143" t="s">
        <v>77</v>
      </c>
      <c r="F5143" s="55">
        <v>130</v>
      </c>
      <c r="G5143" s="63">
        <v>1.3299999999999999E-2</v>
      </c>
    </row>
    <row r="5144" spans="1:7" x14ac:dyDescent="0.2">
      <c r="A5144" t="s">
        <v>71</v>
      </c>
      <c r="B5144" t="s">
        <v>125</v>
      </c>
      <c r="C5144" t="s">
        <v>204</v>
      </c>
      <c r="D5144" t="s">
        <v>74</v>
      </c>
      <c r="E5144" t="s">
        <v>78</v>
      </c>
      <c r="F5144" s="55">
        <v>124</v>
      </c>
      <c r="G5144" s="63">
        <v>1.2E-2</v>
      </c>
    </row>
    <row r="5145" spans="1:7" x14ac:dyDescent="0.2">
      <c r="A5145" t="s">
        <v>71</v>
      </c>
      <c r="B5145" t="s">
        <v>125</v>
      </c>
      <c r="C5145" t="s">
        <v>204</v>
      </c>
      <c r="D5145" t="s">
        <v>74</v>
      </c>
      <c r="E5145" t="s">
        <v>79</v>
      </c>
      <c r="F5145" s="55">
        <v>125</v>
      </c>
      <c r="G5145" s="63">
        <v>3.6700000000000003E-2</v>
      </c>
    </row>
    <row r="5146" spans="1:7" x14ac:dyDescent="0.2">
      <c r="A5146" t="s">
        <v>71</v>
      </c>
      <c r="B5146" t="s">
        <v>125</v>
      </c>
      <c r="C5146" t="s">
        <v>204</v>
      </c>
      <c r="D5146" t="s">
        <v>74</v>
      </c>
      <c r="E5146" t="s">
        <v>80</v>
      </c>
      <c r="F5146" s="55">
        <v>127</v>
      </c>
      <c r="G5146" s="63">
        <v>1.3599999999999999E-2</v>
      </c>
    </row>
    <row r="5147" spans="1:7" x14ac:dyDescent="0.2">
      <c r="A5147" t="s">
        <v>71</v>
      </c>
      <c r="B5147" t="s">
        <v>125</v>
      </c>
      <c r="C5147" t="s">
        <v>204</v>
      </c>
      <c r="D5147" t="s">
        <v>74</v>
      </c>
      <c r="E5147" t="s">
        <v>81</v>
      </c>
      <c r="F5147" s="55">
        <v>121</v>
      </c>
      <c r="G5147" s="63">
        <v>1.2200000000000001E-2</v>
      </c>
    </row>
    <row r="5148" spans="1:7" x14ac:dyDescent="0.2">
      <c r="A5148" t="s">
        <v>71</v>
      </c>
      <c r="B5148" t="s">
        <v>125</v>
      </c>
      <c r="C5148" t="s">
        <v>204</v>
      </c>
      <c r="D5148" t="s">
        <v>74</v>
      </c>
      <c r="E5148" t="s">
        <v>82</v>
      </c>
      <c r="F5148" s="55">
        <v>129</v>
      </c>
      <c r="G5148" s="63">
        <v>1.9800000000000002E-2</v>
      </c>
    </row>
    <row r="5149" spans="1:7" x14ac:dyDescent="0.2">
      <c r="A5149" t="s">
        <v>71</v>
      </c>
      <c r="B5149" t="s">
        <v>125</v>
      </c>
      <c r="C5149" t="s">
        <v>204</v>
      </c>
      <c r="D5149" t="s">
        <v>74</v>
      </c>
      <c r="E5149" t="s">
        <v>83</v>
      </c>
      <c r="F5149" s="55">
        <v>132</v>
      </c>
      <c r="G5149" s="63">
        <v>3.2000000000000002E-3</v>
      </c>
    </row>
    <row r="5150" spans="1:7" x14ac:dyDescent="0.2">
      <c r="A5150" t="s">
        <v>71</v>
      </c>
      <c r="B5150" t="s">
        <v>125</v>
      </c>
      <c r="C5150" t="s">
        <v>204</v>
      </c>
      <c r="D5150" t="s">
        <v>74</v>
      </c>
      <c r="E5150" t="s">
        <v>84</v>
      </c>
      <c r="F5150" s="55">
        <v>122</v>
      </c>
      <c r="G5150" s="63">
        <v>8.6E-3</v>
      </c>
    </row>
    <row r="5151" spans="1:7" x14ac:dyDescent="0.2">
      <c r="A5151" t="s">
        <v>71</v>
      </c>
      <c r="B5151" t="s">
        <v>125</v>
      </c>
      <c r="C5151" t="s">
        <v>204</v>
      </c>
      <c r="D5151" t="s">
        <v>74</v>
      </c>
      <c r="E5151" t="s">
        <v>85</v>
      </c>
      <c r="F5151" s="55">
        <v>123</v>
      </c>
      <c r="G5151" s="63">
        <v>1.2800000000000001E-2</v>
      </c>
    </row>
    <row r="5152" spans="1:7" x14ac:dyDescent="0.2">
      <c r="A5152" t="s">
        <v>71</v>
      </c>
      <c r="B5152" t="s">
        <v>125</v>
      </c>
      <c r="C5152" t="s">
        <v>204</v>
      </c>
      <c r="D5152" t="s">
        <v>74</v>
      </c>
      <c r="E5152" t="s">
        <v>86</v>
      </c>
      <c r="F5152" s="55">
        <v>128</v>
      </c>
      <c r="G5152" s="63">
        <v>1.5100000000000001E-2</v>
      </c>
    </row>
    <row r="5153" spans="1:7" x14ac:dyDescent="0.2">
      <c r="A5153" t="s">
        <v>71</v>
      </c>
      <c r="B5153" t="s">
        <v>125</v>
      </c>
      <c r="C5153" t="s">
        <v>204</v>
      </c>
      <c r="D5153" t="s">
        <v>74</v>
      </c>
      <c r="E5153" t="s">
        <v>87</v>
      </c>
      <c r="F5153" s="55">
        <v>136</v>
      </c>
      <c r="G5153" s="63">
        <v>1.4500000000000001E-2</v>
      </c>
    </row>
    <row r="5154" spans="1:7" x14ac:dyDescent="0.2">
      <c r="A5154" t="s">
        <v>71</v>
      </c>
      <c r="B5154" t="s">
        <v>125</v>
      </c>
      <c r="C5154" t="s">
        <v>204</v>
      </c>
      <c r="D5154" t="s">
        <v>74</v>
      </c>
      <c r="E5154" t="s">
        <v>88</v>
      </c>
      <c r="F5154" s="55">
        <v>140</v>
      </c>
      <c r="G5154" s="63">
        <v>5.0000000000000001E-3</v>
      </c>
    </row>
    <row r="5155" spans="1:7" x14ac:dyDescent="0.2">
      <c r="A5155" t="s">
        <v>71</v>
      </c>
      <c r="B5155" t="s">
        <v>10</v>
      </c>
      <c r="C5155" t="s">
        <v>204</v>
      </c>
      <c r="D5155" t="s">
        <v>74</v>
      </c>
      <c r="E5155" t="s">
        <v>75</v>
      </c>
      <c r="F5155" s="55">
        <v>105</v>
      </c>
      <c r="G5155" s="63">
        <v>0.3599</v>
      </c>
    </row>
    <row r="5156" spans="1:7" x14ac:dyDescent="0.2">
      <c r="A5156" t="s">
        <v>71</v>
      </c>
      <c r="B5156" t="s">
        <v>10</v>
      </c>
      <c r="C5156" t="s">
        <v>204</v>
      </c>
      <c r="D5156" t="s">
        <v>74</v>
      </c>
      <c r="E5156" t="s">
        <v>76</v>
      </c>
      <c r="F5156" s="55">
        <v>108</v>
      </c>
      <c r="G5156" s="63">
        <v>6.6000000000000003E-2</v>
      </c>
    </row>
    <row r="5157" spans="1:7" x14ac:dyDescent="0.2">
      <c r="A5157" t="s">
        <v>71</v>
      </c>
      <c r="B5157" t="s">
        <v>10</v>
      </c>
      <c r="C5157" t="s">
        <v>204</v>
      </c>
      <c r="D5157" t="s">
        <v>74</v>
      </c>
      <c r="E5157" t="s">
        <v>77</v>
      </c>
      <c r="F5157" s="55">
        <v>108</v>
      </c>
      <c r="G5157" s="63">
        <v>0.1608</v>
      </c>
    </row>
    <row r="5158" spans="1:7" x14ac:dyDescent="0.2">
      <c r="A5158" t="s">
        <v>71</v>
      </c>
      <c r="B5158" t="s">
        <v>10</v>
      </c>
      <c r="C5158" t="s">
        <v>204</v>
      </c>
      <c r="D5158" t="s">
        <v>74</v>
      </c>
      <c r="E5158" t="s">
        <v>78</v>
      </c>
      <c r="F5158" s="55">
        <v>105</v>
      </c>
      <c r="G5158" s="63">
        <v>0.16450000000000001</v>
      </c>
    </row>
    <row r="5159" spans="1:7" x14ac:dyDescent="0.2">
      <c r="A5159" t="s">
        <v>71</v>
      </c>
      <c r="B5159" t="s">
        <v>10</v>
      </c>
      <c r="C5159" t="s">
        <v>204</v>
      </c>
      <c r="D5159" t="s">
        <v>74</v>
      </c>
      <c r="E5159" t="s">
        <v>79</v>
      </c>
      <c r="F5159" s="55">
        <v>104</v>
      </c>
      <c r="G5159" s="63">
        <v>0.25040000000000001</v>
      </c>
    </row>
    <row r="5160" spans="1:7" x14ac:dyDescent="0.2">
      <c r="A5160" t="s">
        <v>71</v>
      </c>
      <c r="B5160" t="s">
        <v>10</v>
      </c>
      <c r="C5160" t="s">
        <v>204</v>
      </c>
      <c r="D5160" t="s">
        <v>74</v>
      </c>
      <c r="E5160" t="s">
        <v>80</v>
      </c>
      <c r="F5160" s="55">
        <v>100</v>
      </c>
      <c r="G5160" s="63">
        <v>9.06E-2</v>
      </c>
    </row>
    <row r="5161" spans="1:7" x14ac:dyDescent="0.2">
      <c r="A5161" t="s">
        <v>71</v>
      </c>
      <c r="B5161" t="s">
        <v>10</v>
      </c>
      <c r="C5161" t="s">
        <v>204</v>
      </c>
      <c r="D5161" t="s">
        <v>74</v>
      </c>
      <c r="E5161" t="s">
        <v>81</v>
      </c>
      <c r="F5161" s="55">
        <v>100</v>
      </c>
      <c r="G5161" s="63">
        <v>8.5900000000000004E-2</v>
      </c>
    </row>
    <row r="5162" spans="1:7" x14ac:dyDescent="0.2">
      <c r="A5162" t="s">
        <v>71</v>
      </c>
      <c r="B5162" t="s">
        <v>10</v>
      </c>
      <c r="C5162" t="s">
        <v>204</v>
      </c>
      <c r="D5162" t="s">
        <v>74</v>
      </c>
      <c r="E5162" t="s">
        <v>82</v>
      </c>
      <c r="F5162" s="55">
        <v>107</v>
      </c>
      <c r="G5162" s="63">
        <v>0.2233</v>
      </c>
    </row>
    <row r="5163" spans="1:7" x14ac:dyDescent="0.2">
      <c r="A5163" t="s">
        <v>71</v>
      </c>
      <c r="B5163" t="s">
        <v>10</v>
      </c>
      <c r="C5163" t="s">
        <v>204</v>
      </c>
      <c r="D5163" t="s">
        <v>74</v>
      </c>
      <c r="E5163" t="s">
        <v>83</v>
      </c>
      <c r="F5163" s="55">
        <v>106</v>
      </c>
      <c r="G5163" s="63">
        <v>4.3400000000000001E-2</v>
      </c>
    </row>
    <row r="5164" spans="1:7" x14ac:dyDescent="0.2">
      <c r="A5164" t="s">
        <v>71</v>
      </c>
      <c r="B5164" t="s">
        <v>10</v>
      </c>
      <c r="C5164" t="s">
        <v>204</v>
      </c>
      <c r="D5164" t="s">
        <v>74</v>
      </c>
      <c r="E5164" t="s">
        <v>84</v>
      </c>
      <c r="F5164" s="55">
        <v>106</v>
      </c>
      <c r="G5164" s="63">
        <v>0.1361</v>
      </c>
    </row>
    <row r="5165" spans="1:7" x14ac:dyDescent="0.2">
      <c r="A5165" t="s">
        <v>71</v>
      </c>
      <c r="B5165" t="s">
        <v>10</v>
      </c>
      <c r="C5165" t="s">
        <v>204</v>
      </c>
      <c r="D5165" t="s">
        <v>74</v>
      </c>
      <c r="E5165" t="s">
        <v>85</v>
      </c>
      <c r="F5165" s="55">
        <v>103</v>
      </c>
      <c r="G5165" s="63">
        <v>0.105</v>
      </c>
    </row>
    <row r="5166" spans="1:7" x14ac:dyDescent="0.2">
      <c r="A5166" t="s">
        <v>71</v>
      </c>
      <c r="B5166" t="s">
        <v>10</v>
      </c>
      <c r="C5166" t="s">
        <v>204</v>
      </c>
      <c r="D5166" t="s">
        <v>74</v>
      </c>
      <c r="E5166" t="s">
        <v>86</v>
      </c>
      <c r="F5166" s="55">
        <v>106</v>
      </c>
      <c r="G5166" s="63">
        <v>0.13159999999999999</v>
      </c>
    </row>
    <row r="5167" spans="1:7" x14ac:dyDescent="0.2">
      <c r="A5167" t="s">
        <v>71</v>
      </c>
      <c r="B5167" t="s">
        <v>10</v>
      </c>
      <c r="C5167" t="s">
        <v>204</v>
      </c>
      <c r="D5167" t="s">
        <v>74</v>
      </c>
      <c r="E5167" t="s">
        <v>87</v>
      </c>
      <c r="F5167" s="55">
        <v>106</v>
      </c>
      <c r="G5167" s="63">
        <v>0.15479999999999999</v>
      </c>
    </row>
    <row r="5168" spans="1:7" x14ac:dyDescent="0.2">
      <c r="A5168" t="s">
        <v>71</v>
      </c>
      <c r="B5168" t="s">
        <v>10</v>
      </c>
      <c r="C5168" t="s">
        <v>204</v>
      </c>
      <c r="D5168" t="s">
        <v>74</v>
      </c>
      <c r="E5168" t="s">
        <v>88</v>
      </c>
      <c r="F5168" s="55">
        <v>105</v>
      </c>
      <c r="G5168" s="63">
        <v>0.11700000000000001</v>
      </c>
    </row>
    <row r="5169" spans="1:7" x14ac:dyDescent="0.2">
      <c r="A5169" t="s">
        <v>89</v>
      </c>
      <c r="B5169" t="s">
        <v>126</v>
      </c>
      <c r="C5169" t="s">
        <v>204</v>
      </c>
      <c r="D5169" t="s">
        <v>91</v>
      </c>
      <c r="E5169" t="s">
        <v>75</v>
      </c>
      <c r="F5169" s="55">
        <v>95</v>
      </c>
      <c r="G5169" s="63">
        <v>0.65159999999999996</v>
      </c>
    </row>
    <row r="5170" spans="1:7" x14ac:dyDescent="0.2">
      <c r="A5170" t="s">
        <v>89</v>
      </c>
      <c r="B5170" t="s">
        <v>126</v>
      </c>
      <c r="C5170" t="s">
        <v>204</v>
      </c>
      <c r="D5170" t="s">
        <v>91</v>
      </c>
      <c r="E5170" t="s">
        <v>76</v>
      </c>
      <c r="F5170" s="55">
        <v>82</v>
      </c>
      <c r="G5170" s="63">
        <v>0.1431</v>
      </c>
    </row>
    <row r="5171" spans="1:7" x14ac:dyDescent="0.2">
      <c r="A5171" t="s">
        <v>89</v>
      </c>
      <c r="B5171" t="s">
        <v>126</v>
      </c>
      <c r="C5171" t="s">
        <v>204</v>
      </c>
      <c r="D5171" t="s">
        <v>91</v>
      </c>
      <c r="E5171" t="s">
        <v>77</v>
      </c>
      <c r="F5171" s="55">
        <v>90</v>
      </c>
      <c r="G5171" s="63">
        <v>0.26629999999999998</v>
      </c>
    </row>
    <row r="5172" spans="1:7" x14ac:dyDescent="0.2">
      <c r="A5172" t="s">
        <v>89</v>
      </c>
      <c r="B5172" t="s">
        <v>126</v>
      </c>
      <c r="C5172" t="s">
        <v>204</v>
      </c>
      <c r="D5172" t="s">
        <v>91</v>
      </c>
      <c r="E5172" t="s">
        <v>78</v>
      </c>
      <c r="F5172" s="55">
        <v>100</v>
      </c>
      <c r="G5172" s="63">
        <v>0.28439999999999999</v>
      </c>
    </row>
    <row r="5173" spans="1:7" x14ac:dyDescent="0.2">
      <c r="A5173" t="s">
        <v>89</v>
      </c>
      <c r="B5173" t="s">
        <v>126</v>
      </c>
      <c r="C5173" t="s">
        <v>204</v>
      </c>
      <c r="D5173" t="s">
        <v>91</v>
      </c>
      <c r="E5173" t="s">
        <v>79</v>
      </c>
      <c r="F5173" s="55">
        <v>97</v>
      </c>
      <c r="G5173" s="63">
        <v>0.44990000000000002</v>
      </c>
    </row>
    <row r="5174" spans="1:7" x14ac:dyDescent="0.2">
      <c r="A5174" t="s">
        <v>89</v>
      </c>
      <c r="B5174" t="s">
        <v>126</v>
      </c>
      <c r="C5174" t="s">
        <v>204</v>
      </c>
      <c r="D5174" t="s">
        <v>91</v>
      </c>
      <c r="E5174" t="s">
        <v>80</v>
      </c>
      <c r="F5174" s="55">
        <v>87</v>
      </c>
      <c r="G5174" s="63">
        <v>0.10970000000000001</v>
      </c>
    </row>
    <row r="5175" spans="1:7" x14ac:dyDescent="0.2">
      <c r="A5175" t="s">
        <v>89</v>
      </c>
      <c r="B5175" t="s">
        <v>126</v>
      </c>
      <c r="C5175" t="s">
        <v>204</v>
      </c>
      <c r="D5175" t="s">
        <v>91</v>
      </c>
      <c r="E5175" t="s">
        <v>81</v>
      </c>
      <c r="F5175" s="55">
        <v>85</v>
      </c>
      <c r="G5175" s="63">
        <v>0.1217</v>
      </c>
    </row>
    <row r="5176" spans="1:7" x14ac:dyDescent="0.2">
      <c r="A5176" t="s">
        <v>89</v>
      </c>
      <c r="B5176" t="s">
        <v>126</v>
      </c>
      <c r="C5176" t="s">
        <v>204</v>
      </c>
      <c r="D5176" t="s">
        <v>91</v>
      </c>
      <c r="E5176" t="s">
        <v>82</v>
      </c>
      <c r="F5176" s="55">
        <v>111</v>
      </c>
      <c r="G5176" s="63">
        <v>0.38419999999999999</v>
      </c>
    </row>
    <row r="5177" spans="1:7" x14ac:dyDescent="0.2">
      <c r="A5177" t="s">
        <v>89</v>
      </c>
      <c r="B5177" t="s">
        <v>126</v>
      </c>
      <c r="C5177" t="s">
        <v>204</v>
      </c>
      <c r="D5177" t="s">
        <v>91</v>
      </c>
      <c r="E5177" t="s">
        <v>83</v>
      </c>
      <c r="F5177" s="55">
        <v>81</v>
      </c>
      <c r="G5177" s="63">
        <v>9.1300000000000006E-2</v>
      </c>
    </row>
    <row r="5178" spans="1:7" x14ac:dyDescent="0.2">
      <c r="A5178" t="s">
        <v>89</v>
      </c>
      <c r="B5178" t="s">
        <v>126</v>
      </c>
      <c r="C5178" t="s">
        <v>204</v>
      </c>
      <c r="D5178" t="s">
        <v>91</v>
      </c>
      <c r="E5178" t="s">
        <v>84</v>
      </c>
      <c r="F5178" s="55">
        <v>102</v>
      </c>
      <c r="G5178" s="63">
        <v>0.23</v>
      </c>
    </row>
    <row r="5179" spans="1:7" x14ac:dyDescent="0.2">
      <c r="A5179" t="s">
        <v>89</v>
      </c>
      <c r="B5179" t="s">
        <v>126</v>
      </c>
      <c r="C5179" t="s">
        <v>204</v>
      </c>
      <c r="D5179" t="s">
        <v>91</v>
      </c>
      <c r="E5179" t="s">
        <v>85</v>
      </c>
      <c r="F5179" s="55">
        <v>92</v>
      </c>
      <c r="G5179" s="63">
        <v>0.13719999999999999</v>
      </c>
    </row>
    <row r="5180" spans="1:7" x14ac:dyDescent="0.2">
      <c r="A5180" t="s">
        <v>89</v>
      </c>
      <c r="B5180" t="s">
        <v>126</v>
      </c>
      <c r="C5180" t="s">
        <v>204</v>
      </c>
      <c r="D5180" t="s">
        <v>91</v>
      </c>
      <c r="E5180" t="s">
        <v>86</v>
      </c>
      <c r="F5180" s="55">
        <v>92</v>
      </c>
      <c r="G5180" s="63">
        <v>0.19739999999999999</v>
      </c>
    </row>
    <row r="5181" spans="1:7" x14ac:dyDescent="0.2">
      <c r="A5181" t="s">
        <v>89</v>
      </c>
      <c r="B5181" t="s">
        <v>126</v>
      </c>
      <c r="C5181" t="s">
        <v>204</v>
      </c>
      <c r="D5181" t="s">
        <v>91</v>
      </c>
      <c r="E5181" t="s">
        <v>87</v>
      </c>
      <c r="F5181" s="55">
        <v>101</v>
      </c>
      <c r="G5181" s="63">
        <v>0.247</v>
      </c>
    </row>
    <row r="5182" spans="1:7" x14ac:dyDescent="0.2">
      <c r="A5182" t="s">
        <v>89</v>
      </c>
      <c r="B5182" t="s">
        <v>126</v>
      </c>
      <c r="C5182" t="s">
        <v>204</v>
      </c>
      <c r="D5182" t="s">
        <v>91</v>
      </c>
      <c r="E5182" t="s">
        <v>88</v>
      </c>
      <c r="F5182" s="55">
        <v>82</v>
      </c>
      <c r="G5182" s="63">
        <v>0.19420000000000001</v>
      </c>
    </row>
    <row r="5183" spans="1:7" x14ac:dyDescent="0.2">
      <c r="A5183" t="s">
        <v>71</v>
      </c>
      <c r="B5183" t="s">
        <v>127</v>
      </c>
      <c r="C5183" t="s">
        <v>204</v>
      </c>
      <c r="D5183" t="s">
        <v>74</v>
      </c>
      <c r="E5183" t="s">
        <v>75</v>
      </c>
      <c r="F5183" s="55">
        <v>119</v>
      </c>
      <c r="G5183" s="63">
        <v>0.2019</v>
      </c>
    </row>
    <row r="5184" spans="1:7" x14ac:dyDescent="0.2">
      <c r="A5184" t="s">
        <v>71</v>
      </c>
      <c r="B5184" t="s">
        <v>127</v>
      </c>
      <c r="C5184" t="s">
        <v>204</v>
      </c>
      <c r="D5184" t="s">
        <v>74</v>
      </c>
      <c r="E5184" t="s">
        <v>76</v>
      </c>
      <c r="F5184" s="55">
        <v>117</v>
      </c>
      <c r="G5184" s="63">
        <v>2.86E-2</v>
      </c>
    </row>
    <row r="5185" spans="1:7" x14ac:dyDescent="0.2">
      <c r="A5185" t="s">
        <v>71</v>
      </c>
      <c r="B5185" t="s">
        <v>127</v>
      </c>
      <c r="C5185" t="s">
        <v>204</v>
      </c>
      <c r="D5185" t="s">
        <v>74</v>
      </c>
      <c r="E5185" t="s">
        <v>77</v>
      </c>
      <c r="F5185" s="55">
        <v>121</v>
      </c>
      <c r="G5185" s="63">
        <v>7.4999999999999997E-2</v>
      </c>
    </row>
    <row r="5186" spans="1:7" x14ac:dyDescent="0.2">
      <c r="A5186" t="s">
        <v>71</v>
      </c>
      <c r="B5186" t="s">
        <v>127</v>
      </c>
      <c r="C5186" t="s">
        <v>204</v>
      </c>
      <c r="D5186" t="s">
        <v>74</v>
      </c>
      <c r="E5186" t="s">
        <v>78</v>
      </c>
      <c r="F5186" s="55">
        <v>120</v>
      </c>
      <c r="G5186" s="63">
        <v>6.6199999999999995E-2</v>
      </c>
    </row>
    <row r="5187" spans="1:7" x14ac:dyDescent="0.2">
      <c r="A5187" t="s">
        <v>71</v>
      </c>
      <c r="B5187" t="s">
        <v>127</v>
      </c>
      <c r="C5187" t="s">
        <v>204</v>
      </c>
      <c r="D5187" t="s">
        <v>74</v>
      </c>
      <c r="E5187" t="s">
        <v>79</v>
      </c>
      <c r="F5187" s="55">
        <v>112</v>
      </c>
      <c r="G5187" s="63">
        <v>0.1346</v>
      </c>
    </row>
    <row r="5188" spans="1:7" x14ac:dyDescent="0.2">
      <c r="A5188" t="s">
        <v>71</v>
      </c>
      <c r="B5188" t="s">
        <v>127</v>
      </c>
      <c r="C5188" t="s">
        <v>204</v>
      </c>
      <c r="D5188" t="s">
        <v>74</v>
      </c>
      <c r="E5188" t="s">
        <v>80</v>
      </c>
      <c r="F5188" s="55">
        <v>120</v>
      </c>
      <c r="G5188" s="63">
        <v>6.5799999999999997E-2</v>
      </c>
    </row>
    <row r="5189" spans="1:7" x14ac:dyDescent="0.2">
      <c r="A5189" t="s">
        <v>71</v>
      </c>
      <c r="B5189" t="s">
        <v>127</v>
      </c>
      <c r="C5189" t="s">
        <v>204</v>
      </c>
      <c r="D5189" t="s">
        <v>74</v>
      </c>
      <c r="E5189" t="s">
        <v>81</v>
      </c>
      <c r="F5189" s="55">
        <v>125</v>
      </c>
      <c r="G5189" s="63">
        <v>6.2100000000000002E-2</v>
      </c>
    </row>
    <row r="5190" spans="1:7" x14ac:dyDescent="0.2">
      <c r="A5190" t="s">
        <v>71</v>
      </c>
      <c r="B5190" t="s">
        <v>127</v>
      </c>
      <c r="C5190" t="s">
        <v>204</v>
      </c>
      <c r="D5190" t="s">
        <v>74</v>
      </c>
      <c r="E5190" t="s">
        <v>82</v>
      </c>
      <c r="F5190" s="55">
        <v>115</v>
      </c>
      <c r="G5190" s="63">
        <v>6.6699999999999995E-2</v>
      </c>
    </row>
    <row r="5191" spans="1:7" x14ac:dyDescent="0.2">
      <c r="A5191" t="s">
        <v>71</v>
      </c>
      <c r="B5191" t="s">
        <v>127</v>
      </c>
      <c r="C5191" t="s">
        <v>204</v>
      </c>
      <c r="D5191" t="s">
        <v>74</v>
      </c>
      <c r="E5191" t="s">
        <v>83</v>
      </c>
      <c r="F5191" s="55">
        <v>124</v>
      </c>
      <c r="G5191" s="63">
        <v>2.3599999999999999E-2</v>
      </c>
    </row>
    <row r="5192" spans="1:7" x14ac:dyDescent="0.2">
      <c r="A5192" t="s">
        <v>71</v>
      </c>
      <c r="B5192" t="s">
        <v>127</v>
      </c>
      <c r="C5192" t="s">
        <v>204</v>
      </c>
      <c r="D5192" t="s">
        <v>74</v>
      </c>
      <c r="E5192" t="s">
        <v>84</v>
      </c>
      <c r="F5192" s="55">
        <v>120</v>
      </c>
      <c r="G5192" s="63">
        <v>5.7599999999999998E-2</v>
      </c>
    </row>
    <row r="5193" spans="1:7" x14ac:dyDescent="0.2">
      <c r="A5193" t="s">
        <v>71</v>
      </c>
      <c r="B5193" t="s">
        <v>127</v>
      </c>
      <c r="C5193" t="s">
        <v>204</v>
      </c>
      <c r="D5193" t="s">
        <v>74</v>
      </c>
      <c r="E5193" t="s">
        <v>85</v>
      </c>
      <c r="F5193" s="55">
        <v>110</v>
      </c>
      <c r="G5193" s="63">
        <v>6.4699999999999994E-2</v>
      </c>
    </row>
    <row r="5194" spans="1:7" x14ac:dyDescent="0.2">
      <c r="A5194" t="s">
        <v>71</v>
      </c>
      <c r="B5194" t="s">
        <v>127</v>
      </c>
      <c r="C5194" t="s">
        <v>204</v>
      </c>
      <c r="D5194" t="s">
        <v>74</v>
      </c>
      <c r="E5194" t="s">
        <v>86</v>
      </c>
      <c r="F5194" s="55">
        <v>106</v>
      </c>
      <c r="G5194" s="63">
        <v>6.1600000000000002E-2</v>
      </c>
    </row>
    <row r="5195" spans="1:7" x14ac:dyDescent="0.2">
      <c r="A5195" t="s">
        <v>71</v>
      </c>
      <c r="B5195" t="s">
        <v>127</v>
      </c>
      <c r="C5195" t="s">
        <v>204</v>
      </c>
      <c r="D5195" t="s">
        <v>74</v>
      </c>
      <c r="E5195" t="s">
        <v>87</v>
      </c>
      <c r="F5195" s="55">
        <v>107</v>
      </c>
      <c r="G5195" s="63">
        <v>6.1199999999999997E-2</v>
      </c>
    </row>
    <row r="5196" spans="1:7" x14ac:dyDescent="0.2">
      <c r="A5196" t="s">
        <v>71</v>
      </c>
      <c r="B5196" t="s">
        <v>127</v>
      </c>
      <c r="C5196" t="s">
        <v>204</v>
      </c>
      <c r="D5196" t="s">
        <v>74</v>
      </c>
      <c r="E5196" t="s">
        <v>88</v>
      </c>
      <c r="F5196" s="55">
        <v>118</v>
      </c>
      <c r="G5196" s="63">
        <v>3.8199999999999998E-2</v>
      </c>
    </row>
    <row r="5197" spans="1:7" x14ac:dyDescent="0.2">
      <c r="A5197" t="s">
        <v>71</v>
      </c>
      <c r="B5197" t="s">
        <v>11</v>
      </c>
      <c r="C5197" t="s">
        <v>204</v>
      </c>
      <c r="D5197" t="s">
        <v>74</v>
      </c>
      <c r="E5197" t="s">
        <v>75</v>
      </c>
      <c r="F5197" s="55">
        <v>89</v>
      </c>
      <c r="G5197" s="63">
        <v>0.37359999999999999</v>
      </c>
    </row>
    <row r="5198" spans="1:7" x14ac:dyDescent="0.2">
      <c r="A5198" t="s">
        <v>71</v>
      </c>
      <c r="B5198" t="s">
        <v>11</v>
      </c>
      <c r="C5198" t="s">
        <v>204</v>
      </c>
      <c r="D5198" t="s">
        <v>74</v>
      </c>
      <c r="E5198" t="s">
        <v>76</v>
      </c>
      <c r="F5198" s="55">
        <v>97</v>
      </c>
      <c r="G5198" s="63">
        <v>4.8899999999999999E-2</v>
      </c>
    </row>
    <row r="5199" spans="1:7" x14ac:dyDescent="0.2">
      <c r="A5199" t="s">
        <v>71</v>
      </c>
      <c r="B5199" t="s">
        <v>11</v>
      </c>
      <c r="C5199" t="s">
        <v>204</v>
      </c>
      <c r="D5199" t="s">
        <v>74</v>
      </c>
      <c r="E5199" t="s">
        <v>77</v>
      </c>
      <c r="F5199" s="55">
        <v>89</v>
      </c>
      <c r="G5199" s="63">
        <v>0.15509999999999999</v>
      </c>
    </row>
    <row r="5200" spans="1:7" x14ac:dyDescent="0.2">
      <c r="A5200" t="s">
        <v>71</v>
      </c>
      <c r="B5200" t="s">
        <v>11</v>
      </c>
      <c r="C5200" t="s">
        <v>204</v>
      </c>
      <c r="D5200" t="s">
        <v>74</v>
      </c>
      <c r="E5200" t="s">
        <v>78</v>
      </c>
      <c r="F5200" s="55">
        <v>89</v>
      </c>
      <c r="G5200" s="63">
        <v>0.15110000000000001</v>
      </c>
    </row>
    <row r="5201" spans="1:7" x14ac:dyDescent="0.2">
      <c r="A5201" t="s">
        <v>71</v>
      </c>
      <c r="B5201" t="s">
        <v>11</v>
      </c>
      <c r="C5201" t="s">
        <v>204</v>
      </c>
      <c r="D5201" t="s">
        <v>74</v>
      </c>
      <c r="E5201" t="s">
        <v>79</v>
      </c>
      <c r="F5201" s="55">
        <v>90</v>
      </c>
      <c r="G5201" s="63">
        <v>0.25950000000000001</v>
      </c>
    </row>
    <row r="5202" spans="1:7" x14ac:dyDescent="0.2">
      <c r="A5202" t="s">
        <v>71</v>
      </c>
      <c r="B5202" t="s">
        <v>11</v>
      </c>
      <c r="C5202" t="s">
        <v>204</v>
      </c>
      <c r="D5202" t="s">
        <v>74</v>
      </c>
      <c r="E5202" t="s">
        <v>80</v>
      </c>
      <c r="F5202" s="55">
        <v>87</v>
      </c>
      <c r="G5202" s="63">
        <v>7.8E-2</v>
      </c>
    </row>
    <row r="5203" spans="1:7" x14ac:dyDescent="0.2">
      <c r="A5203" t="s">
        <v>71</v>
      </c>
      <c r="B5203" t="s">
        <v>11</v>
      </c>
      <c r="C5203" t="s">
        <v>204</v>
      </c>
      <c r="D5203" t="s">
        <v>74</v>
      </c>
      <c r="E5203" t="s">
        <v>81</v>
      </c>
      <c r="F5203" s="55">
        <v>88</v>
      </c>
      <c r="G5203" s="63">
        <v>7.1599999999999997E-2</v>
      </c>
    </row>
    <row r="5204" spans="1:7" x14ac:dyDescent="0.2">
      <c r="A5204" t="s">
        <v>71</v>
      </c>
      <c r="B5204" t="s">
        <v>11</v>
      </c>
      <c r="C5204" t="s">
        <v>204</v>
      </c>
      <c r="D5204" t="s">
        <v>74</v>
      </c>
      <c r="E5204" t="s">
        <v>82</v>
      </c>
      <c r="F5204" s="55">
        <v>89</v>
      </c>
      <c r="G5204" s="63">
        <v>0.18659999999999999</v>
      </c>
    </row>
    <row r="5205" spans="1:7" x14ac:dyDescent="0.2">
      <c r="A5205" t="s">
        <v>71</v>
      </c>
      <c r="B5205" t="s">
        <v>11</v>
      </c>
      <c r="C5205" t="s">
        <v>204</v>
      </c>
      <c r="D5205" t="s">
        <v>74</v>
      </c>
      <c r="E5205" t="s">
        <v>83</v>
      </c>
      <c r="F5205" s="55">
        <v>94</v>
      </c>
      <c r="G5205" s="63">
        <v>2.1399999999999999E-2</v>
      </c>
    </row>
    <row r="5206" spans="1:7" x14ac:dyDescent="0.2">
      <c r="A5206" t="s">
        <v>71</v>
      </c>
      <c r="B5206" t="s">
        <v>11</v>
      </c>
      <c r="C5206" t="s">
        <v>204</v>
      </c>
      <c r="D5206" t="s">
        <v>74</v>
      </c>
      <c r="E5206" t="s">
        <v>84</v>
      </c>
      <c r="F5206" s="55">
        <v>90</v>
      </c>
      <c r="G5206" s="63">
        <v>0.1163</v>
      </c>
    </row>
    <row r="5207" spans="1:7" x14ac:dyDescent="0.2">
      <c r="A5207" t="s">
        <v>71</v>
      </c>
      <c r="B5207" t="s">
        <v>11</v>
      </c>
      <c r="C5207" t="s">
        <v>204</v>
      </c>
      <c r="D5207" t="s">
        <v>74</v>
      </c>
      <c r="E5207" t="s">
        <v>85</v>
      </c>
      <c r="F5207" s="55">
        <v>90</v>
      </c>
      <c r="G5207" s="63">
        <v>9.0899999999999995E-2</v>
      </c>
    </row>
    <row r="5208" spans="1:7" x14ac:dyDescent="0.2">
      <c r="A5208" t="s">
        <v>71</v>
      </c>
      <c r="B5208" t="s">
        <v>11</v>
      </c>
      <c r="C5208" t="s">
        <v>204</v>
      </c>
      <c r="D5208" t="s">
        <v>74</v>
      </c>
      <c r="E5208" t="s">
        <v>86</v>
      </c>
      <c r="F5208" s="55">
        <v>92</v>
      </c>
      <c r="G5208" s="63">
        <v>0.1201</v>
      </c>
    </row>
    <row r="5209" spans="1:7" x14ac:dyDescent="0.2">
      <c r="A5209" t="s">
        <v>71</v>
      </c>
      <c r="B5209" t="s">
        <v>11</v>
      </c>
      <c r="C5209" t="s">
        <v>204</v>
      </c>
      <c r="D5209" t="s">
        <v>74</v>
      </c>
      <c r="E5209" t="s">
        <v>87</v>
      </c>
      <c r="F5209" s="55">
        <v>91</v>
      </c>
      <c r="G5209" s="63">
        <v>0.14099999999999999</v>
      </c>
    </row>
    <row r="5210" spans="1:7" x14ac:dyDescent="0.2">
      <c r="A5210" t="s">
        <v>71</v>
      </c>
      <c r="B5210" t="s">
        <v>11</v>
      </c>
      <c r="C5210" t="s">
        <v>204</v>
      </c>
      <c r="D5210" t="s">
        <v>74</v>
      </c>
      <c r="E5210" t="s">
        <v>88</v>
      </c>
      <c r="F5210" s="55">
        <v>94</v>
      </c>
      <c r="G5210" s="63">
        <v>7.6300000000000007E-2</v>
      </c>
    </row>
    <row r="5211" spans="1:7" x14ac:dyDescent="0.2">
      <c r="A5211" t="s">
        <v>71</v>
      </c>
      <c r="B5211" t="s">
        <v>128</v>
      </c>
      <c r="C5211" t="s">
        <v>204</v>
      </c>
      <c r="D5211" t="s">
        <v>74</v>
      </c>
      <c r="E5211" t="s">
        <v>75</v>
      </c>
      <c r="F5211" s="55">
        <v>35</v>
      </c>
      <c r="G5211" s="63">
        <v>4.53E-2</v>
      </c>
    </row>
    <row r="5212" spans="1:7" x14ac:dyDescent="0.2">
      <c r="A5212" t="s">
        <v>71</v>
      </c>
      <c r="B5212" t="s">
        <v>128</v>
      </c>
      <c r="C5212" t="s">
        <v>204</v>
      </c>
      <c r="D5212" t="s">
        <v>74</v>
      </c>
      <c r="E5212" t="s">
        <v>76</v>
      </c>
      <c r="F5212" s="55">
        <v>53</v>
      </c>
      <c r="G5212" s="63">
        <v>2.0999999999999999E-3</v>
      </c>
    </row>
    <row r="5213" spans="1:7" x14ac:dyDescent="0.2">
      <c r="A5213" t="s">
        <v>71</v>
      </c>
      <c r="B5213" t="s">
        <v>128</v>
      </c>
      <c r="C5213" t="s">
        <v>204</v>
      </c>
      <c r="D5213" t="s">
        <v>74</v>
      </c>
      <c r="E5213" t="s">
        <v>77</v>
      </c>
      <c r="F5213" s="55">
        <v>38</v>
      </c>
      <c r="G5213" s="63">
        <v>1.26E-2</v>
      </c>
    </row>
    <row r="5214" spans="1:7" x14ac:dyDescent="0.2">
      <c r="A5214" t="s">
        <v>71</v>
      </c>
      <c r="B5214" t="s">
        <v>128</v>
      </c>
      <c r="C5214" t="s">
        <v>204</v>
      </c>
      <c r="D5214" t="s">
        <v>74</v>
      </c>
      <c r="E5214" t="s">
        <v>78</v>
      </c>
      <c r="F5214" s="55">
        <v>35</v>
      </c>
      <c r="G5214" s="63">
        <v>1.21E-2</v>
      </c>
    </row>
    <row r="5215" spans="1:7" x14ac:dyDescent="0.2">
      <c r="A5215" t="s">
        <v>71</v>
      </c>
      <c r="B5215" t="s">
        <v>128</v>
      </c>
      <c r="C5215" t="s">
        <v>204</v>
      </c>
      <c r="D5215" t="s">
        <v>74</v>
      </c>
      <c r="E5215" t="s">
        <v>79</v>
      </c>
      <c r="F5215" s="55">
        <v>34</v>
      </c>
      <c r="G5215" s="63">
        <v>2.8400000000000002E-2</v>
      </c>
    </row>
    <row r="5216" spans="1:7" x14ac:dyDescent="0.2">
      <c r="A5216" t="s">
        <v>71</v>
      </c>
      <c r="B5216" t="s">
        <v>128</v>
      </c>
      <c r="C5216" t="s">
        <v>204</v>
      </c>
      <c r="D5216" t="s">
        <v>74</v>
      </c>
      <c r="E5216" t="s">
        <v>80</v>
      </c>
      <c r="F5216" s="55">
        <v>33</v>
      </c>
      <c r="G5216" s="63">
        <v>1.24E-2</v>
      </c>
    </row>
    <row r="5217" spans="1:7" x14ac:dyDescent="0.2">
      <c r="A5217" t="s">
        <v>71</v>
      </c>
      <c r="B5217" t="s">
        <v>128</v>
      </c>
      <c r="C5217" t="s">
        <v>204</v>
      </c>
      <c r="D5217" t="s">
        <v>74</v>
      </c>
      <c r="E5217" t="s">
        <v>81</v>
      </c>
      <c r="F5217" s="55">
        <v>35</v>
      </c>
      <c r="G5217" s="63">
        <v>1.0500000000000001E-2</v>
      </c>
    </row>
    <row r="5218" spans="1:7" x14ac:dyDescent="0.2">
      <c r="A5218" t="s">
        <v>71</v>
      </c>
      <c r="B5218" t="s">
        <v>128</v>
      </c>
      <c r="C5218" t="s">
        <v>204</v>
      </c>
      <c r="D5218" t="s">
        <v>74</v>
      </c>
      <c r="E5218" t="s">
        <v>82</v>
      </c>
      <c r="F5218" s="55">
        <v>34</v>
      </c>
      <c r="G5218" s="63">
        <v>1.8800000000000001E-2</v>
      </c>
    </row>
    <row r="5219" spans="1:7" x14ac:dyDescent="0.2">
      <c r="A5219" t="s">
        <v>71</v>
      </c>
      <c r="B5219" t="s">
        <v>128</v>
      </c>
      <c r="C5219" t="s">
        <v>204</v>
      </c>
      <c r="D5219" t="s">
        <v>74</v>
      </c>
      <c r="E5219" t="s">
        <v>83</v>
      </c>
      <c r="F5219" s="55">
        <v>56</v>
      </c>
      <c r="G5219" s="63">
        <v>2.2000000000000001E-3</v>
      </c>
    </row>
    <row r="5220" spans="1:7" x14ac:dyDescent="0.2">
      <c r="A5220" t="s">
        <v>71</v>
      </c>
      <c r="B5220" t="s">
        <v>128</v>
      </c>
      <c r="C5220" t="s">
        <v>204</v>
      </c>
      <c r="D5220" t="s">
        <v>74</v>
      </c>
      <c r="E5220" t="s">
        <v>84</v>
      </c>
      <c r="F5220" s="55">
        <v>38</v>
      </c>
      <c r="G5220" s="63">
        <v>9.4999999999999998E-3</v>
      </c>
    </row>
    <row r="5221" spans="1:7" x14ac:dyDescent="0.2">
      <c r="A5221" t="s">
        <v>71</v>
      </c>
      <c r="B5221" t="s">
        <v>128</v>
      </c>
      <c r="C5221" t="s">
        <v>204</v>
      </c>
      <c r="D5221" t="s">
        <v>74</v>
      </c>
      <c r="E5221" t="s">
        <v>85</v>
      </c>
      <c r="F5221" s="55">
        <v>35</v>
      </c>
      <c r="G5221" s="63">
        <v>1.2800000000000001E-2</v>
      </c>
    </row>
    <row r="5222" spans="1:7" x14ac:dyDescent="0.2">
      <c r="A5222" t="s">
        <v>71</v>
      </c>
      <c r="B5222" t="s">
        <v>128</v>
      </c>
      <c r="C5222" t="s">
        <v>204</v>
      </c>
      <c r="D5222" t="s">
        <v>74</v>
      </c>
      <c r="E5222" t="s">
        <v>86</v>
      </c>
      <c r="F5222" s="55">
        <v>35</v>
      </c>
      <c r="G5222" s="63">
        <v>1.4500000000000001E-2</v>
      </c>
    </row>
    <row r="5223" spans="1:7" x14ac:dyDescent="0.2">
      <c r="A5223" t="s">
        <v>71</v>
      </c>
      <c r="B5223" t="s">
        <v>128</v>
      </c>
      <c r="C5223" t="s">
        <v>204</v>
      </c>
      <c r="D5223" t="s">
        <v>74</v>
      </c>
      <c r="E5223" t="s">
        <v>87</v>
      </c>
      <c r="F5223" s="55">
        <v>34</v>
      </c>
      <c r="G5223" s="63">
        <v>1.34E-2</v>
      </c>
    </row>
    <row r="5224" spans="1:7" x14ac:dyDescent="0.2">
      <c r="A5224" t="s">
        <v>71</v>
      </c>
      <c r="B5224" t="s">
        <v>128</v>
      </c>
      <c r="C5224" t="s">
        <v>204</v>
      </c>
      <c r="D5224" t="s">
        <v>74</v>
      </c>
      <c r="E5224" t="s">
        <v>88</v>
      </c>
      <c r="F5224" s="55">
        <v>48</v>
      </c>
      <c r="G5224" s="63">
        <v>3.8E-3</v>
      </c>
    </row>
    <row r="5225" spans="1:7" x14ac:dyDescent="0.2">
      <c r="A5225" t="s">
        <v>71</v>
      </c>
      <c r="B5225" t="s">
        <v>129</v>
      </c>
      <c r="C5225" t="s">
        <v>204</v>
      </c>
      <c r="D5225" t="s">
        <v>74</v>
      </c>
      <c r="E5225" t="s">
        <v>75</v>
      </c>
      <c r="F5225" s="55">
        <v>116</v>
      </c>
      <c r="G5225" s="63">
        <v>0.49109999999999998</v>
      </c>
    </row>
    <row r="5226" spans="1:7" x14ac:dyDescent="0.2">
      <c r="A5226" t="s">
        <v>71</v>
      </c>
      <c r="B5226" t="s">
        <v>129</v>
      </c>
      <c r="C5226" t="s">
        <v>204</v>
      </c>
      <c r="D5226" t="s">
        <v>74</v>
      </c>
      <c r="E5226" t="s">
        <v>76</v>
      </c>
      <c r="F5226" s="55">
        <v>111</v>
      </c>
      <c r="G5226" s="63">
        <v>0.1351</v>
      </c>
    </row>
    <row r="5227" spans="1:7" x14ac:dyDescent="0.2">
      <c r="A5227" t="s">
        <v>71</v>
      </c>
      <c r="B5227" t="s">
        <v>129</v>
      </c>
      <c r="C5227" t="s">
        <v>204</v>
      </c>
      <c r="D5227" t="s">
        <v>74</v>
      </c>
      <c r="E5227" t="s">
        <v>77</v>
      </c>
      <c r="F5227" s="55">
        <v>118</v>
      </c>
      <c r="G5227" s="63">
        <v>0.30330000000000001</v>
      </c>
    </row>
    <row r="5228" spans="1:7" x14ac:dyDescent="0.2">
      <c r="A5228" t="s">
        <v>71</v>
      </c>
      <c r="B5228" t="s">
        <v>129</v>
      </c>
      <c r="C5228" t="s">
        <v>204</v>
      </c>
      <c r="D5228" t="s">
        <v>74</v>
      </c>
      <c r="E5228" t="s">
        <v>78</v>
      </c>
      <c r="F5228" s="55">
        <v>119</v>
      </c>
      <c r="G5228" s="63">
        <v>0.28460000000000002</v>
      </c>
    </row>
    <row r="5229" spans="1:7" x14ac:dyDescent="0.2">
      <c r="A5229" t="s">
        <v>71</v>
      </c>
      <c r="B5229" t="s">
        <v>129</v>
      </c>
      <c r="C5229" t="s">
        <v>204</v>
      </c>
      <c r="D5229" t="s">
        <v>74</v>
      </c>
      <c r="E5229" t="s">
        <v>79</v>
      </c>
      <c r="F5229" s="55">
        <v>118</v>
      </c>
      <c r="G5229" s="63">
        <v>0.39400000000000002</v>
      </c>
    </row>
    <row r="5230" spans="1:7" x14ac:dyDescent="0.2">
      <c r="A5230" t="s">
        <v>71</v>
      </c>
      <c r="B5230" t="s">
        <v>129</v>
      </c>
      <c r="C5230" t="s">
        <v>204</v>
      </c>
      <c r="D5230" t="s">
        <v>74</v>
      </c>
      <c r="E5230" t="s">
        <v>80</v>
      </c>
      <c r="F5230" s="55">
        <v>113</v>
      </c>
      <c r="G5230" s="63">
        <v>0.29339999999999999</v>
      </c>
    </row>
    <row r="5231" spans="1:7" x14ac:dyDescent="0.2">
      <c r="A5231" t="s">
        <v>71</v>
      </c>
      <c r="B5231" t="s">
        <v>129</v>
      </c>
      <c r="C5231" t="s">
        <v>204</v>
      </c>
      <c r="D5231" t="s">
        <v>74</v>
      </c>
      <c r="E5231" t="s">
        <v>81</v>
      </c>
      <c r="F5231" s="55">
        <v>111</v>
      </c>
      <c r="G5231" s="63">
        <v>0.28010000000000002</v>
      </c>
    </row>
    <row r="5232" spans="1:7" x14ac:dyDescent="0.2">
      <c r="A5232" t="s">
        <v>71</v>
      </c>
      <c r="B5232" t="s">
        <v>129</v>
      </c>
      <c r="C5232" t="s">
        <v>204</v>
      </c>
      <c r="D5232" t="s">
        <v>74</v>
      </c>
      <c r="E5232" t="s">
        <v>82</v>
      </c>
      <c r="F5232" s="55">
        <v>114</v>
      </c>
      <c r="G5232" s="63">
        <v>0.34720000000000001</v>
      </c>
    </row>
    <row r="5233" spans="1:7" x14ac:dyDescent="0.2">
      <c r="A5233" t="s">
        <v>71</v>
      </c>
      <c r="B5233" t="s">
        <v>129</v>
      </c>
      <c r="C5233" t="s">
        <v>204</v>
      </c>
      <c r="D5233" t="s">
        <v>74</v>
      </c>
      <c r="E5233" t="s">
        <v>83</v>
      </c>
      <c r="F5233" s="55">
        <v>108</v>
      </c>
      <c r="G5233" s="63">
        <v>0.13639999999999999</v>
      </c>
    </row>
    <row r="5234" spans="1:7" x14ac:dyDescent="0.2">
      <c r="A5234" t="s">
        <v>71</v>
      </c>
      <c r="B5234" t="s">
        <v>129</v>
      </c>
      <c r="C5234" t="s">
        <v>204</v>
      </c>
      <c r="D5234" t="s">
        <v>74</v>
      </c>
      <c r="E5234" t="s">
        <v>84</v>
      </c>
      <c r="F5234" s="55">
        <v>120</v>
      </c>
      <c r="G5234" s="63">
        <v>0.26090000000000002</v>
      </c>
    </row>
    <row r="5235" spans="1:7" x14ac:dyDescent="0.2">
      <c r="A5235" t="s">
        <v>71</v>
      </c>
      <c r="B5235" t="s">
        <v>129</v>
      </c>
      <c r="C5235" t="s">
        <v>204</v>
      </c>
      <c r="D5235" t="s">
        <v>74</v>
      </c>
      <c r="E5235" t="s">
        <v>85</v>
      </c>
      <c r="F5235" s="55">
        <v>113</v>
      </c>
      <c r="G5235" s="63">
        <v>0.2954</v>
      </c>
    </row>
    <row r="5236" spans="1:7" x14ac:dyDescent="0.2">
      <c r="A5236" t="s">
        <v>71</v>
      </c>
      <c r="B5236" t="s">
        <v>129</v>
      </c>
      <c r="C5236" t="s">
        <v>204</v>
      </c>
      <c r="D5236" t="s">
        <v>74</v>
      </c>
      <c r="E5236" t="s">
        <v>86</v>
      </c>
      <c r="F5236" s="55">
        <v>117</v>
      </c>
      <c r="G5236" s="63">
        <v>0.29220000000000002</v>
      </c>
    </row>
    <row r="5237" spans="1:7" x14ac:dyDescent="0.2">
      <c r="A5237" t="s">
        <v>71</v>
      </c>
      <c r="B5237" t="s">
        <v>129</v>
      </c>
      <c r="C5237" t="s">
        <v>204</v>
      </c>
      <c r="D5237" t="s">
        <v>74</v>
      </c>
      <c r="E5237" t="s">
        <v>87</v>
      </c>
      <c r="F5237" s="55">
        <v>118</v>
      </c>
      <c r="G5237" s="63">
        <v>0.2999</v>
      </c>
    </row>
    <row r="5238" spans="1:7" x14ac:dyDescent="0.2">
      <c r="A5238" t="s">
        <v>71</v>
      </c>
      <c r="B5238" t="s">
        <v>129</v>
      </c>
      <c r="C5238" t="s">
        <v>204</v>
      </c>
      <c r="D5238" t="s">
        <v>74</v>
      </c>
      <c r="E5238" t="s">
        <v>88</v>
      </c>
      <c r="F5238" s="55">
        <v>110</v>
      </c>
      <c r="G5238" s="63">
        <v>0.17430000000000001</v>
      </c>
    </row>
    <row r="5239" spans="1:7" x14ac:dyDescent="0.2">
      <c r="A5239" t="s">
        <v>71</v>
      </c>
      <c r="B5239" t="s">
        <v>130</v>
      </c>
      <c r="C5239" t="s">
        <v>204</v>
      </c>
      <c r="D5239" t="s">
        <v>74</v>
      </c>
      <c r="E5239" t="s">
        <v>75</v>
      </c>
      <c r="F5239" s="55">
        <v>108</v>
      </c>
      <c r="G5239" s="63">
        <v>6.88E-2</v>
      </c>
    </row>
    <row r="5240" spans="1:7" x14ac:dyDescent="0.2">
      <c r="A5240" t="s">
        <v>71</v>
      </c>
      <c r="B5240" t="s">
        <v>130</v>
      </c>
      <c r="C5240" t="s">
        <v>204</v>
      </c>
      <c r="D5240" t="s">
        <v>74</v>
      </c>
      <c r="E5240" t="s">
        <v>76</v>
      </c>
      <c r="F5240" s="55">
        <v>113</v>
      </c>
      <c r="G5240" s="63">
        <v>2.5999999999999999E-3</v>
      </c>
    </row>
    <row r="5241" spans="1:7" x14ac:dyDescent="0.2">
      <c r="A5241" t="s">
        <v>71</v>
      </c>
      <c r="B5241" t="s">
        <v>130</v>
      </c>
      <c r="C5241" t="s">
        <v>204</v>
      </c>
      <c r="D5241" t="s">
        <v>74</v>
      </c>
      <c r="E5241" t="s">
        <v>77</v>
      </c>
      <c r="F5241" s="55">
        <v>116</v>
      </c>
      <c r="G5241" s="63">
        <v>0.02</v>
      </c>
    </row>
    <row r="5242" spans="1:7" x14ac:dyDescent="0.2">
      <c r="A5242" t="s">
        <v>71</v>
      </c>
      <c r="B5242" t="s">
        <v>130</v>
      </c>
      <c r="C5242" t="s">
        <v>204</v>
      </c>
      <c r="D5242" t="s">
        <v>74</v>
      </c>
      <c r="E5242" t="s">
        <v>78</v>
      </c>
      <c r="F5242" s="55">
        <v>106</v>
      </c>
      <c r="G5242" s="63">
        <v>1.7299999999999999E-2</v>
      </c>
    </row>
    <row r="5243" spans="1:7" x14ac:dyDescent="0.2">
      <c r="A5243" t="s">
        <v>71</v>
      </c>
      <c r="B5243" t="s">
        <v>130</v>
      </c>
      <c r="C5243" t="s">
        <v>204</v>
      </c>
      <c r="D5243" t="s">
        <v>74</v>
      </c>
      <c r="E5243" t="s">
        <v>79</v>
      </c>
      <c r="F5243" s="55">
        <v>109</v>
      </c>
      <c r="G5243" s="63">
        <v>4.36E-2</v>
      </c>
    </row>
    <row r="5244" spans="1:7" x14ac:dyDescent="0.2">
      <c r="A5244" t="s">
        <v>71</v>
      </c>
      <c r="B5244" t="s">
        <v>130</v>
      </c>
      <c r="C5244" t="s">
        <v>204</v>
      </c>
      <c r="D5244" t="s">
        <v>74</v>
      </c>
      <c r="E5244" t="s">
        <v>80</v>
      </c>
      <c r="F5244" s="55">
        <v>105</v>
      </c>
      <c r="G5244" s="63">
        <v>1.5900000000000001E-2</v>
      </c>
    </row>
    <row r="5245" spans="1:7" x14ac:dyDescent="0.2">
      <c r="A5245" t="s">
        <v>71</v>
      </c>
      <c r="B5245" t="s">
        <v>130</v>
      </c>
      <c r="C5245" t="s">
        <v>204</v>
      </c>
      <c r="D5245" t="s">
        <v>74</v>
      </c>
      <c r="E5245" t="s">
        <v>81</v>
      </c>
      <c r="F5245" s="55">
        <v>101</v>
      </c>
      <c r="G5245" s="63">
        <v>1.3299999999999999E-2</v>
      </c>
    </row>
    <row r="5246" spans="1:7" x14ac:dyDescent="0.2">
      <c r="A5246" t="s">
        <v>71</v>
      </c>
      <c r="B5246" t="s">
        <v>130</v>
      </c>
      <c r="C5246" t="s">
        <v>204</v>
      </c>
      <c r="D5246" t="s">
        <v>74</v>
      </c>
      <c r="E5246" t="s">
        <v>82</v>
      </c>
      <c r="F5246" s="55">
        <v>105</v>
      </c>
      <c r="G5246" s="63">
        <v>2.3400000000000001E-2</v>
      </c>
    </row>
    <row r="5247" spans="1:7" x14ac:dyDescent="0.2">
      <c r="A5247" t="s">
        <v>71</v>
      </c>
      <c r="B5247" t="s">
        <v>130</v>
      </c>
      <c r="C5247" t="s">
        <v>204</v>
      </c>
      <c r="D5247" t="s">
        <v>74</v>
      </c>
      <c r="E5247" t="s">
        <v>83</v>
      </c>
      <c r="F5247" s="55">
        <v>106</v>
      </c>
      <c r="G5247" s="63">
        <v>2.5000000000000001E-3</v>
      </c>
    </row>
    <row r="5248" spans="1:7" x14ac:dyDescent="0.2">
      <c r="A5248" t="s">
        <v>71</v>
      </c>
      <c r="B5248" t="s">
        <v>130</v>
      </c>
      <c r="C5248" t="s">
        <v>204</v>
      </c>
      <c r="D5248" t="s">
        <v>74</v>
      </c>
      <c r="E5248" t="s">
        <v>84</v>
      </c>
      <c r="F5248" s="55">
        <v>108</v>
      </c>
      <c r="G5248" s="63">
        <v>1.32E-2</v>
      </c>
    </row>
    <row r="5249" spans="1:7" x14ac:dyDescent="0.2">
      <c r="A5249" t="s">
        <v>71</v>
      </c>
      <c r="B5249" t="s">
        <v>130</v>
      </c>
      <c r="C5249" t="s">
        <v>204</v>
      </c>
      <c r="D5249" t="s">
        <v>74</v>
      </c>
      <c r="E5249" t="s">
        <v>85</v>
      </c>
      <c r="F5249" s="55">
        <v>103</v>
      </c>
      <c r="G5249" s="63">
        <v>1.6E-2</v>
      </c>
    </row>
    <row r="5250" spans="1:7" x14ac:dyDescent="0.2">
      <c r="A5250" t="s">
        <v>71</v>
      </c>
      <c r="B5250" t="s">
        <v>130</v>
      </c>
      <c r="C5250" t="s">
        <v>204</v>
      </c>
      <c r="D5250" t="s">
        <v>74</v>
      </c>
      <c r="E5250" t="s">
        <v>86</v>
      </c>
      <c r="F5250" s="55">
        <v>102</v>
      </c>
      <c r="G5250" s="63">
        <v>1.66E-2</v>
      </c>
    </row>
    <row r="5251" spans="1:7" x14ac:dyDescent="0.2">
      <c r="A5251" t="s">
        <v>71</v>
      </c>
      <c r="B5251" t="s">
        <v>130</v>
      </c>
      <c r="C5251" t="s">
        <v>204</v>
      </c>
      <c r="D5251" t="s">
        <v>74</v>
      </c>
      <c r="E5251" t="s">
        <v>87</v>
      </c>
      <c r="F5251" s="55">
        <v>111</v>
      </c>
      <c r="G5251" s="63">
        <v>1.84E-2</v>
      </c>
    </row>
    <row r="5252" spans="1:7" x14ac:dyDescent="0.2">
      <c r="A5252" t="s">
        <v>71</v>
      </c>
      <c r="B5252" t="s">
        <v>130</v>
      </c>
      <c r="C5252" t="s">
        <v>204</v>
      </c>
      <c r="D5252" t="s">
        <v>74</v>
      </c>
      <c r="E5252" t="s">
        <v>88</v>
      </c>
      <c r="F5252" s="55">
        <v>106</v>
      </c>
      <c r="G5252" s="63">
        <v>4.3E-3</v>
      </c>
    </row>
    <row r="5253" spans="1:7" x14ac:dyDescent="0.2">
      <c r="A5253" t="s">
        <v>71</v>
      </c>
      <c r="B5253" t="s">
        <v>12</v>
      </c>
      <c r="C5253" t="s">
        <v>204</v>
      </c>
      <c r="D5253" t="s">
        <v>74</v>
      </c>
      <c r="E5253" t="s">
        <v>75</v>
      </c>
      <c r="F5253" s="55">
        <v>113</v>
      </c>
      <c r="G5253" s="63">
        <v>0.2858</v>
      </c>
    </row>
    <row r="5254" spans="1:7" x14ac:dyDescent="0.2">
      <c r="A5254" t="s">
        <v>71</v>
      </c>
      <c r="B5254" t="s">
        <v>12</v>
      </c>
      <c r="C5254" t="s">
        <v>204</v>
      </c>
      <c r="D5254" t="s">
        <v>74</v>
      </c>
      <c r="E5254" t="s">
        <v>76</v>
      </c>
      <c r="F5254" s="55">
        <v>124</v>
      </c>
      <c r="G5254" s="63">
        <v>1.78E-2</v>
      </c>
    </row>
    <row r="5255" spans="1:7" x14ac:dyDescent="0.2">
      <c r="A5255" t="s">
        <v>71</v>
      </c>
      <c r="B5255" t="s">
        <v>12</v>
      </c>
      <c r="C5255" t="s">
        <v>204</v>
      </c>
      <c r="D5255" t="s">
        <v>74</v>
      </c>
      <c r="E5255" t="s">
        <v>77</v>
      </c>
      <c r="F5255" s="55">
        <v>106</v>
      </c>
      <c r="G5255" s="63">
        <v>7.8E-2</v>
      </c>
    </row>
    <row r="5256" spans="1:7" x14ac:dyDescent="0.2">
      <c r="A5256" t="s">
        <v>71</v>
      </c>
      <c r="B5256" t="s">
        <v>12</v>
      </c>
      <c r="C5256" t="s">
        <v>204</v>
      </c>
      <c r="D5256" t="s">
        <v>74</v>
      </c>
      <c r="E5256" t="s">
        <v>78</v>
      </c>
      <c r="F5256" s="55">
        <v>109</v>
      </c>
      <c r="G5256" s="63">
        <v>7.1099999999999997E-2</v>
      </c>
    </row>
    <row r="5257" spans="1:7" x14ac:dyDescent="0.2">
      <c r="A5257" t="s">
        <v>71</v>
      </c>
      <c r="B5257" t="s">
        <v>12</v>
      </c>
      <c r="C5257" t="s">
        <v>204</v>
      </c>
      <c r="D5257" t="s">
        <v>74</v>
      </c>
      <c r="E5257" t="s">
        <v>79</v>
      </c>
      <c r="F5257" s="55">
        <v>118</v>
      </c>
      <c r="G5257" s="63">
        <v>0.20169999999999999</v>
      </c>
    </row>
    <row r="5258" spans="1:7" x14ac:dyDescent="0.2">
      <c r="A5258" t="s">
        <v>71</v>
      </c>
      <c r="B5258" t="s">
        <v>12</v>
      </c>
      <c r="C5258" t="s">
        <v>204</v>
      </c>
      <c r="D5258" t="s">
        <v>74</v>
      </c>
      <c r="E5258" t="s">
        <v>80</v>
      </c>
      <c r="F5258" s="55">
        <v>113</v>
      </c>
      <c r="G5258" s="63">
        <v>0.1032</v>
      </c>
    </row>
    <row r="5259" spans="1:7" x14ac:dyDescent="0.2">
      <c r="A5259" t="s">
        <v>71</v>
      </c>
      <c r="B5259" t="s">
        <v>12</v>
      </c>
      <c r="C5259" t="s">
        <v>204</v>
      </c>
      <c r="D5259" t="s">
        <v>74</v>
      </c>
      <c r="E5259" t="s">
        <v>81</v>
      </c>
      <c r="F5259" s="55">
        <v>113</v>
      </c>
      <c r="G5259" s="63">
        <v>8.8999999999999996E-2</v>
      </c>
    </row>
    <row r="5260" spans="1:7" x14ac:dyDescent="0.2">
      <c r="A5260" t="s">
        <v>71</v>
      </c>
      <c r="B5260" t="s">
        <v>12</v>
      </c>
      <c r="C5260" t="s">
        <v>204</v>
      </c>
      <c r="D5260" t="s">
        <v>74</v>
      </c>
      <c r="E5260" t="s">
        <v>82</v>
      </c>
      <c r="F5260" s="55">
        <v>116</v>
      </c>
      <c r="G5260" s="63">
        <v>0.1162</v>
      </c>
    </row>
    <row r="5261" spans="1:7" x14ac:dyDescent="0.2">
      <c r="A5261" t="s">
        <v>71</v>
      </c>
      <c r="B5261" t="s">
        <v>12</v>
      </c>
      <c r="C5261" t="s">
        <v>204</v>
      </c>
      <c r="D5261" t="s">
        <v>74</v>
      </c>
      <c r="E5261" t="s">
        <v>83</v>
      </c>
      <c r="F5261" s="55">
        <v>118</v>
      </c>
      <c r="G5261" s="63">
        <v>2.0299999999999999E-2</v>
      </c>
    </row>
    <row r="5262" spans="1:7" x14ac:dyDescent="0.2">
      <c r="A5262" t="s">
        <v>71</v>
      </c>
      <c r="B5262" t="s">
        <v>12</v>
      </c>
      <c r="C5262" t="s">
        <v>204</v>
      </c>
      <c r="D5262" t="s">
        <v>74</v>
      </c>
      <c r="E5262" t="s">
        <v>84</v>
      </c>
      <c r="F5262" s="55">
        <v>109</v>
      </c>
      <c r="G5262" s="63">
        <v>5.2200000000000003E-2</v>
      </c>
    </row>
    <row r="5263" spans="1:7" x14ac:dyDescent="0.2">
      <c r="A5263" t="s">
        <v>71</v>
      </c>
      <c r="B5263" t="s">
        <v>12</v>
      </c>
      <c r="C5263" t="s">
        <v>204</v>
      </c>
      <c r="D5263" t="s">
        <v>74</v>
      </c>
      <c r="E5263" t="s">
        <v>85</v>
      </c>
      <c r="F5263" s="55">
        <v>116</v>
      </c>
      <c r="G5263" s="63">
        <v>0.1067</v>
      </c>
    </row>
    <row r="5264" spans="1:7" x14ac:dyDescent="0.2">
      <c r="A5264" t="s">
        <v>71</v>
      </c>
      <c r="B5264" t="s">
        <v>12</v>
      </c>
      <c r="C5264" t="s">
        <v>204</v>
      </c>
      <c r="D5264" t="s">
        <v>74</v>
      </c>
      <c r="E5264" t="s">
        <v>86</v>
      </c>
      <c r="F5264" s="55">
        <v>117</v>
      </c>
      <c r="G5264" s="63">
        <v>0.111</v>
      </c>
    </row>
    <row r="5265" spans="1:7" x14ac:dyDescent="0.2">
      <c r="A5265" t="s">
        <v>71</v>
      </c>
      <c r="B5265" t="s">
        <v>12</v>
      </c>
      <c r="C5265" t="s">
        <v>204</v>
      </c>
      <c r="D5265" t="s">
        <v>74</v>
      </c>
      <c r="E5265" t="s">
        <v>87</v>
      </c>
      <c r="F5265" s="55">
        <v>118</v>
      </c>
      <c r="G5265" s="63">
        <v>0.105</v>
      </c>
    </row>
    <row r="5266" spans="1:7" x14ac:dyDescent="0.2">
      <c r="A5266" t="s">
        <v>71</v>
      </c>
      <c r="B5266" t="s">
        <v>12</v>
      </c>
      <c r="C5266" t="s">
        <v>204</v>
      </c>
      <c r="D5266" t="s">
        <v>74</v>
      </c>
      <c r="E5266" t="s">
        <v>88</v>
      </c>
      <c r="F5266" s="55">
        <v>120</v>
      </c>
      <c r="G5266" s="63">
        <v>2.9899999999999999E-2</v>
      </c>
    </row>
    <row r="5267" spans="1:7" x14ac:dyDescent="0.2">
      <c r="A5267" t="s">
        <v>89</v>
      </c>
      <c r="B5267" t="s">
        <v>205</v>
      </c>
      <c r="C5267" t="s">
        <v>204</v>
      </c>
      <c r="D5267" t="s">
        <v>74</v>
      </c>
      <c r="E5267" t="s">
        <v>75</v>
      </c>
      <c r="F5267" s="55">
        <v>95</v>
      </c>
      <c r="G5267" s="63">
        <v>2.7000000000000001E-3</v>
      </c>
    </row>
    <row r="5268" spans="1:7" x14ac:dyDescent="0.2">
      <c r="A5268" t="s">
        <v>89</v>
      </c>
      <c r="B5268" t="s">
        <v>205</v>
      </c>
      <c r="C5268" t="s">
        <v>204</v>
      </c>
      <c r="D5268" t="s">
        <v>74</v>
      </c>
      <c r="E5268" t="s">
        <v>78</v>
      </c>
      <c r="F5268" s="55">
        <v>111</v>
      </c>
      <c r="G5268" s="63">
        <v>1.1000000000000001E-3</v>
      </c>
    </row>
    <row r="5269" spans="1:7" x14ac:dyDescent="0.2">
      <c r="A5269" t="s">
        <v>89</v>
      </c>
      <c r="B5269" t="s">
        <v>205</v>
      </c>
      <c r="C5269" t="s">
        <v>204</v>
      </c>
      <c r="D5269" t="s">
        <v>74</v>
      </c>
      <c r="E5269" t="s">
        <v>79</v>
      </c>
      <c r="F5269" s="55">
        <v>93</v>
      </c>
      <c r="G5269" s="63">
        <v>1.8E-3</v>
      </c>
    </row>
    <row r="5270" spans="1:7" x14ac:dyDescent="0.2">
      <c r="A5270" t="s">
        <v>89</v>
      </c>
      <c r="B5270" t="s">
        <v>205</v>
      </c>
      <c r="C5270" t="s">
        <v>204</v>
      </c>
      <c r="D5270" t="s">
        <v>74</v>
      </c>
      <c r="E5270" t="s">
        <v>82</v>
      </c>
      <c r="F5270" s="55">
        <v>95</v>
      </c>
      <c r="G5270" s="63">
        <v>1.2999999999999999E-3</v>
      </c>
    </row>
    <row r="5271" spans="1:7" x14ac:dyDescent="0.2">
      <c r="A5271" t="s">
        <v>89</v>
      </c>
      <c r="B5271" t="s">
        <v>205</v>
      </c>
      <c r="C5271" t="s">
        <v>204</v>
      </c>
      <c r="D5271" t="s">
        <v>74</v>
      </c>
      <c r="E5271" t="s">
        <v>84</v>
      </c>
      <c r="F5271" s="55">
        <v>144</v>
      </c>
      <c r="G5271" s="63">
        <v>8.0000000000000004E-4</v>
      </c>
    </row>
    <row r="5272" spans="1:7" x14ac:dyDescent="0.2">
      <c r="A5272" t="s">
        <v>89</v>
      </c>
      <c r="B5272" t="s">
        <v>205</v>
      </c>
      <c r="C5272" t="s">
        <v>204</v>
      </c>
      <c r="D5272" t="s">
        <v>74</v>
      </c>
      <c r="E5272" t="s">
        <v>87</v>
      </c>
      <c r="F5272" s="55">
        <v>94</v>
      </c>
      <c r="G5272" s="63">
        <v>1E-3</v>
      </c>
    </row>
    <row r="5273" spans="1:7" x14ac:dyDescent="0.2">
      <c r="A5273" t="s">
        <v>89</v>
      </c>
      <c r="B5273" t="s">
        <v>206</v>
      </c>
      <c r="C5273" t="s">
        <v>204</v>
      </c>
      <c r="D5273" t="s">
        <v>74</v>
      </c>
      <c r="E5273" t="s">
        <v>75</v>
      </c>
      <c r="F5273" s="55">
        <v>102</v>
      </c>
      <c r="G5273" s="63">
        <v>0.19989999999999999</v>
      </c>
    </row>
    <row r="5274" spans="1:7" x14ac:dyDescent="0.2">
      <c r="A5274" t="s">
        <v>89</v>
      </c>
      <c r="B5274" t="s">
        <v>206</v>
      </c>
      <c r="C5274" t="s">
        <v>204</v>
      </c>
      <c r="D5274" t="s">
        <v>74</v>
      </c>
      <c r="E5274" t="s">
        <v>76</v>
      </c>
      <c r="F5274" s="55">
        <v>72</v>
      </c>
      <c r="G5274" s="63">
        <v>1.7600000000000001E-2</v>
      </c>
    </row>
    <row r="5275" spans="1:7" x14ac:dyDescent="0.2">
      <c r="A5275" t="s">
        <v>89</v>
      </c>
      <c r="B5275" t="s">
        <v>206</v>
      </c>
      <c r="C5275" t="s">
        <v>204</v>
      </c>
      <c r="D5275" t="s">
        <v>74</v>
      </c>
      <c r="E5275" t="s">
        <v>77</v>
      </c>
      <c r="F5275" s="55">
        <v>91</v>
      </c>
      <c r="G5275" s="63">
        <v>5.33E-2</v>
      </c>
    </row>
    <row r="5276" spans="1:7" x14ac:dyDescent="0.2">
      <c r="A5276" t="s">
        <v>89</v>
      </c>
      <c r="B5276" t="s">
        <v>206</v>
      </c>
      <c r="C5276" t="s">
        <v>204</v>
      </c>
      <c r="D5276" t="s">
        <v>74</v>
      </c>
      <c r="E5276" t="s">
        <v>78</v>
      </c>
      <c r="F5276" s="55">
        <v>101</v>
      </c>
      <c r="G5276" s="63">
        <v>6.6900000000000001E-2</v>
      </c>
    </row>
    <row r="5277" spans="1:7" x14ac:dyDescent="0.2">
      <c r="A5277" t="s">
        <v>89</v>
      </c>
      <c r="B5277" t="s">
        <v>206</v>
      </c>
      <c r="C5277" t="s">
        <v>204</v>
      </c>
      <c r="D5277" t="s">
        <v>74</v>
      </c>
      <c r="E5277" t="s">
        <v>79</v>
      </c>
      <c r="F5277" s="55">
        <v>105</v>
      </c>
      <c r="G5277" s="63">
        <v>0.1172</v>
      </c>
    </row>
    <row r="5278" spans="1:7" x14ac:dyDescent="0.2">
      <c r="A5278" t="s">
        <v>89</v>
      </c>
      <c r="B5278" t="s">
        <v>206</v>
      </c>
      <c r="C5278" t="s">
        <v>204</v>
      </c>
      <c r="D5278" t="s">
        <v>74</v>
      </c>
      <c r="E5278" t="s">
        <v>80</v>
      </c>
      <c r="F5278" s="55">
        <v>98</v>
      </c>
      <c r="G5278" s="63">
        <v>1.9300000000000001E-2</v>
      </c>
    </row>
    <row r="5279" spans="1:7" x14ac:dyDescent="0.2">
      <c r="A5279" t="s">
        <v>89</v>
      </c>
      <c r="B5279" t="s">
        <v>206</v>
      </c>
      <c r="C5279" t="s">
        <v>204</v>
      </c>
      <c r="D5279" t="s">
        <v>74</v>
      </c>
      <c r="E5279" t="s">
        <v>81</v>
      </c>
      <c r="F5279" s="55">
        <v>91</v>
      </c>
      <c r="G5279" s="63">
        <v>2.0500000000000001E-2</v>
      </c>
    </row>
    <row r="5280" spans="1:7" x14ac:dyDescent="0.2">
      <c r="A5280" t="s">
        <v>89</v>
      </c>
      <c r="B5280" t="s">
        <v>206</v>
      </c>
      <c r="C5280" t="s">
        <v>204</v>
      </c>
      <c r="D5280" t="s">
        <v>74</v>
      </c>
      <c r="E5280" t="s">
        <v>82</v>
      </c>
      <c r="F5280" s="55">
        <v>105</v>
      </c>
      <c r="G5280" s="63">
        <v>0.1014</v>
      </c>
    </row>
    <row r="5281" spans="1:7" x14ac:dyDescent="0.2">
      <c r="A5281" t="s">
        <v>89</v>
      </c>
      <c r="B5281" t="s">
        <v>206</v>
      </c>
      <c r="C5281" t="s">
        <v>204</v>
      </c>
      <c r="D5281" t="s">
        <v>74</v>
      </c>
      <c r="E5281" t="s">
        <v>83</v>
      </c>
      <c r="F5281" s="55">
        <v>74</v>
      </c>
      <c r="G5281" s="63">
        <v>8.3999999999999995E-3</v>
      </c>
    </row>
    <row r="5282" spans="1:7" x14ac:dyDescent="0.2">
      <c r="A5282" t="s">
        <v>89</v>
      </c>
      <c r="B5282" t="s">
        <v>206</v>
      </c>
      <c r="C5282" t="s">
        <v>204</v>
      </c>
      <c r="D5282" t="s">
        <v>74</v>
      </c>
      <c r="E5282" t="s">
        <v>84</v>
      </c>
      <c r="F5282" s="55">
        <v>100</v>
      </c>
      <c r="G5282" s="63">
        <v>4.5699999999999998E-2</v>
      </c>
    </row>
    <row r="5283" spans="1:7" x14ac:dyDescent="0.2">
      <c r="A5283" t="s">
        <v>89</v>
      </c>
      <c r="B5283" t="s">
        <v>206</v>
      </c>
      <c r="C5283" t="s">
        <v>204</v>
      </c>
      <c r="D5283" t="s">
        <v>74</v>
      </c>
      <c r="E5283" t="s">
        <v>85</v>
      </c>
      <c r="F5283" s="55">
        <v>104</v>
      </c>
      <c r="G5283" s="63">
        <v>2.1399999999999999E-2</v>
      </c>
    </row>
    <row r="5284" spans="1:7" x14ac:dyDescent="0.2">
      <c r="A5284" t="s">
        <v>89</v>
      </c>
      <c r="B5284" t="s">
        <v>206</v>
      </c>
      <c r="C5284" t="s">
        <v>204</v>
      </c>
      <c r="D5284" t="s">
        <v>74</v>
      </c>
      <c r="E5284" t="s">
        <v>86</v>
      </c>
      <c r="F5284" s="55">
        <v>104</v>
      </c>
      <c r="G5284" s="63">
        <v>3.4700000000000002E-2</v>
      </c>
    </row>
    <row r="5285" spans="1:7" x14ac:dyDescent="0.2">
      <c r="A5285" t="s">
        <v>89</v>
      </c>
      <c r="B5285" t="s">
        <v>206</v>
      </c>
      <c r="C5285" t="s">
        <v>204</v>
      </c>
      <c r="D5285" t="s">
        <v>74</v>
      </c>
      <c r="E5285" t="s">
        <v>87</v>
      </c>
      <c r="F5285" s="55">
        <v>105</v>
      </c>
      <c r="G5285" s="63">
        <v>5.1200000000000002E-2</v>
      </c>
    </row>
    <row r="5286" spans="1:7" x14ac:dyDescent="0.2">
      <c r="A5286" t="s">
        <v>89</v>
      </c>
      <c r="B5286" t="s">
        <v>206</v>
      </c>
      <c r="C5286" t="s">
        <v>204</v>
      </c>
      <c r="D5286" t="s">
        <v>74</v>
      </c>
      <c r="E5286" t="s">
        <v>88</v>
      </c>
      <c r="F5286" s="55">
        <v>92</v>
      </c>
      <c r="G5286" s="63">
        <v>3.1600000000000003E-2</v>
      </c>
    </row>
    <row r="5287" spans="1:7" x14ac:dyDescent="0.2">
      <c r="A5287" t="s">
        <v>71</v>
      </c>
      <c r="B5287" t="s">
        <v>132</v>
      </c>
      <c r="C5287" t="s">
        <v>204</v>
      </c>
      <c r="D5287" t="s">
        <v>74</v>
      </c>
      <c r="E5287" t="s">
        <v>75</v>
      </c>
      <c r="F5287" s="55">
        <v>86</v>
      </c>
      <c r="G5287" s="63">
        <v>0.16439999999999999</v>
      </c>
    </row>
    <row r="5288" spans="1:7" x14ac:dyDescent="0.2">
      <c r="A5288" t="s">
        <v>71</v>
      </c>
      <c r="B5288" t="s">
        <v>132</v>
      </c>
      <c r="C5288" t="s">
        <v>204</v>
      </c>
      <c r="D5288" t="s">
        <v>74</v>
      </c>
      <c r="E5288" t="s">
        <v>76</v>
      </c>
      <c r="F5288" s="55">
        <v>75</v>
      </c>
      <c r="G5288" s="63">
        <v>1.15E-2</v>
      </c>
    </row>
    <row r="5289" spans="1:7" x14ac:dyDescent="0.2">
      <c r="A5289" t="s">
        <v>71</v>
      </c>
      <c r="B5289" t="s">
        <v>132</v>
      </c>
      <c r="C5289" t="s">
        <v>204</v>
      </c>
      <c r="D5289" t="s">
        <v>74</v>
      </c>
      <c r="E5289" t="s">
        <v>77</v>
      </c>
      <c r="F5289" s="55">
        <v>92</v>
      </c>
      <c r="G5289" s="63">
        <v>5.5500000000000001E-2</v>
      </c>
    </row>
    <row r="5290" spans="1:7" x14ac:dyDescent="0.2">
      <c r="A5290" t="s">
        <v>71</v>
      </c>
      <c r="B5290" t="s">
        <v>132</v>
      </c>
      <c r="C5290" t="s">
        <v>204</v>
      </c>
      <c r="D5290" t="s">
        <v>74</v>
      </c>
      <c r="E5290" t="s">
        <v>78</v>
      </c>
      <c r="F5290" s="55">
        <v>91</v>
      </c>
      <c r="G5290" s="63">
        <v>6.4399999999999999E-2</v>
      </c>
    </row>
    <row r="5291" spans="1:7" x14ac:dyDescent="0.2">
      <c r="A5291" t="s">
        <v>71</v>
      </c>
      <c r="B5291" t="s">
        <v>132</v>
      </c>
      <c r="C5291" t="s">
        <v>204</v>
      </c>
      <c r="D5291" t="s">
        <v>74</v>
      </c>
      <c r="E5291" t="s">
        <v>79</v>
      </c>
      <c r="F5291" s="55">
        <v>82</v>
      </c>
      <c r="G5291" s="63">
        <v>0.1023</v>
      </c>
    </row>
    <row r="5292" spans="1:7" x14ac:dyDescent="0.2">
      <c r="A5292" t="s">
        <v>71</v>
      </c>
      <c r="B5292" t="s">
        <v>132</v>
      </c>
      <c r="C5292" t="s">
        <v>204</v>
      </c>
      <c r="D5292" t="s">
        <v>74</v>
      </c>
      <c r="E5292" t="s">
        <v>80</v>
      </c>
      <c r="F5292" s="55">
        <v>95</v>
      </c>
      <c r="G5292" s="63">
        <v>0.02</v>
      </c>
    </row>
    <row r="5293" spans="1:7" x14ac:dyDescent="0.2">
      <c r="A5293" t="s">
        <v>71</v>
      </c>
      <c r="B5293" t="s">
        <v>132</v>
      </c>
      <c r="C5293" t="s">
        <v>204</v>
      </c>
      <c r="D5293" t="s">
        <v>74</v>
      </c>
      <c r="E5293" t="s">
        <v>81</v>
      </c>
      <c r="F5293" s="55">
        <v>105</v>
      </c>
      <c r="G5293" s="63">
        <v>1.6799999999999999E-2</v>
      </c>
    </row>
    <row r="5294" spans="1:7" x14ac:dyDescent="0.2">
      <c r="A5294" t="s">
        <v>71</v>
      </c>
      <c r="B5294" t="s">
        <v>132</v>
      </c>
      <c r="C5294" t="s">
        <v>204</v>
      </c>
      <c r="D5294" t="s">
        <v>74</v>
      </c>
      <c r="E5294" t="s">
        <v>82</v>
      </c>
      <c r="F5294" s="55">
        <v>81</v>
      </c>
      <c r="G5294" s="63">
        <v>6.9000000000000006E-2</v>
      </c>
    </row>
    <row r="5295" spans="1:7" x14ac:dyDescent="0.2">
      <c r="A5295" t="s">
        <v>71</v>
      </c>
      <c r="B5295" t="s">
        <v>132</v>
      </c>
      <c r="C5295" t="s">
        <v>204</v>
      </c>
      <c r="D5295" t="s">
        <v>74</v>
      </c>
      <c r="E5295" t="s">
        <v>83</v>
      </c>
      <c r="F5295" s="55">
        <v>109</v>
      </c>
      <c r="G5295" s="63">
        <v>6.4000000000000003E-3</v>
      </c>
    </row>
    <row r="5296" spans="1:7" x14ac:dyDescent="0.2">
      <c r="A5296" t="s">
        <v>71</v>
      </c>
      <c r="B5296" t="s">
        <v>132</v>
      </c>
      <c r="C5296" t="s">
        <v>204</v>
      </c>
      <c r="D5296" t="s">
        <v>74</v>
      </c>
      <c r="E5296" t="s">
        <v>84</v>
      </c>
      <c r="F5296" s="55">
        <v>92</v>
      </c>
      <c r="G5296" s="63">
        <v>4.8800000000000003E-2</v>
      </c>
    </row>
    <row r="5297" spans="1:7" x14ac:dyDescent="0.2">
      <c r="A5297" t="s">
        <v>71</v>
      </c>
      <c r="B5297" t="s">
        <v>132</v>
      </c>
      <c r="C5297" t="s">
        <v>204</v>
      </c>
      <c r="D5297" t="s">
        <v>74</v>
      </c>
      <c r="E5297" t="s">
        <v>85</v>
      </c>
      <c r="F5297" s="55">
        <v>80</v>
      </c>
      <c r="G5297" s="63">
        <v>2.5499999999999998E-2</v>
      </c>
    </row>
    <row r="5298" spans="1:7" x14ac:dyDescent="0.2">
      <c r="A5298" t="s">
        <v>71</v>
      </c>
      <c r="B5298" t="s">
        <v>132</v>
      </c>
      <c r="C5298" t="s">
        <v>204</v>
      </c>
      <c r="D5298" t="s">
        <v>74</v>
      </c>
      <c r="E5298" t="s">
        <v>86</v>
      </c>
      <c r="F5298" s="55">
        <v>82</v>
      </c>
      <c r="G5298" s="63">
        <v>3.9899999999999998E-2</v>
      </c>
    </row>
    <row r="5299" spans="1:7" x14ac:dyDescent="0.2">
      <c r="A5299" t="s">
        <v>71</v>
      </c>
      <c r="B5299" t="s">
        <v>132</v>
      </c>
      <c r="C5299" t="s">
        <v>204</v>
      </c>
      <c r="D5299" t="s">
        <v>74</v>
      </c>
      <c r="E5299" t="s">
        <v>87</v>
      </c>
      <c r="F5299" s="55">
        <v>80</v>
      </c>
      <c r="G5299" s="63">
        <v>5.0700000000000002E-2</v>
      </c>
    </row>
    <row r="5300" spans="1:7" x14ac:dyDescent="0.2">
      <c r="A5300" t="s">
        <v>71</v>
      </c>
      <c r="B5300" t="s">
        <v>132</v>
      </c>
      <c r="C5300" t="s">
        <v>204</v>
      </c>
      <c r="D5300" t="s">
        <v>74</v>
      </c>
      <c r="E5300" t="s">
        <v>88</v>
      </c>
      <c r="F5300" s="55">
        <v>87</v>
      </c>
      <c r="G5300" s="63">
        <v>2.1499999999999998E-2</v>
      </c>
    </row>
    <row r="5301" spans="1:7" x14ac:dyDescent="0.2">
      <c r="A5301" t="s">
        <v>89</v>
      </c>
      <c r="B5301" t="s">
        <v>207</v>
      </c>
      <c r="C5301" t="s">
        <v>204</v>
      </c>
      <c r="D5301" t="s">
        <v>74</v>
      </c>
      <c r="E5301" t="s">
        <v>75</v>
      </c>
      <c r="F5301" s="55">
        <v>82</v>
      </c>
      <c r="G5301" s="63">
        <v>0.20369999999999999</v>
      </c>
    </row>
    <row r="5302" spans="1:7" x14ac:dyDescent="0.2">
      <c r="A5302" t="s">
        <v>89</v>
      </c>
      <c r="B5302" t="s">
        <v>207</v>
      </c>
      <c r="C5302" t="s">
        <v>204</v>
      </c>
      <c r="D5302" t="s">
        <v>74</v>
      </c>
      <c r="E5302" t="s">
        <v>76</v>
      </c>
      <c r="F5302" s="55">
        <v>95</v>
      </c>
      <c r="G5302" s="63">
        <v>1.55E-2</v>
      </c>
    </row>
    <row r="5303" spans="1:7" x14ac:dyDescent="0.2">
      <c r="A5303" t="s">
        <v>89</v>
      </c>
      <c r="B5303" t="s">
        <v>207</v>
      </c>
      <c r="C5303" t="s">
        <v>204</v>
      </c>
      <c r="D5303" t="s">
        <v>74</v>
      </c>
      <c r="E5303" t="s">
        <v>77</v>
      </c>
      <c r="F5303" s="55">
        <v>87</v>
      </c>
      <c r="G5303" s="63">
        <v>4.7300000000000002E-2</v>
      </c>
    </row>
    <row r="5304" spans="1:7" x14ac:dyDescent="0.2">
      <c r="A5304" t="s">
        <v>89</v>
      </c>
      <c r="B5304" t="s">
        <v>207</v>
      </c>
      <c r="C5304" t="s">
        <v>204</v>
      </c>
      <c r="D5304" t="s">
        <v>74</v>
      </c>
      <c r="E5304" t="s">
        <v>78</v>
      </c>
      <c r="F5304" s="55">
        <v>82</v>
      </c>
      <c r="G5304" s="63">
        <v>7.2499999999999995E-2</v>
      </c>
    </row>
    <row r="5305" spans="1:7" x14ac:dyDescent="0.2">
      <c r="A5305" t="s">
        <v>89</v>
      </c>
      <c r="B5305" t="s">
        <v>207</v>
      </c>
      <c r="C5305" t="s">
        <v>204</v>
      </c>
      <c r="D5305" t="s">
        <v>74</v>
      </c>
      <c r="E5305" t="s">
        <v>79</v>
      </c>
      <c r="F5305" s="55">
        <v>81</v>
      </c>
      <c r="G5305" s="63">
        <v>0.1328</v>
      </c>
    </row>
    <row r="5306" spans="1:7" x14ac:dyDescent="0.2">
      <c r="A5306" t="s">
        <v>89</v>
      </c>
      <c r="B5306" t="s">
        <v>207</v>
      </c>
      <c r="C5306" t="s">
        <v>204</v>
      </c>
      <c r="D5306" t="s">
        <v>74</v>
      </c>
      <c r="E5306" t="s">
        <v>80</v>
      </c>
      <c r="F5306" s="55">
        <v>82</v>
      </c>
      <c r="G5306" s="63">
        <v>2.07E-2</v>
      </c>
    </row>
    <row r="5307" spans="1:7" x14ac:dyDescent="0.2">
      <c r="A5307" t="s">
        <v>89</v>
      </c>
      <c r="B5307" t="s">
        <v>207</v>
      </c>
      <c r="C5307" t="s">
        <v>204</v>
      </c>
      <c r="D5307" t="s">
        <v>74</v>
      </c>
      <c r="E5307" t="s">
        <v>81</v>
      </c>
      <c r="F5307" s="55">
        <v>80</v>
      </c>
      <c r="G5307" s="63">
        <v>2.01E-2</v>
      </c>
    </row>
    <row r="5308" spans="1:7" x14ac:dyDescent="0.2">
      <c r="A5308" t="s">
        <v>89</v>
      </c>
      <c r="B5308" t="s">
        <v>207</v>
      </c>
      <c r="C5308" t="s">
        <v>204</v>
      </c>
      <c r="D5308" t="s">
        <v>74</v>
      </c>
      <c r="E5308" t="s">
        <v>82</v>
      </c>
      <c r="F5308" s="55">
        <v>85</v>
      </c>
      <c r="G5308" s="63">
        <v>0.1052</v>
      </c>
    </row>
    <row r="5309" spans="1:7" x14ac:dyDescent="0.2">
      <c r="A5309" t="s">
        <v>89</v>
      </c>
      <c r="B5309" t="s">
        <v>207</v>
      </c>
      <c r="C5309" t="s">
        <v>204</v>
      </c>
      <c r="D5309" t="s">
        <v>74</v>
      </c>
      <c r="E5309" t="s">
        <v>83</v>
      </c>
      <c r="F5309" s="55">
        <v>93</v>
      </c>
      <c r="G5309" s="63">
        <v>6.7000000000000002E-3</v>
      </c>
    </row>
    <row r="5310" spans="1:7" x14ac:dyDescent="0.2">
      <c r="A5310" t="s">
        <v>89</v>
      </c>
      <c r="B5310" t="s">
        <v>207</v>
      </c>
      <c r="C5310" t="s">
        <v>204</v>
      </c>
      <c r="D5310" t="s">
        <v>74</v>
      </c>
      <c r="E5310" t="s">
        <v>84</v>
      </c>
      <c r="F5310" s="55">
        <v>82</v>
      </c>
      <c r="G5310" s="63">
        <v>5.2600000000000001E-2</v>
      </c>
    </row>
    <row r="5311" spans="1:7" x14ac:dyDescent="0.2">
      <c r="A5311" t="s">
        <v>89</v>
      </c>
      <c r="B5311" t="s">
        <v>207</v>
      </c>
      <c r="C5311" t="s">
        <v>204</v>
      </c>
      <c r="D5311" t="s">
        <v>74</v>
      </c>
      <c r="E5311" t="s">
        <v>85</v>
      </c>
      <c r="F5311" s="55">
        <v>82</v>
      </c>
      <c r="G5311" s="63">
        <v>2.7099999999999999E-2</v>
      </c>
    </row>
    <row r="5312" spans="1:7" x14ac:dyDescent="0.2">
      <c r="A5312" t="s">
        <v>89</v>
      </c>
      <c r="B5312" t="s">
        <v>207</v>
      </c>
      <c r="C5312" t="s">
        <v>204</v>
      </c>
      <c r="D5312" t="s">
        <v>74</v>
      </c>
      <c r="E5312" t="s">
        <v>86</v>
      </c>
      <c r="F5312" s="55">
        <v>81</v>
      </c>
      <c r="G5312" s="63">
        <v>4.8399999999999999E-2</v>
      </c>
    </row>
    <row r="5313" spans="1:7" x14ac:dyDescent="0.2">
      <c r="A5313" t="s">
        <v>89</v>
      </c>
      <c r="B5313" t="s">
        <v>207</v>
      </c>
      <c r="C5313" t="s">
        <v>204</v>
      </c>
      <c r="D5313" t="s">
        <v>74</v>
      </c>
      <c r="E5313" t="s">
        <v>87</v>
      </c>
      <c r="F5313" s="55">
        <v>80</v>
      </c>
      <c r="G5313" s="63">
        <v>6.6299999999999998E-2</v>
      </c>
    </row>
    <row r="5314" spans="1:7" x14ac:dyDescent="0.2">
      <c r="A5314" t="s">
        <v>89</v>
      </c>
      <c r="B5314" t="s">
        <v>207</v>
      </c>
      <c r="C5314" t="s">
        <v>204</v>
      </c>
      <c r="D5314" t="s">
        <v>74</v>
      </c>
      <c r="E5314" t="s">
        <v>88</v>
      </c>
      <c r="F5314" s="55">
        <v>94</v>
      </c>
      <c r="G5314" s="63">
        <v>2.5399999999999999E-2</v>
      </c>
    </row>
    <row r="5315" spans="1:7" x14ac:dyDescent="0.2">
      <c r="A5315" t="s">
        <v>71</v>
      </c>
      <c r="B5315" t="s">
        <v>133</v>
      </c>
      <c r="C5315" t="s">
        <v>204</v>
      </c>
      <c r="D5315" t="s">
        <v>74</v>
      </c>
      <c r="E5315" t="s">
        <v>75</v>
      </c>
      <c r="F5315" s="55">
        <v>90</v>
      </c>
      <c r="G5315" s="63">
        <v>6.3700000000000007E-2</v>
      </c>
    </row>
    <row r="5316" spans="1:7" x14ac:dyDescent="0.2">
      <c r="A5316" t="s">
        <v>71</v>
      </c>
      <c r="B5316" t="s">
        <v>133</v>
      </c>
      <c r="C5316" t="s">
        <v>204</v>
      </c>
      <c r="D5316" t="s">
        <v>74</v>
      </c>
      <c r="E5316" t="s">
        <v>76</v>
      </c>
      <c r="F5316" s="55">
        <v>94</v>
      </c>
      <c r="G5316" s="63">
        <v>3.7000000000000002E-3</v>
      </c>
    </row>
    <row r="5317" spans="1:7" x14ac:dyDescent="0.2">
      <c r="A5317" t="s">
        <v>71</v>
      </c>
      <c r="B5317" t="s">
        <v>133</v>
      </c>
      <c r="C5317" t="s">
        <v>204</v>
      </c>
      <c r="D5317" t="s">
        <v>74</v>
      </c>
      <c r="E5317" t="s">
        <v>77</v>
      </c>
      <c r="F5317" s="55">
        <v>69</v>
      </c>
      <c r="G5317" s="63">
        <v>1.21E-2</v>
      </c>
    </row>
    <row r="5318" spans="1:7" x14ac:dyDescent="0.2">
      <c r="A5318" t="s">
        <v>71</v>
      </c>
      <c r="B5318" t="s">
        <v>133</v>
      </c>
      <c r="C5318" t="s">
        <v>204</v>
      </c>
      <c r="D5318" t="s">
        <v>74</v>
      </c>
      <c r="E5318" t="s">
        <v>78</v>
      </c>
      <c r="F5318" s="55">
        <v>103</v>
      </c>
      <c r="G5318" s="63">
        <v>1.34E-2</v>
      </c>
    </row>
    <row r="5319" spans="1:7" x14ac:dyDescent="0.2">
      <c r="A5319" t="s">
        <v>71</v>
      </c>
      <c r="B5319" t="s">
        <v>133</v>
      </c>
      <c r="C5319" t="s">
        <v>204</v>
      </c>
      <c r="D5319" t="s">
        <v>74</v>
      </c>
      <c r="E5319" t="s">
        <v>79</v>
      </c>
      <c r="F5319" s="55">
        <v>95</v>
      </c>
      <c r="G5319" s="63">
        <v>4.1000000000000002E-2</v>
      </c>
    </row>
    <row r="5320" spans="1:7" x14ac:dyDescent="0.2">
      <c r="A5320" t="s">
        <v>71</v>
      </c>
      <c r="B5320" t="s">
        <v>133</v>
      </c>
      <c r="C5320" t="s">
        <v>204</v>
      </c>
      <c r="D5320" t="s">
        <v>74</v>
      </c>
      <c r="E5320" t="s">
        <v>80</v>
      </c>
      <c r="F5320" s="55">
        <v>86</v>
      </c>
      <c r="G5320" s="63">
        <v>8.8000000000000005E-3</v>
      </c>
    </row>
    <row r="5321" spans="1:7" x14ac:dyDescent="0.2">
      <c r="A5321" t="s">
        <v>71</v>
      </c>
      <c r="B5321" t="s">
        <v>133</v>
      </c>
      <c r="C5321" t="s">
        <v>204</v>
      </c>
      <c r="D5321" t="s">
        <v>74</v>
      </c>
      <c r="E5321" t="s">
        <v>81</v>
      </c>
      <c r="F5321" s="55">
        <v>106</v>
      </c>
      <c r="G5321" s="63">
        <v>9.7999999999999997E-3</v>
      </c>
    </row>
    <row r="5322" spans="1:7" x14ac:dyDescent="0.2">
      <c r="A5322" t="s">
        <v>71</v>
      </c>
      <c r="B5322" t="s">
        <v>133</v>
      </c>
      <c r="C5322" t="s">
        <v>204</v>
      </c>
      <c r="D5322" t="s">
        <v>74</v>
      </c>
      <c r="E5322" t="s">
        <v>82</v>
      </c>
      <c r="F5322" s="55">
        <v>88</v>
      </c>
      <c r="G5322" s="63">
        <v>1.49E-2</v>
      </c>
    </row>
    <row r="5323" spans="1:7" x14ac:dyDescent="0.2">
      <c r="A5323" t="s">
        <v>71</v>
      </c>
      <c r="B5323" t="s">
        <v>133</v>
      </c>
      <c r="C5323" t="s">
        <v>204</v>
      </c>
      <c r="D5323" t="s">
        <v>74</v>
      </c>
      <c r="E5323" t="s">
        <v>83</v>
      </c>
      <c r="F5323" s="55">
        <v>105</v>
      </c>
      <c r="G5323" s="63">
        <v>2.8E-3</v>
      </c>
    </row>
    <row r="5324" spans="1:7" x14ac:dyDescent="0.2">
      <c r="A5324" t="s">
        <v>71</v>
      </c>
      <c r="B5324" t="s">
        <v>133</v>
      </c>
      <c r="C5324" t="s">
        <v>204</v>
      </c>
      <c r="D5324" t="s">
        <v>74</v>
      </c>
      <c r="E5324" t="s">
        <v>84</v>
      </c>
      <c r="F5324" s="55">
        <v>103</v>
      </c>
      <c r="G5324" s="63">
        <v>6.8999999999999999E-3</v>
      </c>
    </row>
    <row r="5325" spans="1:7" x14ac:dyDescent="0.2">
      <c r="A5325" t="s">
        <v>71</v>
      </c>
      <c r="B5325" t="s">
        <v>133</v>
      </c>
      <c r="C5325" t="s">
        <v>204</v>
      </c>
      <c r="D5325" t="s">
        <v>74</v>
      </c>
      <c r="E5325" t="s">
        <v>85</v>
      </c>
      <c r="F5325" s="55">
        <v>91</v>
      </c>
      <c r="G5325" s="63">
        <v>7.6E-3</v>
      </c>
    </row>
    <row r="5326" spans="1:7" x14ac:dyDescent="0.2">
      <c r="A5326" t="s">
        <v>71</v>
      </c>
      <c r="B5326" t="s">
        <v>133</v>
      </c>
      <c r="C5326" t="s">
        <v>204</v>
      </c>
      <c r="D5326" t="s">
        <v>74</v>
      </c>
      <c r="E5326" t="s">
        <v>86</v>
      </c>
      <c r="F5326" s="55">
        <v>91</v>
      </c>
      <c r="G5326" s="63">
        <v>1.18E-2</v>
      </c>
    </row>
    <row r="5327" spans="1:7" x14ac:dyDescent="0.2">
      <c r="A5327" t="s">
        <v>71</v>
      </c>
      <c r="B5327" t="s">
        <v>133</v>
      </c>
      <c r="C5327" t="s">
        <v>204</v>
      </c>
      <c r="D5327" t="s">
        <v>74</v>
      </c>
      <c r="E5327" t="s">
        <v>87</v>
      </c>
      <c r="F5327" s="55">
        <v>98</v>
      </c>
      <c r="G5327" s="63">
        <v>1.6199999999999999E-2</v>
      </c>
    </row>
    <row r="5328" spans="1:7" x14ac:dyDescent="0.2">
      <c r="A5328" t="s">
        <v>71</v>
      </c>
      <c r="B5328" t="s">
        <v>133</v>
      </c>
      <c r="C5328" t="s">
        <v>204</v>
      </c>
      <c r="D5328" t="s">
        <v>74</v>
      </c>
      <c r="E5328" t="s">
        <v>88</v>
      </c>
      <c r="F5328" s="55">
        <v>100</v>
      </c>
      <c r="G5328" s="63">
        <v>6.4000000000000003E-3</v>
      </c>
    </row>
    <row r="5329" spans="1:7" x14ac:dyDescent="0.2">
      <c r="A5329" t="s">
        <v>89</v>
      </c>
      <c r="B5329" t="s">
        <v>134</v>
      </c>
      <c r="C5329" t="s">
        <v>204</v>
      </c>
      <c r="D5329" t="s">
        <v>74</v>
      </c>
      <c r="E5329" t="s">
        <v>75</v>
      </c>
      <c r="F5329" s="55">
        <v>113</v>
      </c>
      <c r="G5329" s="63">
        <v>9.1200000000000003E-2</v>
      </c>
    </row>
    <row r="5330" spans="1:7" x14ac:dyDescent="0.2">
      <c r="A5330" t="s">
        <v>89</v>
      </c>
      <c r="B5330" t="s">
        <v>134</v>
      </c>
      <c r="C5330" t="s">
        <v>204</v>
      </c>
      <c r="D5330" t="s">
        <v>74</v>
      </c>
      <c r="E5330" t="s">
        <v>76</v>
      </c>
      <c r="F5330" s="55">
        <v>107</v>
      </c>
      <c r="G5330" s="63">
        <v>1.38E-2</v>
      </c>
    </row>
    <row r="5331" spans="1:7" x14ac:dyDescent="0.2">
      <c r="A5331" t="s">
        <v>89</v>
      </c>
      <c r="B5331" t="s">
        <v>134</v>
      </c>
      <c r="C5331" t="s">
        <v>204</v>
      </c>
      <c r="D5331" t="s">
        <v>74</v>
      </c>
      <c r="E5331" t="s">
        <v>77</v>
      </c>
      <c r="F5331" s="55">
        <v>122</v>
      </c>
      <c r="G5331" s="63">
        <v>3.85E-2</v>
      </c>
    </row>
    <row r="5332" spans="1:7" x14ac:dyDescent="0.2">
      <c r="A5332" t="s">
        <v>89</v>
      </c>
      <c r="B5332" t="s">
        <v>134</v>
      </c>
      <c r="C5332" t="s">
        <v>204</v>
      </c>
      <c r="D5332" t="s">
        <v>74</v>
      </c>
      <c r="E5332" t="s">
        <v>78</v>
      </c>
      <c r="F5332" s="55">
        <v>121</v>
      </c>
      <c r="G5332" s="63">
        <v>2.9499999999999998E-2</v>
      </c>
    </row>
    <row r="5333" spans="1:7" x14ac:dyDescent="0.2">
      <c r="A5333" t="s">
        <v>89</v>
      </c>
      <c r="B5333" t="s">
        <v>134</v>
      </c>
      <c r="C5333" t="s">
        <v>204</v>
      </c>
      <c r="D5333" t="s">
        <v>74</v>
      </c>
      <c r="E5333" t="s">
        <v>79</v>
      </c>
      <c r="F5333" s="55">
        <v>110</v>
      </c>
      <c r="G5333" s="63">
        <v>6.25E-2</v>
      </c>
    </row>
    <row r="5334" spans="1:7" x14ac:dyDescent="0.2">
      <c r="A5334" t="s">
        <v>89</v>
      </c>
      <c r="B5334" t="s">
        <v>134</v>
      </c>
      <c r="C5334" t="s">
        <v>204</v>
      </c>
      <c r="D5334" t="s">
        <v>74</v>
      </c>
      <c r="E5334" t="s">
        <v>80</v>
      </c>
      <c r="F5334" s="55">
        <v>106</v>
      </c>
      <c r="G5334" s="63">
        <v>3.7600000000000001E-2</v>
      </c>
    </row>
    <row r="5335" spans="1:7" x14ac:dyDescent="0.2">
      <c r="A5335" t="s">
        <v>89</v>
      </c>
      <c r="B5335" t="s">
        <v>134</v>
      </c>
      <c r="C5335" t="s">
        <v>204</v>
      </c>
      <c r="D5335" t="s">
        <v>74</v>
      </c>
      <c r="E5335" t="s">
        <v>81</v>
      </c>
      <c r="F5335" s="55">
        <v>107</v>
      </c>
      <c r="G5335" s="63">
        <v>3.8699999999999998E-2</v>
      </c>
    </row>
    <row r="5336" spans="1:7" x14ac:dyDescent="0.2">
      <c r="A5336" t="s">
        <v>89</v>
      </c>
      <c r="B5336" t="s">
        <v>134</v>
      </c>
      <c r="C5336" t="s">
        <v>204</v>
      </c>
      <c r="D5336" t="s">
        <v>74</v>
      </c>
      <c r="E5336" t="s">
        <v>82</v>
      </c>
      <c r="F5336" s="55">
        <v>112</v>
      </c>
      <c r="G5336" s="63">
        <v>4.1500000000000002E-2</v>
      </c>
    </row>
    <row r="5337" spans="1:7" x14ac:dyDescent="0.2">
      <c r="A5337" t="s">
        <v>89</v>
      </c>
      <c r="B5337" t="s">
        <v>134</v>
      </c>
      <c r="C5337" t="s">
        <v>204</v>
      </c>
      <c r="D5337" t="s">
        <v>74</v>
      </c>
      <c r="E5337" t="s">
        <v>83</v>
      </c>
      <c r="F5337" s="55">
        <v>107</v>
      </c>
      <c r="G5337" s="63">
        <v>1.5599999999999999E-2</v>
      </c>
    </row>
    <row r="5338" spans="1:7" x14ac:dyDescent="0.2">
      <c r="A5338" t="s">
        <v>89</v>
      </c>
      <c r="B5338" t="s">
        <v>134</v>
      </c>
      <c r="C5338" t="s">
        <v>204</v>
      </c>
      <c r="D5338" t="s">
        <v>74</v>
      </c>
      <c r="E5338" t="s">
        <v>84</v>
      </c>
      <c r="F5338" s="55">
        <v>123</v>
      </c>
      <c r="G5338" s="63">
        <v>2.41E-2</v>
      </c>
    </row>
    <row r="5339" spans="1:7" x14ac:dyDescent="0.2">
      <c r="A5339" t="s">
        <v>89</v>
      </c>
      <c r="B5339" t="s">
        <v>134</v>
      </c>
      <c r="C5339" t="s">
        <v>204</v>
      </c>
      <c r="D5339" t="s">
        <v>74</v>
      </c>
      <c r="E5339" t="s">
        <v>85</v>
      </c>
      <c r="F5339" s="55">
        <v>108</v>
      </c>
      <c r="G5339" s="63">
        <v>3.6200000000000003E-2</v>
      </c>
    </row>
    <row r="5340" spans="1:7" x14ac:dyDescent="0.2">
      <c r="A5340" t="s">
        <v>89</v>
      </c>
      <c r="B5340" t="s">
        <v>134</v>
      </c>
      <c r="C5340" t="s">
        <v>204</v>
      </c>
      <c r="D5340" t="s">
        <v>74</v>
      </c>
      <c r="E5340" t="s">
        <v>86</v>
      </c>
      <c r="F5340" s="55">
        <v>108</v>
      </c>
      <c r="G5340" s="63">
        <v>3.4700000000000002E-2</v>
      </c>
    </row>
    <row r="5341" spans="1:7" x14ac:dyDescent="0.2">
      <c r="A5341" t="s">
        <v>89</v>
      </c>
      <c r="B5341" t="s">
        <v>134</v>
      </c>
      <c r="C5341" t="s">
        <v>204</v>
      </c>
      <c r="D5341" t="s">
        <v>74</v>
      </c>
      <c r="E5341" t="s">
        <v>87</v>
      </c>
      <c r="F5341" s="55">
        <v>108</v>
      </c>
      <c r="G5341" s="63">
        <v>3.27E-2</v>
      </c>
    </row>
    <row r="5342" spans="1:7" x14ac:dyDescent="0.2">
      <c r="A5342" t="s">
        <v>89</v>
      </c>
      <c r="B5342" t="s">
        <v>134</v>
      </c>
      <c r="C5342" t="s">
        <v>204</v>
      </c>
      <c r="D5342" t="s">
        <v>74</v>
      </c>
      <c r="E5342" t="s">
        <v>88</v>
      </c>
      <c r="F5342" s="55">
        <v>108</v>
      </c>
      <c r="G5342" s="63">
        <v>2.0500000000000001E-2</v>
      </c>
    </row>
    <row r="5343" spans="1:7" x14ac:dyDescent="0.2">
      <c r="A5343" t="s">
        <v>89</v>
      </c>
      <c r="B5343" t="s">
        <v>135</v>
      </c>
      <c r="C5343" t="s">
        <v>204</v>
      </c>
      <c r="D5343" t="s">
        <v>74</v>
      </c>
      <c r="E5343" t="s">
        <v>75</v>
      </c>
      <c r="F5343" s="55">
        <v>114</v>
      </c>
      <c r="G5343" s="63">
        <v>5.45E-2</v>
      </c>
    </row>
    <row r="5344" spans="1:7" x14ac:dyDescent="0.2">
      <c r="A5344" t="s">
        <v>89</v>
      </c>
      <c r="B5344" t="s">
        <v>135</v>
      </c>
      <c r="C5344" t="s">
        <v>204</v>
      </c>
      <c r="D5344" t="s">
        <v>74</v>
      </c>
      <c r="E5344" t="s">
        <v>76</v>
      </c>
      <c r="F5344" s="55">
        <v>99</v>
      </c>
      <c r="G5344" s="63">
        <v>5.8999999999999999E-3</v>
      </c>
    </row>
    <row r="5345" spans="1:7" x14ac:dyDescent="0.2">
      <c r="A5345" t="s">
        <v>89</v>
      </c>
      <c r="B5345" t="s">
        <v>135</v>
      </c>
      <c r="C5345" t="s">
        <v>204</v>
      </c>
      <c r="D5345" t="s">
        <v>74</v>
      </c>
      <c r="E5345" t="s">
        <v>77</v>
      </c>
      <c r="F5345" s="55">
        <v>116</v>
      </c>
      <c r="G5345" s="63">
        <v>1.9099999999999999E-2</v>
      </c>
    </row>
    <row r="5346" spans="1:7" x14ac:dyDescent="0.2">
      <c r="A5346" t="s">
        <v>89</v>
      </c>
      <c r="B5346" t="s">
        <v>135</v>
      </c>
      <c r="C5346" t="s">
        <v>204</v>
      </c>
      <c r="D5346" t="s">
        <v>74</v>
      </c>
      <c r="E5346" t="s">
        <v>78</v>
      </c>
      <c r="F5346" s="55">
        <v>117</v>
      </c>
      <c r="G5346" s="63">
        <v>1.67E-2</v>
      </c>
    </row>
    <row r="5347" spans="1:7" x14ac:dyDescent="0.2">
      <c r="A5347" t="s">
        <v>89</v>
      </c>
      <c r="B5347" t="s">
        <v>135</v>
      </c>
      <c r="C5347" t="s">
        <v>204</v>
      </c>
      <c r="D5347" t="s">
        <v>74</v>
      </c>
      <c r="E5347" t="s">
        <v>79</v>
      </c>
      <c r="F5347" s="55">
        <v>117</v>
      </c>
      <c r="G5347" s="63">
        <v>3.4500000000000003E-2</v>
      </c>
    </row>
    <row r="5348" spans="1:7" x14ac:dyDescent="0.2">
      <c r="A5348" t="s">
        <v>89</v>
      </c>
      <c r="B5348" t="s">
        <v>135</v>
      </c>
      <c r="C5348" t="s">
        <v>204</v>
      </c>
      <c r="D5348" t="s">
        <v>74</v>
      </c>
      <c r="E5348" t="s">
        <v>80</v>
      </c>
      <c r="F5348" s="55">
        <v>119</v>
      </c>
      <c r="G5348" s="63">
        <v>2.2499999999999999E-2</v>
      </c>
    </row>
    <row r="5349" spans="1:7" x14ac:dyDescent="0.2">
      <c r="A5349" t="s">
        <v>89</v>
      </c>
      <c r="B5349" t="s">
        <v>135</v>
      </c>
      <c r="C5349" t="s">
        <v>204</v>
      </c>
      <c r="D5349" t="s">
        <v>74</v>
      </c>
      <c r="E5349" t="s">
        <v>81</v>
      </c>
      <c r="F5349" s="55">
        <v>107</v>
      </c>
      <c r="G5349" s="63">
        <v>2.3E-2</v>
      </c>
    </row>
    <row r="5350" spans="1:7" x14ac:dyDescent="0.2">
      <c r="A5350" t="s">
        <v>89</v>
      </c>
      <c r="B5350" t="s">
        <v>135</v>
      </c>
      <c r="C5350" t="s">
        <v>204</v>
      </c>
      <c r="D5350" t="s">
        <v>74</v>
      </c>
      <c r="E5350" t="s">
        <v>82</v>
      </c>
      <c r="F5350" s="55">
        <v>114</v>
      </c>
      <c r="G5350" s="63">
        <v>2.2599999999999999E-2</v>
      </c>
    </row>
    <row r="5351" spans="1:7" x14ac:dyDescent="0.2">
      <c r="A5351" t="s">
        <v>89</v>
      </c>
      <c r="B5351" t="s">
        <v>135</v>
      </c>
      <c r="C5351" t="s">
        <v>204</v>
      </c>
      <c r="D5351" t="s">
        <v>74</v>
      </c>
      <c r="E5351" t="s">
        <v>83</v>
      </c>
      <c r="F5351" s="55">
        <v>95</v>
      </c>
      <c r="G5351" s="63">
        <v>7.9000000000000008E-3</v>
      </c>
    </row>
    <row r="5352" spans="1:7" x14ac:dyDescent="0.2">
      <c r="A5352" t="s">
        <v>89</v>
      </c>
      <c r="B5352" t="s">
        <v>135</v>
      </c>
      <c r="C5352" t="s">
        <v>204</v>
      </c>
      <c r="D5352" t="s">
        <v>74</v>
      </c>
      <c r="E5352" t="s">
        <v>84</v>
      </c>
      <c r="F5352" s="55">
        <v>116</v>
      </c>
      <c r="G5352" s="63">
        <v>1.3599999999999999E-2</v>
      </c>
    </row>
    <row r="5353" spans="1:7" x14ac:dyDescent="0.2">
      <c r="A5353" t="s">
        <v>89</v>
      </c>
      <c r="B5353" t="s">
        <v>135</v>
      </c>
      <c r="C5353" t="s">
        <v>204</v>
      </c>
      <c r="D5353" t="s">
        <v>74</v>
      </c>
      <c r="E5353" t="s">
        <v>85</v>
      </c>
      <c r="F5353" s="55">
        <v>114</v>
      </c>
      <c r="G5353" s="63">
        <v>1.78E-2</v>
      </c>
    </row>
    <row r="5354" spans="1:7" x14ac:dyDescent="0.2">
      <c r="A5354" t="s">
        <v>89</v>
      </c>
      <c r="B5354" t="s">
        <v>135</v>
      </c>
      <c r="C5354" t="s">
        <v>204</v>
      </c>
      <c r="D5354" t="s">
        <v>74</v>
      </c>
      <c r="E5354" t="s">
        <v>86</v>
      </c>
      <c r="F5354" s="55">
        <v>119</v>
      </c>
      <c r="G5354" s="63">
        <v>1.67E-2</v>
      </c>
    </row>
    <row r="5355" spans="1:7" x14ac:dyDescent="0.2">
      <c r="A5355" t="s">
        <v>89</v>
      </c>
      <c r="B5355" t="s">
        <v>135</v>
      </c>
      <c r="C5355" t="s">
        <v>204</v>
      </c>
      <c r="D5355" t="s">
        <v>74</v>
      </c>
      <c r="E5355" t="s">
        <v>87</v>
      </c>
      <c r="F5355" s="55">
        <v>117</v>
      </c>
      <c r="G5355" s="63">
        <v>1.5800000000000002E-2</v>
      </c>
    </row>
    <row r="5356" spans="1:7" x14ac:dyDescent="0.2">
      <c r="A5356" t="s">
        <v>89</v>
      </c>
      <c r="B5356" t="s">
        <v>135</v>
      </c>
      <c r="C5356" t="s">
        <v>204</v>
      </c>
      <c r="D5356" t="s">
        <v>74</v>
      </c>
      <c r="E5356" t="s">
        <v>88</v>
      </c>
      <c r="F5356" s="55">
        <v>105</v>
      </c>
      <c r="G5356" s="63">
        <v>1.0699999999999999E-2</v>
      </c>
    </row>
    <row r="5357" spans="1:7" x14ac:dyDescent="0.2">
      <c r="A5357" t="s">
        <v>89</v>
      </c>
      <c r="B5357" t="s">
        <v>136</v>
      </c>
      <c r="C5357" t="s">
        <v>204</v>
      </c>
      <c r="D5357" t="s">
        <v>74</v>
      </c>
      <c r="E5357" t="s">
        <v>75</v>
      </c>
      <c r="F5357" s="55">
        <v>84</v>
      </c>
      <c r="G5357" s="63">
        <v>0.1</v>
      </c>
    </row>
    <row r="5358" spans="1:7" x14ac:dyDescent="0.2">
      <c r="A5358" t="s">
        <v>89</v>
      </c>
      <c r="B5358" t="s">
        <v>136</v>
      </c>
      <c r="C5358" t="s">
        <v>204</v>
      </c>
      <c r="D5358" t="s">
        <v>74</v>
      </c>
      <c r="E5358" t="s">
        <v>76</v>
      </c>
      <c r="F5358" s="55">
        <v>82</v>
      </c>
      <c r="G5358" s="63">
        <v>1.46E-2</v>
      </c>
    </row>
    <row r="5359" spans="1:7" x14ac:dyDescent="0.2">
      <c r="A5359" t="s">
        <v>89</v>
      </c>
      <c r="B5359" t="s">
        <v>136</v>
      </c>
      <c r="C5359" t="s">
        <v>204</v>
      </c>
      <c r="D5359" t="s">
        <v>74</v>
      </c>
      <c r="E5359" t="s">
        <v>77</v>
      </c>
      <c r="F5359" s="55">
        <v>90</v>
      </c>
      <c r="G5359" s="63">
        <v>4.7500000000000001E-2</v>
      </c>
    </row>
    <row r="5360" spans="1:7" x14ac:dyDescent="0.2">
      <c r="A5360" t="s">
        <v>89</v>
      </c>
      <c r="B5360" t="s">
        <v>136</v>
      </c>
      <c r="C5360" t="s">
        <v>204</v>
      </c>
      <c r="D5360" t="s">
        <v>74</v>
      </c>
      <c r="E5360" t="s">
        <v>78</v>
      </c>
      <c r="F5360" s="55">
        <v>87</v>
      </c>
      <c r="G5360" s="63">
        <v>2.1399999999999999E-2</v>
      </c>
    </row>
    <row r="5361" spans="1:7" x14ac:dyDescent="0.2">
      <c r="A5361" t="s">
        <v>89</v>
      </c>
      <c r="B5361" t="s">
        <v>136</v>
      </c>
      <c r="C5361" t="s">
        <v>204</v>
      </c>
      <c r="D5361" t="s">
        <v>74</v>
      </c>
      <c r="E5361" t="s">
        <v>79</v>
      </c>
      <c r="F5361" s="55">
        <v>80</v>
      </c>
      <c r="G5361" s="63">
        <v>4.0399999999999998E-2</v>
      </c>
    </row>
    <row r="5362" spans="1:7" x14ac:dyDescent="0.2">
      <c r="A5362" t="s">
        <v>89</v>
      </c>
      <c r="B5362" t="s">
        <v>136</v>
      </c>
      <c r="C5362" t="s">
        <v>204</v>
      </c>
      <c r="D5362" t="s">
        <v>74</v>
      </c>
      <c r="E5362" t="s">
        <v>80</v>
      </c>
      <c r="F5362" s="55">
        <v>71</v>
      </c>
      <c r="G5362" s="63">
        <v>1.23E-2</v>
      </c>
    </row>
    <row r="5363" spans="1:7" x14ac:dyDescent="0.2">
      <c r="A5363" t="s">
        <v>89</v>
      </c>
      <c r="B5363" t="s">
        <v>136</v>
      </c>
      <c r="C5363" t="s">
        <v>204</v>
      </c>
      <c r="D5363" t="s">
        <v>74</v>
      </c>
      <c r="E5363" t="s">
        <v>81</v>
      </c>
      <c r="F5363" s="55">
        <v>85</v>
      </c>
      <c r="G5363" s="63">
        <v>1.38E-2</v>
      </c>
    </row>
    <row r="5364" spans="1:7" x14ac:dyDescent="0.2">
      <c r="A5364" t="s">
        <v>89</v>
      </c>
      <c r="B5364" t="s">
        <v>136</v>
      </c>
      <c r="C5364" t="s">
        <v>204</v>
      </c>
      <c r="D5364" t="s">
        <v>74</v>
      </c>
      <c r="E5364" t="s">
        <v>82</v>
      </c>
      <c r="F5364" s="55">
        <v>88</v>
      </c>
      <c r="G5364" s="63">
        <v>2.9700000000000001E-2</v>
      </c>
    </row>
    <row r="5365" spans="1:7" x14ac:dyDescent="0.2">
      <c r="A5365" t="s">
        <v>89</v>
      </c>
      <c r="B5365" t="s">
        <v>136</v>
      </c>
      <c r="C5365" t="s">
        <v>204</v>
      </c>
      <c r="D5365" t="s">
        <v>74</v>
      </c>
      <c r="E5365" t="s">
        <v>83</v>
      </c>
      <c r="F5365" s="55">
        <v>99</v>
      </c>
      <c r="G5365" s="63">
        <v>6.1000000000000004E-3</v>
      </c>
    </row>
    <row r="5366" spans="1:7" x14ac:dyDescent="0.2">
      <c r="A5366" t="s">
        <v>89</v>
      </c>
      <c r="B5366" t="s">
        <v>136</v>
      </c>
      <c r="C5366" t="s">
        <v>204</v>
      </c>
      <c r="D5366" t="s">
        <v>74</v>
      </c>
      <c r="E5366" t="s">
        <v>84</v>
      </c>
      <c r="F5366" s="55">
        <v>86</v>
      </c>
      <c r="G5366" s="63">
        <v>1.66E-2</v>
      </c>
    </row>
    <row r="5367" spans="1:7" x14ac:dyDescent="0.2">
      <c r="A5367" t="s">
        <v>89</v>
      </c>
      <c r="B5367" t="s">
        <v>136</v>
      </c>
      <c r="C5367" t="s">
        <v>204</v>
      </c>
      <c r="D5367" t="s">
        <v>74</v>
      </c>
      <c r="E5367" t="s">
        <v>85</v>
      </c>
      <c r="F5367" s="55">
        <v>76</v>
      </c>
      <c r="G5367" s="63">
        <v>1.21E-2</v>
      </c>
    </row>
    <row r="5368" spans="1:7" x14ac:dyDescent="0.2">
      <c r="A5368" t="s">
        <v>89</v>
      </c>
      <c r="B5368" t="s">
        <v>136</v>
      </c>
      <c r="C5368" t="s">
        <v>204</v>
      </c>
      <c r="D5368" t="s">
        <v>74</v>
      </c>
      <c r="E5368" t="s">
        <v>86</v>
      </c>
      <c r="F5368" s="55">
        <v>78</v>
      </c>
      <c r="G5368" s="63">
        <v>1.46E-2</v>
      </c>
    </row>
    <row r="5369" spans="1:7" x14ac:dyDescent="0.2">
      <c r="A5369" t="s">
        <v>89</v>
      </c>
      <c r="B5369" t="s">
        <v>136</v>
      </c>
      <c r="C5369" t="s">
        <v>204</v>
      </c>
      <c r="D5369" t="s">
        <v>74</v>
      </c>
      <c r="E5369" t="s">
        <v>87</v>
      </c>
      <c r="F5369" s="55">
        <v>81</v>
      </c>
      <c r="G5369" s="63">
        <v>1.8200000000000001E-2</v>
      </c>
    </row>
    <row r="5370" spans="1:7" x14ac:dyDescent="0.2">
      <c r="A5370" t="s">
        <v>89</v>
      </c>
      <c r="B5370" t="s">
        <v>136</v>
      </c>
      <c r="C5370" t="s">
        <v>204</v>
      </c>
      <c r="D5370" t="s">
        <v>74</v>
      </c>
      <c r="E5370" t="s">
        <v>88</v>
      </c>
      <c r="F5370" s="55">
        <v>83</v>
      </c>
      <c r="G5370" s="63">
        <v>2.1000000000000001E-2</v>
      </c>
    </row>
    <row r="5371" spans="1:7" x14ac:dyDescent="0.2">
      <c r="A5371" t="s">
        <v>71</v>
      </c>
      <c r="B5371" t="s">
        <v>137</v>
      </c>
      <c r="C5371" t="s">
        <v>204</v>
      </c>
      <c r="D5371" t="s">
        <v>74</v>
      </c>
      <c r="E5371" t="s">
        <v>75</v>
      </c>
      <c r="F5371" s="55">
        <v>101</v>
      </c>
      <c r="G5371" s="63">
        <v>9.3700000000000006E-2</v>
      </c>
    </row>
    <row r="5372" spans="1:7" x14ac:dyDescent="0.2">
      <c r="A5372" t="s">
        <v>71</v>
      </c>
      <c r="B5372" t="s">
        <v>137</v>
      </c>
      <c r="C5372" t="s">
        <v>204</v>
      </c>
      <c r="D5372" t="s">
        <v>74</v>
      </c>
      <c r="E5372" t="s">
        <v>76</v>
      </c>
      <c r="F5372" s="55">
        <v>103</v>
      </c>
      <c r="G5372" s="63">
        <v>1.0800000000000001E-2</v>
      </c>
    </row>
    <row r="5373" spans="1:7" x14ac:dyDescent="0.2">
      <c r="A5373" t="s">
        <v>71</v>
      </c>
      <c r="B5373" t="s">
        <v>137</v>
      </c>
      <c r="C5373" t="s">
        <v>204</v>
      </c>
      <c r="D5373" t="s">
        <v>74</v>
      </c>
      <c r="E5373" t="s">
        <v>77</v>
      </c>
      <c r="F5373" s="55">
        <v>101</v>
      </c>
      <c r="G5373" s="63">
        <v>3.8199999999999998E-2</v>
      </c>
    </row>
    <row r="5374" spans="1:7" x14ac:dyDescent="0.2">
      <c r="A5374" t="s">
        <v>71</v>
      </c>
      <c r="B5374" t="s">
        <v>137</v>
      </c>
      <c r="C5374" t="s">
        <v>204</v>
      </c>
      <c r="D5374" t="s">
        <v>74</v>
      </c>
      <c r="E5374" t="s">
        <v>78</v>
      </c>
      <c r="F5374" s="55">
        <v>104</v>
      </c>
      <c r="G5374" s="63">
        <v>3.3500000000000002E-2</v>
      </c>
    </row>
    <row r="5375" spans="1:7" x14ac:dyDescent="0.2">
      <c r="A5375" t="s">
        <v>71</v>
      </c>
      <c r="B5375" t="s">
        <v>137</v>
      </c>
      <c r="C5375" t="s">
        <v>204</v>
      </c>
      <c r="D5375" t="s">
        <v>74</v>
      </c>
      <c r="E5375" t="s">
        <v>79</v>
      </c>
      <c r="F5375" s="55">
        <v>102</v>
      </c>
      <c r="G5375" s="63">
        <v>5.5500000000000001E-2</v>
      </c>
    </row>
    <row r="5376" spans="1:7" x14ac:dyDescent="0.2">
      <c r="A5376" t="s">
        <v>71</v>
      </c>
      <c r="B5376" t="s">
        <v>137</v>
      </c>
      <c r="C5376" t="s">
        <v>204</v>
      </c>
      <c r="D5376" t="s">
        <v>74</v>
      </c>
      <c r="E5376" t="s">
        <v>80</v>
      </c>
      <c r="F5376" s="55">
        <v>100</v>
      </c>
      <c r="G5376" s="63">
        <v>1.66E-2</v>
      </c>
    </row>
    <row r="5377" spans="1:7" x14ac:dyDescent="0.2">
      <c r="A5377" t="s">
        <v>71</v>
      </c>
      <c r="B5377" t="s">
        <v>137</v>
      </c>
      <c r="C5377" t="s">
        <v>204</v>
      </c>
      <c r="D5377" t="s">
        <v>74</v>
      </c>
      <c r="E5377" t="s">
        <v>81</v>
      </c>
      <c r="F5377" s="55">
        <v>103</v>
      </c>
      <c r="G5377" s="63">
        <v>1.7999999999999999E-2</v>
      </c>
    </row>
    <row r="5378" spans="1:7" x14ac:dyDescent="0.2">
      <c r="A5378" t="s">
        <v>71</v>
      </c>
      <c r="B5378" t="s">
        <v>137</v>
      </c>
      <c r="C5378" t="s">
        <v>204</v>
      </c>
      <c r="D5378" t="s">
        <v>74</v>
      </c>
      <c r="E5378" t="s">
        <v>82</v>
      </c>
      <c r="F5378" s="55">
        <v>93</v>
      </c>
      <c r="G5378" s="63">
        <v>3.7199999999999997E-2</v>
      </c>
    </row>
    <row r="5379" spans="1:7" x14ac:dyDescent="0.2">
      <c r="A5379" t="s">
        <v>71</v>
      </c>
      <c r="B5379" t="s">
        <v>137</v>
      </c>
      <c r="C5379" t="s">
        <v>204</v>
      </c>
      <c r="D5379" t="s">
        <v>74</v>
      </c>
      <c r="E5379" t="s">
        <v>83</v>
      </c>
      <c r="F5379" s="55">
        <v>106</v>
      </c>
      <c r="G5379" s="63">
        <v>7.4000000000000003E-3</v>
      </c>
    </row>
    <row r="5380" spans="1:7" x14ac:dyDescent="0.2">
      <c r="A5380" t="s">
        <v>71</v>
      </c>
      <c r="B5380" t="s">
        <v>137</v>
      </c>
      <c r="C5380" t="s">
        <v>204</v>
      </c>
      <c r="D5380" t="s">
        <v>74</v>
      </c>
      <c r="E5380" t="s">
        <v>84</v>
      </c>
      <c r="F5380" s="55">
        <v>100</v>
      </c>
      <c r="G5380" s="63">
        <v>2.53E-2</v>
      </c>
    </row>
    <row r="5381" spans="1:7" x14ac:dyDescent="0.2">
      <c r="A5381" t="s">
        <v>71</v>
      </c>
      <c r="B5381" t="s">
        <v>137</v>
      </c>
      <c r="C5381" t="s">
        <v>204</v>
      </c>
      <c r="D5381" t="s">
        <v>74</v>
      </c>
      <c r="E5381" t="s">
        <v>85</v>
      </c>
      <c r="F5381" s="55">
        <v>95</v>
      </c>
      <c r="G5381" s="63">
        <v>1.7100000000000001E-2</v>
      </c>
    </row>
    <row r="5382" spans="1:7" x14ac:dyDescent="0.2">
      <c r="A5382" t="s">
        <v>71</v>
      </c>
      <c r="B5382" t="s">
        <v>137</v>
      </c>
      <c r="C5382" t="s">
        <v>204</v>
      </c>
      <c r="D5382" t="s">
        <v>74</v>
      </c>
      <c r="E5382" t="s">
        <v>86</v>
      </c>
      <c r="F5382" s="55">
        <v>98</v>
      </c>
      <c r="G5382" s="63">
        <v>2.29E-2</v>
      </c>
    </row>
    <row r="5383" spans="1:7" x14ac:dyDescent="0.2">
      <c r="A5383" t="s">
        <v>71</v>
      </c>
      <c r="B5383" t="s">
        <v>137</v>
      </c>
      <c r="C5383" t="s">
        <v>204</v>
      </c>
      <c r="D5383" t="s">
        <v>74</v>
      </c>
      <c r="E5383" t="s">
        <v>87</v>
      </c>
      <c r="F5383" s="55">
        <v>104</v>
      </c>
      <c r="G5383" s="63">
        <v>2.6700000000000002E-2</v>
      </c>
    </row>
    <row r="5384" spans="1:7" x14ac:dyDescent="0.2">
      <c r="A5384" t="s">
        <v>71</v>
      </c>
      <c r="B5384" t="s">
        <v>137</v>
      </c>
      <c r="C5384" t="s">
        <v>204</v>
      </c>
      <c r="D5384" t="s">
        <v>74</v>
      </c>
      <c r="E5384" t="s">
        <v>88</v>
      </c>
      <c r="F5384" s="55">
        <v>101</v>
      </c>
      <c r="G5384" s="63">
        <v>1.8499999999999999E-2</v>
      </c>
    </row>
    <row r="5385" spans="1:7" x14ac:dyDescent="0.2">
      <c r="A5385" t="s">
        <v>71</v>
      </c>
      <c r="B5385" t="s">
        <v>138</v>
      </c>
      <c r="C5385" t="s">
        <v>204</v>
      </c>
      <c r="D5385" t="s">
        <v>74</v>
      </c>
      <c r="E5385" t="s">
        <v>75</v>
      </c>
      <c r="F5385" s="55">
        <v>39</v>
      </c>
      <c r="G5385" s="63">
        <v>0.12130000000000001</v>
      </c>
    </row>
    <row r="5386" spans="1:7" x14ac:dyDescent="0.2">
      <c r="A5386" t="s">
        <v>71</v>
      </c>
      <c r="B5386" t="s">
        <v>138</v>
      </c>
      <c r="C5386" t="s">
        <v>204</v>
      </c>
      <c r="D5386" t="s">
        <v>74</v>
      </c>
      <c r="E5386" t="s">
        <v>76</v>
      </c>
      <c r="F5386" s="55">
        <v>36</v>
      </c>
      <c r="G5386" s="63">
        <v>1.32E-2</v>
      </c>
    </row>
    <row r="5387" spans="1:7" x14ac:dyDescent="0.2">
      <c r="A5387" t="s">
        <v>71</v>
      </c>
      <c r="B5387" t="s">
        <v>138</v>
      </c>
      <c r="C5387" t="s">
        <v>204</v>
      </c>
      <c r="D5387" t="s">
        <v>74</v>
      </c>
      <c r="E5387" t="s">
        <v>77</v>
      </c>
      <c r="F5387" s="55">
        <v>41</v>
      </c>
      <c r="G5387" s="63">
        <v>3.7900000000000003E-2</v>
      </c>
    </row>
    <row r="5388" spans="1:7" x14ac:dyDescent="0.2">
      <c r="A5388" t="s">
        <v>71</v>
      </c>
      <c r="B5388" t="s">
        <v>138</v>
      </c>
      <c r="C5388" t="s">
        <v>204</v>
      </c>
      <c r="D5388" t="s">
        <v>74</v>
      </c>
      <c r="E5388" t="s">
        <v>78</v>
      </c>
      <c r="F5388" s="55">
        <v>42</v>
      </c>
      <c r="G5388" s="63">
        <v>3.1800000000000002E-2</v>
      </c>
    </row>
    <row r="5389" spans="1:7" x14ac:dyDescent="0.2">
      <c r="A5389" t="s">
        <v>71</v>
      </c>
      <c r="B5389" t="s">
        <v>138</v>
      </c>
      <c r="C5389" t="s">
        <v>204</v>
      </c>
      <c r="D5389" t="s">
        <v>74</v>
      </c>
      <c r="E5389" t="s">
        <v>79</v>
      </c>
      <c r="F5389" s="55">
        <v>38</v>
      </c>
      <c r="G5389" s="63">
        <v>6.4199999999999993E-2</v>
      </c>
    </row>
    <row r="5390" spans="1:7" x14ac:dyDescent="0.2">
      <c r="A5390" t="s">
        <v>71</v>
      </c>
      <c r="B5390" t="s">
        <v>138</v>
      </c>
      <c r="C5390" t="s">
        <v>204</v>
      </c>
      <c r="D5390" t="s">
        <v>74</v>
      </c>
      <c r="E5390" t="s">
        <v>80</v>
      </c>
      <c r="F5390" s="55">
        <v>38</v>
      </c>
      <c r="G5390" s="63">
        <v>1.41E-2</v>
      </c>
    </row>
    <row r="5391" spans="1:7" x14ac:dyDescent="0.2">
      <c r="A5391" t="s">
        <v>71</v>
      </c>
      <c r="B5391" t="s">
        <v>138</v>
      </c>
      <c r="C5391" t="s">
        <v>204</v>
      </c>
      <c r="D5391" t="s">
        <v>74</v>
      </c>
      <c r="E5391" t="s">
        <v>81</v>
      </c>
      <c r="F5391" s="55">
        <v>44</v>
      </c>
      <c r="G5391" s="63">
        <v>1.7500000000000002E-2</v>
      </c>
    </row>
    <row r="5392" spans="1:7" x14ac:dyDescent="0.2">
      <c r="A5392" t="s">
        <v>71</v>
      </c>
      <c r="B5392" t="s">
        <v>138</v>
      </c>
      <c r="C5392" t="s">
        <v>204</v>
      </c>
      <c r="D5392" t="s">
        <v>74</v>
      </c>
      <c r="E5392" t="s">
        <v>82</v>
      </c>
      <c r="F5392" s="55">
        <v>40</v>
      </c>
      <c r="G5392" s="63">
        <v>4.7500000000000001E-2</v>
      </c>
    </row>
    <row r="5393" spans="1:7" x14ac:dyDescent="0.2">
      <c r="A5393" t="s">
        <v>71</v>
      </c>
      <c r="B5393" t="s">
        <v>138</v>
      </c>
      <c r="C5393" t="s">
        <v>204</v>
      </c>
      <c r="D5393" t="s">
        <v>74</v>
      </c>
      <c r="E5393" t="s">
        <v>83</v>
      </c>
      <c r="F5393" s="55">
        <v>47</v>
      </c>
      <c r="G5393" s="63">
        <v>8.6E-3</v>
      </c>
    </row>
    <row r="5394" spans="1:7" x14ac:dyDescent="0.2">
      <c r="A5394" t="s">
        <v>71</v>
      </c>
      <c r="B5394" t="s">
        <v>138</v>
      </c>
      <c r="C5394" t="s">
        <v>204</v>
      </c>
      <c r="D5394" t="s">
        <v>74</v>
      </c>
      <c r="E5394" t="s">
        <v>84</v>
      </c>
      <c r="F5394" s="55">
        <v>44</v>
      </c>
      <c r="G5394" s="63">
        <v>2.2499999999999999E-2</v>
      </c>
    </row>
    <row r="5395" spans="1:7" x14ac:dyDescent="0.2">
      <c r="A5395" t="s">
        <v>71</v>
      </c>
      <c r="B5395" t="s">
        <v>138</v>
      </c>
      <c r="C5395" t="s">
        <v>204</v>
      </c>
      <c r="D5395" t="s">
        <v>74</v>
      </c>
      <c r="E5395" t="s">
        <v>85</v>
      </c>
      <c r="F5395" s="55">
        <v>39</v>
      </c>
      <c r="G5395" s="63">
        <v>1.3899999999999999E-2</v>
      </c>
    </row>
    <row r="5396" spans="1:7" x14ac:dyDescent="0.2">
      <c r="A5396" t="s">
        <v>71</v>
      </c>
      <c r="B5396" t="s">
        <v>138</v>
      </c>
      <c r="C5396" t="s">
        <v>204</v>
      </c>
      <c r="D5396" t="s">
        <v>74</v>
      </c>
      <c r="E5396" t="s">
        <v>86</v>
      </c>
      <c r="F5396" s="55">
        <v>38</v>
      </c>
      <c r="G5396" s="63">
        <v>2.0500000000000001E-2</v>
      </c>
    </row>
    <row r="5397" spans="1:7" x14ac:dyDescent="0.2">
      <c r="A5397" t="s">
        <v>71</v>
      </c>
      <c r="B5397" t="s">
        <v>138</v>
      </c>
      <c r="C5397" t="s">
        <v>204</v>
      </c>
      <c r="D5397" t="s">
        <v>74</v>
      </c>
      <c r="E5397" t="s">
        <v>87</v>
      </c>
      <c r="F5397" s="55">
        <v>38</v>
      </c>
      <c r="G5397" s="63">
        <v>2.6200000000000001E-2</v>
      </c>
    </row>
    <row r="5398" spans="1:7" x14ac:dyDescent="0.2">
      <c r="A5398" t="s">
        <v>71</v>
      </c>
      <c r="B5398" t="s">
        <v>138</v>
      </c>
      <c r="C5398" t="s">
        <v>204</v>
      </c>
      <c r="D5398" t="s">
        <v>74</v>
      </c>
      <c r="E5398" t="s">
        <v>88</v>
      </c>
      <c r="F5398" s="55">
        <v>43</v>
      </c>
      <c r="G5398" s="63">
        <v>2.12E-2</v>
      </c>
    </row>
    <row r="5399" spans="1:7" x14ac:dyDescent="0.2">
      <c r="A5399" t="s">
        <v>71</v>
      </c>
      <c r="B5399" t="s">
        <v>139</v>
      </c>
      <c r="C5399" t="s">
        <v>204</v>
      </c>
      <c r="D5399" t="s">
        <v>74</v>
      </c>
      <c r="E5399" t="s">
        <v>75</v>
      </c>
      <c r="F5399" s="55">
        <v>117</v>
      </c>
      <c r="G5399" s="63">
        <v>0.18110000000000001</v>
      </c>
    </row>
    <row r="5400" spans="1:7" x14ac:dyDescent="0.2">
      <c r="A5400" t="s">
        <v>71</v>
      </c>
      <c r="B5400" t="s">
        <v>139</v>
      </c>
      <c r="C5400" t="s">
        <v>204</v>
      </c>
      <c r="D5400" t="s">
        <v>74</v>
      </c>
      <c r="E5400" t="s">
        <v>76</v>
      </c>
      <c r="F5400" s="55">
        <v>117</v>
      </c>
      <c r="G5400" s="63">
        <v>1.5699999999999999E-2</v>
      </c>
    </row>
    <row r="5401" spans="1:7" x14ac:dyDescent="0.2">
      <c r="A5401" t="s">
        <v>71</v>
      </c>
      <c r="B5401" t="s">
        <v>139</v>
      </c>
      <c r="C5401" t="s">
        <v>204</v>
      </c>
      <c r="D5401" t="s">
        <v>74</v>
      </c>
      <c r="E5401" t="s">
        <v>77</v>
      </c>
      <c r="F5401" s="55">
        <v>117</v>
      </c>
      <c r="G5401" s="63">
        <v>7.8899999999999998E-2</v>
      </c>
    </row>
    <row r="5402" spans="1:7" x14ac:dyDescent="0.2">
      <c r="A5402" t="s">
        <v>71</v>
      </c>
      <c r="B5402" t="s">
        <v>139</v>
      </c>
      <c r="C5402" t="s">
        <v>204</v>
      </c>
      <c r="D5402" t="s">
        <v>74</v>
      </c>
      <c r="E5402" t="s">
        <v>78</v>
      </c>
      <c r="F5402" s="55">
        <v>126</v>
      </c>
      <c r="G5402" s="63">
        <v>8.4900000000000003E-2</v>
      </c>
    </row>
    <row r="5403" spans="1:7" x14ac:dyDescent="0.2">
      <c r="A5403" t="s">
        <v>71</v>
      </c>
      <c r="B5403" t="s">
        <v>139</v>
      </c>
      <c r="C5403" t="s">
        <v>204</v>
      </c>
      <c r="D5403" t="s">
        <v>74</v>
      </c>
      <c r="E5403" t="s">
        <v>79</v>
      </c>
      <c r="F5403" s="55">
        <v>116</v>
      </c>
      <c r="G5403" s="63">
        <v>0.1305</v>
      </c>
    </row>
    <row r="5404" spans="1:7" x14ac:dyDescent="0.2">
      <c r="A5404" t="s">
        <v>71</v>
      </c>
      <c r="B5404" t="s">
        <v>139</v>
      </c>
      <c r="C5404" t="s">
        <v>204</v>
      </c>
      <c r="D5404" t="s">
        <v>74</v>
      </c>
      <c r="E5404" t="s">
        <v>80</v>
      </c>
      <c r="F5404" s="55">
        <v>108</v>
      </c>
      <c r="G5404" s="63">
        <v>6.6900000000000001E-2</v>
      </c>
    </row>
    <row r="5405" spans="1:7" x14ac:dyDescent="0.2">
      <c r="A5405" t="s">
        <v>71</v>
      </c>
      <c r="B5405" t="s">
        <v>139</v>
      </c>
      <c r="C5405" t="s">
        <v>204</v>
      </c>
      <c r="D5405" t="s">
        <v>74</v>
      </c>
      <c r="E5405" t="s">
        <v>81</v>
      </c>
      <c r="F5405" s="55">
        <v>106</v>
      </c>
      <c r="G5405" s="63">
        <v>5.8700000000000002E-2</v>
      </c>
    </row>
    <row r="5406" spans="1:7" x14ac:dyDescent="0.2">
      <c r="A5406" t="s">
        <v>71</v>
      </c>
      <c r="B5406" t="s">
        <v>139</v>
      </c>
      <c r="C5406" t="s">
        <v>204</v>
      </c>
      <c r="D5406" t="s">
        <v>74</v>
      </c>
      <c r="E5406" t="s">
        <v>82</v>
      </c>
      <c r="F5406" s="55">
        <v>118</v>
      </c>
      <c r="G5406" s="63">
        <v>0.115</v>
      </c>
    </row>
    <row r="5407" spans="1:7" x14ac:dyDescent="0.2">
      <c r="A5407" t="s">
        <v>71</v>
      </c>
      <c r="B5407" t="s">
        <v>139</v>
      </c>
      <c r="C5407" t="s">
        <v>204</v>
      </c>
      <c r="D5407" t="s">
        <v>74</v>
      </c>
      <c r="E5407" t="s">
        <v>83</v>
      </c>
      <c r="F5407" s="55">
        <v>105</v>
      </c>
      <c r="G5407" s="63">
        <v>1.7299999999999999E-2</v>
      </c>
    </row>
    <row r="5408" spans="1:7" x14ac:dyDescent="0.2">
      <c r="A5408" t="s">
        <v>71</v>
      </c>
      <c r="B5408" t="s">
        <v>139</v>
      </c>
      <c r="C5408" t="s">
        <v>204</v>
      </c>
      <c r="D5408" t="s">
        <v>74</v>
      </c>
      <c r="E5408" t="s">
        <v>84</v>
      </c>
      <c r="F5408" s="55">
        <v>127</v>
      </c>
      <c r="G5408" s="63">
        <v>7.5300000000000006E-2</v>
      </c>
    </row>
    <row r="5409" spans="1:7" x14ac:dyDescent="0.2">
      <c r="A5409" t="s">
        <v>71</v>
      </c>
      <c r="B5409" t="s">
        <v>139</v>
      </c>
      <c r="C5409" t="s">
        <v>204</v>
      </c>
      <c r="D5409" t="s">
        <v>74</v>
      </c>
      <c r="E5409" t="s">
        <v>85</v>
      </c>
      <c r="F5409" s="55">
        <v>109</v>
      </c>
      <c r="G5409" s="63">
        <v>6.5100000000000005E-2</v>
      </c>
    </row>
    <row r="5410" spans="1:7" x14ac:dyDescent="0.2">
      <c r="A5410" t="s">
        <v>71</v>
      </c>
      <c r="B5410" t="s">
        <v>139</v>
      </c>
      <c r="C5410" t="s">
        <v>204</v>
      </c>
      <c r="D5410" t="s">
        <v>74</v>
      </c>
      <c r="E5410" t="s">
        <v>86</v>
      </c>
      <c r="F5410" s="55">
        <v>110</v>
      </c>
      <c r="G5410" s="63">
        <v>7.0999999999999994E-2</v>
      </c>
    </row>
    <row r="5411" spans="1:7" x14ac:dyDescent="0.2">
      <c r="A5411" t="s">
        <v>71</v>
      </c>
      <c r="B5411" t="s">
        <v>139</v>
      </c>
      <c r="C5411" t="s">
        <v>204</v>
      </c>
      <c r="D5411" t="s">
        <v>74</v>
      </c>
      <c r="E5411" t="s">
        <v>87</v>
      </c>
      <c r="F5411" s="55">
        <v>114</v>
      </c>
      <c r="G5411" s="63">
        <v>7.4700000000000003E-2</v>
      </c>
    </row>
    <row r="5412" spans="1:7" x14ac:dyDescent="0.2">
      <c r="A5412" t="s">
        <v>71</v>
      </c>
      <c r="B5412" t="s">
        <v>139</v>
      </c>
      <c r="C5412" t="s">
        <v>204</v>
      </c>
      <c r="D5412" t="s">
        <v>74</v>
      </c>
      <c r="E5412" t="s">
        <v>88</v>
      </c>
      <c r="F5412" s="55">
        <v>115</v>
      </c>
      <c r="G5412" s="63">
        <v>2.5499999999999998E-2</v>
      </c>
    </row>
    <row r="5413" spans="1:7" x14ac:dyDescent="0.2">
      <c r="A5413" t="s">
        <v>89</v>
      </c>
      <c r="B5413" t="s">
        <v>140</v>
      </c>
      <c r="C5413" t="s">
        <v>204</v>
      </c>
      <c r="D5413" t="s">
        <v>74</v>
      </c>
      <c r="E5413" t="s">
        <v>75</v>
      </c>
      <c r="F5413" s="55">
        <v>140</v>
      </c>
      <c r="G5413" s="63">
        <v>6.3E-3</v>
      </c>
    </row>
    <row r="5414" spans="1:7" x14ac:dyDescent="0.2">
      <c r="A5414" t="s">
        <v>89</v>
      </c>
      <c r="B5414" t="s">
        <v>140</v>
      </c>
      <c r="C5414" t="s">
        <v>204</v>
      </c>
      <c r="D5414" t="s">
        <v>74</v>
      </c>
      <c r="E5414" t="s">
        <v>76</v>
      </c>
      <c r="F5414" s="55">
        <v>118</v>
      </c>
      <c r="G5414" s="63">
        <v>1.2999999999999999E-3</v>
      </c>
    </row>
    <row r="5415" spans="1:7" x14ac:dyDescent="0.2">
      <c r="A5415" t="s">
        <v>89</v>
      </c>
      <c r="B5415" t="s">
        <v>140</v>
      </c>
      <c r="C5415" t="s">
        <v>204</v>
      </c>
      <c r="D5415" t="s">
        <v>74</v>
      </c>
      <c r="E5415" t="s">
        <v>77</v>
      </c>
      <c r="F5415" s="55">
        <v>119</v>
      </c>
      <c r="G5415" s="63">
        <v>2.8999999999999998E-3</v>
      </c>
    </row>
    <row r="5416" spans="1:7" x14ac:dyDescent="0.2">
      <c r="A5416" t="s">
        <v>89</v>
      </c>
      <c r="B5416" t="s">
        <v>140</v>
      </c>
      <c r="C5416" t="s">
        <v>204</v>
      </c>
      <c r="D5416" t="s">
        <v>74</v>
      </c>
      <c r="E5416" t="s">
        <v>78</v>
      </c>
      <c r="F5416" s="55">
        <v>147</v>
      </c>
      <c r="G5416" s="63">
        <v>2.8999999999999998E-3</v>
      </c>
    </row>
    <row r="5417" spans="1:7" x14ac:dyDescent="0.2">
      <c r="A5417" t="s">
        <v>89</v>
      </c>
      <c r="B5417" t="s">
        <v>140</v>
      </c>
      <c r="C5417" t="s">
        <v>204</v>
      </c>
      <c r="D5417" t="s">
        <v>74</v>
      </c>
      <c r="E5417" t="s">
        <v>79</v>
      </c>
      <c r="F5417" s="55">
        <v>148</v>
      </c>
      <c r="G5417" s="63">
        <v>4.1999999999999997E-3</v>
      </c>
    </row>
    <row r="5418" spans="1:7" x14ac:dyDescent="0.2">
      <c r="A5418" t="s">
        <v>89</v>
      </c>
      <c r="B5418" t="s">
        <v>140</v>
      </c>
      <c r="C5418" t="s">
        <v>204</v>
      </c>
      <c r="D5418" t="s">
        <v>74</v>
      </c>
      <c r="E5418" t="s">
        <v>80</v>
      </c>
      <c r="F5418" s="55">
        <v>151</v>
      </c>
      <c r="G5418" s="63">
        <v>1.8E-3</v>
      </c>
    </row>
    <row r="5419" spans="1:7" x14ac:dyDescent="0.2">
      <c r="A5419" t="s">
        <v>89</v>
      </c>
      <c r="B5419" t="s">
        <v>140</v>
      </c>
      <c r="C5419" t="s">
        <v>204</v>
      </c>
      <c r="D5419" t="s">
        <v>74</v>
      </c>
      <c r="E5419" t="s">
        <v>81</v>
      </c>
      <c r="F5419" s="55">
        <v>153</v>
      </c>
      <c r="G5419" s="63">
        <v>2E-3</v>
      </c>
    </row>
    <row r="5420" spans="1:7" x14ac:dyDescent="0.2">
      <c r="A5420" t="s">
        <v>89</v>
      </c>
      <c r="B5420" t="s">
        <v>140</v>
      </c>
      <c r="C5420" t="s">
        <v>204</v>
      </c>
      <c r="D5420" t="s">
        <v>74</v>
      </c>
      <c r="E5420" t="s">
        <v>82</v>
      </c>
      <c r="F5420" s="55">
        <v>130</v>
      </c>
      <c r="G5420" s="63">
        <v>3.3999999999999998E-3</v>
      </c>
    </row>
    <row r="5421" spans="1:7" x14ac:dyDescent="0.2">
      <c r="A5421" t="s">
        <v>89</v>
      </c>
      <c r="B5421" t="s">
        <v>140</v>
      </c>
      <c r="C5421" t="s">
        <v>204</v>
      </c>
      <c r="D5421" t="s">
        <v>74</v>
      </c>
      <c r="E5421" t="s">
        <v>83</v>
      </c>
      <c r="F5421" s="55">
        <v>157</v>
      </c>
      <c r="G5421" s="63">
        <v>1.1000000000000001E-3</v>
      </c>
    </row>
    <row r="5422" spans="1:7" x14ac:dyDescent="0.2">
      <c r="A5422" t="s">
        <v>89</v>
      </c>
      <c r="B5422" t="s">
        <v>140</v>
      </c>
      <c r="C5422" t="s">
        <v>204</v>
      </c>
      <c r="D5422" t="s">
        <v>74</v>
      </c>
      <c r="E5422" t="s">
        <v>84</v>
      </c>
      <c r="F5422" s="55">
        <v>146</v>
      </c>
      <c r="G5422" s="63">
        <v>2.5000000000000001E-3</v>
      </c>
    </row>
    <row r="5423" spans="1:7" x14ac:dyDescent="0.2">
      <c r="A5423" t="s">
        <v>89</v>
      </c>
      <c r="B5423" t="s">
        <v>140</v>
      </c>
      <c r="C5423" t="s">
        <v>204</v>
      </c>
      <c r="D5423" t="s">
        <v>74</v>
      </c>
      <c r="E5423" t="s">
        <v>85</v>
      </c>
      <c r="F5423" s="55">
        <v>141</v>
      </c>
      <c r="G5423" s="63">
        <v>2.2000000000000001E-3</v>
      </c>
    </row>
    <row r="5424" spans="1:7" x14ac:dyDescent="0.2">
      <c r="A5424" t="s">
        <v>89</v>
      </c>
      <c r="B5424" t="s">
        <v>140</v>
      </c>
      <c r="C5424" t="s">
        <v>204</v>
      </c>
      <c r="D5424" t="s">
        <v>74</v>
      </c>
      <c r="E5424" t="s">
        <v>86</v>
      </c>
      <c r="F5424" s="55">
        <v>152</v>
      </c>
      <c r="G5424" s="63">
        <v>2.3E-3</v>
      </c>
    </row>
    <row r="5425" spans="1:7" x14ac:dyDescent="0.2">
      <c r="A5425" t="s">
        <v>89</v>
      </c>
      <c r="B5425" t="s">
        <v>140</v>
      </c>
      <c r="C5425" t="s">
        <v>204</v>
      </c>
      <c r="D5425" t="s">
        <v>74</v>
      </c>
      <c r="E5425" t="s">
        <v>87</v>
      </c>
      <c r="F5425" s="55">
        <v>156</v>
      </c>
      <c r="G5425" s="63">
        <v>2.5000000000000001E-3</v>
      </c>
    </row>
    <row r="5426" spans="1:7" x14ac:dyDescent="0.2">
      <c r="A5426" t="s">
        <v>89</v>
      </c>
      <c r="B5426" t="s">
        <v>140</v>
      </c>
      <c r="C5426" t="s">
        <v>204</v>
      </c>
      <c r="D5426" t="s">
        <v>74</v>
      </c>
      <c r="E5426" t="s">
        <v>88</v>
      </c>
      <c r="F5426" s="55">
        <v>134</v>
      </c>
      <c r="G5426" s="63">
        <v>2.0999999999999999E-3</v>
      </c>
    </row>
    <row r="5427" spans="1:7" x14ac:dyDescent="0.2">
      <c r="A5427" t="s">
        <v>71</v>
      </c>
      <c r="B5427" t="s">
        <v>141</v>
      </c>
      <c r="C5427" t="s">
        <v>204</v>
      </c>
      <c r="D5427" t="s">
        <v>74</v>
      </c>
      <c r="E5427" t="s">
        <v>75</v>
      </c>
      <c r="F5427" s="55">
        <v>115</v>
      </c>
      <c r="G5427" s="63">
        <v>0.11020000000000001</v>
      </c>
    </row>
    <row r="5428" spans="1:7" x14ac:dyDescent="0.2">
      <c r="A5428" t="s">
        <v>71</v>
      </c>
      <c r="B5428" t="s">
        <v>141</v>
      </c>
      <c r="C5428" t="s">
        <v>204</v>
      </c>
      <c r="D5428" t="s">
        <v>74</v>
      </c>
      <c r="E5428" t="s">
        <v>76</v>
      </c>
      <c r="F5428" s="55">
        <v>111</v>
      </c>
      <c r="G5428" s="63">
        <v>1.6199999999999999E-2</v>
      </c>
    </row>
    <row r="5429" spans="1:7" x14ac:dyDescent="0.2">
      <c r="A5429" t="s">
        <v>71</v>
      </c>
      <c r="B5429" t="s">
        <v>141</v>
      </c>
      <c r="C5429" t="s">
        <v>204</v>
      </c>
      <c r="D5429" t="s">
        <v>74</v>
      </c>
      <c r="E5429" t="s">
        <v>77</v>
      </c>
      <c r="F5429" s="55">
        <v>113</v>
      </c>
      <c r="G5429" s="63">
        <v>4.3200000000000002E-2</v>
      </c>
    </row>
    <row r="5430" spans="1:7" x14ac:dyDescent="0.2">
      <c r="A5430" t="s">
        <v>71</v>
      </c>
      <c r="B5430" t="s">
        <v>141</v>
      </c>
      <c r="C5430" t="s">
        <v>204</v>
      </c>
      <c r="D5430" t="s">
        <v>74</v>
      </c>
      <c r="E5430" t="s">
        <v>78</v>
      </c>
      <c r="F5430" s="55">
        <v>118</v>
      </c>
      <c r="G5430" s="63">
        <v>4.0399999999999998E-2</v>
      </c>
    </row>
    <row r="5431" spans="1:7" x14ac:dyDescent="0.2">
      <c r="A5431" t="s">
        <v>71</v>
      </c>
      <c r="B5431" t="s">
        <v>141</v>
      </c>
      <c r="C5431" t="s">
        <v>204</v>
      </c>
      <c r="D5431" t="s">
        <v>74</v>
      </c>
      <c r="E5431" t="s">
        <v>79</v>
      </c>
      <c r="F5431" s="55">
        <v>121</v>
      </c>
      <c r="G5431" s="63">
        <v>7.2499999999999995E-2</v>
      </c>
    </row>
    <row r="5432" spans="1:7" x14ac:dyDescent="0.2">
      <c r="A5432" t="s">
        <v>71</v>
      </c>
      <c r="B5432" t="s">
        <v>141</v>
      </c>
      <c r="C5432" t="s">
        <v>204</v>
      </c>
      <c r="D5432" t="s">
        <v>74</v>
      </c>
      <c r="E5432" t="s">
        <v>80</v>
      </c>
      <c r="F5432" s="55">
        <v>112</v>
      </c>
      <c r="G5432" s="63">
        <v>4.9599999999999998E-2</v>
      </c>
    </row>
    <row r="5433" spans="1:7" x14ac:dyDescent="0.2">
      <c r="A5433" t="s">
        <v>71</v>
      </c>
      <c r="B5433" t="s">
        <v>141</v>
      </c>
      <c r="C5433" t="s">
        <v>204</v>
      </c>
      <c r="D5433" t="s">
        <v>74</v>
      </c>
      <c r="E5433" t="s">
        <v>81</v>
      </c>
      <c r="F5433" s="55">
        <v>111</v>
      </c>
      <c r="G5433" s="63">
        <v>0.05</v>
      </c>
    </row>
    <row r="5434" spans="1:7" x14ac:dyDescent="0.2">
      <c r="A5434" t="s">
        <v>71</v>
      </c>
      <c r="B5434" t="s">
        <v>141</v>
      </c>
      <c r="C5434" t="s">
        <v>204</v>
      </c>
      <c r="D5434" t="s">
        <v>74</v>
      </c>
      <c r="E5434" t="s">
        <v>82</v>
      </c>
      <c r="F5434" s="55">
        <v>117</v>
      </c>
      <c r="G5434" s="63">
        <v>4.8000000000000001E-2</v>
      </c>
    </row>
    <row r="5435" spans="1:7" x14ac:dyDescent="0.2">
      <c r="A5435" t="s">
        <v>71</v>
      </c>
      <c r="B5435" t="s">
        <v>141</v>
      </c>
      <c r="C5435" t="s">
        <v>204</v>
      </c>
      <c r="D5435" t="s">
        <v>74</v>
      </c>
      <c r="E5435" t="s">
        <v>83</v>
      </c>
      <c r="F5435" s="55">
        <v>112</v>
      </c>
      <c r="G5435" s="63">
        <v>2.2700000000000001E-2</v>
      </c>
    </row>
    <row r="5436" spans="1:7" x14ac:dyDescent="0.2">
      <c r="A5436" t="s">
        <v>71</v>
      </c>
      <c r="B5436" t="s">
        <v>141</v>
      </c>
      <c r="C5436" t="s">
        <v>204</v>
      </c>
      <c r="D5436" t="s">
        <v>74</v>
      </c>
      <c r="E5436" t="s">
        <v>84</v>
      </c>
      <c r="F5436" s="55">
        <v>116</v>
      </c>
      <c r="G5436" s="63">
        <v>3.3799999999999997E-2</v>
      </c>
    </row>
    <row r="5437" spans="1:7" x14ac:dyDescent="0.2">
      <c r="A5437" t="s">
        <v>71</v>
      </c>
      <c r="B5437" t="s">
        <v>141</v>
      </c>
      <c r="C5437" t="s">
        <v>204</v>
      </c>
      <c r="D5437" t="s">
        <v>74</v>
      </c>
      <c r="E5437" t="s">
        <v>85</v>
      </c>
      <c r="F5437" s="55">
        <v>117</v>
      </c>
      <c r="G5437" s="63">
        <v>4.1200000000000001E-2</v>
      </c>
    </row>
    <row r="5438" spans="1:7" x14ac:dyDescent="0.2">
      <c r="A5438" t="s">
        <v>71</v>
      </c>
      <c r="B5438" t="s">
        <v>141</v>
      </c>
      <c r="C5438" t="s">
        <v>204</v>
      </c>
      <c r="D5438" t="s">
        <v>74</v>
      </c>
      <c r="E5438" t="s">
        <v>86</v>
      </c>
      <c r="F5438" s="55">
        <v>120</v>
      </c>
      <c r="G5438" s="63">
        <v>4.2299999999999997E-2</v>
      </c>
    </row>
    <row r="5439" spans="1:7" x14ac:dyDescent="0.2">
      <c r="A5439" t="s">
        <v>71</v>
      </c>
      <c r="B5439" t="s">
        <v>141</v>
      </c>
      <c r="C5439" t="s">
        <v>204</v>
      </c>
      <c r="D5439" t="s">
        <v>74</v>
      </c>
      <c r="E5439" t="s">
        <v>87</v>
      </c>
      <c r="F5439" s="55">
        <v>122</v>
      </c>
      <c r="G5439" s="63">
        <v>4.1599999999999998E-2</v>
      </c>
    </row>
    <row r="5440" spans="1:7" x14ac:dyDescent="0.2">
      <c r="A5440" t="s">
        <v>71</v>
      </c>
      <c r="B5440" t="s">
        <v>141</v>
      </c>
      <c r="C5440" t="s">
        <v>204</v>
      </c>
      <c r="D5440" t="s">
        <v>74</v>
      </c>
      <c r="E5440" t="s">
        <v>88</v>
      </c>
      <c r="F5440" s="55">
        <v>112</v>
      </c>
      <c r="G5440" s="63">
        <v>2.3800000000000002E-2</v>
      </c>
    </row>
    <row r="5441" spans="1:7" x14ac:dyDescent="0.2">
      <c r="A5441" t="s">
        <v>71</v>
      </c>
      <c r="B5441" t="s">
        <v>13</v>
      </c>
      <c r="C5441" t="s">
        <v>204</v>
      </c>
      <c r="D5441" t="s">
        <v>74</v>
      </c>
      <c r="E5441" t="s">
        <v>75</v>
      </c>
      <c r="F5441" s="55">
        <v>117</v>
      </c>
      <c r="G5441" s="63">
        <v>0.32650000000000001</v>
      </c>
    </row>
    <row r="5442" spans="1:7" x14ac:dyDescent="0.2">
      <c r="A5442" t="s">
        <v>71</v>
      </c>
      <c r="B5442" t="s">
        <v>13</v>
      </c>
      <c r="C5442" t="s">
        <v>204</v>
      </c>
      <c r="D5442" t="s">
        <v>74</v>
      </c>
      <c r="E5442" t="s">
        <v>76</v>
      </c>
      <c r="F5442" s="55">
        <v>105</v>
      </c>
      <c r="G5442" s="63">
        <v>5.6300000000000003E-2</v>
      </c>
    </row>
    <row r="5443" spans="1:7" x14ac:dyDescent="0.2">
      <c r="A5443" t="s">
        <v>71</v>
      </c>
      <c r="B5443" t="s">
        <v>13</v>
      </c>
      <c r="C5443" t="s">
        <v>204</v>
      </c>
      <c r="D5443" t="s">
        <v>74</v>
      </c>
      <c r="E5443" t="s">
        <v>77</v>
      </c>
      <c r="F5443" s="55">
        <v>114</v>
      </c>
      <c r="G5443" s="63">
        <v>0.15079999999999999</v>
      </c>
    </row>
    <row r="5444" spans="1:7" x14ac:dyDescent="0.2">
      <c r="A5444" t="s">
        <v>71</v>
      </c>
      <c r="B5444" t="s">
        <v>13</v>
      </c>
      <c r="C5444" t="s">
        <v>204</v>
      </c>
      <c r="D5444" t="s">
        <v>74</v>
      </c>
      <c r="E5444" t="s">
        <v>78</v>
      </c>
      <c r="F5444" s="55">
        <v>119</v>
      </c>
      <c r="G5444" s="63">
        <v>0.15190000000000001</v>
      </c>
    </row>
    <row r="5445" spans="1:7" x14ac:dyDescent="0.2">
      <c r="A5445" t="s">
        <v>71</v>
      </c>
      <c r="B5445" t="s">
        <v>13</v>
      </c>
      <c r="C5445" t="s">
        <v>204</v>
      </c>
      <c r="D5445" t="s">
        <v>74</v>
      </c>
      <c r="E5445" t="s">
        <v>79</v>
      </c>
      <c r="F5445" s="55">
        <v>121</v>
      </c>
      <c r="G5445" s="63">
        <v>0.23480000000000001</v>
      </c>
    </row>
    <row r="5446" spans="1:7" x14ac:dyDescent="0.2">
      <c r="A5446" t="s">
        <v>71</v>
      </c>
      <c r="B5446" t="s">
        <v>13</v>
      </c>
      <c r="C5446" t="s">
        <v>204</v>
      </c>
      <c r="D5446" t="s">
        <v>74</v>
      </c>
      <c r="E5446" t="s">
        <v>80</v>
      </c>
      <c r="F5446" s="55">
        <v>111</v>
      </c>
      <c r="G5446" s="63">
        <v>8.9399999999999993E-2</v>
      </c>
    </row>
    <row r="5447" spans="1:7" x14ac:dyDescent="0.2">
      <c r="A5447" t="s">
        <v>71</v>
      </c>
      <c r="B5447" t="s">
        <v>13</v>
      </c>
      <c r="C5447" t="s">
        <v>204</v>
      </c>
      <c r="D5447" t="s">
        <v>74</v>
      </c>
      <c r="E5447" t="s">
        <v>81</v>
      </c>
      <c r="F5447" s="55">
        <v>108</v>
      </c>
      <c r="G5447" s="63">
        <v>8.8099999999999998E-2</v>
      </c>
    </row>
    <row r="5448" spans="1:7" x14ac:dyDescent="0.2">
      <c r="A5448" t="s">
        <v>71</v>
      </c>
      <c r="B5448" t="s">
        <v>13</v>
      </c>
      <c r="C5448" t="s">
        <v>204</v>
      </c>
      <c r="D5448" t="s">
        <v>74</v>
      </c>
      <c r="E5448" t="s">
        <v>82</v>
      </c>
      <c r="F5448" s="55">
        <v>119</v>
      </c>
      <c r="G5448" s="63">
        <v>0.19450000000000001</v>
      </c>
    </row>
    <row r="5449" spans="1:7" x14ac:dyDescent="0.2">
      <c r="A5449" t="s">
        <v>71</v>
      </c>
      <c r="B5449" t="s">
        <v>13</v>
      </c>
      <c r="C5449" t="s">
        <v>204</v>
      </c>
      <c r="D5449" t="s">
        <v>74</v>
      </c>
      <c r="E5449" t="s">
        <v>83</v>
      </c>
      <c r="F5449" s="55">
        <v>109</v>
      </c>
      <c r="G5449" s="63">
        <v>4.6199999999999998E-2</v>
      </c>
    </row>
    <row r="5450" spans="1:7" x14ac:dyDescent="0.2">
      <c r="A5450" t="s">
        <v>71</v>
      </c>
      <c r="B5450" t="s">
        <v>13</v>
      </c>
      <c r="C5450" t="s">
        <v>204</v>
      </c>
      <c r="D5450" t="s">
        <v>74</v>
      </c>
      <c r="E5450" t="s">
        <v>84</v>
      </c>
      <c r="F5450" s="55">
        <v>119</v>
      </c>
      <c r="G5450" s="63">
        <v>0.1268</v>
      </c>
    </row>
    <row r="5451" spans="1:7" x14ac:dyDescent="0.2">
      <c r="A5451" t="s">
        <v>71</v>
      </c>
      <c r="B5451" t="s">
        <v>13</v>
      </c>
      <c r="C5451" t="s">
        <v>204</v>
      </c>
      <c r="D5451" t="s">
        <v>74</v>
      </c>
      <c r="E5451" t="s">
        <v>85</v>
      </c>
      <c r="F5451" s="55">
        <v>115</v>
      </c>
      <c r="G5451" s="63">
        <v>0.1079</v>
      </c>
    </row>
    <row r="5452" spans="1:7" x14ac:dyDescent="0.2">
      <c r="A5452" t="s">
        <v>71</v>
      </c>
      <c r="B5452" t="s">
        <v>13</v>
      </c>
      <c r="C5452" t="s">
        <v>204</v>
      </c>
      <c r="D5452" t="s">
        <v>74</v>
      </c>
      <c r="E5452" t="s">
        <v>86</v>
      </c>
      <c r="F5452" s="55">
        <v>119</v>
      </c>
      <c r="G5452" s="63">
        <v>0.13850000000000001</v>
      </c>
    </row>
    <row r="5453" spans="1:7" x14ac:dyDescent="0.2">
      <c r="A5453" t="s">
        <v>71</v>
      </c>
      <c r="B5453" t="s">
        <v>13</v>
      </c>
      <c r="C5453" t="s">
        <v>204</v>
      </c>
      <c r="D5453" t="s">
        <v>74</v>
      </c>
      <c r="E5453" t="s">
        <v>87</v>
      </c>
      <c r="F5453" s="55">
        <v>123</v>
      </c>
      <c r="G5453" s="63">
        <v>0.15079999999999999</v>
      </c>
    </row>
    <row r="5454" spans="1:7" x14ac:dyDescent="0.2">
      <c r="A5454" t="s">
        <v>71</v>
      </c>
      <c r="B5454" t="s">
        <v>13</v>
      </c>
      <c r="C5454" t="s">
        <v>204</v>
      </c>
      <c r="D5454" t="s">
        <v>74</v>
      </c>
      <c r="E5454" t="s">
        <v>88</v>
      </c>
      <c r="F5454" s="55">
        <v>107</v>
      </c>
      <c r="G5454" s="63">
        <v>9.3100000000000002E-2</v>
      </c>
    </row>
    <row r="5455" spans="1:7" x14ac:dyDescent="0.2">
      <c r="A5455" t="s">
        <v>89</v>
      </c>
      <c r="B5455" t="s">
        <v>142</v>
      </c>
      <c r="C5455" t="s">
        <v>204</v>
      </c>
      <c r="D5455" t="s">
        <v>74</v>
      </c>
      <c r="E5455" t="s">
        <v>75</v>
      </c>
      <c r="F5455" s="55">
        <v>122</v>
      </c>
      <c r="G5455" s="63">
        <v>6.6699999999999995E-2</v>
      </c>
    </row>
    <row r="5456" spans="1:7" x14ac:dyDescent="0.2">
      <c r="A5456" t="s">
        <v>89</v>
      </c>
      <c r="B5456" t="s">
        <v>142</v>
      </c>
      <c r="C5456" t="s">
        <v>204</v>
      </c>
      <c r="D5456" t="s">
        <v>74</v>
      </c>
      <c r="E5456" t="s">
        <v>76</v>
      </c>
      <c r="F5456" s="55">
        <v>123</v>
      </c>
      <c r="G5456" s="63">
        <v>7.1000000000000004E-3</v>
      </c>
    </row>
    <row r="5457" spans="1:7" x14ac:dyDescent="0.2">
      <c r="A5457" t="s">
        <v>89</v>
      </c>
      <c r="B5457" t="s">
        <v>142</v>
      </c>
      <c r="C5457" t="s">
        <v>204</v>
      </c>
      <c r="D5457" t="s">
        <v>74</v>
      </c>
      <c r="E5457" t="s">
        <v>77</v>
      </c>
      <c r="F5457" s="55">
        <v>117</v>
      </c>
      <c r="G5457" s="63">
        <v>2.1100000000000001E-2</v>
      </c>
    </row>
    <row r="5458" spans="1:7" x14ac:dyDescent="0.2">
      <c r="A5458" t="s">
        <v>89</v>
      </c>
      <c r="B5458" t="s">
        <v>142</v>
      </c>
      <c r="C5458" t="s">
        <v>204</v>
      </c>
      <c r="D5458" t="s">
        <v>74</v>
      </c>
      <c r="E5458" t="s">
        <v>78</v>
      </c>
      <c r="F5458" s="55">
        <v>124</v>
      </c>
      <c r="G5458" s="63">
        <v>1.95E-2</v>
      </c>
    </row>
    <row r="5459" spans="1:7" x14ac:dyDescent="0.2">
      <c r="A5459" t="s">
        <v>89</v>
      </c>
      <c r="B5459" t="s">
        <v>142</v>
      </c>
      <c r="C5459" t="s">
        <v>204</v>
      </c>
      <c r="D5459" t="s">
        <v>74</v>
      </c>
      <c r="E5459" t="s">
        <v>79</v>
      </c>
      <c r="F5459" s="55">
        <v>127</v>
      </c>
      <c r="G5459" s="63">
        <v>4.0300000000000002E-2</v>
      </c>
    </row>
    <row r="5460" spans="1:7" x14ac:dyDescent="0.2">
      <c r="A5460" t="s">
        <v>89</v>
      </c>
      <c r="B5460" t="s">
        <v>142</v>
      </c>
      <c r="C5460" t="s">
        <v>204</v>
      </c>
      <c r="D5460" t="s">
        <v>74</v>
      </c>
      <c r="E5460" t="s">
        <v>80</v>
      </c>
      <c r="F5460" s="55">
        <v>118</v>
      </c>
      <c r="G5460" s="63">
        <v>1.9599999999999999E-2</v>
      </c>
    </row>
    <row r="5461" spans="1:7" x14ac:dyDescent="0.2">
      <c r="A5461" t="s">
        <v>89</v>
      </c>
      <c r="B5461" t="s">
        <v>142</v>
      </c>
      <c r="C5461" t="s">
        <v>204</v>
      </c>
      <c r="D5461" t="s">
        <v>74</v>
      </c>
      <c r="E5461" t="s">
        <v>81</v>
      </c>
      <c r="F5461" s="55">
        <v>120</v>
      </c>
      <c r="G5461" s="63">
        <v>2.01E-2</v>
      </c>
    </row>
    <row r="5462" spans="1:7" x14ac:dyDescent="0.2">
      <c r="A5462" t="s">
        <v>89</v>
      </c>
      <c r="B5462" t="s">
        <v>142</v>
      </c>
      <c r="C5462" t="s">
        <v>204</v>
      </c>
      <c r="D5462" t="s">
        <v>74</v>
      </c>
      <c r="E5462" t="s">
        <v>82</v>
      </c>
      <c r="F5462" s="55">
        <v>123</v>
      </c>
      <c r="G5462" s="63">
        <v>2.63E-2</v>
      </c>
    </row>
    <row r="5463" spans="1:7" x14ac:dyDescent="0.2">
      <c r="A5463" t="s">
        <v>89</v>
      </c>
      <c r="B5463" t="s">
        <v>142</v>
      </c>
      <c r="C5463" t="s">
        <v>204</v>
      </c>
      <c r="D5463" t="s">
        <v>74</v>
      </c>
      <c r="E5463" t="s">
        <v>83</v>
      </c>
      <c r="F5463" s="55">
        <v>121</v>
      </c>
      <c r="G5463" s="63">
        <v>7.6E-3</v>
      </c>
    </row>
    <row r="5464" spans="1:7" x14ac:dyDescent="0.2">
      <c r="A5464" t="s">
        <v>89</v>
      </c>
      <c r="B5464" t="s">
        <v>142</v>
      </c>
      <c r="C5464" t="s">
        <v>204</v>
      </c>
      <c r="D5464" t="s">
        <v>74</v>
      </c>
      <c r="E5464" t="s">
        <v>84</v>
      </c>
      <c r="F5464" s="55">
        <v>120</v>
      </c>
      <c r="G5464" s="63">
        <v>1.61E-2</v>
      </c>
    </row>
    <row r="5465" spans="1:7" x14ac:dyDescent="0.2">
      <c r="A5465" t="s">
        <v>89</v>
      </c>
      <c r="B5465" t="s">
        <v>142</v>
      </c>
      <c r="C5465" t="s">
        <v>204</v>
      </c>
      <c r="D5465" t="s">
        <v>74</v>
      </c>
      <c r="E5465" t="s">
        <v>85</v>
      </c>
      <c r="F5465" s="55">
        <v>109</v>
      </c>
      <c r="G5465" s="63">
        <v>1.7899999999999999E-2</v>
      </c>
    </row>
    <row r="5466" spans="1:7" x14ac:dyDescent="0.2">
      <c r="A5466" t="s">
        <v>89</v>
      </c>
      <c r="B5466" t="s">
        <v>142</v>
      </c>
      <c r="C5466" t="s">
        <v>204</v>
      </c>
      <c r="D5466" t="s">
        <v>74</v>
      </c>
      <c r="E5466" t="s">
        <v>86</v>
      </c>
      <c r="F5466" s="55">
        <v>116</v>
      </c>
      <c r="G5466" s="63">
        <v>1.9099999999999999E-2</v>
      </c>
    </row>
    <row r="5467" spans="1:7" x14ac:dyDescent="0.2">
      <c r="A5467" t="s">
        <v>89</v>
      </c>
      <c r="B5467" t="s">
        <v>142</v>
      </c>
      <c r="C5467" t="s">
        <v>204</v>
      </c>
      <c r="D5467" t="s">
        <v>74</v>
      </c>
      <c r="E5467" t="s">
        <v>87</v>
      </c>
      <c r="F5467" s="55">
        <v>134</v>
      </c>
      <c r="G5467" s="63">
        <v>1.7899999999999999E-2</v>
      </c>
    </row>
    <row r="5468" spans="1:7" x14ac:dyDescent="0.2">
      <c r="A5468" t="s">
        <v>89</v>
      </c>
      <c r="B5468" t="s">
        <v>142</v>
      </c>
      <c r="C5468" t="s">
        <v>204</v>
      </c>
      <c r="D5468" t="s">
        <v>74</v>
      </c>
      <c r="E5468" t="s">
        <v>88</v>
      </c>
      <c r="F5468" s="55">
        <v>122</v>
      </c>
      <c r="G5468" s="63">
        <v>1.0999999999999999E-2</v>
      </c>
    </row>
    <row r="5469" spans="1:7" x14ac:dyDescent="0.2">
      <c r="A5469" t="s">
        <v>89</v>
      </c>
      <c r="B5469" t="s">
        <v>143</v>
      </c>
      <c r="C5469" t="s">
        <v>204</v>
      </c>
      <c r="D5469" t="s">
        <v>74</v>
      </c>
      <c r="E5469" t="s">
        <v>75</v>
      </c>
      <c r="F5469" s="55">
        <v>128</v>
      </c>
      <c r="G5469" s="63">
        <v>0.2351</v>
      </c>
    </row>
    <row r="5470" spans="1:7" x14ac:dyDescent="0.2">
      <c r="A5470" t="s">
        <v>89</v>
      </c>
      <c r="B5470" t="s">
        <v>143</v>
      </c>
      <c r="C5470" t="s">
        <v>204</v>
      </c>
      <c r="D5470" t="s">
        <v>74</v>
      </c>
      <c r="E5470" t="s">
        <v>76</v>
      </c>
      <c r="F5470" s="55">
        <v>123</v>
      </c>
      <c r="G5470" s="63">
        <v>4.4400000000000002E-2</v>
      </c>
    </row>
    <row r="5471" spans="1:7" x14ac:dyDescent="0.2">
      <c r="A5471" t="s">
        <v>89</v>
      </c>
      <c r="B5471" t="s">
        <v>143</v>
      </c>
      <c r="C5471" t="s">
        <v>204</v>
      </c>
      <c r="D5471" t="s">
        <v>74</v>
      </c>
      <c r="E5471" t="s">
        <v>77</v>
      </c>
      <c r="F5471" s="55">
        <v>127</v>
      </c>
      <c r="G5471" s="63">
        <v>9.74E-2</v>
      </c>
    </row>
    <row r="5472" spans="1:7" x14ac:dyDescent="0.2">
      <c r="A5472" t="s">
        <v>89</v>
      </c>
      <c r="B5472" t="s">
        <v>143</v>
      </c>
      <c r="C5472" t="s">
        <v>204</v>
      </c>
      <c r="D5472" t="s">
        <v>74</v>
      </c>
      <c r="E5472" t="s">
        <v>78</v>
      </c>
      <c r="F5472" s="55">
        <v>127</v>
      </c>
      <c r="G5472" s="63">
        <v>0.1003</v>
      </c>
    </row>
    <row r="5473" spans="1:7" x14ac:dyDescent="0.2">
      <c r="A5473" t="s">
        <v>89</v>
      </c>
      <c r="B5473" t="s">
        <v>143</v>
      </c>
      <c r="C5473" t="s">
        <v>204</v>
      </c>
      <c r="D5473" t="s">
        <v>74</v>
      </c>
      <c r="E5473" t="s">
        <v>79</v>
      </c>
      <c r="F5473" s="55">
        <v>131</v>
      </c>
      <c r="G5473" s="63">
        <v>0.16300000000000001</v>
      </c>
    </row>
    <row r="5474" spans="1:7" x14ac:dyDescent="0.2">
      <c r="A5474" t="s">
        <v>89</v>
      </c>
      <c r="B5474" t="s">
        <v>143</v>
      </c>
      <c r="C5474" t="s">
        <v>204</v>
      </c>
      <c r="D5474" t="s">
        <v>74</v>
      </c>
      <c r="E5474" t="s">
        <v>80</v>
      </c>
      <c r="F5474" s="55">
        <v>130</v>
      </c>
      <c r="G5474" s="63">
        <v>5.5399999999999998E-2</v>
      </c>
    </row>
    <row r="5475" spans="1:7" x14ac:dyDescent="0.2">
      <c r="A5475" t="s">
        <v>89</v>
      </c>
      <c r="B5475" t="s">
        <v>143</v>
      </c>
      <c r="C5475" t="s">
        <v>204</v>
      </c>
      <c r="D5475" t="s">
        <v>74</v>
      </c>
      <c r="E5475" t="s">
        <v>81</v>
      </c>
      <c r="F5475" s="55">
        <v>127</v>
      </c>
      <c r="G5475" s="63">
        <v>0.06</v>
      </c>
    </row>
    <row r="5476" spans="1:7" x14ac:dyDescent="0.2">
      <c r="A5476" t="s">
        <v>89</v>
      </c>
      <c r="B5476" t="s">
        <v>143</v>
      </c>
      <c r="C5476" t="s">
        <v>204</v>
      </c>
      <c r="D5476" t="s">
        <v>74</v>
      </c>
      <c r="E5476" t="s">
        <v>82</v>
      </c>
      <c r="F5476" s="55">
        <v>129</v>
      </c>
      <c r="G5476" s="63">
        <v>0.13289999999999999</v>
      </c>
    </row>
    <row r="5477" spans="1:7" x14ac:dyDescent="0.2">
      <c r="A5477" t="s">
        <v>89</v>
      </c>
      <c r="B5477" t="s">
        <v>143</v>
      </c>
      <c r="C5477" t="s">
        <v>204</v>
      </c>
      <c r="D5477" t="s">
        <v>74</v>
      </c>
      <c r="E5477" t="s">
        <v>83</v>
      </c>
      <c r="F5477" s="55">
        <v>125</v>
      </c>
      <c r="G5477" s="63">
        <v>3.6200000000000003E-2</v>
      </c>
    </row>
    <row r="5478" spans="1:7" x14ac:dyDescent="0.2">
      <c r="A5478" t="s">
        <v>89</v>
      </c>
      <c r="B5478" t="s">
        <v>143</v>
      </c>
      <c r="C5478" t="s">
        <v>204</v>
      </c>
      <c r="D5478" t="s">
        <v>74</v>
      </c>
      <c r="E5478" t="s">
        <v>84</v>
      </c>
      <c r="F5478" s="55">
        <v>125</v>
      </c>
      <c r="G5478" s="63">
        <v>7.6100000000000001E-2</v>
      </c>
    </row>
    <row r="5479" spans="1:7" x14ac:dyDescent="0.2">
      <c r="A5479" t="s">
        <v>89</v>
      </c>
      <c r="B5479" t="s">
        <v>143</v>
      </c>
      <c r="C5479" t="s">
        <v>204</v>
      </c>
      <c r="D5479" t="s">
        <v>74</v>
      </c>
      <c r="E5479" t="s">
        <v>85</v>
      </c>
      <c r="F5479" s="55">
        <v>130</v>
      </c>
      <c r="G5479" s="63">
        <v>6.1400000000000003E-2</v>
      </c>
    </row>
    <row r="5480" spans="1:7" x14ac:dyDescent="0.2">
      <c r="A5480" t="s">
        <v>89</v>
      </c>
      <c r="B5480" t="s">
        <v>143</v>
      </c>
      <c r="C5480" t="s">
        <v>204</v>
      </c>
      <c r="D5480" t="s">
        <v>74</v>
      </c>
      <c r="E5480" t="s">
        <v>86</v>
      </c>
      <c r="F5480" s="55">
        <v>128</v>
      </c>
      <c r="G5480" s="63">
        <v>8.3799999999999999E-2</v>
      </c>
    </row>
    <row r="5481" spans="1:7" x14ac:dyDescent="0.2">
      <c r="A5481" t="s">
        <v>89</v>
      </c>
      <c r="B5481" t="s">
        <v>143</v>
      </c>
      <c r="C5481" t="s">
        <v>204</v>
      </c>
      <c r="D5481" t="s">
        <v>74</v>
      </c>
      <c r="E5481" t="s">
        <v>87</v>
      </c>
      <c r="F5481" s="55">
        <v>131</v>
      </c>
      <c r="G5481" s="63">
        <v>9.6699999999999994E-2</v>
      </c>
    </row>
    <row r="5482" spans="1:7" x14ac:dyDescent="0.2">
      <c r="A5482" t="s">
        <v>89</v>
      </c>
      <c r="B5482" t="s">
        <v>143</v>
      </c>
      <c r="C5482" t="s">
        <v>204</v>
      </c>
      <c r="D5482" t="s">
        <v>74</v>
      </c>
      <c r="E5482" t="s">
        <v>88</v>
      </c>
      <c r="F5482" s="55">
        <v>122</v>
      </c>
      <c r="G5482" s="63">
        <v>6.3700000000000007E-2</v>
      </c>
    </row>
    <row r="5483" spans="1:7" x14ac:dyDescent="0.2">
      <c r="A5483" t="s">
        <v>71</v>
      </c>
      <c r="B5483" t="s">
        <v>144</v>
      </c>
      <c r="C5483" t="s">
        <v>204</v>
      </c>
      <c r="D5483" t="s">
        <v>74</v>
      </c>
      <c r="E5483" t="s">
        <v>75</v>
      </c>
      <c r="F5483" s="55">
        <v>105</v>
      </c>
      <c r="G5483" s="63">
        <v>0.2424</v>
      </c>
    </row>
    <row r="5484" spans="1:7" x14ac:dyDescent="0.2">
      <c r="A5484" t="s">
        <v>71</v>
      </c>
      <c r="B5484" t="s">
        <v>144</v>
      </c>
      <c r="C5484" t="s">
        <v>204</v>
      </c>
      <c r="D5484" t="s">
        <v>74</v>
      </c>
      <c r="E5484" t="s">
        <v>76</v>
      </c>
      <c r="F5484" s="55">
        <v>107</v>
      </c>
      <c r="G5484" s="63">
        <v>3.3599999999999998E-2</v>
      </c>
    </row>
    <row r="5485" spans="1:7" x14ac:dyDescent="0.2">
      <c r="A5485" t="s">
        <v>71</v>
      </c>
      <c r="B5485" t="s">
        <v>144</v>
      </c>
      <c r="C5485" t="s">
        <v>204</v>
      </c>
      <c r="D5485" t="s">
        <v>74</v>
      </c>
      <c r="E5485" t="s">
        <v>77</v>
      </c>
      <c r="F5485" s="55">
        <v>105</v>
      </c>
      <c r="G5485" s="63">
        <v>8.6499999999999994E-2</v>
      </c>
    </row>
    <row r="5486" spans="1:7" x14ac:dyDescent="0.2">
      <c r="A5486" t="s">
        <v>71</v>
      </c>
      <c r="B5486" t="s">
        <v>144</v>
      </c>
      <c r="C5486" t="s">
        <v>204</v>
      </c>
      <c r="D5486" t="s">
        <v>74</v>
      </c>
      <c r="E5486" t="s">
        <v>78</v>
      </c>
      <c r="F5486" s="55">
        <v>111</v>
      </c>
      <c r="G5486" s="63">
        <v>6.9500000000000006E-2</v>
      </c>
    </row>
    <row r="5487" spans="1:7" x14ac:dyDescent="0.2">
      <c r="A5487" t="s">
        <v>71</v>
      </c>
      <c r="B5487" t="s">
        <v>144</v>
      </c>
      <c r="C5487" t="s">
        <v>204</v>
      </c>
      <c r="D5487" t="s">
        <v>74</v>
      </c>
      <c r="E5487" t="s">
        <v>79</v>
      </c>
      <c r="F5487" s="55">
        <v>108</v>
      </c>
      <c r="G5487" s="63">
        <v>0.14649999999999999</v>
      </c>
    </row>
    <row r="5488" spans="1:7" x14ac:dyDescent="0.2">
      <c r="A5488" t="s">
        <v>71</v>
      </c>
      <c r="B5488" t="s">
        <v>144</v>
      </c>
      <c r="C5488" t="s">
        <v>204</v>
      </c>
      <c r="D5488" t="s">
        <v>74</v>
      </c>
      <c r="E5488" t="s">
        <v>80</v>
      </c>
      <c r="F5488" s="55">
        <v>105</v>
      </c>
      <c r="G5488" s="63">
        <v>8.6099999999999996E-2</v>
      </c>
    </row>
    <row r="5489" spans="1:7" x14ac:dyDescent="0.2">
      <c r="A5489" t="s">
        <v>71</v>
      </c>
      <c r="B5489" t="s">
        <v>144</v>
      </c>
      <c r="C5489" t="s">
        <v>204</v>
      </c>
      <c r="D5489" t="s">
        <v>74</v>
      </c>
      <c r="E5489" t="s">
        <v>81</v>
      </c>
      <c r="F5489" s="55">
        <v>102</v>
      </c>
      <c r="G5489" s="63">
        <v>8.8099999999999998E-2</v>
      </c>
    </row>
    <row r="5490" spans="1:7" x14ac:dyDescent="0.2">
      <c r="A5490" t="s">
        <v>71</v>
      </c>
      <c r="B5490" t="s">
        <v>144</v>
      </c>
      <c r="C5490" t="s">
        <v>204</v>
      </c>
      <c r="D5490" t="s">
        <v>74</v>
      </c>
      <c r="E5490" t="s">
        <v>82</v>
      </c>
      <c r="F5490" s="55">
        <v>104</v>
      </c>
      <c r="G5490" s="63">
        <v>9.8199999999999996E-2</v>
      </c>
    </row>
    <row r="5491" spans="1:7" x14ac:dyDescent="0.2">
      <c r="A5491" t="s">
        <v>71</v>
      </c>
      <c r="B5491" t="s">
        <v>144</v>
      </c>
      <c r="C5491" t="s">
        <v>204</v>
      </c>
      <c r="D5491" t="s">
        <v>74</v>
      </c>
      <c r="E5491" t="s">
        <v>83</v>
      </c>
      <c r="F5491" s="55">
        <v>102</v>
      </c>
      <c r="G5491" s="63">
        <v>3.4099999999999998E-2</v>
      </c>
    </row>
    <row r="5492" spans="1:7" x14ac:dyDescent="0.2">
      <c r="A5492" t="s">
        <v>71</v>
      </c>
      <c r="B5492" t="s">
        <v>144</v>
      </c>
      <c r="C5492" t="s">
        <v>204</v>
      </c>
      <c r="D5492" t="s">
        <v>74</v>
      </c>
      <c r="E5492" t="s">
        <v>84</v>
      </c>
      <c r="F5492" s="55">
        <v>111</v>
      </c>
      <c r="G5492" s="63">
        <v>5.62E-2</v>
      </c>
    </row>
    <row r="5493" spans="1:7" x14ac:dyDescent="0.2">
      <c r="A5493" t="s">
        <v>71</v>
      </c>
      <c r="B5493" t="s">
        <v>144</v>
      </c>
      <c r="C5493" t="s">
        <v>204</v>
      </c>
      <c r="D5493" t="s">
        <v>74</v>
      </c>
      <c r="E5493" t="s">
        <v>85</v>
      </c>
      <c r="F5493" s="55">
        <v>106</v>
      </c>
      <c r="G5493" s="63">
        <v>7.2599999999999998E-2</v>
      </c>
    </row>
    <row r="5494" spans="1:7" x14ac:dyDescent="0.2">
      <c r="A5494" t="s">
        <v>71</v>
      </c>
      <c r="B5494" t="s">
        <v>144</v>
      </c>
      <c r="C5494" t="s">
        <v>204</v>
      </c>
      <c r="D5494" t="s">
        <v>74</v>
      </c>
      <c r="E5494" t="s">
        <v>86</v>
      </c>
      <c r="F5494" s="55">
        <v>106</v>
      </c>
      <c r="G5494" s="63">
        <v>7.0400000000000004E-2</v>
      </c>
    </row>
    <row r="5495" spans="1:7" x14ac:dyDescent="0.2">
      <c r="A5495" t="s">
        <v>71</v>
      </c>
      <c r="B5495" t="s">
        <v>144</v>
      </c>
      <c r="C5495" t="s">
        <v>204</v>
      </c>
      <c r="D5495" t="s">
        <v>74</v>
      </c>
      <c r="E5495" t="s">
        <v>87</v>
      </c>
      <c r="F5495" s="55">
        <v>105</v>
      </c>
      <c r="G5495" s="63">
        <v>6.7199999999999996E-2</v>
      </c>
    </row>
    <row r="5496" spans="1:7" x14ac:dyDescent="0.2">
      <c r="A5496" t="s">
        <v>71</v>
      </c>
      <c r="B5496" t="s">
        <v>144</v>
      </c>
      <c r="C5496" t="s">
        <v>204</v>
      </c>
      <c r="D5496" t="s">
        <v>74</v>
      </c>
      <c r="E5496" t="s">
        <v>88</v>
      </c>
      <c r="F5496" s="55">
        <v>103</v>
      </c>
      <c r="G5496" s="63">
        <v>5.0500000000000003E-2</v>
      </c>
    </row>
    <row r="5497" spans="1:7" x14ac:dyDescent="0.2">
      <c r="A5497" t="s">
        <v>71</v>
      </c>
      <c r="B5497" t="s">
        <v>201</v>
      </c>
      <c r="C5497" t="s">
        <v>204</v>
      </c>
      <c r="D5497" t="s">
        <v>74</v>
      </c>
      <c r="E5497" t="s">
        <v>75</v>
      </c>
      <c r="F5497" s="55">
        <v>30</v>
      </c>
      <c r="G5497" s="63">
        <v>7.9000000000000008E-3</v>
      </c>
    </row>
    <row r="5498" spans="1:7" x14ac:dyDescent="0.2">
      <c r="A5498" t="s">
        <v>71</v>
      </c>
      <c r="B5498" t="s">
        <v>201</v>
      </c>
      <c r="C5498" t="s">
        <v>204</v>
      </c>
      <c r="D5498" t="s">
        <v>74</v>
      </c>
      <c r="E5498" t="s">
        <v>77</v>
      </c>
      <c r="F5498" s="55">
        <v>29</v>
      </c>
      <c r="G5498" s="63">
        <v>2.5999999999999999E-3</v>
      </c>
    </row>
    <row r="5499" spans="1:7" x14ac:dyDescent="0.2">
      <c r="A5499" t="s">
        <v>71</v>
      </c>
      <c r="B5499" t="s">
        <v>201</v>
      </c>
      <c r="C5499" t="s">
        <v>204</v>
      </c>
      <c r="D5499" t="s">
        <v>74</v>
      </c>
      <c r="E5499" t="s">
        <v>78</v>
      </c>
      <c r="F5499" s="55">
        <v>29</v>
      </c>
      <c r="G5499" s="63">
        <v>2.8E-3</v>
      </c>
    </row>
    <row r="5500" spans="1:7" x14ac:dyDescent="0.2">
      <c r="A5500" t="s">
        <v>71</v>
      </c>
      <c r="B5500" t="s">
        <v>201</v>
      </c>
      <c r="C5500" t="s">
        <v>204</v>
      </c>
      <c r="D5500" t="s">
        <v>74</v>
      </c>
      <c r="E5500" t="s">
        <v>79</v>
      </c>
      <c r="F5500" s="55">
        <v>29</v>
      </c>
      <c r="G5500" s="63">
        <v>5.7000000000000002E-3</v>
      </c>
    </row>
    <row r="5501" spans="1:7" x14ac:dyDescent="0.2">
      <c r="A5501" t="s">
        <v>71</v>
      </c>
      <c r="B5501" t="s">
        <v>201</v>
      </c>
      <c r="C5501" t="s">
        <v>204</v>
      </c>
      <c r="D5501" t="s">
        <v>74</v>
      </c>
      <c r="E5501" t="s">
        <v>80</v>
      </c>
      <c r="F5501" s="55">
        <v>28</v>
      </c>
      <c r="G5501" s="63">
        <v>3.5000000000000001E-3</v>
      </c>
    </row>
    <row r="5502" spans="1:7" x14ac:dyDescent="0.2">
      <c r="A5502" t="s">
        <v>71</v>
      </c>
      <c r="B5502" t="s">
        <v>201</v>
      </c>
      <c r="C5502" t="s">
        <v>204</v>
      </c>
      <c r="D5502" t="s">
        <v>74</v>
      </c>
      <c r="E5502" t="s">
        <v>81</v>
      </c>
      <c r="F5502" s="55">
        <v>32</v>
      </c>
      <c r="G5502" s="63">
        <v>3.0000000000000001E-3</v>
      </c>
    </row>
    <row r="5503" spans="1:7" x14ac:dyDescent="0.2">
      <c r="A5503" t="s">
        <v>71</v>
      </c>
      <c r="B5503" t="s">
        <v>201</v>
      </c>
      <c r="C5503" t="s">
        <v>204</v>
      </c>
      <c r="D5503" t="s">
        <v>74</v>
      </c>
      <c r="E5503" t="s">
        <v>82</v>
      </c>
      <c r="F5503" s="55">
        <v>36</v>
      </c>
      <c r="G5503" s="63">
        <v>3.3999999999999998E-3</v>
      </c>
    </row>
    <row r="5504" spans="1:7" x14ac:dyDescent="0.2">
      <c r="A5504" t="s">
        <v>71</v>
      </c>
      <c r="B5504" t="s">
        <v>201</v>
      </c>
      <c r="C5504" t="s">
        <v>204</v>
      </c>
      <c r="D5504" t="s">
        <v>74</v>
      </c>
      <c r="E5504" t="s">
        <v>84</v>
      </c>
      <c r="F5504" s="55">
        <v>30</v>
      </c>
      <c r="G5504" s="63">
        <v>2.2000000000000001E-3</v>
      </c>
    </row>
    <row r="5505" spans="1:7" x14ac:dyDescent="0.2">
      <c r="A5505" t="s">
        <v>71</v>
      </c>
      <c r="B5505" t="s">
        <v>201</v>
      </c>
      <c r="C5505" t="s">
        <v>204</v>
      </c>
      <c r="D5505" t="s">
        <v>74</v>
      </c>
      <c r="E5505" t="s">
        <v>85</v>
      </c>
      <c r="F5505" s="55">
        <v>29</v>
      </c>
      <c r="G5505" s="63">
        <v>3.2000000000000002E-3</v>
      </c>
    </row>
    <row r="5506" spans="1:7" x14ac:dyDescent="0.2">
      <c r="A5506" t="s">
        <v>71</v>
      </c>
      <c r="B5506" t="s">
        <v>201</v>
      </c>
      <c r="C5506" t="s">
        <v>204</v>
      </c>
      <c r="D5506" t="s">
        <v>74</v>
      </c>
      <c r="E5506" t="s">
        <v>86</v>
      </c>
      <c r="F5506" s="55">
        <v>29</v>
      </c>
      <c r="G5506" s="63">
        <v>3.2000000000000002E-3</v>
      </c>
    </row>
    <row r="5507" spans="1:7" x14ac:dyDescent="0.2">
      <c r="A5507" t="s">
        <v>71</v>
      </c>
      <c r="B5507" t="s">
        <v>201</v>
      </c>
      <c r="C5507" t="s">
        <v>204</v>
      </c>
      <c r="D5507" t="s">
        <v>74</v>
      </c>
      <c r="E5507" t="s">
        <v>87</v>
      </c>
      <c r="F5507" s="55">
        <v>25</v>
      </c>
      <c r="G5507" s="63">
        <v>2.8E-3</v>
      </c>
    </row>
    <row r="5508" spans="1:7" x14ac:dyDescent="0.2">
      <c r="A5508" t="s">
        <v>71</v>
      </c>
      <c r="B5508" t="s">
        <v>201</v>
      </c>
      <c r="C5508" t="s">
        <v>204</v>
      </c>
      <c r="D5508" t="s">
        <v>74</v>
      </c>
      <c r="E5508" t="s">
        <v>88</v>
      </c>
      <c r="F5508" s="55">
        <v>34</v>
      </c>
      <c r="G5508" s="63">
        <v>1E-3</v>
      </c>
    </row>
    <row r="5509" spans="1:7" x14ac:dyDescent="0.2">
      <c r="A5509" t="s">
        <v>71</v>
      </c>
      <c r="B5509" t="s">
        <v>14</v>
      </c>
      <c r="C5509" t="s">
        <v>204</v>
      </c>
      <c r="D5509" t="s">
        <v>74</v>
      </c>
      <c r="E5509" t="s">
        <v>75</v>
      </c>
      <c r="F5509" s="55">
        <v>111</v>
      </c>
      <c r="G5509" s="63">
        <v>0.38179999999999997</v>
      </c>
    </row>
    <row r="5510" spans="1:7" x14ac:dyDescent="0.2">
      <c r="A5510" t="s">
        <v>71</v>
      </c>
      <c r="B5510" t="s">
        <v>14</v>
      </c>
      <c r="C5510" t="s">
        <v>204</v>
      </c>
      <c r="D5510" t="s">
        <v>74</v>
      </c>
      <c r="E5510" t="s">
        <v>76</v>
      </c>
      <c r="F5510" s="55">
        <v>110</v>
      </c>
      <c r="G5510" s="63">
        <v>8.2000000000000003E-2</v>
      </c>
    </row>
    <row r="5511" spans="1:7" x14ac:dyDescent="0.2">
      <c r="A5511" t="s">
        <v>71</v>
      </c>
      <c r="B5511" t="s">
        <v>14</v>
      </c>
      <c r="C5511" t="s">
        <v>204</v>
      </c>
      <c r="D5511" t="s">
        <v>74</v>
      </c>
      <c r="E5511" t="s">
        <v>77</v>
      </c>
      <c r="F5511" s="55">
        <v>112</v>
      </c>
      <c r="G5511" s="63">
        <v>0.18770000000000001</v>
      </c>
    </row>
    <row r="5512" spans="1:7" x14ac:dyDescent="0.2">
      <c r="A5512" t="s">
        <v>71</v>
      </c>
      <c r="B5512" t="s">
        <v>14</v>
      </c>
      <c r="C5512" t="s">
        <v>204</v>
      </c>
      <c r="D5512" t="s">
        <v>74</v>
      </c>
      <c r="E5512" t="s">
        <v>78</v>
      </c>
      <c r="F5512" s="55">
        <v>113</v>
      </c>
      <c r="G5512" s="63">
        <v>0.19059999999999999</v>
      </c>
    </row>
    <row r="5513" spans="1:7" x14ac:dyDescent="0.2">
      <c r="A5513" t="s">
        <v>71</v>
      </c>
      <c r="B5513" t="s">
        <v>14</v>
      </c>
      <c r="C5513" t="s">
        <v>204</v>
      </c>
      <c r="D5513" t="s">
        <v>74</v>
      </c>
      <c r="E5513" t="s">
        <v>79</v>
      </c>
      <c r="F5513" s="55">
        <v>111</v>
      </c>
      <c r="G5513" s="63">
        <v>0.28239999999999998</v>
      </c>
    </row>
    <row r="5514" spans="1:7" x14ac:dyDescent="0.2">
      <c r="A5514" t="s">
        <v>71</v>
      </c>
      <c r="B5514" t="s">
        <v>14</v>
      </c>
      <c r="C5514" t="s">
        <v>204</v>
      </c>
      <c r="D5514" t="s">
        <v>74</v>
      </c>
      <c r="E5514" t="s">
        <v>80</v>
      </c>
      <c r="F5514" s="55">
        <v>109</v>
      </c>
      <c r="G5514" s="63">
        <v>0.11169999999999999</v>
      </c>
    </row>
    <row r="5515" spans="1:7" x14ac:dyDescent="0.2">
      <c r="A5515" t="s">
        <v>71</v>
      </c>
      <c r="B5515" t="s">
        <v>14</v>
      </c>
      <c r="C5515" t="s">
        <v>204</v>
      </c>
      <c r="D5515" t="s">
        <v>74</v>
      </c>
      <c r="E5515" t="s">
        <v>81</v>
      </c>
      <c r="F5515" s="55">
        <v>109</v>
      </c>
      <c r="G5515" s="63">
        <v>0.1056</v>
      </c>
    </row>
    <row r="5516" spans="1:7" x14ac:dyDescent="0.2">
      <c r="A5516" t="s">
        <v>71</v>
      </c>
      <c r="B5516" t="s">
        <v>14</v>
      </c>
      <c r="C5516" t="s">
        <v>204</v>
      </c>
      <c r="D5516" t="s">
        <v>74</v>
      </c>
      <c r="E5516" t="s">
        <v>82</v>
      </c>
      <c r="F5516" s="55">
        <v>109</v>
      </c>
      <c r="G5516" s="63">
        <v>0.2326</v>
      </c>
    </row>
    <row r="5517" spans="1:7" x14ac:dyDescent="0.2">
      <c r="A5517" t="s">
        <v>71</v>
      </c>
      <c r="B5517" t="s">
        <v>14</v>
      </c>
      <c r="C5517" t="s">
        <v>204</v>
      </c>
      <c r="D5517" t="s">
        <v>74</v>
      </c>
      <c r="E5517" t="s">
        <v>83</v>
      </c>
      <c r="F5517" s="55">
        <v>112</v>
      </c>
      <c r="G5517" s="63">
        <v>5.9799999999999999E-2</v>
      </c>
    </row>
    <row r="5518" spans="1:7" x14ac:dyDescent="0.2">
      <c r="A5518" t="s">
        <v>71</v>
      </c>
      <c r="B5518" t="s">
        <v>14</v>
      </c>
      <c r="C5518" t="s">
        <v>204</v>
      </c>
      <c r="D5518" t="s">
        <v>74</v>
      </c>
      <c r="E5518" t="s">
        <v>84</v>
      </c>
      <c r="F5518" s="55">
        <v>114</v>
      </c>
      <c r="G5518" s="63">
        <v>0.15690000000000001</v>
      </c>
    </row>
    <row r="5519" spans="1:7" x14ac:dyDescent="0.2">
      <c r="A5519" t="s">
        <v>71</v>
      </c>
      <c r="B5519" t="s">
        <v>14</v>
      </c>
      <c r="C5519" t="s">
        <v>204</v>
      </c>
      <c r="D5519" t="s">
        <v>74</v>
      </c>
      <c r="E5519" t="s">
        <v>85</v>
      </c>
      <c r="F5519" s="55">
        <v>109</v>
      </c>
      <c r="G5519" s="63">
        <v>0.1313</v>
      </c>
    </row>
    <row r="5520" spans="1:7" x14ac:dyDescent="0.2">
      <c r="A5520" t="s">
        <v>71</v>
      </c>
      <c r="B5520" t="s">
        <v>14</v>
      </c>
      <c r="C5520" t="s">
        <v>204</v>
      </c>
      <c r="D5520" t="s">
        <v>74</v>
      </c>
      <c r="E5520" t="s">
        <v>86</v>
      </c>
      <c r="F5520" s="55">
        <v>111</v>
      </c>
      <c r="G5520" s="63">
        <v>0.16500000000000001</v>
      </c>
    </row>
    <row r="5521" spans="1:7" x14ac:dyDescent="0.2">
      <c r="A5521" t="s">
        <v>71</v>
      </c>
      <c r="B5521" t="s">
        <v>14</v>
      </c>
      <c r="C5521" t="s">
        <v>204</v>
      </c>
      <c r="D5521" t="s">
        <v>74</v>
      </c>
      <c r="E5521" t="s">
        <v>87</v>
      </c>
      <c r="F5521" s="55">
        <v>112</v>
      </c>
      <c r="G5521" s="63">
        <v>0.1875</v>
      </c>
    </row>
    <row r="5522" spans="1:7" x14ac:dyDescent="0.2">
      <c r="A5522" t="s">
        <v>71</v>
      </c>
      <c r="B5522" t="s">
        <v>14</v>
      </c>
      <c r="C5522" t="s">
        <v>204</v>
      </c>
      <c r="D5522" t="s">
        <v>74</v>
      </c>
      <c r="E5522" t="s">
        <v>88</v>
      </c>
      <c r="F5522" s="55">
        <v>109</v>
      </c>
      <c r="G5522" s="63">
        <v>0.1191</v>
      </c>
    </row>
    <row r="5523" spans="1:7" x14ac:dyDescent="0.2">
      <c r="A5523" t="s">
        <v>89</v>
      </c>
      <c r="B5523" t="s">
        <v>145</v>
      </c>
      <c r="C5523" t="s">
        <v>204</v>
      </c>
      <c r="D5523" t="s">
        <v>74</v>
      </c>
      <c r="E5523" t="s">
        <v>75</v>
      </c>
      <c r="F5523" s="55">
        <v>109</v>
      </c>
      <c r="G5523" s="63">
        <v>0.1231</v>
      </c>
    </row>
    <row r="5524" spans="1:7" x14ac:dyDescent="0.2">
      <c r="A5524" t="s">
        <v>89</v>
      </c>
      <c r="B5524" t="s">
        <v>145</v>
      </c>
      <c r="C5524" t="s">
        <v>204</v>
      </c>
      <c r="D5524" t="s">
        <v>74</v>
      </c>
      <c r="E5524" t="s">
        <v>76</v>
      </c>
      <c r="F5524" s="55">
        <v>105</v>
      </c>
      <c r="G5524" s="63">
        <v>2.1600000000000001E-2</v>
      </c>
    </row>
    <row r="5525" spans="1:7" x14ac:dyDescent="0.2">
      <c r="A5525" t="s">
        <v>89</v>
      </c>
      <c r="B5525" t="s">
        <v>145</v>
      </c>
      <c r="C5525" t="s">
        <v>204</v>
      </c>
      <c r="D5525" t="s">
        <v>74</v>
      </c>
      <c r="E5525" t="s">
        <v>77</v>
      </c>
      <c r="F5525" s="55">
        <v>109</v>
      </c>
      <c r="G5525" s="63">
        <v>4.99E-2</v>
      </c>
    </row>
    <row r="5526" spans="1:7" x14ac:dyDescent="0.2">
      <c r="A5526" t="s">
        <v>89</v>
      </c>
      <c r="B5526" t="s">
        <v>145</v>
      </c>
      <c r="C5526" t="s">
        <v>204</v>
      </c>
      <c r="D5526" t="s">
        <v>74</v>
      </c>
      <c r="E5526" t="s">
        <v>78</v>
      </c>
      <c r="F5526" s="55">
        <v>114</v>
      </c>
      <c r="G5526" s="63">
        <v>4.7500000000000001E-2</v>
      </c>
    </row>
    <row r="5527" spans="1:7" x14ac:dyDescent="0.2">
      <c r="A5527" t="s">
        <v>89</v>
      </c>
      <c r="B5527" t="s">
        <v>145</v>
      </c>
      <c r="C5527" t="s">
        <v>204</v>
      </c>
      <c r="D5527" t="s">
        <v>74</v>
      </c>
      <c r="E5527" t="s">
        <v>79</v>
      </c>
      <c r="F5527" s="55">
        <v>109</v>
      </c>
      <c r="G5527" s="63">
        <v>7.9399999999999998E-2</v>
      </c>
    </row>
    <row r="5528" spans="1:7" x14ac:dyDescent="0.2">
      <c r="A5528" t="s">
        <v>89</v>
      </c>
      <c r="B5528" t="s">
        <v>145</v>
      </c>
      <c r="C5528" t="s">
        <v>204</v>
      </c>
      <c r="D5528" t="s">
        <v>74</v>
      </c>
      <c r="E5528" t="s">
        <v>80</v>
      </c>
      <c r="F5528" s="55">
        <v>111</v>
      </c>
      <c r="G5528" s="63">
        <v>3.0700000000000002E-2</v>
      </c>
    </row>
    <row r="5529" spans="1:7" x14ac:dyDescent="0.2">
      <c r="A5529" t="s">
        <v>89</v>
      </c>
      <c r="B5529" t="s">
        <v>145</v>
      </c>
      <c r="C5529" t="s">
        <v>204</v>
      </c>
      <c r="D5529" t="s">
        <v>74</v>
      </c>
      <c r="E5529" t="s">
        <v>81</v>
      </c>
      <c r="F5529" s="55">
        <v>109</v>
      </c>
      <c r="G5529" s="63">
        <v>3.4000000000000002E-2</v>
      </c>
    </row>
    <row r="5530" spans="1:7" x14ac:dyDescent="0.2">
      <c r="A5530" t="s">
        <v>89</v>
      </c>
      <c r="B5530" t="s">
        <v>145</v>
      </c>
      <c r="C5530" t="s">
        <v>204</v>
      </c>
      <c r="D5530" t="s">
        <v>74</v>
      </c>
      <c r="E5530" t="s">
        <v>82</v>
      </c>
      <c r="F5530" s="55">
        <v>104</v>
      </c>
      <c r="G5530" s="63">
        <v>5.9400000000000001E-2</v>
      </c>
    </row>
    <row r="5531" spans="1:7" x14ac:dyDescent="0.2">
      <c r="A5531" t="s">
        <v>89</v>
      </c>
      <c r="B5531" t="s">
        <v>145</v>
      </c>
      <c r="C5531" t="s">
        <v>204</v>
      </c>
      <c r="D5531" t="s">
        <v>74</v>
      </c>
      <c r="E5531" t="s">
        <v>83</v>
      </c>
      <c r="F5531" s="55">
        <v>113</v>
      </c>
      <c r="G5531" s="63">
        <v>1.7100000000000001E-2</v>
      </c>
    </row>
    <row r="5532" spans="1:7" x14ac:dyDescent="0.2">
      <c r="A5532" t="s">
        <v>89</v>
      </c>
      <c r="B5532" t="s">
        <v>145</v>
      </c>
      <c r="C5532" t="s">
        <v>204</v>
      </c>
      <c r="D5532" t="s">
        <v>74</v>
      </c>
      <c r="E5532" t="s">
        <v>84</v>
      </c>
      <c r="F5532" s="55">
        <v>115</v>
      </c>
      <c r="G5532" s="63">
        <v>3.8300000000000001E-2</v>
      </c>
    </row>
    <row r="5533" spans="1:7" x14ac:dyDescent="0.2">
      <c r="A5533" t="s">
        <v>89</v>
      </c>
      <c r="B5533" t="s">
        <v>145</v>
      </c>
      <c r="C5533" t="s">
        <v>204</v>
      </c>
      <c r="D5533" t="s">
        <v>74</v>
      </c>
      <c r="E5533" t="s">
        <v>85</v>
      </c>
      <c r="F5533" s="55">
        <v>111</v>
      </c>
      <c r="G5533" s="63">
        <v>3.1300000000000001E-2</v>
      </c>
    </row>
    <row r="5534" spans="1:7" x14ac:dyDescent="0.2">
      <c r="A5534" t="s">
        <v>89</v>
      </c>
      <c r="B5534" t="s">
        <v>145</v>
      </c>
      <c r="C5534" t="s">
        <v>204</v>
      </c>
      <c r="D5534" t="s">
        <v>74</v>
      </c>
      <c r="E5534" t="s">
        <v>86</v>
      </c>
      <c r="F5534" s="55">
        <v>110</v>
      </c>
      <c r="G5534" s="63">
        <v>3.8100000000000002E-2</v>
      </c>
    </row>
    <row r="5535" spans="1:7" x14ac:dyDescent="0.2">
      <c r="A5535" t="s">
        <v>89</v>
      </c>
      <c r="B5535" t="s">
        <v>145</v>
      </c>
      <c r="C5535" t="s">
        <v>204</v>
      </c>
      <c r="D5535" t="s">
        <v>74</v>
      </c>
      <c r="E5535" t="s">
        <v>87</v>
      </c>
      <c r="F5535" s="55">
        <v>107</v>
      </c>
      <c r="G5535" s="63">
        <v>4.1799999999999997E-2</v>
      </c>
    </row>
    <row r="5536" spans="1:7" x14ac:dyDescent="0.2">
      <c r="A5536" t="s">
        <v>89</v>
      </c>
      <c r="B5536" t="s">
        <v>145</v>
      </c>
      <c r="C5536" t="s">
        <v>204</v>
      </c>
      <c r="D5536" t="s">
        <v>74</v>
      </c>
      <c r="E5536" t="s">
        <v>88</v>
      </c>
      <c r="F5536" s="55">
        <v>107</v>
      </c>
      <c r="G5536" s="63">
        <v>3.4700000000000002E-2</v>
      </c>
    </row>
    <row r="5537" spans="1:7" x14ac:dyDescent="0.2">
      <c r="A5537" t="s">
        <v>71</v>
      </c>
      <c r="B5537" t="s">
        <v>146</v>
      </c>
      <c r="C5537" t="s">
        <v>204</v>
      </c>
      <c r="D5537" t="s">
        <v>74</v>
      </c>
      <c r="E5537" t="s">
        <v>75</v>
      </c>
      <c r="F5537" s="55">
        <v>90</v>
      </c>
      <c r="G5537" s="63">
        <v>0.22389999999999999</v>
      </c>
    </row>
    <row r="5538" spans="1:7" x14ac:dyDescent="0.2">
      <c r="A5538" t="s">
        <v>71</v>
      </c>
      <c r="B5538" t="s">
        <v>146</v>
      </c>
      <c r="C5538" t="s">
        <v>204</v>
      </c>
      <c r="D5538" t="s">
        <v>74</v>
      </c>
      <c r="E5538" t="s">
        <v>76</v>
      </c>
      <c r="F5538" s="55">
        <v>84</v>
      </c>
      <c r="G5538" s="63">
        <v>2.92E-2</v>
      </c>
    </row>
    <row r="5539" spans="1:7" x14ac:dyDescent="0.2">
      <c r="A5539" t="s">
        <v>71</v>
      </c>
      <c r="B5539" t="s">
        <v>146</v>
      </c>
      <c r="C5539" t="s">
        <v>204</v>
      </c>
      <c r="D5539" t="s">
        <v>74</v>
      </c>
      <c r="E5539" t="s">
        <v>77</v>
      </c>
      <c r="F5539" s="55">
        <v>90</v>
      </c>
      <c r="G5539" s="63">
        <v>7.7299999999999994E-2</v>
      </c>
    </row>
    <row r="5540" spans="1:7" x14ac:dyDescent="0.2">
      <c r="A5540" t="s">
        <v>71</v>
      </c>
      <c r="B5540" t="s">
        <v>146</v>
      </c>
      <c r="C5540" t="s">
        <v>204</v>
      </c>
      <c r="D5540" t="s">
        <v>74</v>
      </c>
      <c r="E5540" t="s">
        <v>78</v>
      </c>
      <c r="F5540" s="55">
        <v>95</v>
      </c>
      <c r="G5540" s="63">
        <v>7.1499999999999994E-2</v>
      </c>
    </row>
    <row r="5541" spans="1:7" x14ac:dyDescent="0.2">
      <c r="A5541" t="s">
        <v>71</v>
      </c>
      <c r="B5541" t="s">
        <v>146</v>
      </c>
      <c r="C5541" t="s">
        <v>204</v>
      </c>
      <c r="D5541" t="s">
        <v>74</v>
      </c>
      <c r="E5541" t="s">
        <v>79</v>
      </c>
      <c r="F5541" s="55">
        <v>92</v>
      </c>
      <c r="G5541" s="63">
        <v>0.1469</v>
      </c>
    </row>
    <row r="5542" spans="1:7" x14ac:dyDescent="0.2">
      <c r="A5542" t="s">
        <v>71</v>
      </c>
      <c r="B5542" t="s">
        <v>146</v>
      </c>
      <c r="C5542" t="s">
        <v>204</v>
      </c>
      <c r="D5542" t="s">
        <v>74</v>
      </c>
      <c r="E5542" t="s">
        <v>80</v>
      </c>
      <c r="F5542" s="55">
        <v>91</v>
      </c>
      <c r="G5542" s="63">
        <v>9.7799999999999998E-2</v>
      </c>
    </row>
    <row r="5543" spans="1:7" x14ac:dyDescent="0.2">
      <c r="A5543" t="s">
        <v>71</v>
      </c>
      <c r="B5543" t="s">
        <v>146</v>
      </c>
      <c r="C5543" t="s">
        <v>204</v>
      </c>
      <c r="D5543" t="s">
        <v>74</v>
      </c>
      <c r="E5543" t="s">
        <v>81</v>
      </c>
      <c r="F5543" s="55">
        <v>88</v>
      </c>
      <c r="G5543" s="63">
        <v>9.7699999999999995E-2</v>
      </c>
    </row>
    <row r="5544" spans="1:7" x14ac:dyDescent="0.2">
      <c r="A5544" t="s">
        <v>71</v>
      </c>
      <c r="B5544" t="s">
        <v>146</v>
      </c>
      <c r="C5544" t="s">
        <v>204</v>
      </c>
      <c r="D5544" t="s">
        <v>74</v>
      </c>
      <c r="E5544" t="s">
        <v>82</v>
      </c>
      <c r="F5544" s="55">
        <v>90</v>
      </c>
      <c r="G5544" s="63">
        <v>9.3299999999999994E-2</v>
      </c>
    </row>
    <row r="5545" spans="1:7" x14ac:dyDescent="0.2">
      <c r="A5545" t="s">
        <v>71</v>
      </c>
      <c r="B5545" t="s">
        <v>146</v>
      </c>
      <c r="C5545" t="s">
        <v>204</v>
      </c>
      <c r="D5545" t="s">
        <v>74</v>
      </c>
      <c r="E5545" t="s">
        <v>83</v>
      </c>
      <c r="F5545" s="55">
        <v>84</v>
      </c>
      <c r="G5545" s="63">
        <v>3.7199999999999997E-2</v>
      </c>
    </row>
    <row r="5546" spans="1:7" x14ac:dyDescent="0.2">
      <c r="A5546" t="s">
        <v>71</v>
      </c>
      <c r="B5546" t="s">
        <v>146</v>
      </c>
      <c r="C5546" t="s">
        <v>204</v>
      </c>
      <c r="D5546" t="s">
        <v>74</v>
      </c>
      <c r="E5546" t="s">
        <v>84</v>
      </c>
      <c r="F5546" s="55">
        <v>95</v>
      </c>
      <c r="G5546" s="63">
        <v>5.9299999999999999E-2</v>
      </c>
    </row>
    <row r="5547" spans="1:7" x14ac:dyDescent="0.2">
      <c r="A5547" t="s">
        <v>71</v>
      </c>
      <c r="B5547" t="s">
        <v>146</v>
      </c>
      <c r="C5547" t="s">
        <v>204</v>
      </c>
      <c r="D5547" t="s">
        <v>74</v>
      </c>
      <c r="E5547" t="s">
        <v>85</v>
      </c>
      <c r="F5547" s="55">
        <v>91</v>
      </c>
      <c r="G5547" s="63">
        <v>8.2000000000000003E-2</v>
      </c>
    </row>
    <row r="5548" spans="1:7" x14ac:dyDescent="0.2">
      <c r="A5548" t="s">
        <v>71</v>
      </c>
      <c r="B5548" t="s">
        <v>146</v>
      </c>
      <c r="C5548" t="s">
        <v>204</v>
      </c>
      <c r="D5548" t="s">
        <v>74</v>
      </c>
      <c r="E5548" t="s">
        <v>86</v>
      </c>
      <c r="F5548" s="55">
        <v>90</v>
      </c>
      <c r="G5548" s="63">
        <v>7.6399999999999996E-2</v>
      </c>
    </row>
    <row r="5549" spans="1:7" x14ac:dyDescent="0.2">
      <c r="A5549" t="s">
        <v>71</v>
      </c>
      <c r="B5549" t="s">
        <v>146</v>
      </c>
      <c r="C5549" t="s">
        <v>204</v>
      </c>
      <c r="D5549" t="s">
        <v>74</v>
      </c>
      <c r="E5549" t="s">
        <v>87</v>
      </c>
      <c r="F5549" s="55">
        <v>92</v>
      </c>
      <c r="G5549" s="63">
        <v>7.3700000000000002E-2</v>
      </c>
    </row>
    <row r="5550" spans="1:7" x14ac:dyDescent="0.2">
      <c r="A5550" t="s">
        <v>71</v>
      </c>
      <c r="B5550" t="s">
        <v>146</v>
      </c>
      <c r="C5550" t="s">
        <v>204</v>
      </c>
      <c r="D5550" t="s">
        <v>74</v>
      </c>
      <c r="E5550" t="s">
        <v>88</v>
      </c>
      <c r="F5550" s="55">
        <v>84</v>
      </c>
      <c r="G5550" s="63">
        <v>4.58E-2</v>
      </c>
    </row>
    <row r="5551" spans="1:7" x14ac:dyDescent="0.2">
      <c r="A5551" t="s">
        <v>89</v>
      </c>
      <c r="B5551" t="s">
        <v>147</v>
      </c>
      <c r="C5551" t="s">
        <v>204</v>
      </c>
      <c r="D5551" t="s">
        <v>91</v>
      </c>
      <c r="E5551" t="s">
        <v>75</v>
      </c>
      <c r="F5551" s="55">
        <v>110</v>
      </c>
      <c r="G5551" s="63">
        <v>0.31530000000000002</v>
      </c>
    </row>
    <row r="5552" spans="1:7" x14ac:dyDescent="0.2">
      <c r="A5552" t="s">
        <v>89</v>
      </c>
      <c r="B5552" t="s">
        <v>147</v>
      </c>
      <c r="C5552" t="s">
        <v>204</v>
      </c>
      <c r="D5552" t="s">
        <v>91</v>
      </c>
      <c r="E5552" t="s">
        <v>76</v>
      </c>
      <c r="F5552" s="55">
        <v>104</v>
      </c>
      <c r="G5552" s="63">
        <v>5.3100000000000001E-2</v>
      </c>
    </row>
    <row r="5553" spans="1:7" x14ac:dyDescent="0.2">
      <c r="A5553" t="s">
        <v>89</v>
      </c>
      <c r="B5553" t="s">
        <v>147</v>
      </c>
      <c r="C5553" t="s">
        <v>204</v>
      </c>
      <c r="D5553" t="s">
        <v>91</v>
      </c>
      <c r="E5553" t="s">
        <v>77</v>
      </c>
      <c r="F5553" s="55">
        <v>110</v>
      </c>
      <c r="G5553" s="63">
        <v>0.13950000000000001</v>
      </c>
    </row>
    <row r="5554" spans="1:7" x14ac:dyDescent="0.2">
      <c r="A5554" t="s">
        <v>89</v>
      </c>
      <c r="B5554" t="s">
        <v>147</v>
      </c>
      <c r="C5554" t="s">
        <v>204</v>
      </c>
      <c r="D5554" t="s">
        <v>91</v>
      </c>
      <c r="E5554" t="s">
        <v>78</v>
      </c>
      <c r="F5554" s="55">
        <v>108</v>
      </c>
      <c r="G5554" s="63">
        <v>0.13689999999999999</v>
      </c>
    </row>
    <row r="5555" spans="1:7" x14ac:dyDescent="0.2">
      <c r="A5555" t="s">
        <v>89</v>
      </c>
      <c r="B5555" t="s">
        <v>147</v>
      </c>
      <c r="C5555" t="s">
        <v>204</v>
      </c>
      <c r="D5555" t="s">
        <v>91</v>
      </c>
      <c r="E5555" t="s">
        <v>79</v>
      </c>
      <c r="F5555" s="55">
        <v>110</v>
      </c>
      <c r="G5555" s="63">
        <v>0.216</v>
      </c>
    </row>
    <row r="5556" spans="1:7" x14ac:dyDescent="0.2">
      <c r="A5556" t="s">
        <v>89</v>
      </c>
      <c r="B5556" t="s">
        <v>147</v>
      </c>
      <c r="C5556" t="s">
        <v>204</v>
      </c>
      <c r="D5556" t="s">
        <v>91</v>
      </c>
      <c r="E5556" t="s">
        <v>80</v>
      </c>
      <c r="F5556" s="55">
        <v>106</v>
      </c>
      <c r="G5556" s="63">
        <v>8.1000000000000003E-2</v>
      </c>
    </row>
    <row r="5557" spans="1:7" x14ac:dyDescent="0.2">
      <c r="A5557" t="s">
        <v>89</v>
      </c>
      <c r="B5557" t="s">
        <v>147</v>
      </c>
      <c r="C5557" t="s">
        <v>204</v>
      </c>
      <c r="D5557" t="s">
        <v>91</v>
      </c>
      <c r="E5557" t="s">
        <v>81</v>
      </c>
      <c r="F5557" s="55">
        <v>105</v>
      </c>
      <c r="G5557" s="63">
        <v>7.4999999999999997E-2</v>
      </c>
    </row>
    <row r="5558" spans="1:7" x14ac:dyDescent="0.2">
      <c r="A5558" t="s">
        <v>89</v>
      </c>
      <c r="B5558" t="s">
        <v>147</v>
      </c>
      <c r="C5558" t="s">
        <v>204</v>
      </c>
      <c r="D5558" t="s">
        <v>91</v>
      </c>
      <c r="E5558" t="s">
        <v>82</v>
      </c>
      <c r="F5558" s="55">
        <v>114</v>
      </c>
      <c r="G5558" s="63">
        <v>0.1583</v>
      </c>
    </row>
    <row r="5559" spans="1:7" x14ac:dyDescent="0.2">
      <c r="A5559" t="s">
        <v>89</v>
      </c>
      <c r="B5559" t="s">
        <v>147</v>
      </c>
      <c r="C5559" t="s">
        <v>204</v>
      </c>
      <c r="D5559" t="s">
        <v>91</v>
      </c>
      <c r="E5559" t="s">
        <v>83</v>
      </c>
      <c r="F5559" s="55">
        <v>103</v>
      </c>
      <c r="G5559" s="63">
        <v>3.3500000000000002E-2</v>
      </c>
    </row>
    <row r="5560" spans="1:7" x14ac:dyDescent="0.2">
      <c r="A5560" t="s">
        <v>89</v>
      </c>
      <c r="B5560" t="s">
        <v>147</v>
      </c>
      <c r="C5560" t="s">
        <v>204</v>
      </c>
      <c r="D5560" t="s">
        <v>91</v>
      </c>
      <c r="E5560" t="s">
        <v>84</v>
      </c>
      <c r="F5560" s="55">
        <v>109</v>
      </c>
      <c r="G5560" s="63">
        <v>0.1125</v>
      </c>
    </row>
    <row r="5561" spans="1:7" x14ac:dyDescent="0.2">
      <c r="A5561" t="s">
        <v>89</v>
      </c>
      <c r="B5561" t="s">
        <v>147</v>
      </c>
      <c r="C5561" t="s">
        <v>204</v>
      </c>
      <c r="D5561" t="s">
        <v>91</v>
      </c>
      <c r="E5561" t="s">
        <v>85</v>
      </c>
      <c r="F5561" s="55">
        <v>107</v>
      </c>
      <c r="G5561" s="63">
        <v>9.5699999999999993E-2</v>
      </c>
    </row>
    <row r="5562" spans="1:7" x14ac:dyDescent="0.2">
      <c r="A5562" t="s">
        <v>89</v>
      </c>
      <c r="B5562" t="s">
        <v>147</v>
      </c>
      <c r="C5562" t="s">
        <v>204</v>
      </c>
      <c r="D5562" t="s">
        <v>91</v>
      </c>
      <c r="E5562" t="s">
        <v>86</v>
      </c>
      <c r="F5562" s="55">
        <v>109</v>
      </c>
      <c r="G5562" s="63">
        <v>0.1168</v>
      </c>
    </row>
    <row r="5563" spans="1:7" x14ac:dyDescent="0.2">
      <c r="A5563" t="s">
        <v>89</v>
      </c>
      <c r="B5563" t="s">
        <v>147</v>
      </c>
      <c r="C5563" t="s">
        <v>204</v>
      </c>
      <c r="D5563" t="s">
        <v>91</v>
      </c>
      <c r="E5563" t="s">
        <v>87</v>
      </c>
      <c r="F5563" s="55">
        <v>110</v>
      </c>
      <c r="G5563" s="63">
        <v>0.13089999999999999</v>
      </c>
    </row>
    <row r="5564" spans="1:7" x14ac:dyDescent="0.2">
      <c r="A5564" t="s">
        <v>89</v>
      </c>
      <c r="B5564" t="s">
        <v>147</v>
      </c>
      <c r="C5564" t="s">
        <v>204</v>
      </c>
      <c r="D5564" t="s">
        <v>91</v>
      </c>
      <c r="E5564" t="s">
        <v>88</v>
      </c>
      <c r="F5564" s="55">
        <v>103</v>
      </c>
      <c r="G5564" s="63">
        <v>7.9500000000000001E-2</v>
      </c>
    </row>
    <row r="5565" spans="1:7" x14ac:dyDescent="0.2">
      <c r="A5565" t="s">
        <v>71</v>
      </c>
      <c r="B5565" t="s">
        <v>148</v>
      </c>
      <c r="C5565" t="s">
        <v>204</v>
      </c>
      <c r="D5565" t="s">
        <v>74</v>
      </c>
      <c r="E5565" t="s">
        <v>75</v>
      </c>
      <c r="F5565" s="55">
        <v>86</v>
      </c>
      <c r="G5565" s="63">
        <v>0.1244</v>
      </c>
    </row>
    <row r="5566" spans="1:7" x14ac:dyDescent="0.2">
      <c r="A5566" t="s">
        <v>71</v>
      </c>
      <c r="B5566" t="s">
        <v>148</v>
      </c>
      <c r="C5566" t="s">
        <v>204</v>
      </c>
      <c r="D5566" t="s">
        <v>74</v>
      </c>
      <c r="E5566" t="s">
        <v>76</v>
      </c>
      <c r="F5566" s="55">
        <v>78</v>
      </c>
      <c r="G5566" s="63">
        <v>1.06E-2</v>
      </c>
    </row>
    <row r="5567" spans="1:7" x14ac:dyDescent="0.2">
      <c r="A5567" t="s">
        <v>71</v>
      </c>
      <c r="B5567" t="s">
        <v>148</v>
      </c>
      <c r="C5567" t="s">
        <v>204</v>
      </c>
      <c r="D5567" t="s">
        <v>74</v>
      </c>
      <c r="E5567" t="s">
        <v>77</v>
      </c>
      <c r="F5567" s="55">
        <v>86</v>
      </c>
      <c r="G5567" s="63">
        <v>3.9800000000000002E-2</v>
      </c>
    </row>
    <row r="5568" spans="1:7" x14ac:dyDescent="0.2">
      <c r="A5568" t="s">
        <v>71</v>
      </c>
      <c r="B5568" t="s">
        <v>148</v>
      </c>
      <c r="C5568" t="s">
        <v>204</v>
      </c>
      <c r="D5568" t="s">
        <v>74</v>
      </c>
      <c r="E5568" t="s">
        <v>78</v>
      </c>
      <c r="F5568" s="55">
        <v>90</v>
      </c>
      <c r="G5568" s="63">
        <v>3.5900000000000001E-2</v>
      </c>
    </row>
    <row r="5569" spans="1:7" x14ac:dyDescent="0.2">
      <c r="A5569" t="s">
        <v>71</v>
      </c>
      <c r="B5569" t="s">
        <v>148</v>
      </c>
      <c r="C5569" t="s">
        <v>204</v>
      </c>
      <c r="D5569" t="s">
        <v>74</v>
      </c>
      <c r="E5569" t="s">
        <v>79</v>
      </c>
      <c r="F5569" s="55">
        <v>87</v>
      </c>
      <c r="G5569" s="63">
        <v>7.9399999999999998E-2</v>
      </c>
    </row>
    <row r="5570" spans="1:7" x14ac:dyDescent="0.2">
      <c r="A5570" t="s">
        <v>71</v>
      </c>
      <c r="B5570" t="s">
        <v>148</v>
      </c>
      <c r="C5570" t="s">
        <v>204</v>
      </c>
      <c r="D5570" t="s">
        <v>74</v>
      </c>
      <c r="E5570" t="s">
        <v>80</v>
      </c>
      <c r="F5570" s="55">
        <v>85</v>
      </c>
      <c r="G5570" s="63">
        <v>4.7899999999999998E-2</v>
      </c>
    </row>
    <row r="5571" spans="1:7" x14ac:dyDescent="0.2">
      <c r="A5571" t="s">
        <v>71</v>
      </c>
      <c r="B5571" t="s">
        <v>148</v>
      </c>
      <c r="C5571" t="s">
        <v>204</v>
      </c>
      <c r="D5571" t="s">
        <v>74</v>
      </c>
      <c r="E5571" t="s">
        <v>81</v>
      </c>
      <c r="F5571" s="55">
        <v>88</v>
      </c>
      <c r="G5571" s="63">
        <v>4.9700000000000001E-2</v>
      </c>
    </row>
    <row r="5572" spans="1:7" x14ac:dyDescent="0.2">
      <c r="A5572" t="s">
        <v>71</v>
      </c>
      <c r="B5572" t="s">
        <v>148</v>
      </c>
      <c r="C5572" t="s">
        <v>204</v>
      </c>
      <c r="D5572" t="s">
        <v>74</v>
      </c>
      <c r="E5572" t="s">
        <v>82</v>
      </c>
      <c r="F5572" s="55">
        <v>84</v>
      </c>
      <c r="G5572" s="63">
        <v>5.0900000000000001E-2</v>
      </c>
    </row>
    <row r="5573" spans="1:7" x14ac:dyDescent="0.2">
      <c r="A5573" t="s">
        <v>71</v>
      </c>
      <c r="B5573" t="s">
        <v>148</v>
      </c>
      <c r="C5573" t="s">
        <v>204</v>
      </c>
      <c r="D5573" t="s">
        <v>74</v>
      </c>
      <c r="E5573" t="s">
        <v>83</v>
      </c>
      <c r="F5573" s="55">
        <v>83</v>
      </c>
      <c r="G5573" s="63">
        <v>1.7500000000000002E-2</v>
      </c>
    </row>
    <row r="5574" spans="1:7" x14ac:dyDescent="0.2">
      <c r="A5574" t="s">
        <v>71</v>
      </c>
      <c r="B5574" t="s">
        <v>148</v>
      </c>
      <c r="C5574" t="s">
        <v>204</v>
      </c>
      <c r="D5574" t="s">
        <v>74</v>
      </c>
      <c r="E5574" t="s">
        <v>84</v>
      </c>
      <c r="F5574" s="55">
        <v>90</v>
      </c>
      <c r="G5574" s="63">
        <v>2.92E-2</v>
      </c>
    </row>
    <row r="5575" spans="1:7" x14ac:dyDescent="0.2">
      <c r="A5575" t="s">
        <v>71</v>
      </c>
      <c r="B5575" t="s">
        <v>148</v>
      </c>
      <c r="C5575" t="s">
        <v>204</v>
      </c>
      <c r="D5575" t="s">
        <v>74</v>
      </c>
      <c r="E5575" t="s">
        <v>85</v>
      </c>
      <c r="F5575" s="55">
        <v>86</v>
      </c>
      <c r="G5575" s="63">
        <v>4.3099999999999999E-2</v>
      </c>
    </row>
    <row r="5576" spans="1:7" x14ac:dyDescent="0.2">
      <c r="A5576" t="s">
        <v>71</v>
      </c>
      <c r="B5576" t="s">
        <v>148</v>
      </c>
      <c r="C5576" t="s">
        <v>204</v>
      </c>
      <c r="D5576" t="s">
        <v>74</v>
      </c>
      <c r="E5576" t="s">
        <v>86</v>
      </c>
      <c r="F5576" s="55">
        <v>86</v>
      </c>
      <c r="G5576" s="63">
        <v>3.6600000000000001E-2</v>
      </c>
    </row>
    <row r="5577" spans="1:7" x14ac:dyDescent="0.2">
      <c r="A5577" t="s">
        <v>71</v>
      </c>
      <c r="B5577" t="s">
        <v>148</v>
      </c>
      <c r="C5577" t="s">
        <v>204</v>
      </c>
      <c r="D5577" t="s">
        <v>74</v>
      </c>
      <c r="E5577" t="s">
        <v>87</v>
      </c>
      <c r="F5577" s="55">
        <v>88</v>
      </c>
      <c r="G5577" s="63">
        <v>3.73E-2</v>
      </c>
    </row>
    <row r="5578" spans="1:7" x14ac:dyDescent="0.2">
      <c r="A5578" t="s">
        <v>71</v>
      </c>
      <c r="B5578" t="s">
        <v>148</v>
      </c>
      <c r="C5578" t="s">
        <v>204</v>
      </c>
      <c r="D5578" t="s">
        <v>74</v>
      </c>
      <c r="E5578" t="s">
        <v>88</v>
      </c>
      <c r="F5578" s="55">
        <v>84</v>
      </c>
      <c r="G5578" s="63">
        <v>1.9900000000000001E-2</v>
      </c>
    </row>
    <row r="5579" spans="1:7" x14ac:dyDescent="0.2">
      <c r="A5579" t="s">
        <v>71</v>
      </c>
      <c r="B5579" t="s">
        <v>202</v>
      </c>
      <c r="C5579" t="s">
        <v>204</v>
      </c>
      <c r="D5579" t="s">
        <v>74</v>
      </c>
      <c r="E5579" t="s">
        <v>75</v>
      </c>
      <c r="F5579" s="55">
        <v>125</v>
      </c>
      <c r="G5579" s="63">
        <v>3.1099999999999999E-2</v>
      </c>
    </row>
    <row r="5580" spans="1:7" x14ac:dyDescent="0.2">
      <c r="A5580" t="s">
        <v>71</v>
      </c>
      <c r="B5580" t="s">
        <v>202</v>
      </c>
      <c r="C5580" t="s">
        <v>204</v>
      </c>
      <c r="D5580" t="s">
        <v>74</v>
      </c>
      <c r="E5580" t="s">
        <v>76</v>
      </c>
      <c r="F5580" s="55">
        <v>125</v>
      </c>
      <c r="G5580" s="63">
        <v>1.6000000000000001E-3</v>
      </c>
    </row>
    <row r="5581" spans="1:7" x14ac:dyDescent="0.2">
      <c r="A5581" t="s">
        <v>71</v>
      </c>
      <c r="B5581" t="s">
        <v>202</v>
      </c>
      <c r="C5581" t="s">
        <v>204</v>
      </c>
      <c r="D5581" t="s">
        <v>74</v>
      </c>
      <c r="E5581" t="s">
        <v>77</v>
      </c>
      <c r="F5581" s="55">
        <v>111</v>
      </c>
      <c r="G5581" s="63">
        <v>6.7000000000000002E-3</v>
      </c>
    </row>
    <row r="5582" spans="1:7" x14ac:dyDescent="0.2">
      <c r="A5582" t="s">
        <v>71</v>
      </c>
      <c r="B5582" t="s">
        <v>202</v>
      </c>
      <c r="C5582" t="s">
        <v>204</v>
      </c>
      <c r="D5582" t="s">
        <v>74</v>
      </c>
      <c r="E5582" t="s">
        <v>78</v>
      </c>
      <c r="F5582" s="55">
        <v>93</v>
      </c>
      <c r="G5582" s="63">
        <v>4.4999999999999997E-3</v>
      </c>
    </row>
    <row r="5583" spans="1:7" x14ac:dyDescent="0.2">
      <c r="A5583" t="s">
        <v>71</v>
      </c>
      <c r="B5583" t="s">
        <v>202</v>
      </c>
      <c r="C5583" t="s">
        <v>204</v>
      </c>
      <c r="D5583" t="s">
        <v>74</v>
      </c>
      <c r="E5583" t="s">
        <v>79</v>
      </c>
      <c r="F5583" s="55">
        <v>137</v>
      </c>
      <c r="G5583" s="63">
        <v>1.4800000000000001E-2</v>
      </c>
    </row>
    <row r="5584" spans="1:7" x14ac:dyDescent="0.2">
      <c r="A5584" t="s">
        <v>71</v>
      </c>
      <c r="B5584" t="s">
        <v>202</v>
      </c>
      <c r="C5584" t="s">
        <v>204</v>
      </c>
      <c r="D5584" t="s">
        <v>74</v>
      </c>
      <c r="E5584" t="s">
        <v>80</v>
      </c>
      <c r="F5584" s="55">
        <v>83</v>
      </c>
      <c r="G5584" s="63">
        <v>6.3E-3</v>
      </c>
    </row>
    <row r="5585" spans="1:7" x14ac:dyDescent="0.2">
      <c r="A5585" t="s">
        <v>71</v>
      </c>
      <c r="B5585" t="s">
        <v>202</v>
      </c>
      <c r="C5585" t="s">
        <v>204</v>
      </c>
      <c r="D5585" t="s">
        <v>74</v>
      </c>
      <c r="E5585" t="s">
        <v>81</v>
      </c>
      <c r="F5585" s="55">
        <v>76</v>
      </c>
      <c r="G5585" s="63">
        <v>7.4999999999999997E-3</v>
      </c>
    </row>
    <row r="5586" spans="1:7" x14ac:dyDescent="0.2">
      <c r="A5586" t="s">
        <v>71</v>
      </c>
      <c r="B5586" t="s">
        <v>202</v>
      </c>
      <c r="C5586" t="s">
        <v>204</v>
      </c>
      <c r="D5586" t="s">
        <v>74</v>
      </c>
      <c r="E5586" t="s">
        <v>82</v>
      </c>
      <c r="F5586" s="55">
        <v>118</v>
      </c>
      <c r="G5586" s="63">
        <v>7.7999999999999996E-3</v>
      </c>
    </row>
    <row r="5587" spans="1:7" x14ac:dyDescent="0.2">
      <c r="A5587" t="s">
        <v>71</v>
      </c>
      <c r="B5587" t="s">
        <v>202</v>
      </c>
      <c r="C5587" t="s">
        <v>204</v>
      </c>
      <c r="D5587" t="s">
        <v>74</v>
      </c>
      <c r="E5587" t="s">
        <v>83</v>
      </c>
      <c r="F5587" s="55">
        <v>107</v>
      </c>
      <c r="G5587" s="63">
        <v>1.1999999999999999E-3</v>
      </c>
    </row>
    <row r="5588" spans="1:7" x14ac:dyDescent="0.2">
      <c r="A5588" t="s">
        <v>71</v>
      </c>
      <c r="B5588" t="s">
        <v>202</v>
      </c>
      <c r="C5588" t="s">
        <v>204</v>
      </c>
      <c r="D5588" t="s">
        <v>74</v>
      </c>
      <c r="E5588" t="s">
        <v>84</v>
      </c>
      <c r="F5588" s="55">
        <v>81</v>
      </c>
      <c r="G5588" s="63">
        <v>3.0999999999999999E-3</v>
      </c>
    </row>
    <row r="5589" spans="1:7" x14ac:dyDescent="0.2">
      <c r="A5589" t="s">
        <v>71</v>
      </c>
      <c r="B5589" t="s">
        <v>202</v>
      </c>
      <c r="C5589" t="s">
        <v>204</v>
      </c>
      <c r="D5589" t="s">
        <v>74</v>
      </c>
      <c r="E5589" t="s">
        <v>85</v>
      </c>
      <c r="F5589" s="55">
        <v>88</v>
      </c>
      <c r="G5589" s="63">
        <v>4.5999999999999999E-3</v>
      </c>
    </row>
    <row r="5590" spans="1:7" x14ac:dyDescent="0.2">
      <c r="A5590" t="s">
        <v>71</v>
      </c>
      <c r="B5590" t="s">
        <v>202</v>
      </c>
      <c r="C5590" t="s">
        <v>204</v>
      </c>
      <c r="D5590" t="s">
        <v>74</v>
      </c>
      <c r="E5590" t="s">
        <v>86</v>
      </c>
      <c r="F5590" s="55">
        <v>82</v>
      </c>
      <c r="G5590" s="63">
        <v>4.3E-3</v>
      </c>
    </row>
    <row r="5591" spans="1:7" x14ac:dyDescent="0.2">
      <c r="A5591" t="s">
        <v>71</v>
      </c>
      <c r="B5591" t="s">
        <v>202</v>
      </c>
      <c r="C5591" t="s">
        <v>204</v>
      </c>
      <c r="D5591" t="s">
        <v>74</v>
      </c>
      <c r="E5591" t="s">
        <v>87</v>
      </c>
      <c r="F5591" s="55">
        <v>91</v>
      </c>
      <c r="G5591" s="63">
        <v>4.1000000000000003E-3</v>
      </c>
    </row>
    <row r="5592" spans="1:7" x14ac:dyDescent="0.2">
      <c r="A5592" t="s">
        <v>71</v>
      </c>
      <c r="B5592" t="s">
        <v>202</v>
      </c>
      <c r="C5592" t="s">
        <v>204</v>
      </c>
      <c r="D5592" t="s">
        <v>74</v>
      </c>
      <c r="E5592" t="s">
        <v>88</v>
      </c>
      <c r="F5592" s="55">
        <v>110</v>
      </c>
      <c r="G5592" s="63">
        <v>3.0999999999999999E-3</v>
      </c>
    </row>
    <row r="5593" spans="1:7" x14ac:dyDescent="0.2">
      <c r="A5593" t="s">
        <v>71</v>
      </c>
      <c r="B5593" t="s">
        <v>149</v>
      </c>
      <c r="C5593" t="s">
        <v>204</v>
      </c>
      <c r="D5593" t="s">
        <v>74</v>
      </c>
      <c r="E5593" t="s">
        <v>75</v>
      </c>
      <c r="F5593" s="55">
        <v>109</v>
      </c>
      <c r="G5593" s="63">
        <v>0.29649999999999999</v>
      </c>
    </row>
    <row r="5594" spans="1:7" x14ac:dyDescent="0.2">
      <c r="A5594" t="s">
        <v>71</v>
      </c>
      <c r="B5594" t="s">
        <v>149</v>
      </c>
      <c r="C5594" t="s">
        <v>204</v>
      </c>
      <c r="D5594" t="s">
        <v>74</v>
      </c>
      <c r="E5594" t="s">
        <v>76</v>
      </c>
      <c r="F5594" s="55">
        <v>124</v>
      </c>
      <c r="G5594" s="63">
        <v>3.9399999999999998E-2</v>
      </c>
    </row>
    <row r="5595" spans="1:7" x14ac:dyDescent="0.2">
      <c r="A5595" t="s">
        <v>71</v>
      </c>
      <c r="B5595" t="s">
        <v>149</v>
      </c>
      <c r="C5595" t="s">
        <v>204</v>
      </c>
      <c r="D5595" t="s">
        <v>74</v>
      </c>
      <c r="E5595" t="s">
        <v>77</v>
      </c>
      <c r="F5595" s="55">
        <v>123</v>
      </c>
      <c r="G5595" s="63">
        <v>0.1138</v>
      </c>
    </row>
    <row r="5596" spans="1:7" x14ac:dyDescent="0.2">
      <c r="A5596" t="s">
        <v>71</v>
      </c>
      <c r="B5596" t="s">
        <v>149</v>
      </c>
      <c r="C5596" t="s">
        <v>204</v>
      </c>
      <c r="D5596" t="s">
        <v>74</v>
      </c>
      <c r="E5596" t="s">
        <v>78</v>
      </c>
      <c r="F5596" s="55">
        <v>119</v>
      </c>
      <c r="G5596" s="63">
        <v>0.106</v>
      </c>
    </row>
    <row r="5597" spans="1:7" x14ac:dyDescent="0.2">
      <c r="A5597" t="s">
        <v>71</v>
      </c>
      <c r="B5597" t="s">
        <v>149</v>
      </c>
      <c r="C5597" t="s">
        <v>204</v>
      </c>
      <c r="D5597" t="s">
        <v>74</v>
      </c>
      <c r="E5597" t="s">
        <v>79</v>
      </c>
      <c r="F5597" s="55">
        <v>106</v>
      </c>
      <c r="G5597" s="63">
        <v>0.1966</v>
      </c>
    </row>
    <row r="5598" spans="1:7" x14ac:dyDescent="0.2">
      <c r="A5598" t="s">
        <v>71</v>
      </c>
      <c r="B5598" t="s">
        <v>149</v>
      </c>
      <c r="C5598" t="s">
        <v>204</v>
      </c>
      <c r="D5598" t="s">
        <v>74</v>
      </c>
      <c r="E5598" t="s">
        <v>80</v>
      </c>
      <c r="F5598" s="55">
        <v>104</v>
      </c>
      <c r="G5598" s="63">
        <v>6.8900000000000003E-2</v>
      </c>
    </row>
    <row r="5599" spans="1:7" x14ac:dyDescent="0.2">
      <c r="A5599" t="s">
        <v>71</v>
      </c>
      <c r="B5599" t="s">
        <v>149</v>
      </c>
      <c r="C5599" t="s">
        <v>204</v>
      </c>
      <c r="D5599" t="s">
        <v>74</v>
      </c>
      <c r="E5599" t="s">
        <v>81</v>
      </c>
      <c r="F5599" s="55">
        <v>106</v>
      </c>
      <c r="G5599" s="63">
        <v>6.3899999999999998E-2</v>
      </c>
    </row>
    <row r="5600" spans="1:7" x14ac:dyDescent="0.2">
      <c r="A5600" t="s">
        <v>71</v>
      </c>
      <c r="B5600" t="s">
        <v>149</v>
      </c>
      <c r="C5600" t="s">
        <v>204</v>
      </c>
      <c r="D5600" t="s">
        <v>74</v>
      </c>
      <c r="E5600" t="s">
        <v>82</v>
      </c>
      <c r="F5600" s="55">
        <v>81</v>
      </c>
      <c r="G5600" s="63">
        <v>0.14099999999999999</v>
      </c>
    </row>
    <row r="5601" spans="1:7" x14ac:dyDescent="0.2">
      <c r="A5601" t="s">
        <v>71</v>
      </c>
      <c r="B5601" t="s">
        <v>149</v>
      </c>
      <c r="C5601" t="s">
        <v>204</v>
      </c>
      <c r="D5601" t="s">
        <v>74</v>
      </c>
      <c r="E5601" t="s">
        <v>83</v>
      </c>
      <c r="F5601" s="55">
        <v>119</v>
      </c>
      <c r="G5601" s="63">
        <v>2.6800000000000001E-2</v>
      </c>
    </row>
    <row r="5602" spans="1:7" x14ac:dyDescent="0.2">
      <c r="A5602" t="s">
        <v>71</v>
      </c>
      <c r="B5602" t="s">
        <v>149</v>
      </c>
      <c r="C5602" t="s">
        <v>204</v>
      </c>
      <c r="D5602" t="s">
        <v>74</v>
      </c>
      <c r="E5602" t="s">
        <v>84</v>
      </c>
      <c r="F5602" s="55">
        <v>121</v>
      </c>
      <c r="G5602" s="63">
        <v>8.5099999999999995E-2</v>
      </c>
    </row>
    <row r="5603" spans="1:7" x14ac:dyDescent="0.2">
      <c r="A5603" t="s">
        <v>71</v>
      </c>
      <c r="B5603" t="s">
        <v>149</v>
      </c>
      <c r="C5603" t="s">
        <v>204</v>
      </c>
      <c r="D5603" t="s">
        <v>74</v>
      </c>
      <c r="E5603" t="s">
        <v>85</v>
      </c>
      <c r="F5603" s="55">
        <v>105</v>
      </c>
      <c r="G5603" s="63">
        <v>7.5600000000000001E-2</v>
      </c>
    </row>
    <row r="5604" spans="1:7" x14ac:dyDescent="0.2">
      <c r="A5604" t="s">
        <v>71</v>
      </c>
      <c r="B5604" t="s">
        <v>149</v>
      </c>
      <c r="C5604" t="s">
        <v>204</v>
      </c>
      <c r="D5604" t="s">
        <v>74</v>
      </c>
      <c r="E5604" t="s">
        <v>86</v>
      </c>
      <c r="F5604" s="55">
        <v>108</v>
      </c>
      <c r="G5604" s="63">
        <v>9.9299999999999999E-2</v>
      </c>
    </row>
    <row r="5605" spans="1:7" x14ac:dyDescent="0.2">
      <c r="A5605" t="s">
        <v>71</v>
      </c>
      <c r="B5605" t="s">
        <v>149</v>
      </c>
      <c r="C5605" t="s">
        <v>204</v>
      </c>
      <c r="D5605" t="s">
        <v>74</v>
      </c>
      <c r="E5605" t="s">
        <v>87</v>
      </c>
      <c r="F5605" s="55">
        <v>107</v>
      </c>
      <c r="G5605" s="63">
        <v>0.1111</v>
      </c>
    </row>
    <row r="5606" spans="1:7" x14ac:dyDescent="0.2">
      <c r="A5606" t="s">
        <v>71</v>
      </c>
      <c r="B5606" t="s">
        <v>149</v>
      </c>
      <c r="C5606" t="s">
        <v>204</v>
      </c>
      <c r="D5606" t="s">
        <v>74</v>
      </c>
      <c r="E5606" t="s">
        <v>88</v>
      </c>
      <c r="F5606" s="55">
        <v>122</v>
      </c>
      <c r="G5606" s="63">
        <v>5.8099999999999999E-2</v>
      </c>
    </row>
    <row r="5607" spans="1:7" x14ac:dyDescent="0.2">
      <c r="A5607" t="s">
        <v>71</v>
      </c>
      <c r="B5607" t="s">
        <v>150</v>
      </c>
      <c r="C5607" t="s">
        <v>204</v>
      </c>
      <c r="D5607" t="s">
        <v>74</v>
      </c>
      <c r="E5607" t="s">
        <v>75</v>
      </c>
      <c r="F5607" s="55">
        <v>89</v>
      </c>
      <c r="G5607" s="63">
        <v>3.2599999999999997E-2</v>
      </c>
    </row>
    <row r="5608" spans="1:7" x14ac:dyDescent="0.2">
      <c r="A5608" t="s">
        <v>71</v>
      </c>
      <c r="B5608" t="s">
        <v>150</v>
      </c>
      <c r="C5608" t="s">
        <v>204</v>
      </c>
      <c r="D5608" t="s">
        <v>74</v>
      </c>
      <c r="E5608" t="s">
        <v>76</v>
      </c>
      <c r="F5608" s="55">
        <v>73</v>
      </c>
      <c r="G5608" s="63">
        <v>2.5999999999999999E-3</v>
      </c>
    </row>
    <row r="5609" spans="1:7" x14ac:dyDescent="0.2">
      <c r="A5609" t="s">
        <v>71</v>
      </c>
      <c r="B5609" t="s">
        <v>150</v>
      </c>
      <c r="C5609" t="s">
        <v>204</v>
      </c>
      <c r="D5609" t="s">
        <v>74</v>
      </c>
      <c r="E5609" t="s">
        <v>77</v>
      </c>
      <c r="F5609" s="55">
        <v>86</v>
      </c>
      <c r="G5609" s="63">
        <v>7.6E-3</v>
      </c>
    </row>
    <row r="5610" spans="1:7" x14ac:dyDescent="0.2">
      <c r="A5610" t="s">
        <v>71</v>
      </c>
      <c r="B5610" t="s">
        <v>150</v>
      </c>
      <c r="C5610" t="s">
        <v>204</v>
      </c>
      <c r="D5610" t="s">
        <v>74</v>
      </c>
      <c r="E5610" t="s">
        <v>78</v>
      </c>
      <c r="F5610" s="55">
        <v>74</v>
      </c>
      <c r="G5610" s="63">
        <v>7.7999999999999996E-3</v>
      </c>
    </row>
    <row r="5611" spans="1:7" x14ac:dyDescent="0.2">
      <c r="A5611" t="s">
        <v>71</v>
      </c>
      <c r="B5611" t="s">
        <v>150</v>
      </c>
      <c r="C5611" t="s">
        <v>204</v>
      </c>
      <c r="D5611" t="s">
        <v>74</v>
      </c>
      <c r="E5611" t="s">
        <v>79</v>
      </c>
      <c r="F5611" s="55">
        <v>83</v>
      </c>
      <c r="G5611" s="63">
        <v>1.89E-2</v>
      </c>
    </row>
    <row r="5612" spans="1:7" x14ac:dyDescent="0.2">
      <c r="A5612" t="s">
        <v>71</v>
      </c>
      <c r="B5612" t="s">
        <v>150</v>
      </c>
      <c r="C5612" t="s">
        <v>204</v>
      </c>
      <c r="D5612" t="s">
        <v>74</v>
      </c>
      <c r="E5612" t="s">
        <v>80</v>
      </c>
      <c r="F5612" s="55">
        <v>76</v>
      </c>
      <c r="G5612" s="63">
        <v>5.1999999999999998E-3</v>
      </c>
    </row>
    <row r="5613" spans="1:7" x14ac:dyDescent="0.2">
      <c r="A5613" t="s">
        <v>71</v>
      </c>
      <c r="B5613" t="s">
        <v>150</v>
      </c>
      <c r="C5613" t="s">
        <v>204</v>
      </c>
      <c r="D5613" t="s">
        <v>74</v>
      </c>
      <c r="E5613" t="s">
        <v>81</v>
      </c>
      <c r="F5613" s="55">
        <v>77</v>
      </c>
      <c r="G5613" s="63">
        <v>5.1000000000000004E-3</v>
      </c>
    </row>
    <row r="5614" spans="1:7" x14ac:dyDescent="0.2">
      <c r="A5614" t="s">
        <v>71</v>
      </c>
      <c r="B5614" t="s">
        <v>150</v>
      </c>
      <c r="C5614" t="s">
        <v>204</v>
      </c>
      <c r="D5614" t="s">
        <v>74</v>
      </c>
      <c r="E5614" t="s">
        <v>82</v>
      </c>
      <c r="F5614" s="55">
        <v>93</v>
      </c>
      <c r="G5614" s="63">
        <v>1.21E-2</v>
      </c>
    </row>
    <row r="5615" spans="1:7" x14ac:dyDescent="0.2">
      <c r="A5615" t="s">
        <v>71</v>
      </c>
      <c r="B5615" t="s">
        <v>150</v>
      </c>
      <c r="C5615" t="s">
        <v>204</v>
      </c>
      <c r="D5615" t="s">
        <v>74</v>
      </c>
      <c r="E5615" t="s">
        <v>83</v>
      </c>
      <c r="F5615" s="55">
        <v>76</v>
      </c>
      <c r="G5615" s="63">
        <v>2.0999999999999999E-3</v>
      </c>
    </row>
    <row r="5616" spans="1:7" x14ac:dyDescent="0.2">
      <c r="A5616" t="s">
        <v>71</v>
      </c>
      <c r="B5616" t="s">
        <v>150</v>
      </c>
      <c r="C5616" t="s">
        <v>204</v>
      </c>
      <c r="D5616" t="s">
        <v>74</v>
      </c>
      <c r="E5616" t="s">
        <v>84</v>
      </c>
      <c r="F5616" s="55">
        <v>76</v>
      </c>
      <c r="G5616" s="63">
        <v>5.7999999999999996E-3</v>
      </c>
    </row>
    <row r="5617" spans="1:7" x14ac:dyDescent="0.2">
      <c r="A5617" t="s">
        <v>71</v>
      </c>
      <c r="B5617" t="s">
        <v>150</v>
      </c>
      <c r="C5617" t="s">
        <v>204</v>
      </c>
      <c r="D5617" t="s">
        <v>74</v>
      </c>
      <c r="E5617" t="s">
        <v>85</v>
      </c>
      <c r="F5617" s="55">
        <v>81</v>
      </c>
      <c r="G5617" s="63">
        <v>5.7999999999999996E-3</v>
      </c>
    </row>
    <row r="5618" spans="1:7" x14ac:dyDescent="0.2">
      <c r="A5618" t="s">
        <v>71</v>
      </c>
      <c r="B5618" t="s">
        <v>150</v>
      </c>
      <c r="C5618" t="s">
        <v>204</v>
      </c>
      <c r="D5618" t="s">
        <v>74</v>
      </c>
      <c r="E5618" t="s">
        <v>86</v>
      </c>
      <c r="F5618" s="55">
        <v>84</v>
      </c>
      <c r="G5618" s="63">
        <v>6.6E-3</v>
      </c>
    </row>
    <row r="5619" spans="1:7" x14ac:dyDescent="0.2">
      <c r="A5619" t="s">
        <v>71</v>
      </c>
      <c r="B5619" t="s">
        <v>150</v>
      </c>
      <c r="C5619" t="s">
        <v>204</v>
      </c>
      <c r="D5619" t="s">
        <v>74</v>
      </c>
      <c r="E5619" t="s">
        <v>87</v>
      </c>
      <c r="F5619" s="55">
        <v>81</v>
      </c>
      <c r="G5619" s="63">
        <v>7.7999999999999996E-3</v>
      </c>
    </row>
    <row r="5620" spans="1:7" x14ac:dyDescent="0.2">
      <c r="A5620" t="s">
        <v>71</v>
      </c>
      <c r="B5620" t="s">
        <v>150</v>
      </c>
      <c r="C5620" t="s">
        <v>204</v>
      </c>
      <c r="D5620" t="s">
        <v>74</v>
      </c>
      <c r="E5620" t="s">
        <v>88</v>
      </c>
      <c r="F5620" s="55">
        <v>76</v>
      </c>
      <c r="G5620" s="63">
        <v>4.7000000000000002E-3</v>
      </c>
    </row>
    <row r="5621" spans="1:7" x14ac:dyDescent="0.2">
      <c r="A5621" t="s">
        <v>71</v>
      </c>
      <c r="B5621" t="s">
        <v>151</v>
      </c>
      <c r="C5621" t="s">
        <v>204</v>
      </c>
      <c r="D5621" t="s">
        <v>74</v>
      </c>
      <c r="E5621" t="s">
        <v>75</v>
      </c>
      <c r="F5621" s="55">
        <v>118</v>
      </c>
      <c r="G5621" s="63">
        <v>0.1108</v>
      </c>
    </row>
    <row r="5622" spans="1:7" x14ac:dyDescent="0.2">
      <c r="A5622" t="s">
        <v>71</v>
      </c>
      <c r="B5622" t="s">
        <v>151</v>
      </c>
      <c r="C5622" t="s">
        <v>204</v>
      </c>
      <c r="D5622" t="s">
        <v>74</v>
      </c>
      <c r="E5622" t="s">
        <v>76</v>
      </c>
      <c r="F5622" s="55">
        <v>117</v>
      </c>
      <c r="G5622" s="63">
        <v>1.9800000000000002E-2</v>
      </c>
    </row>
    <row r="5623" spans="1:7" x14ac:dyDescent="0.2">
      <c r="A5623" t="s">
        <v>71</v>
      </c>
      <c r="B5623" t="s">
        <v>151</v>
      </c>
      <c r="C5623" t="s">
        <v>204</v>
      </c>
      <c r="D5623" t="s">
        <v>74</v>
      </c>
      <c r="E5623" t="s">
        <v>77</v>
      </c>
      <c r="F5623" s="55">
        <v>119</v>
      </c>
      <c r="G5623" s="63">
        <v>4.8500000000000001E-2</v>
      </c>
    </row>
    <row r="5624" spans="1:7" x14ac:dyDescent="0.2">
      <c r="A5624" t="s">
        <v>71</v>
      </c>
      <c r="B5624" t="s">
        <v>151</v>
      </c>
      <c r="C5624" t="s">
        <v>204</v>
      </c>
      <c r="D5624" t="s">
        <v>74</v>
      </c>
      <c r="E5624" t="s">
        <v>78</v>
      </c>
      <c r="F5624" s="55">
        <v>124</v>
      </c>
      <c r="G5624" s="63">
        <v>4.6899999999999997E-2</v>
      </c>
    </row>
    <row r="5625" spans="1:7" x14ac:dyDescent="0.2">
      <c r="A5625" t="s">
        <v>71</v>
      </c>
      <c r="B5625" t="s">
        <v>151</v>
      </c>
      <c r="C5625" t="s">
        <v>204</v>
      </c>
      <c r="D5625" t="s">
        <v>74</v>
      </c>
      <c r="E5625" t="s">
        <v>79</v>
      </c>
      <c r="F5625" s="55">
        <v>116</v>
      </c>
      <c r="G5625" s="63">
        <v>7.0000000000000007E-2</v>
      </c>
    </row>
    <row r="5626" spans="1:7" x14ac:dyDescent="0.2">
      <c r="A5626" t="s">
        <v>71</v>
      </c>
      <c r="B5626" t="s">
        <v>151</v>
      </c>
      <c r="C5626" t="s">
        <v>204</v>
      </c>
      <c r="D5626" t="s">
        <v>74</v>
      </c>
      <c r="E5626" t="s">
        <v>80</v>
      </c>
      <c r="F5626" s="55">
        <v>117</v>
      </c>
      <c r="G5626" s="63">
        <v>2.1399999999999999E-2</v>
      </c>
    </row>
    <row r="5627" spans="1:7" x14ac:dyDescent="0.2">
      <c r="A5627" t="s">
        <v>71</v>
      </c>
      <c r="B5627" t="s">
        <v>151</v>
      </c>
      <c r="C5627" t="s">
        <v>204</v>
      </c>
      <c r="D5627" t="s">
        <v>74</v>
      </c>
      <c r="E5627" t="s">
        <v>81</v>
      </c>
      <c r="F5627" s="55">
        <v>124</v>
      </c>
      <c r="G5627" s="63">
        <v>2.3199999999999998E-2</v>
      </c>
    </row>
    <row r="5628" spans="1:7" x14ac:dyDescent="0.2">
      <c r="A5628" t="s">
        <v>71</v>
      </c>
      <c r="B5628" t="s">
        <v>151</v>
      </c>
      <c r="C5628" t="s">
        <v>204</v>
      </c>
      <c r="D5628" t="s">
        <v>74</v>
      </c>
      <c r="E5628" t="s">
        <v>82</v>
      </c>
      <c r="F5628" s="55">
        <v>114</v>
      </c>
      <c r="G5628" s="63">
        <v>5.6800000000000003E-2</v>
      </c>
    </row>
    <row r="5629" spans="1:7" x14ac:dyDescent="0.2">
      <c r="A5629" t="s">
        <v>71</v>
      </c>
      <c r="B5629" t="s">
        <v>151</v>
      </c>
      <c r="C5629" t="s">
        <v>204</v>
      </c>
      <c r="D5629" t="s">
        <v>74</v>
      </c>
      <c r="E5629" t="s">
        <v>83</v>
      </c>
      <c r="F5629" s="55">
        <v>121</v>
      </c>
      <c r="G5629" s="63">
        <v>1.3299999999999999E-2</v>
      </c>
    </row>
    <row r="5630" spans="1:7" x14ac:dyDescent="0.2">
      <c r="A5630" t="s">
        <v>71</v>
      </c>
      <c r="B5630" t="s">
        <v>151</v>
      </c>
      <c r="C5630" t="s">
        <v>204</v>
      </c>
      <c r="D5630" t="s">
        <v>74</v>
      </c>
      <c r="E5630" t="s">
        <v>84</v>
      </c>
      <c r="F5630" s="55">
        <v>125</v>
      </c>
      <c r="G5630" s="63">
        <v>3.7999999999999999E-2</v>
      </c>
    </row>
    <row r="5631" spans="1:7" x14ac:dyDescent="0.2">
      <c r="A5631" t="s">
        <v>71</v>
      </c>
      <c r="B5631" t="s">
        <v>151</v>
      </c>
      <c r="C5631" t="s">
        <v>204</v>
      </c>
      <c r="D5631" t="s">
        <v>74</v>
      </c>
      <c r="E5631" t="s">
        <v>85</v>
      </c>
      <c r="F5631" s="55">
        <v>110</v>
      </c>
      <c r="G5631" s="63">
        <v>2.47E-2</v>
      </c>
    </row>
    <row r="5632" spans="1:7" x14ac:dyDescent="0.2">
      <c r="A5632" t="s">
        <v>71</v>
      </c>
      <c r="B5632" t="s">
        <v>151</v>
      </c>
      <c r="C5632" t="s">
        <v>204</v>
      </c>
      <c r="D5632" t="s">
        <v>74</v>
      </c>
      <c r="E5632" t="s">
        <v>86</v>
      </c>
      <c r="F5632" s="55">
        <v>113</v>
      </c>
      <c r="G5632" s="63">
        <v>3.2500000000000001E-2</v>
      </c>
    </row>
    <row r="5633" spans="1:7" x14ac:dyDescent="0.2">
      <c r="A5633" t="s">
        <v>71</v>
      </c>
      <c r="B5633" t="s">
        <v>151</v>
      </c>
      <c r="C5633" t="s">
        <v>204</v>
      </c>
      <c r="D5633" t="s">
        <v>74</v>
      </c>
      <c r="E5633" t="s">
        <v>87</v>
      </c>
      <c r="F5633" s="55">
        <v>115</v>
      </c>
      <c r="G5633" s="63">
        <v>0.04</v>
      </c>
    </row>
    <row r="5634" spans="1:7" x14ac:dyDescent="0.2">
      <c r="A5634" t="s">
        <v>71</v>
      </c>
      <c r="B5634" t="s">
        <v>151</v>
      </c>
      <c r="C5634" t="s">
        <v>204</v>
      </c>
      <c r="D5634" t="s">
        <v>74</v>
      </c>
      <c r="E5634" t="s">
        <v>88</v>
      </c>
      <c r="F5634" s="55">
        <v>114</v>
      </c>
      <c r="G5634" s="63">
        <v>2.98E-2</v>
      </c>
    </row>
    <row r="5635" spans="1:7" x14ac:dyDescent="0.2">
      <c r="A5635" t="s">
        <v>71</v>
      </c>
      <c r="B5635" t="s">
        <v>152</v>
      </c>
      <c r="C5635" t="s">
        <v>204</v>
      </c>
      <c r="D5635" t="s">
        <v>74</v>
      </c>
      <c r="E5635" t="s">
        <v>75</v>
      </c>
      <c r="F5635" s="55">
        <v>109</v>
      </c>
      <c r="G5635" s="63">
        <v>0.4103</v>
      </c>
    </row>
    <row r="5636" spans="1:7" x14ac:dyDescent="0.2">
      <c r="A5636" t="s">
        <v>71</v>
      </c>
      <c r="B5636" t="s">
        <v>152</v>
      </c>
      <c r="C5636" t="s">
        <v>204</v>
      </c>
      <c r="D5636" t="s">
        <v>74</v>
      </c>
      <c r="E5636" t="s">
        <v>76</v>
      </c>
      <c r="F5636" s="55">
        <v>104</v>
      </c>
      <c r="G5636" s="63">
        <v>0.16850000000000001</v>
      </c>
    </row>
    <row r="5637" spans="1:7" x14ac:dyDescent="0.2">
      <c r="A5637" t="s">
        <v>71</v>
      </c>
      <c r="B5637" t="s">
        <v>152</v>
      </c>
      <c r="C5637" t="s">
        <v>204</v>
      </c>
      <c r="D5637" t="s">
        <v>74</v>
      </c>
      <c r="E5637" t="s">
        <v>77</v>
      </c>
      <c r="F5637" s="55">
        <v>110</v>
      </c>
      <c r="G5637" s="63">
        <v>0.25840000000000002</v>
      </c>
    </row>
    <row r="5638" spans="1:7" x14ac:dyDescent="0.2">
      <c r="A5638" t="s">
        <v>71</v>
      </c>
      <c r="B5638" t="s">
        <v>152</v>
      </c>
      <c r="C5638" t="s">
        <v>204</v>
      </c>
      <c r="D5638" t="s">
        <v>74</v>
      </c>
      <c r="E5638" t="s">
        <v>78</v>
      </c>
      <c r="F5638" s="55">
        <v>112</v>
      </c>
      <c r="G5638" s="63">
        <v>0.27079999999999999</v>
      </c>
    </row>
    <row r="5639" spans="1:7" x14ac:dyDescent="0.2">
      <c r="A5639" t="s">
        <v>71</v>
      </c>
      <c r="B5639" t="s">
        <v>152</v>
      </c>
      <c r="C5639" t="s">
        <v>204</v>
      </c>
      <c r="D5639" t="s">
        <v>74</v>
      </c>
      <c r="E5639" t="s">
        <v>79</v>
      </c>
      <c r="F5639" s="55">
        <v>110</v>
      </c>
      <c r="G5639" s="63">
        <v>0.3483</v>
      </c>
    </row>
    <row r="5640" spans="1:7" x14ac:dyDescent="0.2">
      <c r="A5640" t="s">
        <v>71</v>
      </c>
      <c r="B5640" t="s">
        <v>152</v>
      </c>
      <c r="C5640" t="s">
        <v>204</v>
      </c>
      <c r="D5640" t="s">
        <v>74</v>
      </c>
      <c r="E5640" t="s">
        <v>80</v>
      </c>
      <c r="F5640" s="55">
        <v>107</v>
      </c>
      <c r="G5640" s="63">
        <v>0.251</v>
      </c>
    </row>
    <row r="5641" spans="1:7" x14ac:dyDescent="0.2">
      <c r="A5641" t="s">
        <v>71</v>
      </c>
      <c r="B5641" t="s">
        <v>152</v>
      </c>
      <c r="C5641" t="s">
        <v>204</v>
      </c>
      <c r="D5641" t="s">
        <v>74</v>
      </c>
      <c r="E5641" t="s">
        <v>81</v>
      </c>
      <c r="F5641" s="55">
        <v>104</v>
      </c>
      <c r="G5641" s="63">
        <v>0.2407</v>
      </c>
    </row>
    <row r="5642" spans="1:7" x14ac:dyDescent="0.2">
      <c r="A5642" t="s">
        <v>71</v>
      </c>
      <c r="B5642" t="s">
        <v>152</v>
      </c>
      <c r="C5642" t="s">
        <v>204</v>
      </c>
      <c r="D5642" t="s">
        <v>74</v>
      </c>
      <c r="E5642" t="s">
        <v>82</v>
      </c>
      <c r="F5642" s="55">
        <v>107</v>
      </c>
      <c r="G5642" s="63">
        <v>0.27110000000000001</v>
      </c>
    </row>
    <row r="5643" spans="1:7" x14ac:dyDescent="0.2">
      <c r="A5643" t="s">
        <v>71</v>
      </c>
      <c r="B5643" t="s">
        <v>152</v>
      </c>
      <c r="C5643" t="s">
        <v>204</v>
      </c>
      <c r="D5643" t="s">
        <v>74</v>
      </c>
      <c r="E5643" t="s">
        <v>83</v>
      </c>
      <c r="F5643" s="55">
        <v>102</v>
      </c>
      <c r="G5643" s="63">
        <v>0.13850000000000001</v>
      </c>
    </row>
    <row r="5644" spans="1:7" x14ac:dyDescent="0.2">
      <c r="A5644" t="s">
        <v>71</v>
      </c>
      <c r="B5644" t="s">
        <v>152</v>
      </c>
      <c r="C5644" t="s">
        <v>204</v>
      </c>
      <c r="D5644" t="s">
        <v>74</v>
      </c>
      <c r="E5644" t="s">
        <v>84</v>
      </c>
      <c r="F5644" s="55">
        <v>112</v>
      </c>
      <c r="G5644" s="63">
        <v>0.2445</v>
      </c>
    </row>
    <row r="5645" spans="1:7" x14ac:dyDescent="0.2">
      <c r="A5645" t="s">
        <v>71</v>
      </c>
      <c r="B5645" t="s">
        <v>152</v>
      </c>
      <c r="C5645" t="s">
        <v>204</v>
      </c>
      <c r="D5645" t="s">
        <v>74</v>
      </c>
      <c r="E5645" t="s">
        <v>85</v>
      </c>
      <c r="F5645" s="55">
        <v>107</v>
      </c>
      <c r="G5645" s="63">
        <v>0.25119999999999998</v>
      </c>
    </row>
    <row r="5646" spans="1:7" x14ac:dyDescent="0.2">
      <c r="A5646" t="s">
        <v>71</v>
      </c>
      <c r="B5646" t="s">
        <v>152</v>
      </c>
      <c r="C5646" t="s">
        <v>204</v>
      </c>
      <c r="D5646" t="s">
        <v>74</v>
      </c>
      <c r="E5646" t="s">
        <v>86</v>
      </c>
      <c r="F5646" s="55">
        <v>110</v>
      </c>
      <c r="G5646" s="63">
        <v>0.25530000000000003</v>
      </c>
    </row>
    <row r="5647" spans="1:7" x14ac:dyDescent="0.2">
      <c r="A5647" t="s">
        <v>71</v>
      </c>
      <c r="B5647" t="s">
        <v>152</v>
      </c>
      <c r="C5647" t="s">
        <v>204</v>
      </c>
      <c r="D5647" t="s">
        <v>74</v>
      </c>
      <c r="E5647" t="s">
        <v>87</v>
      </c>
      <c r="F5647" s="55">
        <v>111</v>
      </c>
      <c r="G5647" s="63">
        <v>0.25840000000000002</v>
      </c>
    </row>
    <row r="5648" spans="1:7" x14ac:dyDescent="0.2">
      <c r="A5648" t="s">
        <v>71</v>
      </c>
      <c r="B5648" t="s">
        <v>152</v>
      </c>
      <c r="C5648" t="s">
        <v>204</v>
      </c>
      <c r="D5648" t="s">
        <v>74</v>
      </c>
      <c r="E5648" t="s">
        <v>88</v>
      </c>
      <c r="F5648" s="55">
        <v>103</v>
      </c>
      <c r="G5648" s="63">
        <v>0.2069</v>
      </c>
    </row>
    <row r="5649" spans="1:7" x14ac:dyDescent="0.2">
      <c r="A5649" t="s">
        <v>71</v>
      </c>
      <c r="B5649" t="s">
        <v>153</v>
      </c>
      <c r="C5649" t="s">
        <v>204</v>
      </c>
      <c r="D5649" t="s">
        <v>74</v>
      </c>
      <c r="E5649" t="s">
        <v>75</v>
      </c>
      <c r="F5649" s="55">
        <v>100</v>
      </c>
      <c r="G5649" s="63">
        <v>9.6699999999999994E-2</v>
      </c>
    </row>
    <row r="5650" spans="1:7" x14ac:dyDescent="0.2">
      <c r="A5650" t="s">
        <v>71</v>
      </c>
      <c r="B5650" t="s">
        <v>153</v>
      </c>
      <c r="C5650" t="s">
        <v>204</v>
      </c>
      <c r="D5650" t="s">
        <v>74</v>
      </c>
      <c r="E5650" t="s">
        <v>76</v>
      </c>
      <c r="F5650" s="55">
        <v>101</v>
      </c>
      <c r="G5650" s="63">
        <v>7.1000000000000004E-3</v>
      </c>
    </row>
    <row r="5651" spans="1:7" x14ac:dyDescent="0.2">
      <c r="A5651" t="s">
        <v>71</v>
      </c>
      <c r="B5651" t="s">
        <v>153</v>
      </c>
      <c r="C5651" t="s">
        <v>204</v>
      </c>
      <c r="D5651" t="s">
        <v>74</v>
      </c>
      <c r="E5651" t="s">
        <v>77</v>
      </c>
      <c r="F5651" s="55">
        <v>102</v>
      </c>
      <c r="G5651" s="63">
        <v>3.9100000000000003E-2</v>
      </c>
    </row>
    <row r="5652" spans="1:7" x14ac:dyDescent="0.2">
      <c r="A5652" t="s">
        <v>71</v>
      </c>
      <c r="B5652" t="s">
        <v>153</v>
      </c>
      <c r="C5652" t="s">
        <v>204</v>
      </c>
      <c r="D5652" t="s">
        <v>74</v>
      </c>
      <c r="E5652" t="s">
        <v>78</v>
      </c>
      <c r="F5652" s="55">
        <v>106</v>
      </c>
      <c r="G5652" s="63">
        <v>3.9399999999999998E-2</v>
      </c>
    </row>
    <row r="5653" spans="1:7" x14ac:dyDescent="0.2">
      <c r="A5653" t="s">
        <v>71</v>
      </c>
      <c r="B5653" t="s">
        <v>153</v>
      </c>
      <c r="C5653" t="s">
        <v>204</v>
      </c>
      <c r="D5653" t="s">
        <v>74</v>
      </c>
      <c r="E5653" t="s">
        <v>79</v>
      </c>
      <c r="F5653" s="55">
        <v>99</v>
      </c>
      <c r="G5653" s="63">
        <v>6.4500000000000002E-2</v>
      </c>
    </row>
    <row r="5654" spans="1:7" x14ac:dyDescent="0.2">
      <c r="A5654" t="s">
        <v>71</v>
      </c>
      <c r="B5654" t="s">
        <v>153</v>
      </c>
      <c r="C5654" t="s">
        <v>204</v>
      </c>
      <c r="D5654" t="s">
        <v>74</v>
      </c>
      <c r="E5654" t="s">
        <v>80</v>
      </c>
      <c r="F5654" s="55">
        <v>99</v>
      </c>
      <c r="G5654" s="63">
        <v>2.8000000000000001E-2</v>
      </c>
    </row>
    <row r="5655" spans="1:7" x14ac:dyDescent="0.2">
      <c r="A5655" t="s">
        <v>71</v>
      </c>
      <c r="B5655" t="s">
        <v>153</v>
      </c>
      <c r="C5655" t="s">
        <v>204</v>
      </c>
      <c r="D5655" t="s">
        <v>74</v>
      </c>
      <c r="E5655" t="s">
        <v>81</v>
      </c>
      <c r="F5655" s="55">
        <v>103</v>
      </c>
      <c r="G5655" s="63">
        <v>2.4199999999999999E-2</v>
      </c>
    </row>
    <row r="5656" spans="1:7" x14ac:dyDescent="0.2">
      <c r="A5656" t="s">
        <v>71</v>
      </c>
      <c r="B5656" t="s">
        <v>153</v>
      </c>
      <c r="C5656" t="s">
        <v>204</v>
      </c>
      <c r="D5656" t="s">
        <v>74</v>
      </c>
      <c r="E5656" t="s">
        <v>82</v>
      </c>
      <c r="F5656" s="55">
        <v>95</v>
      </c>
      <c r="G5656" s="63">
        <v>4.9299999999999997E-2</v>
      </c>
    </row>
    <row r="5657" spans="1:7" x14ac:dyDescent="0.2">
      <c r="A5657" t="s">
        <v>71</v>
      </c>
      <c r="B5657" t="s">
        <v>153</v>
      </c>
      <c r="C5657" t="s">
        <v>204</v>
      </c>
      <c r="D5657" t="s">
        <v>74</v>
      </c>
      <c r="E5657" t="s">
        <v>83</v>
      </c>
      <c r="F5657" s="55">
        <v>102</v>
      </c>
      <c r="G5657" s="63">
        <v>7.6E-3</v>
      </c>
    </row>
    <row r="5658" spans="1:7" x14ac:dyDescent="0.2">
      <c r="A5658" t="s">
        <v>71</v>
      </c>
      <c r="B5658" t="s">
        <v>153</v>
      </c>
      <c r="C5658" t="s">
        <v>204</v>
      </c>
      <c r="D5658" t="s">
        <v>74</v>
      </c>
      <c r="E5658" t="s">
        <v>84</v>
      </c>
      <c r="F5658" s="55">
        <v>107</v>
      </c>
      <c r="G5658" s="63">
        <v>3.39E-2</v>
      </c>
    </row>
    <row r="5659" spans="1:7" x14ac:dyDescent="0.2">
      <c r="A5659" t="s">
        <v>71</v>
      </c>
      <c r="B5659" t="s">
        <v>153</v>
      </c>
      <c r="C5659" t="s">
        <v>204</v>
      </c>
      <c r="D5659" t="s">
        <v>74</v>
      </c>
      <c r="E5659" t="s">
        <v>85</v>
      </c>
      <c r="F5659" s="55">
        <v>91</v>
      </c>
      <c r="G5659" s="63">
        <v>2.8199999999999999E-2</v>
      </c>
    </row>
    <row r="5660" spans="1:7" x14ac:dyDescent="0.2">
      <c r="A5660" t="s">
        <v>71</v>
      </c>
      <c r="B5660" t="s">
        <v>153</v>
      </c>
      <c r="C5660" t="s">
        <v>204</v>
      </c>
      <c r="D5660" t="s">
        <v>74</v>
      </c>
      <c r="E5660" t="s">
        <v>86</v>
      </c>
      <c r="F5660" s="55">
        <v>91</v>
      </c>
      <c r="G5660" s="63">
        <v>3.2000000000000001E-2</v>
      </c>
    </row>
    <row r="5661" spans="1:7" x14ac:dyDescent="0.2">
      <c r="A5661" t="s">
        <v>71</v>
      </c>
      <c r="B5661" t="s">
        <v>153</v>
      </c>
      <c r="C5661" t="s">
        <v>204</v>
      </c>
      <c r="D5661" t="s">
        <v>74</v>
      </c>
      <c r="E5661" t="s">
        <v>87</v>
      </c>
      <c r="F5661" s="55">
        <v>97</v>
      </c>
      <c r="G5661" s="63">
        <v>3.44E-2</v>
      </c>
    </row>
    <row r="5662" spans="1:7" x14ac:dyDescent="0.2">
      <c r="A5662" t="s">
        <v>71</v>
      </c>
      <c r="B5662" t="s">
        <v>153</v>
      </c>
      <c r="C5662" t="s">
        <v>204</v>
      </c>
      <c r="D5662" t="s">
        <v>74</v>
      </c>
      <c r="E5662" t="s">
        <v>88</v>
      </c>
      <c r="F5662" s="55">
        <v>97</v>
      </c>
      <c r="G5662" s="63">
        <v>1.0699999999999999E-2</v>
      </c>
    </row>
    <row r="5663" spans="1:7" x14ac:dyDescent="0.2">
      <c r="A5663" t="s">
        <v>89</v>
      </c>
      <c r="B5663" t="s">
        <v>154</v>
      </c>
      <c r="C5663" t="s">
        <v>204</v>
      </c>
      <c r="D5663" t="s">
        <v>74</v>
      </c>
      <c r="E5663" t="s">
        <v>75</v>
      </c>
      <c r="F5663" s="55">
        <v>103</v>
      </c>
      <c r="G5663" s="63">
        <v>0.1537</v>
      </c>
    </row>
    <row r="5664" spans="1:7" x14ac:dyDescent="0.2">
      <c r="A5664" t="s">
        <v>89</v>
      </c>
      <c r="B5664" t="s">
        <v>154</v>
      </c>
      <c r="C5664" t="s">
        <v>204</v>
      </c>
      <c r="D5664" t="s">
        <v>74</v>
      </c>
      <c r="E5664" t="s">
        <v>76</v>
      </c>
      <c r="F5664" s="55">
        <v>106</v>
      </c>
      <c r="G5664" s="63">
        <v>1.7299999999999999E-2</v>
      </c>
    </row>
    <row r="5665" spans="1:7" x14ac:dyDescent="0.2">
      <c r="A5665" t="s">
        <v>89</v>
      </c>
      <c r="B5665" t="s">
        <v>154</v>
      </c>
      <c r="C5665" t="s">
        <v>204</v>
      </c>
      <c r="D5665" t="s">
        <v>74</v>
      </c>
      <c r="E5665" t="s">
        <v>77</v>
      </c>
      <c r="F5665" s="55">
        <v>108</v>
      </c>
      <c r="G5665" s="63">
        <v>5.79E-2</v>
      </c>
    </row>
    <row r="5666" spans="1:7" x14ac:dyDescent="0.2">
      <c r="A5666" t="s">
        <v>89</v>
      </c>
      <c r="B5666" t="s">
        <v>154</v>
      </c>
      <c r="C5666" t="s">
        <v>204</v>
      </c>
      <c r="D5666" t="s">
        <v>74</v>
      </c>
      <c r="E5666" t="s">
        <v>78</v>
      </c>
      <c r="F5666" s="55">
        <v>110</v>
      </c>
      <c r="G5666" s="63">
        <v>5.3800000000000001E-2</v>
      </c>
    </row>
    <row r="5667" spans="1:7" x14ac:dyDescent="0.2">
      <c r="A5667" t="s">
        <v>89</v>
      </c>
      <c r="B5667" t="s">
        <v>154</v>
      </c>
      <c r="C5667" t="s">
        <v>204</v>
      </c>
      <c r="D5667" t="s">
        <v>74</v>
      </c>
      <c r="E5667" t="s">
        <v>79</v>
      </c>
      <c r="F5667" s="55">
        <v>102</v>
      </c>
      <c r="G5667" s="63">
        <v>0.10440000000000001</v>
      </c>
    </row>
    <row r="5668" spans="1:7" x14ac:dyDescent="0.2">
      <c r="A5668" t="s">
        <v>89</v>
      </c>
      <c r="B5668" t="s">
        <v>154</v>
      </c>
      <c r="C5668" t="s">
        <v>204</v>
      </c>
      <c r="D5668" t="s">
        <v>74</v>
      </c>
      <c r="E5668" t="s">
        <v>80</v>
      </c>
      <c r="F5668" s="55">
        <v>99</v>
      </c>
      <c r="G5668" s="63">
        <v>6.4100000000000004E-2</v>
      </c>
    </row>
    <row r="5669" spans="1:7" x14ac:dyDescent="0.2">
      <c r="A5669" t="s">
        <v>89</v>
      </c>
      <c r="B5669" t="s">
        <v>154</v>
      </c>
      <c r="C5669" t="s">
        <v>204</v>
      </c>
      <c r="D5669" t="s">
        <v>74</v>
      </c>
      <c r="E5669" t="s">
        <v>81</v>
      </c>
      <c r="F5669" s="55">
        <v>98</v>
      </c>
      <c r="G5669" s="63">
        <v>5.8900000000000001E-2</v>
      </c>
    </row>
    <row r="5670" spans="1:7" x14ac:dyDescent="0.2">
      <c r="A5670" t="s">
        <v>89</v>
      </c>
      <c r="B5670" t="s">
        <v>154</v>
      </c>
      <c r="C5670" t="s">
        <v>204</v>
      </c>
      <c r="D5670" t="s">
        <v>74</v>
      </c>
      <c r="E5670" t="s">
        <v>82</v>
      </c>
      <c r="F5670" s="55">
        <v>100</v>
      </c>
      <c r="G5670" s="63">
        <v>6.9000000000000006E-2</v>
      </c>
    </row>
    <row r="5671" spans="1:7" x14ac:dyDescent="0.2">
      <c r="A5671" t="s">
        <v>89</v>
      </c>
      <c r="B5671" t="s">
        <v>154</v>
      </c>
      <c r="C5671" t="s">
        <v>204</v>
      </c>
      <c r="D5671" t="s">
        <v>74</v>
      </c>
      <c r="E5671" t="s">
        <v>83</v>
      </c>
      <c r="F5671" s="55">
        <v>96</v>
      </c>
      <c r="G5671" s="63">
        <v>2.0299999999999999E-2</v>
      </c>
    </row>
    <row r="5672" spans="1:7" x14ac:dyDescent="0.2">
      <c r="A5672" t="s">
        <v>89</v>
      </c>
      <c r="B5672" t="s">
        <v>154</v>
      </c>
      <c r="C5672" t="s">
        <v>204</v>
      </c>
      <c r="D5672" t="s">
        <v>74</v>
      </c>
      <c r="E5672" t="s">
        <v>84</v>
      </c>
      <c r="F5672" s="55">
        <v>109</v>
      </c>
      <c r="G5672" s="63">
        <v>4.5199999999999997E-2</v>
      </c>
    </row>
    <row r="5673" spans="1:7" x14ac:dyDescent="0.2">
      <c r="A5673" t="s">
        <v>89</v>
      </c>
      <c r="B5673" t="s">
        <v>154</v>
      </c>
      <c r="C5673" t="s">
        <v>204</v>
      </c>
      <c r="D5673" t="s">
        <v>74</v>
      </c>
      <c r="E5673" t="s">
        <v>85</v>
      </c>
      <c r="F5673" s="55">
        <v>98</v>
      </c>
      <c r="G5673" s="63">
        <v>0.06</v>
      </c>
    </row>
    <row r="5674" spans="1:7" x14ac:dyDescent="0.2">
      <c r="A5674" t="s">
        <v>89</v>
      </c>
      <c r="B5674" t="s">
        <v>154</v>
      </c>
      <c r="C5674" t="s">
        <v>204</v>
      </c>
      <c r="D5674" t="s">
        <v>74</v>
      </c>
      <c r="E5674" t="s">
        <v>86</v>
      </c>
      <c r="F5674" s="55">
        <v>100</v>
      </c>
      <c r="G5674" s="63">
        <v>5.8099999999999999E-2</v>
      </c>
    </row>
    <row r="5675" spans="1:7" x14ac:dyDescent="0.2">
      <c r="A5675" t="s">
        <v>89</v>
      </c>
      <c r="B5675" t="s">
        <v>154</v>
      </c>
      <c r="C5675" t="s">
        <v>204</v>
      </c>
      <c r="D5675" t="s">
        <v>74</v>
      </c>
      <c r="E5675" t="s">
        <v>87</v>
      </c>
      <c r="F5675" s="55">
        <v>100</v>
      </c>
      <c r="G5675" s="63">
        <v>5.7799999999999997E-2</v>
      </c>
    </row>
    <row r="5676" spans="1:7" x14ac:dyDescent="0.2">
      <c r="A5676" t="s">
        <v>89</v>
      </c>
      <c r="B5676" t="s">
        <v>154</v>
      </c>
      <c r="C5676" t="s">
        <v>204</v>
      </c>
      <c r="D5676" t="s">
        <v>74</v>
      </c>
      <c r="E5676" t="s">
        <v>88</v>
      </c>
      <c r="F5676" s="55">
        <v>102</v>
      </c>
      <c r="G5676" s="63">
        <v>2.7099999999999999E-2</v>
      </c>
    </row>
    <row r="5677" spans="1:7" x14ac:dyDescent="0.2">
      <c r="A5677" t="s">
        <v>71</v>
      </c>
      <c r="B5677" t="s">
        <v>155</v>
      </c>
      <c r="C5677" t="s">
        <v>204</v>
      </c>
      <c r="D5677" t="s">
        <v>74</v>
      </c>
      <c r="E5677" t="s">
        <v>75</v>
      </c>
      <c r="F5677" s="55">
        <v>95</v>
      </c>
      <c r="G5677" s="63">
        <v>0.25729999999999997</v>
      </c>
    </row>
    <row r="5678" spans="1:7" x14ac:dyDescent="0.2">
      <c r="A5678" t="s">
        <v>71</v>
      </c>
      <c r="B5678" t="s">
        <v>155</v>
      </c>
      <c r="C5678" t="s">
        <v>204</v>
      </c>
      <c r="D5678" t="s">
        <v>74</v>
      </c>
      <c r="E5678" t="s">
        <v>76</v>
      </c>
      <c r="F5678" s="55">
        <v>98</v>
      </c>
      <c r="G5678" s="63">
        <v>3.2099999999999997E-2</v>
      </c>
    </row>
    <row r="5679" spans="1:7" x14ac:dyDescent="0.2">
      <c r="A5679" t="s">
        <v>71</v>
      </c>
      <c r="B5679" t="s">
        <v>155</v>
      </c>
      <c r="C5679" t="s">
        <v>204</v>
      </c>
      <c r="D5679" t="s">
        <v>74</v>
      </c>
      <c r="E5679" t="s">
        <v>77</v>
      </c>
      <c r="F5679" s="55">
        <v>100</v>
      </c>
      <c r="G5679" s="63">
        <v>8.4400000000000003E-2</v>
      </c>
    </row>
    <row r="5680" spans="1:7" x14ac:dyDescent="0.2">
      <c r="A5680" t="s">
        <v>71</v>
      </c>
      <c r="B5680" t="s">
        <v>155</v>
      </c>
      <c r="C5680" t="s">
        <v>204</v>
      </c>
      <c r="D5680" t="s">
        <v>74</v>
      </c>
      <c r="E5680" t="s">
        <v>78</v>
      </c>
      <c r="F5680" s="55">
        <v>102</v>
      </c>
      <c r="G5680" s="63">
        <v>9.2700000000000005E-2</v>
      </c>
    </row>
    <row r="5681" spans="1:7" x14ac:dyDescent="0.2">
      <c r="A5681" t="s">
        <v>71</v>
      </c>
      <c r="B5681" t="s">
        <v>155</v>
      </c>
      <c r="C5681" t="s">
        <v>204</v>
      </c>
      <c r="D5681" t="s">
        <v>74</v>
      </c>
      <c r="E5681" t="s">
        <v>79</v>
      </c>
      <c r="F5681" s="55">
        <v>82</v>
      </c>
      <c r="G5681" s="63">
        <v>0.17929999999999999</v>
      </c>
    </row>
    <row r="5682" spans="1:7" x14ac:dyDescent="0.2">
      <c r="A5682" t="s">
        <v>71</v>
      </c>
      <c r="B5682" t="s">
        <v>155</v>
      </c>
      <c r="C5682" t="s">
        <v>204</v>
      </c>
      <c r="D5682" t="s">
        <v>74</v>
      </c>
      <c r="E5682" t="s">
        <v>80</v>
      </c>
      <c r="F5682" s="55">
        <v>84</v>
      </c>
      <c r="G5682" s="63">
        <v>4.8500000000000001E-2</v>
      </c>
    </row>
    <row r="5683" spans="1:7" x14ac:dyDescent="0.2">
      <c r="A5683" t="s">
        <v>71</v>
      </c>
      <c r="B5683" t="s">
        <v>155</v>
      </c>
      <c r="C5683" t="s">
        <v>204</v>
      </c>
      <c r="D5683" t="s">
        <v>74</v>
      </c>
      <c r="E5683" t="s">
        <v>81</v>
      </c>
      <c r="F5683" s="55">
        <v>87</v>
      </c>
      <c r="G5683" s="63">
        <v>4.8800000000000003E-2</v>
      </c>
    </row>
    <row r="5684" spans="1:7" x14ac:dyDescent="0.2">
      <c r="A5684" t="s">
        <v>71</v>
      </c>
      <c r="B5684" t="s">
        <v>155</v>
      </c>
      <c r="C5684" t="s">
        <v>204</v>
      </c>
      <c r="D5684" t="s">
        <v>74</v>
      </c>
      <c r="E5684" t="s">
        <v>82</v>
      </c>
      <c r="F5684" s="55">
        <v>104</v>
      </c>
      <c r="G5684" s="63">
        <v>0.12180000000000001</v>
      </c>
    </row>
    <row r="5685" spans="1:7" x14ac:dyDescent="0.2">
      <c r="A5685" t="s">
        <v>71</v>
      </c>
      <c r="B5685" t="s">
        <v>155</v>
      </c>
      <c r="C5685" t="s">
        <v>204</v>
      </c>
      <c r="D5685" t="s">
        <v>74</v>
      </c>
      <c r="E5685" t="s">
        <v>83</v>
      </c>
      <c r="F5685" s="55">
        <v>91</v>
      </c>
      <c r="G5685" s="63">
        <v>2.3699999999999999E-2</v>
      </c>
    </row>
    <row r="5686" spans="1:7" x14ac:dyDescent="0.2">
      <c r="A5686" t="s">
        <v>71</v>
      </c>
      <c r="B5686" t="s">
        <v>155</v>
      </c>
      <c r="C5686" t="s">
        <v>204</v>
      </c>
      <c r="D5686" t="s">
        <v>74</v>
      </c>
      <c r="E5686" t="s">
        <v>84</v>
      </c>
      <c r="F5686" s="55">
        <v>105</v>
      </c>
      <c r="G5686" s="63">
        <v>7.0800000000000002E-2</v>
      </c>
    </row>
    <row r="5687" spans="1:7" x14ac:dyDescent="0.2">
      <c r="A5687" t="s">
        <v>71</v>
      </c>
      <c r="B5687" t="s">
        <v>155</v>
      </c>
      <c r="C5687" t="s">
        <v>204</v>
      </c>
      <c r="D5687" t="s">
        <v>74</v>
      </c>
      <c r="E5687" t="s">
        <v>85</v>
      </c>
      <c r="F5687" s="55">
        <v>82</v>
      </c>
      <c r="G5687" s="63">
        <v>5.28E-2</v>
      </c>
    </row>
    <row r="5688" spans="1:7" x14ac:dyDescent="0.2">
      <c r="A5688" t="s">
        <v>71</v>
      </c>
      <c r="B5688" t="s">
        <v>155</v>
      </c>
      <c r="C5688" t="s">
        <v>204</v>
      </c>
      <c r="D5688" t="s">
        <v>74</v>
      </c>
      <c r="E5688" t="s">
        <v>86</v>
      </c>
      <c r="F5688" s="55">
        <v>80</v>
      </c>
      <c r="G5688" s="63">
        <v>6.8500000000000005E-2</v>
      </c>
    </row>
    <row r="5689" spans="1:7" x14ac:dyDescent="0.2">
      <c r="A5689" t="s">
        <v>71</v>
      </c>
      <c r="B5689" t="s">
        <v>155</v>
      </c>
      <c r="C5689" t="s">
        <v>204</v>
      </c>
      <c r="D5689" t="s">
        <v>74</v>
      </c>
      <c r="E5689" t="s">
        <v>87</v>
      </c>
      <c r="F5689" s="55">
        <v>80</v>
      </c>
      <c r="G5689" s="63">
        <v>8.4900000000000003E-2</v>
      </c>
    </row>
    <row r="5690" spans="1:7" x14ac:dyDescent="0.2">
      <c r="A5690" t="s">
        <v>71</v>
      </c>
      <c r="B5690" t="s">
        <v>155</v>
      </c>
      <c r="C5690" t="s">
        <v>204</v>
      </c>
      <c r="D5690" t="s">
        <v>74</v>
      </c>
      <c r="E5690" t="s">
        <v>88</v>
      </c>
      <c r="F5690" s="55">
        <v>96</v>
      </c>
      <c r="G5690" s="63">
        <v>4.87E-2</v>
      </c>
    </row>
    <row r="5691" spans="1:7" x14ac:dyDescent="0.2">
      <c r="A5691" t="s">
        <v>71</v>
      </c>
      <c r="B5691" t="s">
        <v>156</v>
      </c>
      <c r="C5691" t="s">
        <v>204</v>
      </c>
      <c r="D5691" t="s">
        <v>74</v>
      </c>
      <c r="E5691" t="s">
        <v>75</v>
      </c>
      <c r="F5691" s="55">
        <v>85</v>
      </c>
      <c r="G5691" s="63">
        <v>4.6600000000000003E-2</v>
      </c>
    </row>
    <row r="5692" spans="1:7" x14ac:dyDescent="0.2">
      <c r="A5692" t="s">
        <v>71</v>
      </c>
      <c r="B5692" t="s">
        <v>156</v>
      </c>
      <c r="C5692" t="s">
        <v>204</v>
      </c>
      <c r="D5692" t="s">
        <v>74</v>
      </c>
      <c r="E5692" t="s">
        <v>76</v>
      </c>
      <c r="F5692" s="55">
        <v>88</v>
      </c>
      <c r="G5692" s="63">
        <v>4.7000000000000002E-3</v>
      </c>
    </row>
    <row r="5693" spans="1:7" x14ac:dyDescent="0.2">
      <c r="A5693" t="s">
        <v>71</v>
      </c>
      <c r="B5693" t="s">
        <v>156</v>
      </c>
      <c r="C5693" t="s">
        <v>204</v>
      </c>
      <c r="D5693" t="s">
        <v>74</v>
      </c>
      <c r="E5693" t="s">
        <v>77</v>
      </c>
      <c r="F5693" s="55">
        <v>100</v>
      </c>
      <c r="G5693" s="63">
        <v>1.3299999999999999E-2</v>
      </c>
    </row>
    <row r="5694" spans="1:7" x14ac:dyDescent="0.2">
      <c r="A5694" t="s">
        <v>71</v>
      </c>
      <c r="B5694" t="s">
        <v>156</v>
      </c>
      <c r="C5694" t="s">
        <v>204</v>
      </c>
      <c r="D5694" t="s">
        <v>74</v>
      </c>
      <c r="E5694" t="s">
        <v>78</v>
      </c>
      <c r="F5694" s="55">
        <v>94</v>
      </c>
      <c r="G5694" s="63">
        <v>1.24E-2</v>
      </c>
    </row>
    <row r="5695" spans="1:7" x14ac:dyDescent="0.2">
      <c r="A5695" t="s">
        <v>71</v>
      </c>
      <c r="B5695" t="s">
        <v>156</v>
      </c>
      <c r="C5695" t="s">
        <v>204</v>
      </c>
      <c r="D5695" t="s">
        <v>74</v>
      </c>
      <c r="E5695" t="s">
        <v>79</v>
      </c>
      <c r="F5695" s="55">
        <v>83</v>
      </c>
      <c r="G5695" s="63">
        <v>2.5499999999999998E-2</v>
      </c>
    </row>
    <row r="5696" spans="1:7" x14ac:dyDescent="0.2">
      <c r="A5696" t="s">
        <v>71</v>
      </c>
      <c r="B5696" t="s">
        <v>156</v>
      </c>
      <c r="C5696" t="s">
        <v>204</v>
      </c>
      <c r="D5696" t="s">
        <v>74</v>
      </c>
      <c r="E5696" t="s">
        <v>80</v>
      </c>
      <c r="F5696" s="55">
        <v>68</v>
      </c>
      <c r="G5696" s="63">
        <v>5.4000000000000003E-3</v>
      </c>
    </row>
    <row r="5697" spans="1:7" x14ac:dyDescent="0.2">
      <c r="A5697" t="s">
        <v>71</v>
      </c>
      <c r="B5697" t="s">
        <v>156</v>
      </c>
      <c r="C5697" t="s">
        <v>204</v>
      </c>
      <c r="D5697" t="s">
        <v>74</v>
      </c>
      <c r="E5697" t="s">
        <v>81</v>
      </c>
      <c r="F5697" s="55">
        <v>71</v>
      </c>
      <c r="G5697" s="63">
        <v>6.4999999999999997E-3</v>
      </c>
    </row>
    <row r="5698" spans="1:7" x14ac:dyDescent="0.2">
      <c r="A5698" t="s">
        <v>71</v>
      </c>
      <c r="B5698" t="s">
        <v>156</v>
      </c>
      <c r="C5698" t="s">
        <v>204</v>
      </c>
      <c r="D5698" t="s">
        <v>74</v>
      </c>
      <c r="E5698" t="s">
        <v>82</v>
      </c>
      <c r="F5698" s="55">
        <v>68</v>
      </c>
      <c r="G5698" s="63">
        <v>1.4200000000000001E-2</v>
      </c>
    </row>
    <row r="5699" spans="1:7" x14ac:dyDescent="0.2">
      <c r="A5699" t="s">
        <v>71</v>
      </c>
      <c r="B5699" t="s">
        <v>156</v>
      </c>
      <c r="C5699" t="s">
        <v>204</v>
      </c>
      <c r="D5699" t="s">
        <v>74</v>
      </c>
      <c r="E5699" t="s">
        <v>83</v>
      </c>
      <c r="F5699" s="55">
        <v>85</v>
      </c>
      <c r="G5699" s="63">
        <v>3.5999999999999999E-3</v>
      </c>
    </row>
    <row r="5700" spans="1:7" x14ac:dyDescent="0.2">
      <c r="A5700" t="s">
        <v>71</v>
      </c>
      <c r="B5700" t="s">
        <v>156</v>
      </c>
      <c r="C5700" t="s">
        <v>204</v>
      </c>
      <c r="D5700" t="s">
        <v>74</v>
      </c>
      <c r="E5700" t="s">
        <v>84</v>
      </c>
      <c r="F5700" s="55">
        <v>96</v>
      </c>
      <c r="G5700" s="63">
        <v>8.3999999999999995E-3</v>
      </c>
    </row>
    <row r="5701" spans="1:7" x14ac:dyDescent="0.2">
      <c r="A5701" t="s">
        <v>71</v>
      </c>
      <c r="B5701" t="s">
        <v>156</v>
      </c>
      <c r="C5701" t="s">
        <v>204</v>
      </c>
      <c r="D5701" t="s">
        <v>74</v>
      </c>
      <c r="E5701" t="s">
        <v>85</v>
      </c>
      <c r="F5701" s="55">
        <v>72</v>
      </c>
      <c r="G5701" s="63">
        <v>5.8999999999999999E-3</v>
      </c>
    </row>
    <row r="5702" spans="1:7" x14ac:dyDescent="0.2">
      <c r="A5702" t="s">
        <v>71</v>
      </c>
      <c r="B5702" t="s">
        <v>156</v>
      </c>
      <c r="C5702" t="s">
        <v>204</v>
      </c>
      <c r="D5702" t="s">
        <v>74</v>
      </c>
      <c r="E5702" t="s">
        <v>86</v>
      </c>
      <c r="F5702" s="55">
        <v>84</v>
      </c>
      <c r="G5702" s="63">
        <v>8.6999999999999994E-3</v>
      </c>
    </row>
    <row r="5703" spans="1:7" x14ac:dyDescent="0.2">
      <c r="A5703" t="s">
        <v>71</v>
      </c>
      <c r="B5703" t="s">
        <v>156</v>
      </c>
      <c r="C5703" t="s">
        <v>204</v>
      </c>
      <c r="D5703" t="s">
        <v>74</v>
      </c>
      <c r="E5703" t="s">
        <v>87</v>
      </c>
      <c r="F5703" s="55">
        <v>86</v>
      </c>
      <c r="G5703" s="63">
        <v>1.12E-2</v>
      </c>
    </row>
    <row r="5704" spans="1:7" x14ac:dyDescent="0.2">
      <c r="A5704" t="s">
        <v>71</v>
      </c>
      <c r="B5704" t="s">
        <v>156</v>
      </c>
      <c r="C5704" t="s">
        <v>204</v>
      </c>
      <c r="D5704" t="s">
        <v>74</v>
      </c>
      <c r="E5704" t="s">
        <v>88</v>
      </c>
      <c r="F5704" s="55">
        <v>77</v>
      </c>
      <c r="G5704" s="63">
        <v>7.1000000000000004E-3</v>
      </c>
    </row>
    <row r="5705" spans="1:7" x14ac:dyDescent="0.2">
      <c r="A5705" t="s">
        <v>89</v>
      </c>
      <c r="B5705" t="s">
        <v>157</v>
      </c>
      <c r="C5705" t="s">
        <v>204</v>
      </c>
      <c r="D5705" t="s">
        <v>74</v>
      </c>
      <c r="E5705" t="s">
        <v>75</v>
      </c>
      <c r="F5705" s="55">
        <v>122</v>
      </c>
      <c r="G5705" s="63">
        <v>7.7200000000000005E-2</v>
      </c>
    </row>
    <row r="5706" spans="1:7" x14ac:dyDescent="0.2">
      <c r="A5706" t="s">
        <v>89</v>
      </c>
      <c r="B5706" t="s">
        <v>157</v>
      </c>
      <c r="C5706" t="s">
        <v>204</v>
      </c>
      <c r="D5706" t="s">
        <v>74</v>
      </c>
      <c r="E5706" t="s">
        <v>76</v>
      </c>
      <c r="F5706" s="55">
        <v>113</v>
      </c>
      <c r="G5706" s="63">
        <v>4.8999999999999998E-3</v>
      </c>
    </row>
    <row r="5707" spans="1:7" x14ac:dyDescent="0.2">
      <c r="A5707" t="s">
        <v>89</v>
      </c>
      <c r="B5707" t="s">
        <v>157</v>
      </c>
      <c r="C5707" t="s">
        <v>204</v>
      </c>
      <c r="D5707" t="s">
        <v>74</v>
      </c>
      <c r="E5707" t="s">
        <v>77</v>
      </c>
      <c r="F5707" s="55">
        <v>110</v>
      </c>
      <c r="G5707" s="63">
        <v>2.3099999999999999E-2</v>
      </c>
    </row>
    <row r="5708" spans="1:7" x14ac:dyDescent="0.2">
      <c r="A5708" t="s">
        <v>89</v>
      </c>
      <c r="B5708" t="s">
        <v>157</v>
      </c>
      <c r="C5708" t="s">
        <v>204</v>
      </c>
      <c r="D5708" t="s">
        <v>74</v>
      </c>
      <c r="E5708" t="s">
        <v>78</v>
      </c>
      <c r="F5708" s="55">
        <v>121</v>
      </c>
      <c r="G5708" s="63">
        <v>2.18E-2</v>
      </c>
    </row>
    <row r="5709" spans="1:7" x14ac:dyDescent="0.2">
      <c r="A5709" t="s">
        <v>89</v>
      </c>
      <c r="B5709" t="s">
        <v>157</v>
      </c>
      <c r="C5709" t="s">
        <v>204</v>
      </c>
      <c r="D5709" t="s">
        <v>74</v>
      </c>
      <c r="E5709" t="s">
        <v>79</v>
      </c>
      <c r="F5709" s="55">
        <v>125</v>
      </c>
      <c r="G5709" s="63">
        <v>4.82E-2</v>
      </c>
    </row>
    <row r="5710" spans="1:7" x14ac:dyDescent="0.2">
      <c r="A5710" t="s">
        <v>89</v>
      </c>
      <c r="B5710" t="s">
        <v>157</v>
      </c>
      <c r="C5710" t="s">
        <v>204</v>
      </c>
      <c r="D5710" t="s">
        <v>74</v>
      </c>
      <c r="E5710" t="s">
        <v>80</v>
      </c>
      <c r="F5710" s="55">
        <v>125</v>
      </c>
      <c r="G5710" s="63">
        <v>0.03</v>
      </c>
    </row>
    <row r="5711" spans="1:7" x14ac:dyDescent="0.2">
      <c r="A5711" t="s">
        <v>89</v>
      </c>
      <c r="B5711" t="s">
        <v>157</v>
      </c>
      <c r="C5711" t="s">
        <v>204</v>
      </c>
      <c r="D5711" t="s">
        <v>74</v>
      </c>
      <c r="E5711" t="s">
        <v>81</v>
      </c>
      <c r="F5711" s="55">
        <v>124</v>
      </c>
      <c r="G5711" s="63">
        <v>2.5000000000000001E-2</v>
      </c>
    </row>
    <row r="5712" spans="1:7" x14ac:dyDescent="0.2">
      <c r="A5712" t="s">
        <v>89</v>
      </c>
      <c r="B5712" t="s">
        <v>157</v>
      </c>
      <c r="C5712" t="s">
        <v>204</v>
      </c>
      <c r="D5712" t="s">
        <v>74</v>
      </c>
      <c r="E5712" t="s">
        <v>82</v>
      </c>
      <c r="F5712" s="55">
        <v>120</v>
      </c>
      <c r="G5712" s="63">
        <v>2.5999999999999999E-2</v>
      </c>
    </row>
    <row r="5713" spans="1:7" x14ac:dyDescent="0.2">
      <c r="A5713" t="s">
        <v>89</v>
      </c>
      <c r="B5713" t="s">
        <v>157</v>
      </c>
      <c r="C5713" t="s">
        <v>204</v>
      </c>
      <c r="D5713" t="s">
        <v>74</v>
      </c>
      <c r="E5713" t="s">
        <v>83</v>
      </c>
      <c r="F5713" s="55">
        <v>118</v>
      </c>
      <c r="G5713" s="63">
        <v>3.8E-3</v>
      </c>
    </row>
    <row r="5714" spans="1:7" x14ac:dyDescent="0.2">
      <c r="A5714" t="s">
        <v>89</v>
      </c>
      <c r="B5714" t="s">
        <v>157</v>
      </c>
      <c r="C5714" t="s">
        <v>204</v>
      </c>
      <c r="D5714" t="s">
        <v>74</v>
      </c>
      <c r="E5714" t="s">
        <v>84</v>
      </c>
      <c r="F5714" s="55">
        <v>118</v>
      </c>
      <c r="G5714" s="63">
        <v>1.7500000000000002E-2</v>
      </c>
    </row>
    <row r="5715" spans="1:7" x14ac:dyDescent="0.2">
      <c r="A5715" t="s">
        <v>89</v>
      </c>
      <c r="B5715" t="s">
        <v>157</v>
      </c>
      <c r="C5715" t="s">
        <v>204</v>
      </c>
      <c r="D5715" t="s">
        <v>74</v>
      </c>
      <c r="E5715" t="s">
        <v>85</v>
      </c>
      <c r="F5715" s="55">
        <v>124</v>
      </c>
      <c r="G5715" s="63">
        <v>2.5600000000000001E-2</v>
      </c>
    </row>
    <row r="5716" spans="1:7" x14ac:dyDescent="0.2">
      <c r="A5716" t="s">
        <v>89</v>
      </c>
      <c r="B5716" t="s">
        <v>157</v>
      </c>
      <c r="C5716" t="s">
        <v>204</v>
      </c>
      <c r="D5716" t="s">
        <v>74</v>
      </c>
      <c r="E5716" t="s">
        <v>86</v>
      </c>
      <c r="F5716" s="55">
        <v>125</v>
      </c>
      <c r="G5716" s="63">
        <v>2.47E-2</v>
      </c>
    </row>
    <row r="5717" spans="1:7" x14ac:dyDescent="0.2">
      <c r="A5717" t="s">
        <v>89</v>
      </c>
      <c r="B5717" t="s">
        <v>157</v>
      </c>
      <c r="C5717" t="s">
        <v>204</v>
      </c>
      <c r="D5717" t="s">
        <v>74</v>
      </c>
      <c r="E5717" t="s">
        <v>87</v>
      </c>
      <c r="F5717" s="55">
        <v>123</v>
      </c>
      <c r="G5717" s="63">
        <v>2.4E-2</v>
      </c>
    </row>
    <row r="5718" spans="1:7" x14ac:dyDescent="0.2">
      <c r="A5718" t="s">
        <v>89</v>
      </c>
      <c r="B5718" t="s">
        <v>157</v>
      </c>
      <c r="C5718" t="s">
        <v>204</v>
      </c>
      <c r="D5718" t="s">
        <v>74</v>
      </c>
      <c r="E5718" t="s">
        <v>88</v>
      </c>
      <c r="F5718" s="55">
        <v>110</v>
      </c>
      <c r="G5718" s="63">
        <v>7.7999999999999996E-3</v>
      </c>
    </row>
    <row r="5719" spans="1:7" x14ac:dyDescent="0.2">
      <c r="A5719" t="s">
        <v>89</v>
      </c>
      <c r="B5719" t="s">
        <v>158</v>
      </c>
      <c r="C5719" t="s">
        <v>204</v>
      </c>
      <c r="D5719" t="s">
        <v>91</v>
      </c>
      <c r="E5719" t="s">
        <v>75</v>
      </c>
      <c r="F5719" s="55">
        <v>115</v>
      </c>
      <c r="G5719" s="63">
        <v>0.98329999999999995</v>
      </c>
    </row>
    <row r="5720" spans="1:7" x14ac:dyDescent="0.2">
      <c r="A5720" t="s">
        <v>89</v>
      </c>
      <c r="B5720" t="s">
        <v>158</v>
      </c>
      <c r="C5720" t="s">
        <v>204</v>
      </c>
      <c r="D5720" t="s">
        <v>91</v>
      </c>
      <c r="E5720" t="s">
        <v>76</v>
      </c>
      <c r="F5720" s="55">
        <v>114</v>
      </c>
      <c r="G5720" s="63">
        <v>0.39460000000000001</v>
      </c>
    </row>
    <row r="5721" spans="1:7" x14ac:dyDescent="0.2">
      <c r="A5721" t="s">
        <v>89</v>
      </c>
      <c r="B5721" t="s">
        <v>158</v>
      </c>
      <c r="C5721" t="s">
        <v>204</v>
      </c>
      <c r="D5721" t="s">
        <v>91</v>
      </c>
      <c r="E5721" t="s">
        <v>77</v>
      </c>
      <c r="F5721" s="55">
        <v>122</v>
      </c>
      <c r="G5721" s="63">
        <v>0.66020000000000001</v>
      </c>
    </row>
    <row r="5722" spans="1:7" x14ac:dyDescent="0.2">
      <c r="A5722" t="s">
        <v>89</v>
      </c>
      <c r="B5722" t="s">
        <v>158</v>
      </c>
      <c r="C5722" t="s">
        <v>204</v>
      </c>
      <c r="D5722" t="s">
        <v>91</v>
      </c>
      <c r="E5722" t="s">
        <v>78</v>
      </c>
      <c r="F5722" s="55">
        <v>121</v>
      </c>
      <c r="G5722" s="63">
        <v>0.61299999999999999</v>
      </c>
    </row>
    <row r="5723" spans="1:7" x14ac:dyDescent="0.2">
      <c r="A5723" t="s">
        <v>89</v>
      </c>
      <c r="B5723" t="s">
        <v>158</v>
      </c>
      <c r="C5723" t="s">
        <v>204</v>
      </c>
      <c r="D5723" t="s">
        <v>91</v>
      </c>
      <c r="E5723" t="s">
        <v>79</v>
      </c>
      <c r="F5723" s="55">
        <v>117</v>
      </c>
      <c r="G5723" s="63">
        <v>0.88400000000000001</v>
      </c>
    </row>
    <row r="5724" spans="1:7" x14ac:dyDescent="0.2">
      <c r="A5724" t="s">
        <v>89</v>
      </c>
      <c r="B5724" t="s">
        <v>158</v>
      </c>
      <c r="C5724" t="s">
        <v>204</v>
      </c>
      <c r="D5724" t="s">
        <v>91</v>
      </c>
      <c r="E5724" t="s">
        <v>80</v>
      </c>
      <c r="F5724" s="55">
        <v>116</v>
      </c>
      <c r="G5724" s="63">
        <v>0.43869999999999998</v>
      </c>
    </row>
    <row r="5725" spans="1:7" x14ac:dyDescent="0.2">
      <c r="A5725" t="s">
        <v>89</v>
      </c>
      <c r="B5725" t="s">
        <v>158</v>
      </c>
      <c r="C5725" t="s">
        <v>204</v>
      </c>
      <c r="D5725" t="s">
        <v>91</v>
      </c>
      <c r="E5725" t="s">
        <v>81</v>
      </c>
      <c r="F5725" s="55">
        <v>114</v>
      </c>
      <c r="G5725" s="63">
        <v>0.4335</v>
      </c>
    </row>
    <row r="5726" spans="1:7" x14ac:dyDescent="0.2">
      <c r="A5726" t="s">
        <v>89</v>
      </c>
      <c r="B5726" t="s">
        <v>158</v>
      </c>
      <c r="C5726" t="s">
        <v>204</v>
      </c>
      <c r="D5726" t="s">
        <v>91</v>
      </c>
      <c r="E5726" t="s">
        <v>82</v>
      </c>
      <c r="F5726" s="55">
        <v>108</v>
      </c>
      <c r="G5726" s="63">
        <v>0.90500000000000003</v>
      </c>
    </row>
    <row r="5727" spans="1:7" x14ac:dyDescent="0.2">
      <c r="A5727" t="s">
        <v>89</v>
      </c>
      <c r="B5727" t="s">
        <v>158</v>
      </c>
      <c r="C5727" t="s">
        <v>204</v>
      </c>
      <c r="D5727" t="s">
        <v>91</v>
      </c>
      <c r="E5727" t="s">
        <v>83</v>
      </c>
      <c r="F5727" s="55">
        <v>111</v>
      </c>
      <c r="G5727" s="63">
        <v>0.27979999999999999</v>
      </c>
    </row>
    <row r="5728" spans="1:7" x14ac:dyDescent="0.2">
      <c r="A5728" t="s">
        <v>89</v>
      </c>
      <c r="B5728" t="s">
        <v>158</v>
      </c>
      <c r="C5728" t="s">
        <v>204</v>
      </c>
      <c r="D5728" t="s">
        <v>91</v>
      </c>
      <c r="E5728" t="s">
        <v>84</v>
      </c>
      <c r="F5728" s="55">
        <v>121</v>
      </c>
      <c r="G5728" s="63">
        <v>0.5413</v>
      </c>
    </row>
    <row r="5729" spans="1:7" x14ac:dyDescent="0.2">
      <c r="A5729" t="s">
        <v>89</v>
      </c>
      <c r="B5729" t="s">
        <v>158</v>
      </c>
      <c r="C5729" t="s">
        <v>204</v>
      </c>
      <c r="D5729" t="s">
        <v>91</v>
      </c>
      <c r="E5729" t="s">
        <v>85</v>
      </c>
      <c r="F5729" s="55">
        <v>118</v>
      </c>
      <c r="G5729" s="63">
        <v>0.55089999999999995</v>
      </c>
    </row>
    <row r="5730" spans="1:7" x14ac:dyDescent="0.2">
      <c r="A5730" t="s">
        <v>89</v>
      </c>
      <c r="B5730" t="s">
        <v>158</v>
      </c>
      <c r="C5730" t="s">
        <v>204</v>
      </c>
      <c r="D5730" t="s">
        <v>91</v>
      </c>
      <c r="E5730" t="s">
        <v>86</v>
      </c>
      <c r="F5730" s="55">
        <v>118</v>
      </c>
      <c r="G5730" s="63">
        <v>0.64119999999999999</v>
      </c>
    </row>
    <row r="5731" spans="1:7" x14ac:dyDescent="0.2">
      <c r="A5731" t="s">
        <v>89</v>
      </c>
      <c r="B5731" t="s">
        <v>158</v>
      </c>
      <c r="C5731" t="s">
        <v>204</v>
      </c>
      <c r="D5731" t="s">
        <v>91</v>
      </c>
      <c r="E5731" t="s">
        <v>87</v>
      </c>
      <c r="F5731" s="55">
        <v>118</v>
      </c>
      <c r="G5731" s="63">
        <v>0.6986</v>
      </c>
    </row>
    <row r="5732" spans="1:7" x14ac:dyDescent="0.2">
      <c r="A5732" t="s">
        <v>89</v>
      </c>
      <c r="B5732" t="s">
        <v>158</v>
      </c>
      <c r="C5732" t="s">
        <v>204</v>
      </c>
      <c r="D5732" t="s">
        <v>91</v>
      </c>
      <c r="E5732" t="s">
        <v>88</v>
      </c>
      <c r="F5732" s="55">
        <v>113</v>
      </c>
      <c r="G5732" s="63">
        <v>0.55069999999999997</v>
      </c>
    </row>
    <row r="5733" spans="1:7" x14ac:dyDescent="0.2">
      <c r="A5733" t="s">
        <v>71</v>
      </c>
      <c r="B5733" t="s">
        <v>159</v>
      </c>
      <c r="C5733" t="s">
        <v>204</v>
      </c>
      <c r="D5733" t="s">
        <v>74</v>
      </c>
      <c r="E5733" t="s">
        <v>75</v>
      </c>
      <c r="F5733" s="55">
        <v>101</v>
      </c>
      <c r="G5733" s="63">
        <v>0.28739999999999999</v>
      </c>
    </row>
    <row r="5734" spans="1:7" x14ac:dyDescent="0.2">
      <c r="A5734" t="s">
        <v>71</v>
      </c>
      <c r="B5734" t="s">
        <v>159</v>
      </c>
      <c r="C5734" t="s">
        <v>204</v>
      </c>
      <c r="D5734" t="s">
        <v>74</v>
      </c>
      <c r="E5734" t="s">
        <v>76</v>
      </c>
      <c r="F5734" s="55">
        <v>98</v>
      </c>
      <c r="G5734" s="63">
        <v>2.8400000000000002E-2</v>
      </c>
    </row>
    <row r="5735" spans="1:7" x14ac:dyDescent="0.2">
      <c r="A5735" t="s">
        <v>71</v>
      </c>
      <c r="B5735" t="s">
        <v>159</v>
      </c>
      <c r="C5735" t="s">
        <v>204</v>
      </c>
      <c r="D5735" t="s">
        <v>74</v>
      </c>
      <c r="E5735" t="s">
        <v>77</v>
      </c>
      <c r="F5735" s="55">
        <v>106</v>
      </c>
      <c r="G5735" s="63">
        <v>8.3299999999999999E-2</v>
      </c>
    </row>
    <row r="5736" spans="1:7" x14ac:dyDescent="0.2">
      <c r="A5736" t="s">
        <v>71</v>
      </c>
      <c r="B5736" t="s">
        <v>159</v>
      </c>
      <c r="C5736" t="s">
        <v>204</v>
      </c>
      <c r="D5736" t="s">
        <v>74</v>
      </c>
      <c r="E5736" t="s">
        <v>78</v>
      </c>
      <c r="F5736" s="55">
        <v>106</v>
      </c>
      <c r="G5736" s="63">
        <v>8.7900000000000006E-2</v>
      </c>
    </row>
    <row r="5737" spans="1:7" x14ac:dyDescent="0.2">
      <c r="A5737" t="s">
        <v>71</v>
      </c>
      <c r="B5737" t="s">
        <v>159</v>
      </c>
      <c r="C5737" t="s">
        <v>204</v>
      </c>
      <c r="D5737" t="s">
        <v>74</v>
      </c>
      <c r="E5737" t="s">
        <v>79</v>
      </c>
      <c r="F5737" s="55">
        <v>102</v>
      </c>
      <c r="G5737" s="63">
        <v>0.20549999999999999</v>
      </c>
    </row>
    <row r="5738" spans="1:7" x14ac:dyDescent="0.2">
      <c r="A5738" t="s">
        <v>71</v>
      </c>
      <c r="B5738" t="s">
        <v>159</v>
      </c>
      <c r="C5738" t="s">
        <v>204</v>
      </c>
      <c r="D5738" t="s">
        <v>74</v>
      </c>
      <c r="E5738" t="s">
        <v>80</v>
      </c>
      <c r="F5738" s="55">
        <v>100</v>
      </c>
      <c r="G5738" s="63">
        <v>0.1313</v>
      </c>
    </row>
    <row r="5739" spans="1:7" x14ac:dyDescent="0.2">
      <c r="A5739" t="s">
        <v>71</v>
      </c>
      <c r="B5739" t="s">
        <v>159</v>
      </c>
      <c r="C5739" t="s">
        <v>204</v>
      </c>
      <c r="D5739" t="s">
        <v>74</v>
      </c>
      <c r="E5739" t="s">
        <v>81</v>
      </c>
      <c r="F5739" s="55">
        <v>98</v>
      </c>
      <c r="G5739" s="63">
        <v>0.1242</v>
      </c>
    </row>
    <row r="5740" spans="1:7" x14ac:dyDescent="0.2">
      <c r="A5740" t="s">
        <v>71</v>
      </c>
      <c r="B5740" t="s">
        <v>159</v>
      </c>
      <c r="C5740" t="s">
        <v>204</v>
      </c>
      <c r="D5740" t="s">
        <v>74</v>
      </c>
      <c r="E5740" t="s">
        <v>82</v>
      </c>
      <c r="F5740" s="55">
        <v>96</v>
      </c>
      <c r="G5740" s="63">
        <v>0.10589999999999999</v>
      </c>
    </row>
    <row r="5741" spans="1:7" x14ac:dyDescent="0.2">
      <c r="A5741" t="s">
        <v>71</v>
      </c>
      <c r="B5741" t="s">
        <v>159</v>
      </c>
      <c r="C5741" t="s">
        <v>204</v>
      </c>
      <c r="D5741" t="s">
        <v>74</v>
      </c>
      <c r="E5741" t="s">
        <v>83</v>
      </c>
      <c r="F5741" s="55">
        <v>96</v>
      </c>
      <c r="G5741" s="63">
        <v>0.04</v>
      </c>
    </row>
    <row r="5742" spans="1:7" x14ac:dyDescent="0.2">
      <c r="A5742" t="s">
        <v>71</v>
      </c>
      <c r="B5742" t="s">
        <v>159</v>
      </c>
      <c r="C5742" t="s">
        <v>204</v>
      </c>
      <c r="D5742" t="s">
        <v>74</v>
      </c>
      <c r="E5742" t="s">
        <v>84</v>
      </c>
      <c r="F5742" s="55">
        <v>105</v>
      </c>
      <c r="G5742" s="63">
        <v>7.0199999999999999E-2</v>
      </c>
    </row>
    <row r="5743" spans="1:7" x14ac:dyDescent="0.2">
      <c r="A5743" t="s">
        <v>71</v>
      </c>
      <c r="B5743" t="s">
        <v>159</v>
      </c>
      <c r="C5743" t="s">
        <v>204</v>
      </c>
      <c r="D5743" t="s">
        <v>74</v>
      </c>
      <c r="E5743" t="s">
        <v>85</v>
      </c>
      <c r="F5743" s="55">
        <v>100</v>
      </c>
      <c r="G5743" s="63">
        <v>0.1203</v>
      </c>
    </row>
    <row r="5744" spans="1:7" x14ac:dyDescent="0.2">
      <c r="A5744" t="s">
        <v>71</v>
      </c>
      <c r="B5744" t="s">
        <v>159</v>
      </c>
      <c r="C5744" t="s">
        <v>204</v>
      </c>
      <c r="D5744" t="s">
        <v>74</v>
      </c>
      <c r="E5744" t="s">
        <v>86</v>
      </c>
      <c r="F5744" s="55">
        <v>101</v>
      </c>
      <c r="G5744" s="63">
        <v>0.1116</v>
      </c>
    </row>
    <row r="5745" spans="1:7" x14ac:dyDescent="0.2">
      <c r="A5745" t="s">
        <v>71</v>
      </c>
      <c r="B5745" t="s">
        <v>159</v>
      </c>
      <c r="C5745" t="s">
        <v>204</v>
      </c>
      <c r="D5745" t="s">
        <v>74</v>
      </c>
      <c r="E5745" t="s">
        <v>87</v>
      </c>
      <c r="F5745" s="55">
        <v>103</v>
      </c>
      <c r="G5745" s="63">
        <v>0.10349999999999999</v>
      </c>
    </row>
    <row r="5746" spans="1:7" x14ac:dyDescent="0.2">
      <c r="A5746" t="s">
        <v>71</v>
      </c>
      <c r="B5746" t="s">
        <v>159</v>
      </c>
      <c r="C5746" t="s">
        <v>204</v>
      </c>
      <c r="D5746" t="s">
        <v>74</v>
      </c>
      <c r="E5746" t="s">
        <v>88</v>
      </c>
      <c r="F5746" s="55">
        <v>95</v>
      </c>
      <c r="G5746" s="63">
        <v>4.7300000000000002E-2</v>
      </c>
    </row>
    <row r="5747" spans="1:7" x14ac:dyDescent="0.2">
      <c r="A5747" t="s">
        <v>71</v>
      </c>
      <c r="B5747" t="s">
        <v>160</v>
      </c>
      <c r="C5747" t="s">
        <v>204</v>
      </c>
      <c r="D5747" t="s">
        <v>74</v>
      </c>
      <c r="E5747" t="s">
        <v>75</v>
      </c>
      <c r="F5747" s="55">
        <v>114</v>
      </c>
      <c r="G5747" s="63">
        <v>2.86E-2</v>
      </c>
    </row>
    <row r="5748" spans="1:7" x14ac:dyDescent="0.2">
      <c r="A5748" t="s">
        <v>71</v>
      </c>
      <c r="B5748" t="s">
        <v>160</v>
      </c>
      <c r="C5748" t="s">
        <v>204</v>
      </c>
      <c r="D5748" t="s">
        <v>74</v>
      </c>
      <c r="E5748" t="s">
        <v>76</v>
      </c>
      <c r="F5748" s="55">
        <v>122</v>
      </c>
      <c r="G5748" s="63">
        <v>1.5E-3</v>
      </c>
    </row>
    <row r="5749" spans="1:7" x14ac:dyDescent="0.2">
      <c r="A5749" t="s">
        <v>71</v>
      </c>
      <c r="B5749" t="s">
        <v>160</v>
      </c>
      <c r="C5749" t="s">
        <v>204</v>
      </c>
      <c r="D5749" t="s">
        <v>74</v>
      </c>
      <c r="E5749" t="s">
        <v>77</v>
      </c>
      <c r="F5749" s="55">
        <v>116</v>
      </c>
      <c r="G5749" s="63">
        <v>7.0000000000000001E-3</v>
      </c>
    </row>
    <row r="5750" spans="1:7" x14ac:dyDescent="0.2">
      <c r="A5750" t="s">
        <v>71</v>
      </c>
      <c r="B5750" t="s">
        <v>160</v>
      </c>
      <c r="C5750" t="s">
        <v>204</v>
      </c>
      <c r="D5750" t="s">
        <v>74</v>
      </c>
      <c r="E5750" t="s">
        <v>78</v>
      </c>
      <c r="F5750" s="55">
        <v>110</v>
      </c>
      <c r="G5750" s="63">
        <v>6.4999999999999997E-3</v>
      </c>
    </row>
    <row r="5751" spans="1:7" x14ac:dyDescent="0.2">
      <c r="A5751" t="s">
        <v>71</v>
      </c>
      <c r="B5751" t="s">
        <v>160</v>
      </c>
      <c r="C5751" t="s">
        <v>204</v>
      </c>
      <c r="D5751" t="s">
        <v>74</v>
      </c>
      <c r="E5751" t="s">
        <v>79</v>
      </c>
      <c r="F5751" s="55">
        <v>117</v>
      </c>
      <c r="G5751" s="63">
        <v>1.8700000000000001E-2</v>
      </c>
    </row>
    <row r="5752" spans="1:7" x14ac:dyDescent="0.2">
      <c r="A5752" t="s">
        <v>71</v>
      </c>
      <c r="B5752" t="s">
        <v>160</v>
      </c>
      <c r="C5752" t="s">
        <v>204</v>
      </c>
      <c r="D5752" t="s">
        <v>74</v>
      </c>
      <c r="E5752" t="s">
        <v>80</v>
      </c>
      <c r="F5752" s="55">
        <v>117</v>
      </c>
      <c r="G5752" s="63">
        <v>8.0999999999999996E-3</v>
      </c>
    </row>
    <row r="5753" spans="1:7" x14ac:dyDescent="0.2">
      <c r="A5753" t="s">
        <v>71</v>
      </c>
      <c r="B5753" t="s">
        <v>160</v>
      </c>
      <c r="C5753" t="s">
        <v>204</v>
      </c>
      <c r="D5753" t="s">
        <v>74</v>
      </c>
      <c r="E5753" t="s">
        <v>81</v>
      </c>
      <c r="F5753" s="55">
        <v>103</v>
      </c>
      <c r="G5753" s="63">
        <v>7.4000000000000003E-3</v>
      </c>
    </row>
    <row r="5754" spans="1:7" x14ac:dyDescent="0.2">
      <c r="A5754" t="s">
        <v>71</v>
      </c>
      <c r="B5754" t="s">
        <v>160</v>
      </c>
      <c r="C5754" t="s">
        <v>204</v>
      </c>
      <c r="D5754" t="s">
        <v>74</v>
      </c>
      <c r="E5754" t="s">
        <v>82</v>
      </c>
      <c r="F5754" s="55">
        <v>114</v>
      </c>
      <c r="G5754" s="63">
        <v>9.5999999999999992E-3</v>
      </c>
    </row>
    <row r="5755" spans="1:7" x14ac:dyDescent="0.2">
      <c r="A5755" t="s">
        <v>71</v>
      </c>
      <c r="B5755" t="s">
        <v>160</v>
      </c>
      <c r="C5755" t="s">
        <v>204</v>
      </c>
      <c r="D5755" t="s">
        <v>74</v>
      </c>
      <c r="E5755" t="s">
        <v>83</v>
      </c>
      <c r="F5755" s="55">
        <v>86</v>
      </c>
      <c r="G5755" s="63">
        <v>1.6999999999999999E-3</v>
      </c>
    </row>
    <row r="5756" spans="1:7" x14ac:dyDescent="0.2">
      <c r="A5756" t="s">
        <v>71</v>
      </c>
      <c r="B5756" t="s">
        <v>160</v>
      </c>
      <c r="C5756" t="s">
        <v>204</v>
      </c>
      <c r="D5756" t="s">
        <v>74</v>
      </c>
      <c r="E5756" t="s">
        <v>84</v>
      </c>
      <c r="F5756" s="55">
        <v>97</v>
      </c>
      <c r="G5756" s="63">
        <v>4.1999999999999997E-3</v>
      </c>
    </row>
    <row r="5757" spans="1:7" x14ac:dyDescent="0.2">
      <c r="A5757" t="s">
        <v>71</v>
      </c>
      <c r="B5757" t="s">
        <v>160</v>
      </c>
      <c r="C5757" t="s">
        <v>204</v>
      </c>
      <c r="D5757" t="s">
        <v>74</v>
      </c>
      <c r="E5757" t="s">
        <v>85</v>
      </c>
      <c r="F5757" s="55">
        <v>112</v>
      </c>
      <c r="G5757" s="63">
        <v>7.7000000000000002E-3</v>
      </c>
    </row>
    <row r="5758" spans="1:7" x14ac:dyDescent="0.2">
      <c r="A5758" t="s">
        <v>71</v>
      </c>
      <c r="B5758" t="s">
        <v>160</v>
      </c>
      <c r="C5758" t="s">
        <v>204</v>
      </c>
      <c r="D5758" t="s">
        <v>74</v>
      </c>
      <c r="E5758" t="s">
        <v>86</v>
      </c>
      <c r="F5758" s="55">
        <v>116</v>
      </c>
      <c r="G5758" s="63">
        <v>9.1000000000000004E-3</v>
      </c>
    </row>
    <row r="5759" spans="1:7" x14ac:dyDescent="0.2">
      <c r="A5759" t="s">
        <v>71</v>
      </c>
      <c r="B5759" t="s">
        <v>160</v>
      </c>
      <c r="C5759" t="s">
        <v>204</v>
      </c>
      <c r="D5759" t="s">
        <v>74</v>
      </c>
      <c r="E5759" t="s">
        <v>87</v>
      </c>
      <c r="F5759" s="55">
        <v>119</v>
      </c>
      <c r="G5759" s="63">
        <v>9.4999999999999998E-3</v>
      </c>
    </row>
    <row r="5760" spans="1:7" x14ac:dyDescent="0.2">
      <c r="A5760" t="s">
        <v>71</v>
      </c>
      <c r="B5760" t="s">
        <v>160</v>
      </c>
      <c r="C5760" t="s">
        <v>204</v>
      </c>
      <c r="D5760" t="s">
        <v>74</v>
      </c>
      <c r="E5760" t="s">
        <v>88</v>
      </c>
      <c r="F5760" s="55">
        <v>106</v>
      </c>
      <c r="G5760" s="63">
        <v>2.5000000000000001E-3</v>
      </c>
    </row>
    <row r="5761" spans="1:7" x14ac:dyDescent="0.2">
      <c r="A5761" t="s">
        <v>71</v>
      </c>
      <c r="B5761" t="s">
        <v>161</v>
      </c>
      <c r="C5761" t="s">
        <v>204</v>
      </c>
      <c r="D5761" t="s">
        <v>74</v>
      </c>
      <c r="E5761" t="s">
        <v>75</v>
      </c>
      <c r="F5761" s="55">
        <v>80</v>
      </c>
      <c r="G5761" s="63">
        <v>5.91E-2</v>
      </c>
    </row>
    <row r="5762" spans="1:7" x14ac:dyDescent="0.2">
      <c r="A5762" t="s">
        <v>71</v>
      </c>
      <c r="B5762" t="s">
        <v>161</v>
      </c>
      <c r="C5762" t="s">
        <v>204</v>
      </c>
      <c r="D5762" t="s">
        <v>74</v>
      </c>
      <c r="E5762" t="s">
        <v>76</v>
      </c>
      <c r="F5762" s="55">
        <v>68</v>
      </c>
      <c r="G5762" s="63">
        <v>2.7000000000000001E-3</v>
      </c>
    </row>
    <row r="5763" spans="1:7" x14ac:dyDescent="0.2">
      <c r="A5763" t="s">
        <v>71</v>
      </c>
      <c r="B5763" t="s">
        <v>161</v>
      </c>
      <c r="C5763" t="s">
        <v>204</v>
      </c>
      <c r="D5763" t="s">
        <v>74</v>
      </c>
      <c r="E5763" t="s">
        <v>77</v>
      </c>
      <c r="F5763" s="55">
        <v>87</v>
      </c>
      <c r="G5763" s="63">
        <v>1.4200000000000001E-2</v>
      </c>
    </row>
    <row r="5764" spans="1:7" x14ac:dyDescent="0.2">
      <c r="A5764" t="s">
        <v>71</v>
      </c>
      <c r="B5764" t="s">
        <v>161</v>
      </c>
      <c r="C5764" t="s">
        <v>204</v>
      </c>
      <c r="D5764" t="s">
        <v>74</v>
      </c>
      <c r="E5764" t="s">
        <v>78</v>
      </c>
      <c r="F5764" s="55">
        <v>88</v>
      </c>
      <c r="G5764" s="63">
        <v>1.4E-2</v>
      </c>
    </row>
    <row r="5765" spans="1:7" x14ac:dyDescent="0.2">
      <c r="A5765" t="s">
        <v>71</v>
      </c>
      <c r="B5765" t="s">
        <v>161</v>
      </c>
      <c r="C5765" t="s">
        <v>204</v>
      </c>
      <c r="D5765" t="s">
        <v>74</v>
      </c>
      <c r="E5765" t="s">
        <v>79</v>
      </c>
      <c r="F5765" s="55">
        <v>78</v>
      </c>
      <c r="G5765" s="63">
        <v>4.3700000000000003E-2</v>
      </c>
    </row>
    <row r="5766" spans="1:7" x14ac:dyDescent="0.2">
      <c r="A5766" t="s">
        <v>71</v>
      </c>
      <c r="B5766" t="s">
        <v>161</v>
      </c>
      <c r="C5766" t="s">
        <v>204</v>
      </c>
      <c r="D5766" t="s">
        <v>74</v>
      </c>
      <c r="E5766" t="s">
        <v>80</v>
      </c>
      <c r="F5766" s="55">
        <v>84</v>
      </c>
      <c r="G5766" s="63">
        <v>1.72E-2</v>
      </c>
    </row>
    <row r="5767" spans="1:7" x14ac:dyDescent="0.2">
      <c r="A5767" t="s">
        <v>71</v>
      </c>
      <c r="B5767" t="s">
        <v>161</v>
      </c>
      <c r="C5767" t="s">
        <v>204</v>
      </c>
      <c r="D5767" t="s">
        <v>74</v>
      </c>
      <c r="E5767" t="s">
        <v>81</v>
      </c>
      <c r="F5767" s="55">
        <v>82</v>
      </c>
      <c r="G5767" s="63">
        <v>1.4E-2</v>
      </c>
    </row>
    <row r="5768" spans="1:7" x14ac:dyDescent="0.2">
      <c r="A5768" t="s">
        <v>71</v>
      </c>
      <c r="B5768" t="s">
        <v>161</v>
      </c>
      <c r="C5768" t="s">
        <v>204</v>
      </c>
      <c r="D5768" t="s">
        <v>74</v>
      </c>
      <c r="E5768" t="s">
        <v>82</v>
      </c>
      <c r="F5768" s="55">
        <v>74</v>
      </c>
      <c r="G5768" s="63">
        <v>2.18E-2</v>
      </c>
    </row>
    <row r="5769" spans="1:7" x14ac:dyDescent="0.2">
      <c r="A5769" t="s">
        <v>71</v>
      </c>
      <c r="B5769" t="s">
        <v>161</v>
      </c>
      <c r="C5769" t="s">
        <v>204</v>
      </c>
      <c r="D5769" t="s">
        <v>74</v>
      </c>
      <c r="E5769" t="s">
        <v>83</v>
      </c>
      <c r="F5769" s="55">
        <v>69</v>
      </c>
      <c r="G5769" s="63">
        <v>3.3E-3</v>
      </c>
    </row>
    <row r="5770" spans="1:7" x14ac:dyDescent="0.2">
      <c r="A5770" t="s">
        <v>71</v>
      </c>
      <c r="B5770" t="s">
        <v>161</v>
      </c>
      <c r="C5770" t="s">
        <v>204</v>
      </c>
      <c r="D5770" t="s">
        <v>74</v>
      </c>
      <c r="E5770" t="s">
        <v>84</v>
      </c>
      <c r="F5770" s="55">
        <v>85</v>
      </c>
      <c r="G5770" s="63">
        <v>9.4000000000000004E-3</v>
      </c>
    </row>
    <row r="5771" spans="1:7" x14ac:dyDescent="0.2">
      <c r="A5771" t="s">
        <v>71</v>
      </c>
      <c r="B5771" t="s">
        <v>161</v>
      </c>
      <c r="C5771" t="s">
        <v>204</v>
      </c>
      <c r="D5771" t="s">
        <v>74</v>
      </c>
      <c r="E5771" t="s">
        <v>85</v>
      </c>
      <c r="F5771" s="55">
        <v>78</v>
      </c>
      <c r="G5771" s="63">
        <v>1.9E-2</v>
      </c>
    </row>
    <row r="5772" spans="1:7" x14ac:dyDescent="0.2">
      <c r="A5772" t="s">
        <v>71</v>
      </c>
      <c r="B5772" t="s">
        <v>161</v>
      </c>
      <c r="C5772" t="s">
        <v>204</v>
      </c>
      <c r="D5772" t="s">
        <v>74</v>
      </c>
      <c r="E5772" t="s">
        <v>86</v>
      </c>
      <c r="F5772" s="55">
        <v>77</v>
      </c>
      <c r="G5772" s="63">
        <v>2.2200000000000001E-2</v>
      </c>
    </row>
    <row r="5773" spans="1:7" x14ac:dyDescent="0.2">
      <c r="A5773" t="s">
        <v>71</v>
      </c>
      <c r="B5773" t="s">
        <v>161</v>
      </c>
      <c r="C5773" t="s">
        <v>204</v>
      </c>
      <c r="D5773" t="s">
        <v>74</v>
      </c>
      <c r="E5773" t="s">
        <v>87</v>
      </c>
      <c r="F5773" s="55">
        <v>77</v>
      </c>
      <c r="G5773" s="63">
        <v>2.1000000000000001E-2</v>
      </c>
    </row>
    <row r="5774" spans="1:7" x14ac:dyDescent="0.2">
      <c r="A5774" t="s">
        <v>71</v>
      </c>
      <c r="B5774" t="s">
        <v>161</v>
      </c>
      <c r="C5774" t="s">
        <v>204</v>
      </c>
      <c r="D5774" t="s">
        <v>74</v>
      </c>
      <c r="E5774" t="s">
        <v>88</v>
      </c>
      <c r="F5774" s="55">
        <v>67</v>
      </c>
      <c r="G5774" s="63">
        <v>4.7999999999999996E-3</v>
      </c>
    </row>
    <row r="5775" spans="1:7" x14ac:dyDescent="0.2">
      <c r="A5775" t="s">
        <v>71</v>
      </c>
      <c r="B5775" t="s">
        <v>162</v>
      </c>
      <c r="C5775" t="s">
        <v>204</v>
      </c>
      <c r="D5775" t="s">
        <v>74</v>
      </c>
      <c r="E5775" t="s">
        <v>75</v>
      </c>
      <c r="F5775" s="55">
        <v>36</v>
      </c>
      <c r="G5775" s="63">
        <v>1.6299999999999999E-2</v>
      </c>
    </row>
    <row r="5776" spans="1:7" x14ac:dyDescent="0.2">
      <c r="A5776" t="s">
        <v>71</v>
      </c>
      <c r="B5776" t="s">
        <v>162</v>
      </c>
      <c r="C5776" t="s">
        <v>204</v>
      </c>
      <c r="D5776" t="s">
        <v>74</v>
      </c>
      <c r="E5776" t="s">
        <v>76</v>
      </c>
      <c r="F5776" s="55">
        <v>34</v>
      </c>
      <c r="G5776" s="63">
        <v>2.3999999999999998E-3</v>
      </c>
    </row>
    <row r="5777" spans="1:7" x14ac:dyDescent="0.2">
      <c r="A5777" t="s">
        <v>71</v>
      </c>
      <c r="B5777" t="s">
        <v>162</v>
      </c>
      <c r="C5777" t="s">
        <v>204</v>
      </c>
      <c r="D5777" t="s">
        <v>74</v>
      </c>
      <c r="E5777" t="s">
        <v>77</v>
      </c>
      <c r="F5777" s="55">
        <v>32</v>
      </c>
      <c r="G5777" s="63">
        <v>6.3E-3</v>
      </c>
    </row>
    <row r="5778" spans="1:7" x14ac:dyDescent="0.2">
      <c r="A5778" t="s">
        <v>71</v>
      </c>
      <c r="B5778" t="s">
        <v>162</v>
      </c>
      <c r="C5778" t="s">
        <v>204</v>
      </c>
      <c r="D5778" t="s">
        <v>74</v>
      </c>
      <c r="E5778" t="s">
        <v>78</v>
      </c>
      <c r="F5778" s="55">
        <v>35</v>
      </c>
      <c r="G5778" s="63">
        <v>5.4999999999999997E-3</v>
      </c>
    </row>
    <row r="5779" spans="1:7" x14ac:dyDescent="0.2">
      <c r="A5779" t="s">
        <v>71</v>
      </c>
      <c r="B5779" t="s">
        <v>162</v>
      </c>
      <c r="C5779" t="s">
        <v>204</v>
      </c>
      <c r="D5779" t="s">
        <v>74</v>
      </c>
      <c r="E5779" t="s">
        <v>79</v>
      </c>
      <c r="F5779" s="55">
        <v>36</v>
      </c>
      <c r="G5779" s="63">
        <v>8.9999999999999993E-3</v>
      </c>
    </row>
    <row r="5780" spans="1:7" x14ac:dyDescent="0.2">
      <c r="A5780" t="s">
        <v>71</v>
      </c>
      <c r="B5780" t="s">
        <v>162</v>
      </c>
      <c r="C5780" t="s">
        <v>204</v>
      </c>
      <c r="D5780" t="s">
        <v>74</v>
      </c>
      <c r="E5780" t="s">
        <v>80</v>
      </c>
      <c r="F5780" s="55">
        <v>33</v>
      </c>
      <c r="G5780" s="63">
        <v>2.3999999999999998E-3</v>
      </c>
    </row>
    <row r="5781" spans="1:7" x14ac:dyDescent="0.2">
      <c r="A5781" t="s">
        <v>71</v>
      </c>
      <c r="B5781" t="s">
        <v>162</v>
      </c>
      <c r="C5781" t="s">
        <v>204</v>
      </c>
      <c r="D5781" t="s">
        <v>74</v>
      </c>
      <c r="E5781" t="s">
        <v>81</v>
      </c>
      <c r="F5781" s="55">
        <v>46</v>
      </c>
      <c r="G5781" s="63">
        <v>2.8E-3</v>
      </c>
    </row>
    <row r="5782" spans="1:7" x14ac:dyDescent="0.2">
      <c r="A5782" t="s">
        <v>71</v>
      </c>
      <c r="B5782" t="s">
        <v>162</v>
      </c>
      <c r="C5782" t="s">
        <v>204</v>
      </c>
      <c r="D5782" t="s">
        <v>74</v>
      </c>
      <c r="E5782" t="s">
        <v>82</v>
      </c>
      <c r="F5782" s="55">
        <v>33</v>
      </c>
      <c r="G5782" s="63">
        <v>9.2999999999999992E-3</v>
      </c>
    </row>
    <row r="5783" spans="1:7" x14ac:dyDescent="0.2">
      <c r="A5783" t="s">
        <v>71</v>
      </c>
      <c r="B5783" t="s">
        <v>162</v>
      </c>
      <c r="C5783" t="s">
        <v>204</v>
      </c>
      <c r="D5783" t="s">
        <v>74</v>
      </c>
      <c r="E5783" t="s">
        <v>83</v>
      </c>
      <c r="F5783" s="55">
        <v>52</v>
      </c>
      <c r="G5783" s="63">
        <v>1.6000000000000001E-3</v>
      </c>
    </row>
    <row r="5784" spans="1:7" x14ac:dyDescent="0.2">
      <c r="A5784" t="s">
        <v>71</v>
      </c>
      <c r="B5784" t="s">
        <v>162</v>
      </c>
      <c r="C5784" t="s">
        <v>204</v>
      </c>
      <c r="D5784" t="s">
        <v>74</v>
      </c>
      <c r="E5784" t="s">
        <v>84</v>
      </c>
      <c r="F5784" s="55">
        <v>35</v>
      </c>
      <c r="G5784" s="63">
        <v>4.4999999999999997E-3</v>
      </c>
    </row>
    <row r="5785" spans="1:7" x14ac:dyDescent="0.2">
      <c r="A5785" t="s">
        <v>71</v>
      </c>
      <c r="B5785" t="s">
        <v>162</v>
      </c>
      <c r="C5785" t="s">
        <v>204</v>
      </c>
      <c r="D5785" t="s">
        <v>74</v>
      </c>
      <c r="E5785" t="s">
        <v>85</v>
      </c>
      <c r="F5785" s="55">
        <v>35</v>
      </c>
      <c r="G5785" s="63">
        <v>2.8999999999999998E-3</v>
      </c>
    </row>
    <row r="5786" spans="1:7" x14ac:dyDescent="0.2">
      <c r="A5786" t="s">
        <v>71</v>
      </c>
      <c r="B5786" t="s">
        <v>162</v>
      </c>
      <c r="C5786" t="s">
        <v>204</v>
      </c>
      <c r="D5786" t="s">
        <v>74</v>
      </c>
      <c r="E5786" t="s">
        <v>86</v>
      </c>
      <c r="F5786" s="55">
        <v>34</v>
      </c>
      <c r="G5786" s="63">
        <v>4.3E-3</v>
      </c>
    </row>
    <row r="5787" spans="1:7" x14ac:dyDescent="0.2">
      <c r="A5787" t="s">
        <v>71</v>
      </c>
      <c r="B5787" t="s">
        <v>162</v>
      </c>
      <c r="C5787" t="s">
        <v>204</v>
      </c>
      <c r="D5787" t="s">
        <v>74</v>
      </c>
      <c r="E5787" t="s">
        <v>87</v>
      </c>
      <c r="F5787" s="55">
        <v>36</v>
      </c>
      <c r="G5787" s="63">
        <v>5.3E-3</v>
      </c>
    </row>
    <row r="5788" spans="1:7" x14ac:dyDescent="0.2">
      <c r="A5788" t="s">
        <v>71</v>
      </c>
      <c r="B5788" t="s">
        <v>162</v>
      </c>
      <c r="C5788" t="s">
        <v>204</v>
      </c>
      <c r="D5788" t="s">
        <v>74</v>
      </c>
      <c r="E5788" t="s">
        <v>88</v>
      </c>
      <c r="F5788" s="55">
        <v>37</v>
      </c>
      <c r="G5788" s="63">
        <v>4.3E-3</v>
      </c>
    </row>
    <row r="5789" spans="1:7" x14ac:dyDescent="0.2">
      <c r="A5789" t="s">
        <v>71</v>
      </c>
      <c r="B5789" t="s">
        <v>163</v>
      </c>
      <c r="C5789" t="s">
        <v>204</v>
      </c>
      <c r="D5789" t="s">
        <v>74</v>
      </c>
      <c r="E5789" t="s">
        <v>75</v>
      </c>
      <c r="F5789" s="55">
        <v>98</v>
      </c>
      <c r="G5789" s="63">
        <v>0.12970000000000001</v>
      </c>
    </row>
    <row r="5790" spans="1:7" x14ac:dyDescent="0.2">
      <c r="A5790" t="s">
        <v>71</v>
      </c>
      <c r="B5790" t="s">
        <v>163</v>
      </c>
      <c r="C5790" t="s">
        <v>204</v>
      </c>
      <c r="D5790" t="s">
        <v>74</v>
      </c>
      <c r="E5790" t="s">
        <v>76</v>
      </c>
      <c r="F5790" s="55">
        <v>108</v>
      </c>
      <c r="G5790" s="63">
        <v>9.9000000000000008E-3</v>
      </c>
    </row>
    <row r="5791" spans="1:7" x14ac:dyDescent="0.2">
      <c r="A5791" t="s">
        <v>71</v>
      </c>
      <c r="B5791" t="s">
        <v>163</v>
      </c>
      <c r="C5791" t="s">
        <v>204</v>
      </c>
      <c r="D5791" t="s">
        <v>74</v>
      </c>
      <c r="E5791" t="s">
        <v>77</v>
      </c>
      <c r="F5791" s="55">
        <v>100</v>
      </c>
      <c r="G5791" s="63">
        <v>3.9300000000000002E-2</v>
      </c>
    </row>
    <row r="5792" spans="1:7" x14ac:dyDescent="0.2">
      <c r="A5792" t="s">
        <v>71</v>
      </c>
      <c r="B5792" t="s">
        <v>163</v>
      </c>
      <c r="C5792" t="s">
        <v>204</v>
      </c>
      <c r="D5792" t="s">
        <v>74</v>
      </c>
      <c r="E5792" t="s">
        <v>78</v>
      </c>
      <c r="F5792" s="55">
        <v>96</v>
      </c>
      <c r="G5792" s="63">
        <v>3.6600000000000001E-2</v>
      </c>
    </row>
    <row r="5793" spans="1:7" x14ac:dyDescent="0.2">
      <c r="A5793" t="s">
        <v>71</v>
      </c>
      <c r="B5793" t="s">
        <v>163</v>
      </c>
      <c r="C5793" t="s">
        <v>204</v>
      </c>
      <c r="D5793" t="s">
        <v>74</v>
      </c>
      <c r="E5793" t="s">
        <v>79</v>
      </c>
      <c r="F5793" s="55">
        <v>99</v>
      </c>
      <c r="G5793" s="63">
        <v>8.7499999999999994E-2</v>
      </c>
    </row>
    <row r="5794" spans="1:7" x14ac:dyDescent="0.2">
      <c r="A5794" t="s">
        <v>71</v>
      </c>
      <c r="B5794" t="s">
        <v>163</v>
      </c>
      <c r="C5794" t="s">
        <v>204</v>
      </c>
      <c r="D5794" t="s">
        <v>74</v>
      </c>
      <c r="E5794" t="s">
        <v>80</v>
      </c>
      <c r="F5794" s="55">
        <v>97</v>
      </c>
      <c r="G5794" s="63">
        <v>3.9699999999999999E-2</v>
      </c>
    </row>
    <row r="5795" spans="1:7" x14ac:dyDescent="0.2">
      <c r="A5795" t="s">
        <v>71</v>
      </c>
      <c r="B5795" t="s">
        <v>163</v>
      </c>
      <c r="C5795" t="s">
        <v>204</v>
      </c>
      <c r="D5795" t="s">
        <v>74</v>
      </c>
      <c r="E5795" t="s">
        <v>81</v>
      </c>
      <c r="F5795" s="55">
        <v>102</v>
      </c>
      <c r="G5795" s="63">
        <v>3.61E-2</v>
      </c>
    </row>
    <row r="5796" spans="1:7" x14ac:dyDescent="0.2">
      <c r="A5796" t="s">
        <v>71</v>
      </c>
      <c r="B5796" t="s">
        <v>163</v>
      </c>
      <c r="C5796" t="s">
        <v>204</v>
      </c>
      <c r="D5796" t="s">
        <v>74</v>
      </c>
      <c r="E5796" t="s">
        <v>82</v>
      </c>
      <c r="F5796" s="55">
        <v>93</v>
      </c>
      <c r="G5796" s="63">
        <v>6.2899999999999998E-2</v>
      </c>
    </row>
    <row r="5797" spans="1:7" x14ac:dyDescent="0.2">
      <c r="A5797" t="s">
        <v>71</v>
      </c>
      <c r="B5797" t="s">
        <v>163</v>
      </c>
      <c r="C5797" t="s">
        <v>204</v>
      </c>
      <c r="D5797" t="s">
        <v>74</v>
      </c>
      <c r="E5797" t="s">
        <v>83</v>
      </c>
      <c r="F5797" s="55">
        <v>109</v>
      </c>
      <c r="G5797" s="63">
        <v>1.1299999999999999E-2</v>
      </c>
    </row>
    <row r="5798" spans="1:7" x14ac:dyDescent="0.2">
      <c r="A5798" t="s">
        <v>71</v>
      </c>
      <c r="B5798" t="s">
        <v>163</v>
      </c>
      <c r="C5798" t="s">
        <v>204</v>
      </c>
      <c r="D5798" t="s">
        <v>74</v>
      </c>
      <c r="E5798" t="s">
        <v>84</v>
      </c>
      <c r="F5798" s="55">
        <v>97</v>
      </c>
      <c r="G5798" s="63">
        <v>2.9000000000000001E-2</v>
      </c>
    </row>
    <row r="5799" spans="1:7" x14ac:dyDescent="0.2">
      <c r="A5799" t="s">
        <v>71</v>
      </c>
      <c r="B5799" t="s">
        <v>163</v>
      </c>
      <c r="C5799" t="s">
        <v>204</v>
      </c>
      <c r="D5799" t="s">
        <v>74</v>
      </c>
      <c r="E5799" t="s">
        <v>85</v>
      </c>
      <c r="F5799" s="55">
        <v>94</v>
      </c>
      <c r="G5799" s="63">
        <v>4.0599999999999997E-2</v>
      </c>
    </row>
    <row r="5800" spans="1:7" x14ac:dyDescent="0.2">
      <c r="A5800" t="s">
        <v>71</v>
      </c>
      <c r="B5800" t="s">
        <v>163</v>
      </c>
      <c r="C5800" t="s">
        <v>204</v>
      </c>
      <c r="D5800" t="s">
        <v>74</v>
      </c>
      <c r="E5800" t="s">
        <v>86</v>
      </c>
      <c r="F5800" s="55">
        <v>99</v>
      </c>
      <c r="G5800" s="63">
        <v>4.4200000000000003E-2</v>
      </c>
    </row>
    <row r="5801" spans="1:7" x14ac:dyDescent="0.2">
      <c r="A5801" t="s">
        <v>71</v>
      </c>
      <c r="B5801" t="s">
        <v>163</v>
      </c>
      <c r="C5801" t="s">
        <v>204</v>
      </c>
      <c r="D5801" t="s">
        <v>74</v>
      </c>
      <c r="E5801" t="s">
        <v>87</v>
      </c>
      <c r="F5801" s="55">
        <v>100</v>
      </c>
      <c r="G5801" s="63">
        <v>4.41E-2</v>
      </c>
    </row>
    <row r="5802" spans="1:7" x14ac:dyDescent="0.2">
      <c r="A5802" t="s">
        <v>71</v>
      </c>
      <c r="B5802" t="s">
        <v>163</v>
      </c>
      <c r="C5802" t="s">
        <v>204</v>
      </c>
      <c r="D5802" t="s">
        <v>74</v>
      </c>
      <c r="E5802" t="s">
        <v>88</v>
      </c>
      <c r="F5802" s="55">
        <v>105</v>
      </c>
      <c r="G5802" s="63">
        <v>1.67E-2</v>
      </c>
    </row>
    <row r="5803" spans="1:7" x14ac:dyDescent="0.2">
      <c r="A5803" t="s">
        <v>89</v>
      </c>
      <c r="B5803" t="s">
        <v>164</v>
      </c>
      <c r="C5803" t="s">
        <v>204</v>
      </c>
      <c r="D5803" t="s">
        <v>74</v>
      </c>
      <c r="E5803" t="s">
        <v>75</v>
      </c>
      <c r="F5803" s="55">
        <v>68</v>
      </c>
      <c r="G5803" s="63">
        <v>3.1099999999999999E-2</v>
      </c>
    </row>
    <row r="5804" spans="1:7" x14ac:dyDescent="0.2">
      <c r="A5804" t="s">
        <v>89</v>
      </c>
      <c r="B5804" t="s">
        <v>164</v>
      </c>
      <c r="C5804" t="s">
        <v>204</v>
      </c>
      <c r="D5804" t="s">
        <v>74</v>
      </c>
      <c r="E5804" t="s">
        <v>76</v>
      </c>
      <c r="F5804" s="55">
        <v>113</v>
      </c>
      <c r="G5804" s="63">
        <v>1.6000000000000001E-3</v>
      </c>
    </row>
    <row r="5805" spans="1:7" x14ac:dyDescent="0.2">
      <c r="A5805" t="s">
        <v>89</v>
      </c>
      <c r="B5805" t="s">
        <v>164</v>
      </c>
      <c r="C5805" t="s">
        <v>204</v>
      </c>
      <c r="D5805" t="s">
        <v>74</v>
      </c>
      <c r="E5805" t="s">
        <v>77</v>
      </c>
      <c r="F5805" s="55">
        <v>66</v>
      </c>
      <c r="G5805" s="63">
        <v>8.3999999999999995E-3</v>
      </c>
    </row>
    <row r="5806" spans="1:7" x14ac:dyDescent="0.2">
      <c r="A5806" t="s">
        <v>89</v>
      </c>
      <c r="B5806" t="s">
        <v>164</v>
      </c>
      <c r="C5806" t="s">
        <v>204</v>
      </c>
      <c r="D5806" t="s">
        <v>74</v>
      </c>
      <c r="E5806" t="s">
        <v>78</v>
      </c>
      <c r="F5806" s="55">
        <v>65</v>
      </c>
      <c r="G5806" s="63">
        <v>7.4000000000000003E-3</v>
      </c>
    </row>
    <row r="5807" spans="1:7" x14ac:dyDescent="0.2">
      <c r="A5807" t="s">
        <v>89</v>
      </c>
      <c r="B5807" t="s">
        <v>164</v>
      </c>
      <c r="C5807" t="s">
        <v>204</v>
      </c>
      <c r="D5807" t="s">
        <v>74</v>
      </c>
      <c r="E5807" t="s">
        <v>79</v>
      </c>
      <c r="F5807" s="55">
        <v>68</v>
      </c>
      <c r="G5807" s="63">
        <v>1.7000000000000001E-2</v>
      </c>
    </row>
    <row r="5808" spans="1:7" x14ac:dyDescent="0.2">
      <c r="A5808" t="s">
        <v>89</v>
      </c>
      <c r="B5808" t="s">
        <v>164</v>
      </c>
      <c r="C5808" t="s">
        <v>204</v>
      </c>
      <c r="D5808" t="s">
        <v>74</v>
      </c>
      <c r="E5808" t="s">
        <v>80</v>
      </c>
      <c r="F5808" s="55">
        <v>67</v>
      </c>
      <c r="G5808" s="63">
        <v>6.1999999999999998E-3</v>
      </c>
    </row>
    <row r="5809" spans="1:7" x14ac:dyDescent="0.2">
      <c r="A5809" t="s">
        <v>89</v>
      </c>
      <c r="B5809" t="s">
        <v>164</v>
      </c>
      <c r="C5809" t="s">
        <v>204</v>
      </c>
      <c r="D5809" t="s">
        <v>74</v>
      </c>
      <c r="E5809" t="s">
        <v>81</v>
      </c>
      <c r="F5809" s="55">
        <v>62</v>
      </c>
      <c r="G5809" s="63">
        <v>6.7000000000000002E-3</v>
      </c>
    </row>
    <row r="5810" spans="1:7" x14ac:dyDescent="0.2">
      <c r="A5810" t="s">
        <v>89</v>
      </c>
      <c r="B5810" t="s">
        <v>164</v>
      </c>
      <c r="C5810" t="s">
        <v>204</v>
      </c>
      <c r="D5810" t="s">
        <v>74</v>
      </c>
      <c r="E5810" t="s">
        <v>82</v>
      </c>
      <c r="F5810" s="55">
        <v>67</v>
      </c>
      <c r="G5810" s="63">
        <v>9.7000000000000003E-3</v>
      </c>
    </row>
    <row r="5811" spans="1:7" x14ac:dyDescent="0.2">
      <c r="A5811" t="s">
        <v>89</v>
      </c>
      <c r="B5811" t="s">
        <v>164</v>
      </c>
      <c r="C5811" t="s">
        <v>204</v>
      </c>
      <c r="D5811" t="s">
        <v>74</v>
      </c>
      <c r="E5811" t="s">
        <v>83</v>
      </c>
      <c r="F5811" s="55">
        <v>86</v>
      </c>
      <c r="G5811" s="63">
        <v>1.6999999999999999E-3</v>
      </c>
    </row>
    <row r="5812" spans="1:7" x14ac:dyDescent="0.2">
      <c r="A5812" t="s">
        <v>89</v>
      </c>
      <c r="B5812" t="s">
        <v>164</v>
      </c>
      <c r="C5812" t="s">
        <v>204</v>
      </c>
      <c r="D5812" t="s">
        <v>74</v>
      </c>
      <c r="E5812" t="s">
        <v>84</v>
      </c>
      <c r="F5812" s="55">
        <v>54</v>
      </c>
      <c r="G5812" s="63">
        <v>4.4999999999999997E-3</v>
      </c>
    </row>
    <row r="5813" spans="1:7" x14ac:dyDescent="0.2">
      <c r="A5813" t="s">
        <v>89</v>
      </c>
      <c r="B5813" t="s">
        <v>164</v>
      </c>
      <c r="C5813" t="s">
        <v>204</v>
      </c>
      <c r="D5813" t="s">
        <v>74</v>
      </c>
      <c r="E5813" t="s">
        <v>85</v>
      </c>
      <c r="F5813" s="55">
        <v>65</v>
      </c>
      <c r="G5813" s="63">
        <v>6.4000000000000003E-3</v>
      </c>
    </row>
    <row r="5814" spans="1:7" x14ac:dyDescent="0.2">
      <c r="A5814" t="s">
        <v>89</v>
      </c>
      <c r="B5814" t="s">
        <v>164</v>
      </c>
      <c r="C5814" t="s">
        <v>204</v>
      </c>
      <c r="D5814" t="s">
        <v>74</v>
      </c>
      <c r="E5814" t="s">
        <v>86</v>
      </c>
      <c r="F5814" s="55">
        <v>67</v>
      </c>
      <c r="G5814" s="63">
        <v>7.1999999999999998E-3</v>
      </c>
    </row>
    <row r="5815" spans="1:7" x14ac:dyDescent="0.2">
      <c r="A5815" t="s">
        <v>89</v>
      </c>
      <c r="B5815" t="s">
        <v>164</v>
      </c>
      <c r="C5815" t="s">
        <v>204</v>
      </c>
      <c r="D5815" t="s">
        <v>74</v>
      </c>
      <c r="E5815" t="s">
        <v>87</v>
      </c>
      <c r="F5815" s="55">
        <v>66</v>
      </c>
      <c r="G5815" s="63">
        <v>6.7999999999999996E-3</v>
      </c>
    </row>
    <row r="5816" spans="1:7" x14ac:dyDescent="0.2">
      <c r="A5816" t="s">
        <v>89</v>
      </c>
      <c r="B5816" t="s">
        <v>164</v>
      </c>
      <c r="C5816" t="s">
        <v>204</v>
      </c>
      <c r="D5816" t="s">
        <v>74</v>
      </c>
      <c r="E5816" t="s">
        <v>88</v>
      </c>
      <c r="F5816" s="55">
        <v>105</v>
      </c>
      <c r="G5816" s="63">
        <v>2.3999999999999998E-3</v>
      </c>
    </row>
    <row r="5817" spans="1:7" x14ac:dyDescent="0.2">
      <c r="A5817" t="s">
        <v>89</v>
      </c>
      <c r="B5817" t="s">
        <v>165</v>
      </c>
      <c r="C5817" t="s">
        <v>204</v>
      </c>
      <c r="D5817" t="s">
        <v>74</v>
      </c>
      <c r="E5817" t="s">
        <v>75</v>
      </c>
      <c r="F5817" s="55">
        <v>79</v>
      </c>
      <c r="G5817" s="63">
        <v>2.7400000000000001E-2</v>
      </c>
    </row>
    <row r="5818" spans="1:7" x14ac:dyDescent="0.2">
      <c r="A5818" t="s">
        <v>89</v>
      </c>
      <c r="B5818" t="s">
        <v>165</v>
      </c>
      <c r="C5818" t="s">
        <v>204</v>
      </c>
      <c r="D5818" t="s">
        <v>74</v>
      </c>
      <c r="E5818" t="s">
        <v>76</v>
      </c>
      <c r="F5818" s="55">
        <v>79</v>
      </c>
      <c r="G5818" s="63">
        <v>2.0999999999999999E-3</v>
      </c>
    </row>
    <row r="5819" spans="1:7" x14ac:dyDescent="0.2">
      <c r="A5819" t="s">
        <v>89</v>
      </c>
      <c r="B5819" t="s">
        <v>165</v>
      </c>
      <c r="C5819" t="s">
        <v>204</v>
      </c>
      <c r="D5819" t="s">
        <v>74</v>
      </c>
      <c r="E5819" t="s">
        <v>77</v>
      </c>
      <c r="F5819" s="55">
        <v>67</v>
      </c>
      <c r="G5819" s="63">
        <v>6.8999999999999999E-3</v>
      </c>
    </row>
    <row r="5820" spans="1:7" x14ac:dyDescent="0.2">
      <c r="A5820" t="s">
        <v>89</v>
      </c>
      <c r="B5820" t="s">
        <v>165</v>
      </c>
      <c r="C5820" t="s">
        <v>204</v>
      </c>
      <c r="D5820" t="s">
        <v>74</v>
      </c>
      <c r="E5820" t="s">
        <v>78</v>
      </c>
      <c r="F5820" s="55">
        <v>68</v>
      </c>
      <c r="G5820" s="63">
        <v>5.8999999999999999E-3</v>
      </c>
    </row>
    <row r="5821" spans="1:7" x14ac:dyDescent="0.2">
      <c r="A5821" t="s">
        <v>89</v>
      </c>
      <c r="B5821" t="s">
        <v>165</v>
      </c>
      <c r="C5821" t="s">
        <v>204</v>
      </c>
      <c r="D5821" t="s">
        <v>74</v>
      </c>
      <c r="E5821" t="s">
        <v>79</v>
      </c>
      <c r="F5821" s="55">
        <v>77</v>
      </c>
      <c r="G5821" s="63">
        <v>1.3899999999999999E-2</v>
      </c>
    </row>
    <row r="5822" spans="1:7" x14ac:dyDescent="0.2">
      <c r="A5822" t="s">
        <v>89</v>
      </c>
      <c r="B5822" t="s">
        <v>165</v>
      </c>
      <c r="C5822" t="s">
        <v>204</v>
      </c>
      <c r="D5822" t="s">
        <v>74</v>
      </c>
      <c r="E5822" t="s">
        <v>80</v>
      </c>
      <c r="F5822" s="55">
        <v>80</v>
      </c>
      <c r="G5822" s="63">
        <v>6.4000000000000003E-3</v>
      </c>
    </row>
    <row r="5823" spans="1:7" x14ac:dyDescent="0.2">
      <c r="A5823" t="s">
        <v>89</v>
      </c>
      <c r="B5823" t="s">
        <v>165</v>
      </c>
      <c r="C5823" t="s">
        <v>204</v>
      </c>
      <c r="D5823" t="s">
        <v>74</v>
      </c>
      <c r="E5823" t="s">
        <v>81</v>
      </c>
      <c r="F5823" s="55">
        <v>80</v>
      </c>
      <c r="G5823" s="63">
        <v>6.7000000000000002E-3</v>
      </c>
    </row>
    <row r="5824" spans="1:7" x14ac:dyDescent="0.2">
      <c r="A5824" t="s">
        <v>89</v>
      </c>
      <c r="B5824" t="s">
        <v>165</v>
      </c>
      <c r="C5824" t="s">
        <v>204</v>
      </c>
      <c r="D5824" t="s">
        <v>74</v>
      </c>
      <c r="E5824" t="s">
        <v>82</v>
      </c>
      <c r="F5824" s="55">
        <v>82</v>
      </c>
      <c r="G5824" s="63">
        <v>8.2000000000000007E-3</v>
      </c>
    </row>
    <row r="5825" spans="1:7" x14ac:dyDescent="0.2">
      <c r="A5825" t="s">
        <v>89</v>
      </c>
      <c r="B5825" t="s">
        <v>165</v>
      </c>
      <c r="C5825" t="s">
        <v>204</v>
      </c>
      <c r="D5825" t="s">
        <v>74</v>
      </c>
      <c r="E5825" t="s">
        <v>83</v>
      </c>
      <c r="F5825" s="55">
        <v>79</v>
      </c>
      <c r="G5825" s="63">
        <v>2.3E-3</v>
      </c>
    </row>
    <row r="5826" spans="1:7" x14ac:dyDescent="0.2">
      <c r="A5826" t="s">
        <v>89</v>
      </c>
      <c r="B5826" t="s">
        <v>165</v>
      </c>
      <c r="C5826" t="s">
        <v>204</v>
      </c>
      <c r="D5826" t="s">
        <v>74</v>
      </c>
      <c r="E5826" t="s">
        <v>84</v>
      </c>
      <c r="F5826" s="55">
        <v>68</v>
      </c>
      <c r="G5826" s="63">
        <v>4.7999999999999996E-3</v>
      </c>
    </row>
    <row r="5827" spans="1:7" x14ac:dyDescent="0.2">
      <c r="A5827" t="s">
        <v>89</v>
      </c>
      <c r="B5827" t="s">
        <v>165</v>
      </c>
      <c r="C5827" t="s">
        <v>204</v>
      </c>
      <c r="D5827" t="s">
        <v>74</v>
      </c>
      <c r="E5827" t="s">
        <v>85</v>
      </c>
      <c r="F5827" s="55">
        <v>84</v>
      </c>
      <c r="G5827" s="63">
        <v>5.5999999999999999E-3</v>
      </c>
    </row>
    <row r="5828" spans="1:7" x14ac:dyDescent="0.2">
      <c r="A5828" t="s">
        <v>89</v>
      </c>
      <c r="B5828" t="s">
        <v>165</v>
      </c>
      <c r="C5828" t="s">
        <v>204</v>
      </c>
      <c r="D5828" t="s">
        <v>74</v>
      </c>
      <c r="E5828" t="s">
        <v>86</v>
      </c>
      <c r="F5828" s="55">
        <v>83</v>
      </c>
      <c r="G5828" s="63">
        <v>5.7999999999999996E-3</v>
      </c>
    </row>
    <row r="5829" spans="1:7" x14ac:dyDescent="0.2">
      <c r="A5829" t="s">
        <v>89</v>
      </c>
      <c r="B5829" t="s">
        <v>165</v>
      </c>
      <c r="C5829" t="s">
        <v>204</v>
      </c>
      <c r="D5829" t="s">
        <v>74</v>
      </c>
      <c r="E5829" t="s">
        <v>87</v>
      </c>
      <c r="F5829" s="55">
        <v>76</v>
      </c>
      <c r="G5829" s="63">
        <v>5.3E-3</v>
      </c>
    </row>
    <row r="5830" spans="1:7" x14ac:dyDescent="0.2">
      <c r="A5830" t="s">
        <v>89</v>
      </c>
      <c r="B5830" t="s">
        <v>165</v>
      </c>
      <c r="C5830" t="s">
        <v>204</v>
      </c>
      <c r="D5830" t="s">
        <v>74</v>
      </c>
      <c r="E5830" t="s">
        <v>88</v>
      </c>
      <c r="F5830" s="55">
        <v>84</v>
      </c>
      <c r="G5830" s="63">
        <v>3.2000000000000002E-3</v>
      </c>
    </row>
    <row r="5831" spans="1:7" x14ac:dyDescent="0.2">
      <c r="A5831" t="s">
        <v>71</v>
      </c>
      <c r="B5831" t="s">
        <v>15</v>
      </c>
      <c r="C5831" t="s">
        <v>204</v>
      </c>
      <c r="D5831" t="s">
        <v>74</v>
      </c>
      <c r="E5831" t="s">
        <v>75</v>
      </c>
      <c r="F5831" s="55">
        <v>93</v>
      </c>
      <c r="G5831" s="63">
        <v>0.21679999999999999</v>
      </c>
    </row>
    <row r="5832" spans="1:7" x14ac:dyDescent="0.2">
      <c r="A5832" t="s">
        <v>71</v>
      </c>
      <c r="B5832" t="s">
        <v>15</v>
      </c>
      <c r="C5832" t="s">
        <v>204</v>
      </c>
      <c r="D5832" t="s">
        <v>74</v>
      </c>
      <c r="E5832" t="s">
        <v>76</v>
      </c>
      <c r="F5832" s="55">
        <v>75</v>
      </c>
      <c r="G5832" s="63">
        <v>2.64E-2</v>
      </c>
    </row>
    <row r="5833" spans="1:7" x14ac:dyDescent="0.2">
      <c r="A5833" t="s">
        <v>71</v>
      </c>
      <c r="B5833" t="s">
        <v>15</v>
      </c>
      <c r="C5833" t="s">
        <v>204</v>
      </c>
      <c r="D5833" t="s">
        <v>74</v>
      </c>
      <c r="E5833" t="s">
        <v>77</v>
      </c>
      <c r="F5833" s="55">
        <v>67</v>
      </c>
      <c r="G5833" s="63">
        <v>5.3600000000000002E-2</v>
      </c>
    </row>
    <row r="5834" spans="1:7" x14ac:dyDescent="0.2">
      <c r="A5834" t="s">
        <v>71</v>
      </c>
      <c r="B5834" t="s">
        <v>15</v>
      </c>
      <c r="C5834" t="s">
        <v>204</v>
      </c>
      <c r="D5834" t="s">
        <v>74</v>
      </c>
      <c r="E5834" t="s">
        <v>78</v>
      </c>
      <c r="F5834" s="55">
        <v>70</v>
      </c>
      <c r="G5834" s="63">
        <v>5.1200000000000002E-2</v>
      </c>
    </row>
    <row r="5835" spans="1:7" x14ac:dyDescent="0.2">
      <c r="A5835" t="s">
        <v>71</v>
      </c>
      <c r="B5835" t="s">
        <v>15</v>
      </c>
      <c r="C5835" t="s">
        <v>204</v>
      </c>
      <c r="D5835" t="s">
        <v>74</v>
      </c>
      <c r="E5835" t="s">
        <v>79</v>
      </c>
      <c r="F5835" s="55">
        <v>101</v>
      </c>
      <c r="G5835" s="63">
        <v>0.13930000000000001</v>
      </c>
    </row>
    <row r="5836" spans="1:7" x14ac:dyDescent="0.2">
      <c r="A5836" t="s">
        <v>71</v>
      </c>
      <c r="B5836" t="s">
        <v>15</v>
      </c>
      <c r="C5836" t="s">
        <v>204</v>
      </c>
      <c r="D5836" t="s">
        <v>74</v>
      </c>
      <c r="E5836" t="s">
        <v>80</v>
      </c>
      <c r="F5836" s="55">
        <v>106</v>
      </c>
      <c r="G5836" s="63">
        <v>5.6399999999999999E-2</v>
      </c>
    </row>
    <row r="5837" spans="1:7" x14ac:dyDescent="0.2">
      <c r="A5837" t="s">
        <v>71</v>
      </c>
      <c r="B5837" t="s">
        <v>15</v>
      </c>
      <c r="C5837" t="s">
        <v>204</v>
      </c>
      <c r="D5837" t="s">
        <v>74</v>
      </c>
      <c r="E5837" t="s">
        <v>81</v>
      </c>
      <c r="F5837" s="55">
        <v>97</v>
      </c>
      <c r="G5837" s="63">
        <v>5.6399999999999999E-2</v>
      </c>
    </row>
    <row r="5838" spans="1:7" x14ac:dyDescent="0.2">
      <c r="A5838" t="s">
        <v>71</v>
      </c>
      <c r="B5838" t="s">
        <v>15</v>
      </c>
      <c r="C5838" t="s">
        <v>204</v>
      </c>
      <c r="D5838" t="s">
        <v>74</v>
      </c>
      <c r="E5838" t="s">
        <v>82</v>
      </c>
      <c r="F5838" s="55">
        <v>72</v>
      </c>
      <c r="G5838" s="63">
        <v>7.9100000000000004E-2</v>
      </c>
    </row>
    <row r="5839" spans="1:7" x14ac:dyDescent="0.2">
      <c r="A5839" t="s">
        <v>71</v>
      </c>
      <c r="B5839" t="s">
        <v>15</v>
      </c>
      <c r="C5839" t="s">
        <v>204</v>
      </c>
      <c r="D5839" t="s">
        <v>74</v>
      </c>
      <c r="E5839" t="s">
        <v>83</v>
      </c>
      <c r="F5839" s="55">
        <v>91</v>
      </c>
      <c r="G5839" s="63">
        <v>2.5899999999999999E-2</v>
      </c>
    </row>
    <row r="5840" spans="1:7" x14ac:dyDescent="0.2">
      <c r="A5840" t="s">
        <v>71</v>
      </c>
      <c r="B5840" t="s">
        <v>15</v>
      </c>
      <c r="C5840" t="s">
        <v>204</v>
      </c>
      <c r="D5840" t="s">
        <v>74</v>
      </c>
      <c r="E5840" t="s">
        <v>84</v>
      </c>
      <c r="F5840" s="55">
        <v>71</v>
      </c>
      <c r="G5840" s="63">
        <v>3.9300000000000002E-2</v>
      </c>
    </row>
    <row r="5841" spans="1:7" x14ac:dyDescent="0.2">
      <c r="A5841" t="s">
        <v>71</v>
      </c>
      <c r="B5841" t="s">
        <v>15</v>
      </c>
      <c r="C5841" t="s">
        <v>204</v>
      </c>
      <c r="D5841" t="s">
        <v>74</v>
      </c>
      <c r="E5841" t="s">
        <v>85</v>
      </c>
      <c r="F5841" s="55">
        <v>108</v>
      </c>
      <c r="G5841" s="63">
        <v>5.9700000000000003E-2</v>
      </c>
    </row>
    <row r="5842" spans="1:7" x14ac:dyDescent="0.2">
      <c r="A5842" t="s">
        <v>71</v>
      </c>
      <c r="B5842" t="s">
        <v>15</v>
      </c>
      <c r="C5842" t="s">
        <v>204</v>
      </c>
      <c r="D5842" t="s">
        <v>74</v>
      </c>
      <c r="E5842" t="s">
        <v>86</v>
      </c>
      <c r="F5842" s="55">
        <v>105</v>
      </c>
      <c r="G5842" s="63">
        <v>6.9900000000000004E-2</v>
      </c>
    </row>
    <row r="5843" spans="1:7" x14ac:dyDescent="0.2">
      <c r="A5843" t="s">
        <v>71</v>
      </c>
      <c r="B5843" t="s">
        <v>15</v>
      </c>
      <c r="C5843" t="s">
        <v>204</v>
      </c>
      <c r="D5843" t="s">
        <v>74</v>
      </c>
      <c r="E5843" t="s">
        <v>87</v>
      </c>
      <c r="F5843" s="55">
        <v>98</v>
      </c>
      <c r="G5843" s="63">
        <v>6.7299999999999999E-2</v>
      </c>
    </row>
    <row r="5844" spans="1:7" x14ac:dyDescent="0.2">
      <c r="A5844" t="s">
        <v>71</v>
      </c>
      <c r="B5844" t="s">
        <v>15</v>
      </c>
      <c r="C5844" t="s">
        <v>204</v>
      </c>
      <c r="D5844" t="s">
        <v>74</v>
      </c>
      <c r="E5844" t="s">
        <v>88</v>
      </c>
      <c r="F5844" s="55">
        <v>81</v>
      </c>
      <c r="G5844" s="63">
        <v>4.3400000000000001E-2</v>
      </c>
    </row>
    <row r="5845" spans="1:7" x14ac:dyDescent="0.2">
      <c r="A5845" t="s">
        <v>71</v>
      </c>
      <c r="B5845" t="s">
        <v>166</v>
      </c>
      <c r="C5845" t="s">
        <v>204</v>
      </c>
      <c r="D5845" t="s">
        <v>74</v>
      </c>
      <c r="E5845" t="s">
        <v>75</v>
      </c>
      <c r="F5845" s="55">
        <v>107</v>
      </c>
      <c r="G5845" s="63">
        <v>0.29770000000000002</v>
      </c>
    </row>
    <row r="5846" spans="1:7" x14ac:dyDescent="0.2">
      <c r="A5846" t="s">
        <v>71</v>
      </c>
      <c r="B5846" t="s">
        <v>166</v>
      </c>
      <c r="C5846" t="s">
        <v>204</v>
      </c>
      <c r="D5846" t="s">
        <v>74</v>
      </c>
      <c r="E5846" t="s">
        <v>76</v>
      </c>
      <c r="F5846" s="55">
        <v>101</v>
      </c>
      <c r="G5846" s="63">
        <v>5.5199999999999999E-2</v>
      </c>
    </row>
    <row r="5847" spans="1:7" x14ac:dyDescent="0.2">
      <c r="A5847" t="s">
        <v>71</v>
      </c>
      <c r="B5847" t="s">
        <v>166</v>
      </c>
      <c r="C5847" t="s">
        <v>204</v>
      </c>
      <c r="D5847" t="s">
        <v>74</v>
      </c>
      <c r="E5847" t="s">
        <v>77</v>
      </c>
      <c r="F5847" s="55">
        <v>116</v>
      </c>
      <c r="G5847" s="63">
        <v>0.1148</v>
      </c>
    </row>
    <row r="5848" spans="1:7" x14ac:dyDescent="0.2">
      <c r="A5848" t="s">
        <v>71</v>
      </c>
      <c r="B5848" t="s">
        <v>166</v>
      </c>
      <c r="C5848" t="s">
        <v>204</v>
      </c>
      <c r="D5848" t="s">
        <v>74</v>
      </c>
      <c r="E5848" t="s">
        <v>78</v>
      </c>
      <c r="F5848" s="55">
        <v>113</v>
      </c>
      <c r="G5848" s="63">
        <v>0.11020000000000001</v>
      </c>
    </row>
    <row r="5849" spans="1:7" x14ac:dyDescent="0.2">
      <c r="A5849" t="s">
        <v>71</v>
      </c>
      <c r="B5849" t="s">
        <v>166</v>
      </c>
      <c r="C5849" t="s">
        <v>204</v>
      </c>
      <c r="D5849" t="s">
        <v>74</v>
      </c>
      <c r="E5849" t="s">
        <v>79</v>
      </c>
      <c r="F5849" s="55">
        <v>107</v>
      </c>
      <c r="G5849" s="63">
        <v>0.19520000000000001</v>
      </c>
    </row>
    <row r="5850" spans="1:7" x14ac:dyDescent="0.2">
      <c r="A5850" t="s">
        <v>71</v>
      </c>
      <c r="B5850" t="s">
        <v>166</v>
      </c>
      <c r="C5850" t="s">
        <v>204</v>
      </c>
      <c r="D5850" t="s">
        <v>74</v>
      </c>
      <c r="E5850" t="s">
        <v>80</v>
      </c>
      <c r="F5850" s="55">
        <v>100</v>
      </c>
      <c r="G5850" s="63">
        <v>7.5200000000000003E-2</v>
      </c>
    </row>
    <row r="5851" spans="1:7" x14ac:dyDescent="0.2">
      <c r="A5851" t="s">
        <v>71</v>
      </c>
      <c r="B5851" t="s">
        <v>166</v>
      </c>
      <c r="C5851" t="s">
        <v>204</v>
      </c>
      <c r="D5851" t="s">
        <v>74</v>
      </c>
      <c r="E5851" t="s">
        <v>81</v>
      </c>
      <c r="F5851" s="55">
        <v>99</v>
      </c>
      <c r="G5851" s="63">
        <v>7.7399999999999997E-2</v>
      </c>
    </row>
    <row r="5852" spans="1:7" x14ac:dyDescent="0.2">
      <c r="A5852" t="s">
        <v>71</v>
      </c>
      <c r="B5852" t="s">
        <v>166</v>
      </c>
      <c r="C5852" t="s">
        <v>204</v>
      </c>
      <c r="D5852" t="s">
        <v>74</v>
      </c>
      <c r="E5852" t="s">
        <v>82</v>
      </c>
      <c r="F5852" s="55">
        <v>108</v>
      </c>
      <c r="G5852" s="63">
        <v>0.1482</v>
      </c>
    </row>
    <row r="5853" spans="1:7" x14ac:dyDescent="0.2">
      <c r="A5853" t="s">
        <v>71</v>
      </c>
      <c r="B5853" t="s">
        <v>166</v>
      </c>
      <c r="C5853" t="s">
        <v>204</v>
      </c>
      <c r="D5853" t="s">
        <v>74</v>
      </c>
      <c r="E5853" t="s">
        <v>83</v>
      </c>
      <c r="F5853" s="55">
        <v>102</v>
      </c>
      <c r="G5853" s="63">
        <v>4.3200000000000002E-2</v>
      </c>
    </row>
    <row r="5854" spans="1:7" x14ac:dyDescent="0.2">
      <c r="A5854" t="s">
        <v>71</v>
      </c>
      <c r="B5854" t="s">
        <v>166</v>
      </c>
      <c r="C5854" t="s">
        <v>204</v>
      </c>
      <c r="D5854" t="s">
        <v>74</v>
      </c>
      <c r="E5854" t="s">
        <v>84</v>
      </c>
      <c r="F5854" s="55">
        <v>114</v>
      </c>
      <c r="G5854" s="63">
        <v>8.7400000000000005E-2</v>
      </c>
    </row>
    <row r="5855" spans="1:7" x14ac:dyDescent="0.2">
      <c r="A5855" t="s">
        <v>71</v>
      </c>
      <c r="B5855" t="s">
        <v>166</v>
      </c>
      <c r="C5855" t="s">
        <v>204</v>
      </c>
      <c r="D5855" t="s">
        <v>74</v>
      </c>
      <c r="E5855" t="s">
        <v>85</v>
      </c>
      <c r="F5855" s="55">
        <v>104</v>
      </c>
      <c r="G5855" s="63">
        <v>8.7099999999999997E-2</v>
      </c>
    </row>
    <row r="5856" spans="1:7" x14ac:dyDescent="0.2">
      <c r="A5856" t="s">
        <v>71</v>
      </c>
      <c r="B5856" t="s">
        <v>166</v>
      </c>
      <c r="C5856" t="s">
        <v>204</v>
      </c>
      <c r="D5856" t="s">
        <v>74</v>
      </c>
      <c r="E5856" t="s">
        <v>86</v>
      </c>
      <c r="F5856" s="55">
        <v>107</v>
      </c>
      <c r="G5856" s="63">
        <v>0.10100000000000001</v>
      </c>
    </row>
    <row r="5857" spans="1:7" x14ac:dyDescent="0.2">
      <c r="A5857" t="s">
        <v>71</v>
      </c>
      <c r="B5857" t="s">
        <v>166</v>
      </c>
      <c r="C5857" t="s">
        <v>204</v>
      </c>
      <c r="D5857" t="s">
        <v>74</v>
      </c>
      <c r="E5857" t="s">
        <v>87</v>
      </c>
      <c r="F5857" s="55">
        <v>108</v>
      </c>
      <c r="G5857" s="63">
        <v>0.1116</v>
      </c>
    </row>
    <row r="5858" spans="1:7" x14ac:dyDescent="0.2">
      <c r="A5858" t="s">
        <v>71</v>
      </c>
      <c r="B5858" t="s">
        <v>166</v>
      </c>
      <c r="C5858" t="s">
        <v>204</v>
      </c>
      <c r="D5858" t="s">
        <v>74</v>
      </c>
      <c r="E5858" t="s">
        <v>88</v>
      </c>
      <c r="F5858" s="55">
        <v>104</v>
      </c>
      <c r="G5858" s="63">
        <v>8.3900000000000002E-2</v>
      </c>
    </row>
    <row r="5859" spans="1:7" x14ac:dyDescent="0.2">
      <c r="A5859" t="s">
        <v>71</v>
      </c>
      <c r="B5859" t="s">
        <v>167</v>
      </c>
      <c r="C5859" t="s">
        <v>204</v>
      </c>
      <c r="D5859" t="s">
        <v>74</v>
      </c>
      <c r="E5859" t="s">
        <v>75</v>
      </c>
      <c r="F5859" s="55">
        <v>98</v>
      </c>
      <c r="G5859" s="63">
        <v>0.14380000000000001</v>
      </c>
    </row>
    <row r="5860" spans="1:7" x14ac:dyDescent="0.2">
      <c r="A5860" t="s">
        <v>71</v>
      </c>
      <c r="B5860" t="s">
        <v>167</v>
      </c>
      <c r="C5860" t="s">
        <v>204</v>
      </c>
      <c r="D5860" t="s">
        <v>74</v>
      </c>
      <c r="E5860" t="s">
        <v>76</v>
      </c>
      <c r="F5860" s="55">
        <v>100</v>
      </c>
      <c r="G5860" s="63">
        <v>1.6299999999999999E-2</v>
      </c>
    </row>
    <row r="5861" spans="1:7" x14ac:dyDescent="0.2">
      <c r="A5861" t="s">
        <v>71</v>
      </c>
      <c r="B5861" t="s">
        <v>167</v>
      </c>
      <c r="C5861" t="s">
        <v>204</v>
      </c>
      <c r="D5861" t="s">
        <v>74</v>
      </c>
      <c r="E5861" t="s">
        <v>77</v>
      </c>
      <c r="F5861" s="55">
        <v>99</v>
      </c>
      <c r="G5861" s="63">
        <v>4.5699999999999998E-2</v>
      </c>
    </row>
    <row r="5862" spans="1:7" x14ac:dyDescent="0.2">
      <c r="A5862" t="s">
        <v>71</v>
      </c>
      <c r="B5862" t="s">
        <v>167</v>
      </c>
      <c r="C5862" t="s">
        <v>204</v>
      </c>
      <c r="D5862" t="s">
        <v>74</v>
      </c>
      <c r="E5862" t="s">
        <v>78</v>
      </c>
      <c r="F5862" s="55">
        <v>101</v>
      </c>
      <c r="G5862" s="63">
        <v>4.2599999999999999E-2</v>
      </c>
    </row>
    <row r="5863" spans="1:7" x14ac:dyDescent="0.2">
      <c r="A5863" t="s">
        <v>71</v>
      </c>
      <c r="B5863" t="s">
        <v>167</v>
      </c>
      <c r="C5863" t="s">
        <v>204</v>
      </c>
      <c r="D5863" t="s">
        <v>74</v>
      </c>
      <c r="E5863" t="s">
        <v>79</v>
      </c>
      <c r="F5863" s="55">
        <v>95</v>
      </c>
      <c r="G5863" s="63">
        <v>8.2699999999999996E-2</v>
      </c>
    </row>
    <row r="5864" spans="1:7" x14ac:dyDescent="0.2">
      <c r="A5864" t="s">
        <v>71</v>
      </c>
      <c r="B5864" t="s">
        <v>167</v>
      </c>
      <c r="C5864" t="s">
        <v>204</v>
      </c>
      <c r="D5864" t="s">
        <v>74</v>
      </c>
      <c r="E5864" t="s">
        <v>80</v>
      </c>
      <c r="F5864" s="55">
        <v>93</v>
      </c>
      <c r="G5864" s="63">
        <v>2.5600000000000001E-2</v>
      </c>
    </row>
    <row r="5865" spans="1:7" x14ac:dyDescent="0.2">
      <c r="A5865" t="s">
        <v>71</v>
      </c>
      <c r="B5865" t="s">
        <v>167</v>
      </c>
      <c r="C5865" t="s">
        <v>204</v>
      </c>
      <c r="D5865" t="s">
        <v>74</v>
      </c>
      <c r="E5865" t="s">
        <v>81</v>
      </c>
      <c r="F5865" s="55">
        <v>97</v>
      </c>
      <c r="G5865" s="63">
        <v>2.8199999999999999E-2</v>
      </c>
    </row>
    <row r="5866" spans="1:7" x14ac:dyDescent="0.2">
      <c r="A5866" t="s">
        <v>71</v>
      </c>
      <c r="B5866" t="s">
        <v>167</v>
      </c>
      <c r="C5866" t="s">
        <v>204</v>
      </c>
      <c r="D5866" t="s">
        <v>74</v>
      </c>
      <c r="E5866" t="s">
        <v>82</v>
      </c>
      <c r="F5866" s="55">
        <v>99</v>
      </c>
      <c r="G5866" s="63">
        <v>6.4500000000000002E-2</v>
      </c>
    </row>
    <row r="5867" spans="1:7" x14ac:dyDescent="0.2">
      <c r="A5867" t="s">
        <v>71</v>
      </c>
      <c r="B5867" t="s">
        <v>167</v>
      </c>
      <c r="C5867" t="s">
        <v>204</v>
      </c>
      <c r="D5867" t="s">
        <v>74</v>
      </c>
      <c r="E5867" t="s">
        <v>83</v>
      </c>
      <c r="F5867" s="55">
        <v>101</v>
      </c>
      <c r="G5867" s="63">
        <v>1.44E-2</v>
      </c>
    </row>
    <row r="5868" spans="1:7" x14ac:dyDescent="0.2">
      <c r="A5868" t="s">
        <v>71</v>
      </c>
      <c r="B5868" t="s">
        <v>167</v>
      </c>
      <c r="C5868" t="s">
        <v>204</v>
      </c>
      <c r="D5868" t="s">
        <v>74</v>
      </c>
      <c r="E5868" t="s">
        <v>84</v>
      </c>
      <c r="F5868" s="55">
        <v>105</v>
      </c>
      <c r="G5868" s="63">
        <v>3.2399999999999998E-2</v>
      </c>
    </row>
    <row r="5869" spans="1:7" x14ac:dyDescent="0.2">
      <c r="A5869" t="s">
        <v>71</v>
      </c>
      <c r="B5869" t="s">
        <v>167</v>
      </c>
      <c r="C5869" t="s">
        <v>204</v>
      </c>
      <c r="D5869" t="s">
        <v>74</v>
      </c>
      <c r="E5869" t="s">
        <v>85</v>
      </c>
      <c r="F5869" s="55">
        <v>91</v>
      </c>
      <c r="G5869" s="63">
        <v>2.52E-2</v>
      </c>
    </row>
    <row r="5870" spans="1:7" x14ac:dyDescent="0.2">
      <c r="A5870" t="s">
        <v>71</v>
      </c>
      <c r="B5870" t="s">
        <v>167</v>
      </c>
      <c r="C5870" t="s">
        <v>204</v>
      </c>
      <c r="D5870" t="s">
        <v>74</v>
      </c>
      <c r="E5870" t="s">
        <v>86</v>
      </c>
      <c r="F5870" s="55">
        <v>97</v>
      </c>
      <c r="G5870" s="63">
        <v>3.3599999999999998E-2</v>
      </c>
    </row>
    <row r="5871" spans="1:7" x14ac:dyDescent="0.2">
      <c r="A5871" t="s">
        <v>71</v>
      </c>
      <c r="B5871" t="s">
        <v>167</v>
      </c>
      <c r="C5871" t="s">
        <v>204</v>
      </c>
      <c r="D5871" t="s">
        <v>74</v>
      </c>
      <c r="E5871" t="s">
        <v>87</v>
      </c>
      <c r="F5871" s="55">
        <v>99</v>
      </c>
      <c r="G5871" s="63">
        <v>4.07E-2</v>
      </c>
    </row>
    <row r="5872" spans="1:7" x14ac:dyDescent="0.2">
      <c r="A5872" t="s">
        <v>71</v>
      </c>
      <c r="B5872" t="s">
        <v>167</v>
      </c>
      <c r="C5872" t="s">
        <v>204</v>
      </c>
      <c r="D5872" t="s">
        <v>74</v>
      </c>
      <c r="E5872" t="s">
        <v>88</v>
      </c>
      <c r="F5872" s="55">
        <v>95</v>
      </c>
      <c r="G5872" s="63">
        <v>2.6700000000000002E-2</v>
      </c>
    </row>
    <row r="5873" spans="1:7" x14ac:dyDescent="0.2">
      <c r="A5873" t="s">
        <v>71</v>
      </c>
      <c r="B5873" t="s">
        <v>168</v>
      </c>
      <c r="C5873" t="s">
        <v>204</v>
      </c>
      <c r="D5873" t="s">
        <v>74</v>
      </c>
      <c r="E5873" t="s">
        <v>75</v>
      </c>
      <c r="F5873" s="55">
        <v>118</v>
      </c>
      <c r="G5873" s="63">
        <v>1.83E-2</v>
      </c>
    </row>
    <row r="5874" spans="1:7" x14ac:dyDescent="0.2">
      <c r="A5874" t="s">
        <v>71</v>
      </c>
      <c r="B5874" t="s">
        <v>168</v>
      </c>
      <c r="C5874" t="s">
        <v>204</v>
      </c>
      <c r="D5874" t="s">
        <v>74</v>
      </c>
      <c r="E5874" t="s">
        <v>76</v>
      </c>
      <c r="F5874" s="55">
        <v>105</v>
      </c>
      <c r="G5874" s="63">
        <v>1.1999999999999999E-3</v>
      </c>
    </row>
    <row r="5875" spans="1:7" x14ac:dyDescent="0.2">
      <c r="A5875" t="s">
        <v>71</v>
      </c>
      <c r="B5875" t="s">
        <v>168</v>
      </c>
      <c r="C5875" t="s">
        <v>204</v>
      </c>
      <c r="D5875" t="s">
        <v>74</v>
      </c>
      <c r="E5875" t="s">
        <v>77</v>
      </c>
      <c r="F5875" s="55">
        <v>99</v>
      </c>
      <c r="G5875" s="63">
        <v>4.7000000000000002E-3</v>
      </c>
    </row>
    <row r="5876" spans="1:7" x14ac:dyDescent="0.2">
      <c r="A5876" t="s">
        <v>71</v>
      </c>
      <c r="B5876" t="s">
        <v>168</v>
      </c>
      <c r="C5876" t="s">
        <v>204</v>
      </c>
      <c r="D5876" t="s">
        <v>74</v>
      </c>
      <c r="E5876" t="s">
        <v>78</v>
      </c>
      <c r="F5876" s="55">
        <v>124</v>
      </c>
      <c r="G5876" s="63">
        <v>4.3E-3</v>
      </c>
    </row>
    <row r="5877" spans="1:7" x14ac:dyDescent="0.2">
      <c r="A5877" t="s">
        <v>71</v>
      </c>
      <c r="B5877" t="s">
        <v>168</v>
      </c>
      <c r="C5877" t="s">
        <v>204</v>
      </c>
      <c r="D5877" t="s">
        <v>74</v>
      </c>
      <c r="E5877" t="s">
        <v>79</v>
      </c>
      <c r="F5877" s="55">
        <v>126</v>
      </c>
      <c r="G5877" s="63">
        <v>1.0699999999999999E-2</v>
      </c>
    </row>
    <row r="5878" spans="1:7" x14ac:dyDescent="0.2">
      <c r="A5878" t="s">
        <v>71</v>
      </c>
      <c r="B5878" t="s">
        <v>168</v>
      </c>
      <c r="C5878" t="s">
        <v>204</v>
      </c>
      <c r="D5878" t="s">
        <v>74</v>
      </c>
      <c r="E5878" t="s">
        <v>80</v>
      </c>
      <c r="F5878" s="55">
        <v>94</v>
      </c>
      <c r="G5878" s="63">
        <v>4.0000000000000001E-3</v>
      </c>
    </row>
    <row r="5879" spans="1:7" x14ac:dyDescent="0.2">
      <c r="A5879" t="s">
        <v>71</v>
      </c>
      <c r="B5879" t="s">
        <v>168</v>
      </c>
      <c r="C5879" t="s">
        <v>204</v>
      </c>
      <c r="D5879" t="s">
        <v>74</v>
      </c>
      <c r="E5879" t="s">
        <v>81</v>
      </c>
      <c r="F5879" s="55">
        <v>80</v>
      </c>
      <c r="G5879" s="63">
        <v>4.1999999999999997E-3</v>
      </c>
    </row>
    <row r="5880" spans="1:7" x14ac:dyDescent="0.2">
      <c r="A5880" t="s">
        <v>71</v>
      </c>
      <c r="B5880" t="s">
        <v>168</v>
      </c>
      <c r="C5880" t="s">
        <v>204</v>
      </c>
      <c r="D5880" t="s">
        <v>74</v>
      </c>
      <c r="E5880" t="s">
        <v>82</v>
      </c>
      <c r="F5880" s="55">
        <v>122</v>
      </c>
      <c r="G5880" s="63">
        <v>6.1999999999999998E-3</v>
      </c>
    </row>
    <row r="5881" spans="1:7" x14ac:dyDescent="0.2">
      <c r="A5881" t="s">
        <v>71</v>
      </c>
      <c r="B5881" t="s">
        <v>168</v>
      </c>
      <c r="C5881" t="s">
        <v>204</v>
      </c>
      <c r="D5881" t="s">
        <v>74</v>
      </c>
      <c r="E5881" t="s">
        <v>83</v>
      </c>
      <c r="F5881" s="55">
        <v>62</v>
      </c>
      <c r="G5881" s="63">
        <v>1.1000000000000001E-3</v>
      </c>
    </row>
    <row r="5882" spans="1:7" x14ac:dyDescent="0.2">
      <c r="A5882" t="s">
        <v>71</v>
      </c>
      <c r="B5882" t="s">
        <v>168</v>
      </c>
      <c r="C5882" t="s">
        <v>204</v>
      </c>
      <c r="D5882" t="s">
        <v>74</v>
      </c>
      <c r="E5882" t="s">
        <v>84</v>
      </c>
      <c r="F5882" s="55">
        <v>120</v>
      </c>
      <c r="G5882" s="63">
        <v>3.3E-3</v>
      </c>
    </row>
    <row r="5883" spans="1:7" x14ac:dyDescent="0.2">
      <c r="A5883" t="s">
        <v>71</v>
      </c>
      <c r="B5883" t="s">
        <v>168</v>
      </c>
      <c r="C5883" t="s">
        <v>204</v>
      </c>
      <c r="D5883" t="s">
        <v>74</v>
      </c>
      <c r="E5883" t="s">
        <v>85</v>
      </c>
      <c r="F5883" s="55">
        <v>99</v>
      </c>
      <c r="G5883" s="63">
        <v>3.3999999999999998E-3</v>
      </c>
    </row>
    <row r="5884" spans="1:7" x14ac:dyDescent="0.2">
      <c r="A5884" t="s">
        <v>71</v>
      </c>
      <c r="B5884" t="s">
        <v>168</v>
      </c>
      <c r="C5884" t="s">
        <v>204</v>
      </c>
      <c r="D5884" t="s">
        <v>74</v>
      </c>
      <c r="E5884" t="s">
        <v>86</v>
      </c>
      <c r="F5884" s="55">
        <v>102</v>
      </c>
      <c r="G5884" s="63">
        <v>4.0000000000000001E-3</v>
      </c>
    </row>
    <row r="5885" spans="1:7" x14ac:dyDescent="0.2">
      <c r="A5885" t="s">
        <v>71</v>
      </c>
      <c r="B5885" t="s">
        <v>168</v>
      </c>
      <c r="C5885" t="s">
        <v>204</v>
      </c>
      <c r="D5885" t="s">
        <v>74</v>
      </c>
      <c r="E5885" t="s">
        <v>87</v>
      </c>
      <c r="F5885" s="55">
        <v>108</v>
      </c>
      <c r="G5885" s="63">
        <v>3.7000000000000002E-3</v>
      </c>
    </row>
    <row r="5886" spans="1:7" x14ac:dyDescent="0.2">
      <c r="A5886" t="s">
        <v>71</v>
      </c>
      <c r="B5886" t="s">
        <v>168</v>
      </c>
      <c r="C5886" t="s">
        <v>204</v>
      </c>
      <c r="D5886" t="s">
        <v>74</v>
      </c>
      <c r="E5886" t="s">
        <v>88</v>
      </c>
      <c r="F5886" s="55">
        <v>99</v>
      </c>
      <c r="G5886" s="63">
        <v>1.9E-3</v>
      </c>
    </row>
    <row r="5887" spans="1:7" x14ac:dyDescent="0.2">
      <c r="A5887" t="s">
        <v>89</v>
      </c>
      <c r="B5887" t="s">
        <v>169</v>
      </c>
      <c r="C5887" t="s">
        <v>204</v>
      </c>
      <c r="D5887" t="s">
        <v>74</v>
      </c>
      <c r="E5887" t="s">
        <v>75</v>
      </c>
      <c r="F5887" s="55">
        <v>137</v>
      </c>
      <c r="G5887" s="63">
        <v>5.3199999999999997E-2</v>
      </c>
    </row>
    <row r="5888" spans="1:7" x14ac:dyDescent="0.2">
      <c r="A5888" t="s">
        <v>89</v>
      </c>
      <c r="B5888" t="s">
        <v>169</v>
      </c>
      <c r="C5888" t="s">
        <v>204</v>
      </c>
      <c r="D5888" t="s">
        <v>74</v>
      </c>
      <c r="E5888" t="s">
        <v>76</v>
      </c>
      <c r="F5888" s="55">
        <v>147</v>
      </c>
      <c r="G5888" s="63">
        <v>5.5999999999999999E-3</v>
      </c>
    </row>
    <row r="5889" spans="1:7" x14ac:dyDescent="0.2">
      <c r="A5889" t="s">
        <v>89</v>
      </c>
      <c r="B5889" t="s">
        <v>169</v>
      </c>
      <c r="C5889" t="s">
        <v>204</v>
      </c>
      <c r="D5889" t="s">
        <v>74</v>
      </c>
      <c r="E5889" t="s">
        <v>77</v>
      </c>
      <c r="F5889" s="55">
        <v>132</v>
      </c>
      <c r="G5889" s="63">
        <v>1.9900000000000001E-2</v>
      </c>
    </row>
    <row r="5890" spans="1:7" x14ac:dyDescent="0.2">
      <c r="A5890" t="s">
        <v>89</v>
      </c>
      <c r="B5890" t="s">
        <v>169</v>
      </c>
      <c r="C5890" t="s">
        <v>204</v>
      </c>
      <c r="D5890" t="s">
        <v>74</v>
      </c>
      <c r="E5890" t="s">
        <v>78</v>
      </c>
      <c r="F5890" s="55">
        <v>141</v>
      </c>
      <c r="G5890" s="63">
        <v>1.7600000000000001E-2</v>
      </c>
    </row>
    <row r="5891" spans="1:7" x14ac:dyDescent="0.2">
      <c r="A5891" t="s">
        <v>89</v>
      </c>
      <c r="B5891" t="s">
        <v>169</v>
      </c>
      <c r="C5891" t="s">
        <v>204</v>
      </c>
      <c r="D5891" t="s">
        <v>74</v>
      </c>
      <c r="E5891" t="s">
        <v>79</v>
      </c>
      <c r="F5891" s="55">
        <v>137</v>
      </c>
      <c r="G5891" s="63">
        <v>3.6700000000000003E-2</v>
      </c>
    </row>
    <row r="5892" spans="1:7" x14ac:dyDescent="0.2">
      <c r="A5892" t="s">
        <v>89</v>
      </c>
      <c r="B5892" t="s">
        <v>169</v>
      </c>
      <c r="C5892" t="s">
        <v>204</v>
      </c>
      <c r="D5892" t="s">
        <v>74</v>
      </c>
      <c r="E5892" t="s">
        <v>80</v>
      </c>
      <c r="F5892" s="55">
        <v>137</v>
      </c>
      <c r="G5892" s="63">
        <v>2.24E-2</v>
      </c>
    </row>
    <row r="5893" spans="1:7" x14ac:dyDescent="0.2">
      <c r="A5893" t="s">
        <v>89</v>
      </c>
      <c r="B5893" t="s">
        <v>169</v>
      </c>
      <c r="C5893" t="s">
        <v>204</v>
      </c>
      <c r="D5893" t="s">
        <v>74</v>
      </c>
      <c r="E5893" t="s">
        <v>81</v>
      </c>
      <c r="F5893" s="55">
        <v>137</v>
      </c>
      <c r="G5893" s="63">
        <v>1.9300000000000001E-2</v>
      </c>
    </row>
    <row r="5894" spans="1:7" x14ac:dyDescent="0.2">
      <c r="A5894" t="s">
        <v>89</v>
      </c>
      <c r="B5894" t="s">
        <v>169</v>
      </c>
      <c r="C5894" t="s">
        <v>204</v>
      </c>
      <c r="D5894" t="s">
        <v>74</v>
      </c>
      <c r="E5894" t="s">
        <v>82</v>
      </c>
      <c r="F5894" s="55">
        <v>135</v>
      </c>
      <c r="G5894" s="63">
        <v>2.23E-2</v>
      </c>
    </row>
    <row r="5895" spans="1:7" x14ac:dyDescent="0.2">
      <c r="A5895" t="s">
        <v>89</v>
      </c>
      <c r="B5895" t="s">
        <v>169</v>
      </c>
      <c r="C5895" t="s">
        <v>204</v>
      </c>
      <c r="D5895" t="s">
        <v>74</v>
      </c>
      <c r="E5895" t="s">
        <v>83</v>
      </c>
      <c r="F5895" s="55">
        <v>180</v>
      </c>
      <c r="G5895" s="63">
        <v>4.8999999999999998E-3</v>
      </c>
    </row>
    <row r="5896" spans="1:7" x14ac:dyDescent="0.2">
      <c r="A5896" t="s">
        <v>89</v>
      </c>
      <c r="B5896" t="s">
        <v>169</v>
      </c>
      <c r="C5896" t="s">
        <v>204</v>
      </c>
      <c r="D5896" t="s">
        <v>74</v>
      </c>
      <c r="E5896" t="s">
        <v>84</v>
      </c>
      <c r="F5896" s="55">
        <v>143</v>
      </c>
      <c r="G5896" s="63">
        <v>1.4999999999999999E-2</v>
      </c>
    </row>
    <row r="5897" spans="1:7" x14ac:dyDescent="0.2">
      <c r="A5897" t="s">
        <v>89</v>
      </c>
      <c r="B5897" t="s">
        <v>169</v>
      </c>
      <c r="C5897" t="s">
        <v>204</v>
      </c>
      <c r="D5897" t="s">
        <v>74</v>
      </c>
      <c r="E5897" t="s">
        <v>85</v>
      </c>
      <c r="F5897" s="55">
        <v>139</v>
      </c>
      <c r="G5897" s="63">
        <v>2.2100000000000002E-2</v>
      </c>
    </row>
    <row r="5898" spans="1:7" x14ac:dyDescent="0.2">
      <c r="A5898" t="s">
        <v>89</v>
      </c>
      <c r="B5898" t="s">
        <v>169</v>
      </c>
      <c r="C5898" t="s">
        <v>204</v>
      </c>
      <c r="D5898" t="s">
        <v>74</v>
      </c>
      <c r="E5898" t="s">
        <v>86</v>
      </c>
      <c r="F5898" s="55">
        <v>134</v>
      </c>
      <c r="G5898" s="63">
        <v>2.1299999999999999E-2</v>
      </c>
    </row>
    <row r="5899" spans="1:7" x14ac:dyDescent="0.2">
      <c r="A5899" t="s">
        <v>89</v>
      </c>
      <c r="B5899" t="s">
        <v>169</v>
      </c>
      <c r="C5899" t="s">
        <v>204</v>
      </c>
      <c r="D5899" t="s">
        <v>74</v>
      </c>
      <c r="E5899" t="s">
        <v>87</v>
      </c>
      <c r="F5899" s="55">
        <v>136</v>
      </c>
      <c r="G5899" s="63">
        <v>1.9699999999999999E-2</v>
      </c>
    </row>
    <row r="5900" spans="1:7" x14ac:dyDescent="0.2">
      <c r="A5900" t="s">
        <v>89</v>
      </c>
      <c r="B5900" t="s">
        <v>169</v>
      </c>
      <c r="C5900" t="s">
        <v>204</v>
      </c>
      <c r="D5900" t="s">
        <v>74</v>
      </c>
      <c r="E5900" t="s">
        <v>88</v>
      </c>
      <c r="F5900" s="55">
        <v>152</v>
      </c>
      <c r="G5900" s="63">
        <v>8.2000000000000007E-3</v>
      </c>
    </row>
    <row r="5901" spans="1:7" x14ac:dyDescent="0.2">
      <c r="A5901" t="s">
        <v>71</v>
      </c>
      <c r="B5901" t="s">
        <v>170</v>
      </c>
      <c r="C5901" t="s">
        <v>204</v>
      </c>
      <c r="D5901" t="s">
        <v>74</v>
      </c>
      <c r="E5901" t="s">
        <v>75</v>
      </c>
      <c r="F5901" s="55">
        <v>97</v>
      </c>
      <c r="G5901" s="63">
        <v>0.2044</v>
      </c>
    </row>
    <row r="5902" spans="1:7" x14ac:dyDescent="0.2">
      <c r="A5902" t="s">
        <v>71</v>
      </c>
      <c r="B5902" t="s">
        <v>170</v>
      </c>
      <c r="C5902" t="s">
        <v>204</v>
      </c>
      <c r="D5902" t="s">
        <v>74</v>
      </c>
      <c r="E5902" t="s">
        <v>76</v>
      </c>
      <c r="F5902" s="55">
        <v>98</v>
      </c>
      <c r="G5902" s="63">
        <v>3.6700000000000003E-2</v>
      </c>
    </row>
    <row r="5903" spans="1:7" x14ac:dyDescent="0.2">
      <c r="A5903" t="s">
        <v>71</v>
      </c>
      <c r="B5903" t="s">
        <v>170</v>
      </c>
      <c r="C5903" t="s">
        <v>204</v>
      </c>
      <c r="D5903" t="s">
        <v>74</v>
      </c>
      <c r="E5903" t="s">
        <v>77</v>
      </c>
      <c r="F5903" s="55">
        <v>97</v>
      </c>
      <c r="G5903" s="63">
        <v>8.1100000000000005E-2</v>
      </c>
    </row>
    <row r="5904" spans="1:7" x14ac:dyDescent="0.2">
      <c r="A5904" t="s">
        <v>71</v>
      </c>
      <c r="B5904" t="s">
        <v>170</v>
      </c>
      <c r="C5904" t="s">
        <v>204</v>
      </c>
      <c r="D5904" t="s">
        <v>74</v>
      </c>
      <c r="E5904" t="s">
        <v>78</v>
      </c>
      <c r="F5904" s="55">
        <v>98</v>
      </c>
      <c r="G5904" s="63">
        <v>7.5399999999999995E-2</v>
      </c>
    </row>
    <row r="5905" spans="1:7" x14ac:dyDescent="0.2">
      <c r="A5905" t="s">
        <v>71</v>
      </c>
      <c r="B5905" t="s">
        <v>170</v>
      </c>
      <c r="C5905" t="s">
        <v>204</v>
      </c>
      <c r="D5905" t="s">
        <v>74</v>
      </c>
      <c r="E5905" t="s">
        <v>79</v>
      </c>
      <c r="F5905" s="55">
        <v>97</v>
      </c>
      <c r="G5905" s="63">
        <v>0.1295</v>
      </c>
    </row>
    <row r="5906" spans="1:7" x14ac:dyDescent="0.2">
      <c r="A5906" t="s">
        <v>71</v>
      </c>
      <c r="B5906" t="s">
        <v>170</v>
      </c>
      <c r="C5906" t="s">
        <v>204</v>
      </c>
      <c r="D5906" t="s">
        <v>74</v>
      </c>
      <c r="E5906" t="s">
        <v>80</v>
      </c>
      <c r="F5906" s="55">
        <v>95</v>
      </c>
      <c r="G5906" s="63">
        <v>4.7399999999999998E-2</v>
      </c>
    </row>
    <row r="5907" spans="1:7" x14ac:dyDescent="0.2">
      <c r="A5907" t="s">
        <v>71</v>
      </c>
      <c r="B5907" t="s">
        <v>170</v>
      </c>
      <c r="C5907" t="s">
        <v>204</v>
      </c>
      <c r="D5907" t="s">
        <v>74</v>
      </c>
      <c r="E5907" t="s">
        <v>81</v>
      </c>
      <c r="F5907" s="55">
        <v>98</v>
      </c>
      <c r="G5907" s="63">
        <v>5.4199999999999998E-2</v>
      </c>
    </row>
    <row r="5908" spans="1:7" x14ac:dyDescent="0.2">
      <c r="A5908" t="s">
        <v>71</v>
      </c>
      <c r="B5908" t="s">
        <v>170</v>
      </c>
      <c r="C5908" t="s">
        <v>204</v>
      </c>
      <c r="D5908" t="s">
        <v>74</v>
      </c>
      <c r="E5908" t="s">
        <v>82</v>
      </c>
      <c r="F5908" s="55">
        <v>95</v>
      </c>
      <c r="G5908" s="63">
        <v>9.8100000000000007E-2</v>
      </c>
    </row>
    <row r="5909" spans="1:7" x14ac:dyDescent="0.2">
      <c r="A5909" t="s">
        <v>71</v>
      </c>
      <c r="B5909" t="s">
        <v>170</v>
      </c>
      <c r="C5909" t="s">
        <v>204</v>
      </c>
      <c r="D5909" t="s">
        <v>74</v>
      </c>
      <c r="E5909" t="s">
        <v>83</v>
      </c>
      <c r="F5909" s="55">
        <v>101</v>
      </c>
      <c r="G5909" s="63">
        <v>3.1199999999999999E-2</v>
      </c>
    </row>
    <row r="5910" spans="1:7" x14ac:dyDescent="0.2">
      <c r="A5910" t="s">
        <v>71</v>
      </c>
      <c r="B5910" t="s">
        <v>170</v>
      </c>
      <c r="C5910" t="s">
        <v>204</v>
      </c>
      <c r="D5910" t="s">
        <v>74</v>
      </c>
      <c r="E5910" t="s">
        <v>84</v>
      </c>
      <c r="F5910" s="55">
        <v>98</v>
      </c>
      <c r="G5910" s="63">
        <v>6.0299999999999999E-2</v>
      </c>
    </row>
    <row r="5911" spans="1:7" x14ac:dyDescent="0.2">
      <c r="A5911" t="s">
        <v>71</v>
      </c>
      <c r="B5911" t="s">
        <v>170</v>
      </c>
      <c r="C5911" t="s">
        <v>204</v>
      </c>
      <c r="D5911" t="s">
        <v>74</v>
      </c>
      <c r="E5911" t="s">
        <v>85</v>
      </c>
      <c r="F5911" s="55">
        <v>96</v>
      </c>
      <c r="G5911" s="63">
        <v>5.2200000000000003E-2</v>
      </c>
    </row>
    <row r="5912" spans="1:7" x14ac:dyDescent="0.2">
      <c r="A5912" t="s">
        <v>71</v>
      </c>
      <c r="B5912" t="s">
        <v>170</v>
      </c>
      <c r="C5912" t="s">
        <v>204</v>
      </c>
      <c r="D5912" t="s">
        <v>74</v>
      </c>
      <c r="E5912" t="s">
        <v>86</v>
      </c>
      <c r="F5912" s="55">
        <v>97</v>
      </c>
      <c r="G5912" s="63">
        <v>6.6100000000000006E-2</v>
      </c>
    </row>
    <row r="5913" spans="1:7" x14ac:dyDescent="0.2">
      <c r="A5913" t="s">
        <v>71</v>
      </c>
      <c r="B5913" t="s">
        <v>170</v>
      </c>
      <c r="C5913" t="s">
        <v>204</v>
      </c>
      <c r="D5913" t="s">
        <v>74</v>
      </c>
      <c r="E5913" t="s">
        <v>87</v>
      </c>
      <c r="F5913" s="55">
        <v>98</v>
      </c>
      <c r="G5913" s="63">
        <v>7.3499999999999996E-2</v>
      </c>
    </row>
    <row r="5914" spans="1:7" x14ac:dyDescent="0.2">
      <c r="A5914" t="s">
        <v>71</v>
      </c>
      <c r="B5914" t="s">
        <v>170</v>
      </c>
      <c r="C5914" t="s">
        <v>204</v>
      </c>
      <c r="D5914" t="s">
        <v>74</v>
      </c>
      <c r="E5914" t="s">
        <v>88</v>
      </c>
      <c r="F5914" s="55">
        <v>98</v>
      </c>
      <c r="G5914" s="63">
        <v>5.7099999999999998E-2</v>
      </c>
    </row>
    <row r="5915" spans="1:7" x14ac:dyDescent="0.2">
      <c r="A5915" t="s">
        <v>71</v>
      </c>
      <c r="B5915" t="s">
        <v>16</v>
      </c>
      <c r="C5915" t="s">
        <v>204</v>
      </c>
      <c r="D5915" t="s">
        <v>74</v>
      </c>
      <c r="E5915" t="s">
        <v>75</v>
      </c>
      <c r="F5915" s="55">
        <v>96</v>
      </c>
      <c r="G5915" s="63">
        <v>0.36349999999999999</v>
      </c>
    </row>
    <row r="5916" spans="1:7" x14ac:dyDescent="0.2">
      <c r="A5916" t="s">
        <v>71</v>
      </c>
      <c r="B5916" t="s">
        <v>16</v>
      </c>
      <c r="C5916" t="s">
        <v>204</v>
      </c>
      <c r="D5916" t="s">
        <v>74</v>
      </c>
      <c r="E5916" t="s">
        <v>76</v>
      </c>
      <c r="F5916" s="55">
        <v>103</v>
      </c>
      <c r="G5916" s="63">
        <v>4.0300000000000002E-2</v>
      </c>
    </row>
    <row r="5917" spans="1:7" x14ac:dyDescent="0.2">
      <c r="A5917" t="s">
        <v>71</v>
      </c>
      <c r="B5917" t="s">
        <v>16</v>
      </c>
      <c r="C5917" t="s">
        <v>204</v>
      </c>
      <c r="D5917" t="s">
        <v>74</v>
      </c>
      <c r="E5917" t="s">
        <v>77</v>
      </c>
      <c r="F5917" s="55">
        <v>102</v>
      </c>
      <c r="G5917" s="63">
        <v>0.10489999999999999</v>
      </c>
    </row>
    <row r="5918" spans="1:7" x14ac:dyDescent="0.2">
      <c r="A5918" t="s">
        <v>71</v>
      </c>
      <c r="B5918" t="s">
        <v>16</v>
      </c>
      <c r="C5918" t="s">
        <v>204</v>
      </c>
      <c r="D5918" t="s">
        <v>74</v>
      </c>
      <c r="E5918" t="s">
        <v>78</v>
      </c>
      <c r="F5918" s="55">
        <v>97</v>
      </c>
      <c r="G5918" s="63">
        <v>0.1426</v>
      </c>
    </row>
    <row r="5919" spans="1:7" x14ac:dyDescent="0.2">
      <c r="A5919" t="s">
        <v>71</v>
      </c>
      <c r="B5919" t="s">
        <v>16</v>
      </c>
      <c r="C5919" t="s">
        <v>204</v>
      </c>
      <c r="D5919" t="s">
        <v>74</v>
      </c>
      <c r="E5919" t="s">
        <v>79</v>
      </c>
      <c r="F5919" s="55">
        <v>92</v>
      </c>
      <c r="G5919" s="63">
        <v>0.2636</v>
      </c>
    </row>
    <row r="5920" spans="1:7" x14ac:dyDescent="0.2">
      <c r="A5920" t="s">
        <v>71</v>
      </c>
      <c r="B5920" t="s">
        <v>16</v>
      </c>
      <c r="C5920" t="s">
        <v>204</v>
      </c>
      <c r="D5920" t="s">
        <v>74</v>
      </c>
      <c r="E5920" t="s">
        <v>80</v>
      </c>
      <c r="F5920" s="55">
        <v>93</v>
      </c>
      <c r="G5920" s="63">
        <v>8.5599999999999996E-2</v>
      </c>
    </row>
    <row r="5921" spans="1:7" x14ac:dyDescent="0.2">
      <c r="A5921" t="s">
        <v>71</v>
      </c>
      <c r="B5921" t="s">
        <v>16</v>
      </c>
      <c r="C5921" t="s">
        <v>204</v>
      </c>
      <c r="D5921" t="s">
        <v>74</v>
      </c>
      <c r="E5921" t="s">
        <v>81</v>
      </c>
      <c r="F5921" s="55">
        <v>95</v>
      </c>
      <c r="G5921" s="63">
        <v>8.5400000000000004E-2</v>
      </c>
    </row>
    <row r="5922" spans="1:7" x14ac:dyDescent="0.2">
      <c r="A5922" t="s">
        <v>71</v>
      </c>
      <c r="B5922" t="s">
        <v>16</v>
      </c>
      <c r="C5922" t="s">
        <v>204</v>
      </c>
      <c r="D5922" t="s">
        <v>74</v>
      </c>
      <c r="E5922" t="s">
        <v>82</v>
      </c>
      <c r="F5922" s="55">
        <v>100</v>
      </c>
      <c r="G5922" s="63">
        <v>0.17460000000000001</v>
      </c>
    </row>
    <row r="5923" spans="1:7" x14ac:dyDescent="0.2">
      <c r="A5923" t="s">
        <v>71</v>
      </c>
      <c r="B5923" t="s">
        <v>16</v>
      </c>
      <c r="C5923" t="s">
        <v>204</v>
      </c>
      <c r="D5923" t="s">
        <v>74</v>
      </c>
      <c r="E5923" t="s">
        <v>83</v>
      </c>
      <c r="F5923" s="55">
        <v>102</v>
      </c>
      <c r="G5923" s="63">
        <v>3.8800000000000001E-2</v>
      </c>
    </row>
    <row r="5924" spans="1:7" x14ac:dyDescent="0.2">
      <c r="A5924" t="s">
        <v>71</v>
      </c>
      <c r="B5924" t="s">
        <v>16</v>
      </c>
      <c r="C5924" t="s">
        <v>204</v>
      </c>
      <c r="D5924" t="s">
        <v>74</v>
      </c>
      <c r="E5924" t="s">
        <v>84</v>
      </c>
      <c r="F5924" s="55">
        <v>100</v>
      </c>
      <c r="G5924" s="63">
        <v>8.6300000000000002E-2</v>
      </c>
    </row>
    <row r="5925" spans="1:7" x14ac:dyDescent="0.2">
      <c r="A5925" t="s">
        <v>71</v>
      </c>
      <c r="B5925" t="s">
        <v>16</v>
      </c>
      <c r="C5925" t="s">
        <v>204</v>
      </c>
      <c r="D5925" t="s">
        <v>74</v>
      </c>
      <c r="E5925" t="s">
        <v>85</v>
      </c>
      <c r="F5925" s="55">
        <v>94</v>
      </c>
      <c r="G5925" s="63">
        <v>0.1</v>
      </c>
    </row>
    <row r="5926" spans="1:7" x14ac:dyDescent="0.2">
      <c r="A5926" t="s">
        <v>71</v>
      </c>
      <c r="B5926" t="s">
        <v>16</v>
      </c>
      <c r="C5926" t="s">
        <v>204</v>
      </c>
      <c r="D5926" t="s">
        <v>74</v>
      </c>
      <c r="E5926" t="s">
        <v>86</v>
      </c>
      <c r="F5926" s="55">
        <v>93</v>
      </c>
      <c r="G5926" s="63">
        <v>0.12520000000000001</v>
      </c>
    </row>
    <row r="5927" spans="1:7" x14ac:dyDescent="0.2">
      <c r="A5927" t="s">
        <v>71</v>
      </c>
      <c r="B5927" t="s">
        <v>16</v>
      </c>
      <c r="C5927" t="s">
        <v>204</v>
      </c>
      <c r="D5927" t="s">
        <v>74</v>
      </c>
      <c r="E5927" t="s">
        <v>87</v>
      </c>
      <c r="F5927" s="55">
        <v>91</v>
      </c>
      <c r="G5927" s="63">
        <v>0.14799999999999999</v>
      </c>
    </row>
    <row r="5928" spans="1:7" x14ac:dyDescent="0.2">
      <c r="A5928" t="s">
        <v>71</v>
      </c>
      <c r="B5928" t="s">
        <v>16</v>
      </c>
      <c r="C5928" t="s">
        <v>204</v>
      </c>
      <c r="D5928" t="s">
        <v>74</v>
      </c>
      <c r="E5928" t="s">
        <v>88</v>
      </c>
      <c r="F5928" s="55">
        <v>102</v>
      </c>
      <c r="G5928" s="63">
        <v>7.1999999999999995E-2</v>
      </c>
    </row>
    <row r="5929" spans="1:7" x14ac:dyDescent="0.2">
      <c r="A5929" t="s">
        <v>89</v>
      </c>
      <c r="B5929" t="s">
        <v>171</v>
      </c>
      <c r="C5929" t="s">
        <v>204</v>
      </c>
      <c r="D5929" t="s">
        <v>91</v>
      </c>
      <c r="E5929" t="s">
        <v>75</v>
      </c>
      <c r="F5929" s="55">
        <v>119</v>
      </c>
      <c r="G5929" s="63">
        <v>0.52749999999999997</v>
      </c>
    </row>
    <row r="5930" spans="1:7" x14ac:dyDescent="0.2">
      <c r="A5930" t="s">
        <v>89</v>
      </c>
      <c r="B5930" t="s">
        <v>171</v>
      </c>
      <c r="C5930" t="s">
        <v>204</v>
      </c>
      <c r="D5930" t="s">
        <v>91</v>
      </c>
      <c r="E5930" t="s">
        <v>76</v>
      </c>
      <c r="F5930" s="55">
        <v>91</v>
      </c>
      <c r="G5930" s="63">
        <v>6.4199999999999993E-2</v>
      </c>
    </row>
    <row r="5931" spans="1:7" x14ac:dyDescent="0.2">
      <c r="A5931" t="s">
        <v>89</v>
      </c>
      <c r="B5931" t="s">
        <v>171</v>
      </c>
      <c r="C5931" t="s">
        <v>204</v>
      </c>
      <c r="D5931" t="s">
        <v>91</v>
      </c>
      <c r="E5931" t="s">
        <v>77</v>
      </c>
      <c r="F5931" s="55">
        <v>105</v>
      </c>
      <c r="G5931" s="63">
        <v>0.18759999999999999</v>
      </c>
    </row>
    <row r="5932" spans="1:7" x14ac:dyDescent="0.2">
      <c r="A5932" t="s">
        <v>89</v>
      </c>
      <c r="B5932" t="s">
        <v>171</v>
      </c>
      <c r="C5932" t="s">
        <v>204</v>
      </c>
      <c r="D5932" t="s">
        <v>91</v>
      </c>
      <c r="E5932" t="s">
        <v>78</v>
      </c>
      <c r="F5932" s="55">
        <v>123</v>
      </c>
      <c r="G5932" s="63">
        <v>0.22</v>
      </c>
    </row>
    <row r="5933" spans="1:7" x14ac:dyDescent="0.2">
      <c r="A5933" t="s">
        <v>89</v>
      </c>
      <c r="B5933" t="s">
        <v>171</v>
      </c>
      <c r="C5933" t="s">
        <v>204</v>
      </c>
      <c r="D5933" t="s">
        <v>91</v>
      </c>
      <c r="E5933" t="s">
        <v>79</v>
      </c>
      <c r="F5933" s="55">
        <v>123</v>
      </c>
      <c r="G5933" s="63">
        <v>0.39090000000000003</v>
      </c>
    </row>
    <row r="5934" spans="1:7" x14ac:dyDescent="0.2">
      <c r="A5934" t="s">
        <v>89</v>
      </c>
      <c r="B5934" t="s">
        <v>171</v>
      </c>
      <c r="C5934" t="s">
        <v>204</v>
      </c>
      <c r="D5934" t="s">
        <v>91</v>
      </c>
      <c r="E5934" t="s">
        <v>80</v>
      </c>
      <c r="F5934" s="55">
        <v>116</v>
      </c>
      <c r="G5934" s="63">
        <v>0.1163</v>
      </c>
    </row>
    <row r="5935" spans="1:7" x14ac:dyDescent="0.2">
      <c r="A5935" t="s">
        <v>89</v>
      </c>
      <c r="B5935" t="s">
        <v>171</v>
      </c>
      <c r="C5935" t="s">
        <v>204</v>
      </c>
      <c r="D5935" t="s">
        <v>91</v>
      </c>
      <c r="E5935" t="s">
        <v>81</v>
      </c>
      <c r="F5935" s="55">
        <v>117</v>
      </c>
      <c r="G5935" s="63">
        <v>0.11940000000000001</v>
      </c>
    </row>
    <row r="5936" spans="1:7" x14ac:dyDescent="0.2">
      <c r="A5936" t="s">
        <v>89</v>
      </c>
      <c r="B5936" t="s">
        <v>171</v>
      </c>
      <c r="C5936" t="s">
        <v>204</v>
      </c>
      <c r="D5936" t="s">
        <v>91</v>
      </c>
      <c r="E5936" t="s">
        <v>82</v>
      </c>
      <c r="F5936" s="55">
        <v>114</v>
      </c>
      <c r="G5936" s="63">
        <v>0.31009999999999999</v>
      </c>
    </row>
    <row r="5937" spans="1:7" x14ac:dyDescent="0.2">
      <c r="A5937" t="s">
        <v>89</v>
      </c>
      <c r="B5937" t="s">
        <v>171</v>
      </c>
      <c r="C5937" t="s">
        <v>204</v>
      </c>
      <c r="D5937" t="s">
        <v>91</v>
      </c>
      <c r="E5937" t="s">
        <v>83</v>
      </c>
      <c r="F5937" s="55">
        <v>117</v>
      </c>
      <c r="G5937" s="63">
        <v>5.7599999999999998E-2</v>
      </c>
    </row>
    <row r="5938" spans="1:7" x14ac:dyDescent="0.2">
      <c r="A5938" t="s">
        <v>89</v>
      </c>
      <c r="B5938" t="s">
        <v>171</v>
      </c>
      <c r="C5938" t="s">
        <v>204</v>
      </c>
      <c r="D5938" t="s">
        <v>91</v>
      </c>
      <c r="E5938" t="s">
        <v>84</v>
      </c>
      <c r="F5938" s="55">
        <v>117</v>
      </c>
      <c r="G5938" s="63">
        <v>0.1676</v>
      </c>
    </row>
    <row r="5939" spans="1:7" x14ac:dyDescent="0.2">
      <c r="A5939" t="s">
        <v>89</v>
      </c>
      <c r="B5939" t="s">
        <v>171</v>
      </c>
      <c r="C5939" t="s">
        <v>204</v>
      </c>
      <c r="D5939" t="s">
        <v>91</v>
      </c>
      <c r="E5939" t="s">
        <v>85</v>
      </c>
      <c r="F5939" s="55">
        <v>119</v>
      </c>
      <c r="G5939" s="63">
        <v>0.14460000000000001</v>
      </c>
    </row>
    <row r="5940" spans="1:7" x14ac:dyDescent="0.2">
      <c r="A5940" t="s">
        <v>89</v>
      </c>
      <c r="B5940" t="s">
        <v>171</v>
      </c>
      <c r="C5940" t="s">
        <v>204</v>
      </c>
      <c r="D5940" t="s">
        <v>91</v>
      </c>
      <c r="E5940" t="s">
        <v>86</v>
      </c>
      <c r="F5940" s="55">
        <v>123</v>
      </c>
      <c r="G5940" s="63">
        <v>0.19239999999999999</v>
      </c>
    </row>
    <row r="5941" spans="1:7" x14ac:dyDescent="0.2">
      <c r="A5941" t="s">
        <v>89</v>
      </c>
      <c r="B5941" t="s">
        <v>171</v>
      </c>
      <c r="C5941" t="s">
        <v>204</v>
      </c>
      <c r="D5941" t="s">
        <v>91</v>
      </c>
      <c r="E5941" t="s">
        <v>87</v>
      </c>
      <c r="F5941" s="55">
        <v>126</v>
      </c>
      <c r="G5941" s="63">
        <v>0.2409</v>
      </c>
    </row>
    <row r="5942" spans="1:7" x14ac:dyDescent="0.2">
      <c r="A5942" t="s">
        <v>89</v>
      </c>
      <c r="B5942" t="s">
        <v>171</v>
      </c>
      <c r="C5942" t="s">
        <v>204</v>
      </c>
      <c r="D5942" t="s">
        <v>91</v>
      </c>
      <c r="E5942" t="s">
        <v>88</v>
      </c>
      <c r="F5942" s="55">
        <v>102</v>
      </c>
      <c r="G5942" s="63">
        <v>0.1183</v>
      </c>
    </row>
    <row r="5943" spans="1:7" x14ac:dyDescent="0.2">
      <c r="A5943" t="s">
        <v>89</v>
      </c>
      <c r="B5943" t="s">
        <v>172</v>
      </c>
      <c r="C5943" t="s">
        <v>204</v>
      </c>
      <c r="D5943" t="s">
        <v>74</v>
      </c>
      <c r="E5943" t="s">
        <v>75</v>
      </c>
      <c r="F5943" s="55">
        <v>112</v>
      </c>
      <c r="G5943" s="63">
        <v>9.9000000000000005E-2</v>
      </c>
    </row>
    <row r="5944" spans="1:7" x14ac:dyDescent="0.2">
      <c r="A5944" t="s">
        <v>89</v>
      </c>
      <c r="B5944" t="s">
        <v>172</v>
      </c>
      <c r="C5944" t="s">
        <v>204</v>
      </c>
      <c r="D5944" t="s">
        <v>74</v>
      </c>
      <c r="E5944" t="s">
        <v>76</v>
      </c>
      <c r="F5944" s="55">
        <v>116</v>
      </c>
      <c r="G5944" s="63">
        <v>1.5100000000000001E-2</v>
      </c>
    </row>
    <row r="5945" spans="1:7" x14ac:dyDescent="0.2">
      <c r="A5945" t="s">
        <v>89</v>
      </c>
      <c r="B5945" t="s">
        <v>172</v>
      </c>
      <c r="C5945" t="s">
        <v>204</v>
      </c>
      <c r="D5945" t="s">
        <v>74</v>
      </c>
      <c r="E5945" t="s">
        <v>77</v>
      </c>
      <c r="F5945" s="55">
        <v>115</v>
      </c>
      <c r="G5945" s="63">
        <v>3.5299999999999998E-2</v>
      </c>
    </row>
    <row r="5946" spans="1:7" x14ac:dyDescent="0.2">
      <c r="A5946" t="s">
        <v>89</v>
      </c>
      <c r="B5946" t="s">
        <v>172</v>
      </c>
      <c r="C5946" t="s">
        <v>204</v>
      </c>
      <c r="D5946" t="s">
        <v>74</v>
      </c>
      <c r="E5946" t="s">
        <v>78</v>
      </c>
      <c r="F5946" s="55">
        <v>116</v>
      </c>
      <c r="G5946" s="63">
        <v>3.1099999999999999E-2</v>
      </c>
    </row>
    <row r="5947" spans="1:7" x14ac:dyDescent="0.2">
      <c r="A5947" t="s">
        <v>89</v>
      </c>
      <c r="B5947" t="s">
        <v>172</v>
      </c>
      <c r="C5947" t="s">
        <v>204</v>
      </c>
      <c r="D5947" t="s">
        <v>74</v>
      </c>
      <c r="E5947" t="s">
        <v>79</v>
      </c>
      <c r="F5947" s="55">
        <v>111</v>
      </c>
      <c r="G5947" s="63">
        <v>5.5300000000000002E-2</v>
      </c>
    </row>
    <row r="5948" spans="1:7" x14ac:dyDescent="0.2">
      <c r="A5948" t="s">
        <v>89</v>
      </c>
      <c r="B5948" t="s">
        <v>172</v>
      </c>
      <c r="C5948" t="s">
        <v>204</v>
      </c>
      <c r="D5948" t="s">
        <v>74</v>
      </c>
      <c r="E5948" t="s">
        <v>80</v>
      </c>
      <c r="F5948" s="55">
        <v>106</v>
      </c>
      <c r="G5948" s="63">
        <v>1.8700000000000001E-2</v>
      </c>
    </row>
    <row r="5949" spans="1:7" x14ac:dyDescent="0.2">
      <c r="A5949" t="s">
        <v>89</v>
      </c>
      <c r="B5949" t="s">
        <v>172</v>
      </c>
      <c r="C5949" t="s">
        <v>204</v>
      </c>
      <c r="D5949" t="s">
        <v>74</v>
      </c>
      <c r="E5949" t="s">
        <v>81</v>
      </c>
      <c r="F5949" s="55">
        <v>110</v>
      </c>
      <c r="G5949" s="63">
        <v>2.1000000000000001E-2</v>
      </c>
    </row>
    <row r="5950" spans="1:7" x14ac:dyDescent="0.2">
      <c r="A5950" t="s">
        <v>89</v>
      </c>
      <c r="B5950" t="s">
        <v>172</v>
      </c>
      <c r="C5950" t="s">
        <v>204</v>
      </c>
      <c r="D5950" t="s">
        <v>74</v>
      </c>
      <c r="E5950" t="s">
        <v>82</v>
      </c>
      <c r="F5950" s="55">
        <v>112</v>
      </c>
      <c r="G5950" s="63">
        <v>5.0299999999999997E-2</v>
      </c>
    </row>
    <row r="5951" spans="1:7" x14ac:dyDescent="0.2">
      <c r="A5951" t="s">
        <v>89</v>
      </c>
      <c r="B5951" t="s">
        <v>172</v>
      </c>
      <c r="C5951" t="s">
        <v>204</v>
      </c>
      <c r="D5951" t="s">
        <v>74</v>
      </c>
      <c r="E5951" t="s">
        <v>83</v>
      </c>
      <c r="F5951" s="55">
        <v>113</v>
      </c>
      <c r="G5951" s="63">
        <v>1.2500000000000001E-2</v>
      </c>
    </row>
    <row r="5952" spans="1:7" x14ac:dyDescent="0.2">
      <c r="A5952" t="s">
        <v>89</v>
      </c>
      <c r="B5952" t="s">
        <v>172</v>
      </c>
      <c r="C5952" t="s">
        <v>204</v>
      </c>
      <c r="D5952" t="s">
        <v>74</v>
      </c>
      <c r="E5952" t="s">
        <v>84</v>
      </c>
      <c r="F5952" s="55">
        <v>117</v>
      </c>
      <c r="G5952" s="63">
        <v>2.58E-2</v>
      </c>
    </row>
    <row r="5953" spans="1:7" x14ac:dyDescent="0.2">
      <c r="A5953" t="s">
        <v>89</v>
      </c>
      <c r="B5953" t="s">
        <v>172</v>
      </c>
      <c r="C5953" t="s">
        <v>204</v>
      </c>
      <c r="D5953" t="s">
        <v>74</v>
      </c>
      <c r="E5953" t="s">
        <v>85</v>
      </c>
      <c r="F5953" s="55">
        <v>109</v>
      </c>
      <c r="G5953" s="63">
        <v>1.8499999999999999E-2</v>
      </c>
    </row>
    <row r="5954" spans="1:7" x14ac:dyDescent="0.2">
      <c r="A5954" t="s">
        <v>89</v>
      </c>
      <c r="B5954" t="s">
        <v>172</v>
      </c>
      <c r="C5954" t="s">
        <v>204</v>
      </c>
      <c r="D5954" t="s">
        <v>74</v>
      </c>
      <c r="E5954" t="s">
        <v>86</v>
      </c>
      <c r="F5954" s="55">
        <v>107</v>
      </c>
      <c r="G5954" s="63">
        <v>2.24E-2</v>
      </c>
    </row>
    <row r="5955" spans="1:7" x14ac:dyDescent="0.2">
      <c r="A5955" t="s">
        <v>89</v>
      </c>
      <c r="B5955" t="s">
        <v>172</v>
      </c>
      <c r="C5955" t="s">
        <v>204</v>
      </c>
      <c r="D5955" t="s">
        <v>74</v>
      </c>
      <c r="E5955" t="s">
        <v>87</v>
      </c>
      <c r="F5955" s="55">
        <v>113</v>
      </c>
      <c r="G5955" s="63">
        <v>2.63E-2</v>
      </c>
    </row>
    <row r="5956" spans="1:7" x14ac:dyDescent="0.2">
      <c r="A5956" t="s">
        <v>89</v>
      </c>
      <c r="B5956" t="s">
        <v>172</v>
      </c>
      <c r="C5956" t="s">
        <v>204</v>
      </c>
      <c r="D5956" t="s">
        <v>74</v>
      </c>
      <c r="E5956" t="s">
        <v>88</v>
      </c>
      <c r="F5956" s="55">
        <v>117</v>
      </c>
      <c r="G5956" s="63">
        <v>2.35E-2</v>
      </c>
    </row>
    <row r="5957" spans="1:7" x14ac:dyDescent="0.2">
      <c r="A5957" t="s">
        <v>89</v>
      </c>
      <c r="B5957" t="s">
        <v>173</v>
      </c>
      <c r="C5957" t="s">
        <v>204</v>
      </c>
      <c r="D5957" t="s">
        <v>74</v>
      </c>
      <c r="E5957" t="s">
        <v>75</v>
      </c>
      <c r="F5957" s="55">
        <v>109</v>
      </c>
      <c r="G5957" s="63">
        <v>8.8900000000000007E-2</v>
      </c>
    </row>
    <row r="5958" spans="1:7" x14ac:dyDescent="0.2">
      <c r="A5958" t="s">
        <v>89</v>
      </c>
      <c r="B5958" t="s">
        <v>173</v>
      </c>
      <c r="C5958" t="s">
        <v>204</v>
      </c>
      <c r="D5958" t="s">
        <v>74</v>
      </c>
      <c r="E5958" t="s">
        <v>76</v>
      </c>
      <c r="F5958" s="55">
        <v>114</v>
      </c>
      <c r="G5958" s="63">
        <v>3.5000000000000001E-3</v>
      </c>
    </row>
    <row r="5959" spans="1:7" x14ac:dyDescent="0.2">
      <c r="A5959" t="s">
        <v>89</v>
      </c>
      <c r="B5959" t="s">
        <v>173</v>
      </c>
      <c r="C5959" t="s">
        <v>204</v>
      </c>
      <c r="D5959" t="s">
        <v>74</v>
      </c>
      <c r="E5959" t="s">
        <v>77</v>
      </c>
      <c r="F5959" s="55">
        <v>108</v>
      </c>
      <c r="G5959" s="63">
        <v>2.75E-2</v>
      </c>
    </row>
    <row r="5960" spans="1:7" x14ac:dyDescent="0.2">
      <c r="A5960" t="s">
        <v>89</v>
      </c>
      <c r="B5960" t="s">
        <v>173</v>
      </c>
      <c r="C5960" t="s">
        <v>204</v>
      </c>
      <c r="D5960" t="s">
        <v>74</v>
      </c>
      <c r="E5960" t="s">
        <v>78</v>
      </c>
      <c r="F5960" s="55">
        <v>111</v>
      </c>
      <c r="G5960" s="63">
        <v>2.4500000000000001E-2</v>
      </c>
    </row>
    <row r="5961" spans="1:7" x14ac:dyDescent="0.2">
      <c r="A5961" t="s">
        <v>89</v>
      </c>
      <c r="B5961" t="s">
        <v>173</v>
      </c>
      <c r="C5961" t="s">
        <v>204</v>
      </c>
      <c r="D5961" t="s">
        <v>74</v>
      </c>
      <c r="E5961" t="s">
        <v>79</v>
      </c>
      <c r="F5961" s="55">
        <v>110</v>
      </c>
      <c r="G5961" s="63">
        <v>5.7099999999999998E-2</v>
      </c>
    </row>
    <row r="5962" spans="1:7" x14ac:dyDescent="0.2">
      <c r="A5962" t="s">
        <v>89</v>
      </c>
      <c r="B5962" t="s">
        <v>173</v>
      </c>
      <c r="C5962" t="s">
        <v>204</v>
      </c>
      <c r="D5962" t="s">
        <v>74</v>
      </c>
      <c r="E5962" t="s">
        <v>80</v>
      </c>
      <c r="F5962" s="55">
        <v>108</v>
      </c>
      <c r="G5962" s="63">
        <v>3.7699999999999997E-2</v>
      </c>
    </row>
    <row r="5963" spans="1:7" x14ac:dyDescent="0.2">
      <c r="A5963" t="s">
        <v>89</v>
      </c>
      <c r="B5963" t="s">
        <v>173</v>
      </c>
      <c r="C5963" t="s">
        <v>204</v>
      </c>
      <c r="D5963" t="s">
        <v>74</v>
      </c>
      <c r="E5963" t="s">
        <v>81</v>
      </c>
      <c r="F5963" s="55">
        <v>108</v>
      </c>
      <c r="G5963" s="63">
        <v>3.1899999999999998E-2</v>
      </c>
    </row>
    <row r="5964" spans="1:7" x14ac:dyDescent="0.2">
      <c r="A5964" t="s">
        <v>89</v>
      </c>
      <c r="B5964" t="s">
        <v>173</v>
      </c>
      <c r="C5964" t="s">
        <v>204</v>
      </c>
      <c r="D5964" t="s">
        <v>74</v>
      </c>
      <c r="E5964" t="s">
        <v>82</v>
      </c>
      <c r="F5964" s="55">
        <v>108</v>
      </c>
      <c r="G5964" s="63">
        <v>3.5400000000000001E-2</v>
      </c>
    </row>
    <row r="5965" spans="1:7" x14ac:dyDescent="0.2">
      <c r="A5965" t="s">
        <v>89</v>
      </c>
      <c r="B5965" t="s">
        <v>173</v>
      </c>
      <c r="C5965" t="s">
        <v>204</v>
      </c>
      <c r="D5965" t="s">
        <v>74</v>
      </c>
      <c r="E5965" t="s">
        <v>83</v>
      </c>
      <c r="F5965" s="55">
        <v>113</v>
      </c>
      <c r="G5965" s="63">
        <v>5.1999999999999998E-3</v>
      </c>
    </row>
    <row r="5966" spans="1:7" x14ac:dyDescent="0.2">
      <c r="A5966" t="s">
        <v>89</v>
      </c>
      <c r="B5966" t="s">
        <v>173</v>
      </c>
      <c r="C5966" t="s">
        <v>204</v>
      </c>
      <c r="D5966" t="s">
        <v>74</v>
      </c>
      <c r="E5966" t="s">
        <v>84</v>
      </c>
      <c r="F5966" s="55">
        <v>114</v>
      </c>
      <c r="G5966" s="63">
        <v>2.07E-2</v>
      </c>
    </row>
    <row r="5967" spans="1:7" x14ac:dyDescent="0.2">
      <c r="A5967" t="s">
        <v>89</v>
      </c>
      <c r="B5967" t="s">
        <v>173</v>
      </c>
      <c r="C5967" t="s">
        <v>204</v>
      </c>
      <c r="D5967" t="s">
        <v>74</v>
      </c>
      <c r="E5967" t="s">
        <v>85</v>
      </c>
      <c r="F5967" s="55">
        <v>111</v>
      </c>
      <c r="G5967" s="63">
        <v>3.44E-2</v>
      </c>
    </row>
    <row r="5968" spans="1:7" x14ac:dyDescent="0.2">
      <c r="A5968" t="s">
        <v>89</v>
      </c>
      <c r="B5968" t="s">
        <v>173</v>
      </c>
      <c r="C5968" t="s">
        <v>204</v>
      </c>
      <c r="D5968" t="s">
        <v>74</v>
      </c>
      <c r="E5968" t="s">
        <v>86</v>
      </c>
      <c r="F5968" s="55">
        <v>110</v>
      </c>
      <c r="G5968" s="63">
        <v>3.2300000000000002E-2</v>
      </c>
    </row>
    <row r="5969" spans="1:7" x14ac:dyDescent="0.2">
      <c r="A5969" t="s">
        <v>89</v>
      </c>
      <c r="B5969" t="s">
        <v>173</v>
      </c>
      <c r="C5969" t="s">
        <v>204</v>
      </c>
      <c r="D5969" t="s">
        <v>74</v>
      </c>
      <c r="E5969" t="s">
        <v>87</v>
      </c>
      <c r="F5969" s="55">
        <v>112</v>
      </c>
      <c r="G5969" s="63">
        <v>3.0800000000000001E-2</v>
      </c>
    </row>
    <row r="5970" spans="1:7" x14ac:dyDescent="0.2">
      <c r="A5970" t="s">
        <v>89</v>
      </c>
      <c r="B5970" t="s">
        <v>173</v>
      </c>
      <c r="C5970" t="s">
        <v>204</v>
      </c>
      <c r="D5970" t="s">
        <v>74</v>
      </c>
      <c r="E5970" t="s">
        <v>88</v>
      </c>
      <c r="F5970" s="55">
        <v>107</v>
      </c>
      <c r="G5970" s="63">
        <v>9.4000000000000004E-3</v>
      </c>
    </row>
    <row r="5971" spans="1:7" x14ac:dyDescent="0.2">
      <c r="A5971" t="s">
        <v>71</v>
      </c>
      <c r="B5971" t="s">
        <v>174</v>
      </c>
      <c r="C5971" t="s">
        <v>204</v>
      </c>
      <c r="D5971" t="s">
        <v>74</v>
      </c>
      <c r="E5971" t="s">
        <v>75</v>
      </c>
      <c r="F5971" s="55">
        <v>124</v>
      </c>
      <c r="G5971" s="63">
        <v>0.10979999999999999</v>
      </c>
    </row>
    <row r="5972" spans="1:7" x14ac:dyDescent="0.2">
      <c r="A5972" t="s">
        <v>71</v>
      </c>
      <c r="B5972" t="s">
        <v>174</v>
      </c>
      <c r="C5972" t="s">
        <v>204</v>
      </c>
      <c r="D5972" t="s">
        <v>74</v>
      </c>
      <c r="E5972" t="s">
        <v>76</v>
      </c>
      <c r="F5972" s="55">
        <v>130</v>
      </c>
      <c r="G5972" s="63">
        <v>1.18E-2</v>
      </c>
    </row>
    <row r="5973" spans="1:7" x14ac:dyDescent="0.2">
      <c r="A5973" t="s">
        <v>71</v>
      </c>
      <c r="B5973" t="s">
        <v>174</v>
      </c>
      <c r="C5973" t="s">
        <v>204</v>
      </c>
      <c r="D5973" t="s">
        <v>74</v>
      </c>
      <c r="E5973" t="s">
        <v>77</v>
      </c>
      <c r="F5973" s="55">
        <v>123</v>
      </c>
      <c r="G5973" s="63">
        <v>3.5900000000000001E-2</v>
      </c>
    </row>
    <row r="5974" spans="1:7" x14ac:dyDescent="0.2">
      <c r="A5974" t="s">
        <v>71</v>
      </c>
      <c r="B5974" t="s">
        <v>174</v>
      </c>
      <c r="C5974" t="s">
        <v>204</v>
      </c>
      <c r="D5974" t="s">
        <v>74</v>
      </c>
      <c r="E5974" t="s">
        <v>78</v>
      </c>
      <c r="F5974" s="55">
        <v>124</v>
      </c>
      <c r="G5974" s="63">
        <v>3.1199999999999999E-2</v>
      </c>
    </row>
    <row r="5975" spans="1:7" x14ac:dyDescent="0.2">
      <c r="A5975" t="s">
        <v>71</v>
      </c>
      <c r="B5975" t="s">
        <v>174</v>
      </c>
      <c r="C5975" t="s">
        <v>204</v>
      </c>
      <c r="D5975" t="s">
        <v>74</v>
      </c>
      <c r="E5975" t="s">
        <v>79</v>
      </c>
      <c r="F5975" s="55">
        <v>130</v>
      </c>
      <c r="G5975" s="63">
        <v>7.1900000000000006E-2</v>
      </c>
    </row>
    <row r="5976" spans="1:7" x14ac:dyDescent="0.2">
      <c r="A5976" t="s">
        <v>71</v>
      </c>
      <c r="B5976" t="s">
        <v>174</v>
      </c>
      <c r="C5976" t="s">
        <v>204</v>
      </c>
      <c r="D5976" t="s">
        <v>74</v>
      </c>
      <c r="E5976" t="s">
        <v>80</v>
      </c>
      <c r="F5976" s="55">
        <v>125</v>
      </c>
      <c r="G5976" s="63">
        <v>4.3700000000000003E-2</v>
      </c>
    </row>
    <row r="5977" spans="1:7" x14ac:dyDescent="0.2">
      <c r="A5977" t="s">
        <v>71</v>
      </c>
      <c r="B5977" t="s">
        <v>174</v>
      </c>
      <c r="C5977" t="s">
        <v>204</v>
      </c>
      <c r="D5977" t="s">
        <v>74</v>
      </c>
      <c r="E5977" t="s">
        <v>81</v>
      </c>
      <c r="F5977" s="55">
        <v>120</v>
      </c>
      <c r="G5977" s="63">
        <v>4.24E-2</v>
      </c>
    </row>
    <row r="5978" spans="1:7" x14ac:dyDescent="0.2">
      <c r="A5978" t="s">
        <v>71</v>
      </c>
      <c r="B5978" t="s">
        <v>174</v>
      </c>
      <c r="C5978" t="s">
        <v>204</v>
      </c>
      <c r="D5978" t="s">
        <v>74</v>
      </c>
      <c r="E5978" t="s">
        <v>82</v>
      </c>
      <c r="F5978" s="55">
        <v>115</v>
      </c>
      <c r="G5978" s="63">
        <v>4.53E-2</v>
      </c>
    </row>
    <row r="5979" spans="1:7" x14ac:dyDescent="0.2">
      <c r="A5979" t="s">
        <v>71</v>
      </c>
      <c r="B5979" t="s">
        <v>174</v>
      </c>
      <c r="C5979" t="s">
        <v>204</v>
      </c>
      <c r="D5979" t="s">
        <v>74</v>
      </c>
      <c r="E5979" t="s">
        <v>83</v>
      </c>
      <c r="F5979" s="55">
        <v>130</v>
      </c>
      <c r="G5979" s="63">
        <v>1.5100000000000001E-2</v>
      </c>
    </row>
    <row r="5980" spans="1:7" x14ac:dyDescent="0.2">
      <c r="A5980" t="s">
        <v>71</v>
      </c>
      <c r="B5980" t="s">
        <v>174</v>
      </c>
      <c r="C5980" t="s">
        <v>204</v>
      </c>
      <c r="D5980" t="s">
        <v>74</v>
      </c>
      <c r="E5980" t="s">
        <v>84</v>
      </c>
      <c r="F5980" s="55">
        <v>125</v>
      </c>
      <c r="G5980" s="63">
        <v>2.5000000000000001E-2</v>
      </c>
    </row>
    <row r="5981" spans="1:7" x14ac:dyDescent="0.2">
      <c r="A5981" t="s">
        <v>71</v>
      </c>
      <c r="B5981" t="s">
        <v>174</v>
      </c>
      <c r="C5981" t="s">
        <v>204</v>
      </c>
      <c r="D5981" t="s">
        <v>74</v>
      </c>
      <c r="E5981" t="s">
        <v>85</v>
      </c>
      <c r="F5981" s="55">
        <v>134</v>
      </c>
      <c r="G5981" s="63">
        <v>3.9699999999999999E-2</v>
      </c>
    </row>
    <row r="5982" spans="1:7" x14ac:dyDescent="0.2">
      <c r="A5982" t="s">
        <v>71</v>
      </c>
      <c r="B5982" t="s">
        <v>174</v>
      </c>
      <c r="C5982" t="s">
        <v>204</v>
      </c>
      <c r="D5982" t="s">
        <v>74</v>
      </c>
      <c r="E5982" t="s">
        <v>86</v>
      </c>
      <c r="F5982" s="55">
        <v>131</v>
      </c>
      <c r="G5982" s="63">
        <v>3.6600000000000001E-2</v>
      </c>
    </row>
    <row r="5983" spans="1:7" x14ac:dyDescent="0.2">
      <c r="A5983" t="s">
        <v>71</v>
      </c>
      <c r="B5983" t="s">
        <v>174</v>
      </c>
      <c r="C5983" t="s">
        <v>204</v>
      </c>
      <c r="D5983" t="s">
        <v>74</v>
      </c>
      <c r="E5983" t="s">
        <v>87</v>
      </c>
      <c r="F5983" s="55">
        <v>128</v>
      </c>
      <c r="G5983" s="63">
        <v>3.4200000000000001E-2</v>
      </c>
    </row>
    <row r="5984" spans="1:7" x14ac:dyDescent="0.2">
      <c r="A5984" t="s">
        <v>71</v>
      </c>
      <c r="B5984" t="s">
        <v>174</v>
      </c>
      <c r="C5984" t="s">
        <v>204</v>
      </c>
      <c r="D5984" t="s">
        <v>74</v>
      </c>
      <c r="E5984" t="s">
        <v>88</v>
      </c>
      <c r="F5984" s="55">
        <v>128</v>
      </c>
      <c r="G5984" s="63">
        <v>1.9E-2</v>
      </c>
    </row>
    <row r="5985" spans="1:7" x14ac:dyDescent="0.2">
      <c r="A5985" t="s">
        <v>71</v>
      </c>
      <c r="B5985" t="s">
        <v>17</v>
      </c>
      <c r="C5985" t="s">
        <v>204</v>
      </c>
      <c r="D5985" t="s">
        <v>74</v>
      </c>
      <c r="E5985" t="s">
        <v>75</v>
      </c>
      <c r="F5985" s="55">
        <v>110</v>
      </c>
      <c r="G5985" s="63">
        <v>8.9599999999999999E-2</v>
      </c>
    </row>
    <row r="5986" spans="1:7" x14ac:dyDescent="0.2">
      <c r="A5986" t="s">
        <v>71</v>
      </c>
      <c r="B5986" t="s">
        <v>17</v>
      </c>
      <c r="C5986" t="s">
        <v>204</v>
      </c>
      <c r="D5986" t="s">
        <v>74</v>
      </c>
      <c r="E5986" t="s">
        <v>76</v>
      </c>
      <c r="F5986" s="55">
        <v>85</v>
      </c>
      <c r="G5986" s="63">
        <v>4.1999999999999997E-3</v>
      </c>
    </row>
    <row r="5987" spans="1:7" x14ac:dyDescent="0.2">
      <c r="A5987" t="s">
        <v>71</v>
      </c>
      <c r="B5987" t="s">
        <v>17</v>
      </c>
      <c r="C5987" t="s">
        <v>204</v>
      </c>
      <c r="D5987" t="s">
        <v>74</v>
      </c>
      <c r="E5987" t="s">
        <v>77</v>
      </c>
      <c r="F5987" s="55">
        <v>92</v>
      </c>
      <c r="G5987" s="63">
        <v>0.02</v>
      </c>
    </row>
    <row r="5988" spans="1:7" x14ac:dyDescent="0.2">
      <c r="A5988" t="s">
        <v>71</v>
      </c>
      <c r="B5988" t="s">
        <v>17</v>
      </c>
      <c r="C5988" t="s">
        <v>204</v>
      </c>
      <c r="D5988" t="s">
        <v>74</v>
      </c>
      <c r="E5988" t="s">
        <v>78</v>
      </c>
      <c r="F5988" s="55">
        <v>110</v>
      </c>
      <c r="G5988" s="63">
        <v>1.5800000000000002E-2</v>
      </c>
    </row>
    <row r="5989" spans="1:7" x14ac:dyDescent="0.2">
      <c r="A5989" t="s">
        <v>71</v>
      </c>
      <c r="B5989" t="s">
        <v>17</v>
      </c>
      <c r="C5989" t="s">
        <v>204</v>
      </c>
      <c r="D5989" t="s">
        <v>74</v>
      </c>
      <c r="E5989" t="s">
        <v>79</v>
      </c>
      <c r="F5989" s="55">
        <v>116</v>
      </c>
      <c r="G5989" s="63">
        <v>5.6000000000000001E-2</v>
      </c>
    </row>
    <row r="5990" spans="1:7" x14ac:dyDescent="0.2">
      <c r="A5990" t="s">
        <v>71</v>
      </c>
      <c r="B5990" t="s">
        <v>17</v>
      </c>
      <c r="C5990" t="s">
        <v>204</v>
      </c>
      <c r="D5990" t="s">
        <v>74</v>
      </c>
      <c r="E5990" t="s">
        <v>80</v>
      </c>
      <c r="F5990" s="55">
        <v>105</v>
      </c>
      <c r="G5990" s="63">
        <v>1.8499999999999999E-2</v>
      </c>
    </row>
    <row r="5991" spans="1:7" x14ac:dyDescent="0.2">
      <c r="A5991" t="s">
        <v>71</v>
      </c>
      <c r="B5991" t="s">
        <v>17</v>
      </c>
      <c r="C5991" t="s">
        <v>204</v>
      </c>
      <c r="D5991" t="s">
        <v>74</v>
      </c>
      <c r="E5991" t="s">
        <v>81</v>
      </c>
      <c r="F5991" s="55">
        <v>103</v>
      </c>
      <c r="G5991" s="63">
        <v>2.07E-2</v>
      </c>
    </row>
    <row r="5992" spans="1:7" x14ac:dyDescent="0.2">
      <c r="A5992" t="s">
        <v>71</v>
      </c>
      <c r="B5992" t="s">
        <v>17</v>
      </c>
      <c r="C5992" t="s">
        <v>204</v>
      </c>
      <c r="D5992" t="s">
        <v>74</v>
      </c>
      <c r="E5992" t="s">
        <v>82</v>
      </c>
      <c r="F5992" s="55">
        <v>110</v>
      </c>
      <c r="G5992" s="63">
        <v>2.93E-2</v>
      </c>
    </row>
    <row r="5993" spans="1:7" x14ac:dyDescent="0.2">
      <c r="A5993" t="s">
        <v>71</v>
      </c>
      <c r="B5993" t="s">
        <v>17</v>
      </c>
      <c r="C5993" t="s">
        <v>204</v>
      </c>
      <c r="D5993" t="s">
        <v>74</v>
      </c>
      <c r="E5993" t="s">
        <v>83</v>
      </c>
      <c r="F5993" s="55">
        <v>88</v>
      </c>
      <c r="G5993" s="63">
        <v>5.8999999999999999E-3</v>
      </c>
    </row>
    <row r="5994" spans="1:7" x14ac:dyDescent="0.2">
      <c r="A5994" t="s">
        <v>71</v>
      </c>
      <c r="B5994" t="s">
        <v>17</v>
      </c>
      <c r="C5994" t="s">
        <v>204</v>
      </c>
      <c r="D5994" t="s">
        <v>74</v>
      </c>
      <c r="E5994" t="s">
        <v>84</v>
      </c>
      <c r="F5994" s="55">
        <v>102</v>
      </c>
      <c r="G5994" s="63">
        <v>9.1999999999999998E-3</v>
      </c>
    </row>
    <row r="5995" spans="1:7" x14ac:dyDescent="0.2">
      <c r="A5995" t="s">
        <v>71</v>
      </c>
      <c r="B5995" t="s">
        <v>17</v>
      </c>
      <c r="C5995" t="s">
        <v>204</v>
      </c>
      <c r="D5995" t="s">
        <v>74</v>
      </c>
      <c r="E5995" t="s">
        <v>85</v>
      </c>
      <c r="F5995" s="55">
        <v>114</v>
      </c>
      <c r="G5995" s="63">
        <v>1.9E-2</v>
      </c>
    </row>
    <row r="5996" spans="1:7" x14ac:dyDescent="0.2">
      <c r="A5996" t="s">
        <v>71</v>
      </c>
      <c r="B5996" t="s">
        <v>17</v>
      </c>
      <c r="C5996" t="s">
        <v>204</v>
      </c>
      <c r="D5996" t="s">
        <v>74</v>
      </c>
      <c r="E5996" t="s">
        <v>86</v>
      </c>
      <c r="F5996" s="55">
        <v>115</v>
      </c>
      <c r="G5996" s="63">
        <v>2.29E-2</v>
      </c>
    </row>
    <row r="5997" spans="1:7" x14ac:dyDescent="0.2">
      <c r="A5997" t="s">
        <v>71</v>
      </c>
      <c r="B5997" t="s">
        <v>17</v>
      </c>
      <c r="C5997" t="s">
        <v>204</v>
      </c>
      <c r="D5997" t="s">
        <v>74</v>
      </c>
      <c r="E5997" t="s">
        <v>87</v>
      </c>
      <c r="F5997" s="55">
        <v>116</v>
      </c>
      <c r="G5997" s="63">
        <v>2.47E-2</v>
      </c>
    </row>
    <row r="5998" spans="1:7" x14ac:dyDescent="0.2">
      <c r="A5998" t="s">
        <v>71</v>
      </c>
      <c r="B5998" t="s">
        <v>17</v>
      </c>
      <c r="C5998" t="s">
        <v>204</v>
      </c>
      <c r="D5998" t="s">
        <v>74</v>
      </c>
      <c r="E5998" t="s">
        <v>88</v>
      </c>
      <c r="F5998" s="55">
        <v>92</v>
      </c>
      <c r="G5998" s="63">
        <v>7.3000000000000001E-3</v>
      </c>
    </row>
    <row r="5999" spans="1:7" x14ac:dyDescent="0.2">
      <c r="A5999" t="s">
        <v>89</v>
      </c>
      <c r="B5999" t="s">
        <v>175</v>
      </c>
      <c r="C5999" t="s">
        <v>204</v>
      </c>
      <c r="D5999" t="s">
        <v>74</v>
      </c>
      <c r="E5999" t="s">
        <v>75</v>
      </c>
      <c r="F5999" s="55">
        <v>115</v>
      </c>
      <c r="G5999" s="63">
        <v>0.1067</v>
      </c>
    </row>
    <row r="6000" spans="1:7" x14ac:dyDescent="0.2">
      <c r="A6000" t="s">
        <v>89</v>
      </c>
      <c r="B6000" t="s">
        <v>175</v>
      </c>
      <c r="C6000" t="s">
        <v>204</v>
      </c>
      <c r="D6000" t="s">
        <v>74</v>
      </c>
      <c r="E6000" t="s">
        <v>76</v>
      </c>
      <c r="F6000" s="55">
        <v>102</v>
      </c>
      <c r="G6000" s="63">
        <v>1.84E-2</v>
      </c>
    </row>
    <row r="6001" spans="1:7" x14ac:dyDescent="0.2">
      <c r="A6001" t="s">
        <v>89</v>
      </c>
      <c r="B6001" t="s">
        <v>175</v>
      </c>
      <c r="C6001" t="s">
        <v>204</v>
      </c>
      <c r="D6001" t="s">
        <v>74</v>
      </c>
      <c r="E6001" t="s">
        <v>77</v>
      </c>
      <c r="F6001" s="55">
        <v>115</v>
      </c>
      <c r="G6001" s="63">
        <v>4.4900000000000002E-2</v>
      </c>
    </row>
    <row r="6002" spans="1:7" x14ac:dyDescent="0.2">
      <c r="A6002" t="s">
        <v>89</v>
      </c>
      <c r="B6002" t="s">
        <v>175</v>
      </c>
      <c r="C6002" t="s">
        <v>204</v>
      </c>
      <c r="D6002" t="s">
        <v>74</v>
      </c>
      <c r="E6002" t="s">
        <v>78</v>
      </c>
      <c r="F6002" s="55">
        <v>115</v>
      </c>
      <c r="G6002" s="63">
        <v>4.2299999999999997E-2</v>
      </c>
    </row>
    <row r="6003" spans="1:7" x14ac:dyDescent="0.2">
      <c r="A6003" t="s">
        <v>89</v>
      </c>
      <c r="B6003" t="s">
        <v>175</v>
      </c>
      <c r="C6003" t="s">
        <v>204</v>
      </c>
      <c r="D6003" t="s">
        <v>74</v>
      </c>
      <c r="E6003" t="s">
        <v>79</v>
      </c>
      <c r="F6003" s="55">
        <v>119</v>
      </c>
      <c r="G6003" s="63">
        <v>7.1099999999999997E-2</v>
      </c>
    </row>
    <row r="6004" spans="1:7" x14ac:dyDescent="0.2">
      <c r="A6004" t="s">
        <v>89</v>
      </c>
      <c r="B6004" t="s">
        <v>175</v>
      </c>
      <c r="C6004" t="s">
        <v>204</v>
      </c>
      <c r="D6004" t="s">
        <v>74</v>
      </c>
      <c r="E6004" t="s">
        <v>80</v>
      </c>
      <c r="F6004" s="55">
        <v>116</v>
      </c>
      <c r="G6004" s="63">
        <v>2.1600000000000001E-2</v>
      </c>
    </row>
    <row r="6005" spans="1:7" x14ac:dyDescent="0.2">
      <c r="A6005" t="s">
        <v>89</v>
      </c>
      <c r="B6005" t="s">
        <v>175</v>
      </c>
      <c r="C6005" t="s">
        <v>204</v>
      </c>
      <c r="D6005" t="s">
        <v>74</v>
      </c>
      <c r="E6005" t="s">
        <v>81</v>
      </c>
      <c r="F6005" s="55">
        <v>116</v>
      </c>
      <c r="G6005" s="63">
        <v>2.1999999999999999E-2</v>
      </c>
    </row>
    <row r="6006" spans="1:7" x14ac:dyDescent="0.2">
      <c r="A6006" t="s">
        <v>89</v>
      </c>
      <c r="B6006" t="s">
        <v>175</v>
      </c>
      <c r="C6006" t="s">
        <v>204</v>
      </c>
      <c r="D6006" t="s">
        <v>74</v>
      </c>
      <c r="E6006" t="s">
        <v>82</v>
      </c>
      <c r="F6006" s="55">
        <v>113</v>
      </c>
      <c r="G6006" s="63">
        <v>4.9399999999999999E-2</v>
      </c>
    </row>
    <row r="6007" spans="1:7" x14ac:dyDescent="0.2">
      <c r="A6007" t="s">
        <v>89</v>
      </c>
      <c r="B6007" t="s">
        <v>175</v>
      </c>
      <c r="C6007" t="s">
        <v>204</v>
      </c>
      <c r="D6007" t="s">
        <v>74</v>
      </c>
      <c r="E6007" t="s">
        <v>83</v>
      </c>
      <c r="F6007" s="55">
        <v>112</v>
      </c>
      <c r="G6007" s="63">
        <v>1.18E-2</v>
      </c>
    </row>
    <row r="6008" spans="1:7" x14ac:dyDescent="0.2">
      <c r="A6008" t="s">
        <v>89</v>
      </c>
      <c r="B6008" t="s">
        <v>175</v>
      </c>
      <c r="C6008" t="s">
        <v>204</v>
      </c>
      <c r="D6008" t="s">
        <v>74</v>
      </c>
      <c r="E6008" t="s">
        <v>84</v>
      </c>
      <c r="F6008" s="55">
        <v>116</v>
      </c>
      <c r="G6008" s="63">
        <v>3.3599999999999998E-2</v>
      </c>
    </row>
    <row r="6009" spans="1:7" x14ac:dyDescent="0.2">
      <c r="A6009" t="s">
        <v>89</v>
      </c>
      <c r="B6009" t="s">
        <v>175</v>
      </c>
      <c r="C6009" t="s">
        <v>204</v>
      </c>
      <c r="D6009" t="s">
        <v>74</v>
      </c>
      <c r="E6009" t="s">
        <v>85</v>
      </c>
      <c r="F6009" s="55">
        <v>118</v>
      </c>
      <c r="G6009" s="63">
        <v>2.46E-2</v>
      </c>
    </row>
    <row r="6010" spans="1:7" x14ac:dyDescent="0.2">
      <c r="A6010" t="s">
        <v>89</v>
      </c>
      <c r="B6010" t="s">
        <v>175</v>
      </c>
      <c r="C6010" t="s">
        <v>204</v>
      </c>
      <c r="D6010" t="s">
        <v>74</v>
      </c>
      <c r="E6010" t="s">
        <v>86</v>
      </c>
      <c r="F6010" s="55">
        <v>118</v>
      </c>
      <c r="G6010" s="63">
        <v>3.2800000000000003E-2</v>
      </c>
    </row>
    <row r="6011" spans="1:7" x14ac:dyDescent="0.2">
      <c r="A6011" t="s">
        <v>89</v>
      </c>
      <c r="B6011" t="s">
        <v>175</v>
      </c>
      <c r="C6011" t="s">
        <v>204</v>
      </c>
      <c r="D6011" t="s">
        <v>74</v>
      </c>
      <c r="E6011" t="s">
        <v>87</v>
      </c>
      <c r="F6011" s="55">
        <v>120</v>
      </c>
      <c r="G6011" s="63">
        <v>3.8300000000000001E-2</v>
      </c>
    </row>
    <row r="6012" spans="1:7" x14ac:dyDescent="0.2">
      <c r="A6012" t="s">
        <v>89</v>
      </c>
      <c r="B6012" t="s">
        <v>175</v>
      </c>
      <c r="C6012" t="s">
        <v>204</v>
      </c>
      <c r="D6012" t="s">
        <v>74</v>
      </c>
      <c r="E6012" t="s">
        <v>88</v>
      </c>
      <c r="F6012" s="55">
        <v>107</v>
      </c>
      <c r="G6012" s="63">
        <v>2.7799999999999998E-2</v>
      </c>
    </row>
    <row r="6013" spans="1:7" x14ac:dyDescent="0.2">
      <c r="A6013" t="s">
        <v>71</v>
      </c>
      <c r="B6013" t="s">
        <v>208</v>
      </c>
      <c r="C6013" t="s">
        <v>204</v>
      </c>
      <c r="D6013" t="s">
        <v>74</v>
      </c>
      <c r="E6013" t="s">
        <v>75</v>
      </c>
      <c r="F6013" s="55">
        <v>91</v>
      </c>
      <c r="G6013" s="63">
        <v>0.85089999999999999</v>
      </c>
    </row>
    <row r="6014" spans="1:7" x14ac:dyDescent="0.2">
      <c r="A6014" t="s">
        <v>71</v>
      </c>
      <c r="B6014" t="s">
        <v>208</v>
      </c>
      <c r="C6014" t="s">
        <v>204</v>
      </c>
      <c r="D6014" t="s">
        <v>74</v>
      </c>
      <c r="E6014" t="s">
        <v>76</v>
      </c>
      <c r="F6014" s="55">
        <v>87</v>
      </c>
      <c r="G6014" s="63">
        <v>0.51119999999999999</v>
      </c>
    </row>
    <row r="6015" spans="1:7" x14ac:dyDescent="0.2">
      <c r="A6015" t="s">
        <v>71</v>
      </c>
      <c r="B6015" t="s">
        <v>208</v>
      </c>
      <c r="C6015" t="s">
        <v>204</v>
      </c>
      <c r="D6015" t="s">
        <v>74</v>
      </c>
      <c r="E6015" t="s">
        <v>77</v>
      </c>
      <c r="F6015" s="55">
        <v>93</v>
      </c>
      <c r="G6015" s="63">
        <v>0.68540000000000001</v>
      </c>
    </row>
    <row r="6016" spans="1:7" x14ac:dyDescent="0.2">
      <c r="A6016" t="s">
        <v>71</v>
      </c>
      <c r="B6016" t="s">
        <v>208</v>
      </c>
      <c r="C6016" t="s">
        <v>204</v>
      </c>
      <c r="D6016" t="s">
        <v>74</v>
      </c>
      <c r="E6016" t="s">
        <v>78</v>
      </c>
      <c r="F6016" s="55">
        <v>92</v>
      </c>
      <c r="G6016" s="63">
        <v>0.66949999999999998</v>
      </c>
    </row>
    <row r="6017" spans="1:7" x14ac:dyDescent="0.2">
      <c r="A6017" t="s">
        <v>71</v>
      </c>
      <c r="B6017" t="s">
        <v>208</v>
      </c>
      <c r="C6017" t="s">
        <v>204</v>
      </c>
      <c r="D6017" t="s">
        <v>74</v>
      </c>
      <c r="E6017" t="s">
        <v>79</v>
      </c>
      <c r="F6017" s="55">
        <v>92</v>
      </c>
      <c r="G6017" s="63">
        <v>0.73499999999999999</v>
      </c>
    </row>
    <row r="6018" spans="1:7" x14ac:dyDescent="0.2">
      <c r="A6018" t="s">
        <v>71</v>
      </c>
      <c r="B6018" t="s">
        <v>208</v>
      </c>
      <c r="C6018" t="s">
        <v>204</v>
      </c>
      <c r="D6018" t="s">
        <v>74</v>
      </c>
      <c r="E6018" t="s">
        <v>80</v>
      </c>
      <c r="F6018" s="55">
        <v>90</v>
      </c>
      <c r="G6018" s="63">
        <v>0.3891</v>
      </c>
    </row>
    <row r="6019" spans="1:7" x14ac:dyDescent="0.2">
      <c r="A6019" t="s">
        <v>71</v>
      </c>
      <c r="B6019" t="s">
        <v>208</v>
      </c>
      <c r="C6019" t="s">
        <v>204</v>
      </c>
      <c r="D6019" t="s">
        <v>74</v>
      </c>
      <c r="E6019" t="s">
        <v>81</v>
      </c>
      <c r="F6019" s="55">
        <v>87</v>
      </c>
      <c r="G6019" s="63">
        <v>0.44009999999999999</v>
      </c>
    </row>
    <row r="6020" spans="1:7" x14ac:dyDescent="0.2">
      <c r="A6020" t="s">
        <v>71</v>
      </c>
      <c r="B6020" t="s">
        <v>208</v>
      </c>
      <c r="C6020" t="s">
        <v>204</v>
      </c>
      <c r="D6020" t="s">
        <v>74</v>
      </c>
      <c r="E6020" t="s">
        <v>82</v>
      </c>
      <c r="F6020" s="55">
        <v>90</v>
      </c>
      <c r="G6020" s="63">
        <v>0.72529999999999994</v>
      </c>
    </row>
    <row r="6021" spans="1:7" x14ac:dyDescent="0.2">
      <c r="A6021" t="s">
        <v>71</v>
      </c>
      <c r="B6021" t="s">
        <v>208</v>
      </c>
      <c r="C6021" t="s">
        <v>204</v>
      </c>
      <c r="D6021" t="s">
        <v>74</v>
      </c>
      <c r="E6021" t="s">
        <v>83</v>
      </c>
      <c r="F6021" s="55">
        <v>85</v>
      </c>
      <c r="G6021" s="63">
        <v>0.37340000000000001</v>
      </c>
    </row>
    <row r="6022" spans="1:7" x14ac:dyDescent="0.2">
      <c r="A6022" t="s">
        <v>71</v>
      </c>
      <c r="B6022" t="s">
        <v>208</v>
      </c>
      <c r="C6022" t="s">
        <v>204</v>
      </c>
      <c r="D6022" t="s">
        <v>74</v>
      </c>
      <c r="E6022" t="s">
        <v>84</v>
      </c>
      <c r="F6022" s="55">
        <v>92</v>
      </c>
      <c r="G6022" s="63">
        <v>0.61829999999999996</v>
      </c>
    </row>
    <row r="6023" spans="1:7" x14ac:dyDescent="0.2">
      <c r="A6023" t="s">
        <v>71</v>
      </c>
      <c r="B6023" t="s">
        <v>208</v>
      </c>
      <c r="C6023" t="s">
        <v>204</v>
      </c>
      <c r="D6023" t="s">
        <v>74</v>
      </c>
      <c r="E6023" t="s">
        <v>85</v>
      </c>
      <c r="F6023" s="55">
        <v>91</v>
      </c>
      <c r="G6023" s="63">
        <v>0.42780000000000001</v>
      </c>
    </row>
    <row r="6024" spans="1:7" x14ac:dyDescent="0.2">
      <c r="A6024" t="s">
        <v>71</v>
      </c>
      <c r="B6024" t="s">
        <v>208</v>
      </c>
      <c r="C6024" t="s">
        <v>204</v>
      </c>
      <c r="D6024" t="s">
        <v>74</v>
      </c>
      <c r="E6024" t="s">
        <v>86</v>
      </c>
      <c r="F6024" s="55">
        <v>91</v>
      </c>
      <c r="G6024" s="63">
        <v>0.49459999999999998</v>
      </c>
    </row>
    <row r="6025" spans="1:7" x14ac:dyDescent="0.2">
      <c r="A6025" t="s">
        <v>71</v>
      </c>
      <c r="B6025" t="s">
        <v>208</v>
      </c>
      <c r="C6025" t="s">
        <v>204</v>
      </c>
      <c r="D6025" t="s">
        <v>74</v>
      </c>
      <c r="E6025" t="s">
        <v>87</v>
      </c>
      <c r="F6025" s="55">
        <v>92</v>
      </c>
      <c r="G6025" s="63">
        <v>0.54890000000000005</v>
      </c>
    </row>
    <row r="6026" spans="1:7" x14ac:dyDescent="0.2">
      <c r="A6026" t="s">
        <v>71</v>
      </c>
      <c r="B6026" t="s">
        <v>208</v>
      </c>
      <c r="C6026" t="s">
        <v>204</v>
      </c>
      <c r="D6026" t="s">
        <v>74</v>
      </c>
      <c r="E6026" t="s">
        <v>88</v>
      </c>
      <c r="F6026" s="55">
        <v>87</v>
      </c>
      <c r="G6026" s="63">
        <v>0.58360000000000001</v>
      </c>
    </row>
    <row r="6027" spans="1:7" x14ac:dyDescent="0.2">
      <c r="A6027" t="s">
        <v>71</v>
      </c>
      <c r="B6027" t="s">
        <v>209</v>
      </c>
      <c r="C6027" t="s">
        <v>204</v>
      </c>
      <c r="D6027" t="s">
        <v>74</v>
      </c>
      <c r="E6027" t="s">
        <v>75</v>
      </c>
      <c r="F6027" s="55">
        <v>82</v>
      </c>
      <c r="G6027" s="63">
        <v>0.26719999999999999</v>
      </c>
    </row>
    <row r="6028" spans="1:7" x14ac:dyDescent="0.2">
      <c r="A6028" t="s">
        <v>71</v>
      </c>
      <c r="B6028" t="s">
        <v>209</v>
      </c>
      <c r="C6028" t="s">
        <v>204</v>
      </c>
      <c r="D6028" t="s">
        <v>74</v>
      </c>
      <c r="E6028" t="s">
        <v>76</v>
      </c>
      <c r="F6028" s="55">
        <v>87</v>
      </c>
      <c r="G6028" s="63">
        <v>1.2699999999999999E-2</v>
      </c>
    </row>
    <row r="6029" spans="1:7" x14ac:dyDescent="0.2">
      <c r="A6029" t="s">
        <v>71</v>
      </c>
      <c r="B6029" t="s">
        <v>209</v>
      </c>
      <c r="C6029" t="s">
        <v>204</v>
      </c>
      <c r="D6029" t="s">
        <v>74</v>
      </c>
      <c r="E6029" t="s">
        <v>77</v>
      </c>
      <c r="F6029" s="55">
        <v>85</v>
      </c>
      <c r="G6029" s="63">
        <v>6.1100000000000002E-2</v>
      </c>
    </row>
    <row r="6030" spans="1:7" x14ac:dyDescent="0.2">
      <c r="A6030" t="s">
        <v>71</v>
      </c>
      <c r="B6030" t="s">
        <v>209</v>
      </c>
      <c r="C6030" t="s">
        <v>204</v>
      </c>
      <c r="D6030" t="s">
        <v>74</v>
      </c>
      <c r="E6030" t="s">
        <v>78</v>
      </c>
      <c r="F6030" s="55">
        <v>84</v>
      </c>
      <c r="G6030" s="63">
        <v>5.8299999999999998E-2</v>
      </c>
    </row>
    <row r="6031" spans="1:7" x14ac:dyDescent="0.2">
      <c r="A6031" t="s">
        <v>71</v>
      </c>
      <c r="B6031" t="s">
        <v>209</v>
      </c>
      <c r="C6031" t="s">
        <v>204</v>
      </c>
      <c r="D6031" t="s">
        <v>74</v>
      </c>
      <c r="E6031" t="s">
        <v>79</v>
      </c>
      <c r="F6031" s="55">
        <v>82</v>
      </c>
      <c r="G6031" s="63">
        <v>0.20799999999999999</v>
      </c>
    </row>
    <row r="6032" spans="1:7" x14ac:dyDescent="0.2">
      <c r="A6032" t="s">
        <v>71</v>
      </c>
      <c r="B6032" t="s">
        <v>209</v>
      </c>
      <c r="C6032" t="s">
        <v>204</v>
      </c>
      <c r="D6032" t="s">
        <v>74</v>
      </c>
      <c r="E6032" t="s">
        <v>80</v>
      </c>
      <c r="F6032" s="55">
        <v>80</v>
      </c>
      <c r="G6032" s="63">
        <v>0.14419999999999999</v>
      </c>
    </row>
    <row r="6033" spans="1:7" x14ac:dyDescent="0.2">
      <c r="A6033" t="s">
        <v>71</v>
      </c>
      <c r="B6033" t="s">
        <v>209</v>
      </c>
      <c r="C6033" t="s">
        <v>204</v>
      </c>
      <c r="D6033" t="s">
        <v>74</v>
      </c>
      <c r="E6033" t="s">
        <v>81</v>
      </c>
      <c r="F6033" s="55">
        <v>81</v>
      </c>
      <c r="G6033" s="63">
        <v>0.1158</v>
      </c>
    </row>
    <row r="6034" spans="1:7" x14ac:dyDescent="0.2">
      <c r="A6034" t="s">
        <v>71</v>
      </c>
      <c r="B6034" t="s">
        <v>209</v>
      </c>
      <c r="C6034" t="s">
        <v>204</v>
      </c>
      <c r="D6034" t="s">
        <v>74</v>
      </c>
      <c r="E6034" t="s">
        <v>82</v>
      </c>
      <c r="F6034" s="55">
        <v>78</v>
      </c>
      <c r="G6034" s="63">
        <v>9.2700000000000005E-2</v>
      </c>
    </row>
    <row r="6035" spans="1:7" x14ac:dyDescent="0.2">
      <c r="A6035" t="s">
        <v>71</v>
      </c>
      <c r="B6035" t="s">
        <v>209</v>
      </c>
      <c r="C6035" t="s">
        <v>204</v>
      </c>
      <c r="D6035" t="s">
        <v>74</v>
      </c>
      <c r="E6035" t="s">
        <v>83</v>
      </c>
      <c r="F6035" s="55">
        <v>88</v>
      </c>
      <c r="G6035" s="63">
        <v>2.29E-2</v>
      </c>
    </row>
    <row r="6036" spans="1:7" x14ac:dyDescent="0.2">
      <c r="A6036" t="s">
        <v>71</v>
      </c>
      <c r="B6036" t="s">
        <v>209</v>
      </c>
      <c r="C6036" t="s">
        <v>204</v>
      </c>
      <c r="D6036" t="s">
        <v>74</v>
      </c>
      <c r="E6036" t="s">
        <v>84</v>
      </c>
      <c r="F6036" s="55">
        <v>83</v>
      </c>
      <c r="G6036" s="63">
        <v>4.1300000000000003E-2</v>
      </c>
    </row>
    <row r="6037" spans="1:7" x14ac:dyDescent="0.2">
      <c r="A6037" t="s">
        <v>71</v>
      </c>
      <c r="B6037" t="s">
        <v>209</v>
      </c>
      <c r="C6037" t="s">
        <v>204</v>
      </c>
      <c r="D6037" t="s">
        <v>74</v>
      </c>
      <c r="E6037" t="s">
        <v>85</v>
      </c>
      <c r="F6037" s="55">
        <v>80</v>
      </c>
      <c r="G6037" s="63">
        <v>0.14549999999999999</v>
      </c>
    </row>
    <row r="6038" spans="1:7" x14ac:dyDescent="0.2">
      <c r="A6038" t="s">
        <v>71</v>
      </c>
      <c r="B6038" t="s">
        <v>209</v>
      </c>
      <c r="C6038" t="s">
        <v>204</v>
      </c>
      <c r="D6038" t="s">
        <v>74</v>
      </c>
      <c r="E6038" t="s">
        <v>86</v>
      </c>
      <c r="F6038" s="55">
        <v>82</v>
      </c>
      <c r="G6038" s="63">
        <v>0.14119999999999999</v>
      </c>
    </row>
    <row r="6039" spans="1:7" x14ac:dyDescent="0.2">
      <c r="A6039" t="s">
        <v>71</v>
      </c>
      <c r="B6039" t="s">
        <v>209</v>
      </c>
      <c r="C6039" t="s">
        <v>204</v>
      </c>
      <c r="D6039" t="s">
        <v>74</v>
      </c>
      <c r="E6039" t="s">
        <v>87</v>
      </c>
      <c r="F6039" s="55">
        <v>84</v>
      </c>
      <c r="G6039" s="63">
        <v>0.11600000000000001</v>
      </c>
    </row>
    <row r="6040" spans="1:7" x14ac:dyDescent="0.2">
      <c r="A6040" t="s">
        <v>71</v>
      </c>
      <c r="B6040" t="s">
        <v>209</v>
      </c>
      <c r="C6040" t="s">
        <v>204</v>
      </c>
      <c r="D6040" t="s">
        <v>74</v>
      </c>
      <c r="E6040" t="s">
        <v>88</v>
      </c>
      <c r="F6040" s="55">
        <v>87</v>
      </c>
      <c r="G6040" s="63">
        <v>2.3199999999999998E-2</v>
      </c>
    </row>
    <row r="6041" spans="1:7" x14ac:dyDescent="0.2">
      <c r="A6041" t="s">
        <v>71</v>
      </c>
      <c r="B6041" t="s">
        <v>210</v>
      </c>
      <c r="C6041" t="s">
        <v>204</v>
      </c>
      <c r="D6041" t="s">
        <v>74</v>
      </c>
      <c r="E6041" t="s">
        <v>75</v>
      </c>
      <c r="F6041" s="55">
        <v>98</v>
      </c>
      <c r="G6041" s="63">
        <v>0.26840000000000003</v>
      </c>
    </row>
    <row r="6042" spans="1:7" x14ac:dyDescent="0.2">
      <c r="A6042" t="s">
        <v>71</v>
      </c>
      <c r="B6042" t="s">
        <v>210</v>
      </c>
      <c r="C6042" t="s">
        <v>204</v>
      </c>
      <c r="D6042" t="s">
        <v>74</v>
      </c>
      <c r="E6042" t="s">
        <v>76</v>
      </c>
      <c r="F6042" s="55">
        <v>80</v>
      </c>
      <c r="G6042" s="63">
        <v>1.21E-2</v>
      </c>
    </row>
    <row r="6043" spans="1:7" x14ac:dyDescent="0.2">
      <c r="A6043" t="s">
        <v>71</v>
      </c>
      <c r="B6043" t="s">
        <v>210</v>
      </c>
      <c r="C6043" t="s">
        <v>204</v>
      </c>
      <c r="D6043" t="s">
        <v>74</v>
      </c>
      <c r="E6043" t="s">
        <v>77</v>
      </c>
      <c r="F6043" s="55">
        <v>102</v>
      </c>
      <c r="G6043" s="63">
        <v>0.1033</v>
      </c>
    </row>
    <row r="6044" spans="1:7" x14ac:dyDescent="0.2">
      <c r="A6044" t="s">
        <v>71</v>
      </c>
      <c r="B6044" t="s">
        <v>210</v>
      </c>
      <c r="C6044" t="s">
        <v>204</v>
      </c>
      <c r="D6044" t="s">
        <v>74</v>
      </c>
      <c r="E6044" t="s">
        <v>78</v>
      </c>
      <c r="F6044" s="55">
        <v>103</v>
      </c>
      <c r="G6044" s="63">
        <v>0.1171</v>
      </c>
    </row>
    <row r="6045" spans="1:7" x14ac:dyDescent="0.2">
      <c r="A6045" t="s">
        <v>71</v>
      </c>
      <c r="B6045" t="s">
        <v>210</v>
      </c>
      <c r="C6045" t="s">
        <v>204</v>
      </c>
      <c r="D6045" t="s">
        <v>74</v>
      </c>
      <c r="E6045" t="s">
        <v>79</v>
      </c>
      <c r="F6045" s="55">
        <v>97</v>
      </c>
      <c r="G6045" s="63">
        <v>0.19</v>
      </c>
    </row>
    <row r="6046" spans="1:7" x14ac:dyDescent="0.2">
      <c r="A6046" t="s">
        <v>71</v>
      </c>
      <c r="B6046" t="s">
        <v>210</v>
      </c>
      <c r="C6046" t="s">
        <v>204</v>
      </c>
      <c r="D6046" t="s">
        <v>74</v>
      </c>
      <c r="E6046" t="s">
        <v>80</v>
      </c>
      <c r="F6046" s="55">
        <v>94</v>
      </c>
      <c r="G6046" s="63">
        <v>9.1600000000000001E-2</v>
      </c>
    </row>
    <row r="6047" spans="1:7" x14ac:dyDescent="0.2">
      <c r="A6047" t="s">
        <v>71</v>
      </c>
      <c r="B6047" t="s">
        <v>210</v>
      </c>
      <c r="C6047" t="s">
        <v>204</v>
      </c>
      <c r="D6047" t="s">
        <v>74</v>
      </c>
      <c r="E6047" t="s">
        <v>81</v>
      </c>
      <c r="F6047" s="55">
        <v>92</v>
      </c>
      <c r="G6047" s="63">
        <v>8.0399999999999999E-2</v>
      </c>
    </row>
    <row r="6048" spans="1:7" x14ac:dyDescent="0.2">
      <c r="A6048" t="s">
        <v>71</v>
      </c>
      <c r="B6048" t="s">
        <v>210</v>
      </c>
      <c r="C6048" t="s">
        <v>204</v>
      </c>
      <c r="D6048" t="s">
        <v>74</v>
      </c>
      <c r="E6048" t="s">
        <v>82</v>
      </c>
      <c r="F6048" s="55">
        <v>98</v>
      </c>
      <c r="G6048" s="63">
        <v>0.1575</v>
      </c>
    </row>
    <row r="6049" spans="1:7" x14ac:dyDescent="0.2">
      <c r="A6049" t="s">
        <v>71</v>
      </c>
      <c r="B6049" t="s">
        <v>210</v>
      </c>
      <c r="C6049" t="s">
        <v>204</v>
      </c>
      <c r="D6049" t="s">
        <v>74</v>
      </c>
      <c r="E6049" t="s">
        <v>83</v>
      </c>
      <c r="F6049" s="55">
        <v>89</v>
      </c>
      <c r="G6049" s="63">
        <v>2.0299999999999999E-2</v>
      </c>
    </row>
    <row r="6050" spans="1:7" x14ac:dyDescent="0.2">
      <c r="A6050" t="s">
        <v>71</v>
      </c>
      <c r="B6050" t="s">
        <v>210</v>
      </c>
      <c r="C6050" t="s">
        <v>204</v>
      </c>
      <c r="D6050" t="s">
        <v>74</v>
      </c>
      <c r="E6050" t="s">
        <v>84</v>
      </c>
      <c r="F6050" s="55">
        <v>104</v>
      </c>
      <c r="G6050" s="63">
        <v>0.1062</v>
      </c>
    </row>
    <row r="6051" spans="1:7" x14ac:dyDescent="0.2">
      <c r="A6051" t="s">
        <v>71</v>
      </c>
      <c r="B6051" t="s">
        <v>210</v>
      </c>
      <c r="C6051" t="s">
        <v>204</v>
      </c>
      <c r="D6051" t="s">
        <v>74</v>
      </c>
      <c r="E6051" t="s">
        <v>85</v>
      </c>
      <c r="F6051" s="55">
        <v>95</v>
      </c>
      <c r="G6051" s="63">
        <v>9.35E-2</v>
      </c>
    </row>
    <row r="6052" spans="1:7" x14ac:dyDescent="0.2">
      <c r="A6052" t="s">
        <v>71</v>
      </c>
      <c r="B6052" t="s">
        <v>210</v>
      </c>
      <c r="C6052" t="s">
        <v>204</v>
      </c>
      <c r="D6052" t="s">
        <v>74</v>
      </c>
      <c r="E6052" t="s">
        <v>86</v>
      </c>
      <c r="F6052" s="55">
        <v>95</v>
      </c>
      <c r="G6052" s="63">
        <v>9.2200000000000004E-2</v>
      </c>
    </row>
    <row r="6053" spans="1:7" x14ac:dyDescent="0.2">
      <c r="A6053" t="s">
        <v>71</v>
      </c>
      <c r="B6053" t="s">
        <v>210</v>
      </c>
      <c r="C6053" t="s">
        <v>204</v>
      </c>
      <c r="D6053" t="s">
        <v>74</v>
      </c>
      <c r="E6053" t="s">
        <v>87</v>
      </c>
      <c r="F6053" s="55">
        <v>98</v>
      </c>
      <c r="G6053" s="63">
        <v>0.10059999999999999</v>
      </c>
    </row>
    <row r="6054" spans="1:7" x14ac:dyDescent="0.2">
      <c r="A6054" t="s">
        <v>71</v>
      </c>
      <c r="B6054" t="s">
        <v>210</v>
      </c>
      <c r="C6054" t="s">
        <v>204</v>
      </c>
      <c r="D6054" t="s">
        <v>74</v>
      </c>
      <c r="E6054" t="s">
        <v>88</v>
      </c>
      <c r="F6054" s="55">
        <v>83</v>
      </c>
      <c r="G6054" s="63">
        <v>2.3099999999999999E-2</v>
      </c>
    </row>
    <row r="6055" spans="1:7" x14ac:dyDescent="0.2">
      <c r="A6055" t="s">
        <v>89</v>
      </c>
      <c r="B6055" t="s">
        <v>176</v>
      </c>
      <c r="C6055" t="s">
        <v>204</v>
      </c>
      <c r="D6055" t="s">
        <v>74</v>
      </c>
      <c r="E6055" t="s">
        <v>75</v>
      </c>
      <c r="F6055" s="55">
        <v>157</v>
      </c>
      <c r="G6055" s="63">
        <v>1.5E-3</v>
      </c>
    </row>
    <row r="6056" spans="1:7" x14ac:dyDescent="0.2">
      <c r="A6056" t="s">
        <v>89</v>
      </c>
      <c r="B6056" t="s">
        <v>176</v>
      </c>
      <c r="C6056" t="s">
        <v>204</v>
      </c>
      <c r="D6056" t="s">
        <v>74</v>
      </c>
      <c r="E6056" t="s">
        <v>79</v>
      </c>
      <c r="F6056" s="55">
        <v>150</v>
      </c>
      <c r="G6056" s="63">
        <v>1E-3</v>
      </c>
    </row>
    <row r="6057" spans="1:7" x14ac:dyDescent="0.2">
      <c r="A6057" t="s">
        <v>89</v>
      </c>
      <c r="B6057" t="s">
        <v>177</v>
      </c>
      <c r="C6057" t="s">
        <v>204</v>
      </c>
      <c r="D6057" t="s">
        <v>74</v>
      </c>
      <c r="E6057" t="s">
        <v>75</v>
      </c>
      <c r="F6057" s="55">
        <v>115</v>
      </c>
      <c r="G6057" s="63">
        <v>0.1285</v>
      </c>
    </row>
    <row r="6058" spans="1:7" x14ac:dyDescent="0.2">
      <c r="A6058" t="s">
        <v>89</v>
      </c>
      <c r="B6058" t="s">
        <v>177</v>
      </c>
      <c r="C6058" t="s">
        <v>204</v>
      </c>
      <c r="D6058" t="s">
        <v>74</v>
      </c>
      <c r="E6058" t="s">
        <v>76</v>
      </c>
      <c r="F6058" s="55">
        <v>105</v>
      </c>
      <c r="G6058" s="63">
        <v>1.8800000000000001E-2</v>
      </c>
    </row>
    <row r="6059" spans="1:7" x14ac:dyDescent="0.2">
      <c r="A6059" t="s">
        <v>89</v>
      </c>
      <c r="B6059" t="s">
        <v>177</v>
      </c>
      <c r="C6059" t="s">
        <v>204</v>
      </c>
      <c r="D6059" t="s">
        <v>74</v>
      </c>
      <c r="E6059" t="s">
        <v>77</v>
      </c>
      <c r="F6059" s="55">
        <v>117</v>
      </c>
      <c r="G6059" s="63">
        <v>4.7699999999999999E-2</v>
      </c>
    </row>
    <row r="6060" spans="1:7" x14ac:dyDescent="0.2">
      <c r="A6060" t="s">
        <v>89</v>
      </c>
      <c r="B6060" t="s">
        <v>177</v>
      </c>
      <c r="C6060" t="s">
        <v>204</v>
      </c>
      <c r="D6060" t="s">
        <v>74</v>
      </c>
      <c r="E6060" t="s">
        <v>78</v>
      </c>
      <c r="F6060" s="55">
        <v>122</v>
      </c>
      <c r="G6060" s="63">
        <v>4.4699999999999997E-2</v>
      </c>
    </row>
    <row r="6061" spans="1:7" x14ac:dyDescent="0.2">
      <c r="A6061" t="s">
        <v>89</v>
      </c>
      <c r="B6061" t="s">
        <v>177</v>
      </c>
      <c r="C6061" t="s">
        <v>204</v>
      </c>
      <c r="D6061" t="s">
        <v>74</v>
      </c>
      <c r="E6061" t="s">
        <v>79</v>
      </c>
      <c r="F6061" s="55">
        <v>116</v>
      </c>
      <c r="G6061" s="63">
        <v>8.4400000000000003E-2</v>
      </c>
    </row>
    <row r="6062" spans="1:7" x14ac:dyDescent="0.2">
      <c r="A6062" t="s">
        <v>89</v>
      </c>
      <c r="B6062" t="s">
        <v>177</v>
      </c>
      <c r="C6062" t="s">
        <v>204</v>
      </c>
      <c r="D6062" t="s">
        <v>74</v>
      </c>
      <c r="E6062" t="s">
        <v>80</v>
      </c>
      <c r="F6062" s="55">
        <v>109</v>
      </c>
      <c r="G6062" s="63">
        <v>3.0599999999999999E-2</v>
      </c>
    </row>
    <row r="6063" spans="1:7" x14ac:dyDescent="0.2">
      <c r="A6063" t="s">
        <v>89</v>
      </c>
      <c r="B6063" t="s">
        <v>177</v>
      </c>
      <c r="C6063" t="s">
        <v>204</v>
      </c>
      <c r="D6063" t="s">
        <v>74</v>
      </c>
      <c r="E6063" t="s">
        <v>81</v>
      </c>
      <c r="F6063" s="55">
        <v>116</v>
      </c>
      <c r="G6063" s="63">
        <v>3.3000000000000002E-2</v>
      </c>
    </row>
    <row r="6064" spans="1:7" x14ac:dyDescent="0.2">
      <c r="A6064" t="s">
        <v>89</v>
      </c>
      <c r="B6064" t="s">
        <v>177</v>
      </c>
      <c r="C6064" t="s">
        <v>204</v>
      </c>
      <c r="D6064" t="s">
        <v>74</v>
      </c>
      <c r="E6064" t="s">
        <v>82</v>
      </c>
      <c r="F6064" s="55">
        <v>107</v>
      </c>
      <c r="G6064" s="63">
        <v>7.1800000000000003E-2</v>
      </c>
    </row>
    <row r="6065" spans="1:7" x14ac:dyDescent="0.2">
      <c r="A6065" t="s">
        <v>89</v>
      </c>
      <c r="B6065" t="s">
        <v>177</v>
      </c>
      <c r="C6065" t="s">
        <v>204</v>
      </c>
      <c r="D6065" t="s">
        <v>74</v>
      </c>
      <c r="E6065" t="s">
        <v>83</v>
      </c>
      <c r="F6065" s="55">
        <v>114</v>
      </c>
      <c r="G6065" s="63">
        <v>1.61E-2</v>
      </c>
    </row>
    <row r="6066" spans="1:7" x14ac:dyDescent="0.2">
      <c r="A6066" t="s">
        <v>89</v>
      </c>
      <c r="B6066" t="s">
        <v>177</v>
      </c>
      <c r="C6066" t="s">
        <v>204</v>
      </c>
      <c r="D6066" t="s">
        <v>74</v>
      </c>
      <c r="E6066" t="s">
        <v>84</v>
      </c>
      <c r="F6066" s="55">
        <v>123</v>
      </c>
      <c r="G6066" s="63">
        <v>3.73E-2</v>
      </c>
    </row>
    <row r="6067" spans="1:7" x14ac:dyDescent="0.2">
      <c r="A6067" t="s">
        <v>89</v>
      </c>
      <c r="B6067" t="s">
        <v>177</v>
      </c>
      <c r="C6067" t="s">
        <v>204</v>
      </c>
      <c r="D6067" t="s">
        <v>74</v>
      </c>
      <c r="E6067" t="s">
        <v>85</v>
      </c>
      <c r="F6067" s="55">
        <v>114</v>
      </c>
      <c r="G6067" s="63">
        <v>3.3399999999999999E-2</v>
      </c>
    </row>
    <row r="6068" spans="1:7" x14ac:dyDescent="0.2">
      <c r="A6068" t="s">
        <v>89</v>
      </c>
      <c r="B6068" t="s">
        <v>177</v>
      </c>
      <c r="C6068" t="s">
        <v>204</v>
      </c>
      <c r="D6068" t="s">
        <v>74</v>
      </c>
      <c r="E6068" t="s">
        <v>86</v>
      </c>
      <c r="F6068" s="55">
        <v>113</v>
      </c>
      <c r="G6068" s="63">
        <v>4.1500000000000002E-2</v>
      </c>
    </row>
    <row r="6069" spans="1:7" x14ac:dyDescent="0.2">
      <c r="A6069" t="s">
        <v>89</v>
      </c>
      <c r="B6069" t="s">
        <v>177</v>
      </c>
      <c r="C6069" t="s">
        <v>204</v>
      </c>
      <c r="D6069" t="s">
        <v>74</v>
      </c>
      <c r="E6069" t="s">
        <v>87</v>
      </c>
      <c r="F6069" s="55">
        <v>115</v>
      </c>
      <c r="G6069" s="63">
        <v>4.6699999999999998E-2</v>
      </c>
    </row>
    <row r="6070" spans="1:7" x14ac:dyDescent="0.2">
      <c r="A6070" t="s">
        <v>89</v>
      </c>
      <c r="B6070" t="s">
        <v>177</v>
      </c>
      <c r="C6070" t="s">
        <v>204</v>
      </c>
      <c r="D6070" t="s">
        <v>74</v>
      </c>
      <c r="E6070" t="s">
        <v>88</v>
      </c>
      <c r="F6070" s="55">
        <v>106</v>
      </c>
      <c r="G6070" s="63">
        <v>3.1E-2</v>
      </c>
    </row>
    <row r="6071" spans="1:7" x14ac:dyDescent="0.2">
      <c r="A6071" t="s">
        <v>71</v>
      </c>
      <c r="B6071" t="s">
        <v>178</v>
      </c>
      <c r="C6071" t="s">
        <v>204</v>
      </c>
      <c r="D6071" t="s">
        <v>74</v>
      </c>
      <c r="E6071" t="s">
        <v>75</v>
      </c>
      <c r="F6071" s="55">
        <v>94</v>
      </c>
      <c r="G6071" s="63">
        <v>0.26369999999999999</v>
      </c>
    </row>
    <row r="6072" spans="1:7" x14ac:dyDescent="0.2">
      <c r="A6072" t="s">
        <v>71</v>
      </c>
      <c r="B6072" t="s">
        <v>178</v>
      </c>
      <c r="C6072" t="s">
        <v>204</v>
      </c>
      <c r="D6072" t="s">
        <v>74</v>
      </c>
      <c r="E6072" t="s">
        <v>76</v>
      </c>
      <c r="F6072" s="55">
        <v>99</v>
      </c>
      <c r="G6072" s="63">
        <v>4.3299999999999998E-2</v>
      </c>
    </row>
    <row r="6073" spans="1:7" x14ac:dyDescent="0.2">
      <c r="A6073" t="s">
        <v>71</v>
      </c>
      <c r="B6073" t="s">
        <v>178</v>
      </c>
      <c r="C6073" t="s">
        <v>204</v>
      </c>
      <c r="D6073" t="s">
        <v>74</v>
      </c>
      <c r="E6073" t="s">
        <v>77</v>
      </c>
      <c r="F6073" s="55">
        <v>98</v>
      </c>
      <c r="G6073" s="63">
        <v>0.1026</v>
      </c>
    </row>
    <row r="6074" spans="1:7" x14ac:dyDescent="0.2">
      <c r="A6074" t="s">
        <v>71</v>
      </c>
      <c r="B6074" t="s">
        <v>178</v>
      </c>
      <c r="C6074" t="s">
        <v>204</v>
      </c>
      <c r="D6074" t="s">
        <v>74</v>
      </c>
      <c r="E6074" t="s">
        <v>78</v>
      </c>
      <c r="F6074" s="55">
        <v>96</v>
      </c>
      <c r="G6074" s="63">
        <v>9.7500000000000003E-2</v>
      </c>
    </row>
    <row r="6075" spans="1:7" x14ac:dyDescent="0.2">
      <c r="A6075" t="s">
        <v>71</v>
      </c>
      <c r="B6075" t="s">
        <v>178</v>
      </c>
      <c r="C6075" t="s">
        <v>204</v>
      </c>
      <c r="D6075" t="s">
        <v>74</v>
      </c>
      <c r="E6075" t="s">
        <v>79</v>
      </c>
      <c r="F6075" s="55">
        <v>89</v>
      </c>
      <c r="G6075" s="63">
        <v>0.1671</v>
      </c>
    </row>
    <row r="6076" spans="1:7" x14ac:dyDescent="0.2">
      <c r="A6076" t="s">
        <v>71</v>
      </c>
      <c r="B6076" t="s">
        <v>178</v>
      </c>
      <c r="C6076" t="s">
        <v>204</v>
      </c>
      <c r="D6076" t="s">
        <v>74</v>
      </c>
      <c r="E6076" t="s">
        <v>80</v>
      </c>
      <c r="F6076" s="55">
        <v>89</v>
      </c>
      <c r="G6076" s="63">
        <v>4.8000000000000001E-2</v>
      </c>
    </row>
    <row r="6077" spans="1:7" x14ac:dyDescent="0.2">
      <c r="A6077" t="s">
        <v>71</v>
      </c>
      <c r="B6077" t="s">
        <v>178</v>
      </c>
      <c r="C6077" t="s">
        <v>204</v>
      </c>
      <c r="D6077" t="s">
        <v>74</v>
      </c>
      <c r="E6077" t="s">
        <v>81</v>
      </c>
      <c r="F6077" s="55">
        <v>100</v>
      </c>
      <c r="G6077" s="63">
        <v>5.7599999999999998E-2</v>
      </c>
    </row>
    <row r="6078" spans="1:7" x14ac:dyDescent="0.2">
      <c r="A6078" t="s">
        <v>71</v>
      </c>
      <c r="B6078" t="s">
        <v>178</v>
      </c>
      <c r="C6078" t="s">
        <v>204</v>
      </c>
      <c r="D6078" t="s">
        <v>74</v>
      </c>
      <c r="E6078" t="s">
        <v>82</v>
      </c>
      <c r="F6078" s="55">
        <v>93</v>
      </c>
      <c r="G6078" s="63">
        <v>0.12130000000000001</v>
      </c>
    </row>
    <row r="6079" spans="1:7" x14ac:dyDescent="0.2">
      <c r="A6079" t="s">
        <v>71</v>
      </c>
      <c r="B6079" t="s">
        <v>178</v>
      </c>
      <c r="C6079" t="s">
        <v>204</v>
      </c>
      <c r="D6079" t="s">
        <v>74</v>
      </c>
      <c r="E6079" t="s">
        <v>83</v>
      </c>
      <c r="F6079" s="55">
        <v>111</v>
      </c>
      <c r="G6079" s="63">
        <v>3.32E-2</v>
      </c>
    </row>
    <row r="6080" spans="1:7" x14ac:dyDescent="0.2">
      <c r="A6080" t="s">
        <v>71</v>
      </c>
      <c r="B6080" t="s">
        <v>178</v>
      </c>
      <c r="C6080" t="s">
        <v>204</v>
      </c>
      <c r="D6080" t="s">
        <v>74</v>
      </c>
      <c r="E6080" t="s">
        <v>84</v>
      </c>
      <c r="F6080" s="55">
        <v>96</v>
      </c>
      <c r="G6080" s="63">
        <v>7.4999999999999997E-2</v>
      </c>
    </row>
    <row r="6081" spans="1:7" x14ac:dyDescent="0.2">
      <c r="A6081" t="s">
        <v>71</v>
      </c>
      <c r="B6081" t="s">
        <v>178</v>
      </c>
      <c r="C6081" t="s">
        <v>204</v>
      </c>
      <c r="D6081" t="s">
        <v>74</v>
      </c>
      <c r="E6081" t="s">
        <v>85</v>
      </c>
      <c r="F6081" s="55">
        <v>90</v>
      </c>
      <c r="G6081" s="63">
        <v>5.74E-2</v>
      </c>
    </row>
    <row r="6082" spans="1:7" x14ac:dyDescent="0.2">
      <c r="A6082" t="s">
        <v>71</v>
      </c>
      <c r="B6082" t="s">
        <v>178</v>
      </c>
      <c r="C6082" t="s">
        <v>204</v>
      </c>
      <c r="D6082" t="s">
        <v>74</v>
      </c>
      <c r="E6082" t="s">
        <v>86</v>
      </c>
      <c r="F6082" s="55">
        <v>89</v>
      </c>
      <c r="G6082" s="63">
        <v>7.2599999999999998E-2</v>
      </c>
    </row>
    <row r="6083" spans="1:7" x14ac:dyDescent="0.2">
      <c r="A6083" t="s">
        <v>71</v>
      </c>
      <c r="B6083" t="s">
        <v>178</v>
      </c>
      <c r="C6083" t="s">
        <v>204</v>
      </c>
      <c r="D6083" t="s">
        <v>74</v>
      </c>
      <c r="E6083" t="s">
        <v>87</v>
      </c>
      <c r="F6083" s="55">
        <v>88</v>
      </c>
      <c r="G6083" s="63">
        <v>8.2299999999999998E-2</v>
      </c>
    </row>
    <row r="6084" spans="1:7" x14ac:dyDescent="0.2">
      <c r="A6084" t="s">
        <v>71</v>
      </c>
      <c r="B6084" t="s">
        <v>178</v>
      </c>
      <c r="C6084" t="s">
        <v>204</v>
      </c>
      <c r="D6084" t="s">
        <v>74</v>
      </c>
      <c r="E6084" t="s">
        <v>88</v>
      </c>
      <c r="F6084" s="55">
        <v>101</v>
      </c>
      <c r="G6084" s="63">
        <v>6.3600000000000004E-2</v>
      </c>
    </row>
    <row r="6085" spans="1:7" x14ac:dyDescent="0.2">
      <c r="A6085" t="s">
        <v>71</v>
      </c>
      <c r="B6085" t="s">
        <v>179</v>
      </c>
      <c r="C6085" t="s">
        <v>204</v>
      </c>
      <c r="D6085" t="s">
        <v>74</v>
      </c>
      <c r="E6085" t="s">
        <v>75</v>
      </c>
      <c r="F6085" s="55">
        <v>102</v>
      </c>
      <c r="G6085" s="63">
        <v>0.37809999999999999</v>
      </c>
    </row>
    <row r="6086" spans="1:7" x14ac:dyDescent="0.2">
      <c r="A6086" t="s">
        <v>71</v>
      </c>
      <c r="B6086" t="s">
        <v>179</v>
      </c>
      <c r="C6086" t="s">
        <v>204</v>
      </c>
      <c r="D6086" t="s">
        <v>74</v>
      </c>
      <c r="E6086" t="s">
        <v>76</v>
      </c>
      <c r="F6086" s="55">
        <v>106</v>
      </c>
      <c r="G6086" s="63">
        <v>5.2200000000000003E-2</v>
      </c>
    </row>
    <row r="6087" spans="1:7" x14ac:dyDescent="0.2">
      <c r="A6087" t="s">
        <v>71</v>
      </c>
      <c r="B6087" t="s">
        <v>179</v>
      </c>
      <c r="C6087" t="s">
        <v>204</v>
      </c>
      <c r="D6087" t="s">
        <v>74</v>
      </c>
      <c r="E6087" t="s">
        <v>77</v>
      </c>
      <c r="F6087" s="55">
        <v>100</v>
      </c>
      <c r="G6087" s="63">
        <v>0.1308</v>
      </c>
    </row>
    <row r="6088" spans="1:7" x14ac:dyDescent="0.2">
      <c r="A6088" t="s">
        <v>71</v>
      </c>
      <c r="B6088" t="s">
        <v>179</v>
      </c>
      <c r="C6088" t="s">
        <v>204</v>
      </c>
      <c r="D6088" t="s">
        <v>74</v>
      </c>
      <c r="E6088" t="s">
        <v>78</v>
      </c>
      <c r="F6088" s="55">
        <v>109</v>
      </c>
      <c r="G6088" s="63">
        <v>0.13969999999999999</v>
      </c>
    </row>
    <row r="6089" spans="1:7" x14ac:dyDescent="0.2">
      <c r="A6089" t="s">
        <v>71</v>
      </c>
      <c r="B6089" t="s">
        <v>179</v>
      </c>
      <c r="C6089" t="s">
        <v>204</v>
      </c>
      <c r="D6089" t="s">
        <v>74</v>
      </c>
      <c r="E6089" t="s">
        <v>79</v>
      </c>
      <c r="F6089" s="55">
        <v>103</v>
      </c>
      <c r="G6089" s="63">
        <v>0.25530000000000003</v>
      </c>
    </row>
    <row r="6090" spans="1:7" x14ac:dyDescent="0.2">
      <c r="A6090" t="s">
        <v>71</v>
      </c>
      <c r="B6090" t="s">
        <v>179</v>
      </c>
      <c r="C6090" t="s">
        <v>204</v>
      </c>
      <c r="D6090" t="s">
        <v>74</v>
      </c>
      <c r="E6090" t="s">
        <v>80</v>
      </c>
      <c r="F6090" s="55">
        <v>97</v>
      </c>
      <c r="G6090" s="63">
        <v>8.3199999999999996E-2</v>
      </c>
    </row>
    <row r="6091" spans="1:7" x14ac:dyDescent="0.2">
      <c r="A6091" t="s">
        <v>71</v>
      </c>
      <c r="B6091" t="s">
        <v>179</v>
      </c>
      <c r="C6091" t="s">
        <v>204</v>
      </c>
      <c r="D6091" t="s">
        <v>74</v>
      </c>
      <c r="E6091" t="s">
        <v>81</v>
      </c>
      <c r="F6091" s="55">
        <v>98</v>
      </c>
      <c r="G6091" s="63">
        <v>8.1699999999999995E-2</v>
      </c>
    </row>
    <row r="6092" spans="1:7" x14ac:dyDescent="0.2">
      <c r="A6092" t="s">
        <v>71</v>
      </c>
      <c r="B6092" t="s">
        <v>179</v>
      </c>
      <c r="C6092" t="s">
        <v>204</v>
      </c>
      <c r="D6092" t="s">
        <v>74</v>
      </c>
      <c r="E6092" t="s">
        <v>82</v>
      </c>
      <c r="F6092" s="55">
        <v>96</v>
      </c>
      <c r="G6092" s="63">
        <v>0.20580000000000001</v>
      </c>
    </row>
    <row r="6093" spans="1:7" x14ac:dyDescent="0.2">
      <c r="A6093" t="s">
        <v>71</v>
      </c>
      <c r="B6093" t="s">
        <v>179</v>
      </c>
      <c r="C6093" t="s">
        <v>204</v>
      </c>
      <c r="D6093" t="s">
        <v>74</v>
      </c>
      <c r="E6093" t="s">
        <v>83</v>
      </c>
      <c r="F6093" s="55">
        <v>103</v>
      </c>
      <c r="G6093" s="63">
        <v>3.9E-2</v>
      </c>
    </row>
    <row r="6094" spans="1:7" x14ac:dyDescent="0.2">
      <c r="A6094" t="s">
        <v>71</v>
      </c>
      <c r="B6094" t="s">
        <v>179</v>
      </c>
      <c r="C6094" t="s">
        <v>204</v>
      </c>
      <c r="D6094" t="s">
        <v>74</v>
      </c>
      <c r="E6094" t="s">
        <v>84</v>
      </c>
      <c r="F6094" s="55">
        <v>109</v>
      </c>
      <c r="G6094" s="63">
        <v>0.1153</v>
      </c>
    </row>
    <row r="6095" spans="1:7" x14ac:dyDescent="0.2">
      <c r="A6095" t="s">
        <v>71</v>
      </c>
      <c r="B6095" t="s">
        <v>179</v>
      </c>
      <c r="C6095" t="s">
        <v>204</v>
      </c>
      <c r="D6095" t="s">
        <v>74</v>
      </c>
      <c r="E6095" t="s">
        <v>85</v>
      </c>
      <c r="F6095" s="55">
        <v>103</v>
      </c>
      <c r="G6095" s="63">
        <v>9.8400000000000001E-2</v>
      </c>
    </row>
    <row r="6096" spans="1:7" x14ac:dyDescent="0.2">
      <c r="A6096" t="s">
        <v>71</v>
      </c>
      <c r="B6096" t="s">
        <v>179</v>
      </c>
      <c r="C6096" t="s">
        <v>204</v>
      </c>
      <c r="D6096" t="s">
        <v>74</v>
      </c>
      <c r="E6096" t="s">
        <v>86</v>
      </c>
      <c r="F6096" s="55">
        <v>104</v>
      </c>
      <c r="G6096" s="63">
        <v>0.12709999999999999</v>
      </c>
    </row>
    <row r="6097" spans="1:7" x14ac:dyDescent="0.2">
      <c r="A6097" t="s">
        <v>71</v>
      </c>
      <c r="B6097" t="s">
        <v>179</v>
      </c>
      <c r="C6097" t="s">
        <v>204</v>
      </c>
      <c r="D6097" t="s">
        <v>74</v>
      </c>
      <c r="E6097" t="s">
        <v>87</v>
      </c>
      <c r="F6097" s="55">
        <v>103</v>
      </c>
      <c r="G6097" s="63">
        <v>0.14580000000000001</v>
      </c>
    </row>
    <row r="6098" spans="1:7" x14ac:dyDescent="0.2">
      <c r="A6098" t="s">
        <v>71</v>
      </c>
      <c r="B6098" t="s">
        <v>179</v>
      </c>
      <c r="C6098" t="s">
        <v>204</v>
      </c>
      <c r="D6098" t="s">
        <v>74</v>
      </c>
      <c r="E6098" t="s">
        <v>88</v>
      </c>
      <c r="F6098" s="55">
        <v>103</v>
      </c>
      <c r="G6098" s="63">
        <v>8.1699999999999995E-2</v>
      </c>
    </row>
    <row r="6099" spans="1:7" x14ac:dyDescent="0.2">
      <c r="A6099" t="s">
        <v>89</v>
      </c>
      <c r="B6099" t="s">
        <v>180</v>
      </c>
      <c r="C6099" t="s">
        <v>204</v>
      </c>
      <c r="D6099" t="s">
        <v>74</v>
      </c>
      <c r="E6099" t="s">
        <v>75</v>
      </c>
      <c r="F6099" s="55">
        <v>36</v>
      </c>
      <c r="G6099" s="63">
        <v>0.2263</v>
      </c>
    </row>
    <row r="6100" spans="1:7" x14ac:dyDescent="0.2">
      <c r="A6100" t="s">
        <v>89</v>
      </c>
      <c r="B6100" t="s">
        <v>180</v>
      </c>
      <c r="C6100" t="s">
        <v>204</v>
      </c>
      <c r="D6100" t="s">
        <v>74</v>
      </c>
      <c r="E6100" t="s">
        <v>76</v>
      </c>
      <c r="F6100" s="55">
        <v>37</v>
      </c>
      <c r="G6100" s="63">
        <v>3.2300000000000002E-2</v>
      </c>
    </row>
    <row r="6101" spans="1:7" x14ac:dyDescent="0.2">
      <c r="A6101" t="s">
        <v>89</v>
      </c>
      <c r="B6101" t="s">
        <v>180</v>
      </c>
      <c r="C6101" t="s">
        <v>204</v>
      </c>
      <c r="D6101" t="s">
        <v>74</v>
      </c>
      <c r="E6101" t="s">
        <v>77</v>
      </c>
      <c r="F6101" s="55">
        <v>37</v>
      </c>
      <c r="G6101" s="63">
        <v>7.1400000000000005E-2</v>
      </c>
    </row>
    <row r="6102" spans="1:7" x14ac:dyDescent="0.2">
      <c r="A6102" t="s">
        <v>89</v>
      </c>
      <c r="B6102" t="s">
        <v>180</v>
      </c>
      <c r="C6102" t="s">
        <v>204</v>
      </c>
      <c r="D6102" t="s">
        <v>74</v>
      </c>
      <c r="E6102" t="s">
        <v>78</v>
      </c>
      <c r="F6102" s="55">
        <v>36</v>
      </c>
      <c r="G6102" s="63">
        <v>6.3500000000000001E-2</v>
      </c>
    </row>
    <row r="6103" spans="1:7" x14ac:dyDescent="0.2">
      <c r="A6103" t="s">
        <v>89</v>
      </c>
      <c r="B6103" t="s">
        <v>180</v>
      </c>
      <c r="C6103" t="s">
        <v>204</v>
      </c>
      <c r="D6103" t="s">
        <v>74</v>
      </c>
      <c r="E6103" t="s">
        <v>79</v>
      </c>
      <c r="F6103" s="55">
        <v>35</v>
      </c>
      <c r="G6103" s="63">
        <v>0.1245</v>
      </c>
    </row>
    <row r="6104" spans="1:7" x14ac:dyDescent="0.2">
      <c r="A6104" t="s">
        <v>89</v>
      </c>
      <c r="B6104" t="s">
        <v>180</v>
      </c>
      <c r="C6104" t="s">
        <v>204</v>
      </c>
      <c r="D6104" t="s">
        <v>74</v>
      </c>
      <c r="E6104" t="s">
        <v>80</v>
      </c>
      <c r="F6104" s="55">
        <v>38</v>
      </c>
      <c r="G6104" s="63">
        <v>2.8299999999999999E-2</v>
      </c>
    </row>
    <row r="6105" spans="1:7" x14ac:dyDescent="0.2">
      <c r="A6105" t="s">
        <v>89</v>
      </c>
      <c r="B6105" t="s">
        <v>180</v>
      </c>
      <c r="C6105" t="s">
        <v>204</v>
      </c>
      <c r="D6105" t="s">
        <v>74</v>
      </c>
      <c r="E6105" t="s">
        <v>81</v>
      </c>
      <c r="F6105" s="55">
        <v>41</v>
      </c>
      <c r="G6105" s="63">
        <v>3.2000000000000001E-2</v>
      </c>
    </row>
    <row r="6106" spans="1:7" x14ac:dyDescent="0.2">
      <c r="A6106" t="s">
        <v>89</v>
      </c>
      <c r="B6106" t="s">
        <v>180</v>
      </c>
      <c r="C6106" t="s">
        <v>204</v>
      </c>
      <c r="D6106" t="s">
        <v>74</v>
      </c>
      <c r="E6106" t="s">
        <v>82</v>
      </c>
      <c r="F6106" s="55">
        <v>36</v>
      </c>
      <c r="G6106" s="63">
        <v>0.13969999999999999</v>
      </c>
    </row>
    <row r="6107" spans="1:7" x14ac:dyDescent="0.2">
      <c r="A6107" t="s">
        <v>89</v>
      </c>
      <c r="B6107" t="s">
        <v>180</v>
      </c>
      <c r="C6107" t="s">
        <v>204</v>
      </c>
      <c r="D6107" t="s">
        <v>74</v>
      </c>
      <c r="E6107" t="s">
        <v>83</v>
      </c>
      <c r="F6107" s="55">
        <v>37</v>
      </c>
      <c r="G6107" s="63">
        <v>1.8499999999999999E-2</v>
      </c>
    </row>
    <row r="6108" spans="1:7" x14ac:dyDescent="0.2">
      <c r="A6108" t="s">
        <v>89</v>
      </c>
      <c r="B6108" t="s">
        <v>180</v>
      </c>
      <c r="C6108" t="s">
        <v>204</v>
      </c>
      <c r="D6108" t="s">
        <v>74</v>
      </c>
      <c r="E6108" t="s">
        <v>84</v>
      </c>
      <c r="F6108" s="55">
        <v>37</v>
      </c>
      <c r="G6108" s="63">
        <v>5.1400000000000001E-2</v>
      </c>
    </row>
    <row r="6109" spans="1:7" x14ac:dyDescent="0.2">
      <c r="A6109" t="s">
        <v>89</v>
      </c>
      <c r="B6109" t="s">
        <v>180</v>
      </c>
      <c r="C6109" t="s">
        <v>204</v>
      </c>
      <c r="D6109" t="s">
        <v>74</v>
      </c>
      <c r="E6109" t="s">
        <v>85</v>
      </c>
      <c r="F6109" s="55">
        <v>36</v>
      </c>
      <c r="G6109" s="63">
        <v>3.4200000000000001E-2</v>
      </c>
    </row>
    <row r="6110" spans="1:7" x14ac:dyDescent="0.2">
      <c r="A6110" t="s">
        <v>89</v>
      </c>
      <c r="B6110" t="s">
        <v>180</v>
      </c>
      <c r="C6110" t="s">
        <v>204</v>
      </c>
      <c r="D6110" t="s">
        <v>74</v>
      </c>
      <c r="E6110" t="s">
        <v>86</v>
      </c>
      <c r="F6110" s="55">
        <v>35</v>
      </c>
      <c r="G6110" s="63">
        <v>4.5499999999999999E-2</v>
      </c>
    </row>
    <row r="6111" spans="1:7" x14ac:dyDescent="0.2">
      <c r="A6111" t="s">
        <v>89</v>
      </c>
      <c r="B6111" t="s">
        <v>180</v>
      </c>
      <c r="C6111" t="s">
        <v>204</v>
      </c>
      <c r="D6111" t="s">
        <v>74</v>
      </c>
      <c r="E6111" t="s">
        <v>87</v>
      </c>
      <c r="F6111" s="55">
        <v>34</v>
      </c>
      <c r="G6111" s="63">
        <v>5.91E-2</v>
      </c>
    </row>
    <row r="6112" spans="1:7" x14ac:dyDescent="0.2">
      <c r="A6112" t="s">
        <v>89</v>
      </c>
      <c r="B6112" t="s">
        <v>180</v>
      </c>
      <c r="C6112" t="s">
        <v>204</v>
      </c>
      <c r="D6112" t="s">
        <v>74</v>
      </c>
      <c r="E6112" t="s">
        <v>88</v>
      </c>
      <c r="F6112" s="55">
        <v>37</v>
      </c>
      <c r="G6112" s="63">
        <v>4.7699999999999999E-2</v>
      </c>
    </row>
    <row r="6113" spans="1:7" x14ac:dyDescent="0.2">
      <c r="A6113" t="s">
        <v>71</v>
      </c>
      <c r="B6113" t="s">
        <v>18</v>
      </c>
      <c r="C6113" t="s">
        <v>204</v>
      </c>
      <c r="D6113" t="s">
        <v>74</v>
      </c>
      <c r="E6113" t="s">
        <v>75</v>
      </c>
      <c r="F6113" s="55">
        <v>106</v>
      </c>
      <c r="G6113" s="63">
        <v>0.32300000000000001</v>
      </c>
    </row>
    <row r="6114" spans="1:7" x14ac:dyDescent="0.2">
      <c r="A6114" t="s">
        <v>71</v>
      </c>
      <c r="B6114" t="s">
        <v>18</v>
      </c>
      <c r="C6114" t="s">
        <v>204</v>
      </c>
      <c r="D6114" t="s">
        <v>74</v>
      </c>
      <c r="E6114" t="s">
        <v>76</v>
      </c>
      <c r="F6114" s="55">
        <v>111</v>
      </c>
      <c r="G6114" s="63">
        <v>5.2400000000000002E-2</v>
      </c>
    </row>
    <row r="6115" spans="1:7" x14ac:dyDescent="0.2">
      <c r="A6115" t="s">
        <v>71</v>
      </c>
      <c r="B6115" t="s">
        <v>18</v>
      </c>
      <c r="C6115" t="s">
        <v>204</v>
      </c>
      <c r="D6115" t="s">
        <v>74</v>
      </c>
      <c r="E6115" t="s">
        <v>77</v>
      </c>
      <c r="F6115" s="55">
        <v>104</v>
      </c>
      <c r="G6115" s="63">
        <v>0.14710000000000001</v>
      </c>
    </row>
    <row r="6116" spans="1:7" x14ac:dyDescent="0.2">
      <c r="A6116" t="s">
        <v>71</v>
      </c>
      <c r="B6116" t="s">
        <v>18</v>
      </c>
      <c r="C6116" t="s">
        <v>204</v>
      </c>
      <c r="D6116" t="s">
        <v>74</v>
      </c>
      <c r="E6116" t="s">
        <v>78</v>
      </c>
      <c r="F6116" s="55">
        <v>105</v>
      </c>
      <c r="G6116" s="63">
        <v>0.14680000000000001</v>
      </c>
    </row>
    <row r="6117" spans="1:7" x14ac:dyDescent="0.2">
      <c r="A6117" t="s">
        <v>71</v>
      </c>
      <c r="B6117" t="s">
        <v>18</v>
      </c>
      <c r="C6117" t="s">
        <v>204</v>
      </c>
      <c r="D6117" t="s">
        <v>74</v>
      </c>
      <c r="E6117" t="s">
        <v>79</v>
      </c>
      <c r="F6117" s="55">
        <v>107</v>
      </c>
      <c r="G6117" s="63">
        <v>0.22789999999999999</v>
      </c>
    </row>
    <row r="6118" spans="1:7" x14ac:dyDescent="0.2">
      <c r="A6118" t="s">
        <v>71</v>
      </c>
      <c r="B6118" t="s">
        <v>18</v>
      </c>
      <c r="C6118" t="s">
        <v>204</v>
      </c>
      <c r="D6118" t="s">
        <v>74</v>
      </c>
      <c r="E6118" t="s">
        <v>80</v>
      </c>
      <c r="F6118" s="55">
        <v>105</v>
      </c>
      <c r="G6118" s="63">
        <v>7.8100000000000003E-2</v>
      </c>
    </row>
    <row r="6119" spans="1:7" x14ac:dyDescent="0.2">
      <c r="A6119" t="s">
        <v>71</v>
      </c>
      <c r="B6119" t="s">
        <v>18</v>
      </c>
      <c r="C6119" t="s">
        <v>204</v>
      </c>
      <c r="D6119" t="s">
        <v>74</v>
      </c>
      <c r="E6119" t="s">
        <v>81</v>
      </c>
      <c r="F6119" s="55">
        <v>109</v>
      </c>
      <c r="G6119" s="63">
        <v>7.1800000000000003E-2</v>
      </c>
    </row>
    <row r="6120" spans="1:7" x14ac:dyDescent="0.2">
      <c r="A6120" t="s">
        <v>71</v>
      </c>
      <c r="B6120" t="s">
        <v>18</v>
      </c>
      <c r="C6120" t="s">
        <v>204</v>
      </c>
      <c r="D6120" t="s">
        <v>74</v>
      </c>
      <c r="E6120" t="s">
        <v>82</v>
      </c>
      <c r="F6120" s="55">
        <v>104</v>
      </c>
      <c r="G6120" s="63">
        <v>0.17380000000000001</v>
      </c>
    </row>
    <row r="6121" spans="1:7" x14ac:dyDescent="0.2">
      <c r="A6121" t="s">
        <v>71</v>
      </c>
      <c r="B6121" t="s">
        <v>18</v>
      </c>
      <c r="C6121" t="s">
        <v>204</v>
      </c>
      <c r="D6121" t="s">
        <v>74</v>
      </c>
      <c r="E6121" t="s">
        <v>83</v>
      </c>
      <c r="F6121" s="55">
        <v>120</v>
      </c>
      <c r="G6121" s="63">
        <v>3.1E-2</v>
      </c>
    </row>
    <row r="6122" spans="1:7" x14ac:dyDescent="0.2">
      <c r="A6122" t="s">
        <v>71</v>
      </c>
      <c r="B6122" t="s">
        <v>18</v>
      </c>
      <c r="C6122" t="s">
        <v>204</v>
      </c>
      <c r="D6122" t="s">
        <v>74</v>
      </c>
      <c r="E6122" t="s">
        <v>84</v>
      </c>
      <c r="F6122" s="55">
        <v>106</v>
      </c>
      <c r="G6122" s="63">
        <v>0.1176</v>
      </c>
    </row>
    <row r="6123" spans="1:7" x14ac:dyDescent="0.2">
      <c r="A6123" t="s">
        <v>71</v>
      </c>
      <c r="B6123" t="s">
        <v>18</v>
      </c>
      <c r="C6123" t="s">
        <v>204</v>
      </c>
      <c r="D6123" t="s">
        <v>74</v>
      </c>
      <c r="E6123" t="s">
        <v>85</v>
      </c>
      <c r="F6123" s="55">
        <v>106</v>
      </c>
      <c r="G6123" s="63">
        <v>9.3100000000000002E-2</v>
      </c>
    </row>
    <row r="6124" spans="1:7" x14ac:dyDescent="0.2">
      <c r="A6124" t="s">
        <v>71</v>
      </c>
      <c r="B6124" t="s">
        <v>18</v>
      </c>
      <c r="C6124" t="s">
        <v>204</v>
      </c>
      <c r="D6124" t="s">
        <v>74</v>
      </c>
      <c r="E6124" t="s">
        <v>86</v>
      </c>
      <c r="F6124" s="55">
        <v>108</v>
      </c>
      <c r="G6124" s="63">
        <v>0.1206</v>
      </c>
    </row>
    <row r="6125" spans="1:7" x14ac:dyDescent="0.2">
      <c r="A6125" t="s">
        <v>71</v>
      </c>
      <c r="B6125" t="s">
        <v>18</v>
      </c>
      <c r="C6125" t="s">
        <v>204</v>
      </c>
      <c r="D6125" t="s">
        <v>74</v>
      </c>
      <c r="E6125" t="s">
        <v>87</v>
      </c>
      <c r="F6125" s="55">
        <v>110</v>
      </c>
      <c r="G6125" s="63">
        <v>0.13739999999999999</v>
      </c>
    </row>
    <row r="6126" spans="1:7" x14ac:dyDescent="0.2">
      <c r="A6126" t="s">
        <v>71</v>
      </c>
      <c r="B6126" t="s">
        <v>18</v>
      </c>
      <c r="C6126" t="s">
        <v>204</v>
      </c>
      <c r="D6126" t="s">
        <v>74</v>
      </c>
      <c r="E6126" t="s">
        <v>88</v>
      </c>
      <c r="F6126" s="55">
        <v>110</v>
      </c>
      <c r="G6126" s="63">
        <v>7.7899999999999997E-2</v>
      </c>
    </row>
    <row r="6127" spans="1:7" x14ac:dyDescent="0.2">
      <c r="A6127" t="s">
        <v>89</v>
      </c>
      <c r="B6127" t="s">
        <v>181</v>
      </c>
      <c r="C6127" t="s">
        <v>204</v>
      </c>
      <c r="D6127" t="s">
        <v>74</v>
      </c>
      <c r="E6127" t="s">
        <v>75</v>
      </c>
      <c r="F6127" s="55">
        <v>104</v>
      </c>
      <c r="G6127" s="63">
        <v>0.1565</v>
      </c>
    </row>
    <row r="6128" spans="1:7" x14ac:dyDescent="0.2">
      <c r="A6128" t="s">
        <v>89</v>
      </c>
      <c r="B6128" t="s">
        <v>181</v>
      </c>
      <c r="C6128" t="s">
        <v>204</v>
      </c>
      <c r="D6128" t="s">
        <v>74</v>
      </c>
      <c r="E6128" t="s">
        <v>76</v>
      </c>
      <c r="F6128" s="55">
        <v>97</v>
      </c>
      <c r="G6128" s="63">
        <v>1.8200000000000001E-2</v>
      </c>
    </row>
    <row r="6129" spans="1:7" x14ac:dyDescent="0.2">
      <c r="A6129" t="s">
        <v>89</v>
      </c>
      <c r="B6129" t="s">
        <v>181</v>
      </c>
      <c r="C6129" t="s">
        <v>204</v>
      </c>
      <c r="D6129" t="s">
        <v>74</v>
      </c>
      <c r="E6129" t="s">
        <v>77</v>
      </c>
      <c r="F6129" s="55">
        <v>101</v>
      </c>
      <c r="G6129" s="63">
        <v>0.06</v>
      </c>
    </row>
    <row r="6130" spans="1:7" x14ac:dyDescent="0.2">
      <c r="A6130" t="s">
        <v>89</v>
      </c>
      <c r="B6130" t="s">
        <v>181</v>
      </c>
      <c r="C6130" t="s">
        <v>204</v>
      </c>
      <c r="D6130" t="s">
        <v>74</v>
      </c>
      <c r="E6130" t="s">
        <v>78</v>
      </c>
      <c r="F6130" s="55">
        <v>107</v>
      </c>
      <c r="G6130" s="63">
        <v>5.3100000000000001E-2</v>
      </c>
    </row>
    <row r="6131" spans="1:7" x14ac:dyDescent="0.2">
      <c r="A6131" t="s">
        <v>89</v>
      </c>
      <c r="B6131" t="s">
        <v>181</v>
      </c>
      <c r="C6131" t="s">
        <v>204</v>
      </c>
      <c r="D6131" t="s">
        <v>74</v>
      </c>
      <c r="E6131" t="s">
        <v>79</v>
      </c>
      <c r="F6131" s="55">
        <v>106</v>
      </c>
      <c r="G6131" s="63">
        <v>0.1075</v>
      </c>
    </row>
    <row r="6132" spans="1:7" x14ac:dyDescent="0.2">
      <c r="A6132" t="s">
        <v>89</v>
      </c>
      <c r="B6132" t="s">
        <v>181</v>
      </c>
      <c r="C6132" t="s">
        <v>204</v>
      </c>
      <c r="D6132" t="s">
        <v>74</v>
      </c>
      <c r="E6132" t="s">
        <v>80</v>
      </c>
      <c r="F6132" s="55">
        <v>107</v>
      </c>
      <c r="G6132" s="63">
        <v>7.0499999999999993E-2</v>
      </c>
    </row>
    <row r="6133" spans="1:7" x14ac:dyDescent="0.2">
      <c r="A6133" t="s">
        <v>89</v>
      </c>
      <c r="B6133" t="s">
        <v>181</v>
      </c>
      <c r="C6133" t="s">
        <v>204</v>
      </c>
      <c r="D6133" t="s">
        <v>74</v>
      </c>
      <c r="E6133" t="s">
        <v>81</v>
      </c>
      <c r="F6133" s="55">
        <v>104</v>
      </c>
      <c r="G6133" s="63">
        <v>6.3299999999999995E-2</v>
      </c>
    </row>
    <row r="6134" spans="1:7" x14ac:dyDescent="0.2">
      <c r="A6134" t="s">
        <v>89</v>
      </c>
      <c r="B6134" t="s">
        <v>181</v>
      </c>
      <c r="C6134" t="s">
        <v>204</v>
      </c>
      <c r="D6134" t="s">
        <v>74</v>
      </c>
      <c r="E6134" t="s">
        <v>82</v>
      </c>
      <c r="F6134" s="55">
        <v>102</v>
      </c>
      <c r="G6134" s="63">
        <v>8.1600000000000006E-2</v>
      </c>
    </row>
    <row r="6135" spans="1:7" x14ac:dyDescent="0.2">
      <c r="A6135" t="s">
        <v>89</v>
      </c>
      <c r="B6135" t="s">
        <v>181</v>
      </c>
      <c r="C6135" t="s">
        <v>204</v>
      </c>
      <c r="D6135" t="s">
        <v>74</v>
      </c>
      <c r="E6135" t="s">
        <v>83</v>
      </c>
      <c r="F6135" s="55">
        <v>95</v>
      </c>
      <c r="G6135" s="63">
        <v>1.9900000000000001E-2</v>
      </c>
    </row>
    <row r="6136" spans="1:7" x14ac:dyDescent="0.2">
      <c r="A6136" t="s">
        <v>89</v>
      </c>
      <c r="B6136" t="s">
        <v>181</v>
      </c>
      <c r="C6136" t="s">
        <v>204</v>
      </c>
      <c r="D6136" t="s">
        <v>74</v>
      </c>
      <c r="E6136" t="s">
        <v>84</v>
      </c>
      <c r="F6136" s="55">
        <v>107</v>
      </c>
      <c r="G6136" s="63">
        <v>4.5600000000000002E-2</v>
      </c>
    </row>
    <row r="6137" spans="1:7" x14ac:dyDescent="0.2">
      <c r="A6137" t="s">
        <v>89</v>
      </c>
      <c r="B6137" t="s">
        <v>181</v>
      </c>
      <c r="C6137" t="s">
        <v>204</v>
      </c>
      <c r="D6137" t="s">
        <v>74</v>
      </c>
      <c r="E6137" t="s">
        <v>85</v>
      </c>
      <c r="F6137" s="55">
        <v>107</v>
      </c>
      <c r="G6137" s="63">
        <v>6.83E-2</v>
      </c>
    </row>
    <row r="6138" spans="1:7" x14ac:dyDescent="0.2">
      <c r="A6138" t="s">
        <v>89</v>
      </c>
      <c r="B6138" t="s">
        <v>181</v>
      </c>
      <c r="C6138" t="s">
        <v>204</v>
      </c>
      <c r="D6138" t="s">
        <v>74</v>
      </c>
      <c r="E6138" t="s">
        <v>86</v>
      </c>
      <c r="F6138" s="55">
        <v>104</v>
      </c>
      <c r="G6138" s="63">
        <v>6.6799999999999998E-2</v>
      </c>
    </row>
    <row r="6139" spans="1:7" x14ac:dyDescent="0.2">
      <c r="A6139" t="s">
        <v>89</v>
      </c>
      <c r="B6139" t="s">
        <v>181</v>
      </c>
      <c r="C6139" t="s">
        <v>204</v>
      </c>
      <c r="D6139" t="s">
        <v>74</v>
      </c>
      <c r="E6139" t="s">
        <v>87</v>
      </c>
      <c r="F6139" s="55">
        <v>104</v>
      </c>
      <c r="G6139" s="63">
        <v>6.4699999999999994E-2</v>
      </c>
    </row>
    <row r="6140" spans="1:7" x14ac:dyDescent="0.2">
      <c r="A6140" t="s">
        <v>89</v>
      </c>
      <c r="B6140" t="s">
        <v>181</v>
      </c>
      <c r="C6140" t="s">
        <v>204</v>
      </c>
      <c r="D6140" t="s">
        <v>74</v>
      </c>
      <c r="E6140" t="s">
        <v>88</v>
      </c>
      <c r="F6140" s="55">
        <v>96</v>
      </c>
      <c r="G6140" s="63">
        <v>2.5600000000000001E-2</v>
      </c>
    </row>
    <row r="6141" spans="1:7" x14ac:dyDescent="0.2">
      <c r="A6141" t="s">
        <v>71</v>
      </c>
      <c r="B6141" t="s">
        <v>182</v>
      </c>
      <c r="C6141" t="s">
        <v>204</v>
      </c>
      <c r="D6141" t="s">
        <v>74</v>
      </c>
      <c r="E6141" t="s">
        <v>75</v>
      </c>
      <c r="F6141" s="55">
        <v>96</v>
      </c>
      <c r="G6141" s="63">
        <v>0.29070000000000001</v>
      </c>
    </row>
    <row r="6142" spans="1:7" x14ac:dyDescent="0.2">
      <c r="A6142" t="s">
        <v>71</v>
      </c>
      <c r="B6142" t="s">
        <v>182</v>
      </c>
      <c r="C6142" t="s">
        <v>204</v>
      </c>
      <c r="D6142" t="s">
        <v>74</v>
      </c>
      <c r="E6142" t="s">
        <v>76</v>
      </c>
      <c r="F6142" s="55">
        <v>106</v>
      </c>
      <c r="G6142" s="63">
        <v>5.0599999999999999E-2</v>
      </c>
    </row>
    <row r="6143" spans="1:7" x14ac:dyDescent="0.2">
      <c r="A6143" t="s">
        <v>71</v>
      </c>
      <c r="B6143" t="s">
        <v>182</v>
      </c>
      <c r="C6143" t="s">
        <v>204</v>
      </c>
      <c r="D6143" t="s">
        <v>74</v>
      </c>
      <c r="E6143" t="s">
        <v>77</v>
      </c>
      <c r="F6143" s="55">
        <v>97</v>
      </c>
      <c r="G6143" s="63">
        <v>0.12740000000000001</v>
      </c>
    </row>
    <row r="6144" spans="1:7" x14ac:dyDescent="0.2">
      <c r="A6144" t="s">
        <v>71</v>
      </c>
      <c r="B6144" t="s">
        <v>182</v>
      </c>
      <c r="C6144" t="s">
        <v>204</v>
      </c>
      <c r="D6144" t="s">
        <v>74</v>
      </c>
      <c r="E6144" t="s">
        <v>78</v>
      </c>
      <c r="F6144" s="55">
        <v>98</v>
      </c>
      <c r="G6144" s="63">
        <v>0.1173</v>
      </c>
    </row>
    <row r="6145" spans="1:7" x14ac:dyDescent="0.2">
      <c r="A6145" t="s">
        <v>71</v>
      </c>
      <c r="B6145" t="s">
        <v>182</v>
      </c>
      <c r="C6145" t="s">
        <v>204</v>
      </c>
      <c r="D6145" t="s">
        <v>74</v>
      </c>
      <c r="E6145" t="s">
        <v>79</v>
      </c>
      <c r="F6145" s="55">
        <v>95</v>
      </c>
      <c r="G6145" s="63">
        <v>0.18809999999999999</v>
      </c>
    </row>
    <row r="6146" spans="1:7" x14ac:dyDescent="0.2">
      <c r="A6146" t="s">
        <v>71</v>
      </c>
      <c r="B6146" t="s">
        <v>182</v>
      </c>
      <c r="C6146" t="s">
        <v>204</v>
      </c>
      <c r="D6146" t="s">
        <v>74</v>
      </c>
      <c r="E6146" t="s">
        <v>80</v>
      </c>
      <c r="F6146" s="55">
        <v>96</v>
      </c>
      <c r="G6146" s="63">
        <v>6.7900000000000002E-2</v>
      </c>
    </row>
    <row r="6147" spans="1:7" x14ac:dyDescent="0.2">
      <c r="A6147" t="s">
        <v>71</v>
      </c>
      <c r="B6147" t="s">
        <v>182</v>
      </c>
      <c r="C6147" t="s">
        <v>204</v>
      </c>
      <c r="D6147" t="s">
        <v>74</v>
      </c>
      <c r="E6147" t="s">
        <v>81</v>
      </c>
      <c r="F6147" s="55">
        <v>102</v>
      </c>
      <c r="G6147" s="63">
        <v>7.0400000000000004E-2</v>
      </c>
    </row>
    <row r="6148" spans="1:7" x14ac:dyDescent="0.2">
      <c r="A6148" t="s">
        <v>71</v>
      </c>
      <c r="B6148" t="s">
        <v>182</v>
      </c>
      <c r="C6148" t="s">
        <v>204</v>
      </c>
      <c r="D6148" t="s">
        <v>74</v>
      </c>
      <c r="E6148" t="s">
        <v>82</v>
      </c>
      <c r="F6148" s="55">
        <v>94</v>
      </c>
      <c r="G6148" s="63">
        <v>0.14510000000000001</v>
      </c>
    </row>
    <row r="6149" spans="1:7" x14ac:dyDescent="0.2">
      <c r="A6149" t="s">
        <v>71</v>
      </c>
      <c r="B6149" t="s">
        <v>182</v>
      </c>
      <c r="C6149" t="s">
        <v>204</v>
      </c>
      <c r="D6149" t="s">
        <v>74</v>
      </c>
      <c r="E6149" t="s">
        <v>83</v>
      </c>
      <c r="F6149" s="55">
        <v>108</v>
      </c>
      <c r="G6149" s="63">
        <v>3.6999999999999998E-2</v>
      </c>
    </row>
    <row r="6150" spans="1:7" x14ac:dyDescent="0.2">
      <c r="A6150" t="s">
        <v>71</v>
      </c>
      <c r="B6150" t="s">
        <v>182</v>
      </c>
      <c r="C6150" t="s">
        <v>204</v>
      </c>
      <c r="D6150" t="s">
        <v>74</v>
      </c>
      <c r="E6150" t="s">
        <v>84</v>
      </c>
      <c r="F6150" s="55">
        <v>100</v>
      </c>
      <c r="G6150" s="63">
        <v>9.3100000000000002E-2</v>
      </c>
    </row>
    <row r="6151" spans="1:7" x14ac:dyDescent="0.2">
      <c r="A6151" t="s">
        <v>71</v>
      </c>
      <c r="B6151" t="s">
        <v>182</v>
      </c>
      <c r="C6151" t="s">
        <v>204</v>
      </c>
      <c r="D6151" t="s">
        <v>74</v>
      </c>
      <c r="E6151" t="s">
        <v>85</v>
      </c>
      <c r="F6151" s="55">
        <v>96</v>
      </c>
      <c r="G6151" s="63">
        <v>7.85E-2</v>
      </c>
    </row>
    <row r="6152" spans="1:7" x14ac:dyDescent="0.2">
      <c r="A6152" t="s">
        <v>71</v>
      </c>
      <c r="B6152" t="s">
        <v>182</v>
      </c>
      <c r="C6152" t="s">
        <v>204</v>
      </c>
      <c r="D6152" t="s">
        <v>74</v>
      </c>
      <c r="E6152" t="s">
        <v>86</v>
      </c>
      <c r="F6152" s="55">
        <v>96</v>
      </c>
      <c r="G6152" s="63">
        <v>9.8799999999999999E-2</v>
      </c>
    </row>
    <row r="6153" spans="1:7" x14ac:dyDescent="0.2">
      <c r="A6153" t="s">
        <v>71</v>
      </c>
      <c r="B6153" t="s">
        <v>182</v>
      </c>
      <c r="C6153" t="s">
        <v>204</v>
      </c>
      <c r="D6153" t="s">
        <v>74</v>
      </c>
      <c r="E6153" t="s">
        <v>87</v>
      </c>
      <c r="F6153" s="55">
        <v>95</v>
      </c>
      <c r="G6153" s="63">
        <v>0.10970000000000001</v>
      </c>
    </row>
    <row r="6154" spans="1:7" x14ac:dyDescent="0.2">
      <c r="A6154" t="s">
        <v>71</v>
      </c>
      <c r="B6154" t="s">
        <v>182</v>
      </c>
      <c r="C6154" t="s">
        <v>204</v>
      </c>
      <c r="D6154" t="s">
        <v>74</v>
      </c>
      <c r="E6154" t="s">
        <v>88</v>
      </c>
      <c r="F6154" s="55">
        <v>105</v>
      </c>
      <c r="G6154" s="63">
        <v>8.0100000000000005E-2</v>
      </c>
    </row>
    <row r="6155" spans="1:7" x14ac:dyDescent="0.2">
      <c r="A6155" t="s">
        <v>89</v>
      </c>
      <c r="B6155" t="s">
        <v>183</v>
      </c>
      <c r="C6155" t="s">
        <v>204</v>
      </c>
      <c r="D6155" t="s">
        <v>74</v>
      </c>
      <c r="E6155" t="s">
        <v>75</v>
      </c>
      <c r="F6155" s="55">
        <v>96</v>
      </c>
      <c r="G6155" s="63">
        <v>5.7700000000000001E-2</v>
      </c>
    </row>
    <row r="6156" spans="1:7" x14ac:dyDescent="0.2">
      <c r="A6156" t="s">
        <v>89</v>
      </c>
      <c r="B6156" t="s">
        <v>183</v>
      </c>
      <c r="C6156" t="s">
        <v>204</v>
      </c>
      <c r="D6156" t="s">
        <v>74</v>
      </c>
      <c r="E6156" t="s">
        <v>76</v>
      </c>
      <c r="F6156" s="55">
        <v>87</v>
      </c>
      <c r="G6156" s="63">
        <v>9.1000000000000004E-3</v>
      </c>
    </row>
    <row r="6157" spans="1:7" x14ac:dyDescent="0.2">
      <c r="A6157" t="s">
        <v>89</v>
      </c>
      <c r="B6157" t="s">
        <v>183</v>
      </c>
      <c r="C6157" t="s">
        <v>204</v>
      </c>
      <c r="D6157" t="s">
        <v>74</v>
      </c>
      <c r="E6157" t="s">
        <v>77</v>
      </c>
      <c r="F6157" s="55">
        <v>96</v>
      </c>
      <c r="G6157" s="63">
        <v>2.6800000000000001E-2</v>
      </c>
    </row>
    <row r="6158" spans="1:7" x14ac:dyDescent="0.2">
      <c r="A6158" t="s">
        <v>89</v>
      </c>
      <c r="B6158" t="s">
        <v>183</v>
      </c>
      <c r="C6158" t="s">
        <v>204</v>
      </c>
      <c r="D6158" t="s">
        <v>74</v>
      </c>
      <c r="E6158" t="s">
        <v>78</v>
      </c>
      <c r="F6158" s="55">
        <v>99</v>
      </c>
      <c r="G6158" s="63">
        <v>2.4500000000000001E-2</v>
      </c>
    </row>
    <row r="6159" spans="1:7" x14ac:dyDescent="0.2">
      <c r="A6159" t="s">
        <v>89</v>
      </c>
      <c r="B6159" t="s">
        <v>183</v>
      </c>
      <c r="C6159" t="s">
        <v>204</v>
      </c>
      <c r="D6159" t="s">
        <v>74</v>
      </c>
      <c r="E6159" t="s">
        <v>79</v>
      </c>
      <c r="F6159" s="55">
        <v>98</v>
      </c>
      <c r="G6159" s="63">
        <v>4.0899999999999999E-2</v>
      </c>
    </row>
    <row r="6160" spans="1:7" x14ac:dyDescent="0.2">
      <c r="A6160" t="s">
        <v>89</v>
      </c>
      <c r="B6160" t="s">
        <v>183</v>
      </c>
      <c r="C6160" t="s">
        <v>204</v>
      </c>
      <c r="D6160" t="s">
        <v>74</v>
      </c>
      <c r="E6160" t="s">
        <v>80</v>
      </c>
      <c r="F6160" s="55">
        <v>98</v>
      </c>
      <c r="G6160" s="63">
        <v>2.4400000000000002E-2</v>
      </c>
    </row>
    <row r="6161" spans="1:7" x14ac:dyDescent="0.2">
      <c r="A6161" t="s">
        <v>89</v>
      </c>
      <c r="B6161" t="s">
        <v>183</v>
      </c>
      <c r="C6161" t="s">
        <v>204</v>
      </c>
      <c r="D6161" t="s">
        <v>74</v>
      </c>
      <c r="E6161" t="s">
        <v>81</v>
      </c>
      <c r="F6161" s="55">
        <v>93</v>
      </c>
      <c r="G6161" s="63">
        <v>2.3400000000000001E-2</v>
      </c>
    </row>
    <row r="6162" spans="1:7" x14ac:dyDescent="0.2">
      <c r="A6162" t="s">
        <v>89</v>
      </c>
      <c r="B6162" t="s">
        <v>183</v>
      </c>
      <c r="C6162" t="s">
        <v>204</v>
      </c>
      <c r="D6162" t="s">
        <v>74</v>
      </c>
      <c r="E6162" t="s">
        <v>82</v>
      </c>
      <c r="F6162" s="55">
        <v>95</v>
      </c>
      <c r="G6162" s="63">
        <v>3.5299999999999998E-2</v>
      </c>
    </row>
    <row r="6163" spans="1:7" x14ac:dyDescent="0.2">
      <c r="A6163" t="s">
        <v>89</v>
      </c>
      <c r="B6163" t="s">
        <v>183</v>
      </c>
      <c r="C6163" t="s">
        <v>204</v>
      </c>
      <c r="D6163" t="s">
        <v>74</v>
      </c>
      <c r="E6163" t="s">
        <v>83</v>
      </c>
      <c r="F6163" s="55">
        <v>88</v>
      </c>
      <c r="G6163" s="63">
        <v>9.4000000000000004E-3</v>
      </c>
    </row>
    <row r="6164" spans="1:7" x14ac:dyDescent="0.2">
      <c r="A6164" t="s">
        <v>89</v>
      </c>
      <c r="B6164" t="s">
        <v>183</v>
      </c>
      <c r="C6164" t="s">
        <v>204</v>
      </c>
      <c r="D6164" t="s">
        <v>74</v>
      </c>
      <c r="E6164" t="s">
        <v>84</v>
      </c>
      <c r="F6164" s="55">
        <v>98</v>
      </c>
      <c r="G6164" s="63">
        <v>2.1499999999999998E-2</v>
      </c>
    </row>
    <row r="6165" spans="1:7" x14ac:dyDescent="0.2">
      <c r="A6165" t="s">
        <v>89</v>
      </c>
      <c r="B6165" t="s">
        <v>183</v>
      </c>
      <c r="C6165" t="s">
        <v>204</v>
      </c>
      <c r="D6165" t="s">
        <v>74</v>
      </c>
      <c r="E6165" t="s">
        <v>85</v>
      </c>
      <c r="F6165" s="55">
        <v>96</v>
      </c>
      <c r="G6165" s="63">
        <v>2.29E-2</v>
      </c>
    </row>
    <row r="6166" spans="1:7" x14ac:dyDescent="0.2">
      <c r="A6166" t="s">
        <v>89</v>
      </c>
      <c r="B6166" t="s">
        <v>183</v>
      </c>
      <c r="C6166" t="s">
        <v>204</v>
      </c>
      <c r="D6166" t="s">
        <v>74</v>
      </c>
      <c r="E6166" t="s">
        <v>86</v>
      </c>
      <c r="F6166" s="55">
        <v>96</v>
      </c>
      <c r="G6166" s="63">
        <v>2.5000000000000001E-2</v>
      </c>
    </row>
    <row r="6167" spans="1:7" x14ac:dyDescent="0.2">
      <c r="A6167" t="s">
        <v>89</v>
      </c>
      <c r="B6167" t="s">
        <v>183</v>
      </c>
      <c r="C6167" t="s">
        <v>204</v>
      </c>
      <c r="D6167" t="s">
        <v>74</v>
      </c>
      <c r="E6167" t="s">
        <v>87</v>
      </c>
      <c r="F6167" s="55">
        <v>97</v>
      </c>
      <c r="G6167" s="63">
        <v>2.5899999999999999E-2</v>
      </c>
    </row>
    <row r="6168" spans="1:7" x14ac:dyDescent="0.2">
      <c r="A6168" t="s">
        <v>89</v>
      </c>
      <c r="B6168" t="s">
        <v>183</v>
      </c>
      <c r="C6168" t="s">
        <v>204</v>
      </c>
      <c r="D6168" t="s">
        <v>74</v>
      </c>
      <c r="E6168" t="s">
        <v>88</v>
      </c>
      <c r="F6168" s="55">
        <v>87</v>
      </c>
      <c r="G6168" s="63">
        <v>1.2800000000000001E-2</v>
      </c>
    </row>
    <row r="6169" spans="1:7" x14ac:dyDescent="0.2">
      <c r="A6169" t="s">
        <v>71</v>
      </c>
      <c r="B6169" t="s">
        <v>184</v>
      </c>
      <c r="C6169" t="s">
        <v>204</v>
      </c>
      <c r="D6169" t="s">
        <v>74</v>
      </c>
      <c r="E6169" t="s">
        <v>75</v>
      </c>
      <c r="F6169" s="55">
        <v>115</v>
      </c>
      <c r="G6169" s="63">
        <v>0.29070000000000001</v>
      </c>
    </row>
    <row r="6170" spans="1:7" x14ac:dyDescent="0.2">
      <c r="A6170" t="s">
        <v>71</v>
      </c>
      <c r="B6170" t="s">
        <v>184</v>
      </c>
      <c r="C6170" t="s">
        <v>204</v>
      </c>
      <c r="D6170" t="s">
        <v>74</v>
      </c>
      <c r="E6170" t="s">
        <v>76</v>
      </c>
      <c r="F6170" s="55">
        <v>109</v>
      </c>
      <c r="G6170" s="63">
        <v>3.7600000000000001E-2</v>
      </c>
    </row>
    <row r="6171" spans="1:7" x14ac:dyDescent="0.2">
      <c r="A6171" t="s">
        <v>71</v>
      </c>
      <c r="B6171" t="s">
        <v>184</v>
      </c>
      <c r="C6171" t="s">
        <v>204</v>
      </c>
      <c r="D6171" t="s">
        <v>74</v>
      </c>
      <c r="E6171" t="s">
        <v>77</v>
      </c>
      <c r="F6171" s="55">
        <v>118</v>
      </c>
      <c r="G6171" s="63">
        <v>0.1147</v>
      </c>
    </row>
    <row r="6172" spans="1:7" x14ac:dyDescent="0.2">
      <c r="A6172" t="s">
        <v>71</v>
      </c>
      <c r="B6172" t="s">
        <v>184</v>
      </c>
      <c r="C6172" t="s">
        <v>204</v>
      </c>
      <c r="D6172" t="s">
        <v>74</v>
      </c>
      <c r="E6172" t="s">
        <v>78</v>
      </c>
      <c r="F6172" s="55">
        <v>121</v>
      </c>
      <c r="G6172" s="63">
        <v>8.72E-2</v>
      </c>
    </row>
    <row r="6173" spans="1:7" x14ac:dyDescent="0.2">
      <c r="A6173" t="s">
        <v>71</v>
      </c>
      <c r="B6173" t="s">
        <v>184</v>
      </c>
      <c r="C6173" t="s">
        <v>204</v>
      </c>
      <c r="D6173" t="s">
        <v>74</v>
      </c>
      <c r="E6173" t="s">
        <v>79</v>
      </c>
      <c r="F6173" s="55">
        <v>114</v>
      </c>
      <c r="G6173" s="63">
        <v>0.18890000000000001</v>
      </c>
    </row>
    <row r="6174" spans="1:7" x14ac:dyDescent="0.2">
      <c r="A6174" t="s">
        <v>71</v>
      </c>
      <c r="B6174" t="s">
        <v>184</v>
      </c>
      <c r="C6174" t="s">
        <v>204</v>
      </c>
      <c r="D6174" t="s">
        <v>74</v>
      </c>
      <c r="E6174" t="s">
        <v>80</v>
      </c>
      <c r="F6174" s="55">
        <v>113</v>
      </c>
      <c r="G6174" s="63">
        <v>0.1061</v>
      </c>
    </row>
    <row r="6175" spans="1:7" x14ac:dyDescent="0.2">
      <c r="A6175" t="s">
        <v>71</v>
      </c>
      <c r="B6175" t="s">
        <v>184</v>
      </c>
      <c r="C6175" t="s">
        <v>204</v>
      </c>
      <c r="D6175" t="s">
        <v>74</v>
      </c>
      <c r="E6175" t="s">
        <v>81</v>
      </c>
      <c r="F6175" s="55">
        <v>115</v>
      </c>
      <c r="G6175" s="63">
        <v>0.1038</v>
      </c>
    </row>
    <row r="6176" spans="1:7" x14ac:dyDescent="0.2">
      <c r="A6176" t="s">
        <v>71</v>
      </c>
      <c r="B6176" t="s">
        <v>184</v>
      </c>
      <c r="C6176" t="s">
        <v>204</v>
      </c>
      <c r="D6176" t="s">
        <v>74</v>
      </c>
      <c r="E6176" t="s">
        <v>82</v>
      </c>
      <c r="F6176" s="55">
        <v>113</v>
      </c>
      <c r="G6176" s="63">
        <v>0.12330000000000001</v>
      </c>
    </row>
    <row r="6177" spans="1:7" x14ac:dyDescent="0.2">
      <c r="A6177" t="s">
        <v>71</v>
      </c>
      <c r="B6177" t="s">
        <v>184</v>
      </c>
      <c r="C6177" t="s">
        <v>204</v>
      </c>
      <c r="D6177" t="s">
        <v>74</v>
      </c>
      <c r="E6177" t="s">
        <v>83</v>
      </c>
      <c r="F6177" s="55">
        <v>117</v>
      </c>
      <c r="G6177" s="63">
        <v>3.9399999999999998E-2</v>
      </c>
    </row>
    <row r="6178" spans="1:7" x14ac:dyDescent="0.2">
      <c r="A6178" t="s">
        <v>71</v>
      </c>
      <c r="B6178" t="s">
        <v>184</v>
      </c>
      <c r="C6178" t="s">
        <v>204</v>
      </c>
      <c r="D6178" t="s">
        <v>74</v>
      </c>
      <c r="E6178" t="s">
        <v>84</v>
      </c>
      <c r="F6178" s="55">
        <v>122</v>
      </c>
      <c r="G6178" s="63">
        <v>7.2800000000000004E-2</v>
      </c>
    </row>
    <row r="6179" spans="1:7" x14ac:dyDescent="0.2">
      <c r="A6179" t="s">
        <v>71</v>
      </c>
      <c r="B6179" t="s">
        <v>184</v>
      </c>
      <c r="C6179" t="s">
        <v>204</v>
      </c>
      <c r="D6179" t="s">
        <v>74</v>
      </c>
      <c r="E6179" t="s">
        <v>85</v>
      </c>
      <c r="F6179" s="55">
        <v>112</v>
      </c>
      <c r="G6179" s="63">
        <v>9.4899999999999998E-2</v>
      </c>
    </row>
    <row r="6180" spans="1:7" x14ac:dyDescent="0.2">
      <c r="A6180" t="s">
        <v>71</v>
      </c>
      <c r="B6180" t="s">
        <v>184</v>
      </c>
      <c r="C6180" t="s">
        <v>204</v>
      </c>
      <c r="D6180" t="s">
        <v>74</v>
      </c>
      <c r="E6180" t="s">
        <v>86</v>
      </c>
      <c r="F6180" s="55">
        <v>113</v>
      </c>
      <c r="G6180" s="63">
        <v>9.0300000000000005E-2</v>
      </c>
    </row>
    <row r="6181" spans="1:7" x14ac:dyDescent="0.2">
      <c r="A6181" t="s">
        <v>71</v>
      </c>
      <c r="B6181" t="s">
        <v>184</v>
      </c>
      <c r="C6181" t="s">
        <v>204</v>
      </c>
      <c r="D6181" t="s">
        <v>74</v>
      </c>
      <c r="E6181" t="s">
        <v>87</v>
      </c>
      <c r="F6181" s="55">
        <v>113</v>
      </c>
      <c r="G6181" s="63">
        <v>8.1799999999999998E-2</v>
      </c>
    </row>
    <row r="6182" spans="1:7" x14ac:dyDescent="0.2">
      <c r="A6182" t="s">
        <v>71</v>
      </c>
      <c r="B6182" t="s">
        <v>184</v>
      </c>
      <c r="C6182" t="s">
        <v>204</v>
      </c>
      <c r="D6182" t="s">
        <v>74</v>
      </c>
      <c r="E6182" t="s">
        <v>88</v>
      </c>
      <c r="F6182" s="55">
        <v>110</v>
      </c>
      <c r="G6182" s="63">
        <v>5.3499999999999999E-2</v>
      </c>
    </row>
    <row r="6183" spans="1:7" x14ac:dyDescent="0.2">
      <c r="A6183" t="s">
        <v>71</v>
      </c>
      <c r="B6183" t="s">
        <v>185</v>
      </c>
      <c r="C6183" t="s">
        <v>204</v>
      </c>
      <c r="D6183" t="s">
        <v>74</v>
      </c>
      <c r="E6183" t="s">
        <v>75</v>
      </c>
      <c r="F6183" s="55">
        <v>74</v>
      </c>
      <c r="G6183" s="63">
        <v>1.06E-2</v>
      </c>
    </row>
    <row r="6184" spans="1:7" x14ac:dyDescent="0.2">
      <c r="A6184" t="s">
        <v>71</v>
      </c>
      <c r="B6184" t="s">
        <v>185</v>
      </c>
      <c r="C6184" t="s">
        <v>204</v>
      </c>
      <c r="D6184" t="s">
        <v>74</v>
      </c>
      <c r="E6184" t="s">
        <v>76</v>
      </c>
      <c r="F6184" s="55">
        <v>207</v>
      </c>
      <c r="G6184" s="63">
        <v>8.9999999999999998E-4</v>
      </c>
    </row>
    <row r="6185" spans="1:7" x14ac:dyDescent="0.2">
      <c r="A6185" t="s">
        <v>71</v>
      </c>
      <c r="B6185" t="s">
        <v>185</v>
      </c>
      <c r="C6185" t="s">
        <v>204</v>
      </c>
      <c r="D6185" t="s">
        <v>74</v>
      </c>
      <c r="E6185" t="s">
        <v>77</v>
      </c>
      <c r="F6185" s="55">
        <v>54</v>
      </c>
      <c r="G6185" s="63">
        <v>2.8E-3</v>
      </c>
    </row>
    <row r="6186" spans="1:7" x14ac:dyDescent="0.2">
      <c r="A6186" t="s">
        <v>71</v>
      </c>
      <c r="B6186" t="s">
        <v>185</v>
      </c>
      <c r="C6186" t="s">
        <v>204</v>
      </c>
      <c r="D6186" t="s">
        <v>74</v>
      </c>
      <c r="E6186" t="s">
        <v>78</v>
      </c>
      <c r="F6186" s="55">
        <v>34</v>
      </c>
      <c r="G6186" s="63">
        <v>2E-3</v>
      </c>
    </row>
    <row r="6187" spans="1:7" x14ac:dyDescent="0.2">
      <c r="A6187" t="s">
        <v>71</v>
      </c>
      <c r="B6187" t="s">
        <v>185</v>
      </c>
      <c r="C6187" t="s">
        <v>204</v>
      </c>
      <c r="D6187" t="s">
        <v>74</v>
      </c>
      <c r="E6187" t="s">
        <v>79</v>
      </c>
      <c r="F6187" s="55">
        <v>46</v>
      </c>
      <c r="G6187" s="63">
        <v>4.7000000000000002E-3</v>
      </c>
    </row>
    <row r="6188" spans="1:7" x14ac:dyDescent="0.2">
      <c r="A6188" t="s">
        <v>71</v>
      </c>
      <c r="B6188" t="s">
        <v>185</v>
      </c>
      <c r="C6188" t="s">
        <v>204</v>
      </c>
      <c r="D6188" t="s">
        <v>74</v>
      </c>
      <c r="E6188" t="s">
        <v>80</v>
      </c>
      <c r="F6188" s="55">
        <v>72</v>
      </c>
      <c r="G6188" s="63">
        <v>1E-3</v>
      </c>
    </row>
    <row r="6189" spans="1:7" x14ac:dyDescent="0.2">
      <c r="A6189" t="s">
        <v>71</v>
      </c>
      <c r="B6189" t="s">
        <v>185</v>
      </c>
      <c r="C6189" t="s">
        <v>204</v>
      </c>
      <c r="D6189" t="s">
        <v>74</v>
      </c>
      <c r="E6189" t="s">
        <v>81</v>
      </c>
      <c r="F6189" s="55">
        <v>82</v>
      </c>
      <c r="G6189" s="63">
        <v>1.4E-3</v>
      </c>
    </row>
    <row r="6190" spans="1:7" x14ac:dyDescent="0.2">
      <c r="A6190" t="s">
        <v>71</v>
      </c>
      <c r="B6190" t="s">
        <v>185</v>
      </c>
      <c r="C6190" t="s">
        <v>204</v>
      </c>
      <c r="D6190" t="s">
        <v>74</v>
      </c>
      <c r="E6190" t="s">
        <v>82</v>
      </c>
      <c r="F6190" s="55">
        <v>63</v>
      </c>
      <c r="G6190" s="63">
        <v>3.5000000000000001E-3</v>
      </c>
    </row>
    <row r="6191" spans="1:7" x14ac:dyDescent="0.2">
      <c r="A6191" t="s">
        <v>71</v>
      </c>
      <c r="B6191" t="s">
        <v>185</v>
      </c>
      <c r="C6191" t="s">
        <v>204</v>
      </c>
      <c r="D6191" t="s">
        <v>74</v>
      </c>
      <c r="E6191" t="s">
        <v>84</v>
      </c>
      <c r="F6191" s="55">
        <v>35</v>
      </c>
      <c r="G6191" s="63">
        <v>1.5E-3</v>
      </c>
    </row>
    <row r="6192" spans="1:7" x14ac:dyDescent="0.2">
      <c r="A6192" t="s">
        <v>71</v>
      </c>
      <c r="B6192" t="s">
        <v>185</v>
      </c>
      <c r="C6192" t="s">
        <v>204</v>
      </c>
      <c r="D6192" t="s">
        <v>74</v>
      </c>
      <c r="E6192" t="s">
        <v>86</v>
      </c>
      <c r="F6192" s="55">
        <v>44</v>
      </c>
      <c r="G6192" s="63">
        <v>1.1000000000000001E-3</v>
      </c>
    </row>
    <row r="6193" spans="1:7" x14ac:dyDescent="0.2">
      <c r="A6193" t="s">
        <v>71</v>
      </c>
      <c r="B6193" t="s">
        <v>185</v>
      </c>
      <c r="C6193" t="s">
        <v>204</v>
      </c>
      <c r="D6193" t="s">
        <v>74</v>
      </c>
      <c r="E6193" t="s">
        <v>87</v>
      </c>
      <c r="F6193" s="55">
        <v>55</v>
      </c>
      <c r="G6193" s="63">
        <v>1.6000000000000001E-3</v>
      </c>
    </row>
    <row r="6194" spans="1:7" x14ac:dyDescent="0.2">
      <c r="A6194" t="s">
        <v>71</v>
      </c>
      <c r="B6194" t="s">
        <v>185</v>
      </c>
      <c r="C6194" t="s">
        <v>204</v>
      </c>
      <c r="D6194" t="s">
        <v>74</v>
      </c>
      <c r="E6194" t="s">
        <v>88</v>
      </c>
      <c r="F6194" s="55">
        <v>182</v>
      </c>
      <c r="G6194" s="63">
        <v>1.6000000000000001E-3</v>
      </c>
    </row>
    <row r="6195" spans="1:7" x14ac:dyDescent="0.2">
      <c r="A6195" t="s">
        <v>71</v>
      </c>
      <c r="B6195" t="s">
        <v>186</v>
      </c>
      <c r="C6195" t="s">
        <v>204</v>
      </c>
      <c r="D6195" t="s">
        <v>74</v>
      </c>
      <c r="E6195" t="s">
        <v>75</v>
      </c>
      <c r="F6195" s="55">
        <v>102</v>
      </c>
      <c r="G6195" s="63">
        <v>0.12189999999999999</v>
      </c>
    </row>
    <row r="6196" spans="1:7" x14ac:dyDescent="0.2">
      <c r="A6196" t="s">
        <v>71</v>
      </c>
      <c r="B6196" t="s">
        <v>186</v>
      </c>
      <c r="C6196" t="s">
        <v>204</v>
      </c>
      <c r="D6196" t="s">
        <v>74</v>
      </c>
      <c r="E6196" t="s">
        <v>76</v>
      </c>
      <c r="F6196" s="55">
        <v>108</v>
      </c>
      <c r="G6196" s="63">
        <v>1.61E-2</v>
      </c>
    </row>
    <row r="6197" spans="1:7" x14ac:dyDescent="0.2">
      <c r="A6197" t="s">
        <v>71</v>
      </c>
      <c r="B6197" t="s">
        <v>186</v>
      </c>
      <c r="C6197" t="s">
        <v>204</v>
      </c>
      <c r="D6197" t="s">
        <v>74</v>
      </c>
      <c r="E6197" t="s">
        <v>77</v>
      </c>
      <c r="F6197" s="55">
        <v>102</v>
      </c>
      <c r="G6197" s="63">
        <v>5.0799999999999998E-2</v>
      </c>
    </row>
    <row r="6198" spans="1:7" x14ac:dyDescent="0.2">
      <c r="A6198" t="s">
        <v>71</v>
      </c>
      <c r="B6198" t="s">
        <v>186</v>
      </c>
      <c r="C6198" t="s">
        <v>204</v>
      </c>
      <c r="D6198" t="s">
        <v>74</v>
      </c>
      <c r="E6198" t="s">
        <v>78</v>
      </c>
      <c r="F6198" s="55">
        <v>101</v>
      </c>
      <c r="G6198" s="63">
        <v>4.6699999999999998E-2</v>
      </c>
    </row>
    <row r="6199" spans="1:7" x14ac:dyDescent="0.2">
      <c r="A6199" t="s">
        <v>71</v>
      </c>
      <c r="B6199" t="s">
        <v>186</v>
      </c>
      <c r="C6199" t="s">
        <v>204</v>
      </c>
      <c r="D6199" t="s">
        <v>74</v>
      </c>
      <c r="E6199" t="s">
        <v>79</v>
      </c>
      <c r="F6199" s="55">
        <v>103</v>
      </c>
      <c r="G6199" s="63">
        <v>7.3200000000000001E-2</v>
      </c>
    </row>
    <row r="6200" spans="1:7" x14ac:dyDescent="0.2">
      <c r="A6200" t="s">
        <v>71</v>
      </c>
      <c r="B6200" t="s">
        <v>186</v>
      </c>
      <c r="C6200" t="s">
        <v>204</v>
      </c>
      <c r="D6200" t="s">
        <v>74</v>
      </c>
      <c r="E6200" t="s">
        <v>80</v>
      </c>
      <c r="F6200" s="55">
        <v>100</v>
      </c>
      <c r="G6200" s="63">
        <v>2.3199999999999998E-2</v>
      </c>
    </row>
    <row r="6201" spans="1:7" x14ac:dyDescent="0.2">
      <c r="A6201" t="s">
        <v>71</v>
      </c>
      <c r="B6201" t="s">
        <v>186</v>
      </c>
      <c r="C6201" t="s">
        <v>204</v>
      </c>
      <c r="D6201" t="s">
        <v>74</v>
      </c>
      <c r="E6201" t="s">
        <v>81</v>
      </c>
      <c r="F6201" s="55">
        <v>100</v>
      </c>
      <c r="G6201" s="63">
        <v>2.18E-2</v>
      </c>
    </row>
    <row r="6202" spans="1:7" x14ac:dyDescent="0.2">
      <c r="A6202" t="s">
        <v>71</v>
      </c>
      <c r="B6202" t="s">
        <v>186</v>
      </c>
      <c r="C6202" t="s">
        <v>204</v>
      </c>
      <c r="D6202" t="s">
        <v>74</v>
      </c>
      <c r="E6202" t="s">
        <v>82</v>
      </c>
      <c r="F6202" s="55">
        <v>101</v>
      </c>
      <c r="G6202" s="63">
        <v>5.3699999999999998E-2</v>
      </c>
    </row>
    <row r="6203" spans="1:7" x14ac:dyDescent="0.2">
      <c r="A6203" t="s">
        <v>71</v>
      </c>
      <c r="B6203" t="s">
        <v>186</v>
      </c>
      <c r="C6203" t="s">
        <v>204</v>
      </c>
      <c r="D6203" t="s">
        <v>74</v>
      </c>
      <c r="E6203" t="s">
        <v>83</v>
      </c>
      <c r="F6203" s="55">
        <v>105</v>
      </c>
      <c r="G6203" s="63">
        <v>8.6999999999999994E-3</v>
      </c>
    </row>
    <row r="6204" spans="1:7" x14ac:dyDescent="0.2">
      <c r="A6204" t="s">
        <v>71</v>
      </c>
      <c r="B6204" t="s">
        <v>186</v>
      </c>
      <c r="C6204" t="s">
        <v>204</v>
      </c>
      <c r="D6204" t="s">
        <v>74</v>
      </c>
      <c r="E6204" t="s">
        <v>84</v>
      </c>
      <c r="F6204" s="55">
        <v>102</v>
      </c>
      <c r="G6204" s="63">
        <v>3.5999999999999997E-2</v>
      </c>
    </row>
    <row r="6205" spans="1:7" x14ac:dyDescent="0.2">
      <c r="A6205" t="s">
        <v>71</v>
      </c>
      <c r="B6205" t="s">
        <v>186</v>
      </c>
      <c r="C6205" t="s">
        <v>204</v>
      </c>
      <c r="D6205" t="s">
        <v>74</v>
      </c>
      <c r="E6205" t="s">
        <v>85</v>
      </c>
      <c r="F6205" s="55">
        <v>100</v>
      </c>
      <c r="G6205" s="63">
        <v>2.5100000000000001E-2</v>
      </c>
    </row>
    <row r="6206" spans="1:7" x14ac:dyDescent="0.2">
      <c r="A6206" t="s">
        <v>71</v>
      </c>
      <c r="B6206" t="s">
        <v>186</v>
      </c>
      <c r="C6206" t="s">
        <v>204</v>
      </c>
      <c r="D6206" t="s">
        <v>74</v>
      </c>
      <c r="E6206" t="s">
        <v>86</v>
      </c>
      <c r="F6206" s="55">
        <v>103</v>
      </c>
      <c r="G6206" s="63">
        <v>3.15E-2</v>
      </c>
    </row>
    <row r="6207" spans="1:7" x14ac:dyDescent="0.2">
      <c r="A6207" t="s">
        <v>71</v>
      </c>
      <c r="B6207" t="s">
        <v>186</v>
      </c>
      <c r="C6207" t="s">
        <v>204</v>
      </c>
      <c r="D6207" t="s">
        <v>74</v>
      </c>
      <c r="E6207" t="s">
        <v>87</v>
      </c>
      <c r="F6207" s="55">
        <v>107</v>
      </c>
      <c r="G6207" s="63">
        <v>3.7199999999999997E-2</v>
      </c>
    </row>
    <row r="6208" spans="1:7" x14ac:dyDescent="0.2">
      <c r="A6208" t="s">
        <v>71</v>
      </c>
      <c r="B6208" t="s">
        <v>186</v>
      </c>
      <c r="C6208" t="s">
        <v>204</v>
      </c>
      <c r="D6208" t="s">
        <v>74</v>
      </c>
      <c r="E6208" t="s">
        <v>88</v>
      </c>
      <c r="F6208" s="55">
        <v>103</v>
      </c>
      <c r="G6208" s="63">
        <v>2.5399999999999999E-2</v>
      </c>
    </row>
    <row r="6209" spans="1:7" x14ac:dyDescent="0.2">
      <c r="A6209" t="s">
        <v>71</v>
      </c>
      <c r="B6209" t="s">
        <v>187</v>
      </c>
      <c r="C6209" t="s">
        <v>204</v>
      </c>
      <c r="D6209" t="s">
        <v>74</v>
      </c>
      <c r="E6209" t="s">
        <v>75</v>
      </c>
      <c r="F6209" s="55">
        <v>90</v>
      </c>
      <c r="G6209" s="63">
        <v>0.24790000000000001</v>
      </c>
    </row>
    <row r="6210" spans="1:7" x14ac:dyDescent="0.2">
      <c r="A6210" t="s">
        <v>71</v>
      </c>
      <c r="B6210" t="s">
        <v>187</v>
      </c>
      <c r="C6210" t="s">
        <v>204</v>
      </c>
      <c r="D6210" t="s">
        <v>74</v>
      </c>
      <c r="E6210" t="s">
        <v>76</v>
      </c>
      <c r="F6210" s="55">
        <v>107</v>
      </c>
      <c r="G6210" s="63">
        <v>2.1499999999999998E-2</v>
      </c>
    </row>
    <row r="6211" spans="1:7" x14ac:dyDescent="0.2">
      <c r="A6211" t="s">
        <v>71</v>
      </c>
      <c r="B6211" t="s">
        <v>187</v>
      </c>
      <c r="C6211" t="s">
        <v>204</v>
      </c>
      <c r="D6211" t="s">
        <v>74</v>
      </c>
      <c r="E6211" t="s">
        <v>77</v>
      </c>
      <c r="F6211" s="55">
        <v>93</v>
      </c>
      <c r="G6211" s="63">
        <v>6.8900000000000003E-2</v>
      </c>
    </row>
    <row r="6212" spans="1:7" x14ac:dyDescent="0.2">
      <c r="A6212" t="s">
        <v>71</v>
      </c>
      <c r="B6212" t="s">
        <v>187</v>
      </c>
      <c r="C6212" t="s">
        <v>204</v>
      </c>
      <c r="D6212" t="s">
        <v>74</v>
      </c>
      <c r="E6212" t="s">
        <v>78</v>
      </c>
      <c r="F6212" s="55">
        <v>94</v>
      </c>
      <c r="G6212" s="63">
        <v>6.0400000000000002E-2</v>
      </c>
    </row>
    <row r="6213" spans="1:7" x14ac:dyDescent="0.2">
      <c r="A6213" t="s">
        <v>71</v>
      </c>
      <c r="B6213" t="s">
        <v>187</v>
      </c>
      <c r="C6213" t="s">
        <v>204</v>
      </c>
      <c r="D6213" t="s">
        <v>74</v>
      </c>
      <c r="E6213" t="s">
        <v>79</v>
      </c>
      <c r="F6213" s="55">
        <v>89</v>
      </c>
      <c r="G6213" s="63">
        <v>0.158</v>
      </c>
    </row>
    <row r="6214" spans="1:7" x14ac:dyDescent="0.2">
      <c r="A6214" t="s">
        <v>71</v>
      </c>
      <c r="B6214" t="s">
        <v>187</v>
      </c>
      <c r="C6214" t="s">
        <v>204</v>
      </c>
      <c r="D6214" t="s">
        <v>74</v>
      </c>
      <c r="E6214" t="s">
        <v>80</v>
      </c>
      <c r="F6214" s="55">
        <v>87</v>
      </c>
      <c r="G6214" s="63">
        <v>3.44E-2</v>
      </c>
    </row>
    <row r="6215" spans="1:7" x14ac:dyDescent="0.2">
      <c r="A6215" t="s">
        <v>71</v>
      </c>
      <c r="B6215" t="s">
        <v>187</v>
      </c>
      <c r="C6215" t="s">
        <v>204</v>
      </c>
      <c r="D6215" t="s">
        <v>74</v>
      </c>
      <c r="E6215" t="s">
        <v>81</v>
      </c>
      <c r="F6215" s="55">
        <v>85</v>
      </c>
      <c r="G6215" s="63">
        <v>3.5999999999999997E-2</v>
      </c>
    </row>
    <row r="6216" spans="1:7" x14ac:dyDescent="0.2">
      <c r="A6216" t="s">
        <v>71</v>
      </c>
      <c r="B6216" t="s">
        <v>187</v>
      </c>
      <c r="C6216" t="s">
        <v>204</v>
      </c>
      <c r="D6216" t="s">
        <v>74</v>
      </c>
      <c r="E6216" t="s">
        <v>82</v>
      </c>
      <c r="F6216" s="55">
        <v>88</v>
      </c>
      <c r="G6216" s="63">
        <v>0.1051</v>
      </c>
    </row>
    <row r="6217" spans="1:7" x14ac:dyDescent="0.2">
      <c r="A6217" t="s">
        <v>71</v>
      </c>
      <c r="B6217" t="s">
        <v>187</v>
      </c>
      <c r="C6217" t="s">
        <v>204</v>
      </c>
      <c r="D6217" t="s">
        <v>74</v>
      </c>
      <c r="E6217" t="s">
        <v>83</v>
      </c>
      <c r="F6217" s="55">
        <v>94</v>
      </c>
      <c r="G6217" s="63">
        <v>1.2800000000000001E-2</v>
      </c>
    </row>
    <row r="6218" spans="1:7" x14ac:dyDescent="0.2">
      <c r="A6218" t="s">
        <v>71</v>
      </c>
      <c r="B6218" t="s">
        <v>187</v>
      </c>
      <c r="C6218" t="s">
        <v>204</v>
      </c>
      <c r="D6218" t="s">
        <v>74</v>
      </c>
      <c r="E6218" t="s">
        <v>84</v>
      </c>
      <c r="F6218" s="55">
        <v>94</v>
      </c>
      <c r="G6218" s="63">
        <v>4.5199999999999997E-2</v>
      </c>
    </row>
    <row r="6219" spans="1:7" x14ac:dyDescent="0.2">
      <c r="A6219" t="s">
        <v>71</v>
      </c>
      <c r="B6219" t="s">
        <v>187</v>
      </c>
      <c r="C6219" t="s">
        <v>204</v>
      </c>
      <c r="D6219" t="s">
        <v>74</v>
      </c>
      <c r="E6219" t="s">
        <v>85</v>
      </c>
      <c r="F6219" s="55">
        <v>88</v>
      </c>
      <c r="G6219" s="63">
        <v>4.0399999999999998E-2</v>
      </c>
    </row>
    <row r="6220" spans="1:7" x14ac:dyDescent="0.2">
      <c r="A6220" t="s">
        <v>71</v>
      </c>
      <c r="B6220" t="s">
        <v>187</v>
      </c>
      <c r="C6220" t="s">
        <v>204</v>
      </c>
      <c r="D6220" t="s">
        <v>74</v>
      </c>
      <c r="E6220" t="s">
        <v>86</v>
      </c>
      <c r="F6220" s="55">
        <v>87</v>
      </c>
      <c r="G6220" s="63">
        <v>5.6599999999999998E-2</v>
      </c>
    </row>
    <row r="6221" spans="1:7" x14ac:dyDescent="0.2">
      <c r="A6221" t="s">
        <v>71</v>
      </c>
      <c r="B6221" t="s">
        <v>187</v>
      </c>
      <c r="C6221" t="s">
        <v>204</v>
      </c>
      <c r="D6221" t="s">
        <v>74</v>
      </c>
      <c r="E6221" t="s">
        <v>87</v>
      </c>
      <c r="F6221" s="55">
        <v>89</v>
      </c>
      <c r="G6221" s="63">
        <v>7.2800000000000004E-2</v>
      </c>
    </row>
    <row r="6222" spans="1:7" x14ac:dyDescent="0.2">
      <c r="A6222" t="s">
        <v>71</v>
      </c>
      <c r="B6222" t="s">
        <v>187</v>
      </c>
      <c r="C6222" t="s">
        <v>204</v>
      </c>
      <c r="D6222" t="s">
        <v>74</v>
      </c>
      <c r="E6222" t="s">
        <v>88</v>
      </c>
      <c r="F6222" s="55">
        <v>96</v>
      </c>
      <c r="G6222" s="63">
        <v>0.04</v>
      </c>
    </row>
    <row r="6223" spans="1:7" x14ac:dyDescent="0.2">
      <c r="A6223" t="s">
        <v>71</v>
      </c>
      <c r="B6223" t="s">
        <v>188</v>
      </c>
      <c r="C6223" t="s">
        <v>204</v>
      </c>
      <c r="D6223" t="s">
        <v>74</v>
      </c>
      <c r="E6223" t="s">
        <v>75</v>
      </c>
      <c r="F6223" s="55">
        <v>32</v>
      </c>
      <c r="G6223" s="63">
        <v>4.7E-2</v>
      </c>
    </row>
    <row r="6224" spans="1:7" x14ac:dyDescent="0.2">
      <c r="A6224" t="s">
        <v>71</v>
      </c>
      <c r="B6224" t="s">
        <v>188</v>
      </c>
      <c r="C6224" t="s">
        <v>204</v>
      </c>
      <c r="D6224" t="s">
        <v>74</v>
      </c>
      <c r="E6224" t="s">
        <v>76</v>
      </c>
      <c r="F6224" s="55">
        <v>39</v>
      </c>
      <c r="G6224" s="63">
        <v>2.2000000000000001E-3</v>
      </c>
    </row>
    <row r="6225" spans="1:7" x14ac:dyDescent="0.2">
      <c r="A6225" t="s">
        <v>71</v>
      </c>
      <c r="B6225" t="s">
        <v>188</v>
      </c>
      <c r="C6225" t="s">
        <v>204</v>
      </c>
      <c r="D6225" t="s">
        <v>74</v>
      </c>
      <c r="E6225" t="s">
        <v>77</v>
      </c>
      <c r="F6225" s="55">
        <v>40</v>
      </c>
      <c r="G6225" s="63">
        <v>1.7000000000000001E-2</v>
      </c>
    </row>
    <row r="6226" spans="1:7" x14ac:dyDescent="0.2">
      <c r="A6226" t="s">
        <v>71</v>
      </c>
      <c r="B6226" t="s">
        <v>188</v>
      </c>
      <c r="C6226" t="s">
        <v>204</v>
      </c>
      <c r="D6226" t="s">
        <v>74</v>
      </c>
      <c r="E6226" t="s">
        <v>78</v>
      </c>
      <c r="F6226" s="55">
        <v>36</v>
      </c>
      <c r="G6226" s="63">
        <v>1.6E-2</v>
      </c>
    </row>
    <row r="6227" spans="1:7" x14ac:dyDescent="0.2">
      <c r="A6227" t="s">
        <v>71</v>
      </c>
      <c r="B6227" t="s">
        <v>188</v>
      </c>
      <c r="C6227" t="s">
        <v>204</v>
      </c>
      <c r="D6227" t="s">
        <v>74</v>
      </c>
      <c r="E6227" t="s">
        <v>79</v>
      </c>
      <c r="F6227" s="55">
        <v>30</v>
      </c>
      <c r="G6227" s="63">
        <v>3.0599999999999999E-2</v>
      </c>
    </row>
    <row r="6228" spans="1:7" x14ac:dyDescent="0.2">
      <c r="A6228" t="s">
        <v>71</v>
      </c>
      <c r="B6228" t="s">
        <v>188</v>
      </c>
      <c r="C6228" t="s">
        <v>204</v>
      </c>
      <c r="D6228" t="s">
        <v>74</v>
      </c>
      <c r="E6228" t="s">
        <v>80</v>
      </c>
      <c r="F6228" s="55">
        <v>30</v>
      </c>
      <c r="G6228" s="63">
        <v>1.7600000000000001E-2</v>
      </c>
    </row>
    <row r="6229" spans="1:7" x14ac:dyDescent="0.2">
      <c r="A6229" t="s">
        <v>71</v>
      </c>
      <c r="B6229" t="s">
        <v>188</v>
      </c>
      <c r="C6229" t="s">
        <v>204</v>
      </c>
      <c r="D6229" t="s">
        <v>74</v>
      </c>
      <c r="E6229" t="s">
        <v>81</v>
      </c>
      <c r="F6229" s="55">
        <v>31</v>
      </c>
      <c r="G6229" s="63">
        <v>1.4500000000000001E-2</v>
      </c>
    </row>
    <row r="6230" spans="1:7" x14ac:dyDescent="0.2">
      <c r="A6230" t="s">
        <v>71</v>
      </c>
      <c r="B6230" t="s">
        <v>188</v>
      </c>
      <c r="C6230" t="s">
        <v>204</v>
      </c>
      <c r="D6230" t="s">
        <v>74</v>
      </c>
      <c r="E6230" t="s">
        <v>82</v>
      </c>
      <c r="F6230" s="55">
        <v>32</v>
      </c>
      <c r="G6230" s="63">
        <v>2.0299999999999999E-2</v>
      </c>
    </row>
    <row r="6231" spans="1:7" x14ac:dyDescent="0.2">
      <c r="A6231" t="s">
        <v>71</v>
      </c>
      <c r="B6231" t="s">
        <v>188</v>
      </c>
      <c r="C6231" t="s">
        <v>204</v>
      </c>
      <c r="D6231" t="s">
        <v>74</v>
      </c>
      <c r="E6231" t="s">
        <v>83</v>
      </c>
      <c r="F6231" s="55">
        <v>32</v>
      </c>
      <c r="G6231" s="63">
        <v>2.3999999999999998E-3</v>
      </c>
    </row>
    <row r="6232" spans="1:7" x14ac:dyDescent="0.2">
      <c r="A6232" t="s">
        <v>71</v>
      </c>
      <c r="B6232" t="s">
        <v>188</v>
      </c>
      <c r="C6232" t="s">
        <v>204</v>
      </c>
      <c r="D6232" t="s">
        <v>74</v>
      </c>
      <c r="E6232" t="s">
        <v>84</v>
      </c>
      <c r="F6232" s="55">
        <v>37</v>
      </c>
      <c r="G6232" s="63">
        <v>1.35E-2</v>
      </c>
    </row>
    <row r="6233" spans="1:7" x14ac:dyDescent="0.2">
      <c r="A6233" t="s">
        <v>71</v>
      </c>
      <c r="B6233" t="s">
        <v>188</v>
      </c>
      <c r="C6233" t="s">
        <v>204</v>
      </c>
      <c r="D6233" t="s">
        <v>74</v>
      </c>
      <c r="E6233" t="s">
        <v>85</v>
      </c>
      <c r="F6233" s="55">
        <v>29</v>
      </c>
      <c r="G6233" s="63">
        <v>1.77E-2</v>
      </c>
    </row>
    <row r="6234" spans="1:7" x14ac:dyDescent="0.2">
      <c r="A6234" t="s">
        <v>71</v>
      </c>
      <c r="B6234" t="s">
        <v>188</v>
      </c>
      <c r="C6234" t="s">
        <v>204</v>
      </c>
      <c r="D6234" t="s">
        <v>74</v>
      </c>
      <c r="E6234" t="s">
        <v>86</v>
      </c>
      <c r="F6234" s="55">
        <v>29</v>
      </c>
      <c r="G6234" s="63">
        <v>1.84E-2</v>
      </c>
    </row>
    <row r="6235" spans="1:7" x14ac:dyDescent="0.2">
      <c r="A6235" t="s">
        <v>71</v>
      </c>
      <c r="B6235" t="s">
        <v>188</v>
      </c>
      <c r="C6235" t="s">
        <v>204</v>
      </c>
      <c r="D6235" t="s">
        <v>74</v>
      </c>
      <c r="E6235" t="s">
        <v>87</v>
      </c>
      <c r="F6235" s="55">
        <v>30</v>
      </c>
      <c r="G6235" s="63">
        <v>1.8200000000000001E-2</v>
      </c>
    </row>
    <row r="6236" spans="1:7" x14ac:dyDescent="0.2">
      <c r="A6236" t="s">
        <v>71</v>
      </c>
      <c r="B6236" t="s">
        <v>188</v>
      </c>
      <c r="C6236" t="s">
        <v>204</v>
      </c>
      <c r="D6236" t="s">
        <v>74</v>
      </c>
      <c r="E6236" t="s">
        <v>88</v>
      </c>
      <c r="F6236" s="55">
        <v>38</v>
      </c>
      <c r="G6236" s="63">
        <v>4.0000000000000001E-3</v>
      </c>
    </row>
    <row r="6237" spans="1:7" x14ac:dyDescent="0.2">
      <c r="A6237" t="s">
        <v>71</v>
      </c>
      <c r="B6237" t="s">
        <v>19</v>
      </c>
      <c r="C6237" t="s">
        <v>204</v>
      </c>
      <c r="D6237" t="s">
        <v>74</v>
      </c>
      <c r="E6237" t="s">
        <v>75</v>
      </c>
      <c r="F6237" s="55">
        <v>97</v>
      </c>
      <c r="G6237" s="63">
        <v>0.41239999999999999</v>
      </c>
    </row>
    <row r="6238" spans="1:7" x14ac:dyDescent="0.2">
      <c r="A6238" t="s">
        <v>71</v>
      </c>
      <c r="B6238" t="s">
        <v>19</v>
      </c>
      <c r="C6238" t="s">
        <v>204</v>
      </c>
      <c r="D6238" t="s">
        <v>74</v>
      </c>
      <c r="E6238" t="s">
        <v>76</v>
      </c>
      <c r="F6238" s="55">
        <v>107</v>
      </c>
      <c r="G6238" s="63">
        <v>5.0200000000000002E-2</v>
      </c>
    </row>
    <row r="6239" spans="1:7" x14ac:dyDescent="0.2">
      <c r="A6239" t="s">
        <v>71</v>
      </c>
      <c r="B6239" t="s">
        <v>19</v>
      </c>
      <c r="C6239" t="s">
        <v>204</v>
      </c>
      <c r="D6239" t="s">
        <v>74</v>
      </c>
      <c r="E6239" t="s">
        <v>77</v>
      </c>
      <c r="F6239" s="55">
        <v>97</v>
      </c>
      <c r="G6239" s="63">
        <v>0.1663</v>
      </c>
    </row>
    <row r="6240" spans="1:7" x14ac:dyDescent="0.2">
      <c r="A6240" t="s">
        <v>71</v>
      </c>
      <c r="B6240" t="s">
        <v>19</v>
      </c>
      <c r="C6240" t="s">
        <v>204</v>
      </c>
      <c r="D6240" t="s">
        <v>74</v>
      </c>
      <c r="E6240" t="s">
        <v>78</v>
      </c>
      <c r="F6240" s="55">
        <v>98</v>
      </c>
      <c r="G6240" s="63">
        <v>0.1547</v>
      </c>
    </row>
    <row r="6241" spans="1:7" x14ac:dyDescent="0.2">
      <c r="A6241" t="s">
        <v>71</v>
      </c>
      <c r="B6241" t="s">
        <v>19</v>
      </c>
      <c r="C6241" t="s">
        <v>204</v>
      </c>
      <c r="D6241" t="s">
        <v>74</v>
      </c>
      <c r="E6241" t="s">
        <v>79</v>
      </c>
      <c r="F6241" s="55">
        <v>91</v>
      </c>
      <c r="G6241" s="63">
        <v>0.28149999999999997</v>
      </c>
    </row>
    <row r="6242" spans="1:7" x14ac:dyDescent="0.2">
      <c r="A6242" t="s">
        <v>71</v>
      </c>
      <c r="B6242" t="s">
        <v>19</v>
      </c>
      <c r="C6242" t="s">
        <v>204</v>
      </c>
      <c r="D6242" t="s">
        <v>74</v>
      </c>
      <c r="E6242" t="s">
        <v>80</v>
      </c>
      <c r="F6242" s="55">
        <v>94</v>
      </c>
      <c r="G6242" s="63">
        <v>7.7399999999999997E-2</v>
      </c>
    </row>
    <row r="6243" spans="1:7" x14ac:dyDescent="0.2">
      <c r="A6243" t="s">
        <v>71</v>
      </c>
      <c r="B6243" t="s">
        <v>19</v>
      </c>
      <c r="C6243" t="s">
        <v>204</v>
      </c>
      <c r="D6243" t="s">
        <v>74</v>
      </c>
      <c r="E6243" t="s">
        <v>81</v>
      </c>
      <c r="F6243" s="55">
        <v>100</v>
      </c>
      <c r="G6243" s="63">
        <v>8.14E-2</v>
      </c>
    </row>
    <row r="6244" spans="1:7" x14ac:dyDescent="0.2">
      <c r="A6244" t="s">
        <v>71</v>
      </c>
      <c r="B6244" t="s">
        <v>19</v>
      </c>
      <c r="C6244" t="s">
        <v>204</v>
      </c>
      <c r="D6244" t="s">
        <v>74</v>
      </c>
      <c r="E6244" t="s">
        <v>82</v>
      </c>
      <c r="F6244" s="55">
        <v>100</v>
      </c>
      <c r="G6244" s="63">
        <v>0.19439999999999999</v>
      </c>
    </row>
    <row r="6245" spans="1:7" x14ac:dyDescent="0.2">
      <c r="A6245" t="s">
        <v>71</v>
      </c>
      <c r="B6245" t="s">
        <v>19</v>
      </c>
      <c r="C6245" t="s">
        <v>204</v>
      </c>
      <c r="D6245" t="s">
        <v>74</v>
      </c>
      <c r="E6245" t="s">
        <v>83</v>
      </c>
      <c r="F6245" s="55">
        <v>105</v>
      </c>
      <c r="G6245" s="63">
        <v>3.9300000000000002E-2</v>
      </c>
    </row>
    <row r="6246" spans="1:7" x14ac:dyDescent="0.2">
      <c r="A6246" t="s">
        <v>71</v>
      </c>
      <c r="B6246" t="s">
        <v>19</v>
      </c>
      <c r="C6246" t="s">
        <v>204</v>
      </c>
      <c r="D6246" t="s">
        <v>74</v>
      </c>
      <c r="E6246" t="s">
        <v>84</v>
      </c>
      <c r="F6246" s="55">
        <v>100</v>
      </c>
      <c r="G6246" s="63">
        <v>0.12130000000000001</v>
      </c>
    </row>
    <row r="6247" spans="1:7" x14ac:dyDescent="0.2">
      <c r="A6247" t="s">
        <v>71</v>
      </c>
      <c r="B6247" t="s">
        <v>19</v>
      </c>
      <c r="C6247" t="s">
        <v>204</v>
      </c>
      <c r="D6247" t="s">
        <v>74</v>
      </c>
      <c r="E6247" t="s">
        <v>85</v>
      </c>
      <c r="F6247" s="55">
        <v>92</v>
      </c>
      <c r="G6247" s="63">
        <v>8.7900000000000006E-2</v>
      </c>
    </row>
    <row r="6248" spans="1:7" x14ac:dyDescent="0.2">
      <c r="A6248" t="s">
        <v>71</v>
      </c>
      <c r="B6248" t="s">
        <v>19</v>
      </c>
      <c r="C6248" t="s">
        <v>204</v>
      </c>
      <c r="D6248" t="s">
        <v>74</v>
      </c>
      <c r="E6248" t="s">
        <v>86</v>
      </c>
      <c r="F6248" s="55">
        <v>91</v>
      </c>
      <c r="G6248" s="63">
        <v>0.1217</v>
      </c>
    </row>
    <row r="6249" spans="1:7" x14ac:dyDescent="0.2">
      <c r="A6249" t="s">
        <v>71</v>
      </c>
      <c r="B6249" t="s">
        <v>19</v>
      </c>
      <c r="C6249" t="s">
        <v>204</v>
      </c>
      <c r="D6249" t="s">
        <v>74</v>
      </c>
      <c r="E6249" t="s">
        <v>87</v>
      </c>
      <c r="F6249" s="55">
        <v>88</v>
      </c>
      <c r="G6249" s="63">
        <v>0.1424</v>
      </c>
    </row>
    <row r="6250" spans="1:7" x14ac:dyDescent="0.2">
      <c r="A6250" t="s">
        <v>71</v>
      </c>
      <c r="B6250" t="s">
        <v>19</v>
      </c>
      <c r="C6250" t="s">
        <v>204</v>
      </c>
      <c r="D6250" t="s">
        <v>74</v>
      </c>
      <c r="E6250" t="s">
        <v>88</v>
      </c>
      <c r="F6250" s="55">
        <v>104</v>
      </c>
      <c r="G6250" s="63">
        <v>8.4099999999999994E-2</v>
      </c>
    </row>
    <row r="6251" spans="1:7" x14ac:dyDescent="0.2">
      <c r="A6251" t="s">
        <v>89</v>
      </c>
      <c r="B6251" t="s">
        <v>189</v>
      </c>
      <c r="C6251" t="s">
        <v>204</v>
      </c>
      <c r="D6251" t="s">
        <v>74</v>
      </c>
      <c r="E6251" t="s">
        <v>75</v>
      </c>
      <c r="F6251" s="55">
        <v>68</v>
      </c>
      <c r="G6251" s="63">
        <v>4.5499999999999999E-2</v>
      </c>
    </row>
    <row r="6252" spans="1:7" x14ac:dyDescent="0.2">
      <c r="A6252" t="s">
        <v>89</v>
      </c>
      <c r="B6252" t="s">
        <v>189</v>
      </c>
      <c r="C6252" t="s">
        <v>204</v>
      </c>
      <c r="D6252" t="s">
        <v>74</v>
      </c>
      <c r="E6252" t="s">
        <v>76</v>
      </c>
      <c r="F6252" s="55">
        <v>67</v>
      </c>
      <c r="G6252" s="63">
        <v>3.5999999999999999E-3</v>
      </c>
    </row>
    <row r="6253" spans="1:7" x14ac:dyDescent="0.2">
      <c r="A6253" t="s">
        <v>89</v>
      </c>
      <c r="B6253" t="s">
        <v>189</v>
      </c>
      <c r="C6253" t="s">
        <v>204</v>
      </c>
      <c r="D6253" t="s">
        <v>74</v>
      </c>
      <c r="E6253" t="s">
        <v>77</v>
      </c>
      <c r="F6253" s="55">
        <v>69</v>
      </c>
      <c r="G6253" s="63">
        <v>1.0999999999999999E-2</v>
      </c>
    </row>
    <row r="6254" spans="1:7" x14ac:dyDescent="0.2">
      <c r="A6254" t="s">
        <v>89</v>
      </c>
      <c r="B6254" t="s">
        <v>189</v>
      </c>
      <c r="C6254" t="s">
        <v>204</v>
      </c>
      <c r="D6254" t="s">
        <v>74</v>
      </c>
      <c r="E6254" t="s">
        <v>78</v>
      </c>
      <c r="F6254" s="55">
        <v>78</v>
      </c>
      <c r="G6254" s="63">
        <v>9.4000000000000004E-3</v>
      </c>
    </row>
    <row r="6255" spans="1:7" x14ac:dyDescent="0.2">
      <c r="A6255" t="s">
        <v>89</v>
      </c>
      <c r="B6255" t="s">
        <v>189</v>
      </c>
      <c r="C6255" t="s">
        <v>204</v>
      </c>
      <c r="D6255" t="s">
        <v>74</v>
      </c>
      <c r="E6255" t="s">
        <v>79</v>
      </c>
      <c r="F6255" s="55">
        <v>66</v>
      </c>
      <c r="G6255" s="63">
        <v>2.6800000000000001E-2</v>
      </c>
    </row>
    <row r="6256" spans="1:7" x14ac:dyDescent="0.2">
      <c r="A6256" t="s">
        <v>89</v>
      </c>
      <c r="B6256" t="s">
        <v>189</v>
      </c>
      <c r="C6256" t="s">
        <v>204</v>
      </c>
      <c r="D6256" t="s">
        <v>74</v>
      </c>
      <c r="E6256" t="s">
        <v>80</v>
      </c>
      <c r="F6256" s="55">
        <v>70</v>
      </c>
      <c r="G6256" s="63">
        <v>1.5699999999999999E-2</v>
      </c>
    </row>
    <row r="6257" spans="1:7" x14ac:dyDescent="0.2">
      <c r="A6257" t="s">
        <v>89</v>
      </c>
      <c r="B6257" t="s">
        <v>189</v>
      </c>
      <c r="C6257" t="s">
        <v>204</v>
      </c>
      <c r="D6257" t="s">
        <v>74</v>
      </c>
      <c r="E6257" t="s">
        <v>81</v>
      </c>
      <c r="F6257" s="55">
        <v>69</v>
      </c>
      <c r="G6257" s="63">
        <v>1.4200000000000001E-2</v>
      </c>
    </row>
    <row r="6258" spans="1:7" x14ac:dyDescent="0.2">
      <c r="A6258" t="s">
        <v>89</v>
      </c>
      <c r="B6258" t="s">
        <v>189</v>
      </c>
      <c r="C6258" t="s">
        <v>204</v>
      </c>
      <c r="D6258" t="s">
        <v>74</v>
      </c>
      <c r="E6258" t="s">
        <v>82</v>
      </c>
      <c r="F6258" s="55">
        <v>65</v>
      </c>
      <c r="G6258" s="63">
        <v>1.54E-2</v>
      </c>
    </row>
    <row r="6259" spans="1:7" x14ac:dyDescent="0.2">
      <c r="A6259" t="s">
        <v>89</v>
      </c>
      <c r="B6259" t="s">
        <v>189</v>
      </c>
      <c r="C6259" t="s">
        <v>204</v>
      </c>
      <c r="D6259" t="s">
        <v>74</v>
      </c>
      <c r="E6259" t="s">
        <v>83</v>
      </c>
      <c r="F6259" s="55">
        <v>57</v>
      </c>
      <c r="G6259" s="63">
        <v>4.0000000000000001E-3</v>
      </c>
    </row>
    <row r="6260" spans="1:7" x14ac:dyDescent="0.2">
      <c r="A6260" t="s">
        <v>89</v>
      </c>
      <c r="B6260" t="s">
        <v>189</v>
      </c>
      <c r="C6260" t="s">
        <v>204</v>
      </c>
      <c r="D6260" t="s">
        <v>74</v>
      </c>
      <c r="E6260" t="s">
        <v>84</v>
      </c>
      <c r="F6260" s="55">
        <v>81</v>
      </c>
      <c r="G6260" s="63">
        <v>6.8999999999999999E-3</v>
      </c>
    </row>
    <row r="6261" spans="1:7" x14ac:dyDescent="0.2">
      <c r="A6261" t="s">
        <v>89</v>
      </c>
      <c r="B6261" t="s">
        <v>189</v>
      </c>
      <c r="C6261" t="s">
        <v>204</v>
      </c>
      <c r="D6261" t="s">
        <v>74</v>
      </c>
      <c r="E6261" t="s">
        <v>85</v>
      </c>
      <c r="F6261" s="55">
        <v>67</v>
      </c>
      <c r="G6261" s="63">
        <v>1.35E-2</v>
      </c>
    </row>
    <row r="6262" spans="1:7" x14ac:dyDescent="0.2">
      <c r="A6262" t="s">
        <v>89</v>
      </c>
      <c r="B6262" t="s">
        <v>189</v>
      </c>
      <c r="C6262" t="s">
        <v>204</v>
      </c>
      <c r="D6262" t="s">
        <v>74</v>
      </c>
      <c r="E6262" t="s">
        <v>86</v>
      </c>
      <c r="F6262" s="55">
        <v>68</v>
      </c>
      <c r="G6262" s="63">
        <v>1.24E-2</v>
      </c>
    </row>
    <row r="6263" spans="1:7" x14ac:dyDescent="0.2">
      <c r="A6263" t="s">
        <v>89</v>
      </c>
      <c r="B6263" t="s">
        <v>189</v>
      </c>
      <c r="C6263" t="s">
        <v>204</v>
      </c>
      <c r="D6263" t="s">
        <v>74</v>
      </c>
      <c r="E6263" t="s">
        <v>87</v>
      </c>
      <c r="F6263" s="55">
        <v>66</v>
      </c>
      <c r="G6263" s="63">
        <v>1.18E-2</v>
      </c>
    </row>
    <row r="6264" spans="1:7" x14ac:dyDescent="0.2">
      <c r="A6264" t="s">
        <v>89</v>
      </c>
      <c r="B6264" t="s">
        <v>189</v>
      </c>
      <c r="C6264" t="s">
        <v>204</v>
      </c>
      <c r="D6264" t="s">
        <v>74</v>
      </c>
      <c r="E6264" t="s">
        <v>88</v>
      </c>
      <c r="F6264" s="55">
        <v>65</v>
      </c>
      <c r="G6264" s="63">
        <v>6.4000000000000003E-3</v>
      </c>
    </row>
    <row r="6265" spans="1:7" x14ac:dyDescent="0.2">
      <c r="A6265" t="s">
        <v>89</v>
      </c>
      <c r="B6265" t="s">
        <v>190</v>
      </c>
      <c r="C6265" t="s">
        <v>204</v>
      </c>
      <c r="D6265" t="s">
        <v>74</v>
      </c>
      <c r="E6265" t="s">
        <v>75</v>
      </c>
      <c r="F6265" s="55">
        <v>35</v>
      </c>
      <c r="G6265" s="63">
        <v>0.1862</v>
      </c>
    </row>
    <row r="6266" spans="1:7" x14ac:dyDescent="0.2">
      <c r="A6266" t="s">
        <v>89</v>
      </c>
      <c r="B6266" t="s">
        <v>190</v>
      </c>
      <c r="C6266" t="s">
        <v>204</v>
      </c>
      <c r="D6266" t="s">
        <v>74</v>
      </c>
      <c r="E6266" t="s">
        <v>76</v>
      </c>
      <c r="F6266" s="55">
        <v>34</v>
      </c>
      <c r="G6266" s="63">
        <v>1.77E-2</v>
      </c>
    </row>
    <row r="6267" spans="1:7" x14ac:dyDescent="0.2">
      <c r="A6267" t="s">
        <v>89</v>
      </c>
      <c r="B6267" t="s">
        <v>190</v>
      </c>
      <c r="C6267" t="s">
        <v>204</v>
      </c>
      <c r="D6267" t="s">
        <v>74</v>
      </c>
      <c r="E6267" t="s">
        <v>77</v>
      </c>
      <c r="F6267" s="55">
        <v>34</v>
      </c>
      <c r="G6267" s="63">
        <v>6.1800000000000001E-2</v>
      </c>
    </row>
    <row r="6268" spans="1:7" x14ac:dyDescent="0.2">
      <c r="A6268" t="s">
        <v>89</v>
      </c>
      <c r="B6268" t="s">
        <v>190</v>
      </c>
      <c r="C6268" t="s">
        <v>204</v>
      </c>
      <c r="D6268" t="s">
        <v>74</v>
      </c>
      <c r="E6268" t="s">
        <v>78</v>
      </c>
      <c r="F6268" s="55">
        <v>32</v>
      </c>
      <c r="G6268" s="63">
        <v>4.58E-2</v>
      </c>
    </row>
    <row r="6269" spans="1:7" x14ac:dyDescent="0.2">
      <c r="A6269" t="s">
        <v>89</v>
      </c>
      <c r="B6269" t="s">
        <v>190</v>
      </c>
      <c r="C6269" t="s">
        <v>204</v>
      </c>
      <c r="D6269" t="s">
        <v>74</v>
      </c>
      <c r="E6269" t="s">
        <v>79</v>
      </c>
      <c r="F6269" s="55">
        <v>35</v>
      </c>
      <c r="G6269" s="63">
        <v>0.1052</v>
      </c>
    </row>
    <row r="6270" spans="1:7" x14ac:dyDescent="0.2">
      <c r="A6270" t="s">
        <v>89</v>
      </c>
      <c r="B6270" t="s">
        <v>190</v>
      </c>
      <c r="C6270" t="s">
        <v>204</v>
      </c>
      <c r="D6270" t="s">
        <v>74</v>
      </c>
      <c r="E6270" t="s">
        <v>80</v>
      </c>
      <c r="F6270" s="55">
        <v>38</v>
      </c>
      <c r="G6270" s="63">
        <v>2.2599999999999999E-2</v>
      </c>
    </row>
    <row r="6271" spans="1:7" x14ac:dyDescent="0.2">
      <c r="A6271" t="s">
        <v>89</v>
      </c>
      <c r="B6271" t="s">
        <v>190</v>
      </c>
      <c r="C6271" t="s">
        <v>204</v>
      </c>
      <c r="D6271" t="s">
        <v>74</v>
      </c>
      <c r="E6271" t="s">
        <v>81</v>
      </c>
      <c r="F6271" s="55">
        <v>40</v>
      </c>
      <c r="G6271" s="63">
        <v>2.5499999999999998E-2</v>
      </c>
    </row>
    <row r="6272" spans="1:7" x14ac:dyDescent="0.2">
      <c r="A6272" t="s">
        <v>89</v>
      </c>
      <c r="B6272" t="s">
        <v>190</v>
      </c>
      <c r="C6272" t="s">
        <v>204</v>
      </c>
      <c r="D6272" t="s">
        <v>74</v>
      </c>
      <c r="E6272" t="s">
        <v>82</v>
      </c>
      <c r="F6272" s="55">
        <v>34</v>
      </c>
      <c r="G6272" s="63">
        <v>9.5399999999999999E-2</v>
      </c>
    </row>
    <row r="6273" spans="1:7" x14ac:dyDescent="0.2">
      <c r="A6273" t="s">
        <v>89</v>
      </c>
      <c r="B6273" t="s">
        <v>190</v>
      </c>
      <c r="C6273" t="s">
        <v>204</v>
      </c>
      <c r="D6273" t="s">
        <v>74</v>
      </c>
      <c r="E6273" t="s">
        <v>83</v>
      </c>
      <c r="F6273" s="55">
        <v>30</v>
      </c>
      <c r="G6273" s="63">
        <v>9.1999999999999998E-3</v>
      </c>
    </row>
    <row r="6274" spans="1:7" x14ac:dyDescent="0.2">
      <c r="A6274" t="s">
        <v>89</v>
      </c>
      <c r="B6274" t="s">
        <v>190</v>
      </c>
      <c r="C6274" t="s">
        <v>204</v>
      </c>
      <c r="D6274" t="s">
        <v>74</v>
      </c>
      <c r="E6274" t="s">
        <v>84</v>
      </c>
      <c r="F6274" s="55">
        <v>32</v>
      </c>
      <c r="G6274" s="63">
        <v>3.4099999999999998E-2</v>
      </c>
    </row>
    <row r="6275" spans="1:7" x14ac:dyDescent="0.2">
      <c r="A6275" t="s">
        <v>89</v>
      </c>
      <c r="B6275" t="s">
        <v>190</v>
      </c>
      <c r="C6275" t="s">
        <v>204</v>
      </c>
      <c r="D6275" t="s">
        <v>74</v>
      </c>
      <c r="E6275" t="s">
        <v>85</v>
      </c>
      <c r="F6275" s="55">
        <v>35</v>
      </c>
      <c r="G6275" s="63">
        <v>2.3199999999999998E-2</v>
      </c>
    </row>
    <row r="6276" spans="1:7" x14ac:dyDescent="0.2">
      <c r="A6276" t="s">
        <v>89</v>
      </c>
      <c r="B6276" t="s">
        <v>190</v>
      </c>
      <c r="C6276" t="s">
        <v>204</v>
      </c>
      <c r="D6276" t="s">
        <v>74</v>
      </c>
      <c r="E6276" t="s">
        <v>86</v>
      </c>
      <c r="F6276" s="55">
        <v>36</v>
      </c>
      <c r="G6276" s="63">
        <v>3.5299999999999998E-2</v>
      </c>
    </row>
    <row r="6277" spans="1:7" x14ac:dyDescent="0.2">
      <c r="A6277" t="s">
        <v>89</v>
      </c>
      <c r="B6277" t="s">
        <v>190</v>
      </c>
      <c r="C6277" t="s">
        <v>204</v>
      </c>
      <c r="D6277" t="s">
        <v>74</v>
      </c>
      <c r="E6277" t="s">
        <v>87</v>
      </c>
      <c r="F6277" s="55">
        <v>36</v>
      </c>
      <c r="G6277" s="63">
        <v>4.6399999999999997E-2</v>
      </c>
    </row>
    <row r="6278" spans="1:7" x14ac:dyDescent="0.2">
      <c r="A6278" t="s">
        <v>89</v>
      </c>
      <c r="B6278" t="s">
        <v>190</v>
      </c>
      <c r="C6278" t="s">
        <v>204</v>
      </c>
      <c r="D6278" t="s">
        <v>74</v>
      </c>
      <c r="E6278" t="s">
        <v>88</v>
      </c>
      <c r="F6278" s="55">
        <v>33</v>
      </c>
      <c r="G6278" s="63">
        <v>2.7799999999999998E-2</v>
      </c>
    </row>
    <row r="6279" spans="1:7" x14ac:dyDescent="0.2">
      <c r="A6279" t="s">
        <v>89</v>
      </c>
      <c r="B6279" t="s">
        <v>191</v>
      </c>
      <c r="C6279" t="s">
        <v>204</v>
      </c>
      <c r="D6279" t="s">
        <v>91</v>
      </c>
      <c r="E6279" t="s">
        <v>75</v>
      </c>
      <c r="F6279" s="55">
        <v>37</v>
      </c>
      <c r="G6279" s="63">
        <v>0.25209999999999999</v>
      </c>
    </row>
    <row r="6280" spans="1:7" x14ac:dyDescent="0.2">
      <c r="A6280" t="s">
        <v>89</v>
      </c>
      <c r="B6280" t="s">
        <v>191</v>
      </c>
      <c r="C6280" t="s">
        <v>204</v>
      </c>
      <c r="D6280" t="s">
        <v>91</v>
      </c>
      <c r="E6280" t="s">
        <v>76</v>
      </c>
      <c r="F6280" s="55">
        <v>35</v>
      </c>
      <c r="G6280" s="63">
        <v>5.2699999999999997E-2</v>
      </c>
    </row>
    <row r="6281" spans="1:7" x14ac:dyDescent="0.2">
      <c r="A6281" t="s">
        <v>89</v>
      </c>
      <c r="B6281" t="s">
        <v>191</v>
      </c>
      <c r="C6281" t="s">
        <v>204</v>
      </c>
      <c r="D6281" t="s">
        <v>91</v>
      </c>
      <c r="E6281" t="s">
        <v>77</v>
      </c>
      <c r="F6281" s="55">
        <v>36</v>
      </c>
      <c r="G6281" s="63">
        <v>0.1003</v>
      </c>
    </row>
    <row r="6282" spans="1:7" x14ac:dyDescent="0.2">
      <c r="A6282" t="s">
        <v>89</v>
      </c>
      <c r="B6282" t="s">
        <v>191</v>
      </c>
      <c r="C6282" t="s">
        <v>204</v>
      </c>
      <c r="D6282" t="s">
        <v>91</v>
      </c>
      <c r="E6282" t="s">
        <v>78</v>
      </c>
      <c r="F6282" s="55">
        <v>37</v>
      </c>
      <c r="G6282" s="63">
        <v>9.5699999999999993E-2</v>
      </c>
    </row>
    <row r="6283" spans="1:7" x14ac:dyDescent="0.2">
      <c r="A6283" t="s">
        <v>89</v>
      </c>
      <c r="B6283" t="s">
        <v>191</v>
      </c>
      <c r="C6283" t="s">
        <v>204</v>
      </c>
      <c r="D6283" t="s">
        <v>91</v>
      </c>
      <c r="E6283" t="s">
        <v>79</v>
      </c>
      <c r="F6283" s="55">
        <v>37</v>
      </c>
      <c r="G6283" s="63">
        <v>0.14879999999999999</v>
      </c>
    </row>
    <row r="6284" spans="1:7" x14ac:dyDescent="0.2">
      <c r="A6284" t="s">
        <v>89</v>
      </c>
      <c r="B6284" t="s">
        <v>191</v>
      </c>
      <c r="C6284" t="s">
        <v>204</v>
      </c>
      <c r="D6284" t="s">
        <v>91</v>
      </c>
      <c r="E6284" t="s">
        <v>80</v>
      </c>
      <c r="F6284" s="55">
        <v>38</v>
      </c>
      <c r="G6284" s="63">
        <v>4.0899999999999999E-2</v>
      </c>
    </row>
    <row r="6285" spans="1:7" x14ac:dyDescent="0.2">
      <c r="A6285" t="s">
        <v>89</v>
      </c>
      <c r="B6285" t="s">
        <v>191</v>
      </c>
      <c r="C6285" t="s">
        <v>204</v>
      </c>
      <c r="D6285" t="s">
        <v>91</v>
      </c>
      <c r="E6285" t="s">
        <v>81</v>
      </c>
      <c r="F6285" s="55">
        <v>38</v>
      </c>
      <c r="G6285" s="63">
        <v>4.8800000000000003E-2</v>
      </c>
    </row>
    <row r="6286" spans="1:7" x14ac:dyDescent="0.2">
      <c r="A6286" t="s">
        <v>89</v>
      </c>
      <c r="B6286" t="s">
        <v>191</v>
      </c>
      <c r="C6286" t="s">
        <v>204</v>
      </c>
      <c r="D6286" t="s">
        <v>91</v>
      </c>
      <c r="E6286" t="s">
        <v>82</v>
      </c>
      <c r="F6286" s="55">
        <v>35</v>
      </c>
      <c r="G6286" s="63">
        <v>0.12690000000000001</v>
      </c>
    </row>
    <row r="6287" spans="1:7" x14ac:dyDescent="0.2">
      <c r="A6287" t="s">
        <v>89</v>
      </c>
      <c r="B6287" t="s">
        <v>191</v>
      </c>
      <c r="C6287" t="s">
        <v>204</v>
      </c>
      <c r="D6287" t="s">
        <v>91</v>
      </c>
      <c r="E6287" t="s">
        <v>83</v>
      </c>
      <c r="F6287" s="55">
        <v>35</v>
      </c>
      <c r="G6287" s="63">
        <v>3.1699999999999999E-2</v>
      </c>
    </row>
    <row r="6288" spans="1:7" x14ac:dyDescent="0.2">
      <c r="A6288" t="s">
        <v>89</v>
      </c>
      <c r="B6288" t="s">
        <v>191</v>
      </c>
      <c r="C6288" t="s">
        <v>204</v>
      </c>
      <c r="D6288" t="s">
        <v>91</v>
      </c>
      <c r="E6288" t="s">
        <v>84</v>
      </c>
      <c r="F6288" s="55">
        <v>38</v>
      </c>
      <c r="G6288" s="63">
        <v>7.7100000000000002E-2</v>
      </c>
    </row>
    <row r="6289" spans="1:7" x14ac:dyDescent="0.2">
      <c r="A6289" t="s">
        <v>89</v>
      </c>
      <c r="B6289" t="s">
        <v>191</v>
      </c>
      <c r="C6289" t="s">
        <v>204</v>
      </c>
      <c r="D6289" t="s">
        <v>91</v>
      </c>
      <c r="E6289" t="s">
        <v>85</v>
      </c>
      <c r="F6289" s="55">
        <v>38</v>
      </c>
      <c r="G6289" s="63">
        <v>4.7800000000000002E-2</v>
      </c>
    </row>
    <row r="6290" spans="1:7" x14ac:dyDescent="0.2">
      <c r="A6290" t="s">
        <v>89</v>
      </c>
      <c r="B6290" t="s">
        <v>191</v>
      </c>
      <c r="C6290" t="s">
        <v>204</v>
      </c>
      <c r="D6290" t="s">
        <v>91</v>
      </c>
      <c r="E6290" t="s">
        <v>86</v>
      </c>
      <c r="F6290" s="55">
        <v>38</v>
      </c>
      <c r="G6290" s="63">
        <v>0.06</v>
      </c>
    </row>
    <row r="6291" spans="1:7" x14ac:dyDescent="0.2">
      <c r="A6291" t="s">
        <v>89</v>
      </c>
      <c r="B6291" t="s">
        <v>191</v>
      </c>
      <c r="C6291" t="s">
        <v>204</v>
      </c>
      <c r="D6291" t="s">
        <v>91</v>
      </c>
      <c r="E6291" t="s">
        <v>87</v>
      </c>
      <c r="F6291" s="55">
        <v>37</v>
      </c>
      <c r="G6291" s="63">
        <v>7.17E-2</v>
      </c>
    </row>
    <row r="6292" spans="1:7" x14ac:dyDescent="0.2">
      <c r="A6292" t="s">
        <v>89</v>
      </c>
      <c r="B6292" t="s">
        <v>191</v>
      </c>
      <c r="C6292" t="s">
        <v>204</v>
      </c>
      <c r="D6292" t="s">
        <v>91</v>
      </c>
      <c r="E6292" t="s">
        <v>88</v>
      </c>
      <c r="F6292" s="55">
        <v>35</v>
      </c>
      <c r="G6292" s="63">
        <v>6.7699999999999996E-2</v>
      </c>
    </row>
    <row r="6293" spans="1:7" x14ac:dyDescent="0.2">
      <c r="A6293" t="s">
        <v>89</v>
      </c>
      <c r="B6293" t="s">
        <v>192</v>
      </c>
      <c r="C6293" t="s">
        <v>204</v>
      </c>
      <c r="D6293" t="s">
        <v>74</v>
      </c>
      <c r="E6293" t="s">
        <v>75</v>
      </c>
      <c r="F6293" s="55">
        <v>123</v>
      </c>
      <c r="G6293" s="63">
        <v>9.9699999999999997E-2</v>
      </c>
    </row>
    <row r="6294" spans="1:7" x14ac:dyDescent="0.2">
      <c r="A6294" t="s">
        <v>89</v>
      </c>
      <c r="B6294" t="s">
        <v>192</v>
      </c>
      <c r="C6294" t="s">
        <v>204</v>
      </c>
      <c r="D6294" t="s">
        <v>74</v>
      </c>
      <c r="E6294" t="s">
        <v>76</v>
      </c>
      <c r="F6294" s="55">
        <v>156</v>
      </c>
      <c r="G6294" s="63">
        <v>7.7999999999999996E-3</v>
      </c>
    </row>
    <row r="6295" spans="1:7" x14ac:dyDescent="0.2">
      <c r="A6295" t="s">
        <v>89</v>
      </c>
      <c r="B6295" t="s">
        <v>192</v>
      </c>
      <c r="C6295" t="s">
        <v>204</v>
      </c>
      <c r="D6295" t="s">
        <v>74</v>
      </c>
      <c r="E6295" t="s">
        <v>77</v>
      </c>
      <c r="F6295" s="55">
        <v>113</v>
      </c>
      <c r="G6295" s="63">
        <v>3.3399999999999999E-2</v>
      </c>
    </row>
    <row r="6296" spans="1:7" x14ac:dyDescent="0.2">
      <c r="A6296" t="s">
        <v>89</v>
      </c>
      <c r="B6296" t="s">
        <v>192</v>
      </c>
      <c r="C6296" t="s">
        <v>204</v>
      </c>
      <c r="D6296" t="s">
        <v>74</v>
      </c>
      <c r="E6296" t="s">
        <v>78</v>
      </c>
      <c r="F6296" s="55">
        <v>135</v>
      </c>
      <c r="G6296" s="63">
        <v>2.8400000000000002E-2</v>
      </c>
    </row>
    <row r="6297" spans="1:7" x14ac:dyDescent="0.2">
      <c r="A6297" t="s">
        <v>89</v>
      </c>
      <c r="B6297" t="s">
        <v>192</v>
      </c>
      <c r="C6297" t="s">
        <v>204</v>
      </c>
      <c r="D6297" t="s">
        <v>74</v>
      </c>
      <c r="E6297" t="s">
        <v>79</v>
      </c>
      <c r="F6297" s="55">
        <v>121</v>
      </c>
      <c r="G6297" s="63">
        <v>6.1800000000000001E-2</v>
      </c>
    </row>
    <row r="6298" spans="1:7" x14ac:dyDescent="0.2">
      <c r="A6298" t="s">
        <v>89</v>
      </c>
      <c r="B6298" t="s">
        <v>192</v>
      </c>
      <c r="C6298" t="s">
        <v>204</v>
      </c>
      <c r="D6298" t="s">
        <v>74</v>
      </c>
      <c r="E6298" t="s">
        <v>80</v>
      </c>
      <c r="F6298" s="55">
        <v>122</v>
      </c>
      <c r="G6298" s="63">
        <v>4.0300000000000002E-2</v>
      </c>
    </row>
    <row r="6299" spans="1:7" x14ac:dyDescent="0.2">
      <c r="A6299" t="s">
        <v>89</v>
      </c>
      <c r="B6299" t="s">
        <v>192</v>
      </c>
      <c r="C6299" t="s">
        <v>204</v>
      </c>
      <c r="D6299" t="s">
        <v>74</v>
      </c>
      <c r="E6299" t="s">
        <v>81</v>
      </c>
      <c r="F6299" s="55">
        <v>125</v>
      </c>
      <c r="G6299" s="63">
        <v>3.6600000000000001E-2</v>
      </c>
    </row>
    <row r="6300" spans="1:7" x14ac:dyDescent="0.2">
      <c r="A6300" t="s">
        <v>89</v>
      </c>
      <c r="B6300" t="s">
        <v>192</v>
      </c>
      <c r="C6300" t="s">
        <v>204</v>
      </c>
      <c r="D6300" t="s">
        <v>74</v>
      </c>
      <c r="E6300" t="s">
        <v>82</v>
      </c>
      <c r="F6300" s="55">
        <v>124</v>
      </c>
      <c r="G6300" s="63">
        <v>3.5299999999999998E-2</v>
      </c>
    </row>
    <row r="6301" spans="1:7" x14ac:dyDescent="0.2">
      <c r="A6301" t="s">
        <v>89</v>
      </c>
      <c r="B6301" t="s">
        <v>192</v>
      </c>
      <c r="C6301" t="s">
        <v>204</v>
      </c>
      <c r="D6301" t="s">
        <v>74</v>
      </c>
      <c r="E6301" t="s">
        <v>83</v>
      </c>
      <c r="F6301" s="55">
        <v>133</v>
      </c>
      <c r="G6301" s="63">
        <v>8.8999999999999999E-3</v>
      </c>
    </row>
    <row r="6302" spans="1:7" x14ac:dyDescent="0.2">
      <c r="A6302" t="s">
        <v>89</v>
      </c>
      <c r="B6302" t="s">
        <v>192</v>
      </c>
      <c r="C6302" t="s">
        <v>204</v>
      </c>
      <c r="D6302" t="s">
        <v>74</v>
      </c>
      <c r="E6302" t="s">
        <v>84</v>
      </c>
      <c r="F6302" s="55">
        <v>130</v>
      </c>
      <c r="G6302" s="63">
        <v>2.35E-2</v>
      </c>
    </row>
    <row r="6303" spans="1:7" x14ac:dyDescent="0.2">
      <c r="A6303" t="s">
        <v>89</v>
      </c>
      <c r="B6303" t="s">
        <v>192</v>
      </c>
      <c r="C6303" t="s">
        <v>204</v>
      </c>
      <c r="D6303" t="s">
        <v>74</v>
      </c>
      <c r="E6303" t="s">
        <v>85</v>
      </c>
      <c r="F6303" s="55">
        <v>122</v>
      </c>
      <c r="G6303" s="63">
        <v>3.6700000000000003E-2</v>
      </c>
    </row>
    <row r="6304" spans="1:7" x14ac:dyDescent="0.2">
      <c r="A6304" t="s">
        <v>89</v>
      </c>
      <c r="B6304" t="s">
        <v>192</v>
      </c>
      <c r="C6304" t="s">
        <v>204</v>
      </c>
      <c r="D6304" t="s">
        <v>74</v>
      </c>
      <c r="E6304" t="s">
        <v>86</v>
      </c>
      <c r="F6304" s="55">
        <v>120</v>
      </c>
      <c r="G6304" s="63">
        <v>3.2199999999999999E-2</v>
      </c>
    </row>
    <row r="6305" spans="1:7" x14ac:dyDescent="0.2">
      <c r="A6305" t="s">
        <v>89</v>
      </c>
      <c r="B6305" t="s">
        <v>192</v>
      </c>
      <c r="C6305" t="s">
        <v>204</v>
      </c>
      <c r="D6305" t="s">
        <v>74</v>
      </c>
      <c r="E6305" t="s">
        <v>87</v>
      </c>
      <c r="F6305" s="55">
        <v>119</v>
      </c>
      <c r="G6305" s="63">
        <v>2.9399999999999999E-2</v>
      </c>
    </row>
    <row r="6306" spans="1:7" x14ac:dyDescent="0.2">
      <c r="A6306" t="s">
        <v>89</v>
      </c>
      <c r="B6306" t="s">
        <v>192</v>
      </c>
      <c r="C6306" t="s">
        <v>204</v>
      </c>
      <c r="D6306" t="s">
        <v>74</v>
      </c>
      <c r="E6306" t="s">
        <v>88</v>
      </c>
      <c r="F6306" s="55">
        <v>149</v>
      </c>
      <c r="G6306" s="63">
        <v>1.23E-2</v>
      </c>
    </row>
    <row r="6307" spans="1:7" x14ac:dyDescent="0.2">
      <c r="A6307" t="s">
        <v>71</v>
      </c>
      <c r="B6307" t="s">
        <v>20</v>
      </c>
      <c r="C6307" t="s">
        <v>204</v>
      </c>
      <c r="D6307" t="s">
        <v>74</v>
      </c>
      <c r="E6307" t="s">
        <v>75</v>
      </c>
      <c r="F6307" s="55">
        <v>119</v>
      </c>
      <c r="G6307" s="63">
        <v>0.57089999999999996</v>
      </c>
    </row>
    <row r="6308" spans="1:7" x14ac:dyDescent="0.2">
      <c r="A6308" t="s">
        <v>71</v>
      </c>
      <c r="B6308" t="s">
        <v>20</v>
      </c>
      <c r="C6308" t="s">
        <v>204</v>
      </c>
      <c r="D6308" t="s">
        <v>74</v>
      </c>
      <c r="E6308" t="s">
        <v>76</v>
      </c>
      <c r="F6308" s="55">
        <v>119</v>
      </c>
      <c r="G6308" s="63">
        <v>0.17249999999999999</v>
      </c>
    </row>
    <row r="6309" spans="1:7" x14ac:dyDescent="0.2">
      <c r="A6309" t="s">
        <v>71</v>
      </c>
      <c r="B6309" t="s">
        <v>20</v>
      </c>
      <c r="C6309" t="s">
        <v>204</v>
      </c>
      <c r="D6309" t="s">
        <v>74</v>
      </c>
      <c r="E6309" t="s">
        <v>77</v>
      </c>
      <c r="F6309" s="55">
        <v>123</v>
      </c>
      <c r="G6309" s="63">
        <v>0.3397</v>
      </c>
    </row>
    <row r="6310" spans="1:7" x14ac:dyDescent="0.2">
      <c r="A6310" t="s">
        <v>71</v>
      </c>
      <c r="B6310" t="s">
        <v>20</v>
      </c>
      <c r="C6310" t="s">
        <v>204</v>
      </c>
      <c r="D6310" t="s">
        <v>74</v>
      </c>
      <c r="E6310" t="s">
        <v>78</v>
      </c>
      <c r="F6310" s="55">
        <v>121</v>
      </c>
      <c r="G6310" s="63">
        <v>0.34179999999999999</v>
      </c>
    </row>
    <row r="6311" spans="1:7" x14ac:dyDescent="0.2">
      <c r="A6311" t="s">
        <v>71</v>
      </c>
      <c r="B6311" t="s">
        <v>20</v>
      </c>
      <c r="C6311" t="s">
        <v>204</v>
      </c>
      <c r="D6311" t="s">
        <v>74</v>
      </c>
      <c r="E6311" t="s">
        <v>79</v>
      </c>
      <c r="F6311" s="55">
        <v>115</v>
      </c>
      <c r="G6311" s="63">
        <v>0.43940000000000001</v>
      </c>
    </row>
    <row r="6312" spans="1:7" x14ac:dyDescent="0.2">
      <c r="A6312" t="s">
        <v>71</v>
      </c>
      <c r="B6312" t="s">
        <v>20</v>
      </c>
      <c r="C6312" t="s">
        <v>204</v>
      </c>
      <c r="D6312" t="s">
        <v>74</v>
      </c>
      <c r="E6312" t="s">
        <v>80</v>
      </c>
      <c r="F6312" s="55">
        <v>113</v>
      </c>
      <c r="G6312" s="63">
        <v>0.1686</v>
      </c>
    </row>
    <row r="6313" spans="1:7" x14ac:dyDescent="0.2">
      <c r="A6313" t="s">
        <v>71</v>
      </c>
      <c r="B6313" t="s">
        <v>20</v>
      </c>
      <c r="C6313" t="s">
        <v>204</v>
      </c>
      <c r="D6313" t="s">
        <v>74</v>
      </c>
      <c r="E6313" t="s">
        <v>81</v>
      </c>
      <c r="F6313" s="55">
        <v>114</v>
      </c>
      <c r="G6313" s="63">
        <v>0.17599999999999999</v>
      </c>
    </row>
    <row r="6314" spans="1:7" x14ac:dyDescent="0.2">
      <c r="A6314" t="s">
        <v>71</v>
      </c>
      <c r="B6314" t="s">
        <v>20</v>
      </c>
      <c r="C6314" t="s">
        <v>204</v>
      </c>
      <c r="D6314" t="s">
        <v>74</v>
      </c>
      <c r="E6314" t="s">
        <v>82</v>
      </c>
      <c r="F6314" s="55">
        <v>120</v>
      </c>
      <c r="G6314" s="63">
        <v>0.40910000000000002</v>
      </c>
    </row>
    <row r="6315" spans="1:7" x14ac:dyDescent="0.2">
      <c r="A6315" t="s">
        <v>71</v>
      </c>
      <c r="B6315" t="s">
        <v>20</v>
      </c>
      <c r="C6315" t="s">
        <v>204</v>
      </c>
      <c r="D6315" t="s">
        <v>74</v>
      </c>
      <c r="E6315" t="s">
        <v>83</v>
      </c>
      <c r="F6315" s="55">
        <v>116</v>
      </c>
      <c r="G6315" s="63">
        <v>0.11260000000000001</v>
      </c>
    </row>
    <row r="6316" spans="1:7" x14ac:dyDescent="0.2">
      <c r="A6316" t="s">
        <v>71</v>
      </c>
      <c r="B6316" t="s">
        <v>20</v>
      </c>
      <c r="C6316" t="s">
        <v>204</v>
      </c>
      <c r="D6316" t="s">
        <v>74</v>
      </c>
      <c r="E6316" t="s">
        <v>84</v>
      </c>
      <c r="F6316" s="55">
        <v>123</v>
      </c>
      <c r="G6316" s="63">
        <v>0.2984</v>
      </c>
    </row>
    <row r="6317" spans="1:7" x14ac:dyDescent="0.2">
      <c r="A6317" t="s">
        <v>71</v>
      </c>
      <c r="B6317" t="s">
        <v>20</v>
      </c>
      <c r="C6317" t="s">
        <v>204</v>
      </c>
      <c r="D6317" t="s">
        <v>74</v>
      </c>
      <c r="E6317" t="s">
        <v>85</v>
      </c>
      <c r="F6317" s="55">
        <v>114</v>
      </c>
      <c r="G6317" s="63">
        <v>0.2031</v>
      </c>
    </row>
    <row r="6318" spans="1:7" x14ac:dyDescent="0.2">
      <c r="A6318" t="s">
        <v>71</v>
      </c>
      <c r="B6318" t="s">
        <v>20</v>
      </c>
      <c r="C6318" t="s">
        <v>204</v>
      </c>
      <c r="D6318" t="s">
        <v>74</v>
      </c>
      <c r="E6318" t="s">
        <v>86</v>
      </c>
      <c r="F6318" s="55">
        <v>114</v>
      </c>
      <c r="G6318" s="63">
        <v>0.24479999999999999</v>
      </c>
    </row>
    <row r="6319" spans="1:7" x14ac:dyDescent="0.2">
      <c r="A6319" t="s">
        <v>71</v>
      </c>
      <c r="B6319" t="s">
        <v>20</v>
      </c>
      <c r="C6319" t="s">
        <v>204</v>
      </c>
      <c r="D6319" t="s">
        <v>74</v>
      </c>
      <c r="E6319" t="s">
        <v>87</v>
      </c>
      <c r="F6319" s="55">
        <v>113</v>
      </c>
      <c r="G6319" s="63">
        <v>0.28289999999999998</v>
      </c>
    </row>
    <row r="6320" spans="1:7" x14ac:dyDescent="0.2">
      <c r="A6320" t="s">
        <v>71</v>
      </c>
      <c r="B6320" t="s">
        <v>20</v>
      </c>
      <c r="C6320" t="s">
        <v>204</v>
      </c>
      <c r="D6320" t="s">
        <v>74</v>
      </c>
      <c r="E6320" t="s">
        <v>88</v>
      </c>
      <c r="F6320" s="55">
        <v>115</v>
      </c>
      <c r="G6320" s="63">
        <v>0.23130000000000001</v>
      </c>
    </row>
    <row r="6321" spans="1:7" x14ac:dyDescent="0.2">
      <c r="A6321" t="s">
        <v>71</v>
      </c>
      <c r="B6321" t="s">
        <v>193</v>
      </c>
      <c r="C6321" t="s">
        <v>204</v>
      </c>
      <c r="D6321" t="s">
        <v>74</v>
      </c>
      <c r="E6321" t="s">
        <v>75</v>
      </c>
      <c r="F6321" s="55">
        <v>76</v>
      </c>
      <c r="G6321" s="63">
        <v>0.2414</v>
      </c>
    </row>
    <row r="6322" spans="1:7" x14ac:dyDescent="0.2">
      <c r="A6322" t="s">
        <v>71</v>
      </c>
      <c r="B6322" t="s">
        <v>193</v>
      </c>
      <c r="C6322" t="s">
        <v>204</v>
      </c>
      <c r="D6322" t="s">
        <v>74</v>
      </c>
      <c r="E6322" t="s">
        <v>76</v>
      </c>
      <c r="F6322" s="55">
        <v>58</v>
      </c>
      <c r="G6322" s="63">
        <v>1.66E-2</v>
      </c>
    </row>
    <row r="6323" spans="1:7" x14ac:dyDescent="0.2">
      <c r="A6323" t="s">
        <v>71</v>
      </c>
      <c r="B6323" t="s">
        <v>193</v>
      </c>
      <c r="C6323" t="s">
        <v>204</v>
      </c>
      <c r="D6323" t="s">
        <v>74</v>
      </c>
      <c r="E6323" t="s">
        <v>77</v>
      </c>
      <c r="F6323" s="55">
        <v>67</v>
      </c>
      <c r="G6323" s="63">
        <v>5.74E-2</v>
      </c>
    </row>
    <row r="6324" spans="1:7" x14ac:dyDescent="0.2">
      <c r="A6324" t="s">
        <v>71</v>
      </c>
      <c r="B6324" t="s">
        <v>193</v>
      </c>
      <c r="C6324" t="s">
        <v>204</v>
      </c>
      <c r="D6324" t="s">
        <v>74</v>
      </c>
      <c r="E6324" t="s">
        <v>78</v>
      </c>
      <c r="F6324" s="55">
        <v>66</v>
      </c>
      <c r="G6324" s="63">
        <v>5.3100000000000001E-2</v>
      </c>
    </row>
    <row r="6325" spans="1:7" x14ac:dyDescent="0.2">
      <c r="A6325" t="s">
        <v>71</v>
      </c>
      <c r="B6325" t="s">
        <v>193</v>
      </c>
      <c r="C6325" t="s">
        <v>204</v>
      </c>
      <c r="D6325" t="s">
        <v>74</v>
      </c>
      <c r="E6325" t="s">
        <v>79</v>
      </c>
      <c r="F6325" s="55">
        <v>82</v>
      </c>
      <c r="G6325" s="63">
        <v>0.1699</v>
      </c>
    </row>
    <row r="6326" spans="1:7" x14ac:dyDescent="0.2">
      <c r="A6326" t="s">
        <v>71</v>
      </c>
      <c r="B6326" t="s">
        <v>193</v>
      </c>
      <c r="C6326" t="s">
        <v>204</v>
      </c>
      <c r="D6326" t="s">
        <v>74</v>
      </c>
      <c r="E6326" t="s">
        <v>80</v>
      </c>
      <c r="F6326" s="55">
        <v>80</v>
      </c>
      <c r="G6326" s="63">
        <v>4.3400000000000001E-2</v>
      </c>
    </row>
    <row r="6327" spans="1:7" x14ac:dyDescent="0.2">
      <c r="A6327" t="s">
        <v>71</v>
      </c>
      <c r="B6327" t="s">
        <v>193</v>
      </c>
      <c r="C6327" t="s">
        <v>204</v>
      </c>
      <c r="D6327" t="s">
        <v>74</v>
      </c>
      <c r="E6327" t="s">
        <v>81</v>
      </c>
      <c r="F6327" s="55">
        <v>73</v>
      </c>
      <c r="G6327" s="63">
        <v>3.8800000000000001E-2</v>
      </c>
    </row>
    <row r="6328" spans="1:7" x14ac:dyDescent="0.2">
      <c r="A6328" t="s">
        <v>71</v>
      </c>
      <c r="B6328" t="s">
        <v>193</v>
      </c>
      <c r="C6328" t="s">
        <v>204</v>
      </c>
      <c r="D6328" t="s">
        <v>74</v>
      </c>
      <c r="E6328" t="s">
        <v>82</v>
      </c>
      <c r="F6328" s="55">
        <v>72</v>
      </c>
      <c r="G6328" s="63">
        <v>9.98E-2</v>
      </c>
    </row>
    <row r="6329" spans="1:7" x14ac:dyDescent="0.2">
      <c r="A6329" t="s">
        <v>71</v>
      </c>
      <c r="B6329" t="s">
        <v>193</v>
      </c>
      <c r="C6329" t="s">
        <v>204</v>
      </c>
      <c r="D6329" t="s">
        <v>74</v>
      </c>
      <c r="E6329" t="s">
        <v>83</v>
      </c>
      <c r="F6329" s="55">
        <v>62</v>
      </c>
      <c r="G6329" s="63">
        <v>1.2200000000000001E-2</v>
      </c>
    </row>
    <row r="6330" spans="1:7" x14ac:dyDescent="0.2">
      <c r="A6330" t="s">
        <v>71</v>
      </c>
      <c r="B6330" t="s">
        <v>193</v>
      </c>
      <c r="C6330" t="s">
        <v>204</v>
      </c>
      <c r="D6330" t="s">
        <v>74</v>
      </c>
      <c r="E6330" t="s">
        <v>84</v>
      </c>
      <c r="F6330" s="55">
        <v>65</v>
      </c>
      <c r="G6330" s="63">
        <v>3.5999999999999997E-2</v>
      </c>
    </row>
    <row r="6331" spans="1:7" x14ac:dyDescent="0.2">
      <c r="A6331" t="s">
        <v>71</v>
      </c>
      <c r="B6331" t="s">
        <v>193</v>
      </c>
      <c r="C6331" t="s">
        <v>204</v>
      </c>
      <c r="D6331" t="s">
        <v>74</v>
      </c>
      <c r="E6331" t="s">
        <v>85</v>
      </c>
      <c r="F6331" s="55">
        <v>80</v>
      </c>
      <c r="G6331" s="63">
        <v>5.4100000000000002E-2</v>
      </c>
    </row>
    <row r="6332" spans="1:7" x14ac:dyDescent="0.2">
      <c r="A6332" t="s">
        <v>71</v>
      </c>
      <c r="B6332" t="s">
        <v>193</v>
      </c>
      <c r="C6332" t="s">
        <v>204</v>
      </c>
      <c r="D6332" t="s">
        <v>74</v>
      </c>
      <c r="E6332" t="s">
        <v>86</v>
      </c>
      <c r="F6332" s="55">
        <v>82</v>
      </c>
      <c r="G6332" s="63">
        <v>7.2400000000000006E-2</v>
      </c>
    </row>
    <row r="6333" spans="1:7" x14ac:dyDescent="0.2">
      <c r="A6333" t="s">
        <v>71</v>
      </c>
      <c r="B6333" t="s">
        <v>193</v>
      </c>
      <c r="C6333" t="s">
        <v>204</v>
      </c>
      <c r="D6333" t="s">
        <v>74</v>
      </c>
      <c r="E6333" t="s">
        <v>87</v>
      </c>
      <c r="F6333" s="55">
        <v>83</v>
      </c>
      <c r="G6333" s="63">
        <v>8.3299999999999999E-2</v>
      </c>
    </row>
    <row r="6334" spans="1:7" x14ac:dyDescent="0.2">
      <c r="A6334" t="s">
        <v>71</v>
      </c>
      <c r="B6334" t="s">
        <v>193</v>
      </c>
      <c r="C6334" t="s">
        <v>204</v>
      </c>
      <c r="D6334" t="s">
        <v>74</v>
      </c>
      <c r="E6334" t="s">
        <v>88</v>
      </c>
      <c r="F6334" s="55">
        <v>60</v>
      </c>
      <c r="G6334" s="63">
        <v>2.9499999999999998E-2</v>
      </c>
    </row>
    <row r="6335" spans="1:7" x14ac:dyDescent="0.2">
      <c r="A6335" t="s">
        <v>71</v>
      </c>
      <c r="B6335" t="s">
        <v>194</v>
      </c>
      <c r="C6335" t="s">
        <v>204</v>
      </c>
      <c r="D6335" t="s">
        <v>74</v>
      </c>
      <c r="E6335" t="s">
        <v>75</v>
      </c>
      <c r="F6335" s="55">
        <v>112</v>
      </c>
      <c r="G6335" s="63">
        <v>7.4499999999999997E-2</v>
      </c>
    </row>
    <row r="6336" spans="1:7" x14ac:dyDescent="0.2">
      <c r="A6336" t="s">
        <v>71</v>
      </c>
      <c r="B6336" t="s">
        <v>194</v>
      </c>
      <c r="C6336" t="s">
        <v>204</v>
      </c>
      <c r="D6336" t="s">
        <v>74</v>
      </c>
      <c r="E6336" t="s">
        <v>76</v>
      </c>
      <c r="F6336" s="55">
        <v>104</v>
      </c>
      <c r="G6336" s="63">
        <v>6.4000000000000003E-3</v>
      </c>
    </row>
    <row r="6337" spans="1:7" x14ac:dyDescent="0.2">
      <c r="A6337" t="s">
        <v>71</v>
      </c>
      <c r="B6337" t="s">
        <v>194</v>
      </c>
      <c r="C6337" t="s">
        <v>204</v>
      </c>
      <c r="D6337" t="s">
        <v>74</v>
      </c>
      <c r="E6337" t="s">
        <v>77</v>
      </c>
      <c r="F6337" s="55">
        <v>110</v>
      </c>
      <c r="G6337" s="63">
        <v>2.3E-2</v>
      </c>
    </row>
    <row r="6338" spans="1:7" x14ac:dyDescent="0.2">
      <c r="A6338" t="s">
        <v>71</v>
      </c>
      <c r="B6338" t="s">
        <v>194</v>
      </c>
      <c r="C6338" t="s">
        <v>204</v>
      </c>
      <c r="D6338" t="s">
        <v>74</v>
      </c>
      <c r="E6338" t="s">
        <v>78</v>
      </c>
      <c r="F6338" s="55">
        <v>108</v>
      </c>
      <c r="G6338" s="63">
        <v>2.1899999999999999E-2</v>
      </c>
    </row>
    <row r="6339" spans="1:7" x14ac:dyDescent="0.2">
      <c r="A6339" t="s">
        <v>71</v>
      </c>
      <c r="B6339" t="s">
        <v>194</v>
      </c>
      <c r="C6339" t="s">
        <v>204</v>
      </c>
      <c r="D6339" t="s">
        <v>74</v>
      </c>
      <c r="E6339" t="s">
        <v>79</v>
      </c>
      <c r="F6339" s="55">
        <v>113</v>
      </c>
      <c r="G6339" s="63">
        <v>4.4900000000000002E-2</v>
      </c>
    </row>
    <row r="6340" spans="1:7" x14ac:dyDescent="0.2">
      <c r="A6340" t="s">
        <v>71</v>
      </c>
      <c r="B6340" t="s">
        <v>194</v>
      </c>
      <c r="C6340" t="s">
        <v>204</v>
      </c>
      <c r="D6340" t="s">
        <v>74</v>
      </c>
      <c r="E6340" t="s">
        <v>80</v>
      </c>
      <c r="F6340" s="55">
        <v>109</v>
      </c>
      <c r="G6340" s="63">
        <v>1.06E-2</v>
      </c>
    </row>
    <row r="6341" spans="1:7" x14ac:dyDescent="0.2">
      <c r="A6341" t="s">
        <v>71</v>
      </c>
      <c r="B6341" t="s">
        <v>194</v>
      </c>
      <c r="C6341" t="s">
        <v>204</v>
      </c>
      <c r="D6341" t="s">
        <v>74</v>
      </c>
      <c r="E6341" t="s">
        <v>81</v>
      </c>
      <c r="F6341" s="55">
        <v>111</v>
      </c>
      <c r="G6341" s="63">
        <v>1.18E-2</v>
      </c>
    </row>
    <row r="6342" spans="1:7" x14ac:dyDescent="0.2">
      <c r="A6342" t="s">
        <v>71</v>
      </c>
      <c r="B6342" t="s">
        <v>194</v>
      </c>
      <c r="C6342" t="s">
        <v>204</v>
      </c>
      <c r="D6342" t="s">
        <v>74</v>
      </c>
      <c r="E6342" t="s">
        <v>82</v>
      </c>
      <c r="F6342" s="55">
        <v>111</v>
      </c>
      <c r="G6342" s="63">
        <v>2.9600000000000001E-2</v>
      </c>
    </row>
    <row r="6343" spans="1:7" x14ac:dyDescent="0.2">
      <c r="A6343" t="s">
        <v>71</v>
      </c>
      <c r="B6343" t="s">
        <v>194</v>
      </c>
      <c r="C6343" t="s">
        <v>204</v>
      </c>
      <c r="D6343" t="s">
        <v>74</v>
      </c>
      <c r="E6343" t="s">
        <v>83</v>
      </c>
      <c r="F6343" s="55">
        <v>111</v>
      </c>
      <c r="G6343" s="63">
        <v>4.4000000000000003E-3</v>
      </c>
    </row>
    <row r="6344" spans="1:7" x14ac:dyDescent="0.2">
      <c r="A6344" t="s">
        <v>71</v>
      </c>
      <c r="B6344" t="s">
        <v>194</v>
      </c>
      <c r="C6344" t="s">
        <v>204</v>
      </c>
      <c r="D6344" t="s">
        <v>74</v>
      </c>
      <c r="E6344" t="s">
        <v>84</v>
      </c>
      <c r="F6344" s="55">
        <v>102</v>
      </c>
      <c r="G6344" s="63">
        <v>1.52E-2</v>
      </c>
    </row>
    <row r="6345" spans="1:7" x14ac:dyDescent="0.2">
      <c r="A6345" t="s">
        <v>71</v>
      </c>
      <c r="B6345" t="s">
        <v>194</v>
      </c>
      <c r="C6345" t="s">
        <v>204</v>
      </c>
      <c r="D6345" t="s">
        <v>74</v>
      </c>
      <c r="E6345" t="s">
        <v>85</v>
      </c>
      <c r="F6345" s="55">
        <v>109</v>
      </c>
      <c r="G6345" s="63">
        <v>1.2500000000000001E-2</v>
      </c>
    </row>
    <row r="6346" spans="1:7" x14ac:dyDescent="0.2">
      <c r="A6346" t="s">
        <v>71</v>
      </c>
      <c r="B6346" t="s">
        <v>194</v>
      </c>
      <c r="C6346" t="s">
        <v>204</v>
      </c>
      <c r="D6346" t="s">
        <v>74</v>
      </c>
      <c r="E6346" t="s">
        <v>86</v>
      </c>
      <c r="F6346" s="55">
        <v>114</v>
      </c>
      <c r="G6346" s="63">
        <v>1.7399999999999999E-2</v>
      </c>
    </row>
    <row r="6347" spans="1:7" x14ac:dyDescent="0.2">
      <c r="A6347" t="s">
        <v>71</v>
      </c>
      <c r="B6347" t="s">
        <v>194</v>
      </c>
      <c r="C6347" t="s">
        <v>204</v>
      </c>
      <c r="D6347" t="s">
        <v>74</v>
      </c>
      <c r="E6347" t="s">
        <v>87</v>
      </c>
      <c r="F6347" s="55">
        <v>112</v>
      </c>
      <c r="G6347" s="63">
        <v>2.0400000000000001E-2</v>
      </c>
    </row>
    <row r="6348" spans="1:7" x14ac:dyDescent="0.2">
      <c r="A6348" t="s">
        <v>71</v>
      </c>
      <c r="B6348" t="s">
        <v>194</v>
      </c>
      <c r="C6348" t="s">
        <v>204</v>
      </c>
      <c r="D6348" t="s">
        <v>74</v>
      </c>
      <c r="E6348" t="s">
        <v>88</v>
      </c>
      <c r="F6348" s="55">
        <v>127</v>
      </c>
      <c r="G6348" s="63">
        <v>1.09E-2</v>
      </c>
    </row>
    <row r="6349" spans="1:7" x14ac:dyDescent="0.2">
      <c r="A6349" t="s">
        <v>89</v>
      </c>
      <c r="B6349" t="s">
        <v>203</v>
      </c>
      <c r="C6349" t="s">
        <v>204</v>
      </c>
      <c r="D6349" t="s">
        <v>74</v>
      </c>
      <c r="E6349" t="s">
        <v>75</v>
      </c>
      <c r="F6349" s="55">
        <v>93</v>
      </c>
      <c r="G6349" s="63">
        <v>5.3E-3</v>
      </c>
    </row>
    <row r="6350" spans="1:7" x14ac:dyDescent="0.2">
      <c r="A6350" t="s">
        <v>89</v>
      </c>
      <c r="B6350" t="s">
        <v>203</v>
      </c>
      <c r="C6350" t="s">
        <v>204</v>
      </c>
      <c r="D6350" t="s">
        <v>74</v>
      </c>
      <c r="E6350" t="s">
        <v>77</v>
      </c>
      <c r="F6350" s="55">
        <v>86</v>
      </c>
      <c r="G6350" s="63">
        <v>1.6999999999999999E-3</v>
      </c>
    </row>
    <row r="6351" spans="1:7" x14ac:dyDescent="0.2">
      <c r="A6351" t="s">
        <v>89</v>
      </c>
      <c r="B6351" t="s">
        <v>203</v>
      </c>
      <c r="C6351" t="s">
        <v>204</v>
      </c>
      <c r="D6351" t="s">
        <v>74</v>
      </c>
      <c r="E6351" t="s">
        <v>78</v>
      </c>
      <c r="F6351" s="55">
        <v>89</v>
      </c>
      <c r="G6351" s="63">
        <v>1.5E-3</v>
      </c>
    </row>
    <row r="6352" spans="1:7" x14ac:dyDescent="0.2">
      <c r="A6352" t="s">
        <v>89</v>
      </c>
      <c r="B6352" t="s">
        <v>203</v>
      </c>
      <c r="C6352" t="s">
        <v>204</v>
      </c>
      <c r="D6352" t="s">
        <v>74</v>
      </c>
      <c r="E6352" t="s">
        <v>79</v>
      </c>
      <c r="F6352" s="55">
        <v>107</v>
      </c>
      <c r="G6352" s="63">
        <v>3.0000000000000001E-3</v>
      </c>
    </row>
    <row r="6353" spans="1:7" x14ac:dyDescent="0.2">
      <c r="A6353" t="s">
        <v>89</v>
      </c>
      <c r="B6353" t="s">
        <v>203</v>
      </c>
      <c r="C6353" t="s">
        <v>204</v>
      </c>
      <c r="D6353" t="s">
        <v>74</v>
      </c>
      <c r="E6353" t="s">
        <v>82</v>
      </c>
      <c r="F6353" s="55">
        <v>86</v>
      </c>
      <c r="G6353" s="63">
        <v>2E-3</v>
      </c>
    </row>
    <row r="6354" spans="1:7" x14ac:dyDescent="0.2">
      <c r="A6354" t="s">
        <v>89</v>
      </c>
      <c r="B6354" t="s">
        <v>203</v>
      </c>
      <c r="C6354" t="s">
        <v>204</v>
      </c>
      <c r="D6354" t="s">
        <v>74</v>
      </c>
      <c r="E6354" t="s">
        <v>84</v>
      </c>
      <c r="F6354" s="55">
        <v>62</v>
      </c>
      <c r="G6354" s="63">
        <v>1.1000000000000001E-3</v>
      </c>
    </row>
    <row r="6355" spans="1:7" x14ac:dyDescent="0.2">
      <c r="A6355" t="s">
        <v>89</v>
      </c>
      <c r="B6355" t="s">
        <v>203</v>
      </c>
      <c r="C6355" t="s">
        <v>204</v>
      </c>
      <c r="D6355" t="s">
        <v>74</v>
      </c>
      <c r="E6355" t="s">
        <v>86</v>
      </c>
      <c r="F6355" s="55">
        <v>104</v>
      </c>
      <c r="G6355" s="63">
        <v>8.9999999999999998E-4</v>
      </c>
    </row>
    <row r="6356" spans="1:7" x14ac:dyDescent="0.2">
      <c r="A6356" t="s">
        <v>89</v>
      </c>
      <c r="B6356" t="s">
        <v>203</v>
      </c>
      <c r="C6356" t="s">
        <v>204</v>
      </c>
      <c r="D6356" t="s">
        <v>74</v>
      </c>
      <c r="E6356" t="s">
        <v>87</v>
      </c>
      <c r="F6356" s="55">
        <v>91</v>
      </c>
      <c r="G6356" s="63">
        <v>1.1000000000000001E-3</v>
      </c>
    </row>
    <row r="6357" spans="1:7" x14ac:dyDescent="0.2">
      <c r="A6357" t="s">
        <v>89</v>
      </c>
      <c r="B6357" t="s">
        <v>203</v>
      </c>
      <c r="C6357" t="s">
        <v>204</v>
      </c>
      <c r="D6357" t="s">
        <v>74</v>
      </c>
      <c r="E6357" t="s">
        <v>88</v>
      </c>
      <c r="F6357" s="55">
        <v>114</v>
      </c>
      <c r="G6357" s="63">
        <v>8.0000000000000004E-4</v>
      </c>
    </row>
    <row r="6358" spans="1:7" x14ac:dyDescent="0.2">
      <c r="A6358" t="s">
        <v>71</v>
      </c>
      <c r="B6358" t="s">
        <v>195</v>
      </c>
      <c r="C6358" t="s">
        <v>204</v>
      </c>
      <c r="D6358" t="s">
        <v>74</v>
      </c>
      <c r="E6358" t="s">
        <v>75</v>
      </c>
      <c r="F6358" s="55">
        <v>122</v>
      </c>
      <c r="G6358" s="63">
        <v>6.8900000000000003E-2</v>
      </c>
    </row>
    <row r="6359" spans="1:7" x14ac:dyDescent="0.2">
      <c r="A6359" t="s">
        <v>71</v>
      </c>
      <c r="B6359" t="s">
        <v>195</v>
      </c>
      <c r="C6359" t="s">
        <v>204</v>
      </c>
      <c r="D6359" t="s">
        <v>74</v>
      </c>
      <c r="E6359" t="s">
        <v>76</v>
      </c>
      <c r="F6359" s="55">
        <v>120</v>
      </c>
      <c r="G6359" s="63">
        <v>8.0999999999999996E-3</v>
      </c>
    </row>
    <row r="6360" spans="1:7" x14ac:dyDescent="0.2">
      <c r="A6360" t="s">
        <v>71</v>
      </c>
      <c r="B6360" t="s">
        <v>195</v>
      </c>
      <c r="C6360" t="s">
        <v>204</v>
      </c>
      <c r="D6360" t="s">
        <v>74</v>
      </c>
      <c r="E6360" t="s">
        <v>77</v>
      </c>
      <c r="F6360" s="55">
        <v>120</v>
      </c>
      <c r="G6360" s="63">
        <v>2.9700000000000001E-2</v>
      </c>
    </row>
    <row r="6361" spans="1:7" x14ac:dyDescent="0.2">
      <c r="A6361" t="s">
        <v>71</v>
      </c>
      <c r="B6361" t="s">
        <v>195</v>
      </c>
      <c r="C6361" t="s">
        <v>204</v>
      </c>
      <c r="D6361" t="s">
        <v>74</v>
      </c>
      <c r="E6361" t="s">
        <v>78</v>
      </c>
      <c r="F6361" s="55">
        <v>124</v>
      </c>
      <c r="G6361" s="63">
        <v>2.7900000000000001E-2</v>
      </c>
    </row>
    <row r="6362" spans="1:7" x14ac:dyDescent="0.2">
      <c r="A6362" t="s">
        <v>71</v>
      </c>
      <c r="B6362" t="s">
        <v>195</v>
      </c>
      <c r="C6362" t="s">
        <v>204</v>
      </c>
      <c r="D6362" t="s">
        <v>74</v>
      </c>
      <c r="E6362" t="s">
        <v>79</v>
      </c>
      <c r="F6362" s="55">
        <v>121</v>
      </c>
      <c r="G6362" s="63">
        <v>4.41E-2</v>
      </c>
    </row>
    <row r="6363" spans="1:7" x14ac:dyDescent="0.2">
      <c r="A6363" t="s">
        <v>71</v>
      </c>
      <c r="B6363" t="s">
        <v>195</v>
      </c>
      <c r="C6363" t="s">
        <v>204</v>
      </c>
      <c r="D6363" t="s">
        <v>74</v>
      </c>
      <c r="E6363" t="s">
        <v>80</v>
      </c>
      <c r="F6363" s="55">
        <v>110</v>
      </c>
      <c r="G6363" s="63">
        <v>1.37E-2</v>
      </c>
    </row>
    <row r="6364" spans="1:7" x14ac:dyDescent="0.2">
      <c r="A6364" t="s">
        <v>71</v>
      </c>
      <c r="B6364" t="s">
        <v>195</v>
      </c>
      <c r="C6364" t="s">
        <v>204</v>
      </c>
      <c r="D6364" t="s">
        <v>74</v>
      </c>
      <c r="E6364" t="s">
        <v>81</v>
      </c>
      <c r="F6364" s="55">
        <v>113</v>
      </c>
      <c r="G6364" s="63">
        <v>1.4800000000000001E-2</v>
      </c>
    </row>
    <row r="6365" spans="1:7" x14ac:dyDescent="0.2">
      <c r="A6365" t="s">
        <v>71</v>
      </c>
      <c r="B6365" t="s">
        <v>195</v>
      </c>
      <c r="C6365" t="s">
        <v>204</v>
      </c>
      <c r="D6365" t="s">
        <v>74</v>
      </c>
      <c r="E6365" t="s">
        <v>82</v>
      </c>
      <c r="F6365" s="55">
        <v>129</v>
      </c>
      <c r="G6365" s="63">
        <v>3.0099999999999998E-2</v>
      </c>
    </row>
    <row r="6366" spans="1:7" x14ac:dyDescent="0.2">
      <c r="A6366" t="s">
        <v>71</v>
      </c>
      <c r="B6366" t="s">
        <v>195</v>
      </c>
      <c r="C6366" t="s">
        <v>204</v>
      </c>
      <c r="D6366" t="s">
        <v>74</v>
      </c>
      <c r="E6366" t="s">
        <v>83</v>
      </c>
      <c r="F6366" s="55">
        <v>103</v>
      </c>
      <c r="G6366" s="63">
        <v>5.4999999999999997E-3</v>
      </c>
    </row>
    <row r="6367" spans="1:7" x14ac:dyDescent="0.2">
      <c r="A6367" t="s">
        <v>71</v>
      </c>
      <c r="B6367" t="s">
        <v>195</v>
      </c>
      <c r="C6367" t="s">
        <v>204</v>
      </c>
      <c r="D6367" t="s">
        <v>74</v>
      </c>
      <c r="E6367" t="s">
        <v>84</v>
      </c>
      <c r="F6367" s="55">
        <v>127</v>
      </c>
      <c r="G6367" s="63">
        <v>2.29E-2</v>
      </c>
    </row>
    <row r="6368" spans="1:7" x14ac:dyDescent="0.2">
      <c r="A6368" t="s">
        <v>71</v>
      </c>
      <c r="B6368" t="s">
        <v>195</v>
      </c>
      <c r="C6368" t="s">
        <v>204</v>
      </c>
      <c r="D6368" t="s">
        <v>74</v>
      </c>
      <c r="E6368" t="s">
        <v>85</v>
      </c>
      <c r="F6368" s="55">
        <v>112</v>
      </c>
      <c r="G6368" s="63">
        <v>1.5299999999999999E-2</v>
      </c>
    </row>
    <row r="6369" spans="1:7" x14ac:dyDescent="0.2">
      <c r="A6369" t="s">
        <v>71</v>
      </c>
      <c r="B6369" t="s">
        <v>195</v>
      </c>
      <c r="C6369" t="s">
        <v>204</v>
      </c>
      <c r="D6369" t="s">
        <v>74</v>
      </c>
      <c r="E6369" t="s">
        <v>86</v>
      </c>
      <c r="F6369" s="55">
        <v>117</v>
      </c>
      <c r="G6369" s="63">
        <v>2.0500000000000001E-2</v>
      </c>
    </row>
    <row r="6370" spans="1:7" x14ac:dyDescent="0.2">
      <c r="A6370" t="s">
        <v>71</v>
      </c>
      <c r="B6370" t="s">
        <v>195</v>
      </c>
      <c r="C6370" t="s">
        <v>204</v>
      </c>
      <c r="D6370" t="s">
        <v>74</v>
      </c>
      <c r="E6370" t="s">
        <v>87</v>
      </c>
      <c r="F6370" s="55">
        <v>123</v>
      </c>
      <c r="G6370" s="63">
        <v>2.35E-2</v>
      </c>
    </row>
    <row r="6371" spans="1:7" x14ac:dyDescent="0.2">
      <c r="A6371" t="s">
        <v>71</v>
      </c>
      <c r="B6371" t="s">
        <v>195</v>
      </c>
      <c r="C6371" t="s">
        <v>204</v>
      </c>
      <c r="D6371" t="s">
        <v>74</v>
      </c>
      <c r="E6371" t="s">
        <v>88</v>
      </c>
      <c r="F6371" s="55">
        <v>125</v>
      </c>
      <c r="G6371" s="63">
        <v>1.2999999999999999E-2</v>
      </c>
    </row>
    <row r="6372" spans="1:7" x14ac:dyDescent="0.2">
      <c r="A6372" t="s">
        <v>89</v>
      </c>
      <c r="B6372" t="s">
        <v>211</v>
      </c>
      <c r="C6372" t="s">
        <v>204</v>
      </c>
      <c r="D6372" t="s">
        <v>74</v>
      </c>
      <c r="E6372" t="s">
        <v>75</v>
      </c>
      <c r="F6372" s="55">
        <v>187</v>
      </c>
      <c r="G6372" s="63">
        <v>2.5000000000000001E-3</v>
      </c>
    </row>
    <row r="6373" spans="1:7" x14ac:dyDescent="0.2">
      <c r="A6373" t="s">
        <v>89</v>
      </c>
      <c r="B6373" t="s">
        <v>211</v>
      </c>
      <c r="C6373" t="s">
        <v>204</v>
      </c>
      <c r="D6373" t="s">
        <v>74</v>
      </c>
      <c r="E6373" t="s">
        <v>79</v>
      </c>
      <c r="F6373" s="55">
        <v>199</v>
      </c>
      <c r="G6373" s="63">
        <v>1.6000000000000001E-3</v>
      </c>
    </row>
    <row r="6374" spans="1:7" x14ac:dyDescent="0.2">
      <c r="A6374" t="s">
        <v>89</v>
      </c>
      <c r="B6374" t="s">
        <v>211</v>
      </c>
      <c r="C6374" t="s">
        <v>204</v>
      </c>
      <c r="D6374" t="s">
        <v>74</v>
      </c>
      <c r="E6374" t="s">
        <v>86</v>
      </c>
      <c r="F6374" s="55">
        <v>225</v>
      </c>
      <c r="G6374" s="63">
        <v>8.0000000000000004E-4</v>
      </c>
    </row>
    <row r="6375" spans="1:7" x14ac:dyDescent="0.2">
      <c r="A6375" t="s">
        <v>71</v>
      </c>
      <c r="B6375" t="s">
        <v>72</v>
      </c>
      <c r="C6375" t="s">
        <v>212</v>
      </c>
      <c r="D6375" t="s">
        <v>74</v>
      </c>
      <c r="E6375" t="s">
        <v>75</v>
      </c>
      <c r="F6375" s="55">
        <v>108</v>
      </c>
      <c r="G6375" s="63">
        <v>0.27029999999999998</v>
      </c>
    </row>
    <row r="6376" spans="1:7" x14ac:dyDescent="0.2">
      <c r="A6376" t="s">
        <v>71</v>
      </c>
      <c r="B6376" t="s">
        <v>72</v>
      </c>
      <c r="C6376" t="s">
        <v>212</v>
      </c>
      <c r="D6376" t="s">
        <v>74</v>
      </c>
      <c r="E6376" t="s">
        <v>76</v>
      </c>
      <c r="F6376" s="55">
        <v>107</v>
      </c>
      <c r="G6376" s="63">
        <v>3.9300000000000002E-2</v>
      </c>
    </row>
    <row r="6377" spans="1:7" x14ac:dyDescent="0.2">
      <c r="A6377" t="s">
        <v>71</v>
      </c>
      <c r="B6377" t="s">
        <v>72</v>
      </c>
      <c r="C6377" t="s">
        <v>212</v>
      </c>
      <c r="D6377" t="s">
        <v>74</v>
      </c>
      <c r="E6377" t="s">
        <v>77</v>
      </c>
      <c r="F6377" s="55">
        <v>110</v>
      </c>
      <c r="G6377" s="63">
        <v>0.1053</v>
      </c>
    </row>
    <row r="6378" spans="1:7" x14ac:dyDescent="0.2">
      <c r="A6378" t="s">
        <v>71</v>
      </c>
      <c r="B6378" t="s">
        <v>72</v>
      </c>
      <c r="C6378" t="s">
        <v>212</v>
      </c>
      <c r="D6378" t="s">
        <v>74</v>
      </c>
      <c r="E6378" t="s">
        <v>78</v>
      </c>
      <c r="F6378" s="55">
        <v>106</v>
      </c>
      <c r="G6378" s="63">
        <v>8.8400000000000006E-2</v>
      </c>
    </row>
    <row r="6379" spans="1:7" x14ac:dyDescent="0.2">
      <c r="A6379" t="s">
        <v>71</v>
      </c>
      <c r="B6379" t="s">
        <v>72</v>
      </c>
      <c r="C6379" t="s">
        <v>212</v>
      </c>
      <c r="D6379" t="s">
        <v>74</v>
      </c>
      <c r="E6379" t="s">
        <v>79</v>
      </c>
      <c r="F6379" s="55">
        <v>107</v>
      </c>
      <c r="G6379" s="63">
        <v>0.1847</v>
      </c>
    </row>
    <row r="6380" spans="1:7" x14ac:dyDescent="0.2">
      <c r="A6380" t="s">
        <v>71</v>
      </c>
      <c r="B6380" t="s">
        <v>72</v>
      </c>
      <c r="C6380" t="s">
        <v>212</v>
      </c>
      <c r="D6380" t="s">
        <v>74</v>
      </c>
      <c r="E6380" t="s">
        <v>80</v>
      </c>
      <c r="F6380" s="55">
        <v>100</v>
      </c>
      <c r="G6380" s="63">
        <v>5.6599999999999998E-2</v>
      </c>
    </row>
    <row r="6381" spans="1:7" x14ac:dyDescent="0.2">
      <c r="A6381" t="s">
        <v>71</v>
      </c>
      <c r="B6381" t="s">
        <v>72</v>
      </c>
      <c r="C6381" t="s">
        <v>212</v>
      </c>
      <c r="D6381" t="s">
        <v>74</v>
      </c>
      <c r="E6381" t="s">
        <v>81</v>
      </c>
      <c r="F6381" s="55">
        <v>98</v>
      </c>
      <c r="G6381" s="63">
        <v>5.5E-2</v>
      </c>
    </row>
    <row r="6382" spans="1:7" x14ac:dyDescent="0.2">
      <c r="A6382" t="s">
        <v>71</v>
      </c>
      <c r="B6382" t="s">
        <v>72</v>
      </c>
      <c r="C6382" t="s">
        <v>212</v>
      </c>
      <c r="D6382" t="s">
        <v>74</v>
      </c>
      <c r="E6382" t="s">
        <v>82</v>
      </c>
      <c r="F6382" s="55">
        <v>115</v>
      </c>
      <c r="G6382" s="63">
        <v>0.14660000000000001</v>
      </c>
    </row>
    <row r="6383" spans="1:7" x14ac:dyDescent="0.2">
      <c r="A6383" t="s">
        <v>71</v>
      </c>
      <c r="B6383" t="s">
        <v>72</v>
      </c>
      <c r="C6383" t="s">
        <v>212</v>
      </c>
      <c r="D6383" t="s">
        <v>74</v>
      </c>
      <c r="E6383" t="s">
        <v>83</v>
      </c>
      <c r="F6383" s="55">
        <v>91</v>
      </c>
      <c r="G6383" s="63">
        <v>1.95E-2</v>
      </c>
    </row>
    <row r="6384" spans="1:7" x14ac:dyDescent="0.2">
      <c r="A6384" t="s">
        <v>71</v>
      </c>
      <c r="B6384" t="s">
        <v>72</v>
      </c>
      <c r="C6384" t="s">
        <v>212</v>
      </c>
      <c r="D6384" t="s">
        <v>74</v>
      </c>
      <c r="E6384" t="s">
        <v>84</v>
      </c>
      <c r="F6384" s="55">
        <v>106</v>
      </c>
      <c r="G6384" s="63">
        <v>6.8500000000000005E-2</v>
      </c>
    </row>
    <row r="6385" spans="1:7" x14ac:dyDescent="0.2">
      <c r="A6385" t="s">
        <v>71</v>
      </c>
      <c r="B6385" t="s">
        <v>72</v>
      </c>
      <c r="C6385" t="s">
        <v>212</v>
      </c>
      <c r="D6385" t="s">
        <v>74</v>
      </c>
      <c r="E6385" t="s">
        <v>85</v>
      </c>
      <c r="F6385" s="55">
        <v>103</v>
      </c>
      <c r="G6385" s="63">
        <v>6.4100000000000004E-2</v>
      </c>
    </row>
    <row r="6386" spans="1:7" x14ac:dyDescent="0.2">
      <c r="A6386" t="s">
        <v>71</v>
      </c>
      <c r="B6386" t="s">
        <v>72</v>
      </c>
      <c r="C6386" t="s">
        <v>212</v>
      </c>
      <c r="D6386" t="s">
        <v>74</v>
      </c>
      <c r="E6386" t="s">
        <v>86</v>
      </c>
      <c r="F6386" s="55">
        <v>108</v>
      </c>
      <c r="G6386" s="63">
        <v>8.3599999999999994E-2</v>
      </c>
    </row>
    <row r="6387" spans="1:7" x14ac:dyDescent="0.2">
      <c r="A6387" t="s">
        <v>71</v>
      </c>
      <c r="B6387" t="s">
        <v>72</v>
      </c>
      <c r="C6387" t="s">
        <v>212</v>
      </c>
      <c r="D6387" t="s">
        <v>74</v>
      </c>
      <c r="E6387" t="s">
        <v>87</v>
      </c>
      <c r="F6387" s="55">
        <v>106</v>
      </c>
      <c r="G6387" s="63">
        <v>9.8400000000000001E-2</v>
      </c>
    </row>
    <row r="6388" spans="1:7" x14ac:dyDescent="0.2">
      <c r="A6388" t="s">
        <v>71</v>
      </c>
      <c r="B6388" t="s">
        <v>72</v>
      </c>
      <c r="C6388" t="s">
        <v>212</v>
      </c>
      <c r="D6388" t="s">
        <v>74</v>
      </c>
      <c r="E6388" t="s">
        <v>88</v>
      </c>
      <c r="F6388" s="55">
        <v>107</v>
      </c>
      <c r="G6388" s="63">
        <v>6.2899999999999998E-2</v>
      </c>
    </row>
    <row r="6389" spans="1:7" x14ac:dyDescent="0.2">
      <c r="A6389" t="s">
        <v>89</v>
      </c>
      <c r="B6389" t="s">
        <v>90</v>
      </c>
      <c r="C6389" t="s">
        <v>212</v>
      </c>
      <c r="D6389" t="s">
        <v>91</v>
      </c>
      <c r="E6389" t="s">
        <v>75</v>
      </c>
      <c r="F6389" s="55">
        <v>103</v>
      </c>
      <c r="G6389" s="63">
        <v>0.80840000000000001</v>
      </c>
    </row>
    <row r="6390" spans="1:7" x14ac:dyDescent="0.2">
      <c r="A6390" t="s">
        <v>89</v>
      </c>
      <c r="B6390" t="s">
        <v>90</v>
      </c>
      <c r="C6390" t="s">
        <v>212</v>
      </c>
      <c r="D6390" t="s">
        <v>91</v>
      </c>
      <c r="E6390" t="s">
        <v>76</v>
      </c>
      <c r="F6390" s="55">
        <v>98</v>
      </c>
      <c r="G6390" s="63">
        <v>0.33279999999999998</v>
      </c>
    </row>
    <row r="6391" spans="1:7" x14ac:dyDescent="0.2">
      <c r="A6391" t="s">
        <v>89</v>
      </c>
      <c r="B6391" t="s">
        <v>90</v>
      </c>
      <c r="C6391" t="s">
        <v>212</v>
      </c>
      <c r="D6391" t="s">
        <v>91</v>
      </c>
      <c r="E6391" t="s">
        <v>77</v>
      </c>
      <c r="F6391" s="55">
        <v>103</v>
      </c>
      <c r="G6391" s="63">
        <v>0.4914</v>
      </c>
    </row>
    <row r="6392" spans="1:7" x14ac:dyDescent="0.2">
      <c r="A6392" t="s">
        <v>89</v>
      </c>
      <c r="B6392" t="s">
        <v>90</v>
      </c>
      <c r="C6392" t="s">
        <v>212</v>
      </c>
      <c r="D6392" t="s">
        <v>91</v>
      </c>
      <c r="E6392" t="s">
        <v>78</v>
      </c>
      <c r="F6392" s="55">
        <v>106</v>
      </c>
      <c r="G6392" s="63">
        <v>0.51800000000000002</v>
      </c>
    </row>
    <row r="6393" spans="1:7" x14ac:dyDescent="0.2">
      <c r="A6393" t="s">
        <v>89</v>
      </c>
      <c r="B6393" t="s">
        <v>90</v>
      </c>
      <c r="C6393" t="s">
        <v>212</v>
      </c>
      <c r="D6393" t="s">
        <v>91</v>
      </c>
      <c r="E6393" t="s">
        <v>79</v>
      </c>
      <c r="F6393" s="55">
        <v>109</v>
      </c>
      <c r="G6393" s="63">
        <v>0.70489999999999997</v>
      </c>
    </row>
    <row r="6394" spans="1:7" x14ac:dyDescent="0.2">
      <c r="A6394" t="s">
        <v>89</v>
      </c>
      <c r="B6394" t="s">
        <v>90</v>
      </c>
      <c r="C6394" t="s">
        <v>212</v>
      </c>
      <c r="D6394" t="s">
        <v>91</v>
      </c>
      <c r="E6394" t="s">
        <v>80</v>
      </c>
      <c r="F6394" s="55">
        <v>97</v>
      </c>
      <c r="G6394" s="63">
        <v>0.29120000000000001</v>
      </c>
    </row>
    <row r="6395" spans="1:7" x14ac:dyDescent="0.2">
      <c r="A6395" t="s">
        <v>89</v>
      </c>
      <c r="B6395" t="s">
        <v>90</v>
      </c>
      <c r="C6395" t="s">
        <v>212</v>
      </c>
      <c r="D6395" t="s">
        <v>91</v>
      </c>
      <c r="E6395" t="s">
        <v>81</v>
      </c>
      <c r="F6395" s="55">
        <v>95</v>
      </c>
      <c r="G6395" s="63">
        <v>0.29249999999999998</v>
      </c>
    </row>
    <row r="6396" spans="1:7" x14ac:dyDescent="0.2">
      <c r="A6396" t="s">
        <v>89</v>
      </c>
      <c r="B6396" t="s">
        <v>90</v>
      </c>
      <c r="C6396" t="s">
        <v>212</v>
      </c>
      <c r="D6396" t="s">
        <v>91</v>
      </c>
      <c r="E6396" t="s">
        <v>82</v>
      </c>
      <c r="F6396" s="55">
        <v>98</v>
      </c>
      <c r="G6396" s="63">
        <v>0.61439999999999995</v>
      </c>
    </row>
    <row r="6397" spans="1:7" x14ac:dyDescent="0.2">
      <c r="A6397" t="s">
        <v>89</v>
      </c>
      <c r="B6397" t="s">
        <v>90</v>
      </c>
      <c r="C6397" t="s">
        <v>212</v>
      </c>
      <c r="D6397" t="s">
        <v>91</v>
      </c>
      <c r="E6397" t="s">
        <v>83</v>
      </c>
      <c r="F6397" s="55">
        <v>93</v>
      </c>
      <c r="G6397" s="63">
        <v>0.22289999999999999</v>
      </c>
    </row>
    <row r="6398" spans="1:7" x14ac:dyDescent="0.2">
      <c r="A6398" t="s">
        <v>89</v>
      </c>
      <c r="B6398" t="s">
        <v>90</v>
      </c>
      <c r="C6398" t="s">
        <v>212</v>
      </c>
      <c r="D6398" t="s">
        <v>91</v>
      </c>
      <c r="E6398" t="s">
        <v>84</v>
      </c>
      <c r="F6398" s="55">
        <v>104</v>
      </c>
      <c r="G6398" s="63">
        <v>0.42109999999999997</v>
      </c>
    </row>
    <row r="6399" spans="1:7" x14ac:dyDescent="0.2">
      <c r="A6399" t="s">
        <v>89</v>
      </c>
      <c r="B6399" t="s">
        <v>90</v>
      </c>
      <c r="C6399" t="s">
        <v>212</v>
      </c>
      <c r="D6399" t="s">
        <v>91</v>
      </c>
      <c r="E6399" t="s">
        <v>85</v>
      </c>
      <c r="F6399" s="55">
        <v>101</v>
      </c>
      <c r="G6399" s="63">
        <v>0.41089999999999999</v>
      </c>
    </row>
    <row r="6400" spans="1:7" x14ac:dyDescent="0.2">
      <c r="A6400" t="s">
        <v>89</v>
      </c>
      <c r="B6400" t="s">
        <v>90</v>
      </c>
      <c r="C6400" t="s">
        <v>212</v>
      </c>
      <c r="D6400" t="s">
        <v>91</v>
      </c>
      <c r="E6400" t="s">
        <v>86</v>
      </c>
      <c r="F6400" s="55">
        <v>104</v>
      </c>
      <c r="G6400" s="63">
        <v>0.45710000000000001</v>
      </c>
    </row>
    <row r="6401" spans="1:7" x14ac:dyDescent="0.2">
      <c r="A6401" t="s">
        <v>89</v>
      </c>
      <c r="B6401" t="s">
        <v>90</v>
      </c>
      <c r="C6401" t="s">
        <v>212</v>
      </c>
      <c r="D6401" t="s">
        <v>91</v>
      </c>
      <c r="E6401" t="s">
        <v>87</v>
      </c>
      <c r="F6401" s="55">
        <v>106</v>
      </c>
      <c r="G6401" s="63">
        <v>0.50590000000000002</v>
      </c>
    </row>
    <row r="6402" spans="1:7" x14ac:dyDescent="0.2">
      <c r="A6402" t="s">
        <v>89</v>
      </c>
      <c r="B6402" t="s">
        <v>90</v>
      </c>
      <c r="C6402" t="s">
        <v>212</v>
      </c>
      <c r="D6402" t="s">
        <v>91</v>
      </c>
      <c r="E6402" t="s">
        <v>88</v>
      </c>
      <c r="F6402" s="55">
        <v>98</v>
      </c>
      <c r="G6402" s="63">
        <v>0.42020000000000002</v>
      </c>
    </row>
    <row r="6403" spans="1:7" x14ac:dyDescent="0.2">
      <c r="A6403" t="s">
        <v>71</v>
      </c>
      <c r="B6403" t="s">
        <v>92</v>
      </c>
      <c r="C6403" t="s">
        <v>212</v>
      </c>
      <c r="D6403" t="s">
        <v>74</v>
      </c>
      <c r="E6403" t="s">
        <v>75</v>
      </c>
      <c r="F6403" s="55">
        <v>84</v>
      </c>
      <c r="G6403" s="63">
        <v>5.62E-2</v>
      </c>
    </row>
    <row r="6404" spans="1:7" x14ac:dyDescent="0.2">
      <c r="A6404" t="s">
        <v>71</v>
      </c>
      <c r="B6404" t="s">
        <v>92</v>
      </c>
      <c r="C6404" t="s">
        <v>212</v>
      </c>
      <c r="D6404" t="s">
        <v>74</v>
      </c>
      <c r="E6404" t="s">
        <v>76</v>
      </c>
      <c r="F6404" s="55">
        <v>71</v>
      </c>
      <c r="G6404" s="63">
        <v>2.8E-3</v>
      </c>
    </row>
    <row r="6405" spans="1:7" x14ac:dyDescent="0.2">
      <c r="A6405" t="s">
        <v>71</v>
      </c>
      <c r="B6405" t="s">
        <v>92</v>
      </c>
      <c r="C6405" t="s">
        <v>212</v>
      </c>
      <c r="D6405" t="s">
        <v>74</v>
      </c>
      <c r="E6405" t="s">
        <v>77</v>
      </c>
      <c r="F6405" s="55">
        <v>82</v>
      </c>
      <c r="G6405" s="63">
        <v>1.12E-2</v>
      </c>
    </row>
    <row r="6406" spans="1:7" x14ac:dyDescent="0.2">
      <c r="A6406" t="s">
        <v>71</v>
      </c>
      <c r="B6406" t="s">
        <v>92</v>
      </c>
      <c r="C6406" t="s">
        <v>212</v>
      </c>
      <c r="D6406" t="s">
        <v>74</v>
      </c>
      <c r="E6406" t="s">
        <v>78</v>
      </c>
      <c r="F6406" s="55">
        <v>85</v>
      </c>
      <c r="G6406" s="63">
        <v>1.2E-2</v>
      </c>
    </row>
    <row r="6407" spans="1:7" x14ac:dyDescent="0.2">
      <c r="A6407" t="s">
        <v>71</v>
      </c>
      <c r="B6407" t="s">
        <v>92</v>
      </c>
      <c r="C6407" t="s">
        <v>212</v>
      </c>
      <c r="D6407" t="s">
        <v>74</v>
      </c>
      <c r="E6407" t="s">
        <v>79</v>
      </c>
      <c r="F6407" s="55">
        <v>91</v>
      </c>
      <c r="G6407" s="63">
        <v>3.4299999999999997E-2</v>
      </c>
    </row>
    <row r="6408" spans="1:7" x14ac:dyDescent="0.2">
      <c r="A6408" t="s">
        <v>71</v>
      </c>
      <c r="B6408" t="s">
        <v>92</v>
      </c>
      <c r="C6408" t="s">
        <v>212</v>
      </c>
      <c r="D6408" t="s">
        <v>74</v>
      </c>
      <c r="E6408" t="s">
        <v>80</v>
      </c>
      <c r="F6408" s="55">
        <v>81</v>
      </c>
      <c r="G6408" s="63">
        <v>4.4000000000000003E-3</v>
      </c>
    </row>
    <row r="6409" spans="1:7" x14ac:dyDescent="0.2">
      <c r="A6409" t="s">
        <v>71</v>
      </c>
      <c r="B6409" t="s">
        <v>92</v>
      </c>
      <c r="C6409" t="s">
        <v>212</v>
      </c>
      <c r="D6409" t="s">
        <v>74</v>
      </c>
      <c r="E6409" t="s">
        <v>81</v>
      </c>
      <c r="F6409" s="55">
        <v>76</v>
      </c>
      <c r="G6409" s="63">
        <v>4.5999999999999999E-3</v>
      </c>
    </row>
    <row r="6410" spans="1:7" x14ac:dyDescent="0.2">
      <c r="A6410" t="s">
        <v>71</v>
      </c>
      <c r="B6410" t="s">
        <v>92</v>
      </c>
      <c r="C6410" t="s">
        <v>212</v>
      </c>
      <c r="D6410" t="s">
        <v>74</v>
      </c>
      <c r="E6410" t="s">
        <v>82</v>
      </c>
      <c r="F6410" s="55">
        <v>78</v>
      </c>
      <c r="G6410" s="63">
        <v>2.35E-2</v>
      </c>
    </row>
    <row r="6411" spans="1:7" x14ac:dyDescent="0.2">
      <c r="A6411" t="s">
        <v>71</v>
      </c>
      <c r="B6411" t="s">
        <v>92</v>
      </c>
      <c r="C6411" t="s">
        <v>212</v>
      </c>
      <c r="D6411" t="s">
        <v>74</v>
      </c>
      <c r="E6411" t="s">
        <v>83</v>
      </c>
      <c r="F6411" s="55">
        <v>67</v>
      </c>
      <c r="G6411" s="63">
        <v>1.6999999999999999E-3</v>
      </c>
    </row>
    <row r="6412" spans="1:7" x14ac:dyDescent="0.2">
      <c r="A6412" t="s">
        <v>71</v>
      </c>
      <c r="B6412" t="s">
        <v>92</v>
      </c>
      <c r="C6412" t="s">
        <v>212</v>
      </c>
      <c r="D6412" t="s">
        <v>74</v>
      </c>
      <c r="E6412" t="s">
        <v>84</v>
      </c>
      <c r="F6412" s="55">
        <v>82</v>
      </c>
      <c r="G6412" s="63">
        <v>7.0000000000000001E-3</v>
      </c>
    </row>
    <row r="6413" spans="1:7" x14ac:dyDescent="0.2">
      <c r="A6413" t="s">
        <v>71</v>
      </c>
      <c r="B6413" t="s">
        <v>92</v>
      </c>
      <c r="C6413" t="s">
        <v>212</v>
      </c>
      <c r="D6413" t="s">
        <v>74</v>
      </c>
      <c r="E6413" t="s">
        <v>85</v>
      </c>
      <c r="F6413" s="55">
        <v>83</v>
      </c>
      <c r="G6413" s="63">
        <v>5.3E-3</v>
      </c>
    </row>
    <row r="6414" spans="1:7" x14ac:dyDescent="0.2">
      <c r="A6414" t="s">
        <v>71</v>
      </c>
      <c r="B6414" t="s">
        <v>92</v>
      </c>
      <c r="C6414" t="s">
        <v>212</v>
      </c>
      <c r="D6414" t="s">
        <v>74</v>
      </c>
      <c r="E6414" t="s">
        <v>86</v>
      </c>
      <c r="F6414" s="55">
        <v>93</v>
      </c>
      <c r="G6414" s="63">
        <v>9.2999999999999992E-3</v>
      </c>
    </row>
    <row r="6415" spans="1:7" x14ac:dyDescent="0.2">
      <c r="A6415" t="s">
        <v>71</v>
      </c>
      <c r="B6415" t="s">
        <v>92</v>
      </c>
      <c r="C6415" t="s">
        <v>212</v>
      </c>
      <c r="D6415" t="s">
        <v>74</v>
      </c>
      <c r="E6415" t="s">
        <v>87</v>
      </c>
      <c r="F6415" s="55">
        <v>94</v>
      </c>
      <c r="G6415" s="63">
        <v>1.34E-2</v>
      </c>
    </row>
    <row r="6416" spans="1:7" x14ac:dyDescent="0.2">
      <c r="A6416" t="s">
        <v>71</v>
      </c>
      <c r="B6416" t="s">
        <v>92</v>
      </c>
      <c r="C6416" t="s">
        <v>212</v>
      </c>
      <c r="D6416" t="s">
        <v>74</v>
      </c>
      <c r="E6416" t="s">
        <v>88</v>
      </c>
      <c r="F6416" s="55">
        <v>72</v>
      </c>
      <c r="G6416" s="63">
        <v>5.3E-3</v>
      </c>
    </row>
    <row r="6417" spans="1:7" x14ac:dyDescent="0.2">
      <c r="A6417" t="s">
        <v>71</v>
      </c>
      <c r="B6417" t="s">
        <v>93</v>
      </c>
      <c r="C6417" t="s">
        <v>212</v>
      </c>
      <c r="D6417" t="s">
        <v>74</v>
      </c>
      <c r="E6417" t="s">
        <v>75</v>
      </c>
      <c r="F6417" s="55">
        <v>119</v>
      </c>
      <c r="G6417" s="63">
        <v>0.11550000000000001</v>
      </c>
    </row>
    <row r="6418" spans="1:7" x14ac:dyDescent="0.2">
      <c r="A6418" t="s">
        <v>71</v>
      </c>
      <c r="B6418" t="s">
        <v>93</v>
      </c>
      <c r="C6418" t="s">
        <v>212</v>
      </c>
      <c r="D6418" t="s">
        <v>74</v>
      </c>
      <c r="E6418" t="s">
        <v>76</v>
      </c>
      <c r="F6418" s="55">
        <v>122</v>
      </c>
      <c r="G6418" s="63">
        <v>1.55E-2</v>
      </c>
    </row>
    <row r="6419" spans="1:7" x14ac:dyDescent="0.2">
      <c r="A6419" t="s">
        <v>71</v>
      </c>
      <c r="B6419" t="s">
        <v>93</v>
      </c>
      <c r="C6419" t="s">
        <v>212</v>
      </c>
      <c r="D6419" t="s">
        <v>74</v>
      </c>
      <c r="E6419" t="s">
        <v>77</v>
      </c>
      <c r="F6419" s="55">
        <v>119</v>
      </c>
      <c r="G6419" s="63">
        <v>4.0500000000000001E-2</v>
      </c>
    </row>
    <row r="6420" spans="1:7" x14ac:dyDescent="0.2">
      <c r="A6420" t="s">
        <v>71</v>
      </c>
      <c r="B6420" t="s">
        <v>93</v>
      </c>
      <c r="C6420" t="s">
        <v>212</v>
      </c>
      <c r="D6420" t="s">
        <v>74</v>
      </c>
      <c r="E6420" t="s">
        <v>78</v>
      </c>
      <c r="F6420" s="55">
        <v>119</v>
      </c>
      <c r="G6420" s="63">
        <v>3.3399999999999999E-2</v>
      </c>
    </row>
    <row r="6421" spans="1:7" x14ac:dyDescent="0.2">
      <c r="A6421" t="s">
        <v>71</v>
      </c>
      <c r="B6421" t="s">
        <v>93</v>
      </c>
      <c r="C6421" t="s">
        <v>212</v>
      </c>
      <c r="D6421" t="s">
        <v>74</v>
      </c>
      <c r="E6421" t="s">
        <v>79</v>
      </c>
      <c r="F6421" s="55">
        <v>120</v>
      </c>
      <c r="G6421" s="63">
        <v>7.0599999999999996E-2</v>
      </c>
    </row>
    <row r="6422" spans="1:7" x14ac:dyDescent="0.2">
      <c r="A6422" t="s">
        <v>71</v>
      </c>
      <c r="B6422" t="s">
        <v>93</v>
      </c>
      <c r="C6422" t="s">
        <v>212</v>
      </c>
      <c r="D6422" t="s">
        <v>74</v>
      </c>
      <c r="E6422" t="s">
        <v>80</v>
      </c>
      <c r="F6422" s="55">
        <v>114</v>
      </c>
      <c r="G6422" s="63">
        <v>2.07E-2</v>
      </c>
    </row>
    <row r="6423" spans="1:7" x14ac:dyDescent="0.2">
      <c r="A6423" t="s">
        <v>71</v>
      </c>
      <c r="B6423" t="s">
        <v>93</v>
      </c>
      <c r="C6423" t="s">
        <v>212</v>
      </c>
      <c r="D6423" t="s">
        <v>74</v>
      </c>
      <c r="E6423" t="s">
        <v>81</v>
      </c>
      <c r="F6423" s="55">
        <v>113</v>
      </c>
      <c r="G6423" s="63">
        <v>2.3699999999999999E-2</v>
      </c>
    </row>
    <row r="6424" spans="1:7" x14ac:dyDescent="0.2">
      <c r="A6424" t="s">
        <v>71</v>
      </c>
      <c r="B6424" t="s">
        <v>93</v>
      </c>
      <c r="C6424" t="s">
        <v>212</v>
      </c>
      <c r="D6424" t="s">
        <v>74</v>
      </c>
      <c r="E6424" t="s">
        <v>82</v>
      </c>
      <c r="F6424" s="55">
        <v>122</v>
      </c>
      <c r="G6424" s="63">
        <v>5.4800000000000001E-2</v>
      </c>
    </row>
    <row r="6425" spans="1:7" x14ac:dyDescent="0.2">
      <c r="A6425" t="s">
        <v>71</v>
      </c>
      <c r="B6425" t="s">
        <v>93</v>
      </c>
      <c r="C6425" t="s">
        <v>212</v>
      </c>
      <c r="D6425" t="s">
        <v>74</v>
      </c>
      <c r="E6425" t="s">
        <v>83</v>
      </c>
      <c r="F6425" s="55">
        <v>115</v>
      </c>
      <c r="G6425" s="63">
        <v>1.2E-2</v>
      </c>
    </row>
    <row r="6426" spans="1:7" x14ac:dyDescent="0.2">
      <c r="A6426" t="s">
        <v>71</v>
      </c>
      <c r="B6426" t="s">
        <v>93</v>
      </c>
      <c r="C6426" t="s">
        <v>212</v>
      </c>
      <c r="D6426" t="s">
        <v>74</v>
      </c>
      <c r="E6426" t="s">
        <v>84</v>
      </c>
      <c r="F6426" s="55">
        <v>122</v>
      </c>
      <c r="G6426" s="63">
        <v>2.4899999999999999E-2</v>
      </c>
    </row>
    <row r="6427" spans="1:7" x14ac:dyDescent="0.2">
      <c r="A6427" t="s">
        <v>71</v>
      </c>
      <c r="B6427" t="s">
        <v>93</v>
      </c>
      <c r="C6427" t="s">
        <v>212</v>
      </c>
      <c r="D6427" t="s">
        <v>74</v>
      </c>
      <c r="E6427" t="s">
        <v>85</v>
      </c>
      <c r="F6427" s="55">
        <v>115</v>
      </c>
      <c r="G6427" s="63">
        <v>2.1299999999999999E-2</v>
      </c>
    </row>
    <row r="6428" spans="1:7" x14ac:dyDescent="0.2">
      <c r="A6428" t="s">
        <v>71</v>
      </c>
      <c r="B6428" t="s">
        <v>93</v>
      </c>
      <c r="C6428" t="s">
        <v>212</v>
      </c>
      <c r="D6428" t="s">
        <v>74</v>
      </c>
      <c r="E6428" t="s">
        <v>86</v>
      </c>
      <c r="F6428" s="55">
        <v>119</v>
      </c>
      <c r="G6428" s="63">
        <v>2.7699999999999999E-2</v>
      </c>
    </row>
    <row r="6429" spans="1:7" x14ac:dyDescent="0.2">
      <c r="A6429" t="s">
        <v>71</v>
      </c>
      <c r="B6429" t="s">
        <v>93</v>
      </c>
      <c r="C6429" t="s">
        <v>212</v>
      </c>
      <c r="D6429" t="s">
        <v>74</v>
      </c>
      <c r="E6429" t="s">
        <v>87</v>
      </c>
      <c r="F6429" s="55">
        <v>121</v>
      </c>
      <c r="G6429" s="63">
        <v>3.2800000000000003E-2</v>
      </c>
    </row>
    <row r="6430" spans="1:7" x14ac:dyDescent="0.2">
      <c r="A6430" t="s">
        <v>71</v>
      </c>
      <c r="B6430" t="s">
        <v>93</v>
      </c>
      <c r="C6430" t="s">
        <v>212</v>
      </c>
      <c r="D6430" t="s">
        <v>74</v>
      </c>
      <c r="E6430" t="s">
        <v>88</v>
      </c>
      <c r="F6430" s="55">
        <v>119</v>
      </c>
      <c r="G6430" s="63">
        <v>2.52E-2</v>
      </c>
    </row>
    <row r="6431" spans="1:7" x14ac:dyDescent="0.2">
      <c r="A6431" t="s">
        <v>71</v>
      </c>
      <c r="B6431" t="s">
        <v>4</v>
      </c>
      <c r="C6431" t="s">
        <v>212</v>
      </c>
      <c r="D6431" t="s">
        <v>74</v>
      </c>
      <c r="E6431" t="s">
        <v>75</v>
      </c>
      <c r="F6431" s="55">
        <v>101</v>
      </c>
      <c r="G6431" s="63">
        <v>0.36299999999999999</v>
      </c>
    </row>
    <row r="6432" spans="1:7" x14ac:dyDescent="0.2">
      <c r="A6432" t="s">
        <v>71</v>
      </c>
      <c r="B6432" t="s">
        <v>4</v>
      </c>
      <c r="C6432" t="s">
        <v>212</v>
      </c>
      <c r="D6432" t="s">
        <v>74</v>
      </c>
      <c r="E6432" t="s">
        <v>76</v>
      </c>
      <c r="F6432" s="55">
        <v>97</v>
      </c>
      <c r="G6432" s="63">
        <v>3.2500000000000001E-2</v>
      </c>
    </row>
    <row r="6433" spans="1:7" x14ac:dyDescent="0.2">
      <c r="A6433" t="s">
        <v>71</v>
      </c>
      <c r="B6433" t="s">
        <v>4</v>
      </c>
      <c r="C6433" t="s">
        <v>212</v>
      </c>
      <c r="D6433" t="s">
        <v>74</v>
      </c>
      <c r="E6433" t="s">
        <v>77</v>
      </c>
      <c r="F6433" s="55">
        <v>104</v>
      </c>
      <c r="G6433" s="63">
        <v>0.153</v>
      </c>
    </row>
    <row r="6434" spans="1:7" x14ac:dyDescent="0.2">
      <c r="A6434" t="s">
        <v>71</v>
      </c>
      <c r="B6434" t="s">
        <v>4</v>
      </c>
      <c r="C6434" t="s">
        <v>212</v>
      </c>
      <c r="D6434" t="s">
        <v>74</v>
      </c>
      <c r="E6434" t="s">
        <v>78</v>
      </c>
      <c r="F6434" s="55">
        <v>103</v>
      </c>
      <c r="G6434" s="63">
        <v>0.14000000000000001</v>
      </c>
    </row>
    <row r="6435" spans="1:7" x14ac:dyDescent="0.2">
      <c r="A6435" t="s">
        <v>71</v>
      </c>
      <c r="B6435" t="s">
        <v>4</v>
      </c>
      <c r="C6435" t="s">
        <v>212</v>
      </c>
      <c r="D6435" t="s">
        <v>74</v>
      </c>
      <c r="E6435" t="s">
        <v>79</v>
      </c>
      <c r="F6435" s="55">
        <v>101</v>
      </c>
      <c r="G6435" s="63">
        <v>0.26090000000000002</v>
      </c>
    </row>
    <row r="6436" spans="1:7" x14ac:dyDescent="0.2">
      <c r="A6436" t="s">
        <v>71</v>
      </c>
      <c r="B6436" t="s">
        <v>4</v>
      </c>
      <c r="C6436" t="s">
        <v>212</v>
      </c>
      <c r="D6436" t="s">
        <v>74</v>
      </c>
      <c r="E6436" t="s">
        <v>80</v>
      </c>
      <c r="F6436" s="55">
        <v>94</v>
      </c>
      <c r="G6436" s="63">
        <v>8.0600000000000005E-2</v>
      </c>
    </row>
    <row r="6437" spans="1:7" x14ac:dyDescent="0.2">
      <c r="A6437" t="s">
        <v>71</v>
      </c>
      <c r="B6437" t="s">
        <v>4</v>
      </c>
      <c r="C6437" t="s">
        <v>212</v>
      </c>
      <c r="D6437" t="s">
        <v>74</v>
      </c>
      <c r="E6437" t="s">
        <v>81</v>
      </c>
      <c r="F6437" s="55">
        <v>95</v>
      </c>
      <c r="G6437" s="63">
        <v>8.5300000000000001E-2</v>
      </c>
    </row>
    <row r="6438" spans="1:7" x14ac:dyDescent="0.2">
      <c r="A6438" t="s">
        <v>71</v>
      </c>
      <c r="B6438" t="s">
        <v>4</v>
      </c>
      <c r="C6438" t="s">
        <v>212</v>
      </c>
      <c r="D6438" t="s">
        <v>74</v>
      </c>
      <c r="E6438" t="s">
        <v>82</v>
      </c>
      <c r="F6438" s="55">
        <v>102</v>
      </c>
      <c r="G6438" s="63">
        <v>0.2046</v>
      </c>
    </row>
    <row r="6439" spans="1:7" x14ac:dyDescent="0.2">
      <c r="A6439" t="s">
        <v>71</v>
      </c>
      <c r="B6439" t="s">
        <v>4</v>
      </c>
      <c r="C6439" t="s">
        <v>212</v>
      </c>
      <c r="D6439" t="s">
        <v>74</v>
      </c>
      <c r="E6439" t="s">
        <v>83</v>
      </c>
      <c r="F6439" s="55">
        <v>93</v>
      </c>
      <c r="G6439" s="63">
        <v>3.27E-2</v>
      </c>
    </row>
    <row r="6440" spans="1:7" x14ac:dyDescent="0.2">
      <c r="A6440" t="s">
        <v>71</v>
      </c>
      <c r="B6440" t="s">
        <v>4</v>
      </c>
      <c r="C6440" t="s">
        <v>212</v>
      </c>
      <c r="D6440" t="s">
        <v>74</v>
      </c>
      <c r="E6440" t="s">
        <v>84</v>
      </c>
      <c r="F6440" s="55">
        <v>103</v>
      </c>
      <c r="G6440" s="63">
        <v>0.1096</v>
      </c>
    </row>
    <row r="6441" spans="1:7" x14ac:dyDescent="0.2">
      <c r="A6441" t="s">
        <v>71</v>
      </c>
      <c r="B6441" t="s">
        <v>4</v>
      </c>
      <c r="C6441" t="s">
        <v>212</v>
      </c>
      <c r="D6441" t="s">
        <v>74</v>
      </c>
      <c r="E6441" t="s">
        <v>85</v>
      </c>
      <c r="F6441" s="55">
        <v>98</v>
      </c>
      <c r="G6441" s="63">
        <v>9.2399999999999996E-2</v>
      </c>
    </row>
    <row r="6442" spans="1:7" x14ac:dyDescent="0.2">
      <c r="A6442" t="s">
        <v>71</v>
      </c>
      <c r="B6442" t="s">
        <v>4</v>
      </c>
      <c r="C6442" t="s">
        <v>212</v>
      </c>
      <c r="D6442" t="s">
        <v>74</v>
      </c>
      <c r="E6442" t="s">
        <v>86</v>
      </c>
      <c r="F6442" s="55">
        <v>99</v>
      </c>
      <c r="G6442" s="63">
        <v>0.1201</v>
      </c>
    </row>
    <row r="6443" spans="1:7" x14ac:dyDescent="0.2">
      <c r="A6443" t="s">
        <v>71</v>
      </c>
      <c r="B6443" t="s">
        <v>4</v>
      </c>
      <c r="C6443" t="s">
        <v>212</v>
      </c>
      <c r="D6443" t="s">
        <v>74</v>
      </c>
      <c r="E6443" t="s">
        <v>87</v>
      </c>
      <c r="F6443" s="55">
        <v>101</v>
      </c>
      <c r="G6443" s="63">
        <v>0.14419999999999999</v>
      </c>
    </row>
    <row r="6444" spans="1:7" x14ac:dyDescent="0.2">
      <c r="A6444" t="s">
        <v>71</v>
      </c>
      <c r="B6444" t="s">
        <v>4</v>
      </c>
      <c r="C6444" t="s">
        <v>212</v>
      </c>
      <c r="D6444" t="s">
        <v>74</v>
      </c>
      <c r="E6444" t="s">
        <v>88</v>
      </c>
      <c r="F6444" s="55">
        <v>100</v>
      </c>
      <c r="G6444" s="63">
        <v>7.9299999999999995E-2</v>
      </c>
    </row>
    <row r="6445" spans="1:7" x14ac:dyDescent="0.2">
      <c r="A6445" t="s">
        <v>71</v>
      </c>
      <c r="B6445" t="s">
        <v>94</v>
      </c>
      <c r="C6445" t="s">
        <v>212</v>
      </c>
      <c r="D6445" t="s">
        <v>74</v>
      </c>
      <c r="E6445" t="s">
        <v>75</v>
      </c>
      <c r="F6445" s="55">
        <v>111</v>
      </c>
      <c r="G6445" s="63">
        <v>0.24690000000000001</v>
      </c>
    </row>
    <row r="6446" spans="1:7" x14ac:dyDescent="0.2">
      <c r="A6446" t="s">
        <v>71</v>
      </c>
      <c r="B6446" t="s">
        <v>94</v>
      </c>
      <c r="C6446" t="s">
        <v>212</v>
      </c>
      <c r="D6446" t="s">
        <v>74</v>
      </c>
      <c r="E6446" t="s">
        <v>76</v>
      </c>
      <c r="F6446" s="55">
        <v>102</v>
      </c>
      <c r="G6446" s="63">
        <v>2.98E-2</v>
      </c>
    </row>
    <row r="6447" spans="1:7" x14ac:dyDescent="0.2">
      <c r="A6447" t="s">
        <v>71</v>
      </c>
      <c r="B6447" t="s">
        <v>94</v>
      </c>
      <c r="C6447" t="s">
        <v>212</v>
      </c>
      <c r="D6447" t="s">
        <v>74</v>
      </c>
      <c r="E6447" t="s">
        <v>77</v>
      </c>
      <c r="F6447" s="55">
        <v>112</v>
      </c>
      <c r="G6447" s="63">
        <v>7.9299999999999995E-2</v>
      </c>
    </row>
    <row r="6448" spans="1:7" x14ac:dyDescent="0.2">
      <c r="A6448" t="s">
        <v>71</v>
      </c>
      <c r="B6448" t="s">
        <v>94</v>
      </c>
      <c r="C6448" t="s">
        <v>212</v>
      </c>
      <c r="D6448" t="s">
        <v>74</v>
      </c>
      <c r="E6448" t="s">
        <v>78</v>
      </c>
      <c r="F6448" s="55">
        <v>107</v>
      </c>
      <c r="G6448" s="63">
        <v>6.8500000000000005E-2</v>
      </c>
    </row>
    <row r="6449" spans="1:7" x14ac:dyDescent="0.2">
      <c r="A6449" t="s">
        <v>71</v>
      </c>
      <c r="B6449" t="s">
        <v>94</v>
      </c>
      <c r="C6449" t="s">
        <v>212</v>
      </c>
      <c r="D6449" t="s">
        <v>74</v>
      </c>
      <c r="E6449" t="s">
        <v>79</v>
      </c>
      <c r="F6449" s="55">
        <v>114</v>
      </c>
      <c r="G6449" s="63">
        <v>0.15490000000000001</v>
      </c>
    </row>
    <row r="6450" spans="1:7" x14ac:dyDescent="0.2">
      <c r="A6450" t="s">
        <v>71</v>
      </c>
      <c r="B6450" t="s">
        <v>94</v>
      </c>
      <c r="C6450" t="s">
        <v>212</v>
      </c>
      <c r="D6450" t="s">
        <v>74</v>
      </c>
      <c r="E6450" t="s">
        <v>80</v>
      </c>
      <c r="F6450" s="55">
        <v>112</v>
      </c>
      <c r="G6450" s="63">
        <v>4.02E-2</v>
      </c>
    </row>
    <row r="6451" spans="1:7" x14ac:dyDescent="0.2">
      <c r="A6451" t="s">
        <v>71</v>
      </c>
      <c r="B6451" t="s">
        <v>94</v>
      </c>
      <c r="C6451" t="s">
        <v>212</v>
      </c>
      <c r="D6451" t="s">
        <v>74</v>
      </c>
      <c r="E6451" t="s">
        <v>81</v>
      </c>
      <c r="F6451" s="55">
        <v>109</v>
      </c>
      <c r="G6451" s="63">
        <v>4.58E-2</v>
      </c>
    </row>
    <row r="6452" spans="1:7" x14ac:dyDescent="0.2">
      <c r="A6452" t="s">
        <v>71</v>
      </c>
      <c r="B6452" t="s">
        <v>94</v>
      </c>
      <c r="C6452" t="s">
        <v>212</v>
      </c>
      <c r="D6452" t="s">
        <v>74</v>
      </c>
      <c r="E6452" t="s">
        <v>82</v>
      </c>
      <c r="F6452" s="55">
        <v>113</v>
      </c>
      <c r="G6452" s="63">
        <v>0.12590000000000001</v>
      </c>
    </row>
    <row r="6453" spans="1:7" x14ac:dyDescent="0.2">
      <c r="A6453" t="s">
        <v>71</v>
      </c>
      <c r="B6453" t="s">
        <v>94</v>
      </c>
      <c r="C6453" t="s">
        <v>212</v>
      </c>
      <c r="D6453" t="s">
        <v>74</v>
      </c>
      <c r="E6453" t="s">
        <v>83</v>
      </c>
      <c r="F6453" s="55">
        <v>101</v>
      </c>
      <c r="G6453" s="63">
        <v>2.3599999999999999E-2</v>
      </c>
    </row>
    <row r="6454" spans="1:7" x14ac:dyDescent="0.2">
      <c r="A6454" t="s">
        <v>71</v>
      </c>
      <c r="B6454" t="s">
        <v>94</v>
      </c>
      <c r="C6454" t="s">
        <v>212</v>
      </c>
      <c r="D6454" t="s">
        <v>74</v>
      </c>
      <c r="E6454" t="s">
        <v>84</v>
      </c>
      <c r="F6454" s="55">
        <v>108</v>
      </c>
      <c r="G6454" s="63">
        <v>5.1299999999999998E-2</v>
      </c>
    </row>
    <row r="6455" spans="1:7" x14ac:dyDescent="0.2">
      <c r="A6455" t="s">
        <v>71</v>
      </c>
      <c r="B6455" t="s">
        <v>94</v>
      </c>
      <c r="C6455" t="s">
        <v>212</v>
      </c>
      <c r="D6455" t="s">
        <v>74</v>
      </c>
      <c r="E6455" t="s">
        <v>85</v>
      </c>
      <c r="F6455" s="55">
        <v>114</v>
      </c>
      <c r="G6455" s="63">
        <v>4.4900000000000002E-2</v>
      </c>
    </row>
    <row r="6456" spans="1:7" x14ac:dyDescent="0.2">
      <c r="A6456" t="s">
        <v>71</v>
      </c>
      <c r="B6456" t="s">
        <v>94</v>
      </c>
      <c r="C6456" t="s">
        <v>212</v>
      </c>
      <c r="D6456" t="s">
        <v>74</v>
      </c>
      <c r="E6456" t="s">
        <v>86</v>
      </c>
      <c r="F6456" s="55">
        <v>113</v>
      </c>
      <c r="G6456" s="63">
        <v>6.0199999999999997E-2</v>
      </c>
    </row>
    <row r="6457" spans="1:7" x14ac:dyDescent="0.2">
      <c r="A6457" t="s">
        <v>71</v>
      </c>
      <c r="B6457" t="s">
        <v>94</v>
      </c>
      <c r="C6457" t="s">
        <v>212</v>
      </c>
      <c r="D6457" t="s">
        <v>74</v>
      </c>
      <c r="E6457" t="s">
        <v>87</v>
      </c>
      <c r="F6457" s="55">
        <v>116</v>
      </c>
      <c r="G6457" s="63">
        <v>7.2099999999999997E-2</v>
      </c>
    </row>
    <row r="6458" spans="1:7" x14ac:dyDescent="0.2">
      <c r="A6458" t="s">
        <v>71</v>
      </c>
      <c r="B6458" t="s">
        <v>94</v>
      </c>
      <c r="C6458" t="s">
        <v>212</v>
      </c>
      <c r="D6458" t="s">
        <v>74</v>
      </c>
      <c r="E6458" t="s">
        <v>88</v>
      </c>
      <c r="F6458" s="55">
        <v>104</v>
      </c>
      <c r="G6458" s="63">
        <v>5.0099999999999999E-2</v>
      </c>
    </row>
    <row r="6459" spans="1:7" x14ac:dyDescent="0.2">
      <c r="A6459" t="s">
        <v>89</v>
      </c>
      <c r="B6459" t="s">
        <v>95</v>
      </c>
      <c r="C6459" t="s">
        <v>212</v>
      </c>
      <c r="D6459" t="s">
        <v>74</v>
      </c>
      <c r="E6459" t="s">
        <v>75</v>
      </c>
      <c r="F6459" s="55">
        <v>74</v>
      </c>
      <c r="G6459" s="63">
        <v>1.44E-2</v>
      </c>
    </row>
    <row r="6460" spans="1:7" x14ac:dyDescent="0.2">
      <c r="A6460" t="s">
        <v>89</v>
      </c>
      <c r="B6460" t="s">
        <v>95</v>
      </c>
      <c r="C6460" t="s">
        <v>212</v>
      </c>
      <c r="D6460" t="s">
        <v>74</v>
      </c>
      <c r="E6460" t="s">
        <v>76</v>
      </c>
      <c r="F6460" s="55">
        <v>101</v>
      </c>
      <c r="G6460" s="63">
        <v>6.9999999999999999E-4</v>
      </c>
    </row>
    <row r="6461" spans="1:7" x14ac:dyDescent="0.2">
      <c r="A6461" t="s">
        <v>89</v>
      </c>
      <c r="B6461" t="s">
        <v>95</v>
      </c>
      <c r="C6461" t="s">
        <v>212</v>
      </c>
      <c r="D6461" t="s">
        <v>74</v>
      </c>
      <c r="E6461" t="s">
        <v>77</v>
      </c>
      <c r="F6461" s="55">
        <v>80</v>
      </c>
      <c r="G6461" s="63">
        <v>3.2000000000000002E-3</v>
      </c>
    </row>
    <row r="6462" spans="1:7" x14ac:dyDescent="0.2">
      <c r="A6462" t="s">
        <v>89</v>
      </c>
      <c r="B6462" t="s">
        <v>95</v>
      </c>
      <c r="C6462" t="s">
        <v>212</v>
      </c>
      <c r="D6462" t="s">
        <v>74</v>
      </c>
      <c r="E6462" t="s">
        <v>78</v>
      </c>
      <c r="F6462" s="55">
        <v>74</v>
      </c>
      <c r="G6462" s="63">
        <v>2.5000000000000001E-3</v>
      </c>
    </row>
    <row r="6463" spans="1:7" x14ac:dyDescent="0.2">
      <c r="A6463" t="s">
        <v>89</v>
      </c>
      <c r="B6463" t="s">
        <v>95</v>
      </c>
      <c r="C6463" t="s">
        <v>212</v>
      </c>
      <c r="D6463" t="s">
        <v>74</v>
      </c>
      <c r="E6463" t="s">
        <v>79</v>
      </c>
      <c r="F6463" s="55">
        <v>70</v>
      </c>
      <c r="G6463" s="63">
        <v>7.4000000000000003E-3</v>
      </c>
    </row>
    <row r="6464" spans="1:7" x14ac:dyDescent="0.2">
      <c r="A6464" t="s">
        <v>89</v>
      </c>
      <c r="B6464" t="s">
        <v>95</v>
      </c>
      <c r="C6464" t="s">
        <v>212</v>
      </c>
      <c r="D6464" t="s">
        <v>74</v>
      </c>
      <c r="E6464" t="s">
        <v>80</v>
      </c>
      <c r="F6464" s="55">
        <v>71</v>
      </c>
      <c r="G6464" s="63">
        <v>1.8E-3</v>
      </c>
    </row>
    <row r="6465" spans="1:7" x14ac:dyDescent="0.2">
      <c r="A6465" t="s">
        <v>89</v>
      </c>
      <c r="B6465" t="s">
        <v>95</v>
      </c>
      <c r="C6465" t="s">
        <v>212</v>
      </c>
      <c r="D6465" t="s">
        <v>74</v>
      </c>
      <c r="E6465" t="s">
        <v>81</v>
      </c>
      <c r="F6465" s="55">
        <v>81</v>
      </c>
      <c r="G6465" s="63">
        <v>1.6999999999999999E-3</v>
      </c>
    </row>
    <row r="6466" spans="1:7" x14ac:dyDescent="0.2">
      <c r="A6466" t="s">
        <v>89</v>
      </c>
      <c r="B6466" t="s">
        <v>95</v>
      </c>
      <c r="C6466" t="s">
        <v>212</v>
      </c>
      <c r="D6466" t="s">
        <v>74</v>
      </c>
      <c r="E6466" t="s">
        <v>82</v>
      </c>
      <c r="F6466" s="55">
        <v>72</v>
      </c>
      <c r="G6466" s="63">
        <v>5.1000000000000004E-3</v>
      </c>
    </row>
    <row r="6467" spans="1:7" x14ac:dyDescent="0.2">
      <c r="A6467" t="s">
        <v>89</v>
      </c>
      <c r="B6467" t="s">
        <v>95</v>
      </c>
      <c r="C6467" t="s">
        <v>212</v>
      </c>
      <c r="D6467" t="s">
        <v>74</v>
      </c>
      <c r="E6467" t="s">
        <v>83</v>
      </c>
      <c r="F6467" s="55">
        <v>104</v>
      </c>
      <c r="G6467" s="63">
        <v>5.0000000000000001E-4</v>
      </c>
    </row>
    <row r="6468" spans="1:7" x14ac:dyDescent="0.2">
      <c r="A6468" t="s">
        <v>89</v>
      </c>
      <c r="B6468" t="s">
        <v>95</v>
      </c>
      <c r="C6468" t="s">
        <v>212</v>
      </c>
      <c r="D6468" t="s">
        <v>74</v>
      </c>
      <c r="E6468" t="s">
        <v>84</v>
      </c>
      <c r="F6468" s="55">
        <v>79</v>
      </c>
      <c r="G6468" s="63">
        <v>1.6999999999999999E-3</v>
      </c>
    </row>
    <row r="6469" spans="1:7" x14ac:dyDescent="0.2">
      <c r="A6469" t="s">
        <v>89</v>
      </c>
      <c r="B6469" t="s">
        <v>95</v>
      </c>
      <c r="C6469" t="s">
        <v>212</v>
      </c>
      <c r="D6469" t="s">
        <v>74</v>
      </c>
      <c r="E6469" t="s">
        <v>85</v>
      </c>
      <c r="F6469" s="55">
        <v>72</v>
      </c>
      <c r="G6469" s="63">
        <v>1.6999999999999999E-3</v>
      </c>
    </row>
    <row r="6470" spans="1:7" x14ac:dyDescent="0.2">
      <c r="A6470" t="s">
        <v>89</v>
      </c>
      <c r="B6470" t="s">
        <v>95</v>
      </c>
      <c r="C6470" t="s">
        <v>212</v>
      </c>
      <c r="D6470" t="s">
        <v>74</v>
      </c>
      <c r="E6470" t="s">
        <v>86</v>
      </c>
      <c r="F6470" s="55">
        <v>67</v>
      </c>
      <c r="G6470" s="63">
        <v>2E-3</v>
      </c>
    </row>
    <row r="6471" spans="1:7" x14ac:dyDescent="0.2">
      <c r="A6471" t="s">
        <v>89</v>
      </c>
      <c r="B6471" t="s">
        <v>95</v>
      </c>
      <c r="C6471" t="s">
        <v>212</v>
      </c>
      <c r="D6471" t="s">
        <v>74</v>
      </c>
      <c r="E6471" t="s">
        <v>87</v>
      </c>
      <c r="F6471" s="55">
        <v>78</v>
      </c>
      <c r="G6471" s="63">
        <v>2.7000000000000001E-3</v>
      </c>
    </row>
    <row r="6472" spans="1:7" x14ac:dyDescent="0.2">
      <c r="A6472" t="s">
        <v>89</v>
      </c>
      <c r="B6472" t="s">
        <v>95</v>
      </c>
      <c r="C6472" t="s">
        <v>212</v>
      </c>
      <c r="D6472" t="s">
        <v>74</v>
      </c>
      <c r="E6472" t="s">
        <v>88</v>
      </c>
      <c r="F6472" s="55">
        <v>97</v>
      </c>
      <c r="G6472" s="63">
        <v>1.5E-3</v>
      </c>
    </row>
    <row r="6473" spans="1:7" x14ac:dyDescent="0.2">
      <c r="A6473" t="s">
        <v>89</v>
      </c>
      <c r="B6473" t="s">
        <v>96</v>
      </c>
      <c r="C6473" t="s">
        <v>212</v>
      </c>
      <c r="D6473" t="s">
        <v>74</v>
      </c>
      <c r="E6473" t="s">
        <v>75</v>
      </c>
      <c r="F6473" s="55">
        <v>132</v>
      </c>
      <c r="G6473" s="63">
        <v>5.9299999999999999E-2</v>
      </c>
    </row>
    <row r="6474" spans="1:7" x14ac:dyDescent="0.2">
      <c r="A6474" t="s">
        <v>89</v>
      </c>
      <c r="B6474" t="s">
        <v>96</v>
      </c>
      <c r="C6474" t="s">
        <v>212</v>
      </c>
      <c r="D6474" t="s">
        <v>74</v>
      </c>
      <c r="E6474" t="s">
        <v>76</v>
      </c>
      <c r="F6474" s="55">
        <v>131</v>
      </c>
      <c r="G6474" s="63">
        <v>3.0999999999999999E-3</v>
      </c>
    </row>
    <row r="6475" spans="1:7" x14ac:dyDescent="0.2">
      <c r="A6475" t="s">
        <v>89</v>
      </c>
      <c r="B6475" t="s">
        <v>96</v>
      </c>
      <c r="C6475" t="s">
        <v>212</v>
      </c>
      <c r="D6475" t="s">
        <v>74</v>
      </c>
      <c r="E6475" t="s">
        <v>77</v>
      </c>
      <c r="F6475" s="55">
        <v>128</v>
      </c>
      <c r="G6475" s="63">
        <v>2.07E-2</v>
      </c>
    </row>
    <row r="6476" spans="1:7" x14ac:dyDescent="0.2">
      <c r="A6476" t="s">
        <v>89</v>
      </c>
      <c r="B6476" t="s">
        <v>96</v>
      </c>
      <c r="C6476" t="s">
        <v>212</v>
      </c>
      <c r="D6476" t="s">
        <v>74</v>
      </c>
      <c r="E6476" t="s">
        <v>78</v>
      </c>
      <c r="F6476" s="55">
        <v>126</v>
      </c>
      <c r="G6476" s="63">
        <v>1.6E-2</v>
      </c>
    </row>
    <row r="6477" spans="1:7" x14ac:dyDescent="0.2">
      <c r="A6477" t="s">
        <v>89</v>
      </c>
      <c r="B6477" t="s">
        <v>96</v>
      </c>
      <c r="C6477" t="s">
        <v>212</v>
      </c>
      <c r="D6477" t="s">
        <v>74</v>
      </c>
      <c r="E6477" t="s">
        <v>79</v>
      </c>
      <c r="F6477" s="55">
        <v>137</v>
      </c>
      <c r="G6477" s="63">
        <v>3.5000000000000003E-2</v>
      </c>
    </row>
    <row r="6478" spans="1:7" x14ac:dyDescent="0.2">
      <c r="A6478" t="s">
        <v>89</v>
      </c>
      <c r="B6478" t="s">
        <v>96</v>
      </c>
      <c r="C6478" t="s">
        <v>212</v>
      </c>
      <c r="D6478" t="s">
        <v>74</v>
      </c>
      <c r="E6478" t="s">
        <v>80</v>
      </c>
      <c r="F6478" s="55">
        <v>129</v>
      </c>
      <c r="G6478" s="63">
        <v>1.04E-2</v>
      </c>
    </row>
    <row r="6479" spans="1:7" x14ac:dyDescent="0.2">
      <c r="A6479" t="s">
        <v>89</v>
      </c>
      <c r="B6479" t="s">
        <v>96</v>
      </c>
      <c r="C6479" t="s">
        <v>212</v>
      </c>
      <c r="D6479" t="s">
        <v>74</v>
      </c>
      <c r="E6479" t="s">
        <v>81</v>
      </c>
      <c r="F6479" s="55">
        <v>124</v>
      </c>
      <c r="G6479" s="63">
        <v>1.01E-2</v>
      </c>
    </row>
    <row r="6480" spans="1:7" x14ac:dyDescent="0.2">
      <c r="A6480" t="s">
        <v>89</v>
      </c>
      <c r="B6480" t="s">
        <v>96</v>
      </c>
      <c r="C6480" t="s">
        <v>212</v>
      </c>
      <c r="D6480" t="s">
        <v>74</v>
      </c>
      <c r="E6480" t="s">
        <v>82</v>
      </c>
      <c r="F6480" s="55">
        <v>132</v>
      </c>
      <c r="G6480" s="63">
        <v>2.5700000000000001E-2</v>
      </c>
    </row>
    <row r="6481" spans="1:7" x14ac:dyDescent="0.2">
      <c r="A6481" t="s">
        <v>89</v>
      </c>
      <c r="B6481" t="s">
        <v>96</v>
      </c>
      <c r="C6481" t="s">
        <v>212</v>
      </c>
      <c r="D6481" t="s">
        <v>74</v>
      </c>
      <c r="E6481" t="s">
        <v>83</v>
      </c>
      <c r="F6481" s="55">
        <v>129</v>
      </c>
      <c r="G6481" s="63">
        <v>2.5000000000000001E-3</v>
      </c>
    </row>
    <row r="6482" spans="1:7" x14ac:dyDescent="0.2">
      <c r="A6482" t="s">
        <v>89</v>
      </c>
      <c r="B6482" t="s">
        <v>96</v>
      </c>
      <c r="C6482" t="s">
        <v>212</v>
      </c>
      <c r="D6482" t="s">
        <v>74</v>
      </c>
      <c r="E6482" t="s">
        <v>84</v>
      </c>
      <c r="F6482" s="55">
        <v>125</v>
      </c>
      <c r="G6482" s="63">
        <v>1.21E-2</v>
      </c>
    </row>
    <row r="6483" spans="1:7" x14ac:dyDescent="0.2">
      <c r="A6483" t="s">
        <v>89</v>
      </c>
      <c r="B6483" t="s">
        <v>96</v>
      </c>
      <c r="C6483" t="s">
        <v>212</v>
      </c>
      <c r="D6483" t="s">
        <v>74</v>
      </c>
      <c r="E6483" t="s">
        <v>85</v>
      </c>
      <c r="F6483" s="55">
        <v>140</v>
      </c>
      <c r="G6483" s="63">
        <v>1.06E-2</v>
      </c>
    </row>
    <row r="6484" spans="1:7" x14ac:dyDescent="0.2">
      <c r="A6484" t="s">
        <v>89</v>
      </c>
      <c r="B6484" t="s">
        <v>96</v>
      </c>
      <c r="C6484" t="s">
        <v>212</v>
      </c>
      <c r="D6484" t="s">
        <v>74</v>
      </c>
      <c r="E6484" t="s">
        <v>86</v>
      </c>
      <c r="F6484" s="55">
        <v>142</v>
      </c>
      <c r="G6484" s="63">
        <v>1.29E-2</v>
      </c>
    </row>
    <row r="6485" spans="1:7" x14ac:dyDescent="0.2">
      <c r="A6485" t="s">
        <v>89</v>
      </c>
      <c r="B6485" t="s">
        <v>96</v>
      </c>
      <c r="C6485" t="s">
        <v>212</v>
      </c>
      <c r="D6485" t="s">
        <v>74</v>
      </c>
      <c r="E6485" t="s">
        <v>87</v>
      </c>
      <c r="F6485" s="55">
        <v>137</v>
      </c>
      <c r="G6485" s="63">
        <v>1.4999999999999999E-2</v>
      </c>
    </row>
    <row r="6486" spans="1:7" x14ac:dyDescent="0.2">
      <c r="A6486" t="s">
        <v>89</v>
      </c>
      <c r="B6486" t="s">
        <v>96</v>
      </c>
      <c r="C6486" t="s">
        <v>212</v>
      </c>
      <c r="D6486" t="s">
        <v>74</v>
      </c>
      <c r="E6486" t="s">
        <v>88</v>
      </c>
      <c r="F6486" s="55">
        <v>122</v>
      </c>
      <c r="G6486" s="63">
        <v>5.4999999999999997E-3</v>
      </c>
    </row>
    <row r="6487" spans="1:7" x14ac:dyDescent="0.2">
      <c r="A6487" t="s">
        <v>71</v>
      </c>
      <c r="B6487" t="s">
        <v>97</v>
      </c>
      <c r="C6487" t="s">
        <v>212</v>
      </c>
      <c r="D6487" t="s">
        <v>74</v>
      </c>
      <c r="E6487" t="s">
        <v>75</v>
      </c>
      <c r="F6487" s="55">
        <v>101</v>
      </c>
      <c r="G6487" s="63">
        <v>0.23169999999999999</v>
      </c>
    </row>
    <row r="6488" spans="1:7" x14ac:dyDescent="0.2">
      <c r="A6488" t="s">
        <v>71</v>
      </c>
      <c r="B6488" t="s">
        <v>97</v>
      </c>
      <c r="C6488" t="s">
        <v>212</v>
      </c>
      <c r="D6488" t="s">
        <v>74</v>
      </c>
      <c r="E6488" t="s">
        <v>76</v>
      </c>
      <c r="F6488" s="55">
        <v>107</v>
      </c>
      <c r="G6488" s="63">
        <v>3.2300000000000002E-2</v>
      </c>
    </row>
    <row r="6489" spans="1:7" x14ac:dyDescent="0.2">
      <c r="A6489" t="s">
        <v>71</v>
      </c>
      <c r="B6489" t="s">
        <v>97</v>
      </c>
      <c r="C6489" t="s">
        <v>212</v>
      </c>
      <c r="D6489" t="s">
        <v>74</v>
      </c>
      <c r="E6489" t="s">
        <v>77</v>
      </c>
      <c r="F6489" s="55">
        <v>107</v>
      </c>
      <c r="G6489" s="63">
        <v>8.5900000000000004E-2</v>
      </c>
    </row>
    <row r="6490" spans="1:7" x14ac:dyDescent="0.2">
      <c r="A6490" t="s">
        <v>71</v>
      </c>
      <c r="B6490" t="s">
        <v>97</v>
      </c>
      <c r="C6490" t="s">
        <v>212</v>
      </c>
      <c r="D6490" t="s">
        <v>74</v>
      </c>
      <c r="E6490" t="s">
        <v>78</v>
      </c>
      <c r="F6490" s="55">
        <v>108</v>
      </c>
      <c r="G6490" s="63">
        <v>7.51E-2</v>
      </c>
    </row>
    <row r="6491" spans="1:7" x14ac:dyDescent="0.2">
      <c r="A6491" t="s">
        <v>71</v>
      </c>
      <c r="B6491" t="s">
        <v>97</v>
      </c>
      <c r="C6491" t="s">
        <v>212</v>
      </c>
      <c r="D6491" t="s">
        <v>74</v>
      </c>
      <c r="E6491" t="s">
        <v>79</v>
      </c>
      <c r="F6491" s="55">
        <v>103</v>
      </c>
      <c r="G6491" s="63">
        <v>0.154</v>
      </c>
    </row>
    <row r="6492" spans="1:7" x14ac:dyDescent="0.2">
      <c r="A6492" t="s">
        <v>71</v>
      </c>
      <c r="B6492" t="s">
        <v>97</v>
      </c>
      <c r="C6492" t="s">
        <v>212</v>
      </c>
      <c r="D6492" t="s">
        <v>74</v>
      </c>
      <c r="E6492" t="s">
        <v>80</v>
      </c>
      <c r="F6492" s="55">
        <v>105</v>
      </c>
      <c r="G6492" s="63">
        <v>4.3999999999999997E-2</v>
      </c>
    </row>
    <row r="6493" spans="1:7" x14ac:dyDescent="0.2">
      <c r="A6493" t="s">
        <v>71</v>
      </c>
      <c r="B6493" t="s">
        <v>97</v>
      </c>
      <c r="C6493" t="s">
        <v>212</v>
      </c>
      <c r="D6493" t="s">
        <v>74</v>
      </c>
      <c r="E6493" t="s">
        <v>81</v>
      </c>
      <c r="F6493" s="55">
        <v>103</v>
      </c>
      <c r="G6493" s="63">
        <v>4.8800000000000003E-2</v>
      </c>
    </row>
    <row r="6494" spans="1:7" x14ac:dyDescent="0.2">
      <c r="A6494" t="s">
        <v>71</v>
      </c>
      <c r="B6494" t="s">
        <v>97</v>
      </c>
      <c r="C6494" t="s">
        <v>212</v>
      </c>
      <c r="D6494" t="s">
        <v>74</v>
      </c>
      <c r="E6494" t="s">
        <v>82</v>
      </c>
      <c r="F6494" s="55">
        <v>91</v>
      </c>
      <c r="G6494" s="63">
        <v>0.1045</v>
      </c>
    </row>
    <row r="6495" spans="1:7" x14ac:dyDescent="0.2">
      <c r="A6495" t="s">
        <v>71</v>
      </c>
      <c r="B6495" t="s">
        <v>97</v>
      </c>
      <c r="C6495" t="s">
        <v>212</v>
      </c>
      <c r="D6495" t="s">
        <v>74</v>
      </c>
      <c r="E6495" t="s">
        <v>83</v>
      </c>
      <c r="F6495" s="55">
        <v>103</v>
      </c>
      <c r="G6495" s="63">
        <v>2.5499999999999998E-2</v>
      </c>
    </row>
    <row r="6496" spans="1:7" x14ac:dyDescent="0.2">
      <c r="A6496" t="s">
        <v>71</v>
      </c>
      <c r="B6496" t="s">
        <v>97</v>
      </c>
      <c r="C6496" t="s">
        <v>212</v>
      </c>
      <c r="D6496" t="s">
        <v>74</v>
      </c>
      <c r="E6496" t="s">
        <v>84</v>
      </c>
      <c r="F6496" s="55">
        <v>107</v>
      </c>
      <c r="G6496" s="63">
        <v>5.74E-2</v>
      </c>
    </row>
    <row r="6497" spans="1:7" x14ac:dyDescent="0.2">
      <c r="A6497" t="s">
        <v>71</v>
      </c>
      <c r="B6497" t="s">
        <v>97</v>
      </c>
      <c r="C6497" t="s">
        <v>212</v>
      </c>
      <c r="D6497" t="s">
        <v>74</v>
      </c>
      <c r="E6497" t="s">
        <v>85</v>
      </c>
      <c r="F6497" s="55">
        <v>103</v>
      </c>
      <c r="G6497" s="63">
        <v>5.1299999999999998E-2</v>
      </c>
    </row>
    <row r="6498" spans="1:7" x14ac:dyDescent="0.2">
      <c r="A6498" t="s">
        <v>71</v>
      </c>
      <c r="B6498" t="s">
        <v>97</v>
      </c>
      <c r="C6498" t="s">
        <v>212</v>
      </c>
      <c r="D6498" t="s">
        <v>74</v>
      </c>
      <c r="E6498" t="s">
        <v>86</v>
      </c>
      <c r="F6498" s="55">
        <v>103</v>
      </c>
      <c r="G6498" s="63">
        <v>6.4399999999999999E-2</v>
      </c>
    </row>
    <row r="6499" spans="1:7" x14ac:dyDescent="0.2">
      <c r="A6499" t="s">
        <v>71</v>
      </c>
      <c r="B6499" t="s">
        <v>97</v>
      </c>
      <c r="C6499" t="s">
        <v>212</v>
      </c>
      <c r="D6499" t="s">
        <v>74</v>
      </c>
      <c r="E6499" t="s">
        <v>87</v>
      </c>
      <c r="F6499" s="55">
        <v>103</v>
      </c>
      <c r="G6499" s="63">
        <v>7.7200000000000005E-2</v>
      </c>
    </row>
    <row r="6500" spans="1:7" x14ac:dyDescent="0.2">
      <c r="A6500" t="s">
        <v>71</v>
      </c>
      <c r="B6500" t="s">
        <v>97</v>
      </c>
      <c r="C6500" t="s">
        <v>212</v>
      </c>
      <c r="D6500" t="s">
        <v>74</v>
      </c>
      <c r="E6500" t="s">
        <v>88</v>
      </c>
      <c r="F6500" s="55">
        <v>101</v>
      </c>
      <c r="G6500" s="63">
        <v>5.1999999999999998E-2</v>
      </c>
    </row>
    <row r="6501" spans="1:7" x14ac:dyDescent="0.2">
      <c r="A6501" t="s">
        <v>89</v>
      </c>
      <c r="B6501" t="s">
        <v>98</v>
      </c>
      <c r="C6501" t="s">
        <v>212</v>
      </c>
      <c r="D6501" t="s">
        <v>74</v>
      </c>
      <c r="E6501" t="s">
        <v>75</v>
      </c>
      <c r="F6501" s="55">
        <v>68</v>
      </c>
      <c r="G6501" s="63">
        <v>2.5100000000000001E-2</v>
      </c>
    </row>
    <row r="6502" spans="1:7" x14ac:dyDescent="0.2">
      <c r="A6502" t="s">
        <v>89</v>
      </c>
      <c r="B6502" t="s">
        <v>98</v>
      </c>
      <c r="C6502" t="s">
        <v>212</v>
      </c>
      <c r="D6502" t="s">
        <v>74</v>
      </c>
      <c r="E6502" t="s">
        <v>76</v>
      </c>
      <c r="F6502" s="55">
        <v>73</v>
      </c>
      <c r="G6502" s="63">
        <v>1.1000000000000001E-3</v>
      </c>
    </row>
    <row r="6503" spans="1:7" x14ac:dyDescent="0.2">
      <c r="A6503" t="s">
        <v>89</v>
      </c>
      <c r="B6503" t="s">
        <v>98</v>
      </c>
      <c r="C6503" t="s">
        <v>212</v>
      </c>
      <c r="D6503" t="s">
        <v>74</v>
      </c>
      <c r="E6503" t="s">
        <v>77</v>
      </c>
      <c r="F6503" s="55">
        <v>68</v>
      </c>
      <c r="G6503" s="63">
        <v>6.4000000000000003E-3</v>
      </c>
    </row>
    <row r="6504" spans="1:7" x14ac:dyDescent="0.2">
      <c r="A6504" t="s">
        <v>89</v>
      </c>
      <c r="B6504" t="s">
        <v>98</v>
      </c>
      <c r="C6504" t="s">
        <v>212</v>
      </c>
      <c r="D6504" t="s">
        <v>74</v>
      </c>
      <c r="E6504" t="s">
        <v>78</v>
      </c>
      <c r="F6504" s="55">
        <v>59</v>
      </c>
      <c r="G6504" s="63">
        <v>4.1999999999999997E-3</v>
      </c>
    </row>
    <row r="6505" spans="1:7" x14ac:dyDescent="0.2">
      <c r="A6505" t="s">
        <v>89</v>
      </c>
      <c r="B6505" t="s">
        <v>98</v>
      </c>
      <c r="C6505" t="s">
        <v>212</v>
      </c>
      <c r="D6505" t="s">
        <v>74</v>
      </c>
      <c r="E6505" t="s">
        <v>79</v>
      </c>
      <c r="F6505" s="55">
        <v>72</v>
      </c>
      <c r="G6505" s="63">
        <v>1.23E-2</v>
      </c>
    </row>
    <row r="6506" spans="1:7" x14ac:dyDescent="0.2">
      <c r="A6506" t="s">
        <v>89</v>
      </c>
      <c r="B6506" t="s">
        <v>98</v>
      </c>
      <c r="C6506" t="s">
        <v>212</v>
      </c>
      <c r="D6506" t="s">
        <v>74</v>
      </c>
      <c r="E6506" t="s">
        <v>80</v>
      </c>
      <c r="F6506" s="55">
        <v>87</v>
      </c>
      <c r="G6506" s="63">
        <v>2.3E-3</v>
      </c>
    </row>
    <row r="6507" spans="1:7" x14ac:dyDescent="0.2">
      <c r="A6507" t="s">
        <v>89</v>
      </c>
      <c r="B6507" t="s">
        <v>98</v>
      </c>
      <c r="C6507" t="s">
        <v>212</v>
      </c>
      <c r="D6507" t="s">
        <v>74</v>
      </c>
      <c r="E6507" t="s">
        <v>81</v>
      </c>
      <c r="F6507" s="55">
        <v>81</v>
      </c>
      <c r="G6507" s="63">
        <v>2.3E-3</v>
      </c>
    </row>
    <row r="6508" spans="1:7" x14ac:dyDescent="0.2">
      <c r="A6508" t="s">
        <v>89</v>
      </c>
      <c r="B6508" t="s">
        <v>98</v>
      </c>
      <c r="C6508" t="s">
        <v>212</v>
      </c>
      <c r="D6508" t="s">
        <v>74</v>
      </c>
      <c r="E6508" t="s">
        <v>82</v>
      </c>
      <c r="F6508" s="55">
        <v>62</v>
      </c>
      <c r="G6508" s="63">
        <v>8.6E-3</v>
      </c>
    </row>
    <row r="6509" spans="1:7" x14ac:dyDescent="0.2">
      <c r="A6509" t="s">
        <v>89</v>
      </c>
      <c r="B6509" t="s">
        <v>98</v>
      </c>
      <c r="C6509" t="s">
        <v>212</v>
      </c>
      <c r="D6509" t="s">
        <v>74</v>
      </c>
      <c r="E6509" t="s">
        <v>83</v>
      </c>
      <c r="F6509" s="55">
        <v>68</v>
      </c>
      <c r="G6509" s="63">
        <v>5.9999999999999995E-4</v>
      </c>
    </row>
    <row r="6510" spans="1:7" x14ac:dyDescent="0.2">
      <c r="A6510" t="s">
        <v>89</v>
      </c>
      <c r="B6510" t="s">
        <v>98</v>
      </c>
      <c r="C6510" t="s">
        <v>212</v>
      </c>
      <c r="D6510" t="s">
        <v>74</v>
      </c>
      <c r="E6510" t="s">
        <v>84</v>
      </c>
      <c r="F6510" s="55">
        <v>58</v>
      </c>
      <c r="G6510" s="63">
        <v>2.8999999999999998E-3</v>
      </c>
    </row>
    <row r="6511" spans="1:7" x14ac:dyDescent="0.2">
      <c r="A6511" t="s">
        <v>89</v>
      </c>
      <c r="B6511" t="s">
        <v>98</v>
      </c>
      <c r="C6511" t="s">
        <v>212</v>
      </c>
      <c r="D6511" t="s">
        <v>74</v>
      </c>
      <c r="E6511" t="s">
        <v>85</v>
      </c>
      <c r="F6511" s="55">
        <v>82</v>
      </c>
      <c r="G6511" s="63">
        <v>2.5999999999999999E-3</v>
      </c>
    </row>
    <row r="6512" spans="1:7" x14ac:dyDescent="0.2">
      <c r="A6512" t="s">
        <v>89</v>
      </c>
      <c r="B6512" t="s">
        <v>98</v>
      </c>
      <c r="C6512" t="s">
        <v>212</v>
      </c>
      <c r="D6512" t="s">
        <v>74</v>
      </c>
      <c r="E6512" t="s">
        <v>86</v>
      </c>
      <c r="F6512" s="55">
        <v>83</v>
      </c>
      <c r="G6512" s="63">
        <v>3.5000000000000001E-3</v>
      </c>
    </row>
    <row r="6513" spans="1:7" x14ac:dyDescent="0.2">
      <c r="A6513" t="s">
        <v>89</v>
      </c>
      <c r="B6513" t="s">
        <v>98</v>
      </c>
      <c r="C6513" t="s">
        <v>212</v>
      </c>
      <c r="D6513" t="s">
        <v>74</v>
      </c>
      <c r="E6513" t="s">
        <v>87</v>
      </c>
      <c r="F6513" s="55">
        <v>70</v>
      </c>
      <c r="G6513" s="63">
        <v>3.5000000000000001E-3</v>
      </c>
    </row>
    <row r="6514" spans="1:7" x14ac:dyDescent="0.2">
      <c r="A6514" t="s">
        <v>89</v>
      </c>
      <c r="B6514" t="s">
        <v>98</v>
      </c>
      <c r="C6514" t="s">
        <v>212</v>
      </c>
      <c r="D6514" t="s">
        <v>74</v>
      </c>
      <c r="E6514" t="s">
        <v>88</v>
      </c>
      <c r="F6514" s="55">
        <v>77</v>
      </c>
      <c r="G6514" s="63">
        <v>2.0999999999999999E-3</v>
      </c>
    </row>
    <row r="6515" spans="1:7" x14ac:dyDescent="0.2">
      <c r="A6515" t="s">
        <v>89</v>
      </c>
      <c r="B6515" t="s">
        <v>99</v>
      </c>
      <c r="C6515" t="s">
        <v>212</v>
      </c>
      <c r="D6515" t="s">
        <v>74</v>
      </c>
      <c r="E6515" t="s">
        <v>75</v>
      </c>
      <c r="F6515" s="55">
        <v>70</v>
      </c>
      <c r="G6515" s="63">
        <v>7.8700000000000006E-2</v>
      </c>
    </row>
    <row r="6516" spans="1:7" x14ac:dyDescent="0.2">
      <c r="A6516" t="s">
        <v>89</v>
      </c>
      <c r="B6516" t="s">
        <v>99</v>
      </c>
      <c r="C6516" t="s">
        <v>212</v>
      </c>
      <c r="D6516" t="s">
        <v>74</v>
      </c>
      <c r="E6516" t="s">
        <v>76</v>
      </c>
      <c r="F6516" s="55">
        <v>69</v>
      </c>
      <c r="G6516" s="63">
        <v>5.5999999999999999E-3</v>
      </c>
    </row>
    <row r="6517" spans="1:7" x14ac:dyDescent="0.2">
      <c r="A6517" t="s">
        <v>89</v>
      </c>
      <c r="B6517" t="s">
        <v>99</v>
      </c>
      <c r="C6517" t="s">
        <v>212</v>
      </c>
      <c r="D6517" t="s">
        <v>74</v>
      </c>
      <c r="E6517" t="s">
        <v>77</v>
      </c>
      <c r="F6517" s="55">
        <v>65</v>
      </c>
      <c r="G6517" s="63">
        <v>0.02</v>
      </c>
    </row>
    <row r="6518" spans="1:7" x14ac:dyDescent="0.2">
      <c r="A6518" t="s">
        <v>89</v>
      </c>
      <c r="B6518" t="s">
        <v>99</v>
      </c>
      <c r="C6518" t="s">
        <v>212</v>
      </c>
      <c r="D6518" t="s">
        <v>74</v>
      </c>
      <c r="E6518" t="s">
        <v>78</v>
      </c>
      <c r="F6518" s="55">
        <v>63</v>
      </c>
      <c r="G6518" s="63">
        <v>1.46E-2</v>
      </c>
    </row>
    <row r="6519" spans="1:7" x14ac:dyDescent="0.2">
      <c r="A6519" t="s">
        <v>89</v>
      </c>
      <c r="B6519" t="s">
        <v>99</v>
      </c>
      <c r="C6519" t="s">
        <v>212</v>
      </c>
      <c r="D6519" t="s">
        <v>74</v>
      </c>
      <c r="E6519" t="s">
        <v>79</v>
      </c>
      <c r="F6519" s="55">
        <v>73</v>
      </c>
      <c r="G6519" s="63">
        <v>4.5400000000000003E-2</v>
      </c>
    </row>
    <row r="6520" spans="1:7" x14ac:dyDescent="0.2">
      <c r="A6520" t="s">
        <v>89</v>
      </c>
      <c r="B6520" t="s">
        <v>99</v>
      </c>
      <c r="C6520" t="s">
        <v>212</v>
      </c>
      <c r="D6520" t="s">
        <v>74</v>
      </c>
      <c r="E6520" t="s">
        <v>80</v>
      </c>
      <c r="F6520" s="55">
        <v>70</v>
      </c>
      <c r="G6520" s="63">
        <v>1.15E-2</v>
      </c>
    </row>
    <row r="6521" spans="1:7" x14ac:dyDescent="0.2">
      <c r="A6521" t="s">
        <v>89</v>
      </c>
      <c r="B6521" t="s">
        <v>99</v>
      </c>
      <c r="C6521" t="s">
        <v>212</v>
      </c>
      <c r="D6521" t="s">
        <v>74</v>
      </c>
      <c r="E6521" t="s">
        <v>81</v>
      </c>
      <c r="F6521" s="55">
        <v>72</v>
      </c>
      <c r="G6521" s="63">
        <v>1.3299999999999999E-2</v>
      </c>
    </row>
    <row r="6522" spans="1:7" x14ac:dyDescent="0.2">
      <c r="A6522" t="s">
        <v>89</v>
      </c>
      <c r="B6522" t="s">
        <v>99</v>
      </c>
      <c r="C6522" t="s">
        <v>212</v>
      </c>
      <c r="D6522" t="s">
        <v>74</v>
      </c>
      <c r="E6522" t="s">
        <v>82</v>
      </c>
      <c r="F6522" s="55">
        <v>69</v>
      </c>
      <c r="G6522" s="63">
        <v>0.03</v>
      </c>
    </row>
    <row r="6523" spans="1:7" x14ac:dyDescent="0.2">
      <c r="A6523" t="s">
        <v>89</v>
      </c>
      <c r="B6523" t="s">
        <v>99</v>
      </c>
      <c r="C6523" t="s">
        <v>212</v>
      </c>
      <c r="D6523" t="s">
        <v>74</v>
      </c>
      <c r="E6523" t="s">
        <v>83</v>
      </c>
      <c r="F6523" s="55">
        <v>74</v>
      </c>
      <c r="G6523" s="63">
        <v>5.1999999999999998E-3</v>
      </c>
    </row>
    <row r="6524" spans="1:7" x14ac:dyDescent="0.2">
      <c r="A6524" t="s">
        <v>89</v>
      </c>
      <c r="B6524" t="s">
        <v>99</v>
      </c>
      <c r="C6524" t="s">
        <v>212</v>
      </c>
      <c r="D6524" t="s">
        <v>74</v>
      </c>
      <c r="E6524" t="s">
        <v>84</v>
      </c>
      <c r="F6524" s="55">
        <v>63</v>
      </c>
      <c r="G6524" s="63">
        <v>1.14E-2</v>
      </c>
    </row>
    <row r="6525" spans="1:7" x14ac:dyDescent="0.2">
      <c r="A6525" t="s">
        <v>89</v>
      </c>
      <c r="B6525" t="s">
        <v>99</v>
      </c>
      <c r="C6525" t="s">
        <v>212</v>
      </c>
      <c r="D6525" t="s">
        <v>74</v>
      </c>
      <c r="E6525" t="s">
        <v>85</v>
      </c>
      <c r="F6525" s="55">
        <v>73</v>
      </c>
      <c r="G6525" s="63">
        <v>1.15E-2</v>
      </c>
    </row>
    <row r="6526" spans="1:7" x14ac:dyDescent="0.2">
      <c r="A6526" t="s">
        <v>89</v>
      </c>
      <c r="B6526" t="s">
        <v>99</v>
      </c>
      <c r="C6526" t="s">
        <v>212</v>
      </c>
      <c r="D6526" t="s">
        <v>74</v>
      </c>
      <c r="E6526" t="s">
        <v>86</v>
      </c>
      <c r="F6526" s="55">
        <v>77</v>
      </c>
      <c r="G6526" s="63">
        <v>1.52E-2</v>
      </c>
    </row>
    <row r="6527" spans="1:7" x14ac:dyDescent="0.2">
      <c r="A6527" t="s">
        <v>89</v>
      </c>
      <c r="B6527" t="s">
        <v>99</v>
      </c>
      <c r="C6527" t="s">
        <v>212</v>
      </c>
      <c r="D6527" t="s">
        <v>74</v>
      </c>
      <c r="E6527" t="s">
        <v>87</v>
      </c>
      <c r="F6527" s="55">
        <v>74</v>
      </c>
      <c r="G6527" s="63">
        <v>1.77E-2</v>
      </c>
    </row>
    <row r="6528" spans="1:7" x14ac:dyDescent="0.2">
      <c r="A6528" t="s">
        <v>89</v>
      </c>
      <c r="B6528" t="s">
        <v>99</v>
      </c>
      <c r="C6528" t="s">
        <v>212</v>
      </c>
      <c r="D6528" t="s">
        <v>74</v>
      </c>
      <c r="E6528" t="s">
        <v>88</v>
      </c>
      <c r="F6528" s="55">
        <v>75</v>
      </c>
      <c r="G6528" s="63">
        <v>1.0699999999999999E-2</v>
      </c>
    </row>
    <row r="6529" spans="1:7" x14ac:dyDescent="0.2">
      <c r="A6529" t="s">
        <v>89</v>
      </c>
      <c r="B6529" t="s">
        <v>100</v>
      </c>
      <c r="C6529" t="s">
        <v>212</v>
      </c>
      <c r="D6529" t="s">
        <v>74</v>
      </c>
      <c r="E6529" t="s">
        <v>75</v>
      </c>
      <c r="F6529" s="55">
        <v>102</v>
      </c>
      <c r="G6529" s="63">
        <v>8.3799999999999999E-2</v>
      </c>
    </row>
    <row r="6530" spans="1:7" x14ac:dyDescent="0.2">
      <c r="A6530" t="s">
        <v>89</v>
      </c>
      <c r="B6530" t="s">
        <v>100</v>
      </c>
      <c r="C6530" t="s">
        <v>212</v>
      </c>
      <c r="D6530" t="s">
        <v>74</v>
      </c>
      <c r="E6530" t="s">
        <v>76</v>
      </c>
      <c r="F6530" s="55">
        <v>94</v>
      </c>
      <c r="G6530" s="63">
        <v>5.1000000000000004E-3</v>
      </c>
    </row>
    <row r="6531" spans="1:7" x14ac:dyDescent="0.2">
      <c r="A6531" t="s">
        <v>89</v>
      </c>
      <c r="B6531" t="s">
        <v>100</v>
      </c>
      <c r="C6531" t="s">
        <v>212</v>
      </c>
      <c r="D6531" t="s">
        <v>74</v>
      </c>
      <c r="E6531" t="s">
        <v>77</v>
      </c>
      <c r="F6531" s="55">
        <v>88</v>
      </c>
      <c r="G6531" s="63">
        <v>1.77E-2</v>
      </c>
    </row>
    <row r="6532" spans="1:7" x14ac:dyDescent="0.2">
      <c r="A6532" t="s">
        <v>89</v>
      </c>
      <c r="B6532" t="s">
        <v>100</v>
      </c>
      <c r="C6532" t="s">
        <v>212</v>
      </c>
      <c r="D6532" t="s">
        <v>74</v>
      </c>
      <c r="E6532" t="s">
        <v>78</v>
      </c>
      <c r="F6532" s="55">
        <v>103</v>
      </c>
      <c r="G6532" s="63">
        <v>1.9599999999999999E-2</v>
      </c>
    </row>
    <row r="6533" spans="1:7" x14ac:dyDescent="0.2">
      <c r="A6533" t="s">
        <v>89</v>
      </c>
      <c r="B6533" t="s">
        <v>100</v>
      </c>
      <c r="C6533" t="s">
        <v>212</v>
      </c>
      <c r="D6533" t="s">
        <v>74</v>
      </c>
      <c r="E6533" t="s">
        <v>79</v>
      </c>
      <c r="F6533" s="55">
        <v>104</v>
      </c>
      <c r="G6533" s="63">
        <v>5.33E-2</v>
      </c>
    </row>
    <row r="6534" spans="1:7" x14ac:dyDescent="0.2">
      <c r="A6534" t="s">
        <v>89</v>
      </c>
      <c r="B6534" t="s">
        <v>100</v>
      </c>
      <c r="C6534" t="s">
        <v>212</v>
      </c>
      <c r="D6534" t="s">
        <v>74</v>
      </c>
      <c r="E6534" t="s">
        <v>80</v>
      </c>
      <c r="F6534" s="55">
        <v>96</v>
      </c>
      <c r="G6534" s="63">
        <v>8.0999999999999996E-3</v>
      </c>
    </row>
    <row r="6535" spans="1:7" x14ac:dyDescent="0.2">
      <c r="A6535" t="s">
        <v>89</v>
      </c>
      <c r="B6535" t="s">
        <v>100</v>
      </c>
      <c r="C6535" t="s">
        <v>212</v>
      </c>
      <c r="D6535" t="s">
        <v>74</v>
      </c>
      <c r="E6535" t="s">
        <v>81</v>
      </c>
      <c r="F6535" s="55">
        <v>94</v>
      </c>
      <c r="G6535" s="63">
        <v>8.9999999999999993E-3</v>
      </c>
    </row>
    <row r="6536" spans="1:7" x14ac:dyDescent="0.2">
      <c r="A6536" t="s">
        <v>89</v>
      </c>
      <c r="B6536" t="s">
        <v>100</v>
      </c>
      <c r="C6536" t="s">
        <v>212</v>
      </c>
      <c r="D6536" t="s">
        <v>74</v>
      </c>
      <c r="E6536" t="s">
        <v>82</v>
      </c>
      <c r="F6536" s="55">
        <v>110</v>
      </c>
      <c r="G6536" s="63">
        <v>4.0300000000000002E-2</v>
      </c>
    </row>
    <row r="6537" spans="1:7" x14ac:dyDescent="0.2">
      <c r="A6537" t="s">
        <v>89</v>
      </c>
      <c r="B6537" t="s">
        <v>100</v>
      </c>
      <c r="C6537" t="s">
        <v>212</v>
      </c>
      <c r="D6537" t="s">
        <v>74</v>
      </c>
      <c r="E6537" t="s">
        <v>83</v>
      </c>
      <c r="F6537" s="55">
        <v>96</v>
      </c>
      <c r="G6537" s="63">
        <v>3.8E-3</v>
      </c>
    </row>
    <row r="6538" spans="1:7" x14ac:dyDescent="0.2">
      <c r="A6538" t="s">
        <v>89</v>
      </c>
      <c r="B6538" t="s">
        <v>100</v>
      </c>
      <c r="C6538" t="s">
        <v>212</v>
      </c>
      <c r="D6538" t="s">
        <v>74</v>
      </c>
      <c r="E6538" t="s">
        <v>84</v>
      </c>
      <c r="F6538" s="55">
        <v>95</v>
      </c>
      <c r="G6538" s="63">
        <v>1.06E-2</v>
      </c>
    </row>
    <row r="6539" spans="1:7" x14ac:dyDescent="0.2">
      <c r="A6539" t="s">
        <v>89</v>
      </c>
      <c r="B6539" t="s">
        <v>100</v>
      </c>
      <c r="C6539" t="s">
        <v>212</v>
      </c>
      <c r="D6539" t="s">
        <v>74</v>
      </c>
      <c r="E6539" t="s">
        <v>85</v>
      </c>
      <c r="F6539" s="55">
        <v>99</v>
      </c>
      <c r="G6539" s="63">
        <v>1.23E-2</v>
      </c>
    </row>
    <row r="6540" spans="1:7" x14ac:dyDescent="0.2">
      <c r="A6540" t="s">
        <v>89</v>
      </c>
      <c r="B6540" t="s">
        <v>100</v>
      </c>
      <c r="C6540" t="s">
        <v>212</v>
      </c>
      <c r="D6540" t="s">
        <v>74</v>
      </c>
      <c r="E6540" t="s">
        <v>86</v>
      </c>
      <c r="F6540" s="55">
        <v>101</v>
      </c>
      <c r="G6540" s="63">
        <v>1.9E-2</v>
      </c>
    </row>
    <row r="6541" spans="1:7" x14ac:dyDescent="0.2">
      <c r="A6541" t="s">
        <v>89</v>
      </c>
      <c r="B6541" t="s">
        <v>100</v>
      </c>
      <c r="C6541" t="s">
        <v>212</v>
      </c>
      <c r="D6541" t="s">
        <v>74</v>
      </c>
      <c r="E6541" t="s">
        <v>87</v>
      </c>
      <c r="F6541" s="55">
        <v>103</v>
      </c>
      <c r="G6541" s="63">
        <v>2.41E-2</v>
      </c>
    </row>
    <row r="6542" spans="1:7" x14ac:dyDescent="0.2">
      <c r="A6542" t="s">
        <v>89</v>
      </c>
      <c r="B6542" t="s">
        <v>100</v>
      </c>
      <c r="C6542" t="s">
        <v>212</v>
      </c>
      <c r="D6542" t="s">
        <v>74</v>
      </c>
      <c r="E6542" t="s">
        <v>88</v>
      </c>
      <c r="F6542" s="55">
        <v>92</v>
      </c>
      <c r="G6542" s="63">
        <v>9.4000000000000004E-3</v>
      </c>
    </row>
    <row r="6543" spans="1:7" x14ac:dyDescent="0.2">
      <c r="A6543" t="s">
        <v>71</v>
      </c>
      <c r="B6543" t="s">
        <v>101</v>
      </c>
      <c r="C6543" t="s">
        <v>212</v>
      </c>
      <c r="D6543" t="s">
        <v>74</v>
      </c>
      <c r="E6543" t="s">
        <v>75</v>
      </c>
      <c r="F6543" s="55">
        <v>67</v>
      </c>
      <c r="G6543" s="63">
        <v>0.1988</v>
      </c>
    </row>
    <row r="6544" spans="1:7" x14ac:dyDescent="0.2">
      <c r="A6544" t="s">
        <v>71</v>
      </c>
      <c r="B6544" t="s">
        <v>101</v>
      </c>
      <c r="C6544" t="s">
        <v>212</v>
      </c>
      <c r="D6544" t="s">
        <v>74</v>
      </c>
      <c r="E6544" t="s">
        <v>76</v>
      </c>
      <c r="F6544" s="55">
        <v>70</v>
      </c>
      <c r="G6544" s="63">
        <v>1.9199999999999998E-2</v>
      </c>
    </row>
    <row r="6545" spans="1:7" x14ac:dyDescent="0.2">
      <c r="A6545" t="s">
        <v>71</v>
      </c>
      <c r="B6545" t="s">
        <v>101</v>
      </c>
      <c r="C6545" t="s">
        <v>212</v>
      </c>
      <c r="D6545" t="s">
        <v>74</v>
      </c>
      <c r="E6545" t="s">
        <v>77</v>
      </c>
      <c r="F6545" s="55">
        <v>65</v>
      </c>
      <c r="G6545" s="63">
        <v>4.99E-2</v>
      </c>
    </row>
    <row r="6546" spans="1:7" x14ac:dyDescent="0.2">
      <c r="A6546" t="s">
        <v>71</v>
      </c>
      <c r="B6546" t="s">
        <v>101</v>
      </c>
      <c r="C6546" t="s">
        <v>212</v>
      </c>
      <c r="D6546" t="s">
        <v>74</v>
      </c>
      <c r="E6546" t="s">
        <v>78</v>
      </c>
      <c r="F6546" s="55">
        <v>70</v>
      </c>
      <c r="G6546" s="63">
        <v>4.7399999999999998E-2</v>
      </c>
    </row>
    <row r="6547" spans="1:7" x14ac:dyDescent="0.2">
      <c r="A6547" t="s">
        <v>71</v>
      </c>
      <c r="B6547" t="s">
        <v>101</v>
      </c>
      <c r="C6547" t="s">
        <v>212</v>
      </c>
      <c r="D6547" t="s">
        <v>74</v>
      </c>
      <c r="E6547" t="s">
        <v>79</v>
      </c>
      <c r="F6547" s="55">
        <v>68</v>
      </c>
      <c r="G6547" s="63">
        <v>0.1333</v>
      </c>
    </row>
    <row r="6548" spans="1:7" x14ac:dyDescent="0.2">
      <c r="A6548" t="s">
        <v>71</v>
      </c>
      <c r="B6548" t="s">
        <v>101</v>
      </c>
      <c r="C6548" t="s">
        <v>212</v>
      </c>
      <c r="D6548" t="s">
        <v>74</v>
      </c>
      <c r="E6548" t="s">
        <v>80</v>
      </c>
      <c r="F6548" s="55">
        <v>62</v>
      </c>
      <c r="G6548" s="63">
        <v>3.5499999999999997E-2</v>
      </c>
    </row>
    <row r="6549" spans="1:7" x14ac:dyDescent="0.2">
      <c r="A6549" t="s">
        <v>71</v>
      </c>
      <c r="B6549" t="s">
        <v>101</v>
      </c>
      <c r="C6549" t="s">
        <v>212</v>
      </c>
      <c r="D6549" t="s">
        <v>74</v>
      </c>
      <c r="E6549" t="s">
        <v>81</v>
      </c>
      <c r="F6549" s="55">
        <v>65</v>
      </c>
      <c r="G6549" s="63">
        <v>3.7199999999999997E-2</v>
      </c>
    </row>
    <row r="6550" spans="1:7" x14ac:dyDescent="0.2">
      <c r="A6550" t="s">
        <v>71</v>
      </c>
      <c r="B6550" t="s">
        <v>101</v>
      </c>
      <c r="C6550" t="s">
        <v>212</v>
      </c>
      <c r="D6550" t="s">
        <v>74</v>
      </c>
      <c r="E6550" t="s">
        <v>82</v>
      </c>
      <c r="F6550" s="55">
        <v>70</v>
      </c>
      <c r="G6550" s="63">
        <v>9.5299999999999996E-2</v>
      </c>
    </row>
    <row r="6551" spans="1:7" x14ac:dyDescent="0.2">
      <c r="A6551" t="s">
        <v>71</v>
      </c>
      <c r="B6551" t="s">
        <v>101</v>
      </c>
      <c r="C6551" t="s">
        <v>212</v>
      </c>
      <c r="D6551" t="s">
        <v>74</v>
      </c>
      <c r="E6551" t="s">
        <v>83</v>
      </c>
      <c r="F6551" s="55">
        <v>69</v>
      </c>
      <c r="G6551" s="63">
        <v>1.66E-2</v>
      </c>
    </row>
    <row r="6552" spans="1:7" x14ac:dyDescent="0.2">
      <c r="A6552" t="s">
        <v>71</v>
      </c>
      <c r="B6552" t="s">
        <v>101</v>
      </c>
      <c r="C6552" t="s">
        <v>212</v>
      </c>
      <c r="D6552" t="s">
        <v>74</v>
      </c>
      <c r="E6552" t="s">
        <v>84</v>
      </c>
      <c r="F6552" s="55">
        <v>69</v>
      </c>
      <c r="G6552" s="63">
        <v>3.1800000000000002E-2</v>
      </c>
    </row>
    <row r="6553" spans="1:7" x14ac:dyDescent="0.2">
      <c r="A6553" t="s">
        <v>71</v>
      </c>
      <c r="B6553" t="s">
        <v>101</v>
      </c>
      <c r="C6553" t="s">
        <v>212</v>
      </c>
      <c r="D6553" t="s">
        <v>74</v>
      </c>
      <c r="E6553" t="s">
        <v>85</v>
      </c>
      <c r="F6553" s="55">
        <v>64</v>
      </c>
      <c r="G6553" s="63">
        <v>3.6700000000000003E-2</v>
      </c>
    </row>
    <row r="6554" spans="1:7" x14ac:dyDescent="0.2">
      <c r="A6554" t="s">
        <v>71</v>
      </c>
      <c r="B6554" t="s">
        <v>101</v>
      </c>
      <c r="C6554" t="s">
        <v>212</v>
      </c>
      <c r="D6554" t="s">
        <v>74</v>
      </c>
      <c r="E6554" t="s">
        <v>86</v>
      </c>
      <c r="F6554" s="55">
        <v>66</v>
      </c>
      <c r="G6554" s="63">
        <v>5.28E-2</v>
      </c>
    </row>
    <row r="6555" spans="1:7" x14ac:dyDescent="0.2">
      <c r="A6555" t="s">
        <v>71</v>
      </c>
      <c r="B6555" t="s">
        <v>101</v>
      </c>
      <c r="C6555" t="s">
        <v>212</v>
      </c>
      <c r="D6555" t="s">
        <v>74</v>
      </c>
      <c r="E6555" t="s">
        <v>87</v>
      </c>
      <c r="F6555" s="55">
        <v>69</v>
      </c>
      <c r="G6555" s="63">
        <v>6.2899999999999998E-2</v>
      </c>
    </row>
    <row r="6556" spans="1:7" x14ac:dyDescent="0.2">
      <c r="A6556" t="s">
        <v>71</v>
      </c>
      <c r="B6556" t="s">
        <v>101</v>
      </c>
      <c r="C6556" t="s">
        <v>212</v>
      </c>
      <c r="D6556" t="s">
        <v>74</v>
      </c>
      <c r="E6556" t="s">
        <v>88</v>
      </c>
      <c r="F6556" s="55">
        <v>69</v>
      </c>
      <c r="G6556" s="63">
        <v>3.49E-2</v>
      </c>
    </row>
    <row r="6557" spans="1:7" x14ac:dyDescent="0.2">
      <c r="A6557" t="s">
        <v>71</v>
      </c>
      <c r="B6557" t="s">
        <v>102</v>
      </c>
      <c r="C6557" t="s">
        <v>212</v>
      </c>
      <c r="D6557" t="s">
        <v>74</v>
      </c>
      <c r="E6557" t="s">
        <v>75</v>
      </c>
      <c r="F6557" s="55">
        <v>86</v>
      </c>
      <c r="G6557" s="63">
        <v>0.14230000000000001</v>
      </c>
    </row>
    <row r="6558" spans="1:7" x14ac:dyDescent="0.2">
      <c r="A6558" t="s">
        <v>71</v>
      </c>
      <c r="B6558" t="s">
        <v>102</v>
      </c>
      <c r="C6558" t="s">
        <v>212</v>
      </c>
      <c r="D6558" t="s">
        <v>74</v>
      </c>
      <c r="E6558" t="s">
        <v>76</v>
      </c>
      <c r="F6558" s="55">
        <v>87</v>
      </c>
      <c r="G6558" s="63">
        <v>2.2100000000000002E-2</v>
      </c>
    </row>
    <row r="6559" spans="1:7" x14ac:dyDescent="0.2">
      <c r="A6559" t="s">
        <v>71</v>
      </c>
      <c r="B6559" t="s">
        <v>102</v>
      </c>
      <c r="C6559" t="s">
        <v>212</v>
      </c>
      <c r="D6559" t="s">
        <v>74</v>
      </c>
      <c r="E6559" t="s">
        <v>77</v>
      </c>
      <c r="F6559" s="55">
        <v>86</v>
      </c>
      <c r="G6559" s="63">
        <v>5.1299999999999998E-2</v>
      </c>
    </row>
    <row r="6560" spans="1:7" x14ac:dyDescent="0.2">
      <c r="A6560" t="s">
        <v>71</v>
      </c>
      <c r="B6560" t="s">
        <v>102</v>
      </c>
      <c r="C6560" t="s">
        <v>212</v>
      </c>
      <c r="D6560" t="s">
        <v>74</v>
      </c>
      <c r="E6560" t="s">
        <v>78</v>
      </c>
      <c r="F6560" s="55">
        <v>87</v>
      </c>
      <c r="G6560" s="63">
        <v>3.8800000000000001E-2</v>
      </c>
    </row>
    <row r="6561" spans="1:7" x14ac:dyDescent="0.2">
      <c r="A6561" t="s">
        <v>71</v>
      </c>
      <c r="B6561" t="s">
        <v>102</v>
      </c>
      <c r="C6561" t="s">
        <v>212</v>
      </c>
      <c r="D6561" t="s">
        <v>74</v>
      </c>
      <c r="E6561" t="s">
        <v>79</v>
      </c>
      <c r="F6561" s="55">
        <v>85</v>
      </c>
      <c r="G6561" s="63">
        <v>7.8899999999999998E-2</v>
      </c>
    </row>
    <row r="6562" spans="1:7" x14ac:dyDescent="0.2">
      <c r="A6562" t="s">
        <v>71</v>
      </c>
      <c r="B6562" t="s">
        <v>102</v>
      </c>
      <c r="C6562" t="s">
        <v>212</v>
      </c>
      <c r="D6562" t="s">
        <v>74</v>
      </c>
      <c r="E6562" t="s">
        <v>80</v>
      </c>
      <c r="F6562" s="55">
        <v>89</v>
      </c>
      <c r="G6562" s="63">
        <v>1.84E-2</v>
      </c>
    </row>
    <row r="6563" spans="1:7" x14ac:dyDescent="0.2">
      <c r="A6563" t="s">
        <v>71</v>
      </c>
      <c r="B6563" t="s">
        <v>102</v>
      </c>
      <c r="C6563" t="s">
        <v>212</v>
      </c>
      <c r="D6563" t="s">
        <v>74</v>
      </c>
      <c r="E6563" t="s">
        <v>81</v>
      </c>
      <c r="F6563" s="55">
        <v>89</v>
      </c>
      <c r="G6563" s="63">
        <v>2.47E-2</v>
      </c>
    </row>
    <row r="6564" spans="1:7" x14ac:dyDescent="0.2">
      <c r="A6564" t="s">
        <v>71</v>
      </c>
      <c r="B6564" t="s">
        <v>102</v>
      </c>
      <c r="C6564" t="s">
        <v>212</v>
      </c>
      <c r="D6564" t="s">
        <v>74</v>
      </c>
      <c r="E6564" t="s">
        <v>82</v>
      </c>
      <c r="F6564" s="55">
        <v>83</v>
      </c>
      <c r="G6564" s="63">
        <v>6.2300000000000001E-2</v>
      </c>
    </row>
    <row r="6565" spans="1:7" x14ac:dyDescent="0.2">
      <c r="A6565" t="s">
        <v>71</v>
      </c>
      <c r="B6565" t="s">
        <v>102</v>
      </c>
      <c r="C6565" t="s">
        <v>212</v>
      </c>
      <c r="D6565" t="s">
        <v>74</v>
      </c>
      <c r="E6565" t="s">
        <v>83</v>
      </c>
      <c r="F6565" s="55">
        <v>89</v>
      </c>
      <c r="G6565" s="63">
        <v>1.46E-2</v>
      </c>
    </row>
    <row r="6566" spans="1:7" x14ac:dyDescent="0.2">
      <c r="A6566" t="s">
        <v>71</v>
      </c>
      <c r="B6566" t="s">
        <v>102</v>
      </c>
      <c r="C6566" t="s">
        <v>212</v>
      </c>
      <c r="D6566" t="s">
        <v>74</v>
      </c>
      <c r="E6566" t="s">
        <v>84</v>
      </c>
      <c r="F6566" s="55">
        <v>88</v>
      </c>
      <c r="G6566" s="63">
        <v>3.0599999999999999E-2</v>
      </c>
    </row>
    <row r="6567" spans="1:7" x14ac:dyDescent="0.2">
      <c r="A6567" t="s">
        <v>71</v>
      </c>
      <c r="B6567" t="s">
        <v>102</v>
      </c>
      <c r="C6567" t="s">
        <v>212</v>
      </c>
      <c r="D6567" t="s">
        <v>74</v>
      </c>
      <c r="E6567" t="s">
        <v>85</v>
      </c>
      <c r="F6567" s="55">
        <v>87</v>
      </c>
      <c r="G6567" s="63">
        <v>1.9599999999999999E-2</v>
      </c>
    </row>
    <row r="6568" spans="1:7" x14ac:dyDescent="0.2">
      <c r="A6568" t="s">
        <v>71</v>
      </c>
      <c r="B6568" t="s">
        <v>102</v>
      </c>
      <c r="C6568" t="s">
        <v>212</v>
      </c>
      <c r="D6568" t="s">
        <v>74</v>
      </c>
      <c r="E6568" t="s">
        <v>86</v>
      </c>
      <c r="F6568" s="55">
        <v>86</v>
      </c>
      <c r="G6568" s="63">
        <v>2.64E-2</v>
      </c>
    </row>
    <row r="6569" spans="1:7" x14ac:dyDescent="0.2">
      <c r="A6569" t="s">
        <v>71</v>
      </c>
      <c r="B6569" t="s">
        <v>102</v>
      </c>
      <c r="C6569" t="s">
        <v>212</v>
      </c>
      <c r="D6569" t="s">
        <v>74</v>
      </c>
      <c r="E6569" t="s">
        <v>87</v>
      </c>
      <c r="F6569" s="55">
        <v>85</v>
      </c>
      <c r="G6569" s="63">
        <v>3.2899999999999999E-2</v>
      </c>
    </row>
    <row r="6570" spans="1:7" x14ac:dyDescent="0.2">
      <c r="A6570" t="s">
        <v>71</v>
      </c>
      <c r="B6570" t="s">
        <v>102</v>
      </c>
      <c r="C6570" t="s">
        <v>212</v>
      </c>
      <c r="D6570" t="s">
        <v>74</v>
      </c>
      <c r="E6570" t="s">
        <v>88</v>
      </c>
      <c r="F6570" s="55">
        <v>87</v>
      </c>
      <c r="G6570" s="63">
        <v>3.27E-2</v>
      </c>
    </row>
    <row r="6571" spans="1:7" x14ac:dyDescent="0.2">
      <c r="A6571" t="s">
        <v>89</v>
      </c>
      <c r="B6571" t="s">
        <v>103</v>
      </c>
      <c r="C6571" t="s">
        <v>212</v>
      </c>
      <c r="D6571" t="s">
        <v>74</v>
      </c>
      <c r="E6571" t="s">
        <v>75</v>
      </c>
      <c r="F6571" s="55">
        <v>88</v>
      </c>
      <c r="G6571" s="63">
        <v>4.4299999999999999E-2</v>
      </c>
    </row>
    <row r="6572" spans="1:7" x14ac:dyDescent="0.2">
      <c r="A6572" t="s">
        <v>89</v>
      </c>
      <c r="B6572" t="s">
        <v>103</v>
      </c>
      <c r="C6572" t="s">
        <v>212</v>
      </c>
      <c r="D6572" t="s">
        <v>74</v>
      </c>
      <c r="E6572" t="s">
        <v>76</v>
      </c>
      <c r="F6572" s="55">
        <v>95</v>
      </c>
      <c r="G6572" s="63">
        <v>5.4999999999999997E-3</v>
      </c>
    </row>
    <row r="6573" spans="1:7" x14ac:dyDescent="0.2">
      <c r="A6573" t="s">
        <v>89</v>
      </c>
      <c r="B6573" t="s">
        <v>103</v>
      </c>
      <c r="C6573" t="s">
        <v>212</v>
      </c>
      <c r="D6573" t="s">
        <v>74</v>
      </c>
      <c r="E6573" t="s">
        <v>77</v>
      </c>
      <c r="F6573" s="55">
        <v>84</v>
      </c>
      <c r="G6573" s="63">
        <v>1.37E-2</v>
      </c>
    </row>
    <row r="6574" spans="1:7" x14ac:dyDescent="0.2">
      <c r="A6574" t="s">
        <v>89</v>
      </c>
      <c r="B6574" t="s">
        <v>103</v>
      </c>
      <c r="C6574" t="s">
        <v>212</v>
      </c>
      <c r="D6574" t="s">
        <v>74</v>
      </c>
      <c r="E6574" t="s">
        <v>78</v>
      </c>
      <c r="F6574" s="55">
        <v>89</v>
      </c>
      <c r="G6574" s="63">
        <v>1.03E-2</v>
      </c>
    </row>
    <row r="6575" spans="1:7" x14ac:dyDescent="0.2">
      <c r="A6575" t="s">
        <v>89</v>
      </c>
      <c r="B6575" t="s">
        <v>103</v>
      </c>
      <c r="C6575" t="s">
        <v>212</v>
      </c>
      <c r="D6575" t="s">
        <v>74</v>
      </c>
      <c r="E6575" t="s">
        <v>79</v>
      </c>
      <c r="F6575" s="55">
        <v>86</v>
      </c>
      <c r="G6575" s="63">
        <v>2.23E-2</v>
      </c>
    </row>
    <row r="6576" spans="1:7" x14ac:dyDescent="0.2">
      <c r="A6576" t="s">
        <v>89</v>
      </c>
      <c r="B6576" t="s">
        <v>103</v>
      </c>
      <c r="C6576" t="s">
        <v>212</v>
      </c>
      <c r="D6576" t="s">
        <v>74</v>
      </c>
      <c r="E6576" t="s">
        <v>80</v>
      </c>
      <c r="F6576" s="55">
        <v>92</v>
      </c>
      <c r="G6576" s="63">
        <v>5.1999999999999998E-3</v>
      </c>
    </row>
    <row r="6577" spans="1:7" x14ac:dyDescent="0.2">
      <c r="A6577" t="s">
        <v>89</v>
      </c>
      <c r="B6577" t="s">
        <v>103</v>
      </c>
      <c r="C6577" t="s">
        <v>212</v>
      </c>
      <c r="D6577" t="s">
        <v>74</v>
      </c>
      <c r="E6577" t="s">
        <v>81</v>
      </c>
      <c r="F6577" s="55">
        <v>94</v>
      </c>
      <c r="G6577" s="63">
        <v>8.0000000000000002E-3</v>
      </c>
    </row>
    <row r="6578" spans="1:7" x14ac:dyDescent="0.2">
      <c r="A6578" t="s">
        <v>89</v>
      </c>
      <c r="B6578" t="s">
        <v>103</v>
      </c>
      <c r="C6578" t="s">
        <v>212</v>
      </c>
      <c r="D6578" t="s">
        <v>74</v>
      </c>
      <c r="E6578" t="s">
        <v>82</v>
      </c>
      <c r="F6578" s="55">
        <v>89</v>
      </c>
      <c r="G6578" s="63">
        <v>1.6799999999999999E-2</v>
      </c>
    </row>
    <row r="6579" spans="1:7" x14ac:dyDescent="0.2">
      <c r="A6579" t="s">
        <v>89</v>
      </c>
      <c r="B6579" t="s">
        <v>103</v>
      </c>
      <c r="C6579" t="s">
        <v>212</v>
      </c>
      <c r="D6579" t="s">
        <v>74</v>
      </c>
      <c r="E6579" t="s">
        <v>83</v>
      </c>
      <c r="F6579" s="55">
        <v>95</v>
      </c>
      <c r="G6579" s="63">
        <v>5.0000000000000001E-3</v>
      </c>
    </row>
    <row r="6580" spans="1:7" x14ac:dyDescent="0.2">
      <c r="A6580" t="s">
        <v>89</v>
      </c>
      <c r="B6580" t="s">
        <v>103</v>
      </c>
      <c r="C6580" t="s">
        <v>212</v>
      </c>
      <c r="D6580" t="s">
        <v>74</v>
      </c>
      <c r="E6580" t="s">
        <v>84</v>
      </c>
      <c r="F6580" s="55">
        <v>88</v>
      </c>
      <c r="G6580" s="63">
        <v>6.3E-3</v>
      </c>
    </row>
    <row r="6581" spans="1:7" x14ac:dyDescent="0.2">
      <c r="A6581" t="s">
        <v>89</v>
      </c>
      <c r="B6581" t="s">
        <v>103</v>
      </c>
      <c r="C6581" t="s">
        <v>212</v>
      </c>
      <c r="D6581" t="s">
        <v>74</v>
      </c>
      <c r="E6581" t="s">
        <v>85</v>
      </c>
      <c r="F6581" s="55">
        <v>90</v>
      </c>
      <c r="G6581" s="63">
        <v>5.7000000000000002E-3</v>
      </c>
    </row>
    <row r="6582" spans="1:7" x14ac:dyDescent="0.2">
      <c r="A6582" t="s">
        <v>89</v>
      </c>
      <c r="B6582" t="s">
        <v>103</v>
      </c>
      <c r="C6582" t="s">
        <v>212</v>
      </c>
      <c r="D6582" t="s">
        <v>74</v>
      </c>
      <c r="E6582" t="s">
        <v>86</v>
      </c>
      <c r="F6582" s="55">
        <v>88</v>
      </c>
      <c r="G6582" s="63">
        <v>8.9999999999999993E-3</v>
      </c>
    </row>
    <row r="6583" spans="1:7" x14ac:dyDescent="0.2">
      <c r="A6583" t="s">
        <v>89</v>
      </c>
      <c r="B6583" t="s">
        <v>103</v>
      </c>
      <c r="C6583" t="s">
        <v>212</v>
      </c>
      <c r="D6583" t="s">
        <v>74</v>
      </c>
      <c r="E6583" t="s">
        <v>87</v>
      </c>
      <c r="F6583" s="55">
        <v>85</v>
      </c>
      <c r="G6583" s="63">
        <v>9.1000000000000004E-3</v>
      </c>
    </row>
    <row r="6584" spans="1:7" x14ac:dyDescent="0.2">
      <c r="A6584" t="s">
        <v>89</v>
      </c>
      <c r="B6584" t="s">
        <v>103</v>
      </c>
      <c r="C6584" t="s">
        <v>212</v>
      </c>
      <c r="D6584" t="s">
        <v>74</v>
      </c>
      <c r="E6584" t="s">
        <v>88</v>
      </c>
      <c r="F6584" s="55">
        <v>94</v>
      </c>
      <c r="G6584" s="63">
        <v>9.2999999999999992E-3</v>
      </c>
    </row>
    <row r="6585" spans="1:7" x14ac:dyDescent="0.2">
      <c r="A6585" t="s">
        <v>71</v>
      </c>
      <c r="B6585" t="s">
        <v>104</v>
      </c>
      <c r="C6585" t="s">
        <v>212</v>
      </c>
      <c r="D6585" t="s">
        <v>74</v>
      </c>
      <c r="E6585" t="s">
        <v>75</v>
      </c>
      <c r="F6585" s="55">
        <v>92</v>
      </c>
      <c r="G6585" s="63">
        <v>0.34949999999999998</v>
      </c>
    </row>
    <row r="6586" spans="1:7" x14ac:dyDescent="0.2">
      <c r="A6586" t="s">
        <v>71</v>
      </c>
      <c r="B6586" t="s">
        <v>104</v>
      </c>
      <c r="C6586" t="s">
        <v>212</v>
      </c>
      <c r="D6586" t="s">
        <v>74</v>
      </c>
      <c r="E6586" t="s">
        <v>76</v>
      </c>
      <c r="F6586" s="55">
        <v>92</v>
      </c>
      <c r="G6586" s="63">
        <v>5.4800000000000001E-2</v>
      </c>
    </row>
    <row r="6587" spans="1:7" x14ac:dyDescent="0.2">
      <c r="A6587" t="s">
        <v>71</v>
      </c>
      <c r="B6587" t="s">
        <v>104</v>
      </c>
      <c r="C6587" t="s">
        <v>212</v>
      </c>
      <c r="D6587" t="s">
        <v>74</v>
      </c>
      <c r="E6587" t="s">
        <v>77</v>
      </c>
      <c r="F6587" s="55">
        <v>95</v>
      </c>
      <c r="G6587" s="63">
        <v>0.12970000000000001</v>
      </c>
    </row>
    <row r="6588" spans="1:7" x14ac:dyDescent="0.2">
      <c r="A6588" t="s">
        <v>71</v>
      </c>
      <c r="B6588" t="s">
        <v>104</v>
      </c>
      <c r="C6588" t="s">
        <v>212</v>
      </c>
      <c r="D6588" t="s">
        <v>74</v>
      </c>
      <c r="E6588" t="s">
        <v>78</v>
      </c>
      <c r="F6588" s="55">
        <v>92</v>
      </c>
      <c r="G6588" s="63">
        <v>0.11600000000000001</v>
      </c>
    </row>
    <row r="6589" spans="1:7" x14ac:dyDescent="0.2">
      <c r="A6589" t="s">
        <v>71</v>
      </c>
      <c r="B6589" t="s">
        <v>104</v>
      </c>
      <c r="C6589" t="s">
        <v>212</v>
      </c>
      <c r="D6589" t="s">
        <v>74</v>
      </c>
      <c r="E6589" t="s">
        <v>79</v>
      </c>
      <c r="F6589" s="55">
        <v>94</v>
      </c>
      <c r="G6589" s="63">
        <v>0.25509999999999999</v>
      </c>
    </row>
    <row r="6590" spans="1:7" x14ac:dyDescent="0.2">
      <c r="A6590" t="s">
        <v>71</v>
      </c>
      <c r="B6590" t="s">
        <v>104</v>
      </c>
      <c r="C6590" t="s">
        <v>212</v>
      </c>
      <c r="D6590" t="s">
        <v>74</v>
      </c>
      <c r="E6590" t="s">
        <v>80</v>
      </c>
      <c r="F6590" s="55">
        <v>88</v>
      </c>
      <c r="G6590" s="63">
        <v>7.3800000000000004E-2</v>
      </c>
    </row>
    <row r="6591" spans="1:7" x14ac:dyDescent="0.2">
      <c r="A6591" t="s">
        <v>71</v>
      </c>
      <c r="B6591" t="s">
        <v>104</v>
      </c>
      <c r="C6591" t="s">
        <v>212</v>
      </c>
      <c r="D6591" t="s">
        <v>74</v>
      </c>
      <c r="E6591" t="s">
        <v>81</v>
      </c>
      <c r="F6591" s="55">
        <v>87</v>
      </c>
      <c r="G6591" s="63">
        <v>8.0500000000000002E-2</v>
      </c>
    </row>
    <row r="6592" spans="1:7" x14ac:dyDescent="0.2">
      <c r="A6592" t="s">
        <v>71</v>
      </c>
      <c r="B6592" t="s">
        <v>104</v>
      </c>
      <c r="C6592" t="s">
        <v>212</v>
      </c>
      <c r="D6592" t="s">
        <v>74</v>
      </c>
      <c r="E6592" t="s">
        <v>82</v>
      </c>
      <c r="F6592" s="55">
        <v>93</v>
      </c>
      <c r="G6592" s="63">
        <v>0.16850000000000001</v>
      </c>
    </row>
    <row r="6593" spans="1:7" x14ac:dyDescent="0.2">
      <c r="A6593" t="s">
        <v>71</v>
      </c>
      <c r="B6593" t="s">
        <v>104</v>
      </c>
      <c r="C6593" t="s">
        <v>212</v>
      </c>
      <c r="D6593" t="s">
        <v>74</v>
      </c>
      <c r="E6593" t="s">
        <v>83</v>
      </c>
      <c r="F6593" s="55">
        <v>83</v>
      </c>
      <c r="G6593" s="63">
        <v>4.2099999999999999E-2</v>
      </c>
    </row>
    <row r="6594" spans="1:7" x14ac:dyDescent="0.2">
      <c r="A6594" t="s">
        <v>71</v>
      </c>
      <c r="B6594" t="s">
        <v>104</v>
      </c>
      <c r="C6594" t="s">
        <v>212</v>
      </c>
      <c r="D6594" t="s">
        <v>74</v>
      </c>
      <c r="E6594" t="s">
        <v>84</v>
      </c>
      <c r="F6594" s="55">
        <v>93</v>
      </c>
      <c r="G6594" s="63">
        <v>8.9399999999999993E-2</v>
      </c>
    </row>
    <row r="6595" spans="1:7" x14ac:dyDescent="0.2">
      <c r="A6595" t="s">
        <v>71</v>
      </c>
      <c r="B6595" t="s">
        <v>104</v>
      </c>
      <c r="C6595" t="s">
        <v>212</v>
      </c>
      <c r="D6595" t="s">
        <v>74</v>
      </c>
      <c r="E6595" t="s">
        <v>85</v>
      </c>
      <c r="F6595" s="55">
        <v>88</v>
      </c>
      <c r="G6595" s="63">
        <v>8.8700000000000001E-2</v>
      </c>
    </row>
    <row r="6596" spans="1:7" x14ac:dyDescent="0.2">
      <c r="A6596" t="s">
        <v>71</v>
      </c>
      <c r="B6596" t="s">
        <v>104</v>
      </c>
      <c r="C6596" t="s">
        <v>212</v>
      </c>
      <c r="D6596" t="s">
        <v>74</v>
      </c>
      <c r="E6596" t="s">
        <v>86</v>
      </c>
      <c r="F6596" s="55">
        <v>92</v>
      </c>
      <c r="G6596" s="63">
        <v>0.12130000000000001</v>
      </c>
    </row>
    <row r="6597" spans="1:7" x14ac:dyDescent="0.2">
      <c r="A6597" t="s">
        <v>71</v>
      </c>
      <c r="B6597" t="s">
        <v>104</v>
      </c>
      <c r="C6597" t="s">
        <v>212</v>
      </c>
      <c r="D6597" t="s">
        <v>74</v>
      </c>
      <c r="E6597" t="s">
        <v>87</v>
      </c>
      <c r="F6597" s="55">
        <v>94</v>
      </c>
      <c r="G6597" s="63">
        <v>0.14369999999999999</v>
      </c>
    </row>
    <row r="6598" spans="1:7" x14ac:dyDescent="0.2">
      <c r="A6598" t="s">
        <v>71</v>
      </c>
      <c r="B6598" t="s">
        <v>104</v>
      </c>
      <c r="C6598" t="s">
        <v>212</v>
      </c>
      <c r="D6598" t="s">
        <v>74</v>
      </c>
      <c r="E6598" t="s">
        <v>88</v>
      </c>
      <c r="F6598" s="55">
        <v>89</v>
      </c>
      <c r="G6598" s="63">
        <v>8.2600000000000007E-2</v>
      </c>
    </row>
    <row r="6599" spans="1:7" x14ac:dyDescent="0.2">
      <c r="A6599" t="s">
        <v>89</v>
      </c>
      <c r="B6599" t="s">
        <v>199</v>
      </c>
      <c r="C6599" t="s">
        <v>212</v>
      </c>
      <c r="D6599" t="s">
        <v>74</v>
      </c>
      <c r="E6599" t="s">
        <v>75</v>
      </c>
      <c r="F6599" s="55">
        <v>24</v>
      </c>
      <c r="G6599" s="63">
        <v>2.3999999999999998E-3</v>
      </c>
    </row>
    <row r="6600" spans="1:7" x14ac:dyDescent="0.2">
      <c r="A6600" t="s">
        <v>89</v>
      </c>
      <c r="B6600" t="s">
        <v>199</v>
      </c>
      <c r="C6600" t="s">
        <v>212</v>
      </c>
      <c r="D6600" t="s">
        <v>74</v>
      </c>
      <c r="E6600" t="s">
        <v>76</v>
      </c>
      <c r="F6600" s="55">
        <v>20</v>
      </c>
      <c r="G6600" s="63">
        <v>1E-4</v>
      </c>
    </row>
    <row r="6601" spans="1:7" x14ac:dyDescent="0.2">
      <c r="A6601" t="s">
        <v>89</v>
      </c>
      <c r="B6601" t="s">
        <v>199</v>
      </c>
      <c r="C6601" t="s">
        <v>212</v>
      </c>
      <c r="D6601" t="s">
        <v>74</v>
      </c>
      <c r="E6601" t="s">
        <v>77</v>
      </c>
      <c r="F6601" s="55">
        <v>26</v>
      </c>
      <c r="G6601" s="63">
        <v>5.9999999999999995E-4</v>
      </c>
    </row>
    <row r="6602" spans="1:7" x14ac:dyDescent="0.2">
      <c r="A6602" t="s">
        <v>89</v>
      </c>
      <c r="B6602" t="s">
        <v>199</v>
      </c>
      <c r="C6602" t="s">
        <v>212</v>
      </c>
      <c r="D6602" t="s">
        <v>74</v>
      </c>
      <c r="E6602" t="s">
        <v>78</v>
      </c>
      <c r="F6602" s="55">
        <v>33</v>
      </c>
      <c r="G6602" s="63">
        <v>4.0000000000000002E-4</v>
      </c>
    </row>
    <row r="6603" spans="1:7" x14ac:dyDescent="0.2">
      <c r="A6603" t="s">
        <v>89</v>
      </c>
      <c r="B6603" t="s">
        <v>199</v>
      </c>
      <c r="C6603" t="s">
        <v>212</v>
      </c>
      <c r="D6603" t="s">
        <v>74</v>
      </c>
      <c r="E6603" t="s">
        <v>79</v>
      </c>
      <c r="F6603" s="55">
        <v>39</v>
      </c>
      <c r="G6603" s="63">
        <v>1.2999999999999999E-3</v>
      </c>
    </row>
    <row r="6604" spans="1:7" x14ac:dyDescent="0.2">
      <c r="A6604" t="s">
        <v>89</v>
      </c>
      <c r="B6604" t="s">
        <v>199</v>
      </c>
      <c r="C6604" t="s">
        <v>212</v>
      </c>
      <c r="D6604" t="s">
        <v>74</v>
      </c>
      <c r="E6604" t="s">
        <v>80</v>
      </c>
      <c r="F6604" s="55">
        <v>26</v>
      </c>
      <c r="G6604" s="63">
        <v>2.9999999999999997E-4</v>
      </c>
    </row>
    <row r="6605" spans="1:7" x14ac:dyDescent="0.2">
      <c r="A6605" t="s">
        <v>89</v>
      </c>
      <c r="B6605" t="s">
        <v>199</v>
      </c>
      <c r="C6605" t="s">
        <v>212</v>
      </c>
      <c r="D6605" t="s">
        <v>74</v>
      </c>
      <c r="E6605" t="s">
        <v>81</v>
      </c>
      <c r="F6605" s="55">
        <v>24</v>
      </c>
      <c r="G6605" s="63">
        <v>2.9999999999999997E-4</v>
      </c>
    </row>
    <row r="6606" spans="1:7" x14ac:dyDescent="0.2">
      <c r="A6606" t="s">
        <v>89</v>
      </c>
      <c r="B6606" t="s">
        <v>199</v>
      </c>
      <c r="C6606" t="s">
        <v>212</v>
      </c>
      <c r="D6606" t="s">
        <v>74</v>
      </c>
      <c r="E6606" t="s">
        <v>82</v>
      </c>
      <c r="F6606" s="55">
        <v>41</v>
      </c>
      <c r="G6606" s="63">
        <v>1.1000000000000001E-3</v>
      </c>
    </row>
    <row r="6607" spans="1:7" x14ac:dyDescent="0.2">
      <c r="A6607" t="s">
        <v>89</v>
      </c>
      <c r="B6607" t="s">
        <v>199</v>
      </c>
      <c r="C6607" t="s">
        <v>212</v>
      </c>
      <c r="D6607" t="s">
        <v>74</v>
      </c>
      <c r="E6607" t="s">
        <v>84</v>
      </c>
      <c r="F6607" s="55">
        <v>42</v>
      </c>
      <c r="G6607" s="63">
        <v>2.9999999999999997E-4</v>
      </c>
    </row>
    <row r="6608" spans="1:7" x14ac:dyDescent="0.2">
      <c r="A6608" t="s">
        <v>89</v>
      </c>
      <c r="B6608" t="s">
        <v>199</v>
      </c>
      <c r="C6608" t="s">
        <v>212</v>
      </c>
      <c r="D6608" t="s">
        <v>74</v>
      </c>
      <c r="E6608" t="s">
        <v>85</v>
      </c>
      <c r="F6608" s="55">
        <v>49</v>
      </c>
      <c r="G6608" s="63">
        <v>2.9999999999999997E-4</v>
      </c>
    </row>
    <row r="6609" spans="1:7" x14ac:dyDescent="0.2">
      <c r="A6609" t="s">
        <v>89</v>
      </c>
      <c r="B6609" t="s">
        <v>199</v>
      </c>
      <c r="C6609" t="s">
        <v>212</v>
      </c>
      <c r="D6609" t="s">
        <v>74</v>
      </c>
      <c r="E6609" t="s">
        <v>86</v>
      </c>
      <c r="F6609" s="55">
        <v>47</v>
      </c>
      <c r="G6609" s="63">
        <v>4.0000000000000002E-4</v>
      </c>
    </row>
    <row r="6610" spans="1:7" x14ac:dyDescent="0.2">
      <c r="A6610" t="s">
        <v>89</v>
      </c>
      <c r="B6610" t="s">
        <v>199</v>
      </c>
      <c r="C6610" t="s">
        <v>212</v>
      </c>
      <c r="D6610" t="s">
        <v>74</v>
      </c>
      <c r="E6610" t="s">
        <v>87</v>
      </c>
      <c r="F6610" s="55">
        <v>45</v>
      </c>
      <c r="G6610" s="63">
        <v>5.0000000000000001E-4</v>
      </c>
    </row>
    <row r="6611" spans="1:7" x14ac:dyDescent="0.2">
      <c r="A6611" t="s">
        <v>89</v>
      </c>
      <c r="B6611" t="s">
        <v>199</v>
      </c>
      <c r="C6611" t="s">
        <v>212</v>
      </c>
      <c r="D6611" t="s">
        <v>74</v>
      </c>
      <c r="E6611" t="s">
        <v>88</v>
      </c>
      <c r="F6611" s="55">
        <v>21</v>
      </c>
      <c r="G6611" s="63">
        <v>2.9999999999999997E-4</v>
      </c>
    </row>
    <row r="6612" spans="1:7" x14ac:dyDescent="0.2">
      <c r="A6612" t="s">
        <v>71</v>
      </c>
      <c r="B6612" t="s">
        <v>105</v>
      </c>
      <c r="C6612" t="s">
        <v>212</v>
      </c>
      <c r="D6612" t="s">
        <v>74</v>
      </c>
      <c r="E6612" t="s">
        <v>75</v>
      </c>
      <c r="F6612" s="55">
        <v>83</v>
      </c>
      <c r="G6612" s="63">
        <v>0.1726</v>
      </c>
    </row>
    <row r="6613" spans="1:7" x14ac:dyDescent="0.2">
      <c r="A6613" t="s">
        <v>71</v>
      </c>
      <c r="B6613" t="s">
        <v>105</v>
      </c>
      <c r="C6613" t="s">
        <v>212</v>
      </c>
      <c r="D6613" t="s">
        <v>74</v>
      </c>
      <c r="E6613" t="s">
        <v>76</v>
      </c>
      <c r="F6613" s="55">
        <v>80</v>
      </c>
      <c r="G6613" s="63">
        <v>1.8800000000000001E-2</v>
      </c>
    </row>
    <row r="6614" spans="1:7" x14ac:dyDescent="0.2">
      <c r="A6614" t="s">
        <v>71</v>
      </c>
      <c r="B6614" t="s">
        <v>105</v>
      </c>
      <c r="C6614" t="s">
        <v>212</v>
      </c>
      <c r="D6614" t="s">
        <v>74</v>
      </c>
      <c r="E6614" t="s">
        <v>77</v>
      </c>
      <c r="F6614" s="55">
        <v>78</v>
      </c>
      <c r="G6614" s="63">
        <v>4.7500000000000001E-2</v>
      </c>
    </row>
    <row r="6615" spans="1:7" x14ac:dyDescent="0.2">
      <c r="A6615" t="s">
        <v>71</v>
      </c>
      <c r="B6615" t="s">
        <v>105</v>
      </c>
      <c r="C6615" t="s">
        <v>212</v>
      </c>
      <c r="D6615" t="s">
        <v>74</v>
      </c>
      <c r="E6615" t="s">
        <v>78</v>
      </c>
      <c r="F6615" s="55">
        <v>79</v>
      </c>
      <c r="G6615" s="63">
        <v>3.95E-2</v>
      </c>
    </row>
    <row r="6616" spans="1:7" x14ac:dyDescent="0.2">
      <c r="A6616" t="s">
        <v>71</v>
      </c>
      <c r="B6616" t="s">
        <v>105</v>
      </c>
      <c r="C6616" t="s">
        <v>212</v>
      </c>
      <c r="D6616" t="s">
        <v>74</v>
      </c>
      <c r="E6616" t="s">
        <v>79</v>
      </c>
      <c r="F6616" s="55">
        <v>88</v>
      </c>
      <c r="G6616" s="63">
        <v>0.1021</v>
      </c>
    </row>
    <row r="6617" spans="1:7" x14ac:dyDescent="0.2">
      <c r="A6617" t="s">
        <v>71</v>
      </c>
      <c r="B6617" t="s">
        <v>105</v>
      </c>
      <c r="C6617" t="s">
        <v>212</v>
      </c>
      <c r="D6617" t="s">
        <v>74</v>
      </c>
      <c r="E6617" t="s">
        <v>80</v>
      </c>
      <c r="F6617" s="55">
        <v>83</v>
      </c>
      <c r="G6617" s="63">
        <v>2.6800000000000001E-2</v>
      </c>
    </row>
    <row r="6618" spans="1:7" x14ac:dyDescent="0.2">
      <c r="A6618" t="s">
        <v>71</v>
      </c>
      <c r="B6618" t="s">
        <v>105</v>
      </c>
      <c r="C6618" t="s">
        <v>212</v>
      </c>
      <c r="D6618" t="s">
        <v>74</v>
      </c>
      <c r="E6618" t="s">
        <v>81</v>
      </c>
      <c r="F6618" s="55">
        <v>81</v>
      </c>
      <c r="G6618" s="63">
        <v>3.1099999999999999E-2</v>
      </c>
    </row>
    <row r="6619" spans="1:7" x14ac:dyDescent="0.2">
      <c r="A6619" t="s">
        <v>71</v>
      </c>
      <c r="B6619" t="s">
        <v>105</v>
      </c>
      <c r="C6619" t="s">
        <v>212</v>
      </c>
      <c r="D6619" t="s">
        <v>74</v>
      </c>
      <c r="E6619" t="s">
        <v>82</v>
      </c>
      <c r="F6619" s="55">
        <v>80</v>
      </c>
      <c r="G6619" s="63">
        <v>6.6600000000000006E-2</v>
      </c>
    </row>
    <row r="6620" spans="1:7" x14ac:dyDescent="0.2">
      <c r="A6620" t="s">
        <v>71</v>
      </c>
      <c r="B6620" t="s">
        <v>105</v>
      </c>
      <c r="C6620" t="s">
        <v>212</v>
      </c>
      <c r="D6620" t="s">
        <v>74</v>
      </c>
      <c r="E6620" t="s">
        <v>83</v>
      </c>
      <c r="F6620" s="55">
        <v>84</v>
      </c>
      <c r="G6620" s="63">
        <v>1.49E-2</v>
      </c>
    </row>
    <row r="6621" spans="1:7" x14ac:dyDescent="0.2">
      <c r="A6621" t="s">
        <v>71</v>
      </c>
      <c r="B6621" t="s">
        <v>105</v>
      </c>
      <c r="C6621" t="s">
        <v>212</v>
      </c>
      <c r="D6621" t="s">
        <v>74</v>
      </c>
      <c r="E6621" t="s">
        <v>84</v>
      </c>
      <c r="F6621" s="55">
        <v>76</v>
      </c>
      <c r="G6621" s="63">
        <v>2.75E-2</v>
      </c>
    </row>
    <row r="6622" spans="1:7" x14ac:dyDescent="0.2">
      <c r="A6622" t="s">
        <v>71</v>
      </c>
      <c r="B6622" t="s">
        <v>105</v>
      </c>
      <c r="C6622" t="s">
        <v>212</v>
      </c>
      <c r="D6622" t="s">
        <v>74</v>
      </c>
      <c r="E6622" t="s">
        <v>85</v>
      </c>
      <c r="F6622" s="55">
        <v>88</v>
      </c>
      <c r="G6622" s="63">
        <v>2.76E-2</v>
      </c>
    </row>
    <row r="6623" spans="1:7" x14ac:dyDescent="0.2">
      <c r="A6623" t="s">
        <v>71</v>
      </c>
      <c r="B6623" t="s">
        <v>105</v>
      </c>
      <c r="C6623" t="s">
        <v>212</v>
      </c>
      <c r="D6623" t="s">
        <v>74</v>
      </c>
      <c r="E6623" t="s">
        <v>86</v>
      </c>
      <c r="F6623" s="55">
        <v>89</v>
      </c>
      <c r="G6623" s="63">
        <v>3.9399999999999998E-2</v>
      </c>
    </row>
    <row r="6624" spans="1:7" x14ac:dyDescent="0.2">
      <c r="A6624" t="s">
        <v>71</v>
      </c>
      <c r="B6624" t="s">
        <v>105</v>
      </c>
      <c r="C6624" t="s">
        <v>212</v>
      </c>
      <c r="D6624" t="s">
        <v>74</v>
      </c>
      <c r="E6624" t="s">
        <v>87</v>
      </c>
      <c r="F6624" s="55">
        <v>88</v>
      </c>
      <c r="G6624" s="63">
        <v>4.65E-2</v>
      </c>
    </row>
    <row r="6625" spans="1:7" x14ac:dyDescent="0.2">
      <c r="A6625" t="s">
        <v>71</v>
      </c>
      <c r="B6625" t="s">
        <v>105</v>
      </c>
      <c r="C6625" t="s">
        <v>212</v>
      </c>
      <c r="D6625" t="s">
        <v>74</v>
      </c>
      <c r="E6625" t="s">
        <v>88</v>
      </c>
      <c r="F6625" s="55">
        <v>81</v>
      </c>
      <c r="G6625" s="63">
        <v>3.2199999999999999E-2</v>
      </c>
    </row>
    <row r="6626" spans="1:7" x14ac:dyDescent="0.2">
      <c r="A6626" t="s">
        <v>89</v>
      </c>
      <c r="B6626" t="s">
        <v>106</v>
      </c>
      <c r="C6626" t="s">
        <v>212</v>
      </c>
      <c r="D6626" t="s">
        <v>91</v>
      </c>
      <c r="E6626" t="s">
        <v>75</v>
      </c>
      <c r="F6626" s="55">
        <v>107</v>
      </c>
      <c r="G6626" s="63">
        <v>0.8175</v>
      </c>
    </row>
    <row r="6627" spans="1:7" x14ac:dyDescent="0.2">
      <c r="A6627" t="s">
        <v>89</v>
      </c>
      <c r="B6627" t="s">
        <v>106</v>
      </c>
      <c r="C6627" t="s">
        <v>212</v>
      </c>
      <c r="D6627" t="s">
        <v>91</v>
      </c>
      <c r="E6627" t="s">
        <v>76</v>
      </c>
      <c r="F6627" s="55">
        <v>98</v>
      </c>
      <c r="G6627" s="63">
        <v>0.28560000000000002</v>
      </c>
    </row>
    <row r="6628" spans="1:7" x14ac:dyDescent="0.2">
      <c r="A6628" t="s">
        <v>89</v>
      </c>
      <c r="B6628" t="s">
        <v>106</v>
      </c>
      <c r="C6628" t="s">
        <v>212</v>
      </c>
      <c r="D6628" t="s">
        <v>91</v>
      </c>
      <c r="E6628" t="s">
        <v>77</v>
      </c>
      <c r="F6628" s="55">
        <v>106</v>
      </c>
      <c r="G6628" s="63">
        <v>0.47149999999999997</v>
      </c>
    </row>
    <row r="6629" spans="1:7" x14ac:dyDescent="0.2">
      <c r="A6629" t="s">
        <v>89</v>
      </c>
      <c r="B6629" t="s">
        <v>106</v>
      </c>
      <c r="C6629" t="s">
        <v>212</v>
      </c>
      <c r="D6629" t="s">
        <v>91</v>
      </c>
      <c r="E6629" t="s">
        <v>78</v>
      </c>
      <c r="F6629" s="55">
        <v>111</v>
      </c>
      <c r="G6629" s="63">
        <v>0.44230000000000003</v>
      </c>
    </row>
    <row r="6630" spans="1:7" x14ac:dyDescent="0.2">
      <c r="A6630" t="s">
        <v>89</v>
      </c>
      <c r="B6630" t="s">
        <v>106</v>
      </c>
      <c r="C6630" t="s">
        <v>212</v>
      </c>
      <c r="D6630" t="s">
        <v>91</v>
      </c>
      <c r="E6630" t="s">
        <v>79</v>
      </c>
      <c r="F6630" s="55">
        <v>109</v>
      </c>
      <c r="G6630" s="63">
        <v>0.70650000000000002</v>
      </c>
    </row>
    <row r="6631" spans="1:7" x14ac:dyDescent="0.2">
      <c r="A6631" t="s">
        <v>89</v>
      </c>
      <c r="B6631" t="s">
        <v>106</v>
      </c>
      <c r="C6631" t="s">
        <v>212</v>
      </c>
      <c r="D6631" t="s">
        <v>91</v>
      </c>
      <c r="E6631" t="s">
        <v>80</v>
      </c>
      <c r="F6631" s="55">
        <v>103</v>
      </c>
      <c r="G6631" s="63">
        <v>0.28310000000000002</v>
      </c>
    </row>
    <row r="6632" spans="1:7" x14ac:dyDescent="0.2">
      <c r="A6632" t="s">
        <v>89</v>
      </c>
      <c r="B6632" t="s">
        <v>106</v>
      </c>
      <c r="C6632" t="s">
        <v>212</v>
      </c>
      <c r="D6632" t="s">
        <v>91</v>
      </c>
      <c r="E6632" t="s">
        <v>81</v>
      </c>
      <c r="F6632" s="55">
        <v>99</v>
      </c>
      <c r="G6632" s="63">
        <v>0.2762</v>
      </c>
    </row>
    <row r="6633" spans="1:7" x14ac:dyDescent="0.2">
      <c r="A6633" t="s">
        <v>89</v>
      </c>
      <c r="B6633" t="s">
        <v>106</v>
      </c>
      <c r="C6633" t="s">
        <v>212</v>
      </c>
      <c r="D6633" t="s">
        <v>91</v>
      </c>
      <c r="E6633" t="s">
        <v>82</v>
      </c>
      <c r="F6633" s="55">
        <v>109</v>
      </c>
      <c r="G6633" s="63">
        <v>0.5988</v>
      </c>
    </row>
    <row r="6634" spans="1:7" x14ac:dyDescent="0.2">
      <c r="A6634" t="s">
        <v>89</v>
      </c>
      <c r="B6634" t="s">
        <v>106</v>
      </c>
      <c r="C6634" t="s">
        <v>212</v>
      </c>
      <c r="D6634" t="s">
        <v>91</v>
      </c>
      <c r="E6634" t="s">
        <v>83</v>
      </c>
      <c r="F6634" s="55">
        <v>98</v>
      </c>
      <c r="G6634" s="63">
        <v>0.191</v>
      </c>
    </row>
    <row r="6635" spans="1:7" x14ac:dyDescent="0.2">
      <c r="A6635" t="s">
        <v>89</v>
      </c>
      <c r="B6635" t="s">
        <v>106</v>
      </c>
      <c r="C6635" t="s">
        <v>212</v>
      </c>
      <c r="D6635" t="s">
        <v>91</v>
      </c>
      <c r="E6635" t="s">
        <v>84</v>
      </c>
      <c r="F6635" s="55">
        <v>111</v>
      </c>
      <c r="G6635" s="63">
        <v>0.36549999999999999</v>
      </c>
    </row>
    <row r="6636" spans="1:7" x14ac:dyDescent="0.2">
      <c r="A6636" t="s">
        <v>89</v>
      </c>
      <c r="B6636" t="s">
        <v>106</v>
      </c>
      <c r="C6636" t="s">
        <v>212</v>
      </c>
      <c r="D6636" t="s">
        <v>91</v>
      </c>
      <c r="E6636" t="s">
        <v>85</v>
      </c>
      <c r="F6636" s="55">
        <v>109</v>
      </c>
      <c r="G6636" s="63">
        <v>0.40110000000000001</v>
      </c>
    </row>
    <row r="6637" spans="1:7" x14ac:dyDescent="0.2">
      <c r="A6637" t="s">
        <v>89</v>
      </c>
      <c r="B6637" t="s">
        <v>106</v>
      </c>
      <c r="C6637" t="s">
        <v>212</v>
      </c>
      <c r="D6637" t="s">
        <v>91</v>
      </c>
      <c r="E6637" t="s">
        <v>86</v>
      </c>
      <c r="F6637" s="55">
        <v>108</v>
      </c>
      <c r="G6637" s="63">
        <v>0.45639999999999997</v>
      </c>
    </row>
    <row r="6638" spans="1:7" x14ac:dyDescent="0.2">
      <c r="A6638" t="s">
        <v>89</v>
      </c>
      <c r="B6638" t="s">
        <v>106</v>
      </c>
      <c r="C6638" t="s">
        <v>212</v>
      </c>
      <c r="D6638" t="s">
        <v>91</v>
      </c>
      <c r="E6638" t="s">
        <v>87</v>
      </c>
      <c r="F6638" s="55">
        <v>108</v>
      </c>
      <c r="G6638" s="63">
        <v>0.50049999999999994</v>
      </c>
    </row>
    <row r="6639" spans="1:7" x14ac:dyDescent="0.2">
      <c r="A6639" t="s">
        <v>89</v>
      </c>
      <c r="B6639" t="s">
        <v>106</v>
      </c>
      <c r="C6639" t="s">
        <v>212</v>
      </c>
      <c r="D6639" t="s">
        <v>91</v>
      </c>
      <c r="E6639" t="s">
        <v>88</v>
      </c>
      <c r="F6639" s="55">
        <v>100</v>
      </c>
      <c r="G6639" s="63">
        <v>0.38740000000000002</v>
      </c>
    </row>
    <row r="6640" spans="1:7" x14ac:dyDescent="0.2">
      <c r="A6640" t="s">
        <v>89</v>
      </c>
      <c r="B6640" t="s">
        <v>107</v>
      </c>
      <c r="C6640" t="s">
        <v>212</v>
      </c>
      <c r="D6640" t="s">
        <v>74</v>
      </c>
      <c r="E6640" t="s">
        <v>75</v>
      </c>
      <c r="F6640" s="55">
        <v>104</v>
      </c>
      <c r="G6640" s="63">
        <v>9.69E-2</v>
      </c>
    </row>
    <row r="6641" spans="1:7" x14ac:dyDescent="0.2">
      <c r="A6641" t="s">
        <v>89</v>
      </c>
      <c r="B6641" t="s">
        <v>107</v>
      </c>
      <c r="C6641" t="s">
        <v>212</v>
      </c>
      <c r="D6641" t="s">
        <v>74</v>
      </c>
      <c r="E6641" t="s">
        <v>76</v>
      </c>
      <c r="F6641" s="55">
        <v>122</v>
      </c>
      <c r="G6641" s="63">
        <v>2.0400000000000001E-2</v>
      </c>
    </row>
    <row r="6642" spans="1:7" x14ac:dyDescent="0.2">
      <c r="A6642" t="s">
        <v>89</v>
      </c>
      <c r="B6642" t="s">
        <v>107</v>
      </c>
      <c r="C6642" t="s">
        <v>212</v>
      </c>
      <c r="D6642" t="s">
        <v>74</v>
      </c>
      <c r="E6642" t="s">
        <v>77</v>
      </c>
      <c r="F6642" s="55">
        <v>106</v>
      </c>
      <c r="G6642" s="63">
        <v>3.5299999999999998E-2</v>
      </c>
    </row>
    <row r="6643" spans="1:7" x14ac:dyDescent="0.2">
      <c r="A6643" t="s">
        <v>89</v>
      </c>
      <c r="B6643" t="s">
        <v>107</v>
      </c>
      <c r="C6643" t="s">
        <v>212</v>
      </c>
      <c r="D6643" t="s">
        <v>74</v>
      </c>
      <c r="E6643" t="s">
        <v>78</v>
      </c>
      <c r="F6643" s="55">
        <v>80</v>
      </c>
      <c r="G6643" s="63">
        <v>2.41E-2</v>
      </c>
    </row>
    <row r="6644" spans="1:7" x14ac:dyDescent="0.2">
      <c r="A6644" t="s">
        <v>89</v>
      </c>
      <c r="B6644" t="s">
        <v>107</v>
      </c>
      <c r="C6644" t="s">
        <v>212</v>
      </c>
      <c r="D6644" t="s">
        <v>74</v>
      </c>
      <c r="E6644" t="s">
        <v>79</v>
      </c>
      <c r="F6644" s="55">
        <v>92</v>
      </c>
      <c r="G6644" s="63">
        <v>4.9799999999999997E-2</v>
      </c>
    </row>
    <row r="6645" spans="1:7" x14ac:dyDescent="0.2">
      <c r="A6645" t="s">
        <v>89</v>
      </c>
      <c r="B6645" t="s">
        <v>107</v>
      </c>
      <c r="C6645" t="s">
        <v>212</v>
      </c>
      <c r="D6645" t="s">
        <v>74</v>
      </c>
      <c r="E6645" t="s">
        <v>80</v>
      </c>
      <c r="F6645" s="55">
        <v>93</v>
      </c>
      <c r="G6645" s="63">
        <v>1.03E-2</v>
      </c>
    </row>
    <row r="6646" spans="1:7" x14ac:dyDescent="0.2">
      <c r="A6646" t="s">
        <v>89</v>
      </c>
      <c r="B6646" t="s">
        <v>107</v>
      </c>
      <c r="C6646" t="s">
        <v>212</v>
      </c>
      <c r="D6646" t="s">
        <v>74</v>
      </c>
      <c r="E6646" t="s">
        <v>81</v>
      </c>
      <c r="F6646" s="55">
        <v>89</v>
      </c>
      <c r="G6646" s="63">
        <v>1.38E-2</v>
      </c>
    </row>
    <row r="6647" spans="1:7" x14ac:dyDescent="0.2">
      <c r="A6647" t="s">
        <v>89</v>
      </c>
      <c r="B6647" t="s">
        <v>107</v>
      </c>
      <c r="C6647" t="s">
        <v>212</v>
      </c>
      <c r="D6647" t="s">
        <v>74</v>
      </c>
      <c r="E6647" t="s">
        <v>82</v>
      </c>
      <c r="F6647" s="55">
        <v>86</v>
      </c>
      <c r="G6647" s="63">
        <v>3.6799999999999999E-2</v>
      </c>
    </row>
    <row r="6648" spans="1:7" x14ac:dyDescent="0.2">
      <c r="A6648" t="s">
        <v>89</v>
      </c>
      <c r="B6648" t="s">
        <v>107</v>
      </c>
      <c r="C6648" t="s">
        <v>212</v>
      </c>
      <c r="D6648" t="s">
        <v>74</v>
      </c>
      <c r="E6648" t="s">
        <v>83</v>
      </c>
      <c r="F6648" s="55">
        <v>115</v>
      </c>
      <c r="G6648" s="63">
        <v>1.3299999999999999E-2</v>
      </c>
    </row>
    <row r="6649" spans="1:7" x14ac:dyDescent="0.2">
      <c r="A6649" t="s">
        <v>89</v>
      </c>
      <c r="B6649" t="s">
        <v>107</v>
      </c>
      <c r="C6649" t="s">
        <v>212</v>
      </c>
      <c r="D6649" t="s">
        <v>74</v>
      </c>
      <c r="E6649" t="s">
        <v>84</v>
      </c>
      <c r="F6649" s="55">
        <v>78</v>
      </c>
      <c r="G6649" s="63">
        <v>1.66E-2</v>
      </c>
    </row>
    <row r="6650" spans="1:7" x14ac:dyDescent="0.2">
      <c r="A6650" t="s">
        <v>89</v>
      </c>
      <c r="B6650" t="s">
        <v>107</v>
      </c>
      <c r="C6650" t="s">
        <v>212</v>
      </c>
      <c r="D6650" t="s">
        <v>74</v>
      </c>
      <c r="E6650" t="s">
        <v>85</v>
      </c>
      <c r="F6650" s="55">
        <v>92</v>
      </c>
      <c r="G6650" s="63">
        <v>1.14E-2</v>
      </c>
    </row>
    <row r="6651" spans="1:7" x14ac:dyDescent="0.2">
      <c r="A6651" t="s">
        <v>89</v>
      </c>
      <c r="B6651" t="s">
        <v>107</v>
      </c>
      <c r="C6651" t="s">
        <v>212</v>
      </c>
      <c r="D6651" t="s">
        <v>74</v>
      </c>
      <c r="E6651" t="s">
        <v>86</v>
      </c>
      <c r="F6651" s="55">
        <v>88</v>
      </c>
      <c r="G6651" s="63">
        <v>1.6299999999999999E-2</v>
      </c>
    </row>
    <row r="6652" spans="1:7" x14ac:dyDescent="0.2">
      <c r="A6652" t="s">
        <v>89</v>
      </c>
      <c r="B6652" t="s">
        <v>107</v>
      </c>
      <c r="C6652" t="s">
        <v>212</v>
      </c>
      <c r="D6652" t="s">
        <v>74</v>
      </c>
      <c r="E6652" t="s">
        <v>87</v>
      </c>
      <c r="F6652" s="55">
        <v>92</v>
      </c>
      <c r="G6652" s="63">
        <v>2.1000000000000001E-2</v>
      </c>
    </row>
    <row r="6653" spans="1:7" x14ac:dyDescent="0.2">
      <c r="A6653" t="s">
        <v>89</v>
      </c>
      <c r="B6653" t="s">
        <v>107</v>
      </c>
      <c r="C6653" t="s">
        <v>212</v>
      </c>
      <c r="D6653" t="s">
        <v>74</v>
      </c>
      <c r="E6653" t="s">
        <v>88</v>
      </c>
      <c r="F6653" s="55">
        <v>118</v>
      </c>
      <c r="G6653" s="63">
        <v>2.58E-2</v>
      </c>
    </row>
    <row r="6654" spans="1:7" x14ac:dyDescent="0.2">
      <c r="A6654" t="s">
        <v>71</v>
      </c>
      <c r="B6654" t="s">
        <v>5</v>
      </c>
      <c r="C6654" t="s">
        <v>212</v>
      </c>
      <c r="D6654" t="s">
        <v>74</v>
      </c>
      <c r="E6654" t="s">
        <v>75</v>
      </c>
      <c r="F6654" s="55">
        <v>98</v>
      </c>
      <c r="G6654" s="63">
        <v>0.4446</v>
      </c>
    </row>
    <row r="6655" spans="1:7" x14ac:dyDescent="0.2">
      <c r="A6655" t="s">
        <v>71</v>
      </c>
      <c r="B6655" t="s">
        <v>5</v>
      </c>
      <c r="C6655" t="s">
        <v>212</v>
      </c>
      <c r="D6655" t="s">
        <v>74</v>
      </c>
      <c r="E6655" t="s">
        <v>76</v>
      </c>
      <c r="F6655" s="55">
        <v>99</v>
      </c>
      <c r="G6655" s="63">
        <v>9.8299999999999998E-2</v>
      </c>
    </row>
    <row r="6656" spans="1:7" x14ac:dyDescent="0.2">
      <c r="A6656" t="s">
        <v>71</v>
      </c>
      <c r="B6656" t="s">
        <v>5</v>
      </c>
      <c r="C6656" t="s">
        <v>212</v>
      </c>
      <c r="D6656" t="s">
        <v>74</v>
      </c>
      <c r="E6656" t="s">
        <v>77</v>
      </c>
      <c r="F6656" s="55">
        <v>96</v>
      </c>
      <c r="G6656" s="63">
        <v>0.18779999999999999</v>
      </c>
    </row>
    <row r="6657" spans="1:7" x14ac:dyDescent="0.2">
      <c r="A6657" t="s">
        <v>71</v>
      </c>
      <c r="B6657" t="s">
        <v>5</v>
      </c>
      <c r="C6657" t="s">
        <v>212</v>
      </c>
      <c r="D6657" t="s">
        <v>74</v>
      </c>
      <c r="E6657" t="s">
        <v>78</v>
      </c>
      <c r="F6657" s="55">
        <v>97</v>
      </c>
      <c r="G6657" s="63">
        <v>0.2006</v>
      </c>
    </row>
    <row r="6658" spans="1:7" x14ac:dyDescent="0.2">
      <c r="A6658" t="s">
        <v>71</v>
      </c>
      <c r="B6658" t="s">
        <v>5</v>
      </c>
      <c r="C6658" t="s">
        <v>212</v>
      </c>
      <c r="D6658" t="s">
        <v>74</v>
      </c>
      <c r="E6658" t="s">
        <v>79</v>
      </c>
      <c r="F6658" s="55">
        <v>103</v>
      </c>
      <c r="G6658" s="63">
        <v>0.31879999999999997</v>
      </c>
    </row>
    <row r="6659" spans="1:7" x14ac:dyDescent="0.2">
      <c r="A6659" t="s">
        <v>71</v>
      </c>
      <c r="B6659" t="s">
        <v>5</v>
      </c>
      <c r="C6659" t="s">
        <v>212</v>
      </c>
      <c r="D6659" t="s">
        <v>74</v>
      </c>
      <c r="E6659" t="s">
        <v>80</v>
      </c>
      <c r="F6659" s="55">
        <v>96</v>
      </c>
      <c r="G6659" s="63">
        <v>7.6499999999999999E-2</v>
      </c>
    </row>
    <row r="6660" spans="1:7" x14ac:dyDescent="0.2">
      <c r="A6660" t="s">
        <v>71</v>
      </c>
      <c r="B6660" t="s">
        <v>5</v>
      </c>
      <c r="C6660" t="s">
        <v>212</v>
      </c>
      <c r="D6660" t="s">
        <v>74</v>
      </c>
      <c r="E6660" t="s">
        <v>81</v>
      </c>
      <c r="F6660" s="55">
        <v>95</v>
      </c>
      <c r="G6660" s="63">
        <v>9.2600000000000002E-2</v>
      </c>
    </row>
    <row r="6661" spans="1:7" x14ac:dyDescent="0.2">
      <c r="A6661" t="s">
        <v>71</v>
      </c>
      <c r="B6661" t="s">
        <v>5</v>
      </c>
      <c r="C6661" t="s">
        <v>212</v>
      </c>
      <c r="D6661" t="s">
        <v>74</v>
      </c>
      <c r="E6661" t="s">
        <v>82</v>
      </c>
      <c r="F6661" s="55">
        <v>106</v>
      </c>
      <c r="G6661" s="63">
        <v>0.25169999999999998</v>
      </c>
    </row>
    <row r="6662" spans="1:7" x14ac:dyDescent="0.2">
      <c r="A6662" t="s">
        <v>71</v>
      </c>
      <c r="B6662" t="s">
        <v>5</v>
      </c>
      <c r="C6662" t="s">
        <v>212</v>
      </c>
      <c r="D6662" t="s">
        <v>74</v>
      </c>
      <c r="E6662" t="s">
        <v>83</v>
      </c>
      <c r="F6662" s="55">
        <v>99</v>
      </c>
      <c r="G6662" s="63">
        <v>6.1600000000000002E-2</v>
      </c>
    </row>
    <row r="6663" spans="1:7" x14ac:dyDescent="0.2">
      <c r="A6663" t="s">
        <v>71</v>
      </c>
      <c r="B6663" t="s">
        <v>5</v>
      </c>
      <c r="C6663" t="s">
        <v>212</v>
      </c>
      <c r="D6663" t="s">
        <v>74</v>
      </c>
      <c r="E6663" t="s">
        <v>84</v>
      </c>
      <c r="F6663" s="55">
        <v>96</v>
      </c>
      <c r="G6663" s="63">
        <v>0.15959999999999999</v>
      </c>
    </row>
    <row r="6664" spans="1:7" x14ac:dyDescent="0.2">
      <c r="A6664" t="s">
        <v>71</v>
      </c>
      <c r="B6664" t="s">
        <v>5</v>
      </c>
      <c r="C6664" t="s">
        <v>212</v>
      </c>
      <c r="D6664" t="s">
        <v>74</v>
      </c>
      <c r="E6664" t="s">
        <v>85</v>
      </c>
      <c r="F6664" s="55">
        <v>98</v>
      </c>
      <c r="G6664" s="63">
        <v>9.5299999999999996E-2</v>
      </c>
    </row>
    <row r="6665" spans="1:7" x14ac:dyDescent="0.2">
      <c r="A6665" t="s">
        <v>71</v>
      </c>
      <c r="B6665" t="s">
        <v>5</v>
      </c>
      <c r="C6665" t="s">
        <v>212</v>
      </c>
      <c r="D6665" t="s">
        <v>74</v>
      </c>
      <c r="E6665" t="s">
        <v>86</v>
      </c>
      <c r="F6665" s="55">
        <v>99</v>
      </c>
      <c r="G6665" s="63">
        <v>0.13930000000000001</v>
      </c>
    </row>
    <row r="6666" spans="1:7" x14ac:dyDescent="0.2">
      <c r="A6666" t="s">
        <v>71</v>
      </c>
      <c r="B6666" t="s">
        <v>5</v>
      </c>
      <c r="C6666" t="s">
        <v>212</v>
      </c>
      <c r="D6666" t="s">
        <v>74</v>
      </c>
      <c r="E6666" t="s">
        <v>87</v>
      </c>
      <c r="F6666" s="55">
        <v>102</v>
      </c>
      <c r="G6666" s="63">
        <v>0.1643</v>
      </c>
    </row>
    <row r="6667" spans="1:7" x14ac:dyDescent="0.2">
      <c r="A6667" t="s">
        <v>71</v>
      </c>
      <c r="B6667" t="s">
        <v>5</v>
      </c>
      <c r="C6667" t="s">
        <v>212</v>
      </c>
      <c r="D6667" t="s">
        <v>74</v>
      </c>
      <c r="E6667" t="s">
        <v>88</v>
      </c>
      <c r="F6667" s="55">
        <v>99</v>
      </c>
      <c r="G6667" s="63">
        <v>0.1341</v>
      </c>
    </row>
    <row r="6668" spans="1:7" x14ac:dyDescent="0.2">
      <c r="A6668" t="s">
        <v>71</v>
      </c>
      <c r="B6668" t="s">
        <v>6</v>
      </c>
      <c r="C6668" t="s">
        <v>212</v>
      </c>
      <c r="D6668" t="s">
        <v>74</v>
      </c>
      <c r="E6668" t="s">
        <v>75</v>
      </c>
      <c r="F6668" s="55">
        <v>91</v>
      </c>
      <c r="G6668" s="63">
        <v>0.48920000000000002</v>
      </c>
    </row>
    <row r="6669" spans="1:7" x14ac:dyDescent="0.2">
      <c r="A6669" t="s">
        <v>71</v>
      </c>
      <c r="B6669" t="s">
        <v>6</v>
      </c>
      <c r="C6669" t="s">
        <v>212</v>
      </c>
      <c r="D6669" t="s">
        <v>74</v>
      </c>
      <c r="E6669" t="s">
        <v>76</v>
      </c>
      <c r="F6669" s="55">
        <v>93</v>
      </c>
      <c r="G6669" s="63">
        <v>0.16589999999999999</v>
      </c>
    </row>
    <row r="6670" spans="1:7" x14ac:dyDescent="0.2">
      <c r="A6670" t="s">
        <v>71</v>
      </c>
      <c r="B6670" t="s">
        <v>6</v>
      </c>
      <c r="C6670" t="s">
        <v>212</v>
      </c>
      <c r="D6670" t="s">
        <v>74</v>
      </c>
      <c r="E6670" t="s">
        <v>77</v>
      </c>
      <c r="F6670" s="55">
        <v>95</v>
      </c>
      <c r="G6670" s="63">
        <v>0.28470000000000001</v>
      </c>
    </row>
    <row r="6671" spans="1:7" x14ac:dyDescent="0.2">
      <c r="A6671" t="s">
        <v>71</v>
      </c>
      <c r="B6671" t="s">
        <v>6</v>
      </c>
      <c r="C6671" t="s">
        <v>212</v>
      </c>
      <c r="D6671" t="s">
        <v>74</v>
      </c>
      <c r="E6671" t="s">
        <v>78</v>
      </c>
      <c r="F6671" s="55">
        <v>94</v>
      </c>
      <c r="G6671" s="63">
        <v>0.2475</v>
      </c>
    </row>
    <row r="6672" spans="1:7" x14ac:dyDescent="0.2">
      <c r="A6672" t="s">
        <v>71</v>
      </c>
      <c r="B6672" t="s">
        <v>6</v>
      </c>
      <c r="C6672" t="s">
        <v>212</v>
      </c>
      <c r="D6672" t="s">
        <v>74</v>
      </c>
      <c r="E6672" t="s">
        <v>79</v>
      </c>
      <c r="F6672" s="55">
        <v>89</v>
      </c>
      <c r="G6672" s="63">
        <v>0.37490000000000001</v>
      </c>
    </row>
    <row r="6673" spans="1:7" x14ac:dyDescent="0.2">
      <c r="A6673" t="s">
        <v>71</v>
      </c>
      <c r="B6673" t="s">
        <v>6</v>
      </c>
      <c r="C6673" t="s">
        <v>212</v>
      </c>
      <c r="D6673" t="s">
        <v>74</v>
      </c>
      <c r="E6673" t="s">
        <v>80</v>
      </c>
      <c r="F6673" s="55">
        <v>86</v>
      </c>
      <c r="G6673" s="63">
        <v>0.14580000000000001</v>
      </c>
    </row>
    <row r="6674" spans="1:7" x14ac:dyDescent="0.2">
      <c r="A6674" t="s">
        <v>71</v>
      </c>
      <c r="B6674" t="s">
        <v>6</v>
      </c>
      <c r="C6674" t="s">
        <v>212</v>
      </c>
      <c r="D6674" t="s">
        <v>74</v>
      </c>
      <c r="E6674" t="s">
        <v>81</v>
      </c>
      <c r="F6674" s="55">
        <v>86</v>
      </c>
      <c r="G6674" s="63">
        <v>0.154</v>
      </c>
    </row>
    <row r="6675" spans="1:7" x14ac:dyDescent="0.2">
      <c r="A6675" t="s">
        <v>71</v>
      </c>
      <c r="B6675" t="s">
        <v>6</v>
      </c>
      <c r="C6675" t="s">
        <v>212</v>
      </c>
      <c r="D6675" t="s">
        <v>74</v>
      </c>
      <c r="E6675" t="s">
        <v>82</v>
      </c>
      <c r="F6675" s="55">
        <v>91</v>
      </c>
      <c r="G6675" s="63">
        <v>0.3382</v>
      </c>
    </row>
    <row r="6676" spans="1:7" x14ac:dyDescent="0.2">
      <c r="A6676" t="s">
        <v>71</v>
      </c>
      <c r="B6676" t="s">
        <v>6</v>
      </c>
      <c r="C6676" t="s">
        <v>212</v>
      </c>
      <c r="D6676" t="s">
        <v>74</v>
      </c>
      <c r="E6676" t="s">
        <v>83</v>
      </c>
      <c r="F6676" s="55">
        <v>88</v>
      </c>
      <c r="G6676" s="63">
        <v>0.1042</v>
      </c>
    </row>
    <row r="6677" spans="1:7" x14ac:dyDescent="0.2">
      <c r="A6677" t="s">
        <v>71</v>
      </c>
      <c r="B6677" t="s">
        <v>6</v>
      </c>
      <c r="C6677" t="s">
        <v>212</v>
      </c>
      <c r="D6677" t="s">
        <v>74</v>
      </c>
      <c r="E6677" t="s">
        <v>84</v>
      </c>
      <c r="F6677" s="55">
        <v>95</v>
      </c>
      <c r="G6677" s="63">
        <v>0.217</v>
      </c>
    </row>
    <row r="6678" spans="1:7" x14ac:dyDescent="0.2">
      <c r="A6678" t="s">
        <v>71</v>
      </c>
      <c r="B6678" t="s">
        <v>6</v>
      </c>
      <c r="C6678" t="s">
        <v>212</v>
      </c>
      <c r="D6678" t="s">
        <v>74</v>
      </c>
      <c r="E6678" t="s">
        <v>85</v>
      </c>
      <c r="F6678" s="55">
        <v>87</v>
      </c>
      <c r="G6678" s="63">
        <v>0.18509999999999999</v>
      </c>
    </row>
    <row r="6679" spans="1:7" x14ac:dyDescent="0.2">
      <c r="A6679" t="s">
        <v>71</v>
      </c>
      <c r="B6679" t="s">
        <v>6</v>
      </c>
      <c r="C6679" t="s">
        <v>212</v>
      </c>
      <c r="D6679" t="s">
        <v>74</v>
      </c>
      <c r="E6679" t="s">
        <v>86</v>
      </c>
      <c r="F6679" s="55">
        <v>89</v>
      </c>
      <c r="G6679" s="63">
        <v>0.21990000000000001</v>
      </c>
    </row>
    <row r="6680" spans="1:7" x14ac:dyDescent="0.2">
      <c r="A6680" t="s">
        <v>71</v>
      </c>
      <c r="B6680" t="s">
        <v>6</v>
      </c>
      <c r="C6680" t="s">
        <v>212</v>
      </c>
      <c r="D6680" t="s">
        <v>74</v>
      </c>
      <c r="E6680" t="s">
        <v>87</v>
      </c>
      <c r="F6680" s="55">
        <v>90</v>
      </c>
      <c r="G6680" s="63">
        <v>0.2417</v>
      </c>
    </row>
    <row r="6681" spans="1:7" x14ac:dyDescent="0.2">
      <c r="A6681" t="s">
        <v>71</v>
      </c>
      <c r="B6681" t="s">
        <v>6</v>
      </c>
      <c r="C6681" t="s">
        <v>212</v>
      </c>
      <c r="D6681" t="s">
        <v>74</v>
      </c>
      <c r="E6681" t="s">
        <v>88</v>
      </c>
      <c r="F6681" s="55">
        <v>92</v>
      </c>
      <c r="G6681" s="63">
        <v>0.21440000000000001</v>
      </c>
    </row>
    <row r="6682" spans="1:7" x14ac:dyDescent="0.2">
      <c r="A6682" t="s">
        <v>71</v>
      </c>
      <c r="B6682" t="s">
        <v>108</v>
      </c>
      <c r="C6682" t="s">
        <v>212</v>
      </c>
      <c r="D6682" t="s">
        <v>74</v>
      </c>
      <c r="E6682" t="s">
        <v>75</v>
      </c>
      <c r="F6682" s="55">
        <v>33</v>
      </c>
      <c r="G6682" s="63">
        <v>4.7999999999999996E-3</v>
      </c>
    </row>
    <row r="6683" spans="1:7" x14ac:dyDescent="0.2">
      <c r="A6683" t="s">
        <v>71</v>
      </c>
      <c r="B6683" t="s">
        <v>108</v>
      </c>
      <c r="C6683" t="s">
        <v>212</v>
      </c>
      <c r="D6683" t="s">
        <v>74</v>
      </c>
      <c r="E6683" t="s">
        <v>76</v>
      </c>
      <c r="F6683" s="55">
        <v>33</v>
      </c>
      <c r="G6683" s="63">
        <v>6.9999999999999999E-4</v>
      </c>
    </row>
    <row r="6684" spans="1:7" x14ac:dyDescent="0.2">
      <c r="A6684" t="s">
        <v>71</v>
      </c>
      <c r="B6684" t="s">
        <v>108</v>
      </c>
      <c r="C6684" t="s">
        <v>212</v>
      </c>
      <c r="D6684" t="s">
        <v>74</v>
      </c>
      <c r="E6684" t="s">
        <v>77</v>
      </c>
      <c r="F6684" s="55">
        <v>35</v>
      </c>
      <c r="G6684" s="63">
        <v>2.3E-3</v>
      </c>
    </row>
    <row r="6685" spans="1:7" x14ac:dyDescent="0.2">
      <c r="A6685" t="s">
        <v>71</v>
      </c>
      <c r="B6685" t="s">
        <v>108</v>
      </c>
      <c r="C6685" t="s">
        <v>212</v>
      </c>
      <c r="D6685" t="s">
        <v>74</v>
      </c>
      <c r="E6685" t="s">
        <v>78</v>
      </c>
      <c r="F6685" s="55">
        <v>29</v>
      </c>
      <c r="G6685" s="63">
        <v>1.5E-3</v>
      </c>
    </row>
    <row r="6686" spans="1:7" x14ac:dyDescent="0.2">
      <c r="A6686" t="s">
        <v>71</v>
      </c>
      <c r="B6686" t="s">
        <v>108</v>
      </c>
      <c r="C6686" t="s">
        <v>212</v>
      </c>
      <c r="D6686" t="s">
        <v>74</v>
      </c>
      <c r="E6686" t="s">
        <v>79</v>
      </c>
      <c r="F6686" s="55">
        <v>33</v>
      </c>
      <c r="G6686" s="63">
        <v>3.3E-3</v>
      </c>
    </row>
    <row r="6687" spans="1:7" x14ac:dyDescent="0.2">
      <c r="A6687" t="s">
        <v>71</v>
      </c>
      <c r="B6687" t="s">
        <v>108</v>
      </c>
      <c r="C6687" t="s">
        <v>212</v>
      </c>
      <c r="D6687" t="s">
        <v>74</v>
      </c>
      <c r="E6687" t="s">
        <v>80</v>
      </c>
      <c r="F6687" s="55">
        <v>33</v>
      </c>
      <c r="G6687" s="63">
        <v>8.0000000000000004E-4</v>
      </c>
    </row>
    <row r="6688" spans="1:7" x14ac:dyDescent="0.2">
      <c r="A6688" t="s">
        <v>71</v>
      </c>
      <c r="B6688" t="s">
        <v>108</v>
      </c>
      <c r="C6688" t="s">
        <v>212</v>
      </c>
      <c r="D6688" t="s">
        <v>74</v>
      </c>
      <c r="E6688" t="s">
        <v>81</v>
      </c>
      <c r="F6688" s="55">
        <v>36</v>
      </c>
      <c r="G6688" s="63">
        <v>8.0000000000000004E-4</v>
      </c>
    </row>
    <row r="6689" spans="1:7" x14ac:dyDescent="0.2">
      <c r="A6689" t="s">
        <v>71</v>
      </c>
      <c r="B6689" t="s">
        <v>108</v>
      </c>
      <c r="C6689" t="s">
        <v>212</v>
      </c>
      <c r="D6689" t="s">
        <v>74</v>
      </c>
      <c r="E6689" t="s">
        <v>82</v>
      </c>
      <c r="F6689" s="55">
        <v>34</v>
      </c>
      <c r="G6689" s="63">
        <v>3.0000000000000001E-3</v>
      </c>
    </row>
    <row r="6690" spans="1:7" x14ac:dyDescent="0.2">
      <c r="A6690" t="s">
        <v>71</v>
      </c>
      <c r="B6690" t="s">
        <v>108</v>
      </c>
      <c r="C6690" t="s">
        <v>212</v>
      </c>
      <c r="D6690" t="s">
        <v>74</v>
      </c>
      <c r="E6690" t="s">
        <v>83</v>
      </c>
      <c r="F6690" s="55">
        <v>34</v>
      </c>
      <c r="G6690" s="63">
        <v>2.0000000000000001E-4</v>
      </c>
    </row>
    <row r="6691" spans="1:7" x14ac:dyDescent="0.2">
      <c r="A6691" t="s">
        <v>71</v>
      </c>
      <c r="B6691" t="s">
        <v>108</v>
      </c>
      <c r="C6691" t="s">
        <v>212</v>
      </c>
      <c r="D6691" t="s">
        <v>74</v>
      </c>
      <c r="E6691" t="s">
        <v>84</v>
      </c>
      <c r="F6691" s="55">
        <v>31</v>
      </c>
      <c r="G6691" s="63">
        <v>1.2999999999999999E-3</v>
      </c>
    </row>
    <row r="6692" spans="1:7" x14ac:dyDescent="0.2">
      <c r="A6692" t="s">
        <v>71</v>
      </c>
      <c r="B6692" t="s">
        <v>108</v>
      </c>
      <c r="C6692" t="s">
        <v>212</v>
      </c>
      <c r="D6692" t="s">
        <v>74</v>
      </c>
      <c r="E6692" t="s">
        <v>85</v>
      </c>
      <c r="F6692" s="55">
        <v>32</v>
      </c>
      <c r="G6692" s="63">
        <v>8.9999999999999998E-4</v>
      </c>
    </row>
    <row r="6693" spans="1:7" x14ac:dyDescent="0.2">
      <c r="A6693" t="s">
        <v>71</v>
      </c>
      <c r="B6693" t="s">
        <v>108</v>
      </c>
      <c r="C6693" t="s">
        <v>212</v>
      </c>
      <c r="D6693" t="s">
        <v>74</v>
      </c>
      <c r="E6693" t="s">
        <v>86</v>
      </c>
      <c r="F6693" s="55">
        <v>35</v>
      </c>
      <c r="G6693" s="63">
        <v>1.6000000000000001E-3</v>
      </c>
    </row>
    <row r="6694" spans="1:7" x14ac:dyDescent="0.2">
      <c r="A6694" t="s">
        <v>71</v>
      </c>
      <c r="B6694" t="s">
        <v>108</v>
      </c>
      <c r="C6694" t="s">
        <v>212</v>
      </c>
      <c r="D6694" t="s">
        <v>74</v>
      </c>
      <c r="E6694" t="s">
        <v>87</v>
      </c>
      <c r="F6694" s="55">
        <v>35</v>
      </c>
      <c r="G6694" s="63">
        <v>1.9E-3</v>
      </c>
    </row>
    <row r="6695" spans="1:7" x14ac:dyDescent="0.2">
      <c r="A6695" t="s">
        <v>71</v>
      </c>
      <c r="B6695" t="s">
        <v>108</v>
      </c>
      <c r="C6695" t="s">
        <v>212</v>
      </c>
      <c r="D6695" t="s">
        <v>74</v>
      </c>
      <c r="E6695" t="s">
        <v>88</v>
      </c>
      <c r="F6695" s="55">
        <v>31</v>
      </c>
      <c r="G6695" s="63">
        <v>1.2999999999999999E-3</v>
      </c>
    </row>
    <row r="6696" spans="1:7" x14ac:dyDescent="0.2">
      <c r="A6696" t="s">
        <v>89</v>
      </c>
      <c r="B6696" t="s">
        <v>109</v>
      </c>
      <c r="C6696" t="s">
        <v>212</v>
      </c>
      <c r="D6696" t="s">
        <v>74</v>
      </c>
      <c r="E6696" t="s">
        <v>75</v>
      </c>
      <c r="F6696" s="55">
        <v>89</v>
      </c>
      <c r="G6696" s="63">
        <v>3.5999999999999999E-3</v>
      </c>
    </row>
    <row r="6697" spans="1:7" x14ac:dyDescent="0.2">
      <c r="A6697" t="s">
        <v>89</v>
      </c>
      <c r="B6697" t="s">
        <v>109</v>
      </c>
      <c r="C6697" t="s">
        <v>212</v>
      </c>
      <c r="D6697" t="s">
        <v>74</v>
      </c>
      <c r="E6697" t="s">
        <v>76</v>
      </c>
      <c r="F6697" s="55">
        <v>114</v>
      </c>
      <c r="G6697" s="63">
        <v>2.9999999999999997E-4</v>
      </c>
    </row>
    <row r="6698" spans="1:7" x14ac:dyDescent="0.2">
      <c r="A6698" t="s">
        <v>89</v>
      </c>
      <c r="B6698" t="s">
        <v>109</v>
      </c>
      <c r="C6698" t="s">
        <v>212</v>
      </c>
      <c r="D6698" t="s">
        <v>74</v>
      </c>
      <c r="E6698" t="s">
        <v>77</v>
      </c>
      <c r="F6698" s="55">
        <v>99</v>
      </c>
      <c r="G6698" s="63">
        <v>1E-3</v>
      </c>
    </row>
    <row r="6699" spans="1:7" x14ac:dyDescent="0.2">
      <c r="A6699" t="s">
        <v>89</v>
      </c>
      <c r="B6699" t="s">
        <v>109</v>
      </c>
      <c r="C6699" t="s">
        <v>212</v>
      </c>
      <c r="D6699" t="s">
        <v>74</v>
      </c>
      <c r="E6699" t="s">
        <v>78</v>
      </c>
      <c r="F6699" s="55">
        <v>92</v>
      </c>
      <c r="G6699" s="63">
        <v>5.0000000000000001E-4</v>
      </c>
    </row>
    <row r="6700" spans="1:7" x14ac:dyDescent="0.2">
      <c r="A6700" t="s">
        <v>89</v>
      </c>
      <c r="B6700" t="s">
        <v>109</v>
      </c>
      <c r="C6700" t="s">
        <v>212</v>
      </c>
      <c r="D6700" t="s">
        <v>74</v>
      </c>
      <c r="E6700" t="s">
        <v>79</v>
      </c>
      <c r="F6700" s="55">
        <v>86</v>
      </c>
      <c r="G6700" s="63">
        <v>1.6000000000000001E-3</v>
      </c>
    </row>
    <row r="6701" spans="1:7" x14ac:dyDescent="0.2">
      <c r="A6701" t="s">
        <v>89</v>
      </c>
      <c r="B6701" t="s">
        <v>109</v>
      </c>
      <c r="C6701" t="s">
        <v>212</v>
      </c>
      <c r="D6701" t="s">
        <v>74</v>
      </c>
      <c r="E6701" t="s">
        <v>80</v>
      </c>
      <c r="F6701" s="55">
        <v>68</v>
      </c>
      <c r="G6701" s="63">
        <v>2.9999999999999997E-4</v>
      </c>
    </row>
    <row r="6702" spans="1:7" x14ac:dyDescent="0.2">
      <c r="A6702" t="s">
        <v>89</v>
      </c>
      <c r="B6702" t="s">
        <v>109</v>
      </c>
      <c r="C6702" t="s">
        <v>212</v>
      </c>
      <c r="D6702" t="s">
        <v>74</v>
      </c>
      <c r="E6702" t="s">
        <v>81</v>
      </c>
      <c r="F6702" s="55">
        <v>83</v>
      </c>
      <c r="G6702" s="63">
        <v>4.0000000000000002E-4</v>
      </c>
    </row>
    <row r="6703" spans="1:7" x14ac:dyDescent="0.2">
      <c r="A6703" t="s">
        <v>89</v>
      </c>
      <c r="B6703" t="s">
        <v>109</v>
      </c>
      <c r="C6703" t="s">
        <v>212</v>
      </c>
      <c r="D6703" t="s">
        <v>74</v>
      </c>
      <c r="E6703" t="s">
        <v>82</v>
      </c>
      <c r="F6703" s="55">
        <v>78</v>
      </c>
      <c r="G6703" s="63">
        <v>1.1999999999999999E-3</v>
      </c>
    </row>
    <row r="6704" spans="1:7" x14ac:dyDescent="0.2">
      <c r="A6704" t="s">
        <v>89</v>
      </c>
      <c r="B6704" t="s">
        <v>109</v>
      </c>
      <c r="C6704" t="s">
        <v>212</v>
      </c>
      <c r="D6704" t="s">
        <v>74</v>
      </c>
      <c r="E6704" t="s">
        <v>83</v>
      </c>
      <c r="F6704" s="55">
        <v>91</v>
      </c>
      <c r="G6704" s="63">
        <v>1E-4</v>
      </c>
    </row>
    <row r="6705" spans="1:7" x14ac:dyDescent="0.2">
      <c r="A6705" t="s">
        <v>89</v>
      </c>
      <c r="B6705" t="s">
        <v>109</v>
      </c>
      <c r="C6705" t="s">
        <v>212</v>
      </c>
      <c r="D6705" t="s">
        <v>74</v>
      </c>
      <c r="E6705" t="s">
        <v>84</v>
      </c>
      <c r="F6705" s="55">
        <v>104</v>
      </c>
      <c r="G6705" s="63">
        <v>4.0000000000000002E-4</v>
      </c>
    </row>
    <row r="6706" spans="1:7" x14ac:dyDescent="0.2">
      <c r="A6706" t="s">
        <v>89</v>
      </c>
      <c r="B6706" t="s">
        <v>109</v>
      </c>
      <c r="C6706" t="s">
        <v>212</v>
      </c>
      <c r="D6706" t="s">
        <v>74</v>
      </c>
      <c r="E6706" t="s">
        <v>85</v>
      </c>
      <c r="F6706" s="55">
        <v>78</v>
      </c>
      <c r="G6706" s="63">
        <v>2.0000000000000001E-4</v>
      </c>
    </row>
    <row r="6707" spans="1:7" x14ac:dyDescent="0.2">
      <c r="A6707" t="s">
        <v>89</v>
      </c>
      <c r="B6707" t="s">
        <v>109</v>
      </c>
      <c r="C6707" t="s">
        <v>212</v>
      </c>
      <c r="D6707" t="s">
        <v>74</v>
      </c>
      <c r="E6707" t="s">
        <v>86</v>
      </c>
      <c r="F6707" s="55">
        <v>99</v>
      </c>
      <c r="G6707" s="63">
        <v>4.0000000000000002E-4</v>
      </c>
    </row>
    <row r="6708" spans="1:7" x14ac:dyDescent="0.2">
      <c r="A6708" t="s">
        <v>89</v>
      </c>
      <c r="B6708" t="s">
        <v>109</v>
      </c>
      <c r="C6708" t="s">
        <v>212</v>
      </c>
      <c r="D6708" t="s">
        <v>74</v>
      </c>
      <c r="E6708" t="s">
        <v>87</v>
      </c>
      <c r="F6708" s="55">
        <v>83</v>
      </c>
      <c r="G6708" s="63">
        <v>4.0000000000000002E-4</v>
      </c>
    </row>
    <row r="6709" spans="1:7" x14ac:dyDescent="0.2">
      <c r="A6709" t="s">
        <v>89</v>
      </c>
      <c r="B6709" t="s">
        <v>109</v>
      </c>
      <c r="C6709" t="s">
        <v>212</v>
      </c>
      <c r="D6709" t="s">
        <v>74</v>
      </c>
      <c r="E6709" t="s">
        <v>88</v>
      </c>
      <c r="F6709" s="55">
        <v>101</v>
      </c>
      <c r="G6709" s="63">
        <v>4.0000000000000002E-4</v>
      </c>
    </row>
    <row r="6710" spans="1:7" x14ac:dyDescent="0.2">
      <c r="A6710" t="s">
        <v>71</v>
      </c>
      <c r="B6710" t="s">
        <v>7</v>
      </c>
      <c r="C6710" t="s">
        <v>212</v>
      </c>
      <c r="D6710" t="s">
        <v>74</v>
      </c>
      <c r="E6710" t="s">
        <v>75</v>
      </c>
      <c r="F6710" s="55">
        <v>102</v>
      </c>
      <c r="G6710" s="63">
        <v>0.30199999999999999</v>
      </c>
    </row>
    <row r="6711" spans="1:7" x14ac:dyDescent="0.2">
      <c r="A6711" t="s">
        <v>71</v>
      </c>
      <c r="B6711" t="s">
        <v>7</v>
      </c>
      <c r="C6711" t="s">
        <v>212</v>
      </c>
      <c r="D6711" t="s">
        <v>74</v>
      </c>
      <c r="E6711" t="s">
        <v>76</v>
      </c>
      <c r="F6711" s="55">
        <v>107</v>
      </c>
      <c r="G6711" s="63">
        <v>2.93E-2</v>
      </c>
    </row>
    <row r="6712" spans="1:7" x14ac:dyDescent="0.2">
      <c r="A6712" t="s">
        <v>71</v>
      </c>
      <c r="B6712" t="s">
        <v>7</v>
      </c>
      <c r="C6712" t="s">
        <v>212</v>
      </c>
      <c r="D6712" t="s">
        <v>74</v>
      </c>
      <c r="E6712" t="s">
        <v>77</v>
      </c>
      <c r="F6712" s="55">
        <v>108</v>
      </c>
      <c r="G6712" s="63">
        <v>9.8500000000000004E-2</v>
      </c>
    </row>
    <row r="6713" spans="1:7" x14ac:dyDescent="0.2">
      <c r="A6713" t="s">
        <v>71</v>
      </c>
      <c r="B6713" t="s">
        <v>7</v>
      </c>
      <c r="C6713" t="s">
        <v>212</v>
      </c>
      <c r="D6713" t="s">
        <v>74</v>
      </c>
      <c r="E6713" t="s">
        <v>78</v>
      </c>
      <c r="F6713" s="55">
        <v>106</v>
      </c>
      <c r="G6713" s="63">
        <v>9.4200000000000006E-2</v>
      </c>
    </row>
    <row r="6714" spans="1:7" x14ac:dyDescent="0.2">
      <c r="A6714" t="s">
        <v>71</v>
      </c>
      <c r="B6714" t="s">
        <v>7</v>
      </c>
      <c r="C6714" t="s">
        <v>212</v>
      </c>
      <c r="D6714" t="s">
        <v>74</v>
      </c>
      <c r="E6714" t="s">
        <v>79</v>
      </c>
      <c r="F6714" s="55">
        <v>101</v>
      </c>
      <c r="G6714" s="63">
        <v>0.21160000000000001</v>
      </c>
    </row>
    <row r="6715" spans="1:7" x14ac:dyDescent="0.2">
      <c r="A6715" t="s">
        <v>71</v>
      </c>
      <c r="B6715" t="s">
        <v>7</v>
      </c>
      <c r="C6715" t="s">
        <v>212</v>
      </c>
      <c r="D6715" t="s">
        <v>74</v>
      </c>
      <c r="E6715" t="s">
        <v>80</v>
      </c>
      <c r="F6715" s="55">
        <v>95</v>
      </c>
      <c r="G6715" s="63">
        <v>5.4100000000000002E-2</v>
      </c>
    </row>
    <row r="6716" spans="1:7" x14ac:dyDescent="0.2">
      <c r="A6716" t="s">
        <v>71</v>
      </c>
      <c r="B6716" t="s">
        <v>7</v>
      </c>
      <c r="C6716" t="s">
        <v>212</v>
      </c>
      <c r="D6716" t="s">
        <v>74</v>
      </c>
      <c r="E6716" t="s">
        <v>81</v>
      </c>
      <c r="F6716" s="55">
        <v>98</v>
      </c>
      <c r="G6716" s="63">
        <v>4.99E-2</v>
      </c>
    </row>
    <row r="6717" spans="1:7" x14ac:dyDescent="0.2">
      <c r="A6717" t="s">
        <v>71</v>
      </c>
      <c r="B6717" t="s">
        <v>7</v>
      </c>
      <c r="C6717" t="s">
        <v>212</v>
      </c>
      <c r="D6717" t="s">
        <v>74</v>
      </c>
      <c r="E6717" t="s">
        <v>82</v>
      </c>
      <c r="F6717" s="55">
        <v>103</v>
      </c>
      <c r="G6717" s="63">
        <v>0.15279999999999999</v>
      </c>
    </row>
    <row r="6718" spans="1:7" x14ac:dyDescent="0.2">
      <c r="A6718" t="s">
        <v>71</v>
      </c>
      <c r="B6718" t="s">
        <v>7</v>
      </c>
      <c r="C6718" t="s">
        <v>212</v>
      </c>
      <c r="D6718" t="s">
        <v>74</v>
      </c>
      <c r="E6718" t="s">
        <v>83</v>
      </c>
      <c r="F6718" s="55">
        <v>102</v>
      </c>
      <c r="G6718" s="63">
        <v>2.24E-2</v>
      </c>
    </row>
    <row r="6719" spans="1:7" x14ac:dyDescent="0.2">
      <c r="A6719" t="s">
        <v>71</v>
      </c>
      <c r="B6719" t="s">
        <v>7</v>
      </c>
      <c r="C6719" t="s">
        <v>212</v>
      </c>
      <c r="D6719" t="s">
        <v>74</v>
      </c>
      <c r="E6719" t="s">
        <v>84</v>
      </c>
      <c r="F6719" s="55">
        <v>107</v>
      </c>
      <c r="G6719" s="63">
        <v>7.6700000000000004E-2</v>
      </c>
    </row>
    <row r="6720" spans="1:7" x14ac:dyDescent="0.2">
      <c r="A6720" t="s">
        <v>71</v>
      </c>
      <c r="B6720" t="s">
        <v>7</v>
      </c>
      <c r="C6720" t="s">
        <v>212</v>
      </c>
      <c r="D6720" t="s">
        <v>74</v>
      </c>
      <c r="E6720" t="s">
        <v>85</v>
      </c>
      <c r="F6720" s="55">
        <v>101</v>
      </c>
      <c r="G6720" s="63">
        <v>7.7100000000000002E-2</v>
      </c>
    </row>
    <row r="6721" spans="1:7" x14ac:dyDescent="0.2">
      <c r="A6721" t="s">
        <v>71</v>
      </c>
      <c r="B6721" t="s">
        <v>7</v>
      </c>
      <c r="C6721" t="s">
        <v>212</v>
      </c>
      <c r="D6721" t="s">
        <v>74</v>
      </c>
      <c r="E6721" t="s">
        <v>86</v>
      </c>
      <c r="F6721" s="55">
        <v>98</v>
      </c>
      <c r="G6721" s="63">
        <v>8.3900000000000002E-2</v>
      </c>
    </row>
    <row r="6722" spans="1:7" x14ac:dyDescent="0.2">
      <c r="A6722" t="s">
        <v>71</v>
      </c>
      <c r="B6722" t="s">
        <v>7</v>
      </c>
      <c r="C6722" t="s">
        <v>212</v>
      </c>
      <c r="D6722" t="s">
        <v>74</v>
      </c>
      <c r="E6722" t="s">
        <v>87</v>
      </c>
      <c r="F6722" s="55">
        <v>100</v>
      </c>
      <c r="G6722" s="63">
        <v>9.7699999999999995E-2</v>
      </c>
    </row>
    <row r="6723" spans="1:7" x14ac:dyDescent="0.2">
      <c r="A6723" t="s">
        <v>71</v>
      </c>
      <c r="B6723" t="s">
        <v>7</v>
      </c>
      <c r="C6723" t="s">
        <v>212</v>
      </c>
      <c r="D6723" t="s">
        <v>74</v>
      </c>
      <c r="E6723" t="s">
        <v>88</v>
      </c>
      <c r="F6723" s="55">
        <v>103</v>
      </c>
      <c r="G6723" s="63">
        <v>4.8500000000000001E-2</v>
      </c>
    </row>
    <row r="6724" spans="1:7" x14ac:dyDescent="0.2">
      <c r="A6724" t="s">
        <v>71</v>
      </c>
      <c r="B6724" t="s">
        <v>110</v>
      </c>
      <c r="C6724" t="s">
        <v>212</v>
      </c>
      <c r="D6724" t="s">
        <v>74</v>
      </c>
      <c r="E6724" t="s">
        <v>75</v>
      </c>
      <c r="F6724" s="55">
        <v>105</v>
      </c>
      <c r="G6724" s="63">
        <v>0.1396</v>
      </c>
    </row>
    <row r="6725" spans="1:7" x14ac:dyDescent="0.2">
      <c r="A6725" t="s">
        <v>71</v>
      </c>
      <c r="B6725" t="s">
        <v>110</v>
      </c>
      <c r="C6725" t="s">
        <v>212</v>
      </c>
      <c r="D6725" t="s">
        <v>74</v>
      </c>
      <c r="E6725" t="s">
        <v>76</v>
      </c>
      <c r="F6725" s="55">
        <v>103</v>
      </c>
      <c r="G6725" s="63">
        <v>1.8599999999999998E-2</v>
      </c>
    </row>
    <row r="6726" spans="1:7" x14ac:dyDescent="0.2">
      <c r="A6726" t="s">
        <v>71</v>
      </c>
      <c r="B6726" t="s">
        <v>110</v>
      </c>
      <c r="C6726" t="s">
        <v>212</v>
      </c>
      <c r="D6726" t="s">
        <v>74</v>
      </c>
      <c r="E6726" t="s">
        <v>77</v>
      </c>
      <c r="F6726" s="55">
        <v>105</v>
      </c>
      <c r="G6726" s="63">
        <v>5.2400000000000002E-2</v>
      </c>
    </row>
    <row r="6727" spans="1:7" x14ac:dyDescent="0.2">
      <c r="A6727" t="s">
        <v>71</v>
      </c>
      <c r="B6727" t="s">
        <v>110</v>
      </c>
      <c r="C6727" t="s">
        <v>212</v>
      </c>
      <c r="D6727" t="s">
        <v>74</v>
      </c>
      <c r="E6727" t="s">
        <v>78</v>
      </c>
      <c r="F6727" s="55">
        <v>106</v>
      </c>
      <c r="G6727" s="63">
        <v>4.48E-2</v>
      </c>
    </row>
    <row r="6728" spans="1:7" x14ac:dyDescent="0.2">
      <c r="A6728" t="s">
        <v>71</v>
      </c>
      <c r="B6728" t="s">
        <v>110</v>
      </c>
      <c r="C6728" t="s">
        <v>212</v>
      </c>
      <c r="D6728" t="s">
        <v>74</v>
      </c>
      <c r="E6728" t="s">
        <v>79</v>
      </c>
      <c r="F6728" s="55">
        <v>104</v>
      </c>
      <c r="G6728" s="63">
        <v>8.7099999999999997E-2</v>
      </c>
    </row>
    <row r="6729" spans="1:7" x14ac:dyDescent="0.2">
      <c r="A6729" t="s">
        <v>71</v>
      </c>
      <c r="B6729" t="s">
        <v>110</v>
      </c>
      <c r="C6729" t="s">
        <v>212</v>
      </c>
      <c r="D6729" t="s">
        <v>74</v>
      </c>
      <c r="E6729" t="s">
        <v>80</v>
      </c>
      <c r="F6729" s="55">
        <v>106</v>
      </c>
      <c r="G6729" s="63">
        <v>2.5399999999999999E-2</v>
      </c>
    </row>
    <row r="6730" spans="1:7" x14ac:dyDescent="0.2">
      <c r="A6730" t="s">
        <v>71</v>
      </c>
      <c r="B6730" t="s">
        <v>110</v>
      </c>
      <c r="C6730" t="s">
        <v>212</v>
      </c>
      <c r="D6730" t="s">
        <v>74</v>
      </c>
      <c r="E6730" t="s">
        <v>81</v>
      </c>
      <c r="F6730" s="55">
        <v>103</v>
      </c>
      <c r="G6730" s="63">
        <v>2.46E-2</v>
      </c>
    </row>
    <row r="6731" spans="1:7" x14ac:dyDescent="0.2">
      <c r="A6731" t="s">
        <v>71</v>
      </c>
      <c r="B6731" t="s">
        <v>110</v>
      </c>
      <c r="C6731" t="s">
        <v>212</v>
      </c>
      <c r="D6731" t="s">
        <v>74</v>
      </c>
      <c r="E6731" t="s">
        <v>82</v>
      </c>
      <c r="F6731" s="55">
        <v>109</v>
      </c>
      <c r="G6731" s="63">
        <v>6.9599999999999995E-2</v>
      </c>
    </row>
    <row r="6732" spans="1:7" x14ac:dyDescent="0.2">
      <c r="A6732" t="s">
        <v>71</v>
      </c>
      <c r="B6732" t="s">
        <v>110</v>
      </c>
      <c r="C6732" t="s">
        <v>212</v>
      </c>
      <c r="D6732" t="s">
        <v>74</v>
      </c>
      <c r="E6732" t="s">
        <v>83</v>
      </c>
      <c r="F6732" s="55">
        <v>96</v>
      </c>
      <c r="G6732" s="63">
        <v>1.12E-2</v>
      </c>
    </row>
    <row r="6733" spans="1:7" x14ac:dyDescent="0.2">
      <c r="A6733" t="s">
        <v>71</v>
      </c>
      <c r="B6733" t="s">
        <v>110</v>
      </c>
      <c r="C6733" t="s">
        <v>212</v>
      </c>
      <c r="D6733" t="s">
        <v>74</v>
      </c>
      <c r="E6733" t="s">
        <v>84</v>
      </c>
      <c r="F6733" s="55">
        <v>106</v>
      </c>
      <c r="G6733" s="63">
        <v>3.4700000000000002E-2</v>
      </c>
    </row>
    <row r="6734" spans="1:7" x14ac:dyDescent="0.2">
      <c r="A6734" t="s">
        <v>71</v>
      </c>
      <c r="B6734" t="s">
        <v>110</v>
      </c>
      <c r="C6734" t="s">
        <v>212</v>
      </c>
      <c r="D6734" t="s">
        <v>74</v>
      </c>
      <c r="E6734" t="s">
        <v>85</v>
      </c>
      <c r="F6734" s="55">
        <v>104</v>
      </c>
      <c r="G6734" s="63">
        <v>2.69E-2</v>
      </c>
    </row>
    <row r="6735" spans="1:7" x14ac:dyDescent="0.2">
      <c r="A6735" t="s">
        <v>71</v>
      </c>
      <c r="B6735" t="s">
        <v>110</v>
      </c>
      <c r="C6735" t="s">
        <v>212</v>
      </c>
      <c r="D6735" t="s">
        <v>74</v>
      </c>
      <c r="E6735" t="s">
        <v>86</v>
      </c>
      <c r="F6735" s="55">
        <v>105</v>
      </c>
      <c r="G6735" s="63">
        <v>3.4799999999999998E-2</v>
      </c>
    </row>
    <row r="6736" spans="1:7" x14ac:dyDescent="0.2">
      <c r="A6736" t="s">
        <v>71</v>
      </c>
      <c r="B6736" t="s">
        <v>110</v>
      </c>
      <c r="C6736" t="s">
        <v>212</v>
      </c>
      <c r="D6736" t="s">
        <v>74</v>
      </c>
      <c r="E6736" t="s">
        <v>87</v>
      </c>
      <c r="F6736" s="55">
        <v>105</v>
      </c>
      <c r="G6736" s="63">
        <v>4.1099999999999998E-2</v>
      </c>
    </row>
    <row r="6737" spans="1:7" x14ac:dyDescent="0.2">
      <c r="A6737" t="s">
        <v>71</v>
      </c>
      <c r="B6737" t="s">
        <v>110</v>
      </c>
      <c r="C6737" t="s">
        <v>212</v>
      </c>
      <c r="D6737" t="s">
        <v>74</v>
      </c>
      <c r="E6737" t="s">
        <v>88</v>
      </c>
      <c r="F6737" s="55">
        <v>103</v>
      </c>
      <c r="G6737" s="63">
        <v>2.9100000000000001E-2</v>
      </c>
    </row>
    <row r="6738" spans="1:7" x14ac:dyDescent="0.2">
      <c r="A6738" t="s">
        <v>71</v>
      </c>
      <c r="B6738" t="s">
        <v>111</v>
      </c>
      <c r="C6738" t="s">
        <v>212</v>
      </c>
      <c r="D6738" t="s">
        <v>74</v>
      </c>
      <c r="E6738" t="s">
        <v>75</v>
      </c>
      <c r="F6738" s="55">
        <v>111</v>
      </c>
      <c r="G6738" s="63">
        <v>0.1154</v>
      </c>
    </row>
    <row r="6739" spans="1:7" x14ac:dyDescent="0.2">
      <c r="A6739" t="s">
        <v>71</v>
      </c>
      <c r="B6739" t="s">
        <v>111</v>
      </c>
      <c r="C6739" t="s">
        <v>212</v>
      </c>
      <c r="D6739" t="s">
        <v>74</v>
      </c>
      <c r="E6739" t="s">
        <v>76</v>
      </c>
      <c r="F6739" s="55">
        <v>110</v>
      </c>
      <c r="G6739" s="63">
        <v>9.2999999999999992E-3</v>
      </c>
    </row>
    <row r="6740" spans="1:7" x14ac:dyDescent="0.2">
      <c r="A6740" t="s">
        <v>71</v>
      </c>
      <c r="B6740" t="s">
        <v>111</v>
      </c>
      <c r="C6740" t="s">
        <v>212</v>
      </c>
      <c r="D6740" t="s">
        <v>74</v>
      </c>
      <c r="E6740" t="s">
        <v>77</v>
      </c>
      <c r="F6740" s="55">
        <v>113</v>
      </c>
      <c r="G6740" s="63">
        <v>3.39E-2</v>
      </c>
    </row>
    <row r="6741" spans="1:7" x14ac:dyDescent="0.2">
      <c r="A6741" t="s">
        <v>71</v>
      </c>
      <c r="B6741" t="s">
        <v>111</v>
      </c>
      <c r="C6741" t="s">
        <v>212</v>
      </c>
      <c r="D6741" t="s">
        <v>74</v>
      </c>
      <c r="E6741" t="s">
        <v>78</v>
      </c>
      <c r="F6741" s="55">
        <v>109</v>
      </c>
      <c r="G6741" s="63">
        <v>2.5000000000000001E-2</v>
      </c>
    </row>
    <row r="6742" spans="1:7" x14ac:dyDescent="0.2">
      <c r="A6742" t="s">
        <v>71</v>
      </c>
      <c r="B6742" t="s">
        <v>111</v>
      </c>
      <c r="C6742" t="s">
        <v>212</v>
      </c>
      <c r="D6742" t="s">
        <v>74</v>
      </c>
      <c r="E6742" t="s">
        <v>79</v>
      </c>
      <c r="F6742" s="55">
        <v>112</v>
      </c>
      <c r="G6742" s="63">
        <v>6.7400000000000002E-2</v>
      </c>
    </row>
    <row r="6743" spans="1:7" x14ac:dyDescent="0.2">
      <c r="A6743" t="s">
        <v>71</v>
      </c>
      <c r="B6743" t="s">
        <v>111</v>
      </c>
      <c r="C6743" t="s">
        <v>212</v>
      </c>
      <c r="D6743" t="s">
        <v>74</v>
      </c>
      <c r="E6743" t="s">
        <v>80</v>
      </c>
      <c r="F6743" s="55">
        <v>115</v>
      </c>
      <c r="G6743" s="63">
        <v>2.0500000000000001E-2</v>
      </c>
    </row>
    <row r="6744" spans="1:7" x14ac:dyDescent="0.2">
      <c r="A6744" t="s">
        <v>71</v>
      </c>
      <c r="B6744" t="s">
        <v>111</v>
      </c>
      <c r="C6744" t="s">
        <v>212</v>
      </c>
      <c r="D6744" t="s">
        <v>74</v>
      </c>
      <c r="E6744" t="s">
        <v>81</v>
      </c>
      <c r="F6744" s="55">
        <v>111</v>
      </c>
      <c r="G6744" s="63">
        <v>2.1999999999999999E-2</v>
      </c>
    </row>
    <row r="6745" spans="1:7" x14ac:dyDescent="0.2">
      <c r="A6745" t="s">
        <v>71</v>
      </c>
      <c r="B6745" t="s">
        <v>111</v>
      </c>
      <c r="C6745" t="s">
        <v>212</v>
      </c>
      <c r="D6745" t="s">
        <v>74</v>
      </c>
      <c r="E6745" t="s">
        <v>82</v>
      </c>
      <c r="F6745" s="55">
        <v>108</v>
      </c>
      <c r="G6745" s="63">
        <v>5.3400000000000003E-2</v>
      </c>
    </row>
    <row r="6746" spans="1:7" x14ac:dyDescent="0.2">
      <c r="A6746" t="s">
        <v>71</v>
      </c>
      <c r="B6746" t="s">
        <v>111</v>
      </c>
      <c r="C6746" t="s">
        <v>212</v>
      </c>
      <c r="D6746" t="s">
        <v>74</v>
      </c>
      <c r="E6746" t="s">
        <v>83</v>
      </c>
      <c r="F6746" s="55">
        <v>103</v>
      </c>
      <c r="G6746" s="63">
        <v>7.9000000000000008E-3</v>
      </c>
    </row>
    <row r="6747" spans="1:7" x14ac:dyDescent="0.2">
      <c r="A6747" t="s">
        <v>71</v>
      </c>
      <c r="B6747" t="s">
        <v>111</v>
      </c>
      <c r="C6747" t="s">
        <v>212</v>
      </c>
      <c r="D6747" t="s">
        <v>74</v>
      </c>
      <c r="E6747" t="s">
        <v>84</v>
      </c>
      <c r="F6747" s="55">
        <v>109</v>
      </c>
      <c r="G6747" s="63">
        <v>2.06E-2</v>
      </c>
    </row>
    <row r="6748" spans="1:7" x14ac:dyDescent="0.2">
      <c r="A6748" t="s">
        <v>71</v>
      </c>
      <c r="B6748" t="s">
        <v>111</v>
      </c>
      <c r="C6748" t="s">
        <v>212</v>
      </c>
      <c r="D6748" t="s">
        <v>74</v>
      </c>
      <c r="E6748" t="s">
        <v>85</v>
      </c>
      <c r="F6748" s="55">
        <v>116</v>
      </c>
      <c r="G6748" s="63">
        <v>2.1299999999999999E-2</v>
      </c>
    </row>
    <row r="6749" spans="1:7" x14ac:dyDescent="0.2">
      <c r="A6749" t="s">
        <v>71</v>
      </c>
      <c r="B6749" t="s">
        <v>111</v>
      </c>
      <c r="C6749" t="s">
        <v>212</v>
      </c>
      <c r="D6749" t="s">
        <v>74</v>
      </c>
      <c r="E6749" t="s">
        <v>86</v>
      </c>
      <c r="F6749" s="55">
        <v>112</v>
      </c>
      <c r="G6749" s="63">
        <v>2.52E-2</v>
      </c>
    </row>
    <row r="6750" spans="1:7" x14ac:dyDescent="0.2">
      <c r="A6750" t="s">
        <v>71</v>
      </c>
      <c r="B6750" t="s">
        <v>111</v>
      </c>
      <c r="C6750" t="s">
        <v>212</v>
      </c>
      <c r="D6750" t="s">
        <v>74</v>
      </c>
      <c r="E6750" t="s">
        <v>87</v>
      </c>
      <c r="F6750" s="55">
        <v>112</v>
      </c>
      <c r="G6750" s="63">
        <v>2.8899999999999999E-2</v>
      </c>
    </row>
    <row r="6751" spans="1:7" x14ac:dyDescent="0.2">
      <c r="A6751" t="s">
        <v>71</v>
      </c>
      <c r="B6751" t="s">
        <v>111</v>
      </c>
      <c r="C6751" t="s">
        <v>212</v>
      </c>
      <c r="D6751" t="s">
        <v>74</v>
      </c>
      <c r="E6751" t="s">
        <v>88</v>
      </c>
      <c r="F6751" s="55">
        <v>110</v>
      </c>
      <c r="G6751" s="63">
        <v>1.8800000000000001E-2</v>
      </c>
    </row>
    <row r="6752" spans="1:7" x14ac:dyDescent="0.2">
      <c r="A6752" t="s">
        <v>89</v>
      </c>
      <c r="B6752" t="s">
        <v>112</v>
      </c>
      <c r="C6752" t="s">
        <v>212</v>
      </c>
      <c r="D6752" t="s">
        <v>74</v>
      </c>
      <c r="E6752" t="s">
        <v>75</v>
      </c>
      <c r="F6752" s="55">
        <v>103</v>
      </c>
      <c r="G6752" s="63">
        <v>9.3799999999999994E-2</v>
      </c>
    </row>
    <row r="6753" spans="1:7" x14ac:dyDescent="0.2">
      <c r="A6753" t="s">
        <v>89</v>
      </c>
      <c r="B6753" t="s">
        <v>112</v>
      </c>
      <c r="C6753" t="s">
        <v>212</v>
      </c>
      <c r="D6753" t="s">
        <v>74</v>
      </c>
      <c r="E6753" t="s">
        <v>76</v>
      </c>
      <c r="F6753" s="55">
        <v>100</v>
      </c>
      <c r="G6753" s="63">
        <v>6.7999999999999996E-3</v>
      </c>
    </row>
    <row r="6754" spans="1:7" x14ac:dyDescent="0.2">
      <c r="A6754" t="s">
        <v>89</v>
      </c>
      <c r="B6754" t="s">
        <v>112</v>
      </c>
      <c r="C6754" t="s">
        <v>212</v>
      </c>
      <c r="D6754" t="s">
        <v>74</v>
      </c>
      <c r="E6754" t="s">
        <v>77</v>
      </c>
      <c r="F6754" s="55">
        <v>103</v>
      </c>
      <c r="G6754" s="63">
        <v>2.47E-2</v>
      </c>
    </row>
    <row r="6755" spans="1:7" x14ac:dyDescent="0.2">
      <c r="A6755" t="s">
        <v>89</v>
      </c>
      <c r="B6755" t="s">
        <v>112</v>
      </c>
      <c r="C6755" t="s">
        <v>212</v>
      </c>
      <c r="D6755" t="s">
        <v>74</v>
      </c>
      <c r="E6755" t="s">
        <v>78</v>
      </c>
      <c r="F6755" s="55">
        <v>97</v>
      </c>
      <c r="G6755" s="63">
        <v>1.7500000000000002E-2</v>
      </c>
    </row>
    <row r="6756" spans="1:7" x14ac:dyDescent="0.2">
      <c r="A6756" t="s">
        <v>89</v>
      </c>
      <c r="B6756" t="s">
        <v>112</v>
      </c>
      <c r="C6756" t="s">
        <v>212</v>
      </c>
      <c r="D6756" t="s">
        <v>74</v>
      </c>
      <c r="E6756" t="s">
        <v>79</v>
      </c>
      <c r="F6756" s="55">
        <v>102</v>
      </c>
      <c r="G6756" s="63">
        <v>4.9700000000000001E-2</v>
      </c>
    </row>
    <row r="6757" spans="1:7" x14ac:dyDescent="0.2">
      <c r="A6757" t="s">
        <v>89</v>
      </c>
      <c r="B6757" t="s">
        <v>112</v>
      </c>
      <c r="C6757" t="s">
        <v>212</v>
      </c>
      <c r="D6757" t="s">
        <v>74</v>
      </c>
      <c r="E6757" t="s">
        <v>80</v>
      </c>
      <c r="F6757" s="55">
        <v>103</v>
      </c>
      <c r="G6757" s="63">
        <v>1.34E-2</v>
      </c>
    </row>
    <row r="6758" spans="1:7" x14ac:dyDescent="0.2">
      <c r="A6758" t="s">
        <v>89</v>
      </c>
      <c r="B6758" t="s">
        <v>112</v>
      </c>
      <c r="C6758" t="s">
        <v>212</v>
      </c>
      <c r="D6758" t="s">
        <v>74</v>
      </c>
      <c r="E6758" t="s">
        <v>81</v>
      </c>
      <c r="F6758" s="55">
        <v>103</v>
      </c>
      <c r="G6758" s="63">
        <v>1.6199999999999999E-2</v>
      </c>
    </row>
    <row r="6759" spans="1:7" x14ac:dyDescent="0.2">
      <c r="A6759" t="s">
        <v>89</v>
      </c>
      <c r="B6759" t="s">
        <v>112</v>
      </c>
      <c r="C6759" t="s">
        <v>212</v>
      </c>
      <c r="D6759" t="s">
        <v>74</v>
      </c>
      <c r="E6759" t="s">
        <v>82</v>
      </c>
      <c r="F6759" s="55">
        <v>105</v>
      </c>
      <c r="G6759" s="63">
        <v>4.6199999999999998E-2</v>
      </c>
    </row>
    <row r="6760" spans="1:7" x14ac:dyDescent="0.2">
      <c r="A6760" t="s">
        <v>89</v>
      </c>
      <c r="B6760" t="s">
        <v>112</v>
      </c>
      <c r="C6760" t="s">
        <v>212</v>
      </c>
      <c r="D6760" t="s">
        <v>74</v>
      </c>
      <c r="E6760" t="s">
        <v>83</v>
      </c>
      <c r="F6760" s="55">
        <v>104</v>
      </c>
      <c r="G6760" s="63">
        <v>6.6E-3</v>
      </c>
    </row>
    <row r="6761" spans="1:7" x14ac:dyDescent="0.2">
      <c r="A6761" t="s">
        <v>89</v>
      </c>
      <c r="B6761" t="s">
        <v>112</v>
      </c>
      <c r="C6761" t="s">
        <v>212</v>
      </c>
      <c r="D6761" t="s">
        <v>74</v>
      </c>
      <c r="E6761" t="s">
        <v>84</v>
      </c>
      <c r="F6761" s="55">
        <v>101</v>
      </c>
      <c r="G6761" s="63">
        <v>1.2800000000000001E-2</v>
      </c>
    </row>
    <row r="6762" spans="1:7" x14ac:dyDescent="0.2">
      <c r="A6762" t="s">
        <v>89</v>
      </c>
      <c r="B6762" t="s">
        <v>112</v>
      </c>
      <c r="C6762" t="s">
        <v>212</v>
      </c>
      <c r="D6762" t="s">
        <v>74</v>
      </c>
      <c r="E6762" t="s">
        <v>85</v>
      </c>
      <c r="F6762" s="55">
        <v>102</v>
      </c>
      <c r="G6762" s="63">
        <v>1.21E-2</v>
      </c>
    </row>
    <row r="6763" spans="1:7" x14ac:dyDescent="0.2">
      <c r="A6763" t="s">
        <v>89</v>
      </c>
      <c r="B6763" t="s">
        <v>112</v>
      </c>
      <c r="C6763" t="s">
        <v>212</v>
      </c>
      <c r="D6763" t="s">
        <v>74</v>
      </c>
      <c r="E6763" t="s">
        <v>86</v>
      </c>
      <c r="F6763" s="55">
        <v>98</v>
      </c>
      <c r="G6763" s="63">
        <v>1.5800000000000002E-2</v>
      </c>
    </row>
    <row r="6764" spans="1:7" x14ac:dyDescent="0.2">
      <c r="A6764" t="s">
        <v>89</v>
      </c>
      <c r="B6764" t="s">
        <v>112</v>
      </c>
      <c r="C6764" t="s">
        <v>212</v>
      </c>
      <c r="D6764" t="s">
        <v>74</v>
      </c>
      <c r="E6764" t="s">
        <v>87</v>
      </c>
      <c r="F6764" s="55">
        <v>109</v>
      </c>
      <c r="G6764" s="63">
        <v>1.9199999999999998E-2</v>
      </c>
    </row>
    <row r="6765" spans="1:7" x14ac:dyDescent="0.2">
      <c r="A6765" t="s">
        <v>89</v>
      </c>
      <c r="B6765" t="s">
        <v>112</v>
      </c>
      <c r="C6765" t="s">
        <v>212</v>
      </c>
      <c r="D6765" t="s">
        <v>74</v>
      </c>
      <c r="E6765" t="s">
        <v>88</v>
      </c>
      <c r="F6765" s="55">
        <v>100</v>
      </c>
      <c r="G6765" s="63">
        <v>1.4E-2</v>
      </c>
    </row>
    <row r="6766" spans="1:7" x14ac:dyDescent="0.2">
      <c r="A6766" t="s">
        <v>89</v>
      </c>
      <c r="B6766" t="s">
        <v>113</v>
      </c>
      <c r="C6766" t="s">
        <v>212</v>
      </c>
      <c r="D6766" t="s">
        <v>91</v>
      </c>
      <c r="E6766" t="s">
        <v>75</v>
      </c>
      <c r="F6766" s="55">
        <v>88</v>
      </c>
      <c r="G6766" s="63">
        <v>0.55020000000000002</v>
      </c>
    </row>
    <row r="6767" spans="1:7" x14ac:dyDescent="0.2">
      <c r="A6767" t="s">
        <v>89</v>
      </c>
      <c r="B6767" t="s">
        <v>113</v>
      </c>
      <c r="C6767" t="s">
        <v>212</v>
      </c>
      <c r="D6767" t="s">
        <v>91</v>
      </c>
      <c r="E6767" t="s">
        <v>76</v>
      </c>
      <c r="F6767" s="55">
        <v>74</v>
      </c>
      <c r="G6767" s="63">
        <v>0.1205</v>
      </c>
    </row>
    <row r="6768" spans="1:7" x14ac:dyDescent="0.2">
      <c r="A6768" t="s">
        <v>89</v>
      </c>
      <c r="B6768" t="s">
        <v>113</v>
      </c>
      <c r="C6768" t="s">
        <v>212</v>
      </c>
      <c r="D6768" t="s">
        <v>91</v>
      </c>
      <c r="E6768" t="s">
        <v>77</v>
      </c>
      <c r="F6768" s="55">
        <v>85</v>
      </c>
      <c r="G6768" s="63">
        <v>0.23069999999999999</v>
      </c>
    </row>
    <row r="6769" spans="1:7" x14ac:dyDescent="0.2">
      <c r="A6769" t="s">
        <v>89</v>
      </c>
      <c r="B6769" t="s">
        <v>113</v>
      </c>
      <c r="C6769" t="s">
        <v>212</v>
      </c>
      <c r="D6769" t="s">
        <v>91</v>
      </c>
      <c r="E6769" t="s">
        <v>78</v>
      </c>
      <c r="F6769" s="55">
        <v>82</v>
      </c>
      <c r="G6769" s="63">
        <v>0.1794</v>
      </c>
    </row>
    <row r="6770" spans="1:7" x14ac:dyDescent="0.2">
      <c r="A6770" t="s">
        <v>89</v>
      </c>
      <c r="B6770" t="s">
        <v>113</v>
      </c>
      <c r="C6770" t="s">
        <v>212</v>
      </c>
      <c r="D6770" t="s">
        <v>91</v>
      </c>
      <c r="E6770" t="s">
        <v>79</v>
      </c>
      <c r="F6770" s="55">
        <v>93</v>
      </c>
      <c r="G6770" s="63">
        <v>0.4103</v>
      </c>
    </row>
    <row r="6771" spans="1:7" x14ac:dyDescent="0.2">
      <c r="A6771" t="s">
        <v>89</v>
      </c>
      <c r="B6771" t="s">
        <v>113</v>
      </c>
      <c r="C6771" t="s">
        <v>212</v>
      </c>
      <c r="D6771" t="s">
        <v>91</v>
      </c>
      <c r="E6771" t="s">
        <v>80</v>
      </c>
      <c r="F6771" s="55">
        <v>97</v>
      </c>
      <c r="G6771" s="63">
        <v>0.12809999999999999</v>
      </c>
    </row>
    <row r="6772" spans="1:7" x14ac:dyDescent="0.2">
      <c r="A6772" t="s">
        <v>89</v>
      </c>
      <c r="B6772" t="s">
        <v>113</v>
      </c>
      <c r="C6772" t="s">
        <v>212</v>
      </c>
      <c r="D6772" t="s">
        <v>91</v>
      </c>
      <c r="E6772" t="s">
        <v>81</v>
      </c>
      <c r="F6772" s="55">
        <v>89</v>
      </c>
      <c r="G6772" s="63">
        <v>0.13519999999999999</v>
      </c>
    </row>
    <row r="6773" spans="1:7" x14ac:dyDescent="0.2">
      <c r="A6773" t="s">
        <v>89</v>
      </c>
      <c r="B6773" t="s">
        <v>113</v>
      </c>
      <c r="C6773" t="s">
        <v>212</v>
      </c>
      <c r="D6773" t="s">
        <v>91</v>
      </c>
      <c r="E6773" t="s">
        <v>82</v>
      </c>
      <c r="F6773" s="55">
        <v>93</v>
      </c>
      <c r="G6773" s="63">
        <v>0.28170000000000001</v>
      </c>
    </row>
    <row r="6774" spans="1:7" x14ac:dyDescent="0.2">
      <c r="A6774" t="s">
        <v>89</v>
      </c>
      <c r="B6774" t="s">
        <v>113</v>
      </c>
      <c r="C6774" t="s">
        <v>212</v>
      </c>
      <c r="D6774" t="s">
        <v>91</v>
      </c>
      <c r="E6774" t="s">
        <v>83</v>
      </c>
      <c r="F6774" s="55">
        <v>75</v>
      </c>
      <c r="G6774" s="63">
        <v>8.3900000000000002E-2</v>
      </c>
    </row>
    <row r="6775" spans="1:7" x14ac:dyDescent="0.2">
      <c r="A6775" t="s">
        <v>89</v>
      </c>
      <c r="B6775" t="s">
        <v>113</v>
      </c>
      <c r="C6775" t="s">
        <v>212</v>
      </c>
      <c r="D6775" t="s">
        <v>91</v>
      </c>
      <c r="E6775" t="s">
        <v>84</v>
      </c>
      <c r="F6775" s="55">
        <v>83</v>
      </c>
      <c r="G6775" s="63">
        <v>0.14269999999999999</v>
      </c>
    </row>
    <row r="6776" spans="1:7" x14ac:dyDescent="0.2">
      <c r="A6776" t="s">
        <v>89</v>
      </c>
      <c r="B6776" t="s">
        <v>113</v>
      </c>
      <c r="C6776" t="s">
        <v>212</v>
      </c>
      <c r="D6776" t="s">
        <v>91</v>
      </c>
      <c r="E6776" t="s">
        <v>85</v>
      </c>
      <c r="F6776" s="55">
        <v>95</v>
      </c>
      <c r="G6776" s="63">
        <v>0.1573</v>
      </c>
    </row>
    <row r="6777" spans="1:7" x14ac:dyDescent="0.2">
      <c r="A6777" t="s">
        <v>89</v>
      </c>
      <c r="B6777" t="s">
        <v>113</v>
      </c>
      <c r="C6777" t="s">
        <v>212</v>
      </c>
      <c r="D6777" t="s">
        <v>91</v>
      </c>
      <c r="E6777" t="s">
        <v>86</v>
      </c>
      <c r="F6777" s="55">
        <v>91</v>
      </c>
      <c r="G6777" s="63">
        <v>0.2185</v>
      </c>
    </row>
    <row r="6778" spans="1:7" x14ac:dyDescent="0.2">
      <c r="A6778" t="s">
        <v>89</v>
      </c>
      <c r="B6778" t="s">
        <v>113</v>
      </c>
      <c r="C6778" t="s">
        <v>212</v>
      </c>
      <c r="D6778" t="s">
        <v>91</v>
      </c>
      <c r="E6778" t="s">
        <v>87</v>
      </c>
      <c r="F6778" s="55">
        <v>91</v>
      </c>
      <c r="G6778" s="63">
        <v>0.19689999999999999</v>
      </c>
    </row>
    <row r="6779" spans="1:7" x14ac:dyDescent="0.2">
      <c r="A6779" t="s">
        <v>89</v>
      </c>
      <c r="B6779" t="s">
        <v>113</v>
      </c>
      <c r="C6779" t="s">
        <v>212</v>
      </c>
      <c r="D6779" t="s">
        <v>91</v>
      </c>
      <c r="E6779" t="s">
        <v>88</v>
      </c>
      <c r="F6779" s="55">
        <v>76</v>
      </c>
      <c r="G6779" s="63">
        <v>0.16830000000000001</v>
      </c>
    </row>
    <row r="6780" spans="1:7" x14ac:dyDescent="0.2">
      <c r="A6780" t="s">
        <v>71</v>
      </c>
      <c r="B6780" t="s">
        <v>115</v>
      </c>
      <c r="C6780" t="s">
        <v>212</v>
      </c>
      <c r="D6780" t="s">
        <v>74</v>
      </c>
      <c r="E6780" t="s">
        <v>75</v>
      </c>
      <c r="F6780" s="55">
        <v>114</v>
      </c>
      <c r="G6780" s="63">
        <v>0.13869999999999999</v>
      </c>
    </row>
    <row r="6781" spans="1:7" x14ac:dyDescent="0.2">
      <c r="A6781" t="s">
        <v>71</v>
      </c>
      <c r="B6781" t="s">
        <v>115</v>
      </c>
      <c r="C6781" t="s">
        <v>212</v>
      </c>
      <c r="D6781" t="s">
        <v>74</v>
      </c>
      <c r="E6781" t="s">
        <v>76</v>
      </c>
      <c r="F6781" s="55">
        <v>115</v>
      </c>
      <c r="G6781" s="63">
        <v>1.83E-2</v>
      </c>
    </row>
    <row r="6782" spans="1:7" x14ac:dyDescent="0.2">
      <c r="A6782" t="s">
        <v>71</v>
      </c>
      <c r="B6782" t="s">
        <v>115</v>
      </c>
      <c r="C6782" t="s">
        <v>212</v>
      </c>
      <c r="D6782" t="s">
        <v>74</v>
      </c>
      <c r="E6782" t="s">
        <v>77</v>
      </c>
      <c r="F6782" s="55">
        <v>120</v>
      </c>
      <c r="G6782" s="63">
        <v>4.8000000000000001E-2</v>
      </c>
    </row>
    <row r="6783" spans="1:7" x14ac:dyDescent="0.2">
      <c r="A6783" t="s">
        <v>71</v>
      </c>
      <c r="B6783" t="s">
        <v>115</v>
      </c>
      <c r="C6783" t="s">
        <v>212</v>
      </c>
      <c r="D6783" t="s">
        <v>74</v>
      </c>
      <c r="E6783" t="s">
        <v>78</v>
      </c>
      <c r="F6783" s="55">
        <v>115</v>
      </c>
      <c r="G6783" s="63">
        <v>4.2700000000000002E-2</v>
      </c>
    </row>
    <row r="6784" spans="1:7" x14ac:dyDescent="0.2">
      <c r="A6784" t="s">
        <v>71</v>
      </c>
      <c r="B6784" t="s">
        <v>115</v>
      </c>
      <c r="C6784" t="s">
        <v>212</v>
      </c>
      <c r="D6784" t="s">
        <v>74</v>
      </c>
      <c r="E6784" t="s">
        <v>79</v>
      </c>
      <c r="F6784" s="55">
        <v>113</v>
      </c>
      <c r="G6784" s="63">
        <v>8.3299999999999999E-2</v>
      </c>
    </row>
    <row r="6785" spans="1:7" x14ac:dyDescent="0.2">
      <c r="A6785" t="s">
        <v>71</v>
      </c>
      <c r="B6785" t="s">
        <v>115</v>
      </c>
      <c r="C6785" t="s">
        <v>212</v>
      </c>
      <c r="D6785" t="s">
        <v>74</v>
      </c>
      <c r="E6785" t="s">
        <v>80</v>
      </c>
      <c r="F6785" s="55">
        <v>113</v>
      </c>
      <c r="G6785" s="63">
        <v>2.2700000000000001E-2</v>
      </c>
    </row>
    <row r="6786" spans="1:7" x14ac:dyDescent="0.2">
      <c r="A6786" t="s">
        <v>71</v>
      </c>
      <c r="B6786" t="s">
        <v>115</v>
      </c>
      <c r="C6786" t="s">
        <v>212</v>
      </c>
      <c r="D6786" t="s">
        <v>74</v>
      </c>
      <c r="E6786" t="s">
        <v>81</v>
      </c>
      <c r="F6786" s="55">
        <v>109</v>
      </c>
      <c r="G6786" s="63">
        <v>2.7E-2</v>
      </c>
    </row>
    <row r="6787" spans="1:7" x14ac:dyDescent="0.2">
      <c r="A6787" t="s">
        <v>71</v>
      </c>
      <c r="B6787" t="s">
        <v>115</v>
      </c>
      <c r="C6787" t="s">
        <v>212</v>
      </c>
      <c r="D6787" t="s">
        <v>74</v>
      </c>
      <c r="E6787" t="s">
        <v>82</v>
      </c>
      <c r="F6787" s="55">
        <v>114</v>
      </c>
      <c r="G6787" s="63">
        <v>6.7299999999999999E-2</v>
      </c>
    </row>
    <row r="6788" spans="1:7" x14ac:dyDescent="0.2">
      <c r="A6788" t="s">
        <v>71</v>
      </c>
      <c r="B6788" t="s">
        <v>115</v>
      </c>
      <c r="C6788" t="s">
        <v>212</v>
      </c>
      <c r="D6788" t="s">
        <v>74</v>
      </c>
      <c r="E6788" t="s">
        <v>83</v>
      </c>
      <c r="F6788" s="55">
        <v>115</v>
      </c>
      <c r="G6788" s="63">
        <v>1.41E-2</v>
      </c>
    </row>
    <row r="6789" spans="1:7" x14ac:dyDescent="0.2">
      <c r="A6789" t="s">
        <v>71</v>
      </c>
      <c r="B6789" t="s">
        <v>115</v>
      </c>
      <c r="C6789" t="s">
        <v>212</v>
      </c>
      <c r="D6789" t="s">
        <v>74</v>
      </c>
      <c r="E6789" t="s">
        <v>84</v>
      </c>
      <c r="F6789" s="55">
        <v>114</v>
      </c>
      <c r="G6789" s="63">
        <v>3.32E-2</v>
      </c>
    </row>
    <row r="6790" spans="1:7" x14ac:dyDescent="0.2">
      <c r="A6790" t="s">
        <v>71</v>
      </c>
      <c r="B6790" t="s">
        <v>115</v>
      </c>
      <c r="C6790" t="s">
        <v>212</v>
      </c>
      <c r="D6790" t="s">
        <v>74</v>
      </c>
      <c r="E6790" t="s">
        <v>85</v>
      </c>
      <c r="F6790" s="55">
        <v>115</v>
      </c>
      <c r="G6790" s="63">
        <v>2.3900000000000001E-2</v>
      </c>
    </row>
    <row r="6791" spans="1:7" x14ac:dyDescent="0.2">
      <c r="A6791" t="s">
        <v>71</v>
      </c>
      <c r="B6791" t="s">
        <v>115</v>
      </c>
      <c r="C6791" t="s">
        <v>212</v>
      </c>
      <c r="D6791" t="s">
        <v>74</v>
      </c>
      <c r="E6791" t="s">
        <v>86</v>
      </c>
      <c r="F6791" s="55">
        <v>114</v>
      </c>
      <c r="G6791" s="63">
        <v>3.1899999999999998E-2</v>
      </c>
    </row>
    <row r="6792" spans="1:7" x14ac:dyDescent="0.2">
      <c r="A6792" t="s">
        <v>71</v>
      </c>
      <c r="B6792" t="s">
        <v>115</v>
      </c>
      <c r="C6792" t="s">
        <v>212</v>
      </c>
      <c r="D6792" t="s">
        <v>74</v>
      </c>
      <c r="E6792" t="s">
        <v>87</v>
      </c>
      <c r="F6792" s="55">
        <v>111</v>
      </c>
      <c r="G6792" s="63">
        <v>3.8800000000000001E-2</v>
      </c>
    </row>
    <row r="6793" spans="1:7" x14ac:dyDescent="0.2">
      <c r="A6793" t="s">
        <v>71</v>
      </c>
      <c r="B6793" t="s">
        <v>115</v>
      </c>
      <c r="C6793" t="s">
        <v>212</v>
      </c>
      <c r="D6793" t="s">
        <v>74</v>
      </c>
      <c r="E6793" t="s">
        <v>88</v>
      </c>
      <c r="F6793" s="55">
        <v>115</v>
      </c>
      <c r="G6793" s="63">
        <v>3.0200000000000001E-2</v>
      </c>
    </row>
    <row r="6794" spans="1:7" x14ac:dyDescent="0.2">
      <c r="A6794" t="s">
        <v>71</v>
      </c>
      <c r="B6794" t="s">
        <v>116</v>
      </c>
      <c r="C6794" t="s">
        <v>212</v>
      </c>
      <c r="D6794" t="s">
        <v>74</v>
      </c>
      <c r="E6794" t="s">
        <v>75</v>
      </c>
      <c r="F6794" s="55">
        <v>116</v>
      </c>
      <c r="G6794" s="63">
        <v>6.6299999999999998E-2</v>
      </c>
    </row>
    <row r="6795" spans="1:7" x14ac:dyDescent="0.2">
      <c r="A6795" t="s">
        <v>71</v>
      </c>
      <c r="B6795" t="s">
        <v>116</v>
      </c>
      <c r="C6795" t="s">
        <v>212</v>
      </c>
      <c r="D6795" t="s">
        <v>74</v>
      </c>
      <c r="E6795" t="s">
        <v>76</v>
      </c>
      <c r="F6795" s="55">
        <v>89</v>
      </c>
      <c r="G6795" s="63">
        <v>3.7000000000000002E-3</v>
      </c>
    </row>
    <row r="6796" spans="1:7" x14ac:dyDescent="0.2">
      <c r="A6796" t="s">
        <v>71</v>
      </c>
      <c r="B6796" t="s">
        <v>116</v>
      </c>
      <c r="C6796" t="s">
        <v>212</v>
      </c>
      <c r="D6796" t="s">
        <v>74</v>
      </c>
      <c r="E6796" t="s">
        <v>77</v>
      </c>
      <c r="F6796" s="55">
        <v>89</v>
      </c>
      <c r="G6796" s="63">
        <v>9.7999999999999997E-3</v>
      </c>
    </row>
    <row r="6797" spans="1:7" x14ac:dyDescent="0.2">
      <c r="A6797" t="s">
        <v>71</v>
      </c>
      <c r="B6797" t="s">
        <v>116</v>
      </c>
      <c r="C6797" t="s">
        <v>212</v>
      </c>
      <c r="D6797" t="s">
        <v>74</v>
      </c>
      <c r="E6797" t="s">
        <v>78</v>
      </c>
      <c r="F6797" s="55">
        <v>101</v>
      </c>
      <c r="G6797" s="63">
        <v>1.1900000000000001E-2</v>
      </c>
    </row>
    <row r="6798" spans="1:7" x14ac:dyDescent="0.2">
      <c r="A6798" t="s">
        <v>71</v>
      </c>
      <c r="B6798" t="s">
        <v>116</v>
      </c>
      <c r="C6798" t="s">
        <v>212</v>
      </c>
      <c r="D6798" t="s">
        <v>74</v>
      </c>
      <c r="E6798" t="s">
        <v>79</v>
      </c>
      <c r="F6798" s="55">
        <v>123</v>
      </c>
      <c r="G6798" s="63">
        <v>0.04</v>
      </c>
    </row>
    <row r="6799" spans="1:7" x14ac:dyDescent="0.2">
      <c r="A6799" t="s">
        <v>71</v>
      </c>
      <c r="B6799" t="s">
        <v>116</v>
      </c>
      <c r="C6799" t="s">
        <v>212</v>
      </c>
      <c r="D6799" t="s">
        <v>74</v>
      </c>
      <c r="E6799" t="s">
        <v>80</v>
      </c>
      <c r="F6799" s="55">
        <v>117</v>
      </c>
      <c r="G6799" s="63">
        <v>1.04E-2</v>
      </c>
    </row>
    <row r="6800" spans="1:7" x14ac:dyDescent="0.2">
      <c r="A6800" t="s">
        <v>71</v>
      </c>
      <c r="B6800" t="s">
        <v>116</v>
      </c>
      <c r="C6800" t="s">
        <v>212</v>
      </c>
      <c r="D6800" t="s">
        <v>74</v>
      </c>
      <c r="E6800" t="s">
        <v>81</v>
      </c>
      <c r="F6800" s="55">
        <v>120</v>
      </c>
      <c r="G6800" s="63">
        <v>1.1599999999999999E-2</v>
      </c>
    </row>
    <row r="6801" spans="1:7" x14ac:dyDescent="0.2">
      <c r="A6801" t="s">
        <v>71</v>
      </c>
      <c r="B6801" t="s">
        <v>116</v>
      </c>
      <c r="C6801" t="s">
        <v>212</v>
      </c>
      <c r="D6801" t="s">
        <v>74</v>
      </c>
      <c r="E6801" t="s">
        <v>82</v>
      </c>
      <c r="F6801" s="55">
        <v>117</v>
      </c>
      <c r="G6801" s="63">
        <v>2.3199999999999998E-2</v>
      </c>
    </row>
    <row r="6802" spans="1:7" x14ac:dyDescent="0.2">
      <c r="A6802" t="s">
        <v>71</v>
      </c>
      <c r="B6802" t="s">
        <v>116</v>
      </c>
      <c r="C6802" t="s">
        <v>212</v>
      </c>
      <c r="D6802" t="s">
        <v>74</v>
      </c>
      <c r="E6802" t="s">
        <v>83</v>
      </c>
      <c r="F6802" s="55">
        <v>125</v>
      </c>
      <c r="G6802" s="63">
        <v>4.1999999999999997E-3</v>
      </c>
    </row>
    <row r="6803" spans="1:7" x14ac:dyDescent="0.2">
      <c r="A6803" t="s">
        <v>71</v>
      </c>
      <c r="B6803" t="s">
        <v>116</v>
      </c>
      <c r="C6803" t="s">
        <v>212</v>
      </c>
      <c r="D6803" t="s">
        <v>74</v>
      </c>
      <c r="E6803" t="s">
        <v>84</v>
      </c>
      <c r="F6803" s="55">
        <v>95</v>
      </c>
      <c r="G6803" s="63">
        <v>7.1999999999999998E-3</v>
      </c>
    </row>
    <row r="6804" spans="1:7" x14ac:dyDescent="0.2">
      <c r="A6804" t="s">
        <v>71</v>
      </c>
      <c r="B6804" t="s">
        <v>116</v>
      </c>
      <c r="C6804" t="s">
        <v>212</v>
      </c>
      <c r="D6804" t="s">
        <v>74</v>
      </c>
      <c r="E6804" t="s">
        <v>85</v>
      </c>
      <c r="F6804" s="55">
        <v>123</v>
      </c>
      <c r="G6804" s="63">
        <v>1.06E-2</v>
      </c>
    </row>
    <row r="6805" spans="1:7" x14ac:dyDescent="0.2">
      <c r="A6805" t="s">
        <v>71</v>
      </c>
      <c r="B6805" t="s">
        <v>116</v>
      </c>
      <c r="C6805" t="s">
        <v>212</v>
      </c>
      <c r="D6805" t="s">
        <v>74</v>
      </c>
      <c r="E6805" t="s">
        <v>86</v>
      </c>
      <c r="F6805" s="55">
        <v>127</v>
      </c>
      <c r="G6805" s="63">
        <v>1.3899999999999999E-2</v>
      </c>
    </row>
    <row r="6806" spans="1:7" x14ac:dyDescent="0.2">
      <c r="A6806" t="s">
        <v>71</v>
      </c>
      <c r="B6806" t="s">
        <v>116</v>
      </c>
      <c r="C6806" t="s">
        <v>212</v>
      </c>
      <c r="D6806" t="s">
        <v>74</v>
      </c>
      <c r="E6806" t="s">
        <v>87</v>
      </c>
      <c r="F6806" s="55">
        <v>124</v>
      </c>
      <c r="G6806" s="63">
        <v>1.5800000000000002E-2</v>
      </c>
    </row>
    <row r="6807" spans="1:7" x14ac:dyDescent="0.2">
      <c r="A6807" t="s">
        <v>71</v>
      </c>
      <c r="B6807" t="s">
        <v>116</v>
      </c>
      <c r="C6807" t="s">
        <v>212</v>
      </c>
      <c r="D6807" t="s">
        <v>74</v>
      </c>
      <c r="E6807" t="s">
        <v>88</v>
      </c>
      <c r="F6807" s="55">
        <v>106</v>
      </c>
      <c r="G6807" s="63">
        <v>7.7000000000000002E-3</v>
      </c>
    </row>
    <row r="6808" spans="1:7" x14ac:dyDescent="0.2">
      <c r="A6808" t="s">
        <v>71</v>
      </c>
      <c r="B6808" t="s">
        <v>117</v>
      </c>
      <c r="C6808" t="s">
        <v>212</v>
      </c>
      <c r="D6808" t="s">
        <v>74</v>
      </c>
      <c r="E6808" t="s">
        <v>75</v>
      </c>
      <c r="F6808" s="55">
        <v>115</v>
      </c>
      <c r="G6808" s="63">
        <v>0.33179999999999998</v>
      </c>
    </row>
    <row r="6809" spans="1:7" x14ac:dyDescent="0.2">
      <c r="A6809" t="s">
        <v>71</v>
      </c>
      <c r="B6809" t="s">
        <v>117</v>
      </c>
      <c r="C6809" t="s">
        <v>212</v>
      </c>
      <c r="D6809" t="s">
        <v>74</v>
      </c>
      <c r="E6809" t="s">
        <v>76</v>
      </c>
      <c r="F6809" s="55">
        <v>114</v>
      </c>
      <c r="G6809" s="63">
        <v>6.3299999999999995E-2</v>
      </c>
    </row>
    <row r="6810" spans="1:7" x14ac:dyDescent="0.2">
      <c r="A6810" t="s">
        <v>71</v>
      </c>
      <c r="B6810" t="s">
        <v>117</v>
      </c>
      <c r="C6810" t="s">
        <v>212</v>
      </c>
      <c r="D6810" t="s">
        <v>74</v>
      </c>
      <c r="E6810" t="s">
        <v>77</v>
      </c>
      <c r="F6810" s="55">
        <v>118</v>
      </c>
      <c r="G6810" s="63">
        <v>0.14030000000000001</v>
      </c>
    </row>
    <row r="6811" spans="1:7" x14ac:dyDescent="0.2">
      <c r="A6811" t="s">
        <v>71</v>
      </c>
      <c r="B6811" t="s">
        <v>117</v>
      </c>
      <c r="C6811" t="s">
        <v>212</v>
      </c>
      <c r="D6811" t="s">
        <v>74</v>
      </c>
      <c r="E6811" t="s">
        <v>78</v>
      </c>
      <c r="F6811" s="55">
        <v>114</v>
      </c>
      <c r="G6811" s="63">
        <v>0.1258</v>
      </c>
    </row>
    <row r="6812" spans="1:7" x14ac:dyDescent="0.2">
      <c r="A6812" t="s">
        <v>71</v>
      </c>
      <c r="B6812" t="s">
        <v>117</v>
      </c>
      <c r="C6812" t="s">
        <v>212</v>
      </c>
      <c r="D6812" t="s">
        <v>74</v>
      </c>
      <c r="E6812" t="s">
        <v>79</v>
      </c>
      <c r="F6812" s="55">
        <v>116</v>
      </c>
      <c r="G6812" s="63">
        <v>0.23069999999999999</v>
      </c>
    </row>
    <row r="6813" spans="1:7" x14ac:dyDescent="0.2">
      <c r="A6813" t="s">
        <v>71</v>
      </c>
      <c r="B6813" t="s">
        <v>117</v>
      </c>
      <c r="C6813" t="s">
        <v>212</v>
      </c>
      <c r="D6813" t="s">
        <v>74</v>
      </c>
      <c r="E6813" t="s">
        <v>80</v>
      </c>
      <c r="F6813" s="55">
        <v>108</v>
      </c>
      <c r="G6813" s="63">
        <v>7.0499999999999993E-2</v>
      </c>
    </row>
    <row r="6814" spans="1:7" x14ac:dyDescent="0.2">
      <c r="A6814" t="s">
        <v>71</v>
      </c>
      <c r="B6814" t="s">
        <v>117</v>
      </c>
      <c r="C6814" t="s">
        <v>212</v>
      </c>
      <c r="D6814" t="s">
        <v>74</v>
      </c>
      <c r="E6814" t="s">
        <v>81</v>
      </c>
      <c r="F6814" s="55">
        <v>107</v>
      </c>
      <c r="G6814" s="63">
        <v>7.6799999999999993E-2</v>
      </c>
    </row>
    <row r="6815" spans="1:7" x14ac:dyDescent="0.2">
      <c r="A6815" t="s">
        <v>71</v>
      </c>
      <c r="B6815" t="s">
        <v>117</v>
      </c>
      <c r="C6815" t="s">
        <v>212</v>
      </c>
      <c r="D6815" t="s">
        <v>74</v>
      </c>
      <c r="E6815" t="s">
        <v>82</v>
      </c>
      <c r="F6815" s="55">
        <v>116</v>
      </c>
      <c r="G6815" s="63">
        <v>0.20069999999999999</v>
      </c>
    </row>
    <row r="6816" spans="1:7" x14ac:dyDescent="0.2">
      <c r="A6816" t="s">
        <v>71</v>
      </c>
      <c r="B6816" t="s">
        <v>117</v>
      </c>
      <c r="C6816" t="s">
        <v>212</v>
      </c>
      <c r="D6816" t="s">
        <v>74</v>
      </c>
      <c r="E6816" t="s">
        <v>83</v>
      </c>
      <c r="F6816" s="55">
        <v>108</v>
      </c>
      <c r="G6816" s="63">
        <v>4.4200000000000003E-2</v>
      </c>
    </row>
    <row r="6817" spans="1:7" x14ac:dyDescent="0.2">
      <c r="A6817" t="s">
        <v>71</v>
      </c>
      <c r="B6817" t="s">
        <v>117</v>
      </c>
      <c r="C6817" t="s">
        <v>212</v>
      </c>
      <c r="D6817" t="s">
        <v>74</v>
      </c>
      <c r="E6817" t="s">
        <v>84</v>
      </c>
      <c r="F6817" s="55">
        <v>115</v>
      </c>
      <c r="G6817" s="63">
        <v>9.9599999999999994E-2</v>
      </c>
    </row>
    <row r="6818" spans="1:7" x14ac:dyDescent="0.2">
      <c r="A6818" t="s">
        <v>71</v>
      </c>
      <c r="B6818" t="s">
        <v>117</v>
      </c>
      <c r="C6818" t="s">
        <v>212</v>
      </c>
      <c r="D6818" t="s">
        <v>74</v>
      </c>
      <c r="E6818" t="s">
        <v>85</v>
      </c>
      <c r="F6818" s="55">
        <v>111</v>
      </c>
      <c r="G6818" s="63">
        <v>8.6499999999999994E-2</v>
      </c>
    </row>
    <row r="6819" spans="1:7" x14ac:dyDescent="0.2">
      <c r="A6819" t="s">
        <v>71</v>
      </c>
      <c r="B6819" t="s">
        <v>117</v>
      </c>
      <c r="C6819" t="s">
        <v>212</v>
      </c>
      <c r="D6819" t="s">
        <v>74</v>
      </c>
      <c r="E6819" t="s">
        <v>86</v>
      </c>
      <c r="F6819" s="55">
        <v>114</v>
      </c>
      <c r="G6819" s="63">
        <v>0.11360000000000001</v>
      </c>
    </row>
    <row r="6820" spans="1:7" x14ac:dyDescent="0.2">
      <c r="A6820" t="s">
        <v>71</v>
      </c>
      <c r="B6820" t="s">
        <v>117</v>
      </c>
      <c r="C6820" t="s">
        <v>212</v>
      </c>
      <c r="D6820" t="s">
        <v>74</v>
      </c>
      <c r="E6820" t="s">
        <v>87</v>
      </c>
      <c r="F6820" s="55">
        <v>117</v>
      </c>
      <c r="G6820" s="63">
        <v>0.1336</v>
      </c>
    </row>
    <row r="6821" spans="1:7" x14ac:dyDescent="0.2">
      <c r="A6821" t="s">
        <v>71</v>
      </c>
      <c r="B6821" t="s">
        <v>117</v>
      </c>
      <c r="C6821" t="s">
        <v>212</v>
      </c>
      <c r="D6821" t="s">
        <v>74</v>
      </c>
      <c r="E6821" t="s">
        <v>88</v>
      </c>
      <c r="F6821" s="55">
        <v>114</v>
      </c>
      <c r="G6821" s="63">
        <v>9.3799999999999994E-2</v>
      </c>
    </row>
    <row r="6822" spans="1:7" x14ac:dyDescent="0.2">
      <c r="A6822" t="s">
        <v>71</v>
      </c>
      <c r="B6822" t="s">
        <v>118</v>
      </c>
      <c r="C6822" t="s">
        <v>212</v>
      </c>
      <c r="D6822" t="s">
        <v>74</v>
      </c>
      <c r="E6822" t="s">
        <v>75</v>
      </c>
      <c r="F6822" s="55">
        <v>20</v>
      </c>
      <c r="G6822" s="63">
        <v>3.8E-3</v>
      </c>
    </row>
    <row r="6823" spans="1:7" x14ac:dyDescent="0.2">
      <c r="A6823" t="s">
        <v>71</v>
      </c>
      <c r="B6823" t="s">
        <v>118</v>
      </c>
      <c r="C6823" t="s">
        <v>212</v>
      </c>
      <c r="D6823" t="s">
        <v>74</v>
      </c>
      <c r="E6823" t="s">
        <v>76</v>
      </c>
      <c r="F6823" s="55">
        <v>21</v>
      </c>
      <c r="G6823" s="63">
        <v>2.9999999999999997E-4</v>
      </c>
    </row>
    <row r="6824" spans="1:7" x14ac:dyDescent="0.2">
      <c r="A6824" t="s">
        <v>71</v>
      </c>
      <c r="B6824" t="s">
        <v>118</v>
      </c>
      <c r="C6824" t="s">
        <v>212</v>
      </c>
      <c r="D6824" t="s">
        <v>74</v>
      </c>
      <c r="E6824" t="s">
        <v>77</v>
      </c>
      <c r="F6824" s="55">
        <v>23</v>
      </c>
      <c r="G6824" s="63">
        <v>1.4E-3</v>
      </c>
    </row>
    <row r="6825" spans="1:7" x14ac:dyDescent="0.2">
      <c r="A6825" t="s">
        <v>71</v>
      </c>
      <c r="B6825" t="s">
        <v>118</v>
      </c>
      <c r="C6825" t="s">
        <v>212</v>
      </c>
      <c r="D6825" t="s">
        <v>74</v>
      </c>
      <c r="E6825" t="s">
        <v>78</v>
      </c>
      <c r="F6825" s="55">
        <v>25</v>
      </c>
      <c r="G6825" s="63">
        <v>1E-3</v>
      </c>
    </row>
    <row r="6826" spans="1:7" x14ac:dyDescent="0.2">
      <c r="A6826" t="s">
        <v>71</v>
      </c>
      <c r="B6826" t="s">
        <v>118</v>
      </c>
      <c r="C6826" t="s">
        <v>212</v>
      </c>
      <c r="D6826" t="s">
        <v>74</v>
      </c>
      <c r="E6826" t="s">
        <v>79</v>
      </c>
      <c r="F6826" s="55">
        <v>21</v>
      </c>
      <c r="G6826" s="63">
        <v>2.7000000000000001E-3</v>
      </c>
    </row>
    <row r="6827" spans="1:7" x14ac:dyDescent="0.2">
      <c r="A6827" t="s">
        <v>71</v>
      </c>
      <c r="B6827" t="s">
        <v>118</v>
      </c>
      <c r="C6827" t="s">
        <v>212</v>
      </c>
      <c r="D6827" t="s">
        <v>74</v>
      </c>
      <c r="E6827" t="s">
        <v>80</v>
      </c>
      <c r="F6827" s="55">
        <v>24</v>
      </c>
      <c r="G6827" s="63">
        <v>6.9999999999999999E-4</v>
      </c>
    </row>
    <row r="6828" spans="1:7" x14ac:dyDescent="0.2">
      <c r="A6828" t="s">
        <v>71</v>
      </c>
      <c r="B6828" t="s">
        <v>118</v>
      </c>
      <c r="C6828" t="s">
        <v>212</v>
      </c>
      <c r="D6828" t="s">
        <v>74</v>
      </c>
      <c r="E6828" t="s">
        <v>81</v>
      </c>
      <c r="F6828" s="55">
        <v>27</v>
      </c>
      <c r="G6828" s="63">
        <v>6.9999999999999999E-4</v>
      </c>
    </row>
    <row r="6829" spans="1:7" x14ac:dyDescent="0.2">
      <c r="A6829" t="s">
        <v>71</v>
      </c>
      <c r="B6829" t="s">
        <v>118</v>
      </c>
      <c r="C6829" t="s">
        <v>212</v>
      </c>
      <c r="D6829" t="s">
        <v>74</v>
      </c>
      <c r="E6829" t="s">
        <v>82</v>
      </c>
      <c r="F6829" s="55">
        <v>21</v>
      </c>
      <c r="G6829" s="63">
        <v>2.2000000000000001E-3</v>
      </c>
    </row>
    <row r="6830" spans="1:7" x14ac:dyDescent="0.2">
      <c r="A6830" t="s">
        <v>71</v>
      </c>
      <c r="B6830" t="s">
        <v>118</v>
      </c>
      <c r="C6830" t="s">
        <v>212</v>
      </c>
      <c r="D6830" t="s">
        <v>74</v>
      </c>
      <c r="E6830" t="s">
        <v>83</v>
      </c>
      <c r="F6830" s="55">
        <v>23</v>
      </c>
      <c r="G6830" s="63">
        <v>2.0000000000000001E-4</v>
      </c>
    </row>
    <row r="6831" spans="1:7" x14ac:dyDescent="0.2">
      <c r="A6831" t="s">
        <v>71</v>
      </c>
      <c r="B6831" t="s">
        <v>118</v>
      </c>
      <c r="C6831" t="s">
        <v>212</v>
      </c>
      <c r="D6831" t="s">
        <v>74</v>
      </c>
      <c r="E6831" t="s">
        <v>84</v>
      </c>
      <c r="F6831" s="55">
        <v>24</v>
      </c>
      <c r="G6831" s="63">
        <v>8.0000000000000004E-4</v>
      </c>
    </row>
    <row r="6832" spans="1:7" x14ac:dyDescent="0.2">
      <c r="A6832" t="s">
        <v>71</v>
      </c>
      <c r="B6832" t="s">
        <v>118</v>
      </c>
      <c r="C6832" t="s">
        <v>212</v>
      </c>
      <c r="D6832" t="s">
        <v>74</v>
      </c>
      <c r="E6832" t="s">
        <v>85</v>
      </c>
      <c r="F6832" s="55">
        <v>23</v>
      </c>
      <c r="G6832" s="63">
        <v>8.0000000000000004E-4</v>
      </c>
    </row>
    <row r="6833" spans="1:7" x14ac:dyDescent="0.2">
      <c r="A6833" t="s">
        <v>71</v>
      </c>
      <c r="B6833" t="s">
        <v>118</v>
      </c>
      <c r="C6833" t="s">
        <v>212</v>
      </c>
      <c r="D6833" t="s">
        <v>74</v>
      </c>
      <c r="E6833" t="s">
        <v>86</v>
      </c>
      <c r="F6833" s="55">
        <v>23</v>
      </c>
      <c r="G6833" s="63">
        <v>1.2999999999999999E-3</v>
      </c>
    </row>
    <row r="6834" spans="1:7" x14ac:dyDescent="0.2">
      <c r="A6834" t="s">
        <v>71</v>
      </c>
      <c r="B6834" t="s">
        <v>118</v>
      </c>
      <c r="C6834" t="s">
        <v>212</v>
      </c>
      <c r="D6834" t="s">
        <v>74</v>
      </c>
      <c r="E6834" t="s">
        <v>87</v>
      </c>
      <c r="F6834" s="55">
        <v>26</v>
      </c>
      <c r="G6834" s="63">
        <v>1.4E-3</v>
      </c>
    </row>
    <row r="6835" spans="1:7" x14ac:dyDescent="0.2">
      <c r="A6835" t="s">
        <v>71</v>
      </c>
      <c r="B6835" t="s">
        <v>118</v>
      </c>
      <c r="C6835" t="s">
        <v>212</v>
      </c>
      <c r="D6835" t="s">
        <v>74</v>
      </c>
      <c r="E6835" t="s">
        <v>88</v>
      </c>
      <c r="F6835" s="55">
        <v>23</v>
      </c>
      <c r="G6835" s="63">
        <v>8.0000000000000004E-4</v>
      </c>
    </row>
    <row r="6836" spans="1:7" x14ac:dyDescent="0.2">
      <c r="A6836" t="s">
        <v>89</v>
      </c>
      <c r="B6836" t="s">
        <v>119</v>
      </c>
      <c r="C6836" t="s">
        <v>212</v>
      </c>
      <c r="D6836" t="s">
        <v>74</v>
      </c>
      <c r="E6836" t="s">
        <v>75</v>
      </c>
      <c r="F6836" s="55">
        <v>107</v>
      </c>
      <c r="G6836" s="63">
        <v>0.1069</v>
      </c>
    </row>
    <row r="6837" spans="1:7" x14ac:dyDescent="0.2">
      <c r="A6837" t="s">
        <v>89</v>
      </c>
      <c r="B6837" t="s">
        <v>119</v>
      </c>
      <c r="C6837" t="s">
        <v>212</v>
      </c>
      <c r="D6837" t="s">
        <v>74</v>
      </c>
      <c r="E6837" t="s">
        <v>76</v>
      </c>
      <c r="F6837" s="55">
        <v>109</v>
      </c>
      <c r="G6837" s="63">
        <v>1.2699999999999999E-2</v>
      </c>
    </row>
    <row r="6838" spans="1:7" x14ac:dyDescent="0.2">
      <c r="A6838" t="s">
        <v>89</v>
      </c>
      <c r="B6838" t="s">
        <v>119</v>
      </c>
      <c r="C6838" t="s">
        <v>212</v>
      </c>
      <c r="D6838" t="s">
        <v>74</v>
      </c>
      <c r="E6838" t="s">
        <v>77</v>
      </c>
      <c r="F6838" s="55">
        <v>110</v>
      </c>
      <c r="G6838" s="63">
        <v>3.4700000000000002E-2</v>
      </c>
    </row>
    <row r="6839" spans="1:7" x14ac:dyDescent="0.2">
      <c r="A6839" t="s">
        <v>89</v>
      </c>
      <c r="B6839" t="s">
        <v>119</v>
      </c>
      <c r="C6839" t="s">
        <v>212</v>
      </c>
      <c r="D6839" t="s">
        <v>74</v>
      </c>
      <c r="E6839" t="s">
        <v>78</v>
      </c>
      <c r="F6839" s="55">
        <v>106</v>
      </c>
      <c r="G6839" s="63">
        <v>2.75E-2</v>
      </c>
    </row>
    <row r="6840" spans="1:7" x14ac:dyDescent="0.2">
      <c r="A6840" t="s">
        <v>89</v>
      </c>
      <c r="B6840" t="s">
        <v>119</v>
      </c>
      <c r="C6840" t="s">
        <v>212</v>
      </c>
      <c r="D6840" t="s">
        <v>74</v>
      </c>
      <c r="E6840" t="s">
        <v>79</v>
      </c>
      <c r="F6840" s="55">
        <v>109</v>
      </c>
      <c r="G6840" s="63">
        <v>6.13E-2</v>
      </c>
    </row>
    <row r="6841" spans="1:7" x14ac:dyDescent="0.2">
      <c r="A6841" t="s">
        <v>89</v>
      </c>
      <c r="B6841" t="s">
        <v>119</v>
      </c>
      <c r="C6841" t="s">
        <v>212</v>
      </c>
      <c r="D6841" t="s">
        <v>74</v>
      </c>
      <c r="E6841" t="s">
        <v>80</v>
      </c>
      <c r="F6841" s="55">
        <v>108</v>
      </c>
      <c r="G6841" s="63">
        <v>1.78E-2</v>
      </c>
    </row>
    <row r="6842" spans="1:7" x14ac:dyDescent="0.2">
      <c r="A6842" t="s">
        <v>89</v>
      </c>
      <c r="B6842" t="s">
        <v>119</v>
      </c>
      <c r="C6842" t="s">
        <v>212</v>
      </c>
      <c r="D6842" t="s">
        <v>74</v>
      </c>
      <c r="E6842" t="s">
        <v>81</v>
      </c>
      <c r="F6842" s="55">
        <v>103</v>
      </c>
      <c r="G6842" s="63">
        <v>0.02</v>
      </c>
    </row>
    <row r="6843" spans="1:7" x14ac:dyDescent="0.2">
      <c r="A6843" t="s">
        <v>89</v>
      </c>
      <c r="B6843" t="s">
        <v>119</v>
      </c>
      <c r="C6843" t="s">
        <v>212</v>
      </c>
      <c r="D6843" t="s">
        <v>74</v>
      </c>
      <c r="E6843" t="s">
        <v>82</v>
      </c>
      <c r="F6843" s="55">
        <v>102</v>
      </c>
      <c r="G6843" s="63">
        <v>4.3299999999999998E-2</v>
      </c>
    </row>
    <row r="6844" spans="1:7" x14ac:dyDescent="0.2">
      <c r="A6844" t="s">
        <v>89</v>
      </c>
      <c r="B6844" t="s">
        <v>119</v>
      </c>
      <c r="C6844" t="s">
        <v>212</v>
      </c>
      <c r="D6844" t="s">
        <v>74</v>
      </c>
      <c r="E6844" t="s">
        <v>83</v>
      </c>
      <c r="F6844" s="55">
        <v>103</v>
      </c>
      <c r="G6844" s="63">
        <v>9.4000000000000004E-3</v>
      </c>
    </row>
    <row r="6845" spans="1:7" x14ac:dyDescent="0.2">
      <c r="A6845" t="s">
        <v>89</v>
      </c>
      <c r="B6845" t="s">
        <v>119</v>
      </c>
      <c r="C6845" t="s">
        <v>212</v>
      </c>
      <c r="D6845" t="s">
        <v>74</v>
      </c>
      <c r="E6845" t="s">
        <v>84</v>
      </c>
      <c r="F6845" s="55">
        <v>107</v>
      </c>
      <c r="G6845" s="63">
        <v>2.06E-2</v>
      </c>
    </row>
    <row r="6846" spans="1:7" x14ac:dyDescent="0.2">
      <c r="A6846" t="s">
        <v>89</v>
      </c>
      <c r="B6846" t="s">
        <v>119</v>
      </c>
      <c r="C6846" t="s">
        <v>212</v>
      </c>
      <c r="D6846" t="s">
        <v>74</v>
      </c>
      <c r="E6846" t="s">
        <v>85</v>
      </c>
      <c r="F6846" s="55">
        <v>110</v>
      </c>
      <c r="G6846" s="63">
        <v>1.7500000000000002E-2</v>
      </c>
    </row>
    <row r="6847" spans="1:7" x14ac:dyDescent="0.2">
      <c r="A6847" t="s">
        <v>89</v>
      </c>
      <c r="B6847" t="s">
        <v>119</v>
      </c>
      <c r="C6847" t="s">
        <v>212</v>
      </c>
      <c r="D6847" t="s">
        <v>74</v>
      </c>
      <c r="E6847" t="s">
        <v>86</v>
      </c>
      <c r="F6847" s="55">
        <v>109</v>
      </c>
      <c r="G6847" s="63">
        <v>2.2499999999999999E-2</v>
      </c>
    </row>
    <row r="6848" spans="1:7" x14ac:dyDescent="0.2">
      <c r="A6848" t="s">
        <v>89</v>
      </c>
      <c r="B6848" t="s">
        <v>119</v>
      </c>
      <c r="C6848" t="s">
        <v>212</v>
      </c>
      <c r="D6848" t="s">
        <v>74</v>
      </c>
      <c r="E6848" t="s">
        <v>87</v>
      </c>
      <c r="F6848" s="55">
        <v>109</v>
      </c>
      <c r="G6848" s="63">
        <v>2.6599999999999999E-2</v>
      </c>
    </row>
    <row r="6849" spans="1:7" x14ac:dyDescent="0.2">
      <c r="A6849" t="s">
        <v>89</v>
      </c>
      <c r="B6849" t="s">
        <v>119</v>
      </c>
      <c r="C6849" t="s">
        <v>212</v>
      </c>
      <c r="D6849" t="s">
        <v>74</v>
      </c>
      <c r="E6849" t="s">
        <v>88</v>
      </c>
      <c r="F6849" s="55">
        <v>103</v>
      </c>
      <c r="G6849" s="63">
        <v>2.07E-2</v>
      </c>
    </row>
    <row r="6850" spans="1:7" x14ac:dyDescent="0.2">
      <c r="A6850" t="s">
        <v>89</v>
      </c>
      <c r="B6850" t="s">
        <v>120</v>
      </c>
      <c r="C6850" t="s">
        <v>212</v>
      </c>
      <c r="D6850" t="s">
        <v>74</v>
      </c>
      <c r="E6850" t="s">
        <v>75</v>
      </c>
      <c r="F6850" s="55">
        <v>74</v>
      </c>
      <c r="G6850" s="63">
        <v>0.19850000000000001</v>
      </c>
    </row>
    <row r="6851" spans="1:7" x14ac:dyDescent="0.2">
      <c r="A6851" t="s">
        <v>89</v>
      </c>
      <c r="B6851" t="s">
        <v>120</v>
      </c>
      <c r="C6851" t="s">
        <v>212</v>
      </c>
      <c r="D6851" t="s">
        <v>74</v>
      </c>
      <c r="E6851" t="s">
        <v>76</v>
      </c>
      <c r="F6851" s="55">
        <v>78</v>
      </c>
      <c r="G6851" s="63">
        <v>2.3099999999999999E-2</v>
      </c>
    </row>
    <row r="6852" spans="1:7" x14ac:dyDescent="0.2">
      <c r="A6852" t="s">
        <v>89</v>
      </c>
      <c r="B6852" t="s">
        <v>120</v>
      </c>
      <c r="C6852" t="s">
        <v>212</v>
      </c>
      <c r="D6852" t="s">
        <v>74</v>
      </c>
      <c r="E6852" t="s">
        <v>77</v>
      </c>
      <c r="F6852" s="55">
        <v>81</v>
      </c>
      <c r="G6852" s="63">
        <v>5.9499999999999997E-2</v>
      </c>
    </row>
    <row r="6853" spans="1:7" x14ac:dyDescent="0.2">
      <c r="A6853" t="s">
        <v>89</v>
      </c>
      <c r="B6853" t="s">
        <v>120</v>
      </c>
      <c r="C6853" t="s">
        <v>212</v>
      </c>
      <c r="D6853" t="s">
        <v>74</v>
      </c>
      <c r="E6853" t="s">
        <v>78</v>
      </c>
      <c r="F6853" s="55">
        <v>70</v>
      </c>
      <c r="G6853" s="63">
        <v>5.0999999999999997E-2</v>
      </c>
    </row>
    <row r="6854" spans="1:7" x14ac:dyDescent="0.2">
      <c r="A6854" t="s">
        <v>89</v>
      </c>
      <c r="B6854" t="s">
        <v>120</v>
      </c>
      <c r="C6854" t="s">
        <v>212</v>
      </c>
      <c r="D6854" t="s">
        <v>74</v>
      </c>
      <c r="E6854" t="s">
        <v>79</v>
      </c>
      <c r="F6854" s="55">
        <v>69</v>
      </c>
      <c r="G6854" s="63">
        <v>0.1183</v>
      </c>
    </row>
    <row r="6855" spans="1:7" x14ac:dyDescent="0.2">
      <c r="A6855" t="s">
        <v>89</v>
      </c>
      <c r="B6855" t="s">
        <v>120</v>
      </c>
      <c r="C6855" t="s">
        <v>212</v>
      </c>
      <c r="D6855" t="s">
        <v>74</v>
      </c>
      <c r="E6855" t="s">
        <v>80</v>
      </c>
      <c r="F6855" s="55">
        <v>66</v>
      </c>
      <c r="G6855" s="63">
        <v>1.9099999999999999E-2</v>
      </c>
    </row>
    <row r="6856" spans="1:7" x14ac:dyDescent="0.2">
      <c r="A6856" t="s">
        <v>89</v>
      </c>
      <c r="B6856" t="s">
        <v>120</v>
      </c>
      <c r="C6856" t="s">
        <v>212</v>
      </c>
      <c r="D6856" t="s">
        <v>74</v>
      </c>
      <c r="E6856" t="s">
        <v>81</v>
      </c>
      <c r="F6856" s="55">
        <v>69</v>
      </c>
      <c r="G6856" s="63">
        <v>2.4400000000000002E-2</v>
      </c>
    </row>
    <row r="6857" spans="1:7" x14ac:dyDescent="0.2">
      <c r="A6857" t="s">
        <v>89</v>
      </c>
      <c r="B6857" t="s">
        <v>120</v>
      </c>
      <c r="C6857" t="s">
        <v>212</v>
      </c>
      <c r="D6857" t="s">
        <v>74</v>
      </c>
      <c r="E6857" t="s">
        <v>82</v>
      </c>
      <c r="F6857" s="55">
        <v>76</v>
      </c>
      <c r="G6857" s="63">
        <v>8.3699999999999997E-2</v>
      </c>
    </row>
    <row r="6858" spans="1:7" x14ac:dyDescent="0.2">
      <c r="A6858" t="s">
        <v>89</v>
      </c>
      <c r="B6858" t="s">
        <v>120</v>
      </c>
      <c r="C6858" t="s">
        <v>212</v>
      </c>
      <c r="D6858" t="s">
        <v>74</v>
      </c>
      <c r="E6858" t="s">
        <v>83</v>
      </c>
      <c r="F6858" s="55">
        <v>75</v>
      </c>
      <c r="G6858" s="63">
        <v>1.3299999999999999E-2</v>
      </c>
    </row>
    <row r="6859" spans="1:7" x14ac:dyDescent="0.2">
      <c r="A6859" t="s">
        <v>89</v>
      </c>
      <c r="B6859" t="s">
        <v>120</v>
      </c>
      <c r="C6859" t="s">
        <v>212</v>
      </c>
      <c r="D6859" t="s">
        <v>74</v>
      </c>
      <c r="E6859" t="s">
        <v>84</v>
      </c>
      <c r="F6859" s="55">
        <v>70</v>
      </c>
      <c r="G6859" s="63">
        <v>3.6799999999999999E-2</v>
      </c>
    </row>
    <row r="6860" spans="1:7" x14ac:dyDescent="0.2">
      <c r="A6860" t="s">
        <v>89</v>
      </c>
      <c r="B6860" t="s">
        <v>120</v>
      </c>
      <c r="C6860" t="s">
        <v>212</v>
      </c>
      <c r="D6860" t="s">
        <v>74</v>
      </c>
      <c r="E6860" t="s">
        <v>85</v>
      </c>
      <c r="F6860" s="55">
        <v>65</v>
      </c>
      <c r="G6860" s="63">
        <v>2.0799999999999999E-2</v>
      </c>
    </row>
    <row r="6861" spans="1:7" x14ac:dyDescent="0.2">
      <c r="A6861" t="s">
        <v>89</v>
      </c>
      <c r="B6861" t="s">
        <v>120</v>
      </c>
      <c r="C6861" t="s">
        <v>212</v>
      </c>
      <c r="D6861" t="s">
        <v>74</v>
      </c>
      <c r="E6861" t="s">
        <v>86</v>
      </c>
      <c r="F6861" s="55">
        <v>67</v>
      </c>
      <c r="G6861" s="63">
        <v>2.87E-2</v>
      </c>
    </row>
    <row r="6862" spans="1:7" x14ac:dyDescent="0.2">
      <c r="A6862" t="s">
        <v>89</v>
      </c>
      <c r="B6862" t="s">
        <v>120</v>
      </c>
      <c r="C6862" t="s">
        <v>212</v>
      </c>
      <c r="D6862" t="s">
        <v>74</v>
      </c>
      <c r="E6862" t="s">
        <v>87</v>
      </c>
      <c r="F6862" s="55">
        <v>70</v>
      </c>
      <c r="G6862" s="63">
        <v>4.7E-2</v>
      </c>
    </row>
    <row r="6863" spans="1:7" x14ac:dyDescent="0.2">
      <c r="A6863" t="s">
        <v>89</v>
      </c>
      <c r="B6863" t="s">
        <v>120</v>
      </c>
      <c r="C6863" t="s">
        <v>212</v>
      </c>
      <c r="D6863" t="s">
        <v>74</v>
      </c>
      <c r="E6863" t="s">
        <v>88</v>
      </c>
      <c r="F6863" s="55">
        <v>78</v>
      </c>
      <c r="G6863" s="63">
        <v>3.5299999999999998E-2</v>
      </c>
    </row>
    <row r="6864" spans="1:7" x14ac:dyDescent="0.2">
      <c r="A6864" t="s">
        <v>71</v>
      </c>
      <c r="B6864" t="s">
        <v>121</v>
      </c>
      <c r="C6864" t="s">
        <v>212</v>
      </c>
      <c r="D6864" t="s">
        <v>74</v>
      </c>
      <c r="E6864" t="s">
        <v>75</v>
      </c>
      <c r="F6864" s="55">
        <v>75</v>
      </c>
      <c r="G6864" s="63">
        <v>4.5600000000000002E-2</v>
      </c>
    </row>
    <row r="6865" spans="1:7" x14ac:dyDescent="0.2">
      <c r="A6865" t="s">
        <v>71</v>
      </c>
      <c r="B6865" t="s">
        <v>121</v>
      </c>
      <c r="C6865" t="s">
        <v>212</v>
      </c>
      <c r="D6865" t="s">
        <v>74</v>
      </c>
      <c r="E6865" t="s">
        <v>76</v>
      </c>
      <c r="F6865" s="55">
        <v>86</v>
      </c>
      <c r="G6865" s="63">
        <v>5.0000000000000001E-3</v>
      </c>
    </row>
    <row r="6866" spans="1:7" x14ac:dyDescent="0.2">
      <c r="A6866" t="s">
        <v>71</v>
      </c>
      <c r="B6866" t="s">
        <v>121</v>
      </c>
      <c r="C6866" t="s">
        <v>212</v>
      </c>
      <c r="D6866" t="s">
        <v>74</v>
      </c>
      <c r="E6866" t="s">
        <v>77</v>
      </c>
      <c r="F6866" s="55">
        <v>75</v>
      </c>
      <c r="G6866" s="63">
        <v>1.34E-2</v>
      </c>
    </row>
    <row r="6867" spans="1:7" x14ac:dyDescent="0.2">
      <c r="A6867" t="s">
        <v>71</v>
      </c>
      <c r="B6867" t="s">
        <v>121</v>
      </c>
      <c r="C6867" t="s">
        <v>212</v>
      </c>
      <c r="D6867" t="s">
        <v>74</v>
      </c>
      <c r="E6867" t="s">
        <v>78</v>
      </c>
      <c r="F6867" s="55">
        <v>73</v>
      </c>
      <c r="G6867" s="63">
        <v>1.01E-2</v>
      </c>
    </row>
    <row r="6868" spans="1:7" x14ac:dyDescent="0.2">
      <c r="A6868" t="s">
        <v>71</v>
      </c>
      <c r="B6868" t="s">
        <v>121</v>
      </c>
      <c r="C6868" t="s">
        <v>212</v>
      </c>
      <c r="D6868" t="s">
        <v>74</v>
      </c>
      <c r="E6868" t="s">
        <v>79</v>
      </c>
      <c r="F6868" s="55">
        <v>77</v>
      </c>
      <c r="G6868" s="63">
        <v>2.2200000000000001E-2</v>
      </c>
    </row>
    <row r="6869" spans="1:7" x14ac:dyDescent="0.2">
      <c r="A6869" t="s">
        <v>71</v>
      </c>
      <c r="B6869" t="s">
        <v>121</v>
      </c>
      <c r="C6869" t="s">
        <v>212</v>
      </c>
      <c r="D6869" t="s">
        <v>74</v>
      </c>
      <c r="E6869" t="s">
        <v>80</v>
      </c>
      <c r="F6869" s="55">
        <v>66</v>
      </c>
      <c r="G6869" s="63">
        <v>4.8999999999999998E-3</v>
      </c>
    </row>
    <row r="6870" spans="1:7" x14ac:dyDescent="0.2">
      <c r="A6870" t="s">
        <v>71</v>
      </c>
      <c r="B6870" t="s">
        <v>121</v>
      </c>
      <c r="C6870" t="s">
        <v>212</v>
      </c>
      <c r="D6870" t="s">
        <v>74</v>
      </c>
      <c r="E6870" t="s">
        <v>81</v>
      </c>
      <c r="F6870" s="55">
        <v>68</v>
      </c>
      <c r="G6870" s="63">
        <v>6.1000000000000004E-3</v>
      </c>
    </row>
    <row r="6871" spans="1:7" x14ac:dyDescent="0.2">
      <c r="A6871" t="s">
        <v>71</v>
      </c>
      <c r="B6871" t="s">
        <v>121</v>
      </c>
      <c r="C6871" t="s">
        <v>212</v>
      </c>
      <c r="D6871" t="s">
        <v>74</v>
      </c>
      <c r="E6871" t="s">
        <v>82</v>
      </c>
      <c r="F6871" s="55">
        <v>74</v>
      </c>
      <c r="G6871" s="63">
        <v>1.5900000000000001E-2</v>
      </c>
    </row>
    <row r="6872" spans="1:7" x14ac:dyDescent="0.2">
      <c r="A6872" t="s">
        <v>71</v>
      </c>
      <c r="B6872" t="s">
        <v>121</v>
      </c>
      <c r="C6872" t="s">
        <v>212</v>
      </c>
      <c r="D6872" t="s">
        <v>74</v>
      </c>
      <c r="E6872" t="s">
        <v>83</v>
      </c>
      <c r="F6872" s="55">
        <v>82</v>
      </c>
      <c r="G6872" s="63">
        <v>3.0000000000000001E-3</v>
      </c>
    </row>
    <row r="6873" spans="1:7" x14ac:dyDescent="0.2">
      <c r="A6873" t="s">
        <v>71</v>
      </c>
      <c r="B6873" t="s">
        <v>121</v>
      </c>
      <c r="C6873" t="s">
        <v>212</v>
      </c>
      <c r="D6873" t="s">
        <v>74</v>
      </c>
      <c r="E6873" t="s">
        <v>84</v>
      </c>
      <c r="F6873" s="55">
        <v>74</v>
      </c>
      <c r="G6873" s="63">
        <v>7.3000000000000001E-3</v>
      </c>
    </row>
    <row r="6874" spans="1:7" x14ac:dyDescent="0.2">
      <c r="A6874" t="s">
        <v>71</v>
      </c>
      <c r="B6874" t="s">
        <v>121</v>
      </c>
      <c r="C6874" t="s">
        <v>212</v>
      </c>
      <c r="D6874" t="s">
        <v>74</v>
      </c>
      <c r="E6874" t="s">
        <v>85</v>
      </c>
      <c r="F6874" s="55">
        <v>78</v>
      </c>
      <c r="G6874" s="63">
        <v>4.3E-3</v>
      </c>
    </row>
    <row r="6875" spans="1:7" x14ac:dyDescent="0.2">
      <c r="A6875" t="s">
        <v>71</v>
      </c>
      <c r="B6875" t="s">
        <v>121</v>
      </c>
      <c r="C6875" t="s">
        <v>212</v>
      </c>
      <c r="D6875" t="s">
        <v>74</v>
      </c>
      <c r="E6875" t="s">
        <v>86</v>
      </c>
      <c r="F6875" s="55">
        <v>76</v>
      </c>
      <c r="G6875" s="63">
        <v>5.8999999999999999E-3</v>
      </c>
    </row>
    <row r="6876" spans="1:7" x14ac:dyDescent="0.2">
      <c r="A6876" t="s">
        <v>71</v>
      </c>
      <c r="B6876" t="s">
        <v>121</v>
      </c>
      <c r="C6876" t="s">
        <v>212</v>
      </c>
      <c r="D6876" t="s">
        <v>74</v>
      </c>
      <c r="E6876" t="s">
        <v>87</v>
      </c>
      <c r="F6876" s="55">
        <v>76</v>
      </c>
      <c r="G6876" s="63">
        <v>7.9000000000000008E-3</v>
      </c>
    </row>
    <row r="6877" spans="1:7" x14ac:dyDescent="0.2">
      <c r="A6877" t="s">
        <v>71</v>
      </c>
      <c r="B6877" t="s">
        <v>121</v>
      </c>
      <c r="C6877" t="s">
        <v>212</v>
      </c>
      <c r="D6877" t="s">
        <v>74</v>
      </c>
      <c r="E6877" t="s">
        <v>88</v>
      </c>
      <c r="F6877" s="55">
        <v>82</v>
      </c>
      <c r="G6877" s="63">
        <v>7.7999999999999996E-3</v>
      </c>
    </row>
    <row r="6878" spans="1:7" x14ac:dyDescent="0.2">
      <c r="A6878" t="s">
        <v>71</v>
      </c>
      <c r="B6878" t="s">
        <v>8</v>
      </c>
      <c r="C6878" t="s">
        <v>212</v>
      </c>
      <c r="D6878" t="s">
        <v>74</v>
      </c>
      <c r="E6878" t="s">
        <v>75</v>
      </c>
      <c r="F6878" s="55">
        <v>99</v>
      </c>
      <c r="G6878" s="63">
        <v>0.32490000000000002</v>
      </c>
    </row>
    <row r="6879" spans="1:7" x14ac:dyDescent="0.2">
      <c r="A6879" t="s">
        <v>71</v>
      </c>
      <c r="B6879" t="s">
        <v>8</v>
      </c>
      <c r="C6879" t="s">
        <v>212</v>
      </c>
      <c r="D6879" t="s">
        <v>74</v>
      </c>
      <c r="E6879" t="s">
        <v>76</v>
      </c>
      <c r="F6879" s="55">
        <v>98</v>
      </c>
      <c r="G6879" s="63">
        <v>4.1799999999999997E-2</v>
      </c>
    </row>
    <row r="6880" spans="1:7" x14ac:dyDescent="0.2">
      <c r="A6880" t="s">
        <v>71</v>
      </c>
      <c r="B6880" t="s">
        <v>8</v>
      </c>
      <c r="C6880" t="s">
        <v>212</v>
      </c>
      <c r="D6880" t="s">
        <v>74</v>
      </c>
      <c r="E6880" t="s">
        <v>77</v>
      </c>
      <c r="F6880" s="55">
        <v>104</v>
      </c>
      <c r="G6880" s="63">
        <v>0.11</v>
      </c>
    </row>
    <row r="6881" spans="1:7" x14ac:dyDescent="0.2">
      <c r="A6881" t="s">
        <v>71</v>
      </c>
      <c r="B6881" t="s">
        <v>8</v>
      </c>
      <c r="C6881" t="s">
        <v>212</v>
      </c>
      <c r="D6881" t="s">
        <v>74</v>
      </c>
      <c r="E6881" t="s">
        <v>78</v>
      </c>
      <c r="F6881" s="55">
        <v>103</v>
      </c>
      <c r="G6881" s="63">
        <v>9.2299999999999993E-2</v>
      </c>
    </row>
    <row r="6882" spans="1:7" x14ac:dyDescent="0.2">
      <c r="A6882" t="s">
        <v>71</v>
      </c>
      <c r="B6882" t="s">
        <v>8</v>
      </c>
      <c r="C6882" t="s">
        <v>212</v>
      </c>
      <c r="D6882" t="s">
        <v>74</v>
      </c>
      <c r="E6882" t="s">
        <v>79</v>
      </c>
      <c r="F6882" s="55">
        <v>97</v>
      </c>
      <c r="G6882" s="63">
        <v>0.22700000000000001</v>
      </c>
    </row>
    <row r="6883" spans="1:7" x14ac:dyDescent="0.2">
      <c r="A6883" t="s">
        <v>71</v>
      </c>
      <c r="B6883" t="s">
        <v>8</v>
      </c>
      <c r="C6883" t="s">
        <v>212</v>
      </c>
      <c r="D6883" t="s">
        <v>74</v>
      </c>
      <c r="E6883" t="s">
        <v>80</v>
      </c>
      <c r="F6883" s="55">
        <v>99</v>
      </c>
      <c r="G6883" s="63">
        <v>5.9799999999999999E-2</v>
      </c>
    </row>
    <row r="6884" spans="1:7" x14ac:dyDescent="0.2">
      <c r="A6884" t="s">
        <v>71</v>
      </c>
      <c r="B6884" t="s">
        <v>8</v>
      </c>
      <c r="C6884" t="s">
        <v>212</v>
      </c>
      <c r="D6884" t="s">
        <v>74</v>
      </c>
      <c r="E6884" t="s">
        <v>81</v>
      </c>
      <c r="F6884" s="55">
        <v>99</v>
      </c>
      <c r="G6884" s="63">
        <v>6.5699999999999995E-2</v>
      </c>
    </row>
    <row r="6885" spans="1:7" x14ac:dyDescent="0.2">
      <c r="A6885" t="s">
        <v>71</v>
      </c>
      <c r="B6885" t="s">
        <v>8</v>
      </c>
      <c r="C6885" t="s">
        <v>212</v>
      </c>
      <c r="D6885" t="s">
        <v>74</v>
      </c>
      <c r="E6885" t="s">
        <v>82</v>
      </c>
      <c r="F6885" s="55">
        <v>95</v>
      </c>
      <c r="G6885" s="63">
        <v>0.1605</v>
      </c>
    </row>
    <row r="6886" spans="1:7" x14ac:dyDescent="0.2">
      <c r="A6886" t="s">
        <v>71</v>
      </c>
      <c r="B6886" t="s">
        <v>8</v>
      </c>
      <c r="C6886" t="s">
        <v>212</v>
      </c>
      <c r="D6886" t="s">
        <v>74</v>
      </c>
      <c r="E6886" t="s">
        <v>83</v>
      </c>
      <c r="F6886" s="55">
        <v>99</v>
      </c>
      <c r="G6886" s="63">
        <v>3.3099999999999997E-2</v>
      </c>
    </row>
    <row r="6887" spans="1:7" x14ac:dyDescent="0.2">
      <c r="A6887" t="s">
        <v>71</v>
      </c>
      <c r="B6887" t="s">
        <v>8</v>
      </c>
      <c r="C6887" t="s">
        <v>212</v>
      </c>
      <c r="D6887" t="s">
        <v>74</v>
      </c>
      <c r="E6887" t="s">
        <v>84</v>
      </c>
      <c r="F6887" s="55">
        <v>104</v>
      </c>
      <c r="G6887" s="63">
        <v>6.8000000000000005E-2</v>
      </c>
    </row>
    <row r="6888" spans="1:7" x14ac:dyDescent="0.2">
      <c r="A6888" t="s">
        <v>71</v>
      </c>
      <c r="B6888" t="s">
        <v>8</v>
      </c>
      <c r="C6888" t="s">
        <v>212</v>
      </c>
      <c r="D6888" t="s">
        <v>74</v>
      </c>
      <c r="E6888" t="s">
        <v>85</v>
      </c>
      <c r="F6888" s="55">
        <v>97</v>
      </c>
      <c r="G6888" s="63">
        <v>6.4500000000000002E-2</v>
      </c>
    </row>
    <row r="6889" spans="1:7" x14ac:dyDescent="0.2">
      <c r="A6889" t="s">
        <v>71</v>
      </c>
      <c r="B6889" t="s">
        <v>8</v>
      </c>
      <c r="C6889" t="s">
        <v>212</v>
      </c>
      <c r="D6889" t="s">
        <v>74</v>
      </c>
      <c r="E6889" t="s">
        <v>86</v>
      </c>
      <c r="F6889" s="55">
        <v>98</v>
      </c>
      <c r="G6889" s="63">
        <v>8.4400000000000003E-2</v>
      </c>
    </row>
    <row r="6890" spans="1:7" x14ac:dyDescent="0.2">
      <c r="A6890" t="s">
        <v>71</v>
      </c>
      <c r="B6890" t="s">
        <v>8</v>
      </c>
      <c r="C6890" t="s">
        <v>212</v>
      </c>
      <c r="D6890" t="s">
        <v>74</v>
      </c>
      <c r="E6890" t="s">
        <v>87</v>
      </c>
      <c r="F6890" s="55">
        <v>101</v>
      </c>
      <c r="G6890" s="63">
        <v>0.10290000000000001</v>
      </c>
    </row>
    <row r="6891" spans="1:7" x14ac:dyDescent="0.2">
      <c r="A6891" t="s">
        <v>71</v>
      </c>
      <c r="B6891" t="s">
        <v>8</v>
      </c>
      <c r="C6891" t="s">
        <v>212</v>
      </c>
      <c r="D6891" t="s">
        <v>74</v>
      </c>
      <c r="E6891" t="s">
        <v>88</v>
      </c>
      <c r="F6891" s="55">
        <v>99</v>
      </c>
      <c r="G6891" s="63">
        <v>6.7599999999999993E-2</v>
      </c>
    </row>
    <row r="6892" spans="1:7" x14ac:dyDescent="0.2">
      <c r="A6892" t="s">
        <v>71</v>
      </c>
      <c r="B6892" t="s">
        <v>9</v>
      </c>
      <c r="C6892" t="s">
        <v>212</v>
      </c>
      <c r="D6892" t="s">
        <v>74</v>
      </c>
      <c r="E6892" t="s">
        <v>75</v>
      </c>
      <c r="F6892" s="55">
        <v>82</v>
      </c>
      <c r="G6892" s="63">
        <v>0.41010000000000002</v>
      </c>
    </row>
    <row r="6893" spans="1:7" x14ac:dyDescent="0.2">
      <c r="A6893" t="s">
        <v>71</v>
      </c>
      <c r="B6893" t="s">
        <v>9</v>
      </c>
      <c r="C6893" t="s">
        <v>212</v>
      </c>
      <c r="D6893" t="s">
        <v>74</v>
      </c>
      <c r="E6893" t="s">
        <v>76</v>
      </c>
      <c r="F6893" s="55">
        <v>83</v>
      </c>
      <c r="G6893" s="63">
        <v>8.8400000000000006E-2</v>
      </c>
    </row>
    <row r="6894" spans="1:7" x14ac:dyDescent="0.2">
      <c r="A6894" t="s">
        <v>71</v>
      </c>
      <c r="B6894" t="s">
        <v>9</v>
      </c>
      <c r="C6894" t="s">
        <v>212</v>
      </c>
      <c r="D6894" t="s">
        <v>74</v>
      </c>
      <c r="E6894" t="s">
        <v>77</v>
      </c>
      <c r="F6894" s="55">
        <v>81</v>
      </c>
      <c r="G6894" s="63">
        <v>0.16850000000000001</v>
      </c>
    </row>
    <row r="6895" spans="1:7" x14ac:dyDescent="0.2">
      <c r="A6895" t="s">
        <v>71</v>
      </c>
      <c r="B6895" t="s">
        <v>9</v>
      </c>
      <c r="C6895" t="s">
        <v>212</v>
      </c>
      <c r="D6895" t="s">
        <v>74</v>
      </c>
      <c r="E6895" t="s">
        <v>78</v>
      </c>
      <c r="F6895" s="55">
        <v>85</v>
      </c>
      <c r="G6895" s="63">
        <v>0.1603</v>
      </c>
    </row>
    <row r="6896" spans="1:7" x14ac:dyDescent="0.2">
      <c r="A6896" t="s">
        <v>71</v>
      </c>
      <c r="B6896" t="s">
        <v>9</v>
      </c>
      <c r="C6896" t="s">
        <v>212</v>
      </c>
      <c r="D6896" t="s">
        <v>74</v>
      </c>
      <c r="E6896" t="s">
        <v>79</v>
      </c>
      <c r="F6896" s="55">
        <v>84</v>
      </c>
      <c r="G6896" s="63">
        <v>0.30430000000000001</v>
      </c>
    </row>
    <row r="6897" spans="1:7" x14ac:dyDescent="0.2">
      <c r="A6897" t="s">
        <v>71</v>
      </c>
      <c r="B6897" t="s">
        <v>9</v>
      </c>
      <c r="C6897" t="s">
        <v>212</v>
      </c>
      <c r="D6897" t="s">
        <v>74</v>
      </c>
      <c r="E6897" t="s">
        <v>80</v>
      </c>
      <c r="F6897" s="55">
        <v>77</v>
      </c>
      <c r="G6897" s="63">
        <v>9.7000000000000003E-2</v>
      </c>
    </row>
    <row r="6898" spans="1:7" x14ac:dyDescent="0.2">
      <c r="A6898" t="s">
        <v>71</v>
      </c>
      <c r="B6898" t="s">
        <v>9</v>
      </c>
      <c r="C6898" t="s">
        <v>212</v>
      </c>
      <c r="D6898" t="s">
        <v>74</v>
      </c>
      <c r="E6898" t="s">
        <v>81</v>
      </c>
      <c r="F6898" s="55">
        <v>77</v>
      </c>
      <c r="G6898" s="63">
        <v>0.1047</v>
      </c>
    </row>
    <row r="6899" spans="1:7" x14ac:dyDescent="0.2">
      <c r="A6899" t="s">
        <v>71</v>
      </c>
      <c r="B6899" t="s">
        <v>9</v>
      </c>
      <c r="C6899" t="s">
        <v>212</v>
      </c>
      <c r="D6899" t="s">
        <v>74</v>
      </c>
      <c r="E6899" t="s">
        <v>82</v>
      </c>
      <c r="F6899" s="55">
        <v>82</v>
      </c>
      <c r="G6899" s="63">
        <v>0.24909999999999999</v>
      </c>
    </row>
    <row r="6900" spans="1:7" x14ac:dyDescent="0.2">
      <c r="A6900" t="s">
        <v>71</v>
      </c>
      <c r="B6900" t="s">
        <v>9</v>
      </c>
      <c r="C6900" t="s">
        <v>212</v>
      </c>
      <c r="D6900" t="s">
        <v>74</v>
      </c>
      <c r="E6900" t="s">
        <v>83</v>
      </c>
      <c r="F6900" s="55">
        <v>79</v>
      </c>
      <c r="G6900" s="63">
        <v>5.79E-2</v>
      </c>
    </row>
    <row r="6901" spans="1:7" x14ac:dyDescent="0.2">
      <c r="A6901" t="s">
        <v>71</v>
      </c>
      <c r="B6901" t="s">
        <v>9</v>
      </c>
      <c r="C6901" t="s">
        <v>212</v>
      </c>
      <c r="D6901" t="s">
        <v>74</v>
      </c>
      <c r="E6901" t="s">
        <v>84</v>
      </c>
      <c r="F6901" s="55">
        <v>86</v>
      </c>
      <c r="G6901" s="63">
        <v>0.123</v>
      </c>
    </row>
    <row r="6902" spans="1:7" x14ac:dyDescent="0.2">
      <c r="A6902" t="s">
        <v>71</v>
      </c>
      <c r="B6902" t="s">
        <v>9</v>
      </c>
      <c r="C6902" t="s">
        <v>212</v>
      </c>
      <c r="D6902" t="s">
        <v>74</v>
      </c>
      <c r="E6902" t="s">
        <v>85</v>
      </c>
      <c r="F6902" s="55">
        <v>79</v>
      </c>
      <c r="G6902" s="63">
        <v>0.1232</v>
      </c>
    </row>
    <row r="6903" spans="1:7" x14ac:dyDescent="0.2">
      <c r="A6903" t="s">
        <v>71</v>
      </c>
      <c r="B6903" t="s">
        <v>9</v>
      </c>
      <c r="C6903" t="s">
        <v>212</v>
      </c>
      <c r="D6903" t="s">
        <v>74</v>
      </c>
      <c r="E6903" t="s">
        <v>86</v>
      </c>
      <c r="F6903" s="55">
        <v>83</v>
      </c>
      <c r="G6903" s="63">
        <v>0.16289999999999999</v>
      </c>
    </row>
    <row r="6904" spans="1:7" x14ac:dyDescent="0.2">
      <c r="A6904" t="s">
        <v>71</v>
      </c>
      <c r="B6904" t="s">
        <v>9</v>
      </c>
      <c r="C6904" t="s">
        <v>212</v>
      </c>
      <c r="D6904" t="s">
        <v>74</v>
      </c>
      <c r="E6904" t="s">
        <v>87</v>
      </c>
      <c r="F6904" s="55">
        <v>84</v>
      </c>
      <c r="G6904" s="63">
        <v>0.1845</v>
      </c>
    </row>
    <row r="6905" spans="1:7" x14ac:dyDescent="0.2">
      <c r="A6905" t="s">
        <v>71</v>
      </c>
      <c r="B6905" t="s">
        <v>9</v>
      </c>
      <c r="C6905" t="s">
        <v>212</v>
      </c>
      <c r="D6905" t="s">
        <v>74</v>
      </c>
      <c r="E6905" t="s">
        <v>88</v>
      </c>
      <c r="F6905" s="55">
        <v>82</v>
      </c>
      <c r="G6905" s="63">
        <v>0.13239999999999999</v>
      </c>
    </row>
    <row r="6906" spans="1:7" x14ac:dyDescent="0.2">
      <c r="A6906" t="s">
        <v>71</v>
      </c>
      <c r="B6906" t="s">
        <v>122</v>
      </c>
      <c r="C6906" t="s">
        <v>212</v>
      </c>
      <c r="D6906" t="s">
        <v>74</v>
      </c>
      <c r="E6906" t="s">
        <v>75</v>
      </c>
      <c r="F6906" s="55">
        <v>33</v>
      </c>
      <c r="G6906" s="63">
        <v>2.7E-2</v>
      </c>
    </row>
    <row r="6907" spans="1:7" x14ac:dyDescent="0.2">
      <c r="A6907" t="s">
        <v>71</v>
      </c>
      <c r="B6907" t="s">
        <v>122</v>
      </c>
      <c r="C6907" t="s">
        <v>212</v>
      </c>
      <c r="D6907" t="s">
        <v>74</v>
      </c>
      <c r="E6907" t="s">
        <v>76</v>
      </c>
      <c r="F6907" s="55">
        <v>43</v>
      </c>
      <c r="G6907" s="63">
        <v>1.9E-3</v>
      </c>
    </row>
    <row r="6908" spans="1:7" x14ac:dyDescent="0.2">
      <c r="A6908" t="s">
        <v>71</v>
      </c>
      <c r="B6908" t="s">
        <v>122</v>
      </c>
      <c r="C6908" t="s">
        <v>212</v>
      </c>
      <c r="D6908" t="s">
        <v>74</v>
      </c>
      <c r="E6908" t="s">
        <v>77</v>
      </c>
      <c r="F6908" s="55">
        <v>31</v>
      </c>
      <c r="G6908" s="63">
        <v>8.8999999999999999E-3</v>
      </c>
    </row>
    <row r="6909" spans="1:7" x14ac:dyDescent="0.2">
      <c r="A6909" t="s">
        <v>71</v>
      </c>
      <c r="B6909" t="s">
        <v>122</v>
      </c>
      <c r="C6909" t="s">
        <v>212</v>
      </c>
      <c r="D6909" t="s">
        <v>74</v>
      </c>
      <c r="E6909" t="s">
        <v>78</v>
      </c>
      <c r="F6909" s="55">
        <v>32</v>
      </c>
      <c r="G6909" s="63">
        <v>7.4000000000000003E-3</v>
      </c>
    </row>
    <row r="6910" spans="1:7" x14ac:dyDescent="0.2">
      <c r="A6910" t="s">
        <v>71</v>
      </c>
      <c r="B6910" t="s">
        <v>122</v>
      </c>
      <c r="C6910" t="s">
        <v>212</v>
      </c>
      <c r="D6910" t="s">
        <v>74</v>
      </c>
      <c r="E6910" t="s">
        <v>79</v>
      </c>
      <c r="F6910" s="55">
        <v>29</v>
      </c>
      <c r="G6910" s="63">
        <v>1.3899999999999999E-2</v>
      </c>
    </row>
    <row r="6911" spans="1:7" x14ac:dyDescent="0.2">
      <c r="A6911" t="s">
        <v>71</v>
      </c>
      <c r="B6911" t="s">
        <v>122</v>
      </c>
      <c r="C6911" t="s">
        <v>212</v>
      </c>
      <c r="D6911" t="s">
        <v>74</v>
      </c>
      <c r="E6911" t="s">
        <v>80</v>
      </c>
      <c r="F6911" s="55">
        <v>30</v>
      </c>
      <c r="G6911" s="63">
        <v>2.5000000000000001E-3</v>
      </c>
    </row>
    <row r="6912" spans="1:7" x14ac:dyDescent="0.2">
      <c r="A6912" t="s">
        <v>71</v>
      </c>
      <c r="B6912" t="s">
        <v>122</v>
      </c>
      <c r="C6912" t="s">
        <v>212</v>
      </c>
      <c r="D6912" t="s">
        <v>74</v>
      </c>
      <c r="E6912" t="s">
        <v>81</v>
      </c>
      <c r="F6912" s="55">
        <v>30</v>
      </c>
      <c r="G6912" s="63">
        <v>2.8E-3</v>
      </c>
    </row>
    <row r="6913" spans="1:7" x14ac:dyDescent="0.2">
      <c r="A6913" t="s">
        <v>71</v>
      </c>
      <c r="B6913" t="s">
        <v>122</v>
      </c>
      <c r="C6913" t="s">
        <v>212</v>
      </c>
      <c r="D6913" t="s">
        <v>74</v>
      </c>
      <c r="E6913" t="s">
        <v>82</v>
      </c>
      <c r="F6913" s="55">
        <v>35</v>
      </c>
      <c r="G6913" s="63">
        <v>1.23E-2</v>
      </c>
    </row>
    <row r="6914" spans="1:7" x14ac:dyDescent="0.2">
      <c r="A6914" t="s">
        <v>71</v>
      </c>
      <c r="B6914" t="s">
        <v>122</v>
      </c>
      <c r="C6914" t="s">
        <v>212</v>
      </c>
      <c r="D6914" t="s">
        <v>74</v>
      </c>
      <c r="E6914" t="s">
        <v>83</v>
      </c>
      <c r="F6914" s="55">
        <v>42</v>
      </c>
      <c r="G6914" s="63">
        <v>1E-3</v>
      </c>
    </row>
    <row r="6915" spans="1:7" x14ac:dyDescent="0.2">
      <c r="A6915" t="s">
        <v>71</v>
      </c>
      <c r="B6915" t="s">
        <v>122</v>
      </c>
      <c r="C6915" t="s">
        <v>212</v>
      </c>
      <c r="D6915" t="s">
        <v>74</v>
      </c>
      <c r="E6915" t="s">
        <v>84</v>
      </c>
      <c r="F6915" s="55">
        <v>32</v>
      </c>
      <c r="G6915" s="63">
        <v>6.1000000000000004E-3</v>
      </c>
    </row>
    <row r="6916" spans="1:7" x14ac:dyDescent="0.2">
      <c r="A6916" t="s">
        <v>71</v>
      </c>
      <c r="B6916" t="s">
        <v>122</v>
      </c>
      <c r="C6916" t="s">
        <v>212</v>
      </c>
      <c r="D6916" t="s">
        <v>74</v>
      </c>
      <c r="E6916" t="s">
        <v>85</v>
      </c>
      <c r="F6916" s="55">
        <v>24</v>
      </c>
      <c r="G6916" s="63">
        <v>3.0999999999999999E-3</v>
      </c>
    </row>
    <row r="6917" spans="1:7" x14ac:dyDescent="0.2">
      <c r="A6917" t="s">
        <v>71</v>
      </c>
      <c r="B6917" t="s">
        <v>122</v>
      </c>
      <c r="C6917" t="s">
        <v>212</v>
      </c>
      <c r="D6917" t="s">
        <v>74</v>
      </c>
      <c r="E6917" t="s">
        <v>86</v>
      </c>
      <c r="F6917" s="55">
        <v>26</v>
      </c>
      <c r="G6917" s="63">
        <v>4.4999999999999997E-3</v>
      </c>
    </row>
    <row r="6918" spans="1:7" x14ac:dyDescent="0.2">
      <c r="A6918" t="s">
        <v>71</v>
      </c>
      <c r="B6918" t="s">
        <v>122</v>
      </c>
      <c r="C6918" t="s">
        <v>212</v>
      </c>
      <c r="D6918" t="s">
        <v>74</v>
      </c>
      <c r="E6918" t="s">
        <v>87</v>
      </c>
      <c r="F6918" s="55">
        <v>30</v>
      </c>
      <c r="G6918" s="63">
        <v>5.5999999999999999E-3</v>
      </c>
    </row>
    <row r="6919" spans="1:7" x14ac:dyDescent="0.2">
      <c r="A6919" t="s">
        <v>71</v>
      </c>
      <c r="B6919" t="s">
        <v>122</v>
      </c>
      <c r="C6919" t="s">
        <v>212</v>
      </c>
      <c r="D6919" t="s">
        <v>74</v>
      </c>
      <c r="E6919" t="s">
        <v>88</v>
      </c>
      <c r="F6919" s="55">
        <v>38</v>
      </c>
      <c r="G6919" s="63">
        <v>4.7999999999999996E-3</v>
      </c>
    </row>
    <row r="6920" spans="1:7" x14ac:dyDescent="0.2">
      <c r="A6920" t="s">
        <v>71</v>
      </c>
      <c r="B6920" t="s">
        <v>123</v>
      </c>
      <c r="C6920" t="s">
        <v>212</v>
      </c>
      <c r="D6920" t="s">
        <v>74</v>
      </c>
      <c r="E6920" t="s">
        <v>75</v>
      </c>
      <c r="F6920" s="55">
        <v>89</v>
      </c>
      <c r="G6920" s="63">
        <v>0.32650000000000001</v>
      </c>
    </row>
    <row r="6921" spans="1:7" x14ac:dyDescent="0.2">
      <c r="A6921" t="s">
        <v>71</v>
      </c>
      <c r="B6921" t="s">
        <v>123</v>
      </c>
      <c r="C6921" t="s">
        <v>212</v>
      </c>
      <c r="D6921" t="s">
        <v>74</v>
      </c>
      <c r="E6921" t="s">
        <v>76</v>
      </c>
      <c r="F6921" s="55">
        <v>91</v>
      </c>
      <c r="G6921" s="63">
        <v>5.5899999999999998E-2</v>
      </c>
    </row>
    <row r="6922" spans="1:7" x14ac:dyDescent="0.2">
      <c r="A6922" t="s">
        <v>71</v>
      </c>
      <c r="B6922" t="s">
        <v>123</v>
      </c>
      <c r="C6922" t="s">
        <v>212</v>
      </c>
      <c r="D6922" t="s">
        <v>74</v>
      </c>
      <c r="E6922" t="s">
        <v>77</v>
      </c>
      <c r="F6922" s="55">
        <v>87</v>
      </c>
      <c r="G6922" s="63">
        <v>0.12970000000000001</v>
      </c>
    </row>
    <row r="6923" spans="1:7" x14ac:dyDescent="0.2">
      <c r="A6923" t="s">
        <v>71</v>
      </c>
      <c r="B6923" t="s">
        <v>123</v>
      </c>
      <c r="C6923" t="s">
        <v>212</v>
      </c>
      <c r="D6923" t="s">
        <v>74</v>
      </c>
      <c r="E6923" t="s">
        <v>78</v>
      </c>
      <c r="F6923" s="55">
        <v>84</v>
      </c>
      <c r="G6923" s="63">
        <v>0.1138</v>
      </c>
    </row>
    <row r="6924" spans="1:7" x14ac:dyDescent="0.2">
      <c r="A6924" t="s">
        <v>71</v>
      </c>
      <c r="B6924" t="s">
        <v>123</v>
      </c>
      <c r="C6924" t="s">
        <v>212</v>
      </c>
      <c r="D6924" t="s">
        <v>74</v>
      </c>
      <c r="E6924" t="s">
        <v>79</v>
      </c>
      <c r="F6924" s="55">
        <v>91</v>
      </c>
      <c r="G6924" s="63">
        <v>0.2056</v>
      </c>
    </row>
    <row r="6925" spans="1:7" x14ac:dyDescent="0.2">
      <c r="A6925" t="s">
        <v>71</v>
      </c>
      <c r="B6925" t="s">
        <v>123</v>
      </c>
      <c r="C6925" t="s">
        <v>212</v>
      </c>
      <c r="D6925" t="s">
        <v>74</v>
      </c>
      <c r="E6925" t="s">
        <v>80</v>
      </c>
      <c r="F6925" s="55">
        <v>86</v>
      </c>
      <c r="G6925" s="63">
        <v>5.6000000000000001E-2</v>
      </c>
    </row>
    <row r="6926" spans="1:7" x14ac:dyDescent="0.2">
      <c r="A6926" t="s">
        <v>71</v>
      </c>
      <c r="B6926" t="s">
        <v>123</v>
      </c>
      <c r="C6926" t="s">
        <v>212</v>
      </c>
      <c r="D6926" t="s">
        <v>74</v>
      </c>
      <c r="E6926" t="s">
        <v>81</v>
      </c>
      <c r="F6926" s="55">
        <v>84</v>
      </c>
      <c r="G6926" s="63">
        <v>6.7199999999999996E-2</v>
      </c>
    </row>
    <row r="6927" spans="1:7" x14ac:dyDescent="0.2">
      <c r="A6927" t="s">
        <v>71</v>
      </c>
      <c r="B6927" t="s">
        <v>123</v>
      </c>
      <c r="C6927" t="s">
        <v>212</v>
      </c>
      <c r="D6927" t="s">
        <v>74</v>
      </c>
      <c r="E6927" t="s">
        <v>82</v>
      </c>
      <c r="F6927" s="55">
        <v>91</v>
      </c>
      <c r="G6927" s="63">
        <v>0.18129999999999999</v>
      </c>
    </row>
    <row r="6928" spans="1:7" x14ac:dyDescent="0.2">
      <c r="A6928" t="s">
        <v>71</v>
      </c>
      <c r="B6928" t="s">
        <v>123</v>
      </c>
      <c r="C6928" t="s">
        <v>212</v>
      </c>
      <c r="D6928" t="s">
        <v>74</v>
      </c>
      <c r="E6928" t="s">
        <v>83</v>
      </c>
      <c r="F6928" s="55">
        <v>87</v>
      </c>
      <c r="G6928" s="63">
        <v>3.7499999999999999E-2</v>
      </c>
    </row>
    <row r="6929" spans="1:7" x14ac:dyDescent="0.2">
      <c r="A6929" t="s">
        <v>71</v>
      </c>
      <c r="B6929" t="s">
        <v>123</v>
      </c>
      <c r="C6929" t="s">
        <v>212</v>
      </c>
      <c r="D6929" t="s">
        <v>74</v>
      </c>
      <c r="E6929" t="s">
        <v>84</v>
      </c>
      <c r="F6929" s="55">
        <v>84</v>
      </c>
      <c r="G6929" s="63">
        <v>8.5500000000000007E-2</v>
      </c>
    </row>
    <row r="6930" spans="1:7" x14ac:dyDescent="0.2">
      <c r="A6930" t="s">
        <v>71</v>
      </c>
      <c r="B6930" t="s">
        <v>123</v>
      </c>
      <c r="C6930" t="s">
        <v>212</v>
      </c>
      <c r="D6930" t="s">
        <v>74</v>
      </c>
      <c r="E6930" t="s">
        <v>85</v>
      </c>
      <c r="F6930" s="55">
        <v>90</v>
      </c>
      <c r="G6930" s="63">
        <v>6.5799999999999997E-2</v>
      </c>
    </row>
    <row r="6931" spans="1:7" x14ac:dyDescent="0.2">
      <c r="A6931" t="s">
        <v>71</v>
      </c>
      <c r="B6931" t="s">
        <v>123</v>
      </c>
      <c r="C6931" t="s">
        <v>212</v>
      </c>
      <c r="D6931" t="s">
        <v>74</v>
      </c>
      <c r="E6931" t="s">
        <v>86</v>
      </c>
      <c r="F6931" s="55">
        <v>92</v>
      </c>
      <c r="G6931" s="63">
        <v>8.3500000000000005E-2</v>
      </c>
    </row>
    <row r="6932" spans="1:7" x14ac:dyDescent="0.2">
      <c r="A6932" t="s">
        <v>71</v>
      </c>
      <c r="B6932" t="s">
        <v>123</v>
      </c>
      <c r="C6932" t="s">
        <v>212</v>
      </c>
      <c r="D6932" t="s">
        <v>74</v>
      </c>
      <c r="E6932" t="s">
        <v>87</v>
      </c>
      <c r="F6932" s="55">
        <v>94</v>
      </c>
      <c r="G6932" s="63">
        <v>9.98E-2</v>
      </c>
    </row>
    <row r="6933" spans="1:7" x14ac:dyDescent="0.2">
      <c r="A6933" t="s">
        <v>71</v>
      </c>
      <c r="B6933" t="s">
        <v>123</v>
      </c>
      <c r="C6933" t="s">
        <v>212</v>
      </c>
      <c r="D6933" t="s">
        <v>74</v>
      </c>
      <c r="E6933" t="s">
        <v>88</v>
      </c>
      <c r="F6933" s="55">
        <v>91</v>
      </c>
      <c r="G6933" s="63">
        <v>8.8800000000000004E-2</v>
      </c>
    </row>
    <row r="6934" spans="1:7" x14ac:dyDescent="0.2">
      <c r="A6934" t="s">
        <v>71</v>
      </c>
      <c r="B6934" t="s">
        <v>124</v>
      </c>
      <c r="C6934" t="s">
        <v>212</v>
      </c>
      <c r="D6934" t="s">
        <v>74</v>
      </c>
      <c r="E6934" t="s">
        <v>75</v>
      </c>
      <c r="F6934" s="55">
        <v>88</v>
      </c>
      <c r="G6934" s="63">
        <v>0.10680000000000001</v>
      </c>
    </row>
    <row r="6935" spans="1:7" x14ac:dyDescent="0.2">
      <c r="A6935" t="s">
        <v>71</v>
      </c>
      <c r="B6935" t="s">
        <v>124</v>
      </c>
      <c r="C6935" t="s">
        <v>212</v>
      </c>
      <c r="D6935" t="s">
        <v>74</v>
      </c>
      <c r="E6935" t="s">
        <v>76</v>
      </c>
      <c r="F6935" s="55">
        <v>91</v>
      </c>
      <c r="G6935" s="63">
        <v>1.06E-2</v>
      </c>
    </row>
    <row r="6936" spans="1:7" x14ac:dyDescent="0.2">
      <c r="A6936" t="s">
        <v>71</v>
      </c>
      <c r="B6936" t="s">
        <v>124</v>
      </c>
      <c r="C6936" t="s">
        <v>212</v>
      </c>
      <c r="D6936" t="s">
        <v>74</v>
      </c>
      <c r="E6936" t="s">
        <v>77</v>
      </c>
      <c r="F6936" s="55">
        <v>90</v>
      </c>
      <c r="G6936" s="63">
        <v>3.4700000000000002E-2</v>
      </c>
    </row>
    <row r="6937" spans="1:7" x14ac:dyDescent="0.2">
      <c r="A6937" t="s">
        <v>71</v>
      </c>
      <c r="B6937" t="s">
        <v>124</v>
      </c>
      <c r="C6937" t="s">
        <v>212</v>
      </c>
      <c r="D6937" t="s">
        <v>74</v>
      </c>
      <c r="E6937" t="s">
        <v>78</v>
      </c>
      <c r="F6937" s="55">
        <v>79</v>
      </c>
      <c r="G6937" s="63">
        <v>2.6100000000000002E-2</v>
      </c>
    </row>
    <row r="6938" spans="1:7" x14ac:dyDescent="0.2">
      <c r="A6938" t="s">
        <v>71</v>
      </c>
      <c r="B6938" t="s">
        <v>124</v>
      </c>
      <c r="C6938" t="s">
        <v>212</v>
      </c>
      <c r="D6938" t="s">
        <v>74</v>
      </c>
      <c r="E6938" t="s">
        <v>79</v>
      </c>
      <c r="F6938" s="55">
        <v>89</v>
      </c>
      <c r="G6938" s="63">
        <v>5.8700000000000002E-2</v>
      </c>
    </row>
    <row r="6939" spans="1:7" x14ac:dyDescent="0.2">
      <c r="A6939" t="s">
        <v>71</v>
      </c>
      <c r="B6939" t="s">
        <v>124</v>
      </c>
      <c r="C6939" t="s">
        <v>212</v>
      </c>
      <c r="D6939" t="s">
        <v>74</v>
      </c>
      <c r="E6939" t="s">
        <v>80</v>
      </c>
      <c r="F6939" s="55">
        <v>86</v>
      </c>
      <c r="G6939" s="63">
        <v>9.2999999999999992E-3</v>
      </c>
    </row>
    <row r="6940" spans="1:7" x14ac:dyDescent="0.2">
      <c r="A6940" t="s">
        <v>71</v>
      </c>
      <c r="B6940" t="s">
        <v>124</v>
      </c>
      <c r="C6940" t="s">
        <v>212</v>
      </c>
      <c r="D6940" t="s">
        <v>74</v>
      </c>
      <c r="E6940" t="s">
        <v>81</v>
      </c>
      <c r="F6940" s="55">
        <v>86</v>
      </c>
      <c r="G6940" s="63">
        <v>1.2E-2</v>
      </c>
    </row>
    <row r="6941" spans="1:7" x14ac:dyDescent="0.2">
      <c r="A6941" t="s">
        <v>71</v>
      </c>
      <c r="B6941" t="s">
        <v>124</v>
      </c>
      <c r="C6941" t="s">
        <v>212</v>
      </c>
      <c r="D6941" t="s">
        <v>74</v>
      </c>
      <c r="E6941" t="s">
        <v>82</v>
      </c>
      <c r="F6941" s="55">
        <v>99</v>
      </c>
      <c r="G6941" s="63">
        <v>4.48E-2</v>
      </c>
    </row>
    <row r="6942" spans="1:7" x14ac:dyDescent="0.2">
      <c r="A6942" t="s">
        <v>71</v>
      </c>
      <c r="B6942" t="s">
        <v>124</v>
      </c>
      <c r="C6942" t="s">
        <v>212</v>
      </c>
      <c r="D6942" t="s">
        <v>74</v>
      </c>
      <c r="E6942" t="s">
        <v>83</v>
      </c>
      <c r="F6942" s="55">
        <v>85</v>
      </c>
      <c r="G6942" s="63">
        <v>6.7000000000000002E-3</v>
      </c>
    </row>
    <row r="6943" spans="1:7" x14ac:dyDescent="0.2">
      <c r="A6943" t="s">
        <v>71</v>
      </c>
      <c r="B6943" t="s">
        <v>124</v>
      </c>
      <c r="C6943" t="s">
        <v>212</v>
      </c>
      <c r="D6943" t="s">
        <v>74</v>
      </c>
      <c r="E6943" t="s">
        <v>84</v>
      </c>
      <c r="F6943" s="55">
        <v>78</v>
      </c>
      <c r="G6943" s="63">
        <v>1.7000000000000001E-2</v>
      </c>
    </row>
    <row r="6944" spans="1:7" x14ac:dyDescent="0.2">
      <c r="A6944" t="s">
        <v>71</v>
      </c>
      <c r="B6944" t="s">
        <v>124</v>
      </c>
      <c r="C6944" t="s">
        <v>212</v>
      </c>
      <c r="D6944" t="s">
        <v>74</v>
      </c>
      <c r="E6944" t="s">
        <v>85</v>
      </c>
      <c r="F6944" s="55">
        <v>89</v>
      </c>
      <c r="G6944" s="63">
        <v>1.23E-2</v>
      </c>
    </row>
    <row r="6945" spans="1:7" x14ac:dyDescent="0.2">
      <c r="A6945" t="s">
        <v>71</v>
      </c>
      <c r="B6945" t="s">
        <v>124</v>
      </c>
      <c r="C6945" t="s">
        <v>212</v>
      </c>
      <c r="D6945" t="s">
        <v>74</v>
      </c>
      <c r="E6945" t="s">
        <v>86</v>
      </c>
      <c r="F6945" s="55">
        <v>95</v>
      </c>
      <c r="G6945" s="63">
        <v>1.7500000000000002E-2</v>
      </c>
    </row>
    <row r="6946" spans="1:7" x14ac:dyDescent="0.2">
      <c r="A6946" t="s">
        <v>71</v>
      </c>
      <c r="B6946" t="s">
        <v>124</v>
      </c>
      <c r="C6946" t="s">
        <v>212</v>
      </c>
      <c r="D6946" t="s">
        <v>74</v>
      </c>
      <c r="E6946" t="s">
        <v>87</v>
      </c>
      <c r="F6946" s="55">
        <v>89</v>
      </c>
      <c r="G6946" s="63">
        <v>2.23E-2</v>
      </c>
    </row>
    <row r="6947" spans="1:7" x14ac:dyDescent="0.2">
      <c r="A6947" t="s">
        <v>71</v>
      </c>
      <c r="B6947" t="s">
        <v>124</v>
      </c>
      <c r="C6947" t="s">
        <v>212</v>
      </c>
      <c r="D6947" t="s">
        <v>74</v>
      </c>
      <c r="E6947" t="s">
        <v>88</v>
      </c>
      <c r="F6947" s="55">
        <v>92</v>
      </c>
      <c r="G6947" s="63">
        <v>1.7000000000000001E-2</v>
      </c>
    </row>
    <row r="6948" spans="1:7" x14ac:dyDescent="0.2">
      <c r="A6948" t="s">
        <v>89</v>
      </c>
      <c r="B6948" t="s">
        <v>125</v>
      </c>
      <c r="C6948" t="s">
        <v>212</v>
      </c>
      <c r="D6948" t="s">
        <v>74</v>
      </c>
      <c r="E6948" t="s">
        <v>75</v>
      </c>
      <c r="F6948" s="55">
        <v>89</v>
      </c>
      <c r="G6948" s="63">
        <v>9.5600000000000004E-2</v>
      </c>
    </row>
    <row r="6949" spans="1:7" x14ac:dyDescent="0.2">
      <c r="A6949" t="s">
        <v>89</v>
      </c>
      <c r="B6949" t="s">
        <v>125</v>
      </c>
      <c r="C6949" t="s">
        <v>212</v>
      </c>
      <c r="D6949" t="s">
        <v>74</v>
      </c>
      <c r="E6949" t="s">
        <v>76</v>
      </c>
      <c r="F6949" s="55">
        <v>90</v>
      </c>
      <c r="G6949" s="63">
        <v>9.2999999999999992E-3</v>
      </c>
    </row>
    <row r="6950" spans="1:7" x14ac:dyDescent="0.2">
      <c r="A6950" t="s">
        <v>89</v>
      </c>
      <c r="B6950" t="s">
        <v>125</v>
      </c>
      <c r="C6950" t="s">
        <v>212</v>
      </c>
      <c r="D6950" t="s">
        <v>74</v>
      </c>
      <c r="E6950" t="s">
        <v>77</v>
      </c>
      <c r="F6950" s="55">
        <v>90</v>
      </c>
      <c r="G6950" s="63">
        <v>2.63E-2</v>
      </c>
    </row>
    <row r="6951" spans="1:7" x14ac:dyDescent="0.2">
      <c r="A6951" t="s">
        <v>89</v>
      </c>
      <c r="B6951" t="s">
        <v>125</v>
      </c>
      <c r="C6951" t="s">
        <v>212</v>
      </c>
      <c r="D6951" t="s">
        <v>74</v>
      </c>
      <c r="E6951" t="s">
        <v>78</v>
      </c>
      <c r="F6951" s="55">
        <v>90</v>
      </c>
      <c r="G6951" s="63">
        <v>2.23E-2</v>
      </c>
    </row>
    <row r="6952" spans="1:7" x14ac:dyDescent="0.2">
      <c r="A6952" t="s">
        <v>89</v>
      </c>
      <c r="B6952" t="s">
        <v>125</v>
      </c>
      <c r="C6952" t="s">
        <v>212</v>
      </c>
      <c r="D6952" t="s">
        <v>74</v>
      </c>
      <c r="E6952" t="s">
        <v>79</v>
      </c>
      <c r="F6952" s="55">
        <v>93</v>
      </c>
      <c r="G6952" s="63">
        <v>5.5899999999999998E-2</v>
      </c>
    </row>
    <row r="6953" spans="1:7" x14ac:dyDescent="0.2">
      <c r="A6953" t="s">
        <v>89</v>
      </c>
      <c r="B6953" t="s">
        <v>125</v>
      </c>
      <c r="C6953" t="s">
        <v>212</v>
      </c>
      <c r="D6953" t="s">
        <v>74</v>
      </c>
      <c r="E6953" t="s">
        <v>80</v>
      </c>
      <c r="F6953" s="55">
        <v>82</v>
      </c>
      <c r="G6953" s="63">
        <v>7.7999999999999996E-3</v>
      </c>
    </row>
    <row r="6954" spans="1:7" x14ac:dyDescent="0.2">
      <c r="A6954" t="s">
        <v>89</v>
      </c>
      <c r="B6954" t="s">
        <v>125</v>
      </c>
      <c r="C6954" t="s">
        <v>212</v>
      </c>
      <c r="D6954" t="s">
        <v>74</v>
      </c>
      <c r="E6954" t="s">
        <v>81</v>
      </c>
      <c r="F6954" s="55">
        <v>77</v>
      </c>
      <c r="G6954" s="63">
        <v>9.2999999999999992E-3</v>
      </c>
    </row>
    <row r="6955" spans="1:7" x14ac:dyDescent="0.2">
      <c r="A6955" t="s">
        <v>89</v>
      </c>
      <c r="B6955" t="s">
        <v>125</v>
      </c>
      <c r="C6955" t="s">
        <v>212</v>
      </c>
      <c r="D6955" t="s">
        <v>74</v>
      </c>
      <c r="E6955" t="s">
        <v>82</v>
      </c>
      <c r="F6955" s="55">
        <v>89</v>
      </c>
      <c r="G6955" s="63">
        <v>3.9899999999999998E-2</v>
      </c>
    </row>
    <row r="6956" spans="1:7" x14ac:dyDescent="0.2">
      <c r="A6956" t="s">
        <v>89</v>
      </c>
      <c r="B6956" t="s">
        <v>125</v>
      </c>
      <c r="C6956" t="s">
        <v>212</v>
      </c>
      <c r="D6956" t="s">
        <v>74</v>
      </c>
      <c r="E6956" t="s">
        <v>83</v>
      </c>
      <c r="F6956" s="55">
        <v>86</v>
      </c>
      <c r="G6956" s="63">
        <v>5.4000000000000003E-3</v>
      </c>
    </row>
    <row r="6957" spans="1:7" x14ac:dyDescent="0.2">
      <c r="A6957" t="s">
        <v>89</v>
      </c>
      <c r="B6957" t="s">
        <v>125</v>
      </c>
      <c r="C6957" t="s">
        <v>212</v>
      </c>
      <c r="D6957" t="s">
        <v>74</v>
      </c>
      <c r="E6957" t="s">
        <v>84</v>
      </c>
      <c r="F6957" s="55">
        <v>88</v>
      </c>
      <c r="G6957" s="63">
        <v>1.5699999999999999E-2</v>
      </c>
    </row>
    <row r="6958" spans="1:7" x14ac:dyDescent="0.2">
      <c r="A6958" t="s">
        <v>89</v>
      </c>
      <c r="B6958" t="s">
        <v>125</v>
      </c>
      <c r="C6958" t="s">
        <v>212</v>
      </c>
      <c r="D6958" t="s">
        <v>74</v>
      </c>
      <c r="E6958" t="s">
        <v>85</v>
      </c>
      <c r="F6958" s="55">
        <v>92</v>
      </c>
      <c r="G6958" s="63">
        <v>1.0200000000000001E-2</v>
      </c>
    </row>
    <row r="6959" spans="1:7" x14ac:dyDescent="0.2">
      <c r="A6959" t="s">
        <v>89</v>
      </c>
      <c r="B6959" t="s">
        <v>125</v>
      </c>
      <c r="C6959" t="s">
        <v>212</v>
      </c>
      <c r="D6959" t="s">
        <v>74</v>
      </c>
      <c r="E6959" t="s">
        <v>86</v>
      </c>
      <c r="F6959" s="55">
        <v>96</v>
      </c>
      <c r="G6959" s="63">
        <v>1.61E-2</v>
      </c>
    </row>
    <row r="6960" spans="1:7" x14ac:dyDescent="0.2">
      <c r="A6960" t="s">
        <v>89</v>
      </c>
      <c r="B6960" t="s">
        <v>125</v>
      </c>
      <c r="C6960" t="s">
        <v>212</v>
      </c>
      <c r="D6960" t="s">
        <v>74</v>
      </c>
      <c r="E6960" t="s">
        <v>87</v>
      </c>
      <c r="F6960" s="55">
        <v>97</v>
      </c>
      <c r="G6960" s="63">
        <v>2.1899999999999999E-2</v>
      </c>
    </row>
    <row r="6961" spans="1:7" x14ac:dyDescent="0.2">
      <c r="A6961" t="s">
        <v>89</v>
      </c>
      <c r="B6961" t="s">
        <v>125</v>
      </c>
      <c r="C6961" t="s">
        <v>212</v>
      </c>
      <c r="D6961" t="s">
        <v>74</v>
      </c>
      <c r="E6961" t="s">
        <v>88</v>
      </c>
      <c r="F6961" s="55">
        <v>91</v>
      </c>
      <c r="G6961" s="63">
        <v>1.4500000000000001E-2</v>
      </c>
    </row>
    <row r="6962" spans="1:7" x14ac:dyDescent="0.2">
      <c r="A6962" t="s">
        <v>71</v>
      </c>
      <c r="B6962" t="s">
        <v>10</v>
      </c>
      <c r="C6962" t="s">
        <v>212</v>
      </c>
      <c r="D6962" t="s">
        <v>74</v>
      </c>
      <c r="E6962" t="s">
        <v>75</v>
      </c>
      <c r="F6962" s="55">
        <v>109</v>
      </c>
      <c r="G6962" s="63">
        <v>0.3498</v>
      </c>
    </row>
    <row r="6963" spans="1:7" x14ac:dyDescent="0.2">
      <c r="A6963" t="s">
        <v>71</v>
      </c>
      <c r="B6963" t="s">
        <v>10</v>
      </c>
      <c r="C6963" t="s">
        <v>212</v>
      </c>
      <c r="D6963" t="s">
        <v>74</v>
      </c>
      <c r="E6963" t="s">
        <v>76</v>
      </c>
      <c r="F6963" s="55">
        <v>103</v>
      </c>
      <c r="G6963" s="63">
        <v>5.91E-2</v>
      </c>
    </row>
    <row r="6964" spans="1:7" x14ac:dyDescent="0.2">
      <c r="A6964" t="s">
        <v>71</v>
      </c>
      <c r="B6964" t="s">
        <v>10</v>
      </c>
      <c r="C6964" t="s">
        <v>212</v>
      </c>
      <c r="D6964" t="s">
        <v>74</v>
      </c>
      <c r="E6964" t="s">
        <v>77</v>
      </c>
      <c r="F6964" s="55">
        <v>111</v>
      </c>
      <c r="G6964" s="63">
        <v>0.14979999999999999</v>
      </c>
    </row>
    <row r="6965" spans="1:7" x14ac:dyDescent="0.2">
      <c r="A6965" t="s">
        <v>71</v>
      </c>
      <c r="B6965" t="s">
        <v>10</v>
      </c>
      <c r="C6965" t="s">
        <v>212</v>
      </c>
      <c r="D6965" t="s">
        <v>74</v>
      </c>
      <c r="E6965" t="s">
        <v>78</v>
      </c>
      <c r="F6965" s="55">
        <v>111</v>
      </c>
      <c r="G6965" s="63">
        <v>0.1396</v>
      </c>
    </row>
    <row r="6966" spans="1:7" x14ac:dyDescent="0.2">
      <c r="A6966" t="s">
        <v>71</v>
      </c>
      <c r="B6966" t="s">
        <v>10</v>
      </c>
      <c r="C6966" t="s">
        <v>212</v>
      </c>
      <c r="D6966" t="s">
        <v>74</v>
      </c>
      <c r="E6966" t="s">
        <v>79</v>
      </c>
      <c r="F6966" s="55">
        <v>108</v>
      </c>
      <c r="G6966" s="63">
        <v>0.2487</v>
      </c>
    </row>
    <row r="6967" spans="1:7" x14ac:dyDescent="0.2">
      <c r="A6967" t="s">
        <v>71</v>
      </c>
      <c r="B6967" t="s">
        <v>10</v>
      </c>
      <c r="C6967" t="s">
        <v>212</v>
      </c>
      <c r="D6967" t="s">
        <v>74</v>
      </c>
      <c r="E6967" t="s">
        <v>80</v>
      </c>
      <c r="F6967" s="55">
        <v>103</v>
      </c>
      <c r="G6967" s="63">
        <v>8.1000000000000003E-2</v>
      </c>
    </row>
    <row r="6968" spans="1:7" x14ac:dyDescent="0.2">
      <c r="A6968" t="s">
        <v>71</v>
      </c>
      <c r="B6968" t="s">
        <v>10</v>
      </c>
      <c r="C6968" t="s">
        <v>212</v>
      </c>
      <c r="D6968" t="s">
        <v>74</v>
      </c>
      <c r="E6968" t="s">
        <v>81</v>
      </c>
      <c r="F6968" s="55">
        <v>104</v>
      </c>
      <c r="G6968" s="63">
        <v>8.0100000000000005E-2</v>
      </c>
    </row>
    <row r="6969" spans="1:7" x14ac:dyDescent="0.2">
      <c r="A6969" t="s">
        <v>71</v>
      </c>
      <c r="B6969" t="s">
        <v>10</v>
      </c>
      <c r="C6969" t="s">
        <v>212</v>
      </c>
      <c r="D6969" t="s">
        <v>74</v>
      </c>
      <c r="E6969" t="s">
        <v>82</v>
      </c>
      <c r="F6969" s="55">
        <v>113</v>
      </c>
      <c r="G6969" s="63">
        <v>0.21440000000000001</v>
      </c>
    </row>
    <row r="6970" spans="1:7" x14ac:dyDescent="0.2">
      <c r="A6970" t="s">
        <v>71</v>
      </c>
      <c r="B6970" t="s">
        <v>10</v>
      </c>
      <c r="C6970" t="s">
        <v>212</v>
      </c>
      <c r="D6970" t="s">
        <v>74</v>
      </c>
      <c r="E6970" t="s">
        <v>83</v>
      </c>
      <c r="F6970" s="55">
        <v>106</v>
      </c>
      <c r="G6970" s="63">
        <v>3.8800000000000001E-2</v>
      </c>
    </row>
    <row r="6971" spans="1:7" x14ac:dyDescent="0.2">
      <c r="A6971" t="s">
        <v>71</v>
      </c>
      <c r="B6971" t="s">
        <v>10</v>
      </c>
      <c r="C6971" t="s">
        <v>212</v>
      </c>
      <c r="D6971" t="s">
        <v>74</v>
      </c>
      <c r="E6971" t="s">
        <v>84</v>
      </c>
      <c r="F6971" s="55">
        <v>112</v>
      </c>
      <c r="G6971" s="63">
        <v>0.11260000000000001</v>
      </c>
    </row>
    <row r="6972" spans="1:7" x14ac:dyDescent="0.2">
      <c r="A6972" t="s">
        <v>71</v>
      </c>
      <c r="B6972" t="s">
        <v>10</v>
      </c>
      <c r="C6972" t="s">
        <v>212</v>
      </c>
      <c r="D6972" t="s">
        <v>74</v>
      </c>
      <c r="E6972" t="s">
        <v>85</v>
      </c>
      <c r="F6972" s="55">
        <v>106</v>
      </c>
      <c r="G6972" s="63">
        <v>9.6000000000000002E-2</v>
      </c>
    </row>
    <row r="6973" spans="1:7" x14ac:dyDescent="0.2">
      <c r="A6973" t="s">
        <v>71</v>
      </c>
      <c r="B6973" t="s">
        <v>10</v>
      </c>
      <c r="C6973" t="s">
        <v>212</v>
      </c>
      <c r="D6973" t="s">
        <v>74</v>
      </c>
      <c r="E6973" t="s">
        <v>86</v>
      </c>
      <c r="F6973" s="55">
        <v>108</v>
      </c>
      <c r="G6973" s="63">
        <v>0.1245</v>
      </c>
    </row>
    <row r="6974" spans="1:7" x14ac:dyDescent="0.2">
      <c r="A6974" t="s">
        <v>71</v>
      </c>
      <c r="B6974" t="s">
        <v>10</v>
      </c>
      <c r="C6974" t="s">
        <v>212</v>
      </c>
      <c r="D6974" t="s">
        <v>74</v>
      </c>
      <c r="E6974" t="s">
        <v>87</v>
      </c>
      <c r="F6974" s="55">
        <v>110</v>
      </c>
      <c r="G6974" s="63">
        <v>0.14580000000000001</v>
      </c>
    </row>
    <row r="6975" spans="1:7" x14ac:dyDescent="0.2">
      <c r="A6975" t="s">
        <v>71</v>
      </c>
      <c r="B6975" t="s">
        <v>10</v>
      </c>
      <c r="C6975" t="s">
        <v>212</v>
      </c>
      <c r="D6975" t="s">
        <v>74</v>
      </c>
      <c r="E6975" t="s">
        <v>88</v>
      </c>
      <c r="F6975" s="55">
        <v>107</v>
      </c>
      <c r="G6975" s="63">
        <v>0.1033</v>
      </c>
    </row>
    <row r="6976" spans="1:7" x14ac:dyDescent="0.2">
      <c r="A6976" t="s">
        <v>89</v>
      </c>
      <c r="B6976" t="s">
        <v>126</v>
      </c>
      <c r="C6976" t="s">
        <v>212</v>
      </c>
      <c r="D6976" t="s">
        <v>91</v>
      </c>
      <c r="E6976" t="s">
        <v>75</v>
      </c>
      <c r="F6976" s="55">
        <v>99</v>
      </c>
      <c r="G6976" s="63">
        <v>0.71319999999999995</v>
      </c>
    </row>
    <row r="6977" spans="1:7" x14ac:dyDescent="0.2">
      <c r="A6977" t="s">
        <v>89</v>
      </c>
      <c r="B6977" t="s">
        <v>126</v>
      </c>
      <c r="C6977" t="s">
        <v>212</v>
      </c>
      <c r="D6977" t="s">
        <v>91</v>
      </c>
      <c r="E6977" t="s">
        <v>76</v>
      </c>
      <c r="F6977" s="55">
        <v>95</v>
      </c>
      <c r="G6977" s="63">
        <v>0.20630000000000001</v>
      </c>
    </row>
    <row r="6978" spans="1:7" x14ac:dyDescent="0.2">
      <c r="A6978" t="s">
        <v>89</v>
      </c>
      <c r="B6978" t="s">
        <v>126</v>
      </c>
      <c r="C6978" t="s">
        <v>212</v>
      </c>
      <c r="D6978" t="s">
        <v>91</v>
      </c>
      <c r="E6978" t="s">
        <v>77</v>
      </c>
      <c r="F6978" s="55">
        <v>96</v>
      </c>
      <c r="G6978" s="63">
        <v>0.35139999999999999</v>
      </c>
    </row>
    <row r="6979" spans="1:7" x14ac:dyDescent="0.2">
      <c r="A6979" t="s">
        <v>89</v>
      </c>
      <c r="B6979" t="s">
        <v>126</v>
      </c>
      <c r="C6979" t="s">
        <v>212</v>
      </c>
      <c r="D6979" t="s">
        <v>91</v>
      </c>
      <c r="E6979" t="s">
        <v>78</v>
      </c>
      <c r="F6979" s="55">
        <v>98</v>
      </c>
      <c r="G6979" s="63">
        <v>0.311</v>
      </c>
    </row>
    <row r="6980" spans="1:7" x14ac:dyDescent="0.2">
      <c r="A6980" t="s">
        <v>89</v>
      </c>
      <c r="B6980" t="s">
        <v>126</v>
      </c>
      <c r="C6980" t="s">
        <v>212</v>
      </c>
      <c r="D6980" t="s">
        <v>91</v>
      </c>
      <c r="E6980" t="s">
        <v>79</v>
      </c>
      <c r="F6980" s="55">
        <v>104</v>
      </c>
      <c r="G6980" s="63">
        <v>0.57010000000000005</v>
      </c>
    </row>
    <row r="6981" spans="1:7" x14ac:dyDescent="0.2">
      <c r="A6981" t="s">
        <v>89</v>
      </c>
      <c r="B6981" t="s">
        <v>126</v>
      </c>
      <c r="C6981" t="s">
        <v>212</v>
      </c>
      <c r="D6981" t="s">
        <v>91</v>
      </c>
      <c r="E6981" t="s">
        <v>80</v>
      </c>
      <c r="F6981" s="55">
        <v>96</v>
      </c>
      <c r="G6981" s="63">
        <v>0.16719999999999999</v>
      </c>
    </row>
    <row r="6982" spans="1:7" x14ac:dyDescent="0.2">
      <c r="A6982" t="s">
        <v>89</v>
      </c>
      <c r="B6982" t="s">
        <v>126</v>
      </c>
      <c r="C6982" t="s">
        <v>212</v>
      </c>
      <c r="D6982" t="s">
        <v>91</v>
      </c>
      <c r="E6982" t="s">
        <v>81</v>
      </c>
      <c r="F6982" s="55">
        <v>94</v>
      </c>
      <c r="G6982" s="63">
        <v>0.17419999999999999</v>
      </c>
    </row>
    <row r="6983" spans="1:7" x14ac:dyDescent="0.2">
      <c r="A6983" t="s">
        <v>89</v>
      </c>
      <c r="B6983" t="s">
        <v>126</v>
      </c>
      <c r="C6983" t="s">
        <v>212</v>
      </c>
      <c r="D6983" t="s">
        <v>91</v>
      </c>
      <c r="E6983" t="s">
        <v>82</v>
      </c>
      <c r="F6983" s="55">
        <v>102</v>
      </c>
      <c r="G6983" s="63">
        <v>0.4199</v>
      </c>
    </row>
    <row r="6984" spans="1:7" x14ac:dyDescent="0.2">
      <c r="A6984" t="s">
        <v>89</v>
      </c>
      <c r="B6984" t="s">
        <v>126</v>
      </c>
      <c r="C6984" t="s">
        <v>212</v>
      </c>
      <c r="D6984" t="s">
        <v>91</v>
      </c>
      <c r="E6984" t="s">
        <v>83</v>
      </c>
      <c r="F6984" s="55">
        <v>92</v>
      </c>
      <c r="G6984" s="63">
        <v>0.128</v>
      </c>
    </row>
    <row r="6985" spans="1:7" x14ac:dyDescent="0.2">
      <c r="A6985" t="s">
        <v>89</v>
      </c>
      <c r="B6985" t="s">
        <v>126</v>
      </c>
      <c r="C6985" t="s">
        <v>212</v>
      </c>
      <c r="D6985" t="s">
        <v>91</v>
      </c>
      <c r="E6985" t="s">
        <v>84</v>
      </c>
      <c r="F6985" s="55">
        <v>98</v>
      </c>
      <c r="G6985" s="63">
        <v>0.25319999999999998</v>
      </c>
    </row>
    <row r="6986" spans="1:7" x14ac:dyDescent="0.2">
      <c r="A6986" t="s">
        <v>89</v>
      </c>
      <c r="B6986" t="s">
        <v>126</v>
      </c>
      <c r="C6986" t="s">
        <v>212</v>
      </c>
      <c r="D6986" t="s">
        <v>91</v>
      </c>
      <c r="E6986" t="s">
        <v>85</v>
      </c>
      <c r="F6986" s="55">
        <v>98</v>
      </c>
      <c r="G6986" s="63">
        <v>0.2205</v>
      </c>
    </row>
    <row r="6987" spans="1:7" x14ac:dyDescent="0.2">
      <c r="A6987" t="s">
        <v>89</v>
      </c>
      <c r="B6987" t="s">
        <v>126</v>
      </c>
      <c r="C6987" t="s">
        <v>212</v>
      </c>
      <c r="D6987" t="s">
        <v>91</v>
      </c>
      <c r="E6987" t="s">
        <v>86</v>
      </c>
      <c r="F6987" s="55">
        <v>101</v>
      </c>
      <c r="G6987" s="63">
        <v>0.34460000000000002</v>
      </c>
    </row>
    <row r="6988" spans="1:7" x14ac:dyDescent="0.2">
      <c r="A6988" t="s">
        <v>89</v>
      </c>
      <c r="B6988" t="s">
        <v>126</v>
      </c>
      <c r="C6988" t="s">
        <v>212</v>
      </c>
      <c r="D6988" t="s">
        <v>91</v>
      </c>
      <c r="E6988" t="s">
        <v>87</v>
      </c>
      <c r="F6988" s="55">
        <v>109</v>
      </c>
      <c r="G6988" s="63">
        <v>0.35189999999999999</v>
      </c>
    </row>
    <row r="6989" spans="1:7" x14ac:dyDescent="0.2">
      <c r="A6989" t="s">
        <v>89</v>
      </c>
      <c r="B6989" t="s">
        <v>126</v>
      </c>
      <c r="C6989" t="s">
        <v>212</v>
      </c>
      <c r="D6989" t="s">
        <v>91</v>
      </c>
      <c r="E6989" t="s">
        <v>88</v>
      </c>
      <c r="F6989" s="55">
        <v>94</v>
      </c>
      <c r="G6989" s="63">
        <v>0.25850000000000001</v>
      </c>
    </row>
    <row r="6990" spans="1:7" x14ac:dyDescent="0.2">
      <c r="A6990" t="s">
        <v>71</v>
      </c>
      <c r="B6990" t="s">
        <v>127</v>
      </c>
      <c r="C6990" t="s">
        <v>212</v>
      </c>
      <c r="D6990" t="s">
        <v>74</v>
      </c>
      <c r="E6990" t="s">
        <v>75</v>
      </c>
      <c r="F6990" s="55">
        <v>117</v>
      </c>
      <c r="G6990" s="63">
        <v>0.21659999999999999</v>
      </c>
    </row>
    <row r="6991" spans="1:7" x14ac:dyDescent="0.2">
      <c r="A6991" t="s">
        <v>71</v>
      </c>
      <c r="B6991" t="s">
        <v>127</v>
      </c>
      <c r="C6991" t="s">
        <v>212</v>
      </c>
      <c r="D6991" t="s">
        <v>74</v>
      </c>
      <c r="E6991" t="s">
        <v>76</v>
      </c>
      <c r="F6991" s="55">
        <v>115</v>
      </c>
      <c r="G6991" s="63">
        <v>5.0999999999999997E-2</v>
      </c>
    </row>
    <row r="6992" spans="1:7" x14ac:dyDescent="0.2">
      <c r="A6992" t="s">
        <v>71</v>
      </c>
      <c r="B6992" t="s">
        <v>127</v>
      </c>
      <c r="C6992" t="s">
        <v>212</v>
      </c>
      <c r="D6992" t="s">
        <v>74</v>
      </c>
      <c r="E6992" t="s">
        <v>77</v>
      </c>
      <c r="F6992" s="55">
        <v>119</v>
      </c>
      <c r="G6992" s="63">
        <v>9.3299999999999994E-2</v>
      </c>
    </row>
    <row r="6993" spans="1:7" x14ac:dyDescent="0.2">
      <c r="A6993" t="s">
        <v>71</v>
      </c>
      <c r="B6993" t="s">
        <v>127</v>
      </c>
      <c r="C6993" t="s">
        <v>212</v>
      </c>
      <c r="D6993" t="s">
        <v>74</v>
      </c>
      <c r="E6993" t="s">
        <v>78</v>
      </c>
      <c r="F6993" s="55">
        <v>121</v>
      </c>
      <c r="G6993" s="63">
        <v>8.2500000000000004E-2</v>
      </c>
    </row>
    <row r="6994" spans="1:7" x14ac:dyDescent="0.2">
      <c r="A6994" t="s">
        <v>71</v>
      </c>
      <c r="B6994" t="s">
        <v>127</v>
      </c>
      <c r="C6994" t="s">
        <v>212</v>
      </c>
      <c r="D6994" t="s">
        <v>74</v>
      </c>
      <c r="E6994" t="s">
        <v>79</v>
      </c>
      <c r="F6994" s="55">
        <v>113</v>
      </c>
      <c r="G6994" s="63">
        <v>0.13469999999999999</v>
      </c>
    </row>
    <row r="6995" spans="1:7" x14ac:dyDescent="0.2">
      <c r="A6995" t="s">
        <v>71</v>
      </c>
      <c r="B6995" t="s">
        <v>127</v>
      </c>
      <c r="C6995" t="s">
        <v>212</v>
      </c>
      <c r="D6995" t="s">
        <v>74</v>
      </c>
      <c r="E6995" t="s">
        <v>80</v>
      </c>
      <c r="F6995" s="55">
        <v>109</v>
      </c>
      <c r="G6995" s="63">
        <v>3.2599999999999997E-2</v>
      </c>
    </row>
    <row r="6996" spans="1:7" x14ac:dyDescent="0.2">
      <c r="A6996" t="s">
        <v>71</v>
      </c>
      <c r="B6996" t="s">
        <v>127</v>
      </c>
      <c r="C6996" t="s">
        <v>212</v>
      </c>
      <c r="D6996" t="s">
        <v>74</v>
      </c>
      <c r="E6996" t="s">
        <v>81</v>
      </c>
      <c r="F6996" s="55">
        <v>108</v>
      </c>
      <c r="G6996" s="63">
        <v>4.0800000000000003E-2</v>
      </c>
    </row>
    <row r="6997" spans="1:7" x14ac:dyDescent="0.2">
      <c r="A6997" t="s">
        <v>71</v>
      </c>
      <c r="B6997" t="s">
        <v>127</v>
      </c>
      <c r="C6997" t="s">
        <v>212</v>
      </c>
      <c r="D6997" t="s">
        <v>74</v>
      </c>
      <c r="E6997" t="s">
        <v>82</v>
      </c>
      <c r="F6997" s="55">
        <v>109</v>
      </c>
      <c r="G6997" s="63">
        <v>9.1800000000000007E-2</v>
      </c>
    </row>
    <row r="6998" spans="1:7" x14ac:dyDescent="0.2">
      <c r="A6998" t="s">
        <v>71</v>
      </c>
      <c r="B6998" t="s">
        <v>127</v>
      </c>
      <c r="C6998" t="s">
        <v>212</v>
      </c>
      <c r="D6998" t="s">
        <v>74</v>
      </c>
      <c r="E6998" t="s">
        <v>83</v>
      </c>
      <c r="F6998" s="55">
        <v>114</v>
      </c>
      <c r="G6998" s="63">
        <v>3.1699999999999999E-2</v>
      </c>
    </row>
    <row r="6999" spans="1:7" x14ac:dyDescent="0.2">
      <c r="A6999" t="s">
        <v>71</v>
      </c>
      <c r="B6999" t="s">
        <v>127</v>
      </c>
      <c r="C6999" t="s">
        <v>212</v>
      </c>
      <c r="D6999" t="s">
        <v>74</v>
      </c>
      <c r="E6999" t="s">
        <v>84</v>
      </c>
      <c r="F6999" s="55">
        <v>121</v>
      </c>
      <c r="G6999" s="63">
        <v>6.9500000000000006E-2</v>
      </c>
    </row>
    <row r="7000" spans="1:7" x14ac:dyDescent="0.2">
      <c r="A7000" t="s">
        <v>71</v>
      </c>
      <c r="B7000" t="s">
        <v>127</v>
      </c>
      <c r="C7000" t="s">
        <v>212</v>
      </c>
      <c r="D7000" t="s">
        <v>74</v>
      </c>
      <c r="E7000" t="s">
        <v>85</v>
      </c>
      <c r="F7000" s="55">
        <v>106</v>
      </c>
      <c r="G7000" s="63">
        <v>3.8100000000000002E-2</v>
      </c>
    </row>
    <row r="7001" spans="1:7" x14ac:dyDescent="0.2">
      <c r="A7001" t="s">
        <v>71</v>
      </c>
      <c r="B7001" t="s">
        <v>127</v>
      </c>
      <c r="C7001" t="s">
        <v>212</v>
      </c>
      <c r="D7001" t="s">
        <v>74</v>
      </c>
      <c r="E7001" t="s">
        <v>86</v>
      </c>
      <c r="F7001" s="55">
        <v>113</v>
      </c>
      <c r="G7001" s="63">
        <v>4.9000000000000002E-2</v>
      </c>
    </row>
    <row r="7002" spans="1:7" x14ac:dyDescent="0.2">
      <c r="A7002" t="s">
        <v>71</v>
      </c>
      <c r="B7002" t="s">
        <v>127</v>
      </c>
      <c r="C7002" t="s">
        <v>212</v>
      </c>
      <c r="D7002" t="s">
        <v>74</v>
      </c>
      <c r="E7002" t="s">
        <v>87</v>
      </c>
      <c r="F7002" s="55">
        <v>115</v>
      </c>
      <c r="G7002" s="63">
        <v>5.8999999999999997E-2</v>
      </c>
    </row>
    <row r="7003" spans="1:7" x14ac:dyDescent="0.2">
      <c r="A7003" t="s">
        <v>71</v>
      </c>
      <c r="B7003" t="s">
        <v>127</v>
      </c>
      <c r="C7003" t="s">
        <v>212</v>
      </c>
      <c r="D7003" t="s">
        <v>74</v>
      </c>
      <c r="E7003" t="s">
        <v>88</v>
      </c>
      <c r="F7003" s="55">
        <v>114</v>
      </c>
      <c r="G7003" s="63">
        <v>6.88E-2</v>
      </c>
    </row>
    <row r="7004" spans="1:7" x14ac:dyDescent="0.2">
      <c r="A7004" t="s">
        <v>71</v>
      </c>
      <c r="B7004" t="s">
        <v>11</v>
      </c>
      <c r="C7004" t="s">
        <v>212</v>
      </c>
      <c r="D7004" t="s">
        <v>74</v>
      </c>
      <c r="E7004" t="s">
        <v>75</v>
      </c>
      <c r="F7004" s="55">
        <v>92</v>
      </c>
      <c r="G7004" s="63">
        <v>0.40150000000000002</v>
      </c>
    </row>
    <row r="7005" spans="1:7" x14ac:dyDescent="0.2">
      <c r="A7005" t="s">
        <v>71</v>
      </c>
      <c r="B7005" t="s">
        <v>11</v>
      </c>
      <c r="C7005" t="s">
        <v>212</v>
      </c>
      <c r="D7005" t="s">
        <v>74</v>
      </c>
      <c r="E7005" t="s">
        <v>76</v>
      </c>
      <c r="F7005" s="55">
        <v>91</v>
      </c>
      <c r="G7005" s="63">
        <v>5.5599999999999997E-2</v>
      </c>
    </row>
    <row r="7006" spans="1:7" x14ac:dyDescent="0.2">
      <c r="A7006" t="s">
        <v>71</v>
      </c>
      <c r="B7006" t="s">
        <v>11</v>
      </c>
      <c r="C7006" t="s">
        <v>212</v>
      </c>
      <c r="D7006" t="s">
        <v>74</v>
      </c>
      <c r="E7006" t="s">
        <v>77</v>
      </c>
      <c r="F7006" s="55">
        <v>93</v>
      </c>
      <c r="G7006" s="63">
        <v>0.1648</v>
      </c>
    </row>
    <row r="7007" spans="1:7" x14ac:dyDescent="0.2">
      <c r="A7007" t="s">
        <v>71</v>
      </c>
      <c r="B7007" t="s">
        <v>11</v>
      </c>
      <c r="C7007" t="s">
        <v>212</v>
      </c>
      <c r="D7007" t="s">
        <v>74</v>
      </c>
      <c r="E7007" t="s">
        <v>78</v>
      </c>
      <c r="F7007" s="55">
        <v>94</v>
      </c>
      <c r="G7007" s="63">
        <v>0.1391</v>
      </c>
    </row>
    <row r="7008" spans="1:7" x14ac:dyDescent="0.2">
      <c r="A7008" t="s">
        <v>71</v>
      </c>
      <c r="B7008" t="s">
        <v>11</v>
      </c>
      <c r="C7008" t="s">
        <v>212</v>
      </c>
      <c r="D7008" t="s">
        <v>74</v>
      </c>
      <c r="E7008" t="s">
        <v>79</v>
      </c>
      <c r="F7008" s="55">
        <v>94</v>
      </c>
      <c r="G7008" s="63">
        <v>0.29010000000000002</v>
      </c>
    </row>
    <row r="7009" spans="1:7" x14ac:dyDescent="0.2">
      <c r="A7009" t="s">
        <v>71</v>
      </c>
      <c r="B7009" t="s">
        <v>11</v>
      </c>
      <c r="C7009" t="s">
        <v>212</v>
      </c>
      <c r="D7009" t="s">
        <v>74</v>
      </c>
      <c r="E7009" t="s">
        <v>80</v>
      </c>
      <c r="F7009" s="55">
        <v>87</v>
      </c>
      <c r="G7009" s="63">
        <v>8.9800000000000005E-2</v>
      </c>
    </row>
    <row r="7010" spans="1:7" x14ac:dyDescent="0.2">
      <c r="A7010" t="s">
        <v>71</v>
      </c>
      <c r="B7010" t="s">
        <v>11</v>
      </c>
      <c r="C7010" t="s">
        <v>212</v>
      </c>
      <c r="D7010" t="s">
        <v>74</v>
      </c>
      <c r="E7010" t="s">
        <v>81</v>
      </c>
      <c r="F7010" s="55">
        <v>87</v>
      </c>
      <c r="G7010" s="63">
        <v>8.3199999999999996E-2</v>
      </c>
    </row>
    <row r="7011" spans="1:7" x14ac:dyDescent="0.2">
      <c r="A7011" t="s">
        <v>71</v>
      </c>
      <c r="B7011" t="s">
        <v>11</v>
      </c>
      <c r="C7011" t="s">
        <v>212</v>
      </c>
      <c r="D7011" t="s">
        <v>74</v>
      </c>
      <c r="E7011" t="s">
        <v>82</v>
      </c>
      <c r="F7011" s="55">
        <v>92</v>
      </c>
      <c r="G7011" s="63">
        <v>0.2049</v>
      </c>
    </row>
    <row r="7012" spans="1:7" x14ac:dyDescent="0.2">
      <c r="A7012" t="s">
        <v>71</v>
      </c>
      <c r="B7012" t="s">
        <v>11</v>
      </c>
      <c r="C7012" t="s">
        <v>212</v>
      </c>
      <c r="D7012" t="s">
        <v>74</v>
      </c>
      <c r="E7012" t="s">
        <v>83</v>
      </c>
      <c r="F7012" s="55">
        <v>81</v>
      </c>
      <c r="G7012" s="63">
        <v>2.4799999999999999E-2</v>
      </c>
    </row>
    <row r="7013" spans="1:7" x14ac:dyDescent="0.2">
      <c r="A7013" t="s">
        <v>71</v>
      </c>
      <c r="B7013" t="s">
        <v>11</v>
      </c>
      <c r="C7013" t="s">
        <v>212</v>
      </c>
      <c r="D7013" t="s">
        <v>74</v>
      </c>
      <c r="E7013" t="s">
        <v>84</v>
      </c>
      <c r="F7013" s="55">
        <v>94</v>
      </c>
      <c r="G7013" s="63">
        <v>0.1085</v>
      </c>
    </row>
    <row r="7014" spans="1:7" x14ac:dyDescent="0.2">
      <c r="A7014" t="s">
        <v>71</v>
      </c>
      <c r="B7014" t="s">
        <v>11</v>
      </c>
      <c r="C7014" t="s">
        <v>212</v>
      </c>
      <c r="D7014" t="s">
        <v>74</v>
      </c>
      <c r="E7014" t="s">
        <v>85</v>
      </c>
      <c r="F7014" s="55">
        <v>89</v>
      </c>
      <c r="G7014" s="63">
        <v>0.10349999999999999</v>
      </c>
    </row>
    <row r="7015" spans="1:7" x14ac:dyDescent="0.2">
      <c r="A7015" t="s">
        <v>71</v>
      </c>
      <c r="B7015" t="s">
        <v>11</v>
      </c>
      <c r="C7015" t="s">
        <v>212</v>
      </c>
      <c r="D7015" t="s">
        <v>74</v>
      </c>
      <c r="E7015" t="s">
        <v>86</v>
      </c>
      <c r="F7015" s="55">
        <v>93</v>
      </c>
      <c r="G7015" s="63">
        <v>0.13930000000000001</v>
      </c>
    </row>
    <row r="7016" spans="1:7" x14ac:dyDescent="0.2">
      <c r="A7016" t="s">
        <v>71</v>
      </c>
      <c r="B7016" t="s">
        <v>11</v>
      </c>
      <c r="C7016" t="s">
        <v>212</v>
      </c>
      <c r="D7016" t="s">
        <v>74</v>
      </c>
      <c r="E7016" t="s">
        <v>87</v>
      </c>
      <c r="F7016" s="55">
        <v>97</v>
      </c>
      <c r="G7016" s="63">
        <v>0.16059999999999999</v>
      </c>
    </row>
    <row r="7017" spans="1:7" x14ac:dyDescent="0.2">
      <c r="A7017" t="s">
        <v>71</v>
      </c>
      <c r="B7017" t="s">
        <v>11</v>
      </c>
      <c r="C7017" t="s">
        <v>212</v>
      </c>
      <c r="D7017" t="s">
        <v>74</v>
      </c>
      <c r="E7017" t="s">
        <v>88</v>
      </c>
      <c r="F7017" s="55">
        <v>89</v>
      </c>
      <c r="G7017" s="63">
        <v>8.7300000000000003E-2</v>
      </c>
    </row>
    <row r="7018" spans="1:7" x14ac:dyDescent="0.2">
      <c r="A7018" t="s">
        <v>71</v>
      </c>
      <c r="B7018" t="s">
        <v>128</v>
      </c>
      <c r="C7018" t="s">
        <v>212</v>
      </c>
      <c r="D7018" t="s">
        <v>74</v>
      </c>
      <c r="E7018" t="s">
        <v>75</v>
      </c>
      <c r="F7018" s="55">
        <v>42</v>
      </c>
      <c r="G7018" s="63">
        <v>2.0400000000000001E-2</v>
      </c>
    </row>
    <row r="7019" spans="1:7" x14ac:dyDescent="0.2">
      <c r="A7019" t="s">
        <v>71</v>
      </c>
      <c r="B7019" t="s">
        <v>128</v>
      </c>
      <c r="C7019" t="s">
        <v>212</v>
      </c>
      <c r="D7019" t="s">
        <v>74</v>
      </c>
      <c r="E7019" t="s">
        <v>76</v>
      </c>
      <c r="F7019" s="55">
        <v>41</v>
      </c>
      <c r="G7019" s="63">
        <v>1.4E-3</v>
      </c>
    </row>
    <row r="7020" spans="1:7" x14ac:dyDescent="0.2">
      <c r="A7020" t="s">
        <v>71</v>
      </c>
      <c r="B7020" t="s">
        <v>128</v>
      </c>
      <c r="C7020" t="s">
        <v>212</v>
      </c>
      <c r="D7020" t="s">
        <v>74</v>
      </c>
      <c r="E7020" t="s">
        <v>77</v>
      </c>
      <c r="F7020" s="55">
        <v>42</v>
      </c>
      <c r="G7020" s="63">
        <v>6.7000000000000002E-3</v>
      </c>
    </row>
    <row r="7021" spans="1:7" x14ac:dyDescent="0.2">
      <c r="A7021" t="s">
        <v>71</v>
      </c>
      <c r="B7021" t="s">
        <v>128</v>
      </c>
      <c r="C7021" t="s">
        <v>212</v>
      </c>
      <c r="D7021" t="s">
        <v>74</v>
      </c>
      <c r="E7021" t="s">
        <v>78</v>
      </c>
      <c r="F7021" s="55">
        <v>38</v>
      </c>
      <c r="G7021" s="63">
        <v>5.1000000000000004E-3</v>
      </c>
    </row>
    <row r="7022" spans="1:7" x14ac:dyDescent="0.2">
      <c r="A7022" t="s">
        <v>71</v>
      </c>
      <c r="B7022" t="s">
        <v>128</v>
      </c>
      <c r="C7022" t="s">
        <v>212</v>
      </c>
      <c r="D7022" t="s">
        <v>74</v>
      </c>
      <c r="E7022" t="s">
        <v>79</v>
      </c>
      <c r="F7022" s="55">
        <v>35</v>
      </c>
      <c r="G7022" s="63">
        <v>9.9000000000000008E-3</v>
      </c>
    </row>
    <row r="7023" spans="1:7" x14ac:dyDescent="0.2">
      <c r="A7023" t="s">
        <v>71</v>
      </c>
      <c r="B7023" t="s">
        <v>128</v>
      </c>
      <c r="C7023" t="s">
        <v>212</v>
      </c>
      <c r="D7023" t="s">
        <v>74</v>
      </c>
      <c r="E7023" t="s">
        <v>80</v>
      </c>
      <c r="F7023" s="55">
        <v>39</v>
      </c>
      <c r="G7023" s="63">
        <v>1.6999999999999999E-3</v>
      </c>
    </row>
    <row r="7024" spans="1:7" x14ac:dyDescent="0.2">
      <c r="A7024" t="s">
        <v>71</v>
      </c>
      <c r="B7024" t="s">
        <v>128</v>
      </c>
      <c r="C7024" t="s">
        <v>212</v>
      </c>
      <c r="D7024" t="s">
        <v>74</v>
      </c>
      <c r="E7024" t="s">
        <v>81</v>
      </c>
      <c r="F7024" s="55">
        <v>35</v>
      </c>
      <c r="G7024" s="63">
        <v>1.9E-3</v>
      </c>
    </row>
    <row r="7025" spans="1:7" x14ac:dyDescent="0.2">
      <c r="A7025" t="s">
        <v>71</v>
      </c>
      <c r="B7025" t="s">
        <v>128</v>
      </c>
      <c r="C7025" t="s">
        <v>212</v>
      </c>
      <c r="D7025" t="s">
        <v>74</v>
      </c>
      <c r="E7025" t="s">
        <v>82</v>
      </c>
      <c r="F7025" s="55">
        <v>51</v>
      </c>
      <c r="G7025" s="63">
        <v>9.1999999999999998E-3</v>
      </c>
    </row>
    <row r="7026" spans="1:7" x14ac:dyDescent="0.2">
      <c r="A7026" t="s">
        <v>71</v>
      </c>
      <c r="B7026" t="s">
        <v>128</v>
      </c>
      <c r="C7026" t="s">
        <v>212</v>
      </c>
      <c r="D7026" t="s">
        <v>74</v>
      </c>
      <c r="E7026" t="s">
        <v>83</v>
      </c>
      <c r="F7026" s="55">
        <v>56</v>
      </c>
      <c r="G7026" s="63">
        <v>5.9999999999999995E-4</v>
      </c>
    </row>
    <row r="7027" spans="1:7" x14ac:dyDescent="0.2">
      <c r="A7027" t="s">
        <v>71</v>
      </c>
      <c r="B7027" t="s">
        <v>128</v>
      </c>
      <c r="C7027" t="s">
        <v>212</v>
      </c>
      <c r="D7027" t="s">
        <v>74</v>
      </c>
      <c r="E7027" t="s">
        <v>84</v>
      </c>
      <c r="F7027" s="55">
        <v>44</v>
      </c>
      <c r="G7027" s="63">
        <v>4.0000000000000001E-3</v>
      </c>
    </row>
    <row r="7028" spans="1:7" x14ac:dyDescent="0.2">
      <c r="A7028" t="s">
        <v>71</v>
      </c>
      <c r="B7028" t="s">
        <v>128</v>
      </c>
      <c r="C7028" t="s">
        <v>212</v>
      </c>
      <c r="D7028" t="s">
        <v>74</v>
      </c>
      <c r="E7028" t="s">
        <v>85</v>
      </c>
      <c r="F7028" s="55">
        <v>36</v>
      </c>
      <c r="G7028" s="63">
        <v>2.2000000000000001E-3</v>
      </c>
    </row>
    <row r="7029" spans="1:7" x14ac:dyDescent="0.2">
      <c r="A7029" t="s">
        <v>71</v>
      </c>
      <c r="B7029" t="s">
        <v>128</v>
      </c>
      <c r="C7029" t="s">
        <v>212</v>
      </c>
      <c r="D7029" t="s">
        <v>74</v>
      </c>
      <c r="E7029" t="s">
        <v>86</v>
      </c>
      <c r="F7029" s="55">
        <v>34</v>
      </c>
      <c r="G7029" s="63">
        <v>3.3E-3</v>
      </c>
    </row>
    <row r="7030" spans="1:7" x14ac:dyDescent="0.2">
      <c r="A7030" t="s">
        <v>71</v>
      </c>
      <c r="B7030" t="s">
        <v>128</v>
      </c>
      <c r="C7030" t="s">
        <v>212</v>
      </c>
      <c r="D7030" t="s">
        <v>74</v>
      </c>
      <c r="E7030" t="s">
        <v>87</v>
      </c>
      <c r="F7030" s="55">
        <v>33</v>
      </c>
      <c r="G7030" s="63">
        <v>3.8999999999999998E-3</v>
      </c>
    </row>
    <row r="7031" spans="1:7" x14ac:dyDescent="0.2">
      <c r="A7031" t="s">
        <v>71</v>
      </c>
      <c r="B7031" t="s">
        <v>128</v>
      </c>
      <c r="C7031" t="s">
        <v>212</v>
      </c>
      <c r="D7031" t="s">
        <v>74</v>
      </c>
      <c r="E7031" t="s">
        <v>88</v>
      </c>
      <c r="F7031" s="55">
        <v>38</v>
      </c>
      <c r="G7031" s="63">
        <v>3.0999999999999999E-3</v>
      </c>
    </row>
    <row r="7032" spans="1:7" x14ac:dyDescent="0.2">
      <c r="A7032" t="s">
        <v>71</v>
      </c>
      <c r="B7032" t="s">
        <v>129</v>
      </c>
      <c r="C7032" t="s">
        <v>212</v>
      </c>
      <c r="D7032" t="s">
        <v>74</v>
      </c>
      <c r="E7032" t="s">
        <v>75</v>
      </c>
      <c r="F7032" s="55">
        <v>119</v>
      </c>
      <c r="G7032" s="63">
        <v>0.49540000000000001</v>
      </c>
    </row>
    <row r="7033" spans="1:7" x14ac:dyDescent="0.2">
      <c r="A7033" t="s">
        <v>71</v>
      </c>
      <c r="B7033" t="s">
        <v>129</v>
      </c>
      <c r="C7033" t="s">
        <v>212</v>
      </c>
      <c r="D7033" t="s">
        <v>74</v>
      </c>
      <c r="E7033" t="s">
        <v>76</v>
      </c>
      <c r="F7033" s="55">
        <v>119</v>
      </c>
      <c r="G7033" s="63">
        <v>0.221</v>
      </c>
    </row>
    <row r="7034" spans="1:7" x14ac:dyDescent="0.2">
      <c r="A7034" t="s">
        <v>71</v>
      </c>
      <c r="B7034" t="s">
        <v>129</v>
      </c>
      <c r="C7034" t="s">
        <v>212</v>
      </c>
      <c r="D7034" t="s">
        <v>74</v>
      </c>
      <c r="E7034" t="s">
        <v>77</v>
      </c>
      <c r="F7034" s="55">
        <v>120</v>
      </c>
      <c r="G7034" s="63">
        <v>0.32869999999999999</v>
      </c>
    </row>
    <row r="7035" spans="1:7" x14ac:dyDescent="0.2">
      <c r="A7035" t="s">
        <v>71</v>
      </c>
      <c r="B7035" t="s">
        <v>129</v>
      </c>
      <c r="C7035" t="s">
        <v>212</v>
      </c>
      <c r="D7035" t="s">
        <v>74</v>
      </c>
      <c r="E7035" t="s">
        <v>78</v>
      </c>
      <c r="F7035" s="55">
        <v>123</v>
      </c>
      <c r="G7035" s="63">
        <v>0.31259999999999999</v>
      </c>
    </row>
    <row r="7036" spans="1:7" x14ac:dyDescent="0.2">
      <c r="A7036" t="s">
        <v>71</v>
      </c>
      <c r="B7036" t="s">
        <v>129</v>
      </c>
      <c r="C7036" t="s">
        <v>212</v>
      </c>
      <c r="D7036" t="s">
        <v>74</v>
      </c>
      <c r="E7036" t="s">
        <v>79</v>
      </c>
      <c r="F7036" s="55">
        <v>118</v>
      </c>
      <c r="G7036" s="63">
        <v>0.39789999999999998</v>
      </c>
    </row>
    <row r="7037" spans="1:7" x14ac:dyDescent="0.2">
      <c r="A7037" t="s">
        <v>71</v>
      </c>
      <c r="B7037" t="s">
        <v>129</v>
      </c>
      <c r="C7037" t="s">
        <v>212</v>
      </c>
      <c r="D7037" t="s">
        <v>74</v>
      </c>
      <c r="E7037" t="s">
        <v>80</v>
      </c>
      <c r="F7037" s="55">
        <v>114</v>
      </c>
      <c r="G7037" s="63">
        <v>0.19120000000000001</v>
      </c>
    </row>
    <row r="7038" spans="1:7" x14ac:dyDescent="0.2">
      <c r="A7038" t="s">
        <v>71</v>
      </c>
      <c r="B7038" t="s">
        <v>129</v>
      </c>
      <c r="C7038" t="s">
        <v>212</v>
      </c>
      <c r="D7038" t="s">
        <v>74</v>
      </c>
      <c r="E7038" t="s">
        <v>81</v>
      </c>
      <c r="F7038" s="55">
        <v>114</v>
      </c>
      <c r="G7038" s="63">
        <v>0.19750000000000001</v>
      </c>
    </row>
    <row r="7039" spans="1:7" x14ac:dyDescent="0.2">
      <c r="A7039" t="s">
        <v>71</v>
      </c>
      <c r="B7039" t="s">
        <v>129</v>
      </c>
      <c r="C7039" t="s">
        <v>212</v>
      </c>
      <c r="D7039" t="s">
        <v>74</v>
      </c>
      <c r="E7039" t="s">
        <v>82</v>
      </c>
      <c r="F7039" s="55">
        <v>117</v>
      </c>
      <c r="G7039" s="63">
        <v>0.37080000000000002</v>
      </c>
    </row>
    <row r="7040" spans="1:7" x14ac:dyDescent="0.2">
      <c r="A7040" t="s">
        <v>71</v>
      </c>
      <c r="B7040" t="s">
        <v>129</v>
      </c>
      <c r="C7040" t="s">
        <v>212</v>
      </c>
      <c r="D7040" t="s">
        <v>74</v>
      </c>
      <c r="E7040" t="s">
        <v>83</v>
      </c>
      <c r="F7040" s="55">
        <v>116</v>
      </c>
      <c r="G7040" s="63">
        <v>0.151</v>
      </c>
    </row>
    <row r="7041" spans="1:7" x14ac:dyDescent="0.2">
      <c r="A7041" t="s">
        <v>71</v>
      </c>
      <c r="B7041" t="s">
        <v>129</v>
      </c>
      <c r="C7041" t="s">
        <v>212</v>
      </c>
      <c r="D7041" t="s">
        <v>74</v>
      </c>
      <c r="E7041" t="s">
        <v>84</v>
      </c>
      <c r="F7041" s="55">
        <v>124</v>
      </c>
      <c r="G7041" s="63">
        <v>0.28489999999999999</v>
      </c>
    </row>
    <row r="7042" spans="1:7" x14ac:dyDescent="0.2">
      <c r="A7042" t="s">
        <v>71</v>
      </c>
      <c r="B7042" t="s">
        <v>129</v>
      </c>
      <c r="C7042" t="s">
        <v>212</v>
      </c>
      <c r="D7042" t="s">
        <v>74</v>
      </c>
      <c r="E7042" t="s">
        <v>85</v>
      </c>
      <c r="F7042" s="55">
        <v>118</v>
      </c>
      <c r="G7042" s="63">
        <v>0.23710000000000001</v>
      </c>
    </row>
    <row r="7043" spans="1:7" x14ac:dyDescent="0.2">
      <c r="A7043" t="s">
        <v>71</v>
      </c>
      <c r="B7043" t="s">
        <v>129</v>
      </c>
      <c r="C7043" t="s">
        <v>212</v>
      </c>
      <c r="D7043" t="s">
        <v>74</v>
      </c>
      <c r="E7043" t="s">
        <v>86</v>
      </c>
      <c r="F7043" s="55">
        <v>121</v>
      </c>
      <c r="G7043" s="63">
        <v>0.27229999999999999</v>
      </c>
    </row>
    <row r="7044" spans="1:7" x14ac:dyDescent="0.2">
      <c r="A7044" t="s">
        <v>71</v>
      </c>
      <c r="B7044" t="s">
        <v>129</v>
      </c>
      <c r="C7044" t="s">
        <v>212</v>
      </c>
      <c r="D7044" t="s">
        <v>74</v>
      </c>
      <c r="E7044" t="s">
        <v>87</v>
      </c>
      <c r="F7044" s="55">
        <v>118</v>
      </c>
      <c r="G7044" s="63">
        <v>0.2999</v>
      </c>
    </row>
    <row r="7045" spans="1:7" x14ac:dyDescent="0.2">
      <c r="A7045" t="s">
        <v>71</v>
      </c>
      <c r="B7045" t="s">
        <v>129</v>
      </c>
      <c r="C7045" t="s">
        <v>212</v>
      </c>
      <c r="D7045" t="s">
        <v>74</v>
      </c>
      <c r="E7045" t="s">
        <v>88</v>
      </c>
      <c r="F7045" s="55">
        <v>119</v>
      </c>
      <c r="G7045" s="63">
        <v>0.26379999999999998</v>
      </c>
    </row>
    <row r="7046" spans="1:7" x14ac:dyDescent="0.2">
      <c r="A7046" t="s">
        <v>89</v>
      </c>
      <c r="B7046" t="s">
        <v>130</v>
      </c>
      <c r="C7046" t="s">
        <v>212</v>
      </c>
      <c r="D7046" t="s">
        <v>74</v>
      </c>
      <c r="E7046" t="s">
        <v>75</v>
      </c>
      <c r="F7046" s="55">
        <v>90</v>
      </c>
      <c r="G7046" s="63">
        <v>7.4899999999999994E-2</v>
      </c>
    </row>
    <row r="7047" spans="1:7" x14ac:dyDescent="0.2">
      <c r="A7047" t="s">
        <v>89</v>
      </c>
      <c r="B7047" t="s">
        <v>130</v>
      </c>
      <c r="C7047" t="s">
        <v>212</v>
      </c>
      <c r="D7047" t="s">
        <v>74</v>
      </c>
      <c r="E7047" t="s">
        <v>76</v>
      </c>
      <c r="F7047" s="55">
        <v>98</v>
      </c>
      <c r="G7047" s="63">
        <v>4.7999999999999996E-3</v>
      </c>
    </row>
    <row r="7048" spans="1:7" x14ac:dyDescent="0.2">
      <c r="A7048" t="s">
        <v>89</v>
      </c>
      <c r="B7048" t="s">
        <v>130</v>
      </c>
      <c r="C7048" t="s">
        <v>212</v>
      </c>
      <c r="D7048" t="s">
        <v>74</v>
      </c>
      <c r="E7048" t="s">
        <v>77</v>
      </c>
      <c r="F7048" s="55">
        <v>100</v>
      </c>
      <c r="G7048" s="63">
        <v>2.2100000000000002E-2</v>
      </c>
    </row>
    <row r="7049" spans="1:7" x14ac:dyDescent="0.2">
      <c r="A7049" t="s">
        <v>89</v>
      </c>
      <c r="B7049" t="s">
        <v>130</v>
      </c>
      <c r="C7049" t="s">
        <v>212</v>
      </c>
      <c r="D7049" t="s">
        <v>74</v>
      </c>
      <c r="E7049" t="s">
        <v>78</v>
      </c>
      <c r="F7049" s="55">
        <v>83</v>
      </c>
      <c r="G7049" s="63">
        <v>1.7399999999999999E-2</v>
      </c>
    </row>
    <row r="7050" spans="1:7" x14ac:dyDescent="0.2">
      <c r="A7050" t="s">
        <v>89</v>
      </c>
      <c r="B7050" t="s">
        <v>130</v>
      </c>
      <c r="C7050" t="s">
        <v>212</v>
      </c>
      <c r="D7050" t="s">
        <v>74</v>
      </c>
      <c r="E7050" t="s">
        <v>79</v>
      </c>
      <c r="F7050" s="55">
        <v>85</v>
      </c>
      <c r="G7050" s="63">
        <v>4.1500000000000002E-2</v>
      </c>
    </row>
    <row r="7051" spans="1:7" x14ac:dyDescent="0.2">
      <c r="A7051" t="s">
        <v>89</v>
      </c>
      <c r="B7051" t="s">
        <v>130</v>
      </c>
      <c r="C7051" t="s">
        <v>212</v>
      </c>
      <c r="D7051" t="s">
        <v>74</v>
      </c>
      <c r="E7051" t="s">
        <v>80</v>
      </c>
      <c r="F7051" s="55">
        <v>85</v>
      </c>
      <c r="G7051" s="63">
        <v>5.5999999999999999E-3</v>
      </c>
    </row>
    <row r="7052" spans="1:7" x14ac:dyDescent="0.2">
      <c r="A7052" t="s">
        <v>89</v>
      </c>
      <c r="B7052" t="s">
        <v>130</v>
      </c>
      <c r="C7052" t="s">
        <v>212</v>
      </c>
      <c r="D7052" t="s">
        <v>74</v>
      </c>
      <c r="E7052" t="s">
        <v>81</v>
      </c>
      <c r="F7052" s="55">
        <v>96</v>
      </c>
      <c r="G7052" s="63">
        <v>6.4999999999999997E-3</v>
      </c>
    </row>
    <row r="7053" spans="1:7" x14ac:dyDescent="0.2">
      <c r="A7053" t="s">
        <v>89</v>
      </c>
      <c r="B7053" t="s">
        <v>130</v>
      </c>
      <c r="C7053" t="s">
        <v>212</v>
      </c>
      <c r="D7053" t="s">
        <v>74</v>
      </c>
      <c r="E7053" t="s">
        <v>82</v>
      </c>
      <c r="F7053" s="55">
        <v>93</v>
      </c>
      <c r="G7053" s="63">
        <v>2.86E-2</v>
      </c>
    </row>
    <row r="7054" spans="1:7" x14ac:dyDescent="0.2">
      <c r="A7054" t="s">
        <v>89</v>
      </c>
      <c r="B7054" t="s">
        <v>130</v>
      </c>
      <c r="C7054" t="s">
        <v>212</v>
      </c>
      <c r="D7054" t="s">
        <v>74</v>
      </c>
      <c r="E7054" t="s">
        <v>83</v>
      </c>
      <c r="F7054" s="55">
        <v>103</v>
      </c>
      <c r="G7054" s="63">
        <v>3.0999999999999999E-3</v>
      </c>
    </row>
    <row r="7055" spans="1:7" x14ac:dyDescent="0.2">
      <c r="A7055" t="s">
        <v>89</v>
      </c>
      <c r="B7055" t="s">
        <v>130</v>
      </c>
      <c r="C7055" t="s">
        <v>212</v>
      </c>
      <c r="D7055" t="s">
        <v>74</v>
      </c>
      <c r="E7055" t="s">
        <v>84</v>
      </c>
      <c r="F7055" s="55">
        <v>84</v>
      </c>
      <c r="G7055" s="63">
        <v>1.2E-2</v>
      </c>
    </row>
    <row r="7056" spans="1:7" x14ac:dyDescent="0.2">
      <c r="A7056" t="s">
        <v>89</v>
      </c>
      <c r="B7056" t="s">
        <v>130</v>
      </c>
      <c r="C7056" t="s">
        <v>212</v>
      </c>
      <c r="D7056" t="s">
        <v>74</v>
      </c>
      <c r="E7056" t="s">
        <v>85</v>
      </c>
      <c r="F7056" s="55">
        <v>82</v>
      </c>
      <c r="G7056" s="63">
        <v>6.7999999999999996E-3</v>
      </c>
    </row>
    <row r="7057" spans="1:7" x14ac:dyDescent="0.2">
      <c r="A7057" t="s">
        <v>89</v>
      </c>
      <c r="B7057" t="s">
        <v>130</v>
      </c>
      <c r="C7057" t="s">
        <v>212</v>
      </c>
      <c r="D7057" t="s">
        <v>74</v>
      </c>
      <c r="E7057" t="s">
        <v>86</v>
      </c>
      <c r="F7057" s="55">
        <v>79</v>
      </c>
      <c r="G7057" s="63">
        <v>1.01E-2</v>
      </c>
    </row>
    <row r="7058" spans="1:7" x14ac:dyDescent="0.2">
      <c r="A7058" t="s">
        <v>89</v>
      </c>
      <c r="B7058" t="s">
        <v>130</v>
      </c>
      <c r="C7058" t="s">
        <v>212</v>
      </c>
      <c r="D7058" t="s">
        <v>74</v>
      </c>
      <c r="E7058" t="s">
        <v>87</v>
      </c>
      <c r="F7058" s="55">
        <v>93</v>
      </c>
      <c r="G7058" s="63">
        <v>1.5299999999999999E-2</v>
      </c>
    </row>
    <row r="7059" spans="1:7" x14ac:dyDescent="0.2">
      <c r="A7059" t="s">
        <v>89</v>
      </c>
      <c r="B7059" t="s">
        <v>130</v>
      </c>
      <c r="C7059" t="s">
        <v>212</v>
      </c>
      <c r="D7059" t="s">
        <v>74</v>
      </c>
      <c r="E7059" t="s">
        <v>88</v>
      </c>
      <c r="F7059" s="55">
        <v>94</v>
      </c>
      <c r="G7059" s="63">
        <v>8.6E-3</v>
      </c>
    </row>
    <row r="7060" spans="1:7" x14ac:dyDescent="0.2">
      <c r="A7060" t="s">
        <v>71</v>
      </c>
      <c r="B7060" t="s">
        <v>12</v>
      </c>
      <c r="C7060" t="s">
        <v>212</v>
      </c>
      <c r="D7060" t="s">
        <v>74</v>
      </c>
      <c r="E7060" t="s">
        <v>75</v>
      </c>
      <c r="F7060" s="55">
        <v>106</v>
      </c>
      <c r="G7060" s="63">
        <v>0.2467</v>
      </c>
    </row>
    <row r="7061" spans="1:7" x14ac:dyDescent="0.2">
      <c r="A7061" t="s">
        <v>71</v>
      </c>
      <c r="B7061" t="s">
        <v>12</v>
      </c>
      <c r="C7061" t="s">
        <v>212</v>
      </c>
      <c r="D7061" t="s">
        <v>74</v>
      </c>
      <c r="E7061" t="s">
        <v>76</v>
      </c>
      <c r="F7061" s="55">
        <v>86</v>
      </c>
      <c r="G7061" s="63">
        <v>2.4199999999999999E-2</v>
      </c>
    </row>
    <row r="7062" spans="1:7" x14ac:dyDescent="0.2">
      <c r="A7062" t="s">
        <v>71</v>
      </c>
      <c r="B7062" t="s">
        <v>12</v>
      </c>
      <c r="C7062" t="s">
        <v>212</v>
      </c>
      <c r="D7062" t="s">
        <v>74</v>
      </c>
      <c r="E7062" t="s">
        <v>77</v>
      </c>
      <c r="F7062" s="55">
        <v>98</v>
      </c>
      <c r="G7062" s="63">
        <v>7.3099999999999998E-2</v>
      </c>
    </row>
    <row r="7063" spans="1:7" x14ac:dyDescent="0.2">
      <c r="A7063" t="s">
        <v>71</v>
      </c>
      <c r="B7063" t="s">
        <v>12</v>
      </c>
      <c r="C7063" t="s">
        <v>212</v>
      </c>
      <c r="D7063" t="s">
        <v>74</v>
      </c>
      <c r="E7063" t="s">
        <v>78</v>
      </c>
      <c r="F7063" s="55">
        <v>99</v>
      </c>
      <c r="G7063" s="63">
        <v>7.1499999999999994E-2</v>
      </c>
    </row>
    <row r="7064" spans="1:7" x14ac:dyDescent="0.2">
      <c r="A7064" t="s">
        <v>71</v>
      </c>
      <c r="B7064" t="s">
        <v>12</v>
      </c>
      <c r="C7064" t="s">
        <v>212</v>
      </c>
      <c r="D7064" t="s">
        <v>74</v>
      </c>
      <c r="E7064" t="s">
        <v>79</v>
      </c>
      <c r="F7064" s="55">
        <v>111</v>
      </c>
      <c r="G7064" s="63">
        <v>0.16550000000000001</v>
      </c>
    </row>
    <row r="7065" spans="1:7" x14ac:dyDescent="0.2">
      <c r="A7065" t="s">
        <v>71</v>
      </c>
      <c r="B7065" t="s">
        <v>12</v>
      </c>
      <c r="C7065" t="s">
        <v>212</v>
      </c>
      <c r="D7065" t="s">
        <v>74</v>
      </c>
      <c r="E7065" t="s">
        <v>80</v>
      </c>
      <c r="F7065" s="55">
        <v>99</v>
      </c>
      <c r="G7065" s="63">
        <v>2.9700000000000001E-2</v>
      </c>
    </row>
    <row r="7066" spans="1:7" x14ac:dyDescent="0.2">
      <c r="A7066" t="s">
        <v>71</v>
      </c>
      <c r="B7066" t="s">
        <v>12</v>
      </c>
      <c r="C7066" t="s">
        <v>212</v>
      </c>
      <c r="D7066" t="s">
        <v>74</v>
      </c>
      <c r="E7066" t="s">
        <v>81</v>
      </c>
      <c r="F7066" s="55">
        <v>99</v>
      </c>
      <c r="G7066" s="63">
        <v>3.3000000000000002E-2</v>
      </c>
    </row>
    <row r="7067" spans="1:7" x14ac:dyDescent="0.2">
      <c r="A7067" t="s">
        <v>71</v>
      </c>
      <c r="B7067" t="s">
        <v>12</v>
      </c>
      <c r="C7067" t="s">
        <v>212</v>
      </c>
      <c r="D7067" t="s">
        <v>74</v>
      </c>
      <c r="E7067" t="s">
        <v>82</v>
      </c>
      <c r="F7067" s="55">
        <v>115</v>
      </c>
      <c r="G7067" s="63">
        <v>0.1158</v>
      </c>
    </row>
    <row r="7068" spans="1:7" x14ac:dyDescent="0.2">
      <c r="A7068" t="s">
        <v>71</v>
      </c>
      <c r="B7068" t="s">
        <v>12</v>
      </c>
      <c r="C7068" t="s">
        <v>212</v>
      </c>
      <c r="D7068" t="s">
        <v>74</v>
      </c>
      <c r="E7068" t="s">
        <v>83</v>
      </c>
      <c r="F7068" s="55">
        <v>97</v>
      </c>
      <c r="G7068" s="63">
        <v>1.5599999999999999E-2</v>
      </c>
    </row>
    <row r="7069" spans="1:7" x14ac:dyDescent="0.2">
      <c r="A7069" t="s">
        <v>71</v>
      </c>
      <c r="B7069" t="s">
        <v>12</v>
      </c>
      <c r="C7069" t="s">
        <v>212</v>
      </c>
      <c r="D7069" t="s">
        <v>74</v>
      </c>
      <c r="E7069" t="s">
        <v>84</v>
      </c>
      <c r="F7069" s="55">
        <v>96</v>
      </c>
      <c r="G7069" s="63">
        <v>4.4900000000000002E-2</v>
      </c>
    </row>
    <row r="7070" spans="1:7" x14ac:dyDescent="0.2">
      <c r="A7070" t="s">
        <v>71</v>
      </c>
      <c r="B7070" t="s">
        <v>12</v>
      </c>
      <c r="C7070" t="s">
        <v>212</v>
      </c>
      <c r="D7070" t="s">
        <v>74</v>
      </c>
      <c r="E7070" t="s">
        <v>85</v>
      </c>
      <c r="F7070" s="55">
        <v>102</v>
      </c>
      <c r="G7070" s="63">
        <v>4.1099999999999998E-2</v>
      </c>
    </row>
    <row r="7071" spans="1:7" x14ac:dyDescent="0.2">
      <c r="A7071" t="s">
        <v>71</v>
      </c>
      <c r="B7071" t="s">
        <v>12</v>
      </c>
      <c r="C7071" t="s">
        <v>212</v>
      </c>
      <c r="D7071" t="s">
        <v>74</v>
      </c>
      <c r="E7071" t="s">
        <v>86</v>
      </c>
      <c r="F7071" s="55">
        <v>108</v>
      </c>
      <c r="G7071" s="63">
        <v>6.5600000000000006E-2</v>
      </c>
    </row>
    <row r="7072" spans="1:7" x14ac:dyDescent="0.2">
      <c r="A7072" t="s">
        <v>71</v>
      </c>
      <c r="B7072" t="s">
        <v>12</v>
      </c>
      <c r="C7072" t="s">
        <v>212</v>
      </c>
      <c r="D7072" t="s">
        <v>74</v>
      </c>
      <c r="E7072" t="s">
        <v>87</v>
      </c>
      <c r="F7072" s="55">
        <v>112</v>
      </c>
      <c r="G7072" s="63">
        <v>8.5199999999999998E-2</v>
      </c>
    </row>
    <row r="7073" spans="1:7" x14ac:dyDescent="0.2">
      <c r="A7073" t="s">
        <v>71</v>
      </c>
      <c r="B7073" t="s">
        <v>12</v>
      </c>
      <c r="C7073" t="s">
        <v>212</v>
      </c>
      <c r="D7073" t="s">
        <v>74</v>
      </c>
      <c r="E7073" t="s">
        <v>88</v>
      </c>
      <c r="F7073" s="55">
        <v>90</v>
      </c>
      <c r="G7073" s="63">
        <v>4.02E-2</v>
      </c>
    </row>
    <row r="7074" spans="1:7" x14ac:dyDescent="0.2">
      <c r="A7074" t="s">
        <v>71</v>
      </c>
      <c r="B7074" t="s">
        <v>132</v>
      </c>
      <c r="C7074" t="s">
        <v>212</v>
      </c>
      <c r="D7074" t="s">
        <v>74</v>
      </c>
      <c r="E7074" t="s">
        <v>75</v>
      </c>
      <c r="F7074" s="55">
        <v>93</v>
      </c>
      <c r="G7074" s="63">
        <v>0.26910000000000001</v>
      </c>
    </row>
    <row r="7075" spans="1:7" x14ac:dyDescent="0.2">
      <c r="A7075" t="s">
        <v>71</v>
      </c>
      <c r="B7075" t="s">
        <v>132</v>
      </c>
      <c r="C7075" t="s">
        <v>212</v>
      </c>
      <c r="D7075" t="s">
        <v>74</v>
      </c>
      <c r="E7075" t="s">
        <v>76</v>
      </c>
      <c r="F7075" s="55">
        <v>92</v>
      </c>
      <c r="G7075" s="63">
        <v>2.3599999999999999E-2</v>
      </c>
    </row>
    <row r="7076" spans="1:7" x14ac:dyDescent="0.2">
      <c r="A7076" t="s">
        <v>71</v>
      </c>
      <c r="B7076" t="s">
        <v>132</v>
      </c>
      <c r="C7076" t="s">
        <v>212</v>
      </c>
      <c r="D7076" t="s">
        <v>74</v>
      </c>
      <c r="E7076" t="s">
        <v>77</v>
      </c>
      <c r="F7076" s="55">
        <v>99</v>
      </c>
      <c r="G7076" s="63">
        <v>9.6299999999999997E-2</v>
      </c>
    </row>
    <row r="7077" spans="1:7" x14ac:dyDescent="0.2">
      <c r="A7077" t="s">
        <v>71</v>
      </c>
      <c r="B7077" t="s">
        <v>132</v>
      </c>
      <c r="C7077" t="s">
        <v>212</v>
      </c>
      <c r="D7077" t="s">
        <v>74</v>
      </c>
      <c r="E7077" t="s">
        <v>78</v>
      </c>
      <c r="F7077" s="55">
        <v>97</v>
      </c>
      <c r="G7077" s="63">
        <v>9.6600000000000005E-2</v>
      </c>
    </row>
    <row r="7078" spans="1:7" x14ac:dyDescent="0.2">
      <c r="A7078" t="s">
        <v>71</v>
      </c>
      <c r="B7078" t="s">
        <v>132</v>
      </c>
      <c r="C7078" t="s">
        <v>212</v>
      </c>
      <c r="D7078" t="s">
        <v>74</v>
      </c>
      <c r="E7078" t="s">
        <v>79</v>
      </c>
      <c r="F7078" s="55">
        <v>93</v>
      </c>
      <c r="G7078" s="63">
        <v>0.1794</v>
      </c>
    </row>
    <row r="7079" spans="1:7" x14ac:dyDescent="0.2">
      <c r="A7079" t="s">
        <v>71</v>
      </c>
      <c r="B7079" t="s">
        <v>132</v>
      </c>
      <c r="C7079" t="s">
        <v>212</v>
      </c>
      <c r="D7079" t="s">
        <v>74</v>
      </c>
      <c r="E7079" t="s">
        <v>80</v>
      </c>
      <c r="F7079" s="55">
        <v>91</v>
      </c>
      <c r="G7079" s="63">
        <v>3.9300000000000002E-2</v>
      </c>
    </row>
    <row r="7080" spans="1:7" x14ac:dyDescent="0.2">
      <c r="A7080" t="s">
        <v>71</v>
      </c>
      <c r="B7080" t="s">
        <v>132</v>
      </c>
      <c r="C7080" t="s">
        <v>212</v>
      </c>
      <c r="D7080" t="s">
        <v>74</v>
      </c>
      <c r="E7080" t="s">
        <v>81</v>
      </c>
      <c r="F7080" s="55">
        <v>90</v>
      </c>
      <c r="G7080" s="63">
        <v>3.4799999999999998E-2</v>
      </c>
    </row>
    <row r="7081" spans="1:7" x14ac:dyDescent="0.2">
      <c r="A7081" t="s">
        <v>71</v>
      </c>
      <c r="B7081" t="s">
        <v>132</v>
      </c>
      <c r="C7081" t="s">
        <v>212</v>
      </c>
      <c r="D7081" t="s">
        <v>74</v>
      </c>
      <c r="E7081" t="s">
        <v>82</v>
      </c>
      <c r="F7081" s="55">
        <v>91</v>
      </c>
      <c r="G7081" s="63">
        <v>0.1295</v>
      </c>
    </row>
    <row r="7082" spans="1:7" x14ac:dyDescent="0.2">
      <c r="A7082" t="s">
        <v>71</v>
      </c>
      <c r="B7082" t="s">
        <v>132</v>
      </c>
      <c r="C7082" t="s">
        <v>212</v>
      </c>
      <c r="D7082" t="s">
        <v>74</v>
      </c>
      <c r="E7082" t="s">
        <v>83</v>
      </c>
      <c r="F7082" s="55">
        <v>86</v>
      </c>
      <c r="G7082" s="63">
        <v>1.14E-2</v>
      </c>
    </row>
    <row r="7083" spans="1:7" x14ac:dyDescent="0.2">
      <c r="A7083" t="s">
        <v>71</v>
      </c>
      <c r="B7083" t="s">
        <v>132</v>
      </c>
      <c r="C7083" t="s">
        <v>212</v>
      </c>
      <c r="D7083" t="s">
        <v>74</v>
      </c>
      <c r="E7083" t="s">
        <v>84</v>
      </c>
      <c r="F7083" s="55">
        <v>97</v>
      </c>
      <c r="G7083" s="63">
        <v>7.46E-2</v>
      </c>
    </row>
    <row r="7084" spans="1:7" x14ac:dyDescent="0.2">
      <c r="A7084" t="s">
        <v>71</v>
      </c>
      <c r="B7084" t="s">
        <v>132</v>
      </c>
      <c r="C7084" t="s">
        <v>212</v>
      </c>
      <c r="D7084" t="s">
        <v>74</v>
      </c>
      <c r="E7084" t="s">
        <v>85</v>
      </c>
      <c r="F7084" s="55">
        <v>86</v>
      </c>
      <c r="G7084" s="63">
        <v>4.1300000000000003E-2</v>
      </c>
    </row>
    <row r="7085" spans="1:7" x14ac:dyDescent="0.2">
      <c r="A7085" t="s">
        <v>71</v>
      </c>
      <c r="B7085" t="s">
        <v>132</v>
      </c>
      <c r="C7085" t="s">
        <v>212</v>
      </c>
      <c r="D7085" t="s">
        <v>74</v>
      </c>
      <c r="E7085" t="s">
        <v>86</v>
      </c>
      <c r="F7085" s="55">
        <v>92</v>
      </c>
      <c r="G7085" s="63">
        <v>7.1300000000000002E-2</v>
      </c>
    </row>
    <row r="7086" spans="1:7" x14ac:dyDescent="0.2">
      <c r="A7086" t="s">
        <v>71</v>
      </c>
      <c r="B7086" t="s">
        <v>132</v>
      </c>
      <c r="C7086" t="s">
        <v>212</v>
      </c>
      <c r="D7086" t="s">
        <v>74</v>
      </c>
      <c r="E7086" t="s">
        <v>87</v>
      </c>
      <c r="F7086" s="55">
        <v>94</v>
      </c>
      <c r="G7086" s="63">
        <v>9.0399999999999994E-2</v>
      </c>
    </row>
    <row r="7087" spans="1:7" x14ac:dyDescent="0.2">
      <c r="A7087" t="s">
        <v>71</v>
      </c>
      <c r="B7087" t="s">
        <v>132</v>
      </c>
      <c r="C7087" t="s">
        <v>212</v>
      </c>
      <c r="D7087" t="s">
        <v>74</v>
      </c>
      <c r="E7087" t="s">
        <v>88</v>
      </c>
      <c r="F7087" s="55">
        <v>92</v>
      </c>
      <c r="G7087" s="63">
        <v>4.2799999999999998E-2</v>
      </c>
    </row>
    <row r="7088" spans="1:7" x14ac:dyDescent="0.2">
      <c r="A7088" t="s">
        <v>89</v>
      </c>
      <c r="B7088" t="s">
        <v>133</v>
      </c>
      <c r="C7088" t="s">
        <v>212</v>
      </c>
      <c r="D7088" t="s">
        <v>74</v>
      </c>
      <c r="E7088" t="s">
        <v>75</v>
      </c>
      <c r="F7088" s="55">
        <v>107</v>
      </c>
      <c r="G7088" s="63">
        <v>0.1116</v>
      </c>
    </row>
    <row r="7089" spans="1:7" x14ac:dyDescent="0.2">
      <c r="A7089" t="s">
        <v>89</v>
      </c>
      <c r="B7089" t="s">
        <v>133</v>
      </c>
      <c r="C7089" t="s">
        <v>212</v>
      </c>
      <c r="D7089" t="s">
        <v>74</v>
      </c>
      <c r="E7089" t="s">
        <v>76</v>
      </c>
      <c r="F7089" s="55">
        <v>140</v>
      </c>
      <c r="G7089" s="63">
        <v>9.7000000000000003E-3</v>
      </c>
    </row>
    <row r="7090" spans="1:7" x14ac:dyDescent="0.2">
      <c r="A7090" t="s">
        <v>89</v>
      </c>
      <c r="B7090" t="s">
        <v>133</v>
      </c>
      <c r="C7090" t="s">
        <v>212</v>
      </c>
      <c r="D7090" t="s">
        <v>74</v>
      </c>
      <c r="E7090" t="s">
        <v>77</v>
      </c>
      <c r="F7090" s="55">
        <v>117</v>
      </c>
      <c r="G7090" s="63">
        <v>2.41E-2</v>
      </c>
    </row>
    <row r="7091" spans="1:7" x14ac:dyDescent="0.2">
      <c r="A7091" t="s">
        <v>89</v>
      </c>
      <c r="B7091" t="s">
        <v>133</v>
      </c>
      <c r="C7091" t="s">
        <v>212</v>
      </c>
      <c r="D7091" t="s">
        <v>74</v>
      </c>
      <c r="E7091" t="s">
        <v>78</v>
      </c>
      <c r="F7091" s="55">
        <v>89</v>
      </c>
      <c r="G7091" s="63">
        <v>1.8800000000000001E-2</v>
      </c>
    </row>
    <row r="7092" spans="1:7" x14ac:dyDescent="0.2">
      <c r="A7092" t="s">
        <v>89</v>
      </c>
      <c r="B7092" t="s">
        <v>133</v>
      </c>
      <c r="C7092" t="s">
        <v>212</v>
      </c>
      <c r="D7092" t="s">
        <v>74</v>
      </c>
      <c r="E7092" t="s">
        <v>79</v>
      </c>
      <c r="F7092" s="55">
        <v>101</v>
      </c>
      <c r="G7092" s="63">
        <v>7.3099999999999998E-2</v>
      </c>
    </row>
    <row r="7093" spans="1:7" x14ac:dyDescent="0.2">
      <c r="A7093" t="s">
        <v>89</v>
      </c>
      <c r="B7093" t="s">
        <v>133</v>
      </c>
      <c r="C7093" t="s">
        <v>212</v>
      </c>
      <c r="D7093" t="s">
        <v>74</v>
      </c>
      <c r="E7093" t="s">
        <v>80</v>
      </c>
      <c r="F7093" s="55">
        <v>110</v>
      </c>
      <c r="G7093" s="63">
        <v>2.4299999999999999E-2</v>
      </c>
    </row>
    <row r="7094" spans="1:7" x14ac:dyDescent="0.2">
      <c r="A7094" t="s">
        <v>89</v>
      </c>
      <c r="B7094" t="s">
        <v>133</v>
      </c>
      <c r="C7094" t="s">
        <v>212</v>
      </c>
      <c r="D7094" t="s">
        <v>74</v>
      </c>
      <c r="E7094" t="s">
        <v>81</v>
      </c>
      <c r="F7094" s="55">
        <v>107</v>
      </c>
      <c r="G7094" s="63">
        <v>2.6700000000000002E-2</v>
      </c>
    </row>
    <row r="7095" spans="1:7" x14ac:dyDescent="0.2">
      <c r="A7095" t="s">
        <v>89</v>
      </c>
      <c r="B7095" t="s">
        <v>133</v>
      </c>
      <c r="C7095" t="s">
        <v>212</v>
      </c>
      <c r="D7095" t="s">
        <v>74</v>
      </c>
      <c r="E7095" t="s">
        <v>82</v>
      </c>
      <c r="F7095" s="55">
        <v>106</v>
      </c>
      <c r="G7095" s="63">
        <v>3.32E-2</v>
      </c>
    </row>
    <row r="7096" spans="1:7" x14ac:dyDescent="0.2">
      <c r="A7096" t="s">
        <v>89</v>
      </c>
      <c r="B7096" t="s">
        <v>133</v>
      </c>
      <c r="C7096" t="s">
        <v>212</v>
      </c>
      <c r="D7096" t="s">
        <v>74</v>
      </c>
      <c r="E7096" t="s">
        <v>83</v>
      </c>
      <c r="F7096" s="55">
        <v>122</v>
      </c>
      <c r="G7096" s="63">
        <v>1.18E-2</v>
      </c>
    </row>
    <row r="7097" spans="1:7" x14ac:dyDescent="0.2">
      <c r="A7097" t="s">
        <v>89</v>
      </c>
      <c r="B7097" t="s">
        <v>133</v>
      </c>
      <c r="C7097" t="s">
        <v>212</v>
      </c>
      <c r="D7097" t="s">
        <v>74</v>
      </c>
      <c r="E7097" t="s">
        <v>84</v>
      </c>
      <c r="F7097" s="55">
        <v>92</v>
      </c>
      <c r="G7097" s="63">
        <v>1.35E-2</v>
      </c>
    </row>
    <row r="7098" spans="1:7" x14ac:dyDescent="0.2">
      <c r="A7098" t="s">
        <v>89</v>
      </c>
      <c r="B7098" t="s">
        <v>133</v>
      </c>
      <c r="C7098" t="s">
        <v>212</v>
      </c>
      <c r="D7098" t="s">
        <v>74</v>
      </c>
      <c r="E7098" t="s">
        <v>85</v>
      </c>
      <c r="F7098" s="55">
        <v>110</v>
      </c>
      <c r="G7098" s="63">
        <v>2.5899999999999999E-2</v>
      </c>
    </row>
    <row r="7099" spans="1:7" x14ac:dyDescent="0.2">
      <c r="A7099" t="s">
        <v>89</v>
      </c>
      <c r="B7099" t="s">
        <v>133</v>
      </c>
      <c r="C7099" t="s">
        <v>212</v>
      </c>
      <c r="D7099" t="s">
        <v>74</v>
      </c>
      <c r="E7099" t="s">
        <v>86</v>
      </c>
      <c r="F7099" s="55">
        <v>111</v>
      </c>
      <c r="G7099" s="63">
        <v>2.8299999999999999E-2</v>
      </c>
    </row>
    <row r="7100" spans="1:7" x14ac:dyDescent="0.2">
      <c r="A7100" t="s">
        <v>89</v>
      </c>
      <c r="B7100" t="s">
        <v>133</v>
      </c>
      <c r="C7100" t="s">
        <v>212</v>
      </c>
      <c r="D7100" t="s">
        <v>74</v>
      </c>
      <c r="E7100" t="s">
        <v>87</v>
      </c>
      <c r="F7100" s="55">
        <v>108</v>
      </c>
      <c r="G7100" s="63">
        <v>3.15E-2</v>
      </c>
    </row>
    <row r="7101" spans="1:7" x14ac:dyDescent="0.2">
      <c r="A7101" t="s">
        <v>89</v>
      </c>
      <c r="B7101" t="s">
        <v>133</v>
      </c>
      <c r="C7101" t="s">
        <v>212</v>
      </c>
      <c r="D7101" t="s">
        <v>74</v>
      </c>
      <c r="E7101" t="s">
        <v>88</v>
      </c>
      <c r="F7101" s="55">
        <v>131</v>
      </c>
      <c r="G7101" s="63">
        <v>1.9E-2</v>
      </c>
    </row>
    <row r="7102" spans="1:7" x14ac:dyDescent="0.2">
      <c r="A7102" t="s">
        <v>89</v>
      </c>
      <c r="B7102" t="s">
        <v>134</v>
      </c>
      <c r="C7102" t="s">
        <v>212</v>
      </c>
      <c r="D7102" t="s">
        <v>74</v>
      </c>
      <c r="E7102" t="s">
        <v>75</v>
      </c>
      <c r="F7102" s="55">
        <v>112</v>
      </c>
      <c r="G7102" s="63">
        <v>0.13109999999999999</v>
      </c>
    </row>
    <row r="7103" spans="1:7" x14ac:dyDescent="0.2">
      <c r="A7103" t="s">
        <v>89</v>
      </c>
      <c r="B7103" t="s">
        <v>134</v>
      </c>
      <c r="C7103" t="s">
        <v>212</v>
      </c>
      <c r="D7103" t="s">
        <v>74</v>
      </c>
      <c r="E7103" t="s">
        <v>76</v>
      </c>
      <c r="F7103" s="55">
        <v>117</v>
      </c>
      <c r="G7103" s="63">
        <v>1.9900000000000001E-2</v>
      </c>
    </row>
    <row r="7104" spans="1:7" x14ac:dyDescent="0.2">
      <c r="A7104" t="s">
        <v>89</v>
      </c>
      <c r="B7104" t="s">
        <v>134</v>
      </c>
      <c r="C7104" t="s">
        <v>212</v>
      </c>
      <c r="D7104" t="s">
        <v>74</v>
      </c>
      <c r="E7104" t="s">
        <v>77</v>
      </c>
      <c r="F7104" s="55">
        <v>122</v>
      </c>
      <c r="G7104" s="63">
        <v>4.99E-2</v>
      </c>
    </row>
    <row r="7105" spans="1:7" x14ac:dyDescent="0.2">
      <c r="A7105" t="s">
        <v>89</v>
      </c>
      <c r="B7105" t="s">
        <v>134</v>
      </c>
      <c r="C7105" t="s">
        <v>212</v>
      </c>
      <c r="D7105" t="s">
        <v>74</v>
      </c>
      <c r="E7105" t="s">
        <v>78</v>
      </c>
      <c r="F7105" s="55">
        <v>106</v>
      </c>
      <c r="G7105" s="63">
        <v>3.5999999999999997E-2</v>
      </c>
    </row>
    <row r="7106" spans="1:7" x14ac:dyDescent="0.2">
      <c r="A7106" t="s">
        <v>89</v>
      </c>
      <c r="B7106" t="s">
        <v>134</v>
      </c>
      <c r="C7106" t="s">
        <v>212</v>
      </c>
      <c r="D7106" t="s">
        <v>74</v>
      </c>
      <c r="E7106" t="s">
        <v>79</v>
      </c>
      <c r="F7106" s="55">
        <v>106</v>
      </c>
      <c r="G7106" s="63">
        <v>0.08</v>
      </c>
    </row>
    <row r="7107" spans="1:7" x14ac:dyDescent="0.2">
      <c r="A7107" t="s">
        <v>89</v>
      </c>
      <c r="B7107" t="s">
        <v>134</v>
      </c>
      <c r="C7107" t="s">
        <v>212</v>
      </c>
      <c r="D7107" t="s">
        <v>74</v>
      </c>
      <c r="E7107" t="s">
        <v>80</v>
      </c>
      <c r="F7107" s="55">
        <v>100</v>
      </c>
      <c r="G7107" s="63">
        <v>2.2499999999999999E-2</v>
      </c>
    </row>
    <row r="7108" spans="1:7" x14ac:dyDescent="0.2">
      <c r="A7108" t="s">
        <v>89</v>
      </c>
      <c r="B7108" t="s">
        <v>134</v>
      </c>
      <c r="C7108" t="s">
        <v>212</v>
      </c>
      <c r="D7108" t="s">
        <v>74</v>
      </c>
      <c r="E7108" t="s">
        <v>81</v>
      </c>
      <c r="F7108" s="55">
        <v>104</v>
      </c>
      <c r="G7108" s="63">
        <v>2.7099999999999999E-2</v>
      </c>
    </row>
    <row r="7109" spans="1:7" x14ac:dyDescent="0.2">
      <c r="A7109" t="s">
        <v>89</v>
      </c>
      <c r="B7109" t="s">
        <v>134</v>
      </c>
      <c r="C7109" t="s">
        <v>212</v>
      </c>
      <c r="D7109" t="s">
        <v>74</v>
      </c>
      <c r="E7109" t="s">
        <v>82</v>
      </c>
      <c r="F7109" s="55">
        <v>118</v>
      </c>
      <c r="G7109" s="63">
        <v>6.3399999999999998E-2</v>
      </c>
    </row>
    <row r="7110" spans="1:7" x14ac:dyDescent="0.2">
      <c r="A7110" t="s">
        <v>89</v>
      </c>
      <c r="B7110" t="s">
        <v>134</v>
      </c>
      <c r="C7110" t="s">
        <v>212</v>
      </c>
      <c r="D7110" t="s">
        <v>74</v>
      </c>
      <c r="E7110" t="s">
        <v>83</v>
      </c>
      <c r="F7110" s="55">
        <v>107</v>
      </c>
      <c r="G7110" s="63">
        <v>1.4800000000000001E-2</v>
      </c>
    </row>
    <row r="7111" spans="1:7" x14ac:dyDescent="0.2">
      <c r="A7111" t="s">
        <v>89</v>
      </c>
      <c r="B7111" t="s">
        <v>134</v>
      </c>
      <c r="C7111" t="s">
        <v>212</v>
      </c>
      <c r="D7111" t="s">
        <v>74</v>
      </c>
      <c r="E7111" t="s">
        <v>84</v>
      </c>
      <c r="F7111" s="55">
        <v>110</v>
      </c>
      <c r="G7111" s="63">
        <v>2.7199999999999998E-2</v>
      </c>
    </row>
    <row r="7112" spans="1:7" x14ac:dyDescent="0.2">
      <c r="A7112" t="s">
        <v>89</v>
      </c>
      <c r="B7112" t="s">
        <v>134</v>
      </c>
      <c r="C7112" t="s">
        <v>212</v>
      </c>
      <c r="D7112" t="s">
        <v>74</v>
      </c>
      <c r="E7112" t="s">
        <v>85</v>
      </c>
      <c r="F7112" s="55">
        <v>103</v>
      </c>
      <c r="G7112" s="63">
        <v>2.4899999999999999E-2</v>
      </c>
    </row>
    <row r="7113" spans="1:7" x14ac:dyDescent="0.2">
      <c r="A7113" t="s">
        <v>89</v>
      </c>
      <c r="B7113" t="s">
        <v>134</v>
      </c>
      <c r="C7113" t="s">
        <v>212</v>
      </c>
      <c r="D7113" t="s">
        <v>74</v>
      </c>
      <c r="E7113" t="s">
        <v>86</v>
      </c>
      <c r="F7113" s="55">
        <v>105</v>
      </c>
      <c r="G7113" s="63">
        <v>3.1699999999999999E-2</v>
      </c>
    </row>
    <row r="7114" spans="1:7" x14ac:dyDescent="0.2">
      <c r="A7114" t="s">
        <v>89</v>
      </c>
      <c r="B7114" t="s">
        <v>134</v>
      </c>
      <c r="C7114" t="s">
        <v>212</v>
      </c>
      <c r="D7114" t="s">
        <v>74</v>
      </c>
      <c r="E7114" t="s">
        <v>87</v>
      </c>
      <c r="F7114" s="55">
        <v>109</v>
      </c>
      <c r="G7114" s="63">
        <v>3.6999999999999998E-2</v>
      </c>
    </row>
    <row r="7115" spans="1:7" x14ac:dyDescent="0.2">
      <c r="A7115" t="s">
        <v>89</v>
      </c>
      <c r="B7115" t="s">
        <v>134</v>
      </c>
      <c r="C7115" t="s">
        <v>212</v>
      </c>
      <c r="D7115" t="s">
        <v>74</v>
      </c>
      <c r="E7115" t="s">
        <v>88</v>
      </c>
      <c r="F7115" s="55">
        <v>114</v>
      </c>
      <c r="G7115" s="63">
        <v>3.0200000000000001E-2</v>
      </c>
    </row>
    <row r="7116" spans="1:7" x14ac:dyDescent="0.2">
      <c r="A7116" t="s">
        <v>89</v>
      </c>
      <c r="B7116" t="s">
        <v>135</v>
      </c>
      <c r="C7116" t="s">
        <v>212</v>
      </c>
      <c r="D7116" t="s">
        <v>74</v>
      </c>
      <c r="E7116" t="s">
        <v>75</v>
      </c>
      <c r="F7116" s="55">
        <v>91</v>
      </c>
      <c r="G7116" s="63">
        <v>2.81E-2</v>
      </c>
    </row>
    <row r="7117" spans="1:7" x14ac:dyDescent="0.2">
      <c r="A7117" t="s">
        <v>89</v>
      </c>
      <c r="B7117" t="s">
        <v>135</v>
      </c>
      <c r="C7117" t="s">
        <v>212</v>
      </c>
      <c r="D7117" t="s">
        <v>74</v>
      </c>
      <c r="E7117" t="s">
        <v>76</v>
      </c>
      <c r="F7117" s="55">
        <v>85</v>
      </c>
      <c r="G7117" s="63">
        <v>2.8E-3</v>
      </c>
    </row>
    <row r="7118" spans="1:7" x14ac:dyDescent="0.2">
      <c r="A7118" t="s">
        <v>89</v>
      </c>
      <c r="B7118" t="s">
        <v>135</v>
      </c>
      <c r="C7118" t="s">
        <v>212</v>
      </c>
      <c r="D7118" t="s">
        <v>74</v>
      </c>
      <c r="E7118" t="s">
        <v>77</v>
      </c>
      <c r="F7118" s="55">
        <v>95</v>
      </c>
      <c r="G7118" s="63">
        <v>7.9000000000000008E-3</v>
      </c>
    </row>
    <row r="7119" spans="1:7" x14ac:dyDescent="0.2">
      <c r="A7119" t="s">
        <v>89</v>
      </c>
      <c r="B7119" t="s">
        <v>135</v>
      </c>
      <c r="C7119" t="s">
        <v>212</v>
      </c>
      <c r="D7119" t="s">
        <v>74</v>
      </c>
      <c r="E7119" t="s">
        <v>78</v>
      </c>
      <c r="F7119" s="55">
        <v>83</v>
      </c>
      <c r="G7119" s="63">
        <v>6.0000000000000001E-3</v>
      </c>
    </row>
    <row r="7120" spans="1:7" x14ac:dyDescent="0.2">
      <c r="A7120" t="s">
        <v>89</v>
      </c>
      <c r="B7120" t="s">
        <v>135</v>
      </c>
      <c r="C7120" t="s">
        <v>212</v>
      </c>
      <c r="D7120" t="s">
        <v>74</v>
      </c>
      <c r="E7120" t="s">
        <v>79</v>
      </c>
      <c r="F7120" s="55">
        <v>94</v>
      </c>
      <c r="G7120" s="63">
        <v>1.61E-2</v>
      </c>
    </row>
    <row r="7121" spans="1:7" x14ac:dyDescent="0.2">
      <c r="A7121" t="s">
        <v>89</v>
      </c>
      <c r="B7121" t="s">
        <v>135</v>
      </c>
      <c r="C7121" t="s">
        <v>212</v>
      </c>
      <c r="D7121" t="s">
        <v>74</v>
      </c>
      <c r="E7121" t="s">
        <v>80</v>
      </c>
      <c r="F7121" s="55">
        <v>88</v>
      </c>
      <c r="G7121" s="63">
        <v>4.5999999999999999E-3</v>
      </c>
    </row>
    <row r="7122" spans="1:7" x14ac:dyDescent="0.2">
      <c r="A7122" t="s">
        <v>89</v>
      </c>
      <c r="B7122" t="s">
        <v>135</v>
      </c>
      <c r="C7122" t="s">
        <v>212</v>
      </c>
      <c r="D7122" t="s">
        <v>74</v>
      </c>
      <c r="E7122" t="s">
        <v>81</v>
      </c>
      <c r="F7122" s="55">
        <v>89</v>
      </c>
      <c r="G7122" s="63">
        <v>5.4999999999999997E-3</v>
      </c>
    </row>
    <row r="7123" spans="1:7" x14ac:dyDescent="0.2">
      <c r="A7123" t="s">
        <v>89</v>
      </c>
      <c r="B7123" t="s">
        <v>135</v>
      </c>
      <c r="C7123" t="s">
        <v>212</v>
      </c>
      <c r="D7123" t="s">
        <v>74</v>
      </c>
      <c r="E7123" t="s">
        <v>82</v>
      </c>
      <c r="F7123" s="55">
        <v>93</v>
      </c>
      <c r="G7123" s="63">
        <v>1.11E-2</v>
      </c>
    </row>
    <row r="7124" spans="1:7" x14ac:dyDescent="0.2">
      <c r="A7124" t="s">
        <v>89</v>
      </c>
      <c r="B7124" t="s">
        <v>135</v>
      </c>
      <c r="C7124" t="s">
        <v>212</v>
      </c>
      <c r="D7124" t="s">
        <v>74</v>
      </c>
      <c r="E7124" t="s">
        <v>83</v>
      </c>
      <c r="F7124" s="55">
        <v>92</v>
      </c>
      <c r="G7124" s="63">
        <v>2.5000000000000001E-3</v>
      </c>
    </row>
    <row r="7125" spans="1:7" x14ac:dyDescent="0.2">
      <c r="A7125" t="s">
        <v>89</v>
      </c>
      <c r="B7125" t="s">
        <v>135</v>
      </c>
      <c r="C7125" t="s">
        <v>212</v>
      </c>
      <c r="D7125" t="s">
        <v>74</v>
      </c>
      <c r="E7125" t="s">
        <v>84</v>
      </c>
      <c r="F7125" s="55">
        <v>88</v>
      </c>
      <c r="G7125" s="63">
        <v>4.4000000000000003E-3</v>
      </c>
    </row>
    <row r="7126" spans="1:7" x14ac:dyDescent="0.2">
      <c r="A7126" t="s">
        <v>89</v>
      </c>
      <c r="B7126" t="s">
        <v>135</v>
      </c>
      <c r="C7126" t="s">
        <v>212</v>
      </c>
      <c r="D7126" t="s">
        <v>74</v>
      </c>
      <c r="E7126" t="s">
        <v>85</v>
      </c>
      <c r="F7126" s="55">
        <v>91</v>
      </c>
      <c r="G7126" s="63">
        <v>4.3E-3</v>
      </c>
    </row>
    <row r="7127" spans="1:7" x14ac:dyDescent="0.2">
      <c r="A7127" t="s">
        <v>89</v>
      </c>
      <c r="B7127" t="s">
        <v>135</v>
      </c>
      <c r="C7127" t="s">
        <v>212</v>
      </c>
      <c r="D7127" t="s">
        <v>74</v>
      </c>
      <c r="E7127" t="s">
        <v>86</v>
      </c>
      <c r="F7127" s="55">
        <v>90</v>
      </c>
      <c r="G7127" s="63">
        <v>5.1999999999999998E-3</v>
      </c>
    </row>
    <row r="7128" spans="1:7" x14ac:dyDescent="0.2">
      <c r="A7128" t="s">
        <v>89</v>
      </c>
      <c r="B7128" t="s">
        <v>135</v>
      </c>
      <c r="C7128" t="s">
        <v>212</v>
      </c>
      <c r="D7128" t="s">
        <v>74</v>
      </c>
      <c r="E7128" t="s">
        <v>87</v>
      </c>
      <c r="F7128" s="55">
        <v>99</v>
      </c>
      <c r="G7128" s="63">
        <v>6.4000000000000003E-3</v>
      </c>
    </row>
    <row r="7129" spans="1:7" x14ac:dyDescent="0.2">
      <c r="A7129" t="s">
        <v>89</v>
      </c>
      <c r="B7129" t="s">
        <v>135</v>
      </c>
      <c r="C7129" t="s">
        <v>212</v>
      </c>
      <c r="D7129" t="s">
        <v>74</v>
      </c>
      <c r="E7129" t="s">
        <v>88</v>
      </c>
      <c r="F7129" s="55">
        <v>88</v>
      </c>
      <c r="G7129" s="63">
        <v>5.0000000000000001E-3</v>
      </c>
    </row>
    <row r="7130" spans="1:7" x14ac:dyDescent="0.2">
      <c r="A7130" t="s">
        <v>71</v>
      </c>
      <c r="B7130" t="s">
        <v>136</v>
      </c>
      <c r="C7130" t="s">
        <v>212</v>
      </c>
      <c r="D7130" t="s">
        <v>74</v>
      </c>
      <c r="E7130" t="s">
        <v>75</v>
      </c>
      <c r="F7130" s="55">
        <v>98</v>
      </c>
      <c r="G7130" s="63">
        <v>8.9700000000000002E-2</v>
      </c>
    </row>
    <row r="7131" spans="1:7" x14ac:dyDescent="0.2">
      <c r="A7131" t="s">
        <v>71</v>
      </c>
      <c r="B7131" t="s">
        <v>136</v>
      </c>
      <c r="C7131" t="s">
        <v>212</v>
      </c>
      <c r="D7131" t="s">
        <v>74</v>
      </c>
      <c r="E7131" t="s">
        <v>76</v>
      </c>
      <c r="F7131" s="55">
        <v>107</v>
      </c>
      <c r="G7131" s="63">
        <v>1.15E-2</v>
      </c>
    </row>
    <row r="7132" spans="1:7" x14ac:dyDescent="0.2">
      <c r="A7132" t="s">
        <v>71</v>
      </c>
      <c r="B7132" t="s">
        <v>136</v>
      </c>
      <c r="C7132" t="s">
        <v>212</v>
      </c>
      <c r="D7132" t="s">
        <v>74</v>
      </c>
      <c r="E7132" t="s">
        <v>77</v>
      </c>
      <c r="F7132" s="55">
        <v>100</v>
      </c>
      <c r="G7132" s="63">
        <v>3.6999999999999998E-2</v>
      </c>
    </row>
    <row r="7133" spans="1:7" x14ac:dyDescent="0.2">
      <c r="A7133" t="s">
        <v>71</v>
      </c>
      <c r="B7133" t="s">
        <v>136</v>
      </c>
      <c r="C7133" t="s">
        <v>212</v>
      </c>
      <c r="D7133" t="s">
        <v>74</v>
      </c>
      <c r="E7133" t="s">
        <v>78</v>
      </c>
      <c r="F7133" s="55">
        <v>97</v>
      </c>
      <c r="G7133" s="63">
        <v>1.6799999999999999E-2</v>
      </c>
    </row>
    <row r="7134" spans="1:7" x14ac:dyDescent="0.2">
      <c r="A7134" t="s">
        <v>71</v>
      </c>
      <c r="B7134" t="s">
        <v>136</v>
      </c>
      <c r="C7134" t="s">
        <v>212</v>
      </c>
      <c r="D7134" t="s">
        <v>74</v>
      </c>
      <c r="E7134" t="s">
        <v>79</v>
      </c>
      <c r="F7134" s="55">
        <v>96</v>
      </c>
      <c r="G7134" s="63">
        <v>4.48E-2</v>
      </c>
    </row>
    <row r="7135" spans="1:7" x14ac:dyDescent="0.2">
      <c r="A7135" t="s">
        <v>71</v>
      </c>
      <c r="B7135" t="s">
        <v>136</v>
      </c>
      <c r="C7135" t="s">
        <v>212</v>
      </c>
      <c r="D7135" t="s">
        <v>74</v>
      </c>
      <c r="E7135" t="s">
        <v>80</v>
      </c>
      <c r="F7135" s="55">
        <v>100</v>
      </c>
      <c r="G7135" s="63">
        <v>1.3899999999999999E-2</v>
      </c>
    </row>
    <row r="7136" spans="1:7" x14ac:dyDescent="0.2">
      <c r="A7136" t="s">
        <v>71</v>
      </c>
      <c r="B7136" t="s">
        <v>136</v>
      </c>
      <c r="C7136" t="s">
        <v>212</v>
      </c>
      <c r="D7136" t="s">
        <v>74</v>
      </c>
      <c r="E7136" t="s">
        <v>81</v>
      </c>
      <c r="F7136" s="55">
        <v>100</v>
      </c>
      <c r="G7136" s="63">
        <v>1.38E-2</v>
      </c>
    </row>
    <row r="7137" spans="1:7" x14ac:dyDescent="0.2">
      <c r="A7137" t="s">
        <v>71</v>
      </c>
      <c r="B7137" t="s">
        <v>136</v>
      </c>
      <c r="C7137" t="s">
        <v>212</v>
      </c>
      <c r="D7137" t="s">
        <v>74</v>
      </c>
      <c r="E7137" t="s">
        <v>82</v>
      </c>
      <c r="F7137" s="55">
        <v>97</v>
      </c>
      <c r="G7137" s="63">
        <v>2.7900000000000001E-2</v>
      </c>
    </row>
    <row r="7138" spans="1:7" x14ac:dyDescent="0.2">
      <c r="A7138" t="s">
        <v>71</v>
      </c>
      <c r="B7138" t="s">
        <v>136</v>
      </c>
      <c r="C7138" t="s">
        <v>212</v>
      </c>
      <c r="D7138" t="s">
        <v>74</v>
      </c>
      <c r="E7138" t="s">
        <v>83</v>
      </c>
      <c r="F7138" s="55">
        <v>104</v>
      </c>
      <c r="G7138" s="63">
        <v>5.1000000000000004E-3</v>
      </c>
    </row>
    <row r="7139" spans="1:7" x14ac:dyDescent="0.2">
      <c r="A7139" t="s">
        <v>71</v>
      </c>
      <c r="B7139" t="s">
        <v>136</v>
      </c>
      <c r="C7139" t="s">
        <v>212</v>
      </c>
      <c r="D7139" t="s">
        <v>74</v>
      </c>
      <c r="E7139" t="s">
        <v>84</v>
      </c>
      <c r="F7139" s="55">
        <v>96</v>
      </c>
      <c r="G7139" s="63">
        <v>1.2800000000000001E-2</v>
      </c>
    </row>
    <row r="7140" spans="1:7" x14ac:dyDescent="0.2">
      <c r="A7140" t="s">
        <v>71</v>
      </c>
      <c r="B7140" t="s">
        <v>136</v>
      </c>
      <c r="C7140" t="s">
        <v>212</v>
      </c>
      <c r="D7140" t="s">
        <v>74</v>
      </c>
      <c r="E7140" t="s">
        <v>85</v>
      </c>
      <c r="F7140" s="55">
        <v>97</v>
      </c>
      <c r="G7140" s="63">
        <v>1.49E-2</v>
      </c>
    </row>
    <row r="7141" spans="1:7" x14ac:dyDescent="0.2">
      <c r="A7141" t="s">
        <v>71</v>
      </c>
      <c r="B7141" t="s">
        <v>136</v>
      </c>
      <c r="C7141" t="s">
        <v>212</v>
      </c>
      <c r="D7141" t="s">
        <v>74</v>
      </c>
      <c r="E7141" t="s">
        <v>86</v>
      </c>
      <c r="F7141" s="55">
        <v>96</v>
      </c>
      <c r="G7141" s="63">
        <v>1.77E-2</v>
      </c>
    </row>
    <row r="7142" spans="1:7" x14ac:dyDescent="0.2">
      <c r="A7142" t="s">
        <v>71</v>
      </c>
      <c r="B7142" t="s">
        <v>136</v>
      </c>
      <c r="C7142" t="s">
        <v>212</v>
      </c>
      <c r="D7142" t="s">
        <v>74</v>
      </c>
      <c r="E7142" t="s">
        <v>87</v>
      </c>
      <c r="F7142" s="55">
        <v>97</v>
      </c>
      <c r="G7142" s="63">
        <v>2.01E-2</v>
      </c>
    </row>
    <row r="7143" spans="1:7" x14ac:dyDescent="0.2">
      <c r="A7143" t="s">
        <v>71</v>
      </c>
      <c r="B7143" t="s">
        <v>136</v>
      </c>
      <c r="C7143" t="s">
        <v>212</v>
      </c>
      <c r="D7143" t="s">
        <v>74</v>
      </c>
      <c r="E7143" t="s">
        <v>88</v>
      </c>
      <c r="F7143" s="55">
        <v>104</v>
      </c>
      <c r="G7143" s="63">
        <v>1.6500000000000001E-2</v>
      </c>
    </row>
    <row r="7144" spans="1:7" x14ac:dyDescent="0.2">
      <c r="A7144" t="s">
        <v>71</v>
      </c>
      <c r="B7144" t="s">
        <v>137</v>
      </c>
      <c r="C7144" t="s">
        <v>212</v>
      </c>
      <c r="D7144" t="s">
        <v>74</v>
      </c>
      <c r="E7144" t="s">
        <v>75</v>
      </c>
      <c r="F7144" s="55">
        <v>116</v>
      </c>
      <c r="G7144" s="63">
        <v>0.13150000000000001</v>
      </c>
    </row>
    <row r="7145" spans="1:7" x14ac:dyDescent="0.2">
      <c r="A7145" t="s">
        <v>71</v>
      </c>
      <c r="B7145" t="s">
        <v>137</v>
      </c>
      <c r="C7145" t="s">
        <v>212</v>
      </c>
      <c r="D7145" t="s">
        <v>74</v>
      </c>
      <c r="E7145" t="s">
        <v>76</v>
      </c>
      <c r="F7145" s="55">
        <v>122</v>
      </c>
      <c r="G7145" s="63">
        <v>1.44E-2</v>
      </c>
    </row>
    <row r="7146" spans="1:7" x14ac:dyDescent="0.2">
      <c r="A7146" t="s">
        <v>71</v>
      </c>
      <c r="B7146" t="s">
        <v>137</v>
      </c>
      <c r="C7146" t="s">
        <v>212</v>
      </c>
      <c r="D7146" t="s">
        <v>74</v>
      </c>
      <c r="E7146" t="s">
        <v>77</v>
      </c>
      <c r="F7146" s="55">
        <v>124</v>
      </c>
      <c r="G7146" s="63">
        <v>4.9700000000000001E-2</v>
      </c>
    </row>
    <row r="7147" spans="1:7" x14ac:dyDescent="0.2">
      <c r="A7147" t="s">
        <v>71</v>
      </c>
      <c r="B7147" t="s">
        <v>137</v>
      </c>
      <c r="C7147" t="s">
        <v>212</v>
      </c>
      <c r="D7147" t="s">
        <v>74</v>
      </c>
      <c r="E7147" t="s">
        <v>78</v>
      </c>
      <c r="F7147" s="55">
        <v>116</v>
      </c>
      <c r="G7147" s="63">
        <v>4.3400000000000001E-2</v>
      </c>
    </row>
    <row r="7148" spans="1:7" x14ac:dyDescent="0.2">
      <c r="A7148" t="s">
        <v>71</v>
      </c>
      <c r="B7148" t="s">
        <v>137</v>
      </c>
      <c r="C7148" t="s">
        <v>212</v>
      </c>
      <c r="D7148" t="s">
        <v>74</v>
      </c>
      <c r="E7148" t="s">
        <v>79</v>
      </c>
      <c r="F7148" s="55">
        <v>114</v>
      </c>
      <c r="G7148" s="63">
        <v>8.2799999999999999E-2</v>
      </c>
    </row>
    <row r="7149" spans="1:7" x14ac:dyDescent="0.2">
      <c r="A7149" t="s">
        <v>71</v>
      </c>
      <c r="B7149" t="s">
        <v>137</v>
      </c>
      <c r="C7149" t="s">
        <v>212</v>
      </c>
      <c r="D7149" t="s">
        <v>74</v>
      </c>
      <c r="E7149" t="s">
        <v>80</v>
      </c>
      <c r="F7149" s="55">
        <v>115</v>
      </c>
      <c r="G7149" s="63">
        <v>2.3699999999999999E-2</v>
      </c>
    </row>
    <row r="7150" spans="1:7" x14ac:dyDescent="0.2">
      <c r="A7150" t="s">
        <v>71</v>
      </c>
      <c r="B7150" t="s">
        <v>137</v>
      </c>
      <c r="C7150" t="s">
        <v>212</v>
      </c>
      <c r="D7150" t="s">
        <v>74</v>
      </c>
      <c r="E7150" t="s">
        <v>81</v>
      </c>
      <c r="F7150" s="55">
        <v>117</v>
      </c>
      <c r="G7150" s="63">
        <v>2.52E-2</v>
      </c>
    </row>
    <row r="7151" spans="1:7" x14ac:dyDescent="0.2">
      <c r="A7151" t="s">
        <v>71</v>
      </c>
      <c r="B7151" t="s">
        <v>137</v>
      </c>
      <c r="C7151" t="s">
        <v>212</v>
      </c>
      <c r="D7151" t="s">
        <v>74</v>
      </c>
      <c r="E7151" t="s">
        <v>82</v>
      </c>
      <c r="F7151" s="55">
        <v>113</v>
      </c>
      <c r="G7151" s="63">
        <v>5.7500000000000002E-2</v>
      </c>
    </row>
    <row r="7152" spans="1:7" x14ac:dyDescent="0.2">
      <c r="A7152" t="s">
        <v>71</v>
      </c>
      <c r="B7152" t="s">
        <v>137</v>
      </c>
      <c r="C7152" t="s">
        <v>212</v>
      </c>
      <c r="D7152" t="s">
        <v>74</v>
      </c>
      <c r="E7152" t="s">
        <v>83</v>
      </c>
      <c r="F7152" s="55">
        <v>118</v>
      </c>
      <c r="G7152" s="63">
        <v>1.04E-2</v>
      </c>
    </row>
    <row r="7153" spans="1:7" x14ac:dyDescent="0.2">
      <c r="A7153" t="s">
        <v>71</v>
      </c>
      <c r="B7153" t="s">
        <v>137</v>
      </c>
      <c r="C7153" t="s">
        <v>212</v>
      </c>
      <c r="D7153" t="s">
        <v>74</v>
      </c>
      <c r="E7153" t="s">
        <v>84</v>
      </c>
      <c r="F7153" s="55">
        <v>117</v>
      </c>
      <c r="G7153" s="63">
        <v>3.3500000000000002E-2</v>
      </c>
    </row>
    <row r="7154" spans="1:7" x14ac:dyDescent="0.2">
      <c r="A7154" t="s">
        <v>71</v>
      </c>
      <c r="B7154" t="s">
        <v>137</v>
      </c>
      <c r="C7154" t="s">
        <v>212</v>
      </c>
      <c r="D7154" t="s">
        <v>74</v>
      </c>
      <c r="E7154" t="s">
        <v>85</v>
      </c>
      <c r="F7154" s="55">
        <v>115</v>
      </c>
      <c r="G7154" s="63">
        <v>2.5600000000000001E-2</v>
      </c>
    </row>
    <row r="7155" spans="1:7" x14ac:dyDescent="0.2">
      <c r="A7155" t="s">
        <v>71</v>
      </c>
      <c r="B7155" t="s">
        <v>137</v>
      </c>
      <c r="C7155" t="s">
        <v>212</v>
      </c>
      <c r="D7155" t="s">
        <v>74</v>
      </c>
      <c r="E7155" t="s">
        <v>86</v>
      </c>
      <c r="F7155" s="55">
        <v>113</v>
      </c>
      <c r="G7155" s="63">
        <v>3.3300000000000003E-2</v>
      </c>
    </row>
    <row r="7156" spans="1:7" x14ac:dyDescent="0.2">
      <c r="A7156" t="s">
        <v>71</v>
      </c>
      <c r="B7156" t="s">
        <v>137</v>
      </c>
      <c r="C7156" t="s">
        <v>212</v>
      </c>
      <c r="D7156" t="s">
        <v>74</v>
      </c>
      <c r="E7156" t="s">
        <v>87</v>
      </c>
      <c r="F7156" s="55">
        <v>113</v>
      </c>
      <c r="G7156" s="63">
        <v>4.0800000000000003E-2</v>
      </c>
    </row>
    <row r="7157" spans="1:7" x14ac:dyDescent="0.2">
      <c r="A7157" t="s">
        <v>71</v>
      </c>
      <c r="B7157" t="s">
        <v>137</v>
      </c>
      <c r="C7157" t="s">
        <v>212</v>
      </c>
      <c r="D7157" t="s">
        <v>74</v>
      </c>
      <c r="E7157" t="s">
        <v>88</v>
      </c>
      <c r="F7157" s="55">
        <v>118</v>
      </c>
      <c r="G7157" s="63">
        <v>2.58E-2</v>
      </c>
    </row>
    <row r="7158" spans="1:7" x14ac:dyDescent="0.2">
      <c r="A7158" t="s">
        <v>71</v>
      </c>
      <c r="B7158" t="s">
        <v>138</v>
      </c>
      <c r="C7158" t="s">
        <v>212</v>
      </c>
      <c r="D7158" t="s">
        <v>74</v>
      </c>
      <c r="E7158" t="s">
        <v>75</v>
      </c>
      <c r="F7158" s="55">
        <v>35</v>
      </c>
      <c r="G7158" s="63">
        <v>4.2299999999999997E-2</v>
      </c>
    </row>
    <row r="7159" spans="1:7" x14ac:dyDescent="0.2">
      <c r="A7159" t="s">
        <v>71</v>
      </c>
      <c r="B7159" t="s">
        <v>138</v>
      </c>
      <c r="C7159" t="s">
        <v>212</v>
      </c>
      <c r="D7159" t="s">
        <v>74</v>
      </c>
      <c r="E7159" t="s">
        <v>76</v>
      </c>
      <c r="F7159" s="55">
        <v>57</v>
      </c>
      <c r="G7159" s="63">
        <v>2.8999999999999998E-3</v>
      </c>
    </row>
    <row r="7160" spans="1:7" x14ac:dyDescent="0.2">
      <c r="A7160" t="s">
        <v>71</v>
      </c>
      <c r="B7160" t="s">
        <v>138</v>
      </c>
      <c r="C7160" t="s">
        <v>212</v>
      </c>
      <c r="D7160" t="s">
        <v>74</v>
      </c>
      <c r="E7160" t="s">
        <v>77</v>
      </c>
      <c r="F7160" s="55">
        <v>37</v>
      </c>
      <c r="G7160" s="63">
        <v>1.06E-2</v>
      </c>
    </row>
    <row r="7161" spans="1:7" x14ac:dyDescent="0.2">
      <c r="A7161" t="s">
        <v>71</v>
      </c>
      <c r="B7161" t="s">
        <v>138</v>
      </c>
      <c r="C7161" t="s">
        <v>212</v>
      </c>
      <c r="D7161" t="s">
        <v>74</v>
      </c>
      <c r="E7161" t="s">
        <v>78</v>
      </c>
      <c r="F7161" s="55">
        <v>37</v>
      </c>
      <c r="G7161" s="63">
        <v>6.8999999999999999E-3</v>
      </c>
    </row>
    <row r="7162" spans="1:7" x14ac:dyDescent="0.2">
      <c r="A7162" t="s">
        <v>71</v>
      </c>
      <c r="B7162" t="s">
        <v>138</v>
      </c>
      <c r="C7162" t="s">
        <v>212</v>
      </c>
      <c r="D7162" t="s">
        <v>74</v>
      </c>
      <c r="E7162" t="s">
        <v>79</v>
      </c>
      <c r="F7162" s="55">
        <v>35</v>
      </c>
      <c r="G7162" s="63">
        <v>2.1700000000000001E-2</v>
      </c>
    </row>
    <row r="7163" spans="1:7" x14ac:dyDescent="0.2">
      <c r="A7163" t="s">
        <v>71</v>
      </c>
      <c r="B7163" t="s">
        <v>138</v>
      </c>
      <c r="C7163" t="s">
        <v>212</v>
      </c>
      <c r="D7163" t="s">
        <v>74</v>
      </c>
      <c r="E7163" t="s">
        <v>80</v>
      </c>
      <c r="F7163" s="55">
        <v>46</v>
      </c>
      <c r="G7163" s="63">
        <v>4.4000000000000003E-3</v>
      </c>
    </row>
    <row r="7164" spans="1:7" x14ac:dyDescent="0.2">
      <c r="A7164" t="s">
        <v>71</v>
      </c>
      <c r="B7164" t="s">
        <v>138</v>
      </c>
      <c r="C7164" t="s">
        <v>212</v>
      </c>
      <c r="D7164" t="s">
        <v>74</v>
      </c>
      <c r="E7164" t="s">
        <v>81</v>
      </c>
      <c r="F7164" s="55">
        <v>44</v>
      </c>
      <c r="G7164" s="63">
        <v>5.8999999999999999E-3</v>
      </c>
    </row>
    <row r="7165" spans="1:7" x14ac:dyDescent="0.2">
      <c r="A7165" t="s">
        <v>71</v>
      </c>
      <c r="B7165" t="s">
        <v>138</v>
      </c>
      <c r="C7165" t="s">
        <v>212</v>
      </c>
      <c r="D7165" t="s">
        <v>74</v>
      </c>
      <c r="E7165" t="s">
        <v>82</v>
      </c>
      <c r="F7165" s="55">
        <v>33</v>
      </c>
      <c r="G7165" s="63">
        <v>1.46E-2</v>
      </c>
    </row>
    <row r="7166" spans="1:7" x14ac:dyDescent="0.2">
      <c r="A7166" t="s">
        <v>71</v>
      </c>
      <c r="B7166" t="s">
        <v>138</v>
      </c>
      <c r="C7166" t="s">
        <v>212</v>
      </c>
      <c r="D7166" t="s">
        <v>74</v>
      </c>
      <c r="E7166" t="s">
        <v>83</v>
      </c>
      <c r="F7166" s="55">
        <v>62</v>
      </c>
      <c r="G7166" s="63">
        <v>2.3E-3</v>
      </c>
    </row>
    <row r="7167" spans="1:7" x14ac:dyDescent="0.2">
      <c r="A7167" t="s">
        <v>71</v>
      </c>
      <c r="B7167" t="s">
        <v>138</v>
      </c>
      <c r="C7167" t="s">
        <v>212</v>
      </c>
      <c r="D7167" t="s">
        <v>74</v>
      </c>
      <c r="E7167" t="s">
        <v>84</v>
      </c>
      <c r="F7167" s="55">
        <v>37</v>
      </c>
      <c r="G7167" s="63">
        <v>4.5999999999999999E-3</v>
      </c>
    </row>
    <row r="7168" spans="1:7" x14ac:dyDescent="0.2">
      <c r="A7168" t="s">
        <v>71</v>
      </c>
      <c r="B7168" t="s">
        <v>138</v>
      </c>
      <c r="C7168" t="s">
        <v>212</v>
      </c>
      <c r="D7168" t="s">
        <v>74</v>
      </c>
      <c r="E7168" t="s">
        <v>85</v>
      </c>
      <c r="F7168" s="55">
        <v>41</v>
      </c>
      <c r="G7168" s="63">
        <v>4.3E-3</v>
      </c>
    </row>
    <row r="7169" spans="1:7" x14ac:dyDescent="0.2">
      <c r="A7169" t="s">
        <v>71</v>
      </c>
      <c r="B7169" t="s">
        <v>138</v>
      </c>
      <c r="C7169" t="s">
        <v>212</v>
      </c>
      <c r="D7169" t="s">
        <v>74</v>
      </c>
      <c r="E7169" t="s">
        <v>86</v>
      </c>
      <c r="F7169" s="55">
        <v>35</v>
      </c>
      <c r="G7169" s="63">
        <v>5.7999999999999996E-3</v>
      </c>
    </row>
    <row r="7170" spans="1:7" x14ac:dyDescent="0.2">
      <c r="A7170" t="s">
        <v>71</v>
      </c>
      <c r="B7170" t="s">
        <v>138</v>
      </c>
      <c r="C7170" t="s">
        <v>212</v>
      </c>
      <c r="D7170" t="s">
        <v>74</v>
      </c>
      <c r="E7170" t="s">
        <v>87</v>
      </c>
      <c r="F7170" s="55">
        <v>37</v>
      </c>
      <c r="G7170" s="63">
        <v>7.6E-3</v>
      </c>
    </row>
    <row r="7171" spans="1:7" x14ac:dyDescent="0.2">
      <c r="A7171" t="s">
        <v>71</v>
      </c>
      <c r="B7171" t="s">
        <v>138</v>
      </c>
      <c r="C7171" t="s">
        <v>212</v>
      </c>
      <c r="D7171" t="s">
        <v>74</v>
      </c>
      <c r="E7171" t="s">
        <v>88</v>
      </c>
      <c r="F7171" s="55">
        <v>55</v>
      </c>
      <c r="G7171" s="63">
        <v>5.1999999999999998E-3</v>
      </c>
    </row>
    <row r="7172" spans="1:7" x14ac:dyDescent="0.2">
      <c r="A7172" t="s">
        <v>71</v>
      </c>
      <c r="B7172" t="s">
        <v>139</v>
      </c>
      <c r="C7172" t="s">
        <v>212</v>
      </c>
      <c r="D7172" t="s">
        <v>74</v>
      </c>
      <c r="E7172" t="s">
        <v>75</v>
      </c>
      <c r="F7172" s="55">
        <v>115</v>
      </c>
      <c r="G7172" s="63">
        <v>0.11509999999999999</v>
      </c>
    </row>
    <row r="7173" spans="1:7" x14ac:dyDescent="0.2">
      <c r="A7173" t="s">
        <v>71</v>
      </c>
      <c r="B7173" t="s">
        <v>139</v>
      </c>
      <c r="C7173" t="s">
        <v>212</v>
      </c>
      <c r="D7173" t="s">
        <v>74</v>
      </c>
      <c r="E7173" t="s">
        <v>76</v>
      </c>
      <c r="F7173" s="55">
        <v>121</v>
      </c>
      <c r="G7173" s="63">
        <v>1.34E-2</v>
      </c>
    </row>
    <row r="7174" spans="1:7" x14ac:dyDescent="0.2">
      <c r="A7174" t="s">
        <v>71</v>
      </c>
      <c r="B7174" t="s">
        <v>139</v>
      </c>
      <c r="C7174" t="s">
        <v>212</v>
      </c>
      <c r="D7174" t="s">
        <v>74</v>
      </c>
      <c r="E7174" t="s">
        <v>77</v>
      </c>
      <c r="F7174" s="55">
        <v>118</v>
      </c>
      <c r="G7174" s="63">
        <v>4.4900000000000002E-2</v>
      </c>
    </row>
    <row r="7175" spans="1:7" x14ac:dyDescent="0.2">
      <c r="A7175" t="s">
        <v>71</v>
      </c>
      <c r="B7175" t="s">
        <v>139</v>
      </c>
      <c r="C7175" t="s">
        <v>212</v>
      </c>
      <c r="D7175" t="s">
        <v>74</v>
      </c>
      <c r="E7175" t="s">
        <v>78</v>
      </c>
      <c r="F7175" s="55">
        <v>121</v>
      </c>
      <c r="G7175" s="63">
        <v>4.5400000000000003E-2</v>
      </c>
    </row>
    <row r="7176" spans="1:7" x14ac:dyDescent="0.2">
      <c r="A7176" t="s">
        <v>71</v>
      </c>
      <c r="B7176" t="s">
        <v>139</v>
      </c>
      <c r="C7176" t="s">
        <v>212</v>
      </c>
      <c r="D7176" t="s">
        <v>74</v>
      </c>
      <c r="E7176" t="s">
        <v>79</v>
      </c>
      <c r="F7176" s="55">
        <v>109</v>
      </c>
      <c r="G7176" s="63">
        <v>6.88E-2</v>
      </c>
    </row>
    <row r="7177" spans="1:7" x14ac:dyDescent="0.2">
      <c r="A7177" t="s">
        <v>71</v>
      </c>
      <c r="B7177" t="s">
        <v>139</v>
      </c>
      <c r="C7177" t="s">
        <v>212</v>
      </c>
      <c r="D7177" t="s">
        <v>74</v>
      </c>
      <c r="E7177" t="s">
        <v>80</v>
      </c>
      <c r="F7177" s="55">
        <v>102</v>
      </c>
      <c r="G7177" s="63">
        <v>1.52E-2</v>
      </c>
    </row>
    <row r="7178" spans="1:7" x14ac:dyDescent="0.2">
      <c r="A7178" t="s">
        <v>71</v>
      </c>
      <c r="B7178" t="s">
        <v>139</v>
      </c>
      <c r="C7178" t="s">
        <v>212</v>
      </c>
      <c r="D7178" t="s">
        <v>74</v>
      </c>
      <c r="E7178" t="s">
        <v>81</v>
      </c>
      <c r="F7178" s="55">
        <v>102</v>
      </c>
      <c r="G7178" s="63">
        <v>1.67E-2</v>
      </c>
    </row>
    <row r="7179" spans="1:7" x14ac:dyDescent="0.2">
      <c r="A7179" t="s">
        <v>71</v>
      </c>
      <c r="B7179" t="s">
        <v>139</v>
      </c>
      <c r="C7179" t="s">
        <v>212</v>
      </c>
      <c r="D7179" t="s">
        <v>74</v>
      </c>
      <c r="E7179" t="s">
        <v>82</v>
      </c>
      <c r="F7179" s="55">
        <v>117</v>
      </c>
      <c r="G7179" s="63">
        <v>7.3300000000000004E-2</v>
      </c>
    </row>
    <row r="7180" spans="1:7" x14ac:dyDescent="0.2">
      <c r="A7180" t="s">
        <v>71</v>
      </c>
      <c r="B7180" t="s">
        <v>139</v>
      </c>
      <c r="C7180" t="s">
        <v>212</v>
      </c>
      <c r="D7180" t="s">
        <v>74</v>
      </c>
      <c r="E7180" t="s">
        <v>83</v>
      </c>
      <c r="F7180" s="55">
        <v>121</v>
      </c>
      <c r="G7180" s="63">
        <v>8.6999999999999994E-3</v>
      </c>
    </row>
    <row r="7181" spans="1:7" x14ac:dyDescent="0.2">
      <c r="A7181" t="s">
        <v>71</v>
      </c>
      <c r="B7181" t="s">
        <v>139</v>
      </c>
      <c r="C7181" t="s">
        <v>212</v>
      </c>
      <c r="D7181" t="s">
        <v>74</v>
      </c>
      <c r="E7181" t="s">
        <v>84</v>
      </c>
      <c r="F7181" s="55">
        <v>122</v>
      </c>
      <c r="G7181" s="63">
        <v>3.8600000000000002E-2</v>
      </c>
    </row>
    <row r="7182" spans="1:7" x14ac:dyDescent="0.2">
      <c r="A7182" t="s">
        <v>71</v>
      </c>
      <c r="B7182" t="s">
        <v>139</v>
      </c>
      <c r="C7182" t="s">
        <v>212</v>
      </c>
      <c r="D7182" t="s">
        <v>74</v>
      </c>
      <c r="E7182" t="s">
        <v>85</v>
      </c>
      <c r="F7182" s="55">
        <v>106</v>
      </c>
      <c r="G7182" s="63">
        <v>1.95E-2</v>
      </c>
    </row>
    <row r="7183" spans="1:7" x14ac:dyDescent="0.2">
      <c r="A7183" t="s">
        <v>71</v>
      </c>
      <c r="B7183" t="s">
        <v>139</v>
      </c>
      <c r="C7183" t="s">
        <v>212</v>
      </c>
      <c r="D7183" t="s">
        <v>74</v>
      </c>
      <c r="E7183" t="s">
        <v>86</v>
      </c>
      <c r="F7183" s="55">
        <v>107</v>
      </c>
      <c r="G7183" s="63">
        <v>2.6800000000000001E-2</v>
      </c>
    </row>
    <row r="7184" spans="1:7" x14ac:dyDescent="0.2">
      <c r="A7184" t="s">
        <v>71</v>
      </c>
      <c r="B7184" t="s">
        <v>139</v>
      </c>
      <c r="C7184" t="s">
        <v>212</v>
      </c>
      <c r="D7184" t="s">
        <v>74</v>
      </c>
      <c r="E7184" t="s">
        <v>87</v>
      </c>
      <c r="F7184" s="55">
        <v>110</v>
      </c>
      <c r="G7184" s="63">
        <v>3.3099999999999997E-2</v>
      </c>
    </row>
    <row r="7185" spans="1:7" x14ac:dyDescent="0.2">
      <c r="A7185" t="s">
        <v>71</v>
      </c>
      <c r="B7185" t="s">
        <v>139</v>
      </c>
      <c r="C7185" t="s">
        <v>212</v>
      </c>
      <c r="D7185" t="s">
        <v>74</v>
      </c>
      <c r="E7185" t="s">
        <v>88</v>
      </c>
      <c r="F7185" s="55">
        <v>117</v>
      </c>
      <c r="G7185" s="63">
        <v>2.23E-2</v>
      </c>
    </row>
    <row r="7186" spans="1:7" x14ac:dyDescent="0.2">
      <c r="A7186" t="s">
        <v>89</v>
      </c>
      <c r="B7186" t="s">
        <v>140</v>
      </c>
      <c r="C7186" t="s">
        <v>212</v>
      </c>
      <c r="D7186" t="s">
        <v>74</v>
      </c>
      <c r="E7186" t="s">
        <v>75</v>
      </c>
      <c r="F7186" s="55">
        <v>121</v>
      </c>
      <c r="G7186" s="63">
        <v>0.03</v>
      </c>
    </row>
    <row r="7187" spans="1:7" x14ac:dyDescent="0.2">
      <c r="A7187" t="s">
        <v>89</v>
      </c>
      <c r="B7187" t="s">
        <v>140</v>
      </c>
      <c r="C7187" t="s">
        <v>212</v>
      </c>
      <c r="D7187" t="s">
        <v>74</v>
      </c>
      <c r="E7187" t="s">
        <v>76</v>
      </c>
      <c r="F7187" s="55">
        <v>113</v>
      </c>
      <c r="G7187" s="63">
        <v>3.8E-3</v>
      </c>
    </row>
    <row r="7188" spans="1:7" x14ac:dyDescent="0.2">
      <c r="A7188" t="s">
        <v>89</v>
      </c>
      <c r="B7188" t="s">
        <v>140</v>
      </c>
      <c r="C7188" t="s">
        <v>212</v>
      </c>
      <c r="D7188" t="s">
        <v>74</v>
      </c>
      <c r="E7188" t="s">
        <v>77</v>
      </c>
      <c r="F7188" s="55">
        <v>118</v>
      </c>
      <c r="G7188" s="63">
        <v>9.4999999999999998E-3</v>
      </c>
    </row>
    <row r="7189" spans="1:7" x14ac:dyDescent="0.2">
      <c r="A7189" t="s">
        <v>89</v>
      </c>
      <c r="B7189" t="s">
        <v>140</v>
      </c>
      <c r="C7189" t="s">
        <v>212</v>
      </c>
      <c r="D7189" t="s">
        <v>74</v>
      </c>
      <c r="E7189" t="s">
        <v>78</v>
      </c>
      <c r="F7189" s="55">
        <v>131</v>
      </c>
      <c r="G7189" s="63">
        <v>8.5000000000000006E-3</v>
      </c>
    </row>
    <row r="7190" spans="1:7" x14ac:dyDescent="0.2">
      <c r="A7190" t="s">
        <v>89</v>
      </c>
      <c r="B7190" t="s">
        <v>140</v>
      </c>
      <c r="C7190" t="s">
        <v>212</v>
      </c>
      <c r="D7190" t="s">
        <v>74</v>
      </c>
      <c r="E7190" t="s">
        <v>79</v>
      </c>
      <c r="F7190" s="55">
        <v>126</v>
      </c>
      <c r="G7190" s="63">
        <v>1.7600000000000001E-2</v>
      </c>
    </row>
    <row r="7191" spans="1:7" x14ac:dyDescent="0.2">
      <c r="A7191" t="s">
        <v>89</v>
      </c>
      <c r="B7191" t="s">
        <v>140</v>
      </c>
      <c r="C7191" t="s">
        <v>212</v>
      </c>
      <c r="D7191" t="s">
        <v>74</v>
      </c>
      <c r="E7191" t="s">
        <v>80</v>
      </c>
      <c r="F7191" s="55">
        <v>122</v>
      </c>
      <c r="G7191" s="63">
        <v>5.7999999999999996E-3</v>
      </c>
    </row>
    <row r="7192" spans="1:7" x14ac:dyDescent="0.2">
      <c r="A7192" t="s">
        <v>89</v>
      </c>
      <c r="B7192" t="s">
        <v>140</v>
      </c>
      <c r="C7192" t="s">
        <v>212</v>
      </c>
      <c r="D7192" t="s">
        <v>74</v>
      </c>
      <c r="E7192" t="s">
        <v>81</v>
      </c>
      <c r="F7192" s="55">
        <v>119</v>
      </c>
      <c r="G7192" s="63">
        <v>6.3E-3</v>
      </c>
    </row>
    <row r="7193" spans="1:7" x14ac:dyDescent="0.2">
      <c r="A7193" t="s">
        <v>89</v>
      </c>
      <c r="B7193" t="s">
        <v>140</v>
      </c>
      <c r="C7193" t="s">
        <v>212</v>
      </c>
      <c r="D7193" t="s">
        <v>74</v>
      </c>
      <c r="E7193" t="s">
        <v>82</v>
      </c>
      <c r="F7193" s="55">
        <v>112</v>
      </c>
      <c r="G7193" s="63">
        <v>1.29E-2</v>
      </c>
    </row>
    <row r="7194" spans="1:7" x14ac:dyDescent="0.2">
      <c r="A7194" t="s">
        <v>89</v>
      </c>
      <c r="B7194" t="s">
        <v>140</v>
      </c>
      <c r="C7194" t="s">
        <v>212</v>
      </c>
      <c r="D7194" t="s">
        <v>74</v>
      </c>
      <c r="E7194" t="s">
        <v>83</v>
      </c>
      <c r="F7194" s="55">
        <v>110</v>
      </c>
      <c r="G7194" s="63">
        <v>3.0000000000000001E-3</v>
      </c>
    </row>
    <row r="7195" spans="1:7" x14ac:dyDescent="0.2">
      <c r="A7195" t="s">
        <v>89</v>
      </c>
      <c r="B7195" t="s">
        <v>140</v>
      </c>
      <c r="C7195" t="s">
        <v>212</v>
      </c>
      <c r="D7195" t="s">
        <v>74</v>
      </c>
      <c r="E7195" t="s">
        <v>84</v>
      </c>
      <c r="F7195" s="55">
        <v>130</v>
      </c>
      <c r="G7195" s="63">
        <v>6.4999999999999997E-3</v>
      </c>
    </row>
    <row r="7196" spans="1:7" x14ac:dyDescent="0.2">
      <c r="A7196" t="s">
        <v>89</v>
      </c>
      <c r="B7196" t="s">
        <v>140</v>
      </c>
      <c r="C7196" t="s">
        <v>212</v>
      </c>
      <c r="D7196" t="s">
        <v>74</v>
      </c>
      <c r="E7196" t="s">
        <v>85</v>
      </c>
      <c r="F7196" s="55">
        <v>125</v>
      </c>
      <c r="G7196" s="63">
        <v>5.7000000000000002E-3</v>
      </c>
    </row>
    <row r="7197" spans="1:7" x14ac:dyDescent="0.2">
      <c r="A7197" t="s">
        <v>89</v>
      </c>
      <c r="B7197" t="s">
        <v>140</v>
      </c>
      <c r="C7197" t="s">
        <v>212</v>
      </c>
      <c r="D7197" t="s">
        <v>74</v>
      </c>
      <c r="E7197" t="s">
        <v>86</v>
      </c>
      <c r="F7197" s="55">
        <v>126</v>
      </c>
      <c r="G7197" s="63">
        <v>7.7000000000000002E-3</v>
      </c>
    </row>
    <row r="7198" spans="1:7" x14ac:dyDescent="0.2">
      <c r="A7198" t="s">
        <v>89</v>
      </c>
      <c r="B7198" t="s">
        <v>140</v>
      </c>
      <c r="C7198" t="s">
        <v>212</v>
      </c>
      <c r="D7198" t="s">
        <v>74</v>
      </c>
      <c r="E7198" t="s">
        <v>87</v>
      </c>
      <c r="F7198" s="55">
        <v>125</v>
      </c>
      <c r="G7198" s="63">
        <v>7.7000000000000002E-3</v>
      </c>
    </row>
    <row r="7199" spans="1:7" x14ac:dyDescent="0.2">
      <c r="A7199" t="s">
        <v>89</v>
      </c>
      <c r="B7199" t="s">
        <v>140</v>
      </c>
      <c r="C7199" t="s">
        <v>212</v>
      </c>
      <c r="D7199" t="s">
        <v>74</v>
      </c>
      <c r="E7199" t="s">
        <v>88</v>
      </c>
      <c r="F7199" s="55">
        <v>108</v>
      </c>
      <c r="G7199" s="63">
        <v>6.6E-3</v>
      </c>
    </row>
    <row r="7200" spans="1:7" x14ac:dyDescent="0.2">
      <c r="A7200" t="s">
        <v>71</v>
      </c>
      <c r="B7200" t="s">
        <v>141</v>
      </c>
      <c r="C7200" t="s">
        <v>212</v>
      </c>
      <c r="D7200" t="s">
        <v>74</v>
      </c>
      <c r="E7200" t="s">
        <v>75</v>
      </c>
      <c r="F7200" s="55">
        <v>116</v>
      </c>
      <c r="G7200" s="63">
        <v>0.1958</v>
      </c>
    </row>
    <row r="7201" spans="1:7" x14ac:dyDescent="0.2">
      <c r="A7201" t="s">
        <v>71</v>
      </c>
      <c r="B7201" t="s">
        <v>141</v>
      </c>
      <c r="C7201" t="s">
        <v>212</v>
      </c>
      <c r="D7201" t="s">
        <v>74</v>
      </c>
      <c r="E7201" t="s">
        <v>76</v>
      </c>
      <c r="F7201" s="55">
        <v>116</v>
      </c>
      <c r="G7201" s="63">
        <v>2.9399999999999999E-2</v>
      </c>
    </row>
    <row r="7202" spans="1:7" x14ac:dyDescent="0.2">
      <c r="A7202" t="s">
        <v>71</v>
      </c>
      <c r="B7202" t="s">
        <v>141</v>
      </c>
      <c r="C7202" t="s">
        <v>212</v>
      </c>
      <c r="D7202" t="s">
        <v>74</v>
      </c>
      <c r="E7202" t="s">
        <v>77</v>
      </c>
      <c r="F7202" s="55">
        <v>119</v>
      </c>
      <c r="G7202" s="63">
        <v>8.4599999999999995E-2</v>
      </c>
    </row>
    <row r="7203" spans="1:7" x14ac:dyDescent="0.2">
      <c r="A7203" t="s">
        <v>71</v>
      </c>
      <c r="B7203" t="s">
        <v>141</v>
      </c>
      <c r="C7203" t="s">
        <v>212</v>
      </c>
      <c r="D7203" t="s">
        <v>74</v>
      </c>
      <c r="E7203" t="s">
        <v>78</v>
      </c>
      <c r="F7203" s="55">
        <v>123</v>
      </c>
      <c r="G7203" s="63">
        <v>6.83E-2</v>
      </c>
    </row>
    <row r="7204" spans="1:7" x14ac:dyDescent="0.2">
      <c r="A7204" t="s">
        <v>71</v>
      </c>
      <c r="B7204" t="s">
        <v>141</v>
      </c>
      <c r="C7204" t="s">
        <v>212</v>
      </c>
      <c r="D7204" t="s">
        <v>74</v>
      </c>
      <c r="E7204" t="s">
        <v>79</v>
      </c>
      <c r="F7204" s="55">
        <v>114</v>
      </c>
      <c r="G7204" s="63">
        <v>0.1255</v>
      </c>
    </row>
    <row r="7205" spans="1:7" x14ac:dyDescent="0.2">
      <c r="A7205" t="s">
        <v>71</v>
      </c>
      <c r="B7205" t="s">
        <v>141</v>
      </c>
      <c r="C7205" t="s">
        <v>212</v>
      </c>
      <c r="D7205" t="s">
        <v>74</v>
      </c>
      <c r="E7205" t="s">
        <v>80</v>
      </c>
      <c r="F7205" s="55">
        <v>110</v>
      </c>
      <c r="G7205" s="63">
        <v>4.7199999999999999E-2</v>
      </c>
    </row>
    <row r="7206" spans="1:7" x14ac:dyDescent="0.2">
      <c r="A7206" t="s">
        <v>71</v>
      </c>
      <c r="B7206" t="s">
        <v>141</v>
      </c>
      <c r="C7206" t="s">
        <v>212</v>
      </c>
      <c r="D7206" t="s">
        <v>74</v>
      </c>
      <c r="E7206" t="s">
        <v>81</v>
      </c>
      <c r="F7206" s="55">
        <v>111</v>
      </c>
      <c r="G7206" s="63">
        <v>4.7500000000000001E-2</v>
      </c>
    </row>
    <row r="7207" spans="1:7" x14ac:dyDescent="0.2">
      <c r="A7207" t="s">
        <v>71</v>
      </c>
      <c r="B7207" t="s">
        <v>141</v>
      </c>
      <c r="C7207" t="s">
        <v>212</v>
      </c>
      <c r="D7207" t="s">
        <v>74</v>
      </c>
      <c r="E7207" t="s">
        <v>82</v>
      </c>
      <c r="F7207" s="55">
        <v>117</v>
      </c>
      <c r="G7207" s="63">
        <v>9.9099999999999994E-2</v>
      </c>
    </row>
    <row r="7208" spans="1:7" x14ac:dyDescent="0.2">
      <c r="A7208" t="s">
        <v>71</v>
      </c>
      <c r="B7208" t="s">
        <v>141</v>
      </c>
      <c r="C7208" t="s">
        <v>212</v>
      </c>
      <c r="D7208" t="s">
        <v>74</v>
      </c>
      <c r="E7208" t="s">
        <v>83</v>
      </c>
      <c r="F7208" s="55">
        <v>114</v>
      </c>
      <c r="G7208" s="63">
        <v>2.2200000000000001E-2</v>
      </c>
    </row>
    <row r="7209" spans="1:7" x14ac:dyDescent="0.2">
      <c r="A7209" t="s">
        <v>71</v>
      </c>
      <c r="B7209" t="s">
        <v>141</v>
      </c>
      <c r="C7209" t="s">
        <v>212</v>
      </c>
      <c r="D7209" t="s">
        <v>74</v>
      </c>
      <c r="E7209" t="s">
        <v>84</v>
      </c>
      <c r="F7209" s="55">
        <v>122</v>
      </c>
      <c r="G7209" s="63">
        <v>5.5100000000000003E-2</v>
      </c>
    </row>
    <row r="7210" spans="1:7" x14ac:dyDescent="0.2">
      <c r="A7210" t="s">
        <v>71</v>
      </c>
      <c r="B7210" t="s">
        <v>141</v>
      </c>
      <c r="C7210" t="s">
        <v>212</v>
      </c>
      <c r="D7210" t="s">
        <v>74</v>
      </c>
      <c r="E7210" t="s">
        <v>85</v>
      </c>
      <c r="F7210" s="55">
        <v>110</v>
      </c>
      <c r="G7210" s="63">
        <v>5.0900000000000001E-2</v>
      </c>
    </row>
    <row r="7211" spans="1:7" x14ac:dyDescent="0.2">
      <c r="A7211" t="s">
        <v>71</v>
      </c>
      <c r="B7211" t="s">
        <v>141</v>
      </c>
      <c r="C7211" t="s">
        <v>212</v>
      </c>
      <c r="D7211" t="s">
        <v>74</v>
      </c>
      <c r="E7211" t="s">
        <v>86</v>
      </c>
      <c r="F7211" s="55">
        <v>112</v>
      </c>
      <c r="G7211" s="63">
        <v>6.0199999999999997E-2</v>
      </c>
    </row>
    <row r="7212" spans="1:7" x14ac:dyDescent="0.2">
      <c r="A7212" t="s">
        <v>71</v>
      </c>
      <c r="B7212" t="s">
        <v>141</v>
      </c>
      <c r="C7212" t="s">
        <v>212</v>
      </c>
      <c r="D7212" t="s">
        <v>74</v>
      </c>
      <c r="E7212" t="s">
        <v>87</v>
      </c>
      <c r="F7212" s="55">
        <v>112</v>
      </c>
      <c r="G7212" s="63">
        <v>6.4100000000000004E-2</v>
      </c>
    </row>
    <row r="7213" spans="1:7" x14ac:dyDescent="0.2">
      <c r="A7213" t="s">
        <v>71</v>
      </c>
      <c r="B7213" t="s">
        <v>141</v>
      </c>
      <c r="C7213" t="s">
        <v>212</v>
      </c>
      <c r="D7213" t="s">
        <v>74</v>
      </c>
      <c r="E7213" t="s">
        <v>88</v>
      </c>
      <c r="F7213" s="55">
        <v>115</v>
      </c>
      <c r="G7213" s="63">
        <v>0.04</v>
      </c>
    </row>
    <row r="7214" spans="1:7" x14ac:dyDescent="0.2">
      <c r="A7214" t="s">
        <v>71</v>
      </c>
      <c r="B7214" t="s">
        <v>13</v>
      </c>
      <c r="C7214" t="s">
        <v>212</v>
      </c>
      <c r="D7214" t="s">
        <v>74</v>
      </c>
      <c r="E7214" t="s">
        <v>75</v>
      </c>
      <c r="F7214" s="55">
        <v>122</v>
      </c>
      <c r="G7214" s="63">
        <v>0.26979999999999998</v>
      </c>
    </row>
    <row r="7215" spans="1:7" x14ac:dyDescent="0.2">
      <c r="A7215" t="s">
        <v>71</v>
      </c>
      <c r="B7215" t="s">
        <v>13</v>
      </c>
      <c r="C7215" t="s">
        <v>212</v>
      </c>
      <c r="D7215" t="s">
        <v>74</v>
      </c>
      <c r="E7215" t="s">
        <v>76</v>
      </c>
      <c r="F7215" s="55">
        <v>118</v>
      </c>
      <c r="G7215" s="63">
        <v>4.4400000000000002E-2</v>
      </c>
    </row>
    <row r="7216" spans="1:7" x14ac:dyDescent="0.2">
      <c r="A7216" t="s">
        <v>71</v>
      </c>
      <c r="B7216" t="s">
        <v>13</v>
      </c>
      <c r="C7216" t="s">
        <v>212</v>
      </c>
      <c r="D7216" t="s">
        <v>74</v>
      </c>
      <c r="E7216" t="s">
        <v>77</v>
      </c>
      <c r="F7216" s="55">
        <v>120</v>
      </c>
      <c r="G7216" s="63">
        <v>0.1177</v>
      </c>
    </row>
    <row r="7217" spans="1:7" x14ac:dyDescent="0.2">
      <c r="A7217" t="s">
        <v>71</v>
      </c>
      <c r="B7217" t="s">
        <v>13</v>
      </c>
      <c r="C7217" t="s">
        <v>212</v>
      </c>
      <c r="D7217" t="s">
        <v>74</v>
      </c>
      <c r="E7217" t="s">
        <v>78</v>
      </c>
      <c r="F7217" s="55">
        <v>122</v>
      </c>
      <c r="G7217" s="63">
        <v>0.10489999999999999</v>
      </c>
    </row>
    <row r="7218" spans="1:7" x14ac:dyDescent="0.2">
      <c r="A7218" t="s">
        <v>71</v>
      </c>
      <c r="B7218" t="s">
        <v>13</v>
      </c>
      <c r="C7218" t="s">
        <v>212</v>
      </c>
      <c r="D7218" t="s">
        <v>74</v>
      </c>
      <c r="E7218" t="s">
        <v>79</v>
      </c>
      <c r="F7218" s="55">
        <v>126</v>
      </c>
      <c r="G7218" s="63">
        <v>0.1966</v>
      </c>
    </row>
    <row r="7219" spans="1:7" x14ac:dyDescent="0.2">
      <c r="A7219" t="s">
        <v>71</v>
      </c>
      <c r="B7219" t="s">
        <v>13</v>
      </c>
      <c r="C7219" t="s">
        <v>212</v>
      </c>
      <c r="D7219" t="s">
        <v>74</v>
      </c>
      <c r="E7219" t="s">
        <v>80</v>
      </c>
      <c r="F7219" s="55">
        <v>116</v>
      </c>
      <c r="G7219" s="63">
        <v>7.1300000000000002E-2</v>
      </c>
    </row>
    <row r="7220" spans="1:7" x14ac:dyDescent="0.2">
      <c r="A7220" t="s">
        <v>71</v>
      </c>
      <c r="B7220" t="s">
        <v>13</v>
      </c>
      <c r="C7220" t="s">
        <v>212</v>
      </c>
      <c r="D7220" t="s">
        <v>74</v>
      </c>
      <c r="E7220" t="s">
        <v>81</v>
      </c>
      <c r="F7220" s="55">
        <v>115</v>
      </c>
      <c r="G7220" s="63">
        <v>7.2300000000000003E-2</v>
      </c>
    </row>
    <row r="7221" spans="1:7" x14ac:dyDescent="0.2">
      <c r="A7221" t="s">
        <v>71</v>
      </c>
      <c r="B7221" t="s">
        <v>13</v>
      </c>
      <c r="C7221" t="s">
        <v>212</v>
      </c>
      <c r="D7221" t="s">
        <v>74</v>
      </c>
      <c r="E7221" t="s">
        <v>82</v>
      </c>
      <c r="F7221" s="55">
        <v>121</v>
      </c>
      <c r="G7221" s="63">
        <v>0.15640000000000001</v>
      </c>
    </row>
    <row r="7222" spans="1:7" x14ac:dyDescent="0.2">
      <c r="A7222" t="s">
        <v>71</v>
      </c>
      <c r="B7222" t="s">
        <v>13</v>
      </c>
      <c r="C7222" t="s">
        <v>212</v>
      </c>
      <c r="D7222" t="s">
        <v>74</v>
      </c>
      <c r="E7222" t="s">
        <v>83</v>
      </c>
      <c r="F7222" s="55">
        <v>115</v>
      </c>
      <c r="G7222" s="63">
        <v>3.6200000000000003E-2</v>
      </c>
    </row>
    <row r="7223" spans="1:7" x14ac:dyDescent="0.2">
      <c r="A7223" t="s">
        <v>71</v>
      </c>
      <c r="B7223" t="s">
        <v>13</v>
      </c>
      <c r="C7223" t="s">
        <v>212</v>
      </c>
      <c r="D7223" t="s">
        <v>74</v>
      </c>
      <c r="E7223" t="s">
        <v>84</v>
      </c>
      <c r="F7223" s="55">
        <v>122</v>
      </c>
      <c r="G7223" s="63">
        <v>8.6400000000000005E-2</v>
      </c>
    </row>
    <row r="7224" spans="1:7" x14ac:dyDescent="0.2">
      <c r="A7224" t="s">
        <v>71</v>
      </c>
      <c r="B7224" t="s">
        <v>13</v>
      </c>
      <c r="C7224" t="s">
        <v>212</v>
      </c>
      <c r="D7224" t="s">
        <v>74</v>
      </c>
      <c r="E7224" t="s">
        <v>85</v>
      </c>
      <c r="F7224" s="55">
        <v>119</v>
      </c>
      <c r="G7224" s="63">
        <v>8.6300000000000002E-2</v>
      </c>
    </row>
    <row r="7225" spans="1:7" x14ac:dyDescent="0.2">
      <c r="A7225" t="s">
        <v>71</v>
      </c>
      <c r="B7225" t="s">
        <v>13</v>
      </c>
      <c r="C7225" t="s">
        <v>212</v>
      </c>
      <c r="D7225" t="s">
        <v>74</v>
      </c>
      <c r="E7225" t="s">
        <v>86</v>
      </c>
      <c r="F7225" s="55">
        <v>123</v>
      </c>
      <c r="G7225" s="63">
        <v>0.1142</v>
      </c>
    </row>
    <row r="7226" spans="1:7" x14ac:dyDescent="0.2">
      <c r="A7226" t="s">
        <v>71</v>
      </c>
      <c r="B7226" t="s">
        <v>13</v>
      </c>
      <c r="C7226" t="s">
        <v>212</v>
      </c>
      <c r="D7226" t="s">
        <v>74</v>
      </c>
      <c r="E7226" t="s">
        <v>87</v>
      </c>
      <c r="F7226" s="55">
        <v>129</v>
      </c>
      <c r="G7226" s="63">
        <v>0.1207</v>
      </c>
    </row>
    <row r="7227" spans="1:7" x14ac:dyDescent="0.2">
      <c r="A7227" t="s">
        <v>71</v>
      </c>
      <c r="B7227" t="s">
        <v>13</v>
      </c>
      <c r="C7227" t="s">
        <v>212</v>
      </c>
      <c r="D7227" t="s">
        <v>74</v>
      </c>
      <c r="E7227" t="s">
        <v>88</v>
      </c>
      <c r="F7227" s="55">
        <v>117</v>
      </c>
      <c r="G7227" s="63">
        <v>7.3899999999999993E-2</v>
      </c>
    </row>
    <row r="7228" spans="1:7" x14ac:dyDescent="0.2">
      <c r="A7228" t="s">
        <v>89</v>
      </c>
      <c r="B7228" t="s">
        <v>142</v>
      </c>
      <c r="C7228" t="s">
        <v>212</v>
      </c>
      <c r="D7228" t="s">
        <v>74</v>
      </c>
      <c r="E7228" t="s">
        <v>75</v>
      </c>
      <c r="F7228" s="55">
        <v>118</v>
      </c>
      <c r="G7228" s="63">
        <v>3.5000000000000003E-2</v>
      </c>
    </row>
    <row r="7229" spans="1:7" x14ac:dyDescent="0.2">
      <c r="A7229" t="s">
        <v>89</v>
      </c>
      <c r="B7229" t="s">
        <v>142</v>
      </c>
      <c r="C7229" t="s">
        <v>212</v>
      </c>
      <c r="D7229" t="s">
        <v>74</v>
      </c>
      <c r="E7229" t="s">
        <v>76</v>
      </c>
      <c r="F7229" s="55">
        <v>120</v>
      </c>
      <c r="G7229" s="63">
        <v>4.1999999999999997E-3</v>
      </c>
    </row>
    <row r="7230" spans="1:7" x14ac:dyDescent="0.2">
      <c r="A7230" t="s">
        <v>89</v>
      </c>
      <c r="B7230" t="s">
        <v>142</v>
      </c>
      <c r="C7230" t="s">
        <v>212</v>
      </c>
      <c r="D7230" t="s">
        <v>74</v>
      </c>
      <c r="E7230" t="s">
        <v>77</v>
      </c>
      <c r="F7230" s="55">
        <v>115</v>
      </c>
      <c r="G7230" s="63">
        <v>1.18E-2</v>
      </c>
    </row>
    <row r="7231" spans="1:7" x14ac:dyDescent="0.2">
      <c r="A7231" t="s">
        <v>89</v>
      </c>
      <c r="B7231" t="s">
        <v>142</v>
      </c>
      <c r="C7231" t="s">
        <v>212</v>
      </c>
      <c r="D7231" t="s">
        <v>74</v>
      </c>
      <c r="E7231" t="s">
        <v>78</v>
      </c>
      <c r="F7231" s="55">
        <v>118</v>
      </c>
      <c r="G7231" s="63">
        <v>9.4999999999999998E-3</v>
      </c>
    </row>
    <row r="7232" spans="1:7" x14ac:dyDescent="0.2">
      <c r="A7232" t="s">
        <v>89</v>
      </c>
      <c r="B7232" t="s">
        <v>142</v>
      </c>
      <c r="C7232" t="s">
        <v>212</v>
      </c>
      <c r="D7232" t="s">
        <v>74</v>
      </c>
      <c r="E7232" t="s">
        <v>79</v>
      </c>
      <c r="F7232" s="55">
        <v>124</v>
      </c>
      <c r="G7232" s="63">
        <v>1.9599999999999999E-2</v>
      </c>
    </row>
    <row r="7233" spans="1:7" x14ac:dyDescent="0.2">
      <c r="A7233" t="s">
        <v>89</v>
      </c>
      <c r="B7233" t="s">
        <v>142</v>
      </c>
      <c r="C7233" t="s">
        <v>212</v>
      </c>
      <c r="D7233" t="s">
        <v>74</v>
      </c>
      <c r="E7233" t="s">
        <v>80</v>
      </c>
      <c r="F7233" s="55">
        <v>120</v>
      </c>
      <c r="G7233" s="63">
        <v>5.1000000000000004E-3</v>
      </c>
    </row>
    <row r="7234" spans="1:7" x14ac:dyDescent="0.2">
      <c r="A7234" t="s">
        <v>89</v>
      </c>
      <c r="B7234" t="s">
        <v>142</v>
      </c>
      <c r="C7234" t="s">
        <v>212</v>
      </c>
      <c r="D7234" t="s">
        <v>74</v>
      </c>
      <c r="E7234" t="s">
        <v>81</v>
      </c>
      <c r="F7234" s="55">
        <v>118</v>
      </c>
      <c r="G7234" s="63">
        <v>6.1999999999999998E-3</v>
      </c>
    </row>
    <row r="7235" spans="1:7" x14ac:dyDescent="0.2">
      <c r="A7235" t="s">
        <v>89</v>
      </c>
      <c r="B7235" t="s">
        <v>142</v>
      </c>
      <c r="C7235" t="s">
        <v>212</v>
      </c>
      <c r="D7235" t="s">
        <v>74</v>
      </c>
      <c r="E7235" t="s">
        <v>82</v>
      </c>
      <c r="F7235" s="55">
        <v>112</v>
      </c>
      <c r="G7235" s="63">
        <v>1.5800000000000002E-2</v>
      </c>
    </row>
    <row r="7236" spans="1:7" x14ac:dyDescent="0.2">
      <c r="A7236" t="s">
        <v>89</v>
      </c>
      <c r="B7236" t="s">
        <v>142</v>
      </c>
      <c r="C7236" t="s">
        <v>212</v>
      </c>
      <c r="D7236" t="s">
        <v>74</v>
      </c>
      <c r="E7236" t="s">
        <v>83</v>
      </c>
      <c r="F7236" s="55">
        <v>121</v>
      </c>
      <c r="G7236" s="63">
        <v>3.0999999999999999E-3</v>
      </c>
    </row>
    <row r="7237" spans="1:7" x14ac:dyDescent="0.2">
      <c r="A7237" t="s">
        <v>89</v>
      </c>
      <c r="B7237" t="s">
        <v>142</v>
      </c>
      <c r="C7237" t="s">
        <v>212</v>
      </c>
      <c r="D7237" t="s">
        <v>74</v>
      </c>
      <c r="E7237" t="s">
        <v>84</v>
      </c>
      <c r="F7237" s="55">
        <v>113</v>
      </c>
      <c r="G7237" s="63">
        <v>7.4000000000000003E-3</v>
      </c>
    </row>
    <row r="7238" spans="1:7" x14ac:dyDescent="0.2">
      <c r="A7238" t="s">
        <v>89</v>
      </c>
      <c r="B7238" t="s">
        <v>142</v>
      </c>
      <c r="C7238" t="s">
        <v>212</v>
      </c>
      <c r="D7238" t="s">
        <v>74</v>
      </c>
      <c r="E7238" t="s">
        <v>85</v>
      </c>
      <c r="F7238" s="55">
        <v>123</v>
      </c>
      <c r="G7238" s="63">
        <v>5.1999999999999998E-3</v>
      </c>
    </row>
    <row r="7239" spans="1:7" x14ac:dyDescent="0.2">
      <c r="A7239" t="s">
        <v>89</v>
      </c>
      <c r="B7239" t="s">
        <v>142</v>
      </c>
      <c r="C7239" t="s">
        <v>212</v>
      </c>
      <c r="D7239" t="s">
        <v>74</v>
      </c>
      <c r="E7239" t="s">
        <v>86</v>
      </c>
      <c r="F7239" s="55">
        <v>124</v>
      </c>
      <c r="G7239" s="63">
        <v>7.1000000000000004E-3</v>
      </c>
    </row>
    <row r="7240" spans="1:7" x14ac:dyDescent="0.2">
      <c r="A7240" t="s">
        <v>89</v>
      </c>
      <c r="B7240" t="s">
        <v>142</v>
      </c>
      <c r="C7240" t="s">
        <v>212</v>
      </c>
      <c r="D7240" t="s">
        <v>74</v>
      </c>
      <c r="E7240" t="s">
        <v>87</v>
      </c>
      <c r="F7240" s="55">
        <v>124</v>
      </c>
      <c r="G7240" s="63">
        <v>8.0999999999999996E-3</v>
      </c>
    </row>
    <row r="7241" spans="1:7" x14ac:dyDescent="0.2">
      <c r="A7241" t="s">
        <v>89</v>
      </c>
      <c r="B7241" t="s">
        <v>142</v>
      </c>
      <c r="C7241" t="s">
        <v>212</v>
      </c>
      <c r="D7241" t="s">
        <v>74</v>
      </c>
      <c r="E7241" t="s">
        <v>88</v>
      </c>
      <c r="F7241" s="55">
        <v>119</v>
      </c>
      <c r="G7241" s="63">
        <v>6.7999999999999996E-3</v>
      </c>
    </row>
    <row r="7242" spans="1:7" x14ac:dyDescent="0.2">
      <c r="A7242" t="s">
        <v>89</v>
      </c>
      <c r="B7242" t="s">
        <v>143</v>
      </c>
      <c r="C7242" t="s">
        <v>212</v>
      </c>
      <c r="D7242" t="s">
        <v>74</v>
      </c>
      <c r="E7242" t="s">
        <v>75</v>
      </c>
      <c r="F7242" s="55">
        <v>125</v>
      </c>
      <c r="G7242" s="63">
        <v>7.3200000000000001E-2</v>
      </c>
    </row>
    <row r="7243" spans="1:7" x14ac:dyDescent="0.2">
      <c r="A7243" t="s">
        <v>89</v>
      </c>
      <c r="B7243" t="s">
        <v>143</v>
      </c>
      <c r="C7243" t="s">
        <v>212</v>
      </c>
      <c r="D7243" t="s">
        <v>74</v>
      </c>
      <c r="E7243" t="s">
        <v>76</v>
      </c>
      <c r="F7243" s="55">
        <v>128</v>
      </c>
      <c r="G7243" s="63">
        <v>1.35E-2</v>
      </c>
    </row>
    <row r="7244" spans="1:7" x14ac:dyDescent="0.2">
      <c r="A7244" t="s">
        <v>89</v>
      </c>
      <c r="B7244" t="s">
        <v>143</v>
      </c>
      <c r="C7244" t="s">
        <v>212</v>
      </c>
      <c r="D7244" t="s">
        <v>74</v>
      </c>
      <c r="E7244" t="s">
        <v>77</v>
      </c>
      <c r="F7244" s="55">
        <v>126</v>
      </c>
      <c r="G7244" s="63">
        <v>2.9899999999999999E-2</v>
      </c>
    </row>
    <row r="7245" spans="1:7" x14ac:dyDescent="0.2">
      <c r="A7245" t="s">
        <v>89</v>
      </c>
      <c r="B7245" t="s">
        <v>143</v>
      </c>
      <c r="C7245" t="s">
        <v>212</v>
      </c>
      <c r="D7245" t="s">
        <v>74</v>
      </c>
      <c r="E7245" t="s">
        <v>78</v>
      </c>
      <c r="F7245" s="55">
        <v>121</v>
      </c>
      <c r="G7245" s="63">
        <v>2.63E-2</v>
      </c>
    </row>
    <row r="7246" spans="1:7" x14ac:dyDescent="0.2">
      <c r="A7246" t="s">
        <v>89</v>
      </c>
      <c r="B7246" t="s">
        <v>143</v>
      </c>
      <c r="C7246" t="s">
        <v>212</v>
      </c>
      <c r="D7246" t="s">
        <v>74</v>
      </c>
      <c r="E7246" t="s">
        <v>79</v>
      </c>
      <c r="F7246" s="55">
        <v>130</v>
      </c>
      <c r="G7246" s="63">
        <v>4.9399999999999999E-2</v>
      </c>
    </row>
    <row r="7247" spans="1:7" x14ac:dyDescent="0.2">
      <c r="A7247" t="s">
        <v>89</v>
      </c>
      <c r="B7247" t="s">
        <v>143</v>
      </c>
      <c r="C7247" t="s">
        <v>212</v>
      </c>
      <c r="D7247" t="s">
        <v>74</v>
      </c>
      <c r="E7247" t="s">
        <v>80</v>
      </c>
      <c r="F7247" s="55">
        <v>119</v>
      </c>
      <c r="G7247" s="63">
        <v>1.6899999999999998E-2</v>
      </c>
    </row>
    <row r="7248" spans="1:7" x14ac:dyDescent="0.2">
      <c r="A7248" t="s">
        <v>89</v>
      </c>
      <c r="B7248" t="s">
        <v>143</v>
      </c>
      <c r="C7248" t="s">
        <v>212</v>
      </c>
      <c r="D7248" t="s">
        <v>74</v>
      </c>
      <c r="E7248" t="s">
        <v>81</v>
      </c>
      <c r="F7248" s="55">
        <v>119</v>
      </c>
      <c r="G7248" s="63">
        <v>1.8800000000000001E-2</v>
      </c>
    </row>
    <row r="7249" spans="1:7" x14ac:dyDescent="0.2">
      <c r="A7249" t="s">
        <v>89</v>
      </c>
      <c r="B7249" t="s">
        <v>143</v>
      </c>
      <c r="C7249" t="s">
        <v>212</v>
      </c>
      <c r="D7249" t="s">
        <v>74</v>
      </c>
      <c r="E7249" t="s">
        <v>82</v>
      </c>
      <c r="F7249" s="55">
        <v>128</v>
      </c>
      <c r="G7249" s="63">
        <v>4.0300000000000002E-2</v>
      </c>
    </row>
    <row r="7250" spans="1:7" x14ac:dyDescent="0.2">
      <c r="A7250" t="s">
        <v>89</v>
      </c>
      <c r="B7250" t="s">
        <v>143</v>
      </c>
      <c r="C7250" t="s">
        <v>212</v>
      </c>
      <c r="D7250" t="s">
        <v>74</v>
      </c>
      <c r="E7250" t="s">
        <v>83</v>
      </c>
      <c r="F7250" s="55">
        <v>120</v>
      </c>
      <c r="G7250" s="63">
        <v>1.09E-2</v>
      </c>
    </row>
    <row r="7251" spans="1:7" x14ac:dyDescent="0.2">
      <c r="A7251" t="s">
        <v>89</v>
      </c>
      <c r="B7251" t="s">
        <v>143</v>
      </c>
      <c r="C7251" t="s">
        <v>212</v>
      </c>
      <c r="D7251" t="s">
        <v>74</v>
      </c>
      <c r="E7251" t="s">
        <v>84</v>
      </c>
      <c r="F7251" s="55">
        <v>117</v>
      </c>
      <c r="G7251" s="63">
        <v>2.07E-2</v>
      </c>
    </row>
    <row r="7252" spans="1:7" x14ac:dyDescent="0.2">
      <c r="A7252" t="s">
        <v>89</v>
      </c>
      <c r="B7252" t="s">
        <v>143</v>
      </c>
      <c r="C7252" t="s">
        <v>212</v>
      </c>
      <c r="D7252" t="s">
        <v>74</v>
      </c>
      <c r="E7252" t="s">
        <v>85</v>
      </c>
      <c r="F7252" s="55">
        <v>125</v>
      </c>
      <c r="G7252" s="63">
        <v>1.8100000000000002E-2</v>
      </c>
    </row>
    <row r="7253" spans="1:7" x14ac:dyDescent="0.2">
      <c r="A7253" t="s">
        <v>89</v>
      </c>
      <c r="B7253" t="s">
        <v>143</v>
      </c>
      <c r="C7253" t="s">
        <v>212</v>
      </c>
      <c r="D7253" t="s">
        <v>74</v>
      </c>
      <c r="E7253" t="s">
        <v>86</v>
      </c>
      <c r="F7253" s="55">
        <v>130</v>
      </c>
      <c r="G7253" s="63">
        <v>2.4E-2</v>
      </c>
    </row>
    <row r="7254" spans="1:7" x14ac:dyDescent="0.2">
      <c r="A7254" t="s">
        <v>89</v>
      </c>
      <c r="B7254" t="s">
        <v>143</v>
      </c>
      <c r="C7254" t="s">
        <v>212</v>
      </c>
      <c r="D7254" t="s">
        <v>74</v>
      </c>
      <c r="E7254" t="s">
        <v>87</v>
      </c>
      <c r="F7254" s="55">
        <v>132</v>
      </c>
      <c r="G7254" s="63">
        <v>2.6599999999999999E-2</v>
      </c>
    </row>
    <row r="7255" spans="1:7" x14ac:dyDescent="0.2">
      <c r="A7255" t="s">
        <v>89</v>
      </c>
      <c r="B7255" t="s">
        <v>143</v>
      </c>
      <c r="C7255" t="s">
        <v>212</v>
      </c>
      <c r="D7255" t="s">
        <v>74</v>
      </c>
      <c r="E7255" t="s">
        <v>88</v>
      </c>
      <c r="F7255" s="55">
        <v>124</v>
      </c>
      <c r="G7255" s="63">
        <v>1.9800000000000002E-2</v>
      </c>
    </row>
    <row r="7256" spans="1:7" x14ac:dyDescent="0.2">
      <c r="A7256" t="s">
        <v>71</v>
      </c>
      <c r="B7256" t="s">
        <v>144</v>
      </c>
      <c r="C7256" t="s">
        <v>212</v>
      </c>
      <c r="D7256" t="s">
        <v>74</v>
      </c>
      <c r="E7256" t="s">
        <v>75</v>
      </c>
      <c r="F7256" s="55">
        <v>107</v>
      </c>
      <c r="G7256" s="63">
        <v>0.18390000000000001</v>
      </c>
    </row>
    <row r="7257" spans="1:7" x14ac:dyDescent="0.2">
      <c r="A7257" t="s">
        <v>71</v>
      </c>
      <c r="B7257" t="s">
        <v>144</v>
      </c>
      <c r="C7257" t="s">
        <v>212</v>
      </c>
      <c r="D7257" t="s">
        <v>74</v>
      </c>
      <c r="E7257" t="s">
        <v>76</v>
      </c>
      <c r="F7257" s="55">
        <v>96</v>
      </c>
      <c r="G7257" s="63">
        <v>3.1399999999999997E-2</v>
      </c>
    </row>
    <row r="7258" spans="1:7" x14ac:dyDescent="0.2">
      <c r="A7258" t="s">
        <v>71</v>
      </c>
      <c r="B7258" t="s">
        <v>144</v>
      </c>
      <c r="C7258" t="s">
        <v>212</v>
      </c>
      <c r="D7258" t="s">
        <v>74</v>
      </c>
      <c r="E7258" t="s">
        <v>77</v>
      </c>
      <c r="F7258" s="55">
        <v>110</v>
      </c>
      <c r="G7258" s="63">
        <v>6.6500000000000004E-2</v>
      </c>
    </row>
    <row r="7259" spans="1:7" x14ac:dyDescent="0.2">
      <c r="A7259" t="s">
        <v>71</v>
      </c>
      <c r="B7259" t="s">
        <v>144</v>
      </c>
      <c r="C7259" t="s">
        <v>212</v>
      </c>
      <c r="D7259" t="s">
        <v>74</v>
      </c>
      <c r="E7259" t="s">
        <v>78</v>
      </c>
      <c r="F7259" s="55">
        <v>107</v>
      </c>
      <c r="G7259" s="63">
        <v>5.1700000000000003E-2</v>
      </c>
    </row>
    <row r="7260" spans="1:7" x14ac:dyDescent="0.2">
      <c r="A7260" t="s">
        <v>71</v>
      </c>
      <c r="B7260" t="s">
        <v>144</v>
      </c>
      <c r="C7260" t="s">
        <v>212</v>
      </c>
      <c r="D7260" t="s">
        <v>74</v>
      </c>
      <c r="E7260" t="s">
        <v>79</v>
      </c>
      <c r="F7260" s="55">
        <v>110</v>
      </c>
      <c r="G7260" s="63">
        <v>0.1119</v>
      </c>
    </row>
    <row r="7261" spans="1:7" x14ac:dyDescent="0.2">
      <c r="A7261" t="s">
        <v>71</v>
      </c>
      <c r="B7261" t="s">
        <v>144</v>
      </c>
      <c r="C7261" t="s">
        <v>212</v>
      </c>
      <c r="D7261" t="s">
        <v>74</v>
      </c>
      <c r="E7261" t="s">
        <v>80</v>
      </c>
      <c r="F7261" s="55">
        <v>108</v>
      </c>
      <c r="G7261" s="63">
        <v>3.5400000000000001E-2</v>
      </c>
    </row>
    <row r="7262" spans="1:7" x14ac:dyDescent="0.2">
      <c r="A7262" t="s">
        <v>71</v>
      </c>
      <c r="B7262" t="s">
        <v>144</v>
      </c>
      <c r="C7262" t="s">
        <v>212</v>
      </c>
      <c r="D7262" t="s">
        <v>74</v>
      </c>
      <c r="E7262" t="s">
        <v>81</v>
      </c>
      <c r="F7262" s="55">
        <v>103</v>
      </c>
      <c r="G7262" s="63">
        <v>4.1599999999999998E-2</v>
      </c>
    </row>
    <row r="7263" spans="1:7" x14ac:dyDescent="0.2">
      <c r="A7263" t="s">
        <v>71</v>
      </c>
      <c r="B7263" t="s">
        <v>144</v>
      </c>
      <c r="C7263" t="s">
        <v>212</v>
      </c>
      <c r="D7263" t="s">
        <v>74</v>
      </c>
      <c r="E7263" t="s">
        <v>82</v>
      </c>
      <c r="F7263" s="55">
        <v>109</v>
      </c>
      <c r="G7263" s="63">
        <v>8.7099999999999997E-2</v>
      </c>
    </row>
    <row r="7264" spans="1:7" x14ac:dyDescent="0.2">
      <c r="A7264" t="s">
        <v>71</v>
      </c>
      <c r="B7264" t="s">
        <v>144</v>
      </c>
      <c r="C7264" t="s">
        <v>212</v>
      </c>
      <c r="D7264" t="s">
        <v>74</v>
      </c>
      <c r="E7264" t="s">
        <v>83</v>
      </c>
      <c r="F7264" s="55">
        <v>101</v>
      </c>
      <c r="G7264" s="63">
        <v>2.2200000000000001E-2</v>
      </c>
    </row>
    <row r="7265" spans="1:7" x14ac:dyDescent="0.2">
      <c r="A7265" t="s">
        <v>71</v>
      </c>
      <c r="B7265" t="s">
        <v>144</v>
      </c>
      <c r="C7265" t="s">
        <v>212</v>
      </c>
      <c r="D7265" t="s">
        <v>74</v>
      </c>
      <c r="E7265" t="s">
        <v>84</v>
      </c>
      <c r="F7265" s="55">
        <v>106</v>
      </c>
      <c r="G7265" s="63">
        <v>4.0099999999999997E-2</v>
      </c>
    </row>
    <row r="7266" spans="1:7" x14ac:dyDescent="0.2">
      <c r="A7266" t="s">
        <v>71</v>
      </c>
      <c r="B7266" t="s">
        <v>144</v>
      </c>
      <c r="C7266" t="s">
        <v>212</v>
      </c>
      <c r="D7266" t="s">
        <v>74</v>
      </c>
      <c r="E7266" t="s">
        <v>85</v>
      </c>
      <c r="F7266" s="55">
        <v>110</v>
      </c>
      <c r="G7266" s="63">
        <v>3.7999999999999999E-2</v>
      </c>
    </row>
    <row r="7267" spans="1:7" x14ac:dyDescent="0.2">
      <c r="A7267" t="s">
        <v>71</v>
      </c>
      <c r="B7267" t="s">
        <v>144</v>
      </c>
      <c r="C7267" t="s">
        <v>212</v>
      </c>
      <c r="D7267" t="s">
        <v>74</v>
      </c>
      <c r="E7267" t="s">
        <v>86</v>
      </c>
      <c r="F7267" s="55">
        <v>111</v>
      </c>
      <c r="G7267" s="63">
        <v>4.5900000000000003E-2</v>
      </c>
    </row>
    <row r="7268" spans="1:7" x14ac:dyDescent="0.2">
      <c r="A7268" t="s">
        <v>71</v>
      </c>
      <c r="B7268" t="s">
        <v>144</v>
      </c>
      <c r="C7268" t="s">
        <v>212</v>
      </c>
      <c r="D7268" t="s">
        <v>74</v>
      </c>
      <c r="E7268" t="s">
        <v>87</v>
      </c>
      <c r="F7268" s="55">
        <v>112</v>
      </c>
      <c r="G7268" s="63">
        <v>5.16E-2</v>
      </c>
    </row>
    <row r="7269" spans="1:7" x14ac:dyDescent="0.2">
      <c r="A7269" t="s">
        <v>71</v>
      </c>
      <c r="B7269" t="s">
        <v>144</v>
      </c>
      <c r="C7269" t="s">
        <v>212</v>
      </c>
      <c r="D7269" t="s">
        <v>74</v>
      </c>
      <c r="E7269" t="s">
        <v>88</v>
      </c>
      <c r="F7269" s="55">
        <v>99</v>
      </c>
      <c r="G7269" s="63">
        <v>4.9000000000000002E-2</v>
      </c>
    </row>
    <row r="7270" spans="1:7" x14ac:dyDescent="0.2">
      <c r="A7270" t="s">
        <v>71</v>
      </c>
      <c r="B7270" t="s">
        <v>201</v>
      </c>
      <c r="C7270" t="s">
        <v>212</v>
      </c>
      <c r="D7270" t="s">
        <v>74</v>
      </c>
      <c r="E7270" t="s">
        <v>75</v>
      </c>
      <c r="F7270" s="55">
        <v>26</v>
      </c>
      <c r="G7270" s="63">
        <v>3.5000000000000001E-3</v>
      </c>
    </row>
    <row r="7271" spans="1:7" x14ac:dyDescent="0.2">
      <c r="A7271" t="s">
        <v>71</v>
      </c>
      <c r="B7271" t="s">
        <v>201</v>
      </c>
      <c r="C7271" t="s">
        <v>212</v>
      </c>
      <c r="D7271" t="s">
        <v>74</v>
      </c>
      <c r="E7271" t="s">
        <v>76</v>
      </c>
      <c r="F7271" s="55">
        <v>31</v>
      </c>
      <c r="G7271" s="63">
        <v>2.0000000000000001E-4</v>
      </c>
    </row>
    <row r="7272" spans="1:7" x14ac:dyDescent="0.2">
      <c r="A7272" t="s">
        <v>71</v>
      </c>
      <c r="B7272" t="s">
        <v>201</v>
      </c>
      <c r="C7272" t="s">
        <v>212</v>
      </c>
      <c r="D7272" t="s">
        <v>74</v>
      </c>
      <c r="E7272" t="s">
        <v>77</v>
      </c>
      <c r="F7272" s="55">
        <v>25</v>
      </c>
      <c r="G7272" s="63">
        <v>1.2999999999999999E-3</v>
      </c>
    </row>
    <row r="7273" spans="1:7" x14ac:dyDescent="0.2">
      <c r="A7273" t="s">
        <v>71</v>
      </c>
      <c r="B7273" t="s">
        <v>201</v>
      </c>
      <c r="C7273" t="s">
        <v>212</v>
      </c>
      <c r="D7273" t="s">
        <v>74</v>
      </c>
      <c r="E7273" t="s">
        <v>78</v>
      </c>
      <c r="F7273" s="55">
        <v>26</v>
      </c>
      <c r="G7273" s="63">
        <v>8.9999999999999998E-4</v>
      </c>
    </row>
    <row r="7274" spans="1:7" x14ac:dyDescent="0.2">
      <c r="A7274" t="s">
        <v>71</v>
      </c>
      <c r="B7274" t="s">
        <v>201</v>
      </c>
      <c r="C7274" t="s">
        <v>212</v>
      </c>
      <c r="D7274" t="s">
        <v>74</v>
      </c>
      <c r="E7274" t="s">
        <v>79</v>
      </c>
      <c r="F7274" s="55">
        <v>26</v>
      </c>
      <c r="G7274" s="63">
        <v>2.3999999999999998E-3</v>
      </c>
    </row>
    <row r="7275" spans="1:7" x14ac:dyDescent="0.2">
      <c r="A7275" t="s">
        <v>71</v>
      </c>
      <c r="B7275" t="s">
        <v>201</v>
      </c>
      <c r="C7275" t="s">
        <v>212</v>
      </c>
      <c r="D7275" t="s">
        <v>74</v>
      </c>
      <c r="E7275" t="s">
        <v>80</v>
      </c>
      <c r="F7275" s="55">
        <v>26</v>
      </c>
      <c r="G7275" s="63">
        <v>5.9999999999999995E-4</v>
      </c>
    </row>
    <row r="7276" spans="1:7" x14ac:dyDescent="0.2">
      <c r="A7276" t="s">
        <v>71</v>
      </c>
      <c r="B7276" t="s">
        <v>201</v>
      </c>
      <c r="C7276" t="s">
        <v>212</v>
      </c>
      <c r="D7276" t="s">
        <v>74</v>
      </c>
      <c r="E7276" t="s">
        <v>81</v>
      </c>
      <c r="F7276" s="55">
        <v>38</v>
      </c>
      <c r="G7276" s="63">
        <v>5.0000000000000001E-4</v>
      </c>
    </row>
    <row r="7277" spans="1:7" x14ac:dyDescent="0.2">
      <c r="A7277" t="s">
        <v>71</v>
      </c>
      <c r="B7277" t="s">
        <v>201</v>
      </c>
      <c r="C7277" t="s">
        <v>212</v>
      </c>
      <c r="D7277" t="s">
        <v>74</v>
      </c>
      <c r="E7277" t="s">
        <v>82</v>
      </c>
      <c r="F7277" s="55">
        <v>27</v>
      </c>
      <c r="G7277" s="63">
        <v>1.9E-3</v>
      </c>
    </row>
    <row r="7278" spans="1:7" x14ac:dyDescent="0.2">
      <c r="A7278" t="s">
        <v>71</v>
      </c>
      <c r="B7278" t="s">
        <v>201</v>
      </c>
      <c r="C7278" t="s">
        <v>212</v>
      </c>
      <c r="D7278" t="s">
        <v>74</v>
      </c>
      <c r="E7278" t="s">
        <v>83</v>
      </c>
      <c r="F7278" s="55">
        <v>47</v>
      </c>
      <c r="G7278" s="63">
        <v>1E-4</v>
      </c>
    </row>
    <row r="7279" spans="1:7" x14ac:dyDescent="0.2">
      <c r="A7279" t="s">
        <v>71</v>
      </c>
      <c r="B7279" t="s">
        <v>201</v>
      </c>
      <c r="C7279" t="s">
        <v>212</v>
      </c>
      <c r="D7279" t="s">
        <v>74</v>
      </c>
      <c r="E7279" t="s">
        <v>84</v>
      </c>
      <c r="F7279" s="55">
        <v>25</v>
      </c>
      <c r="G7279" s="63">
        <v>6.9999999999999999E-4</v>
      </c>
    </row>
    <row r="7280" spans="1:7" x14ac:dyDescent="0.2">
      <c r="A7280" t="s">
        <v>71</v>
      </c>
      <c r="B7280" t="s">
        <v>201</v>
      </c>
      <c r="C7280" t="s">
        <v>212</v>
      </c>
      <c r="D7280" t="s">
        <v>74</v>
      </c>
      <c r="E7280" t="s">
        <v>85</v>
      </c>
      <c r="F7280" s="55">
        <v>26</v>
      </c>
      <c r="G7280" s="63">
        <v>5.9999999999999995E-4</v>
      </c>
    </row>
    <row r="7281" spans="1:7" x14ac:dyDescent="0.2">
      <c r="A7281" t="s">
        <v>71</v>
      </c>
      <c r="B7281" t="s">
        <v>201</v>
      </c>
      <c r="C7281" t="s">
        <v>212</v>
      </c>
      <c r="D7281" t="s">
        <v>74</v>
      </c>
      <c r="E7281" t="s">
        <v>86</v>
      </c>
      <c r="F7281" s="55">
        <v>26</v>
      </c>
      <c r="G7281" s="63">
        <v>1.1000000000000001E-3</v>
      </c>
    </row>
    <row r="7282" spans="1:7" x14ac:dyDescent="0.2">
      <c r="A7282" t="s">
        <v>71</v>
      </c>
      <c r="B7282" t="s">
        <v>201</v>
      </c>
      <c r="C7282" t="s">
        <v>212</v>
      </c>
      <c r="D7282" t="s">
        <v>74</v>
      </c>
      <c r="E7282" t="s">
        <v>87</v>
      </c>
      <c r="F7282" s="55">
        <v>27</v>
      </c>
      <c r="G7282" s="63">
        <v>1.1999999999999999E-3</v>
      </c>
    </row>
    <row r="7283" spans="1:7" x14ac:dyDescent="0.2">
      <c r="A7283" t="s">
        <v>71</v>
      </c>
      <c r="B7283" t="s">
        <v>201</v>
      </c>
      <c r="C7283" t="s">
        <v>212</v>
      </c>
      <c r="D7283" t="s">
        <v>74</v>
      </c>
      <c r="E7283" t="s">
        <v>88</v>
      </c>
      <c r="F7283" s="55">
        <v>32</v>
      </c>
      <c r="G7283" s="63">
        <v>4.0000000000000002E-4</v>
      </c>
    </row>
    <row r="7284" spans="1:7" x14ac:dyDescent="0.2">
      <c r="A7284" t="s">
        <v>71</v>
      </c>
      <c r="B7284" t="s">
        <v>14</v>
      </c>
      <c r="C7284" t="s">
        <v>212</v>
      </c>
      <c r="D7284" t="s">
        <v>74</v>
      </c>
      <c r="E7284" t="s">
        <v>75</v>
      </c>
      <c r="F7284" s="55">
        <v>109</v>
      </c>
      <c r="G7284" s="63">
        <v>0.39400000000000002</v>
      </c>
    </row>
    <row r="7285" spans="1:7" x14ac:dyDescent="0.2">
      <c r="A7285" t="s">
        <v>71</v>
      </c>
      <c r="B7285" t="s">
        <v>14</v>
      </c>
      <c r="C7285" t="s">
        <v>212</v>
      </c>
      <c r="D7285" t="s">
        <v>74</v>
      </c>
      <c r="E7285" t="s">
        <v>76</v>
      </c>
      <c r="F7285" s="55">
        <v>108</v>
      </c>
      <c r="G7285" s="63">
        <v>7.9200000000000007E-2</v>
      </c>
    </row>
    <row r="7286" spans="1:7" x14ac:dyDescent="0.2">
      <c r="A7286" t="s">
        <v>71</v>
      </c>
      <c r="B7286" t="s">
        <v>14</v>
      </c>
      <c r="C7286" t="s">
        <v>212</v>
      </c>
      <c r="D7286" t="s">
        <v>74</v>
      </c>
      <c r="E7286" t="s">
        <v>77</v>
      </c>
      <c r="F7286" s="55">
        <v>110</v>
      </c>
      <c r="G7286" s="63">
        <v>0.18770000000000001</v>
      </c>
    </row>
    <row r="7287" spans="1:7" x14ac:dyDescent="0.2">
      <c r="A7287" t="s">
        <v>71</v>
      </c>
      <c r="B7287" t="s">
        <v>14</v>
      </c>
      <c r="C7287" t="s">
        <v>212</v>
      </c>
      <c r="D7287" t="s">
        <v>74</v>
      </c>
      <c r="E7287" t="s">
        <v>78</v>
      </c>
      <c r="F7287" s="55">
        <v>112</v>
      </c>
      <c r="G7287" s="63">
        <v>0.1787</v>
      </c>
    </row>
    <row r="7288" spans="1:7" x14ac:dyDescent="0.2">
      <c r="A7288" t="s">
        <v>71</v>
      </c>
      <c r="B7288" t="s">
        <v>14</v>
      </c>
      <c r="C7288" t="s">
        <v>212</v>
      </c>
      <c r="D7288" t="s">
        <v>74</v>
      </c>
      <c r="E7288" t="s">
        <v>79</v>
      </c>
      <c r="F7288" s="55">
        <v>109</v>
      </c>
      <c r="G7288" s="63">
        <v>0.30309999999999998</v>
      </c>
    </row>
    <row r="7289" spans="1:7" x14ac:dyDescent="0.2">
      <c r="A7289" t="s">
        <v>71</v>
      </c>
      <c r="B7289" t="s">
        <v>14</v>
      </c>
      <c r="C7289" t="s">
        <v>212</v>
      </c>
      <c r="D7289" t="s">
        <v>74</v>
      </c>
      <c r="E7289" t="s">
        <v>80</v>
      </c>
      <c r="F7289" s="55">
        <v>107</v>
      </c>
      <c r="G7289" s="63">
        <v>0.10979999999999999</v>
      </c>
    </row>
    <row r="7290" spans="1:7" x14ac:dyDescent="0.2">
      <c r="A7290" t="s">
        <v>71</v>
      </c>
      <c r="B7290" t="s">
        <v>14</v>
      </c>
      <c r="C7290" t="s">
        <v>212</v>
      </c>
      <c r="D7290" t="s">
        <v>74</v>
      </c>
      <c r="E7290" t="s">
        <v>81</v>
      </c>
      <c r="F7290" s="55">
        <v>105</v>
      </c>
      <c r="G7290" s="63">
        <v>0.1065</v>
      </c>
    </row>
    <row r="7291" spans="1:7" x14ac:dyDescent="0.2">
      <c r="A7291" t="s">
        <v>71</v>
      </c>
      <c r="B7291" t="s">
        <v>14</v>
      </c>
      <c r="C7291" t="s">
        <v>212</v>
      </c>
      <c r="D7291" t="s">
        <v>74</v>
      </c>
      <c r="E7291" t="s">
        <v>82</v>
      </c>
      <c r="F7291" s="55">
        <v>108</v>
      </c>
      <c r="G7291" s="63">
        <v>0.24729999999999999</v>
      </c>
    </row>
    <row r="7292" spans="1:7" x14ac:dyDescent="0.2">
      <c r="A7292" t="s">
        <v>71</v>
      </c>
      <c r="B7292" t="s">
        <v>14</v>
      </c>
      <c r="C7292" t="s">
        <v>212</v>
      </c>
      <c r="D7292" t="s">
        <v>74</v>
      </c>
      <c r="E7292" t="s">
        <v>83</v>
      </c>
      <c r="F7292" s="55">
        <v>108</v>
      </c>
      <c r="G7292" s="63">
        <v>5.8999999999999997E-2</v>
      </c>
    </row>
    <row r="7293" spans="1:7" x14ac:dyDescent="0.2">
      <c r="A7293" t="s">
        <v>71</v>
      </c>
      <c r="B7293" t="s">
        <v>14</v>
      </c>
      <c r="C7293" t="s">
        <v>212</v>
      </c>
      <c r="D7293" t="s">
        <v>74</v>
      </c>
      <c r="E7293" t="s">
        <v>84</v>
      </c>
      <c r="F7293" s="55">
        <v>113</v>
      </c>
      <c r="G7293" s="63">
        <v>0.1454</v>
      </c>
    </row>
    <row r="7294" spans="1:7" x14ac:dyDescent="0.2">
      <c r="A7294" t="s">
        <v>71</v>
      </c>
      <c r="B7294" t="s">
        <v>14</v>
      </c>
      <c r="C7294" t="s">
        <v>212</v>
      </c>
      <c r="D7294" t="s">
        <v>74</v>
      </c>
      <c r="E7294" t="s">
        <v>85</v>
      </c>
      <c r="F7294" s="55">
        <v>108</v>
      </c>
      <c r="G7294" s="63">
        <v>0.1343</v>
      </c>
    </row>
    <row r="7295" spans="1:7" x14ac:dyDescent="0.2">
      <c r="A7295" t="s">
        <v>71</v>
      </c>
      <c r="B7295" t="s">
        <v>14</v>
      </c>
      <c r="C7295" t="s">
        <v>212</v>
      </c>
      <c r="D7295" t="s">
        <v>74</v>
      </c>
      <c r="E7295" t="s">
        <v>86</v>
      </c>
      <c r="F7295" s="55">
        <v>111</v>
      </c>
      <c r="G7295" s="63">
        <v>0.17299999999999999</v>
      </c>
    </row>
    <row r="7296" spans="1:7" x14ac:dyDescent="0.2">
      <c r="A7296" t="s">
        <v>71</v>
      </c>
      <c r="B7296" t="s">
        <v>14</v>
      </c>
      <c r="C7296" t="s">
        <v>212</v>
      </c>
      <c r="D7296" t="s">
        <v>74</v>
      </c>
      <c r="E7296" t="s">
        <v>87</v>
      </c>
      <c r="F7296" s="55">
        <v>109</v>
      </c>
      <c r="G7296" s="63">
        <v>0.1963</v>
      </c>
    </row>
    <row r="7297" spans="1:7" x14ac:dyDescent="0.2">
      <c r="A7297" t="s">
        <v>71</v>
      </c>
      <c r="B7297" t="s">
        <v>14</v>
      </c>
      <c r="C7297" t="s">
        <v>212</v>
      </c>
      <c r="D7297" t="s">
        <v>74</v>
      </c>
      <c r="E7297" t="s">
        <v>88</v>
      </c>
      <c r="F7297" s="55">
        <v>108</v>
      </c>
      <c r="G7297" s="63">
        <v>0.12</v>
      </c>
    </row>
    <row r="7298" spans="1:7" x14ac:dyDescent="0.2">
      <c r="A7298" t="s">
        <v>71</v>
      </c>
      <c r="B7298" t="s">
        <v>145</v>
      </c>
      <c r="C7298" t="s">
        <v>212</v>
      </c>
      <c r="D7298" t="s">
        <v>74</v>
      </c>
      <c r="E7298" t="s">
        <v>75</v>
      </c>
      <c r="F7298" s="55">
        <v>110</v>
      </c>
      <c r="G7298" s="63">
        <v>0.223</v>
      </c>
    </row>
    <row r="7299" spans="1:7" x14ac:dyDescent="0.2">
      <c r="A7299" t="s">
        <v>71</v>
      </c>
      <c r="B7299" t="s">
        <v>145</v>
      </c>
      <c r="C7299" t="s">
        <v>212</v>
      </c>
      <c r="D7299" t="s">
        <v>74</v>
      </c>
      <c r="E7299" t="s">
        <v>76</v>
      </c>
      <c r="F7299" s="55">
        <v>103</v>
      </c>
      <c r="G7299" s="63">
        <v>3.2599999999999997E-2</v>
      </c>
    </row>
    <row r="7300" spans="1:7" x14ac:dyDescent="0.2">
      <c r="A7300" t="s">
        <v>71</v>
      </c>
      <c r="B7300" t="s">
        <v>145</v>
      </c>
      <c r="C7300" t="s">
        <v>212</v>
      </c>
      <c r="D7300" t="s">
        <v>74</v>
      </c>
      <c r="E7300" t="s">
        <v>77</v>
      </c>
      <c r="F7300" s="55">
        <v>101</v>
      </c>
      <c r="G7300" s="63">
        <v>7.4499999999999997E-2</v>
      </c>
    </row>
    <row r="7301" spans="1:7" x14ac:dyDescent="0.2">
      <c r="A7301" t="s">
        <v>71</v>
      </c>
      <c r="B7301" t="s">
        <v>145</v>
      </c>
      <c r="C7301" t="s">
        <v>212</v>
      </c>
      <c r="D7301" t="s">
        <v>74</v>
      </c>
      <c r="E7301" t="s">
        <v>78</v>
      </c>
      <c r="F7301" s="55">
        <v>113</v>
      </c>
      <c r="G7301" s="63">
        <v>7.4399999999999994E-2</v>
      </c>
    </row>
    <row r="7302" spans="1:7" x14ac:dyDescent="0.2">
      <c r="A7302" t="s">
        <v>71</v>
      </c>
      <c r="B7302" t="s">
        <v>145</v>
      </c>
      <c r="C7302" t="s">
        <v>212</v>
      </c>
      <c r="D7302" t="s">
        <v>74</v>
      </c>
      <c r="E7302" t="s">
        <v>79</v>
      </c>
      <c r="F7302" s="55">
        <v>114</v>
      </c>
      <c r="G7302" s="63">
        <v>0.14960000000000001</v>
      </c>
    </row>
    <row r="7303" spans="1:7" x14ac:dyDescent="0.2">
      <c r="A7303" t="s">
        <v>71</v>
      </c>
      <c r="B7303" t="s">
        <v>145</v>
      </c>
      <c r="C7303" t="s">
        <v>212</v>
      </c>
      <c r="D7303" t="s">
        <v>74</v>
      </c>
      <c r="E7303" t="s">
        <v>80</v>
      </c>
      <c r="F7303" s="55">
        <v>111</v>
      </c>
      <c r="G7303" s="63">
        <v>5.28E-2</v>
      </c>
    </row>
    <row r="7304" spans="1:7" x14ac:dyDescent="0.2">
      <c r="A7304" t="s">
        <v>71</v>
      </c>
      <c r="B7304" t="s">
        <v>145</v>
      </c>
      <c r="C7304" t="s">
        <v>212</v>
      </c>
      <c r="D7304" t="s">
        <v>74</v>
      </c>
      <c r="E7304" t="s">
        <v>81</v>
      </c>
      <c r="F7304" s="55">
        <v>108</v>
      </c>
      <c r="G7304" s="63">
        <v>5.4899999999999997E-2</v>
      </c>
    </row>
    <row r="7305" spans="1:7" x14ac:dyDescent="0.2">
      <c r="A7305" t="s">
        <v>71</v>
      </c>
      <c r="B7305" t="s">
        <v>145</v>
      </c>
      <c r="C7305" t="s">
        <v>212</v>
      </c>
      <c r="D7305" t="s">
        <v>74</v>
      </c>
      <c r="E7305" t="s">
        <v>82</v>
      </c>
      <c r="F7305" s="55">
        <v>105</v>
      </c>
      <c r="G7305" s="63">
        <v>0.10150000000000001</v>
      </c>
    </row>
    <row r="7306" spans="1:7" x14ac:dyDescent="0.2">
      <c r="A7306" t="s">
        <v>71</v>
      </c>
      <c r="B7306" t="s">
        <v>145</v>
      </c>
      <c r="C7306" t="s">
        <v>212</v>
      </c>
      <c r="D7306" t="s">
        <v>74</v>
      </c>
      <c r="E7306" t="s">
        <v>83</v>
      </c>
      <c r="F7306" s="55">
        <v>107</v>
      </c>
      <c r="G7306" s="63">
        <v>2.6599999999999999E-2</v>
      </c>
    </row>
    <row r="7307" spans="1:7" x14ac:dyDescent="0.2">
      <c r="A7307" t="s">
        <v>71</v>
      </c>
      <c r="B7307" t="s">
        <v>145</v>
      </c>
      <c r="C7307" t="s">
        <v>212</v>
      </c>
      <c r="D7307" t="s">
        <v>74</v>
      </c>
      <c r="E7307" t="s">
        <v>84</v>
      </c>
      <c r="F7307" s="55">
        <v>110</v>
      </c>
      <c r="G7307" s="63">
        <v>5.5399999999999998E-2</v>
      </c>
    </row>
    <row r="7308" spans="1:7" x14ac:dyDescent="0.2">
      <c r="A7308" t="s">
        <v>71</v>
      </c>
      <c r="B7308" t="s">
        <v>145</v>
      </c>
      <c r="C7308" t="s">
        <v>212</v>
      </c>
      <c r="D7308" t="s">
        <v>74</v>
      </c>
      <c r="E7308" t="s">
        <v>85</v>
      </c>
      <c r="F7308" s="55">
        <v>116</v>
      </c>
      <c r="G7308" s="63">
        <v>5.79E-2</v>
      </c>
    </row>
    <row r="7309" spans="1:7" x14ac:dyDescent="0.2">
      <c r="A7309" t="s">
        <v>71</v>
      </c>
      <c r="B7309" t="s">
        <v>145</v>
      </c>
      <c r="C7309" t="s">
        <v>212</v>
      </c>
      <c r="D7309" t="s">
        <v>74</v>
      </c>
      <c r="E7309" t="s">
        <v>86</v>
      </c>
      <c r="F7309" s="55">
        <v>114</v>
      </c>
      <c r="G7309" s="63">
        <v>6.8699999999999997E-2</v>
      </c>
    </row>
    <row r="7310" spans="1:7" x14ac:dyDescent="0.2">
      <c r="A7310" t="s">
        <v>71</v>
      </c>
      <c r="B7310" t="s">
        <v>145</v>
      </c>
      <c r="C7310" t="s">
        <v>212</v>
      </c>
      <c r="D7310" t="s">
        <v>74</v>
      </c>
      <c r="E7310" t="s">
        <v>87</v>
      </c>
      <c r="F7310" s="55">
        <v>114</v>
      </c>
      <c r="G7310" s="63">
        <v>7.7799999999999994E-2</v>
      </c>
    </row>
    <row r="7311" spans="1:7" x14ac:dyDescent="0.2">
      <c r="A7311" t="s">
        <v>71</v>
      </c>
      <c r="B7311" t="s">
        <v>145</v>
      </c>
      <c r="C7311" t="s">
        <v>212</v>
      </c>
      <c r="D7311" t="s">
        <v>74</v>
      </c>
      <c r="E7311" t="s">
        <v>88</v>
      </c>
      <c r="F7311" s="55">
        <v>104</v>
      </c>
      <c r="G7311" s="63">
        <v>5.2400000000000002E-2</v>
      </c>
    </row>
    <row r="7312" spans="1:7" x14ac:dyDescent="0.2">
      <c r="A7312" t="s">
        <v>71</v>
      </c>
      <c r="B7312" t="s">
        <v>146</v>
      </c>
      <c r="C7312" t="s">
        <v>212</v>
      </c>
      <c r="D7312" t="s">
        <v>74</v>
      </c>
      <c r="E7312" t="s">
        <v>75</v>
      </c>
      <c r="F7312" s="55">
        <v>97</v>
      </c>
      <c r="G7312" s="63">
        <v>0.16250000000000001</v>
      </c>
    </row>
    <row r="7313" spans="1:7" x14ac:dyDescent="0.2">
      <c r="A7313" t="s">
        <v>71</v>
      </c>
      <c r="B7313" t="s">
        <v>146</v>
      </c>
      <c r="C7313" t="s">
        <v>212</v>
      </c>
      <c r="D7313" t="s">
        <v>74</v>
      </c>
      <c r="E7313" t="s">
        <v>76</v>
      </c>
      <c r="F7313" s="55">
        <v>97</v>
      </c>
      <c r="G7313" s="63">
        <v>2.75E-2</v>
      </c>
    </row>
    <row r="7314" spans="1:7" x14ac:dyDescent="0.2">
      <c r="A7314" t="s">
        <v>71</v>
      </c>
      <c r="B7314" t="s">
        <v>146</v>
      </c>
      <c r="C7314" t="s">
        <v>212</v>
      </c>
      <c r="D7314" t="s">
        <v>74</v>
      </c>
      <c r="E7314" t="s">
        <v>77</v>
      </c>
      <c r="F7314" s="55">
        <v>101</v>
      </c>
      <c r="G7314" s="63">
        <v>6.4600000000000005E-2</v>
      </c>
    </row>
    <row r="7315" spans="1:7" x14ac:dyDescent="0.2">
      <c r="A7315" t="s">
        <v>71</v>
      </c>
      <c r="B7315" t="s">
        <v>146</v>
      </c>
      <c r="C7315" t="s">
        <v>212</v>
      </c>
      <c r="D7315" t="s">
        <v>74</v>
      </c>
      <c r="E7315" t="s">
        <v>78</v>
      </c>
      <c r="F7315" s="55">
        <v>96</v>
      </c>
      <c r="G7315" s="63">
        <v>5.21E-2</v>
      </c>
    </row>
    <row r="7316" spans="1:7" x14ac:dyDescent="0.2">
      <c r="A7316" t="s">
        <v>71</v>
      </c>
      <c r="B7316" t="s">
        <v>146</v>
      </c>
      <c r="C7316" t="s">
        <v>212</v>
      </c>
      <c r="D7316" t="s">
        <v>74</v>
      </c>
      <c r="E7316" t="s">
        <v>79</v>
      </c>
      <c r="F7316" s="55">
        <v>96</v>
      </c>
      <c r="G7316" s="63">
        <v>0.1052</v>
      </c>
    </row>
    <row r="7317" spans="1:7" x14ac:dyDescent="0.2">
      <c r="A7317" t="s">
        <v>71</v>
      </c>
      <c r="B7317" t="s">
        <v>146</v>
      </c>
      <c r="C7317" t="s">
        <v>212</v>
      </c>
      <c r="D7317" t="s">
        <v>74</v>
      </c>
      <c r="E7317" t="s">
        <v>80</v>
      </c>
      <c r="F7317" s="55">
        <v>94</v>
      </c>
      <c r="G7317" s="63">
        <v>3.7699999999999997E-2</v>
      </c>
    </row>
    <row r="7318" spans="1:7" x14ac:dyDescent="0.2">
      <c r="A7318" t="s">
        <v>71</v>
      </c>
      <c r="B7318" t="s">
        <v>146</v>
      </c>
      <c r="C7318" t="s">
        <v>212</v>
      </c>
      <c r="D7318" t="s">
        <v>74</v>
      </c>
      <c r="E7318" t="s">
        <v>81</v>
      </c>
      <c r="F7318" s="55">
        <v>92</v>
      </c>
      <c r="G7318" s="63">
        <v>4.1399999999999999E-2</v>
      </c>
    </row>
    <row r="7319" spans="1:7" x14ac:dyDescent="0.2">
      <c r="A7319" t="s">
        <v>71</v>
      </c>
      <c r="B7319" t="s">
        <v>146</v>
      </c>
      <c r="C7319" t="s">
        <v>212</v>
      </c>
      <c r="D7319" t="s">
        <v>74</v>
      </c>
      <c r="E7319" t="s">
        <v>82</v>
      </c>
      <c r="F7319" s="55">
        <v>97</v>
      </c>
      <c r="G7319" s="63">
        <v>7.8799999999999995E-2</v>
      </c>
    </row>
    <row r="7320" spans="1:7" x14ac:dyDescent="0.2">
      <c r="A7320" t="s">
        <v>71</v>
      </c>
      <c r="B7320" t="s">
        <v>146</v>
      </c>
      <c r="C7320" t="s">
        <v>212</v>
      </c>
      <c r="D7320" t="s">
        <v>74</v>
      </c>
      <c r="E7320" t="s">
        <v>83</v>
      </c>
      <c r="F7320" s="55">
        <v>93</v>
      </c>
      <c r="G7320" s="63">
        <v>2.2100000000000002E-2</v>
      </c>
    </row>
    <row r="7321" spans="1:7" x14ac:dyDescent="0.2">
      <c r="A7321" t="s">
        <v>71</v>
      </c>
      <c r="B7321" t="s">
        <v>146</v>
      </c>
      <c r="C7321" t="s">
        <v>212</v>
      </c>
      <c r="D7321" t="s">
        <v>74</v>
      </c>
      <c r="E7321" t="s">
        <v>84</v>
      </c>
      <c r="F7321" s="55">
        <v>96</v>
      </c>
      <c r="G7321" s="63">
        <v>4.1500000000000002E-2</v>
      </c>
    </row>
    <row r="7322" spans="1:7" x14ac:dyDescent="0.2">
      <c r="A7322" t="s">
        <v>71</v>
      </c>
      <c r="B7322" t="s">
        <v>146</v>
      </c>
      <c r="C7322" t="s">
        <v>212</v>
      </c>
      <c r="D7322" t="s">
        <v>74</v>
      </c>
      <c r="E7322" t="s">
        <v>85</v>
      </c>
      <c r="F7322" s="55">
        <v>96</v>
      </c>
      <c r="G7322" s="63">
        <v>3.9100000000000003E-2</v>
      </c>
    </row>
    <row r="7323" spans="1:7" x14ac:dyDescent="0.2">
      <c r="A7323" t="s">
        <v>71</v>
      </c>
      <c r="B7323" t="s">
        <v>146</v>
      </c>
      <c r="C7323" t="s">
        <v>212</v>
      </c>
      <c r="D7323" t="s">
        <v>74</v>
      </c>
      <c r="E7323" t="s">
        <v>86</v>
      </c>
      <c r="F7323" s="55">
        <v>98</v>
      </c>
      <c r="G7323" s="63">
        <v>4.9500000000000002E-2</v>
      </c>
    </row>
    <row r="7324" spans="1:7" x14ac:dyDescent="0.2">
      <c r="A7324" t="s">
        <v>71</v>
      </c>
      <c r="B7324" t="s">
        <v>146</v>
      </c>
      <c r="C7324" t="s">
        <v>212</v>
      </c>
      <c r="D7324" t="s">
        <v>74</v>
      </c>
      <c r="E7324" t="s">
        <v>87</v>
      </c>
      <c r="F7324" s="55">
        <v>98</v>
      </c>
      <c r="G7324" s="63">
        <v>5.62E-2</v>
      </c>
    </row>
    <row r="7325" spans="1:7" x14ac:dyDescent="0.2">
      <c r="A7325" t="s">
        <v>71</v>
      </c>
      <c r="B7325" t="s">
        <v>146</v>
      </c>
      <c r="C7325" t="s">
        <v>212</v>
      </c>
      <c r="D7325" t="s">
        <v>74</v>
      </c>
      <c r="E7325" t="s">
        <v>88</v>
      </c>
      <c r="F7325" s="55">
        <v>95</v>
      </c>
      <c r="G7325" s="63">
        <v>4.1500000000000002E-2</v>
      </c>
    </row>
    <row r="7326" spans="1:7" x14ac:dyDescent="0.2">
      <c r="A7326" t="s">
        <v>89</v>
      </c>
      <c r="B7326" t="s">
        <v>147</v>
      </c>
      <c r="C7326" t="s">
        <v>212</v>
      </c>
      <c r="D7326" t="s">
        <v>91</v>
      </c>
      <c r="E7326" t="s">
        <v>75</v>
      </c>
      <c r="F7326" s="55">
        <v>110</v>
      </c>
      <c r="G7326" s="63">
        <v>0.41360000000000002</v>
      </c>
    </row>
    <row r="7327" spans="1:7" x14ac:dyDescent="0.2">
      <c r="A7327" t="s">
        <v>89</v>
      </c>
      <c r="B7327" t="s">
        <v>147</v>
      </c>
      <c r="C7327" t="s">
        <v>212</v>
      </c>
      <c r="D7327" t="s">
        <v>91</v>
      </c>
      <c r="E7327" t="s">
        <v>76</v>
      </c>
      <c r="F7327" s="55">
        <v>107</v>
      </c>
      <c r="G7327" s="63">
        <v>7.51E-2</v>
      </c>
    </row>
    <row r="7328" spans="1:7" x14ac:dyDescent="0.2">
      <c r="A7328" t="s">
        <v>89</v>
      </c>
      <c r="B7328" t="s">
        <v>147</v>
      </c>
      <c r="C7328" t="s">
        <v>212</v>
      </c>
      <c r="D7328" t="s">
        <v>91</v>
      </c>
      <c r="E7328" t="s">
        <v>77</v>
      </c>
      <c r="F7328" s="55">
        <v>112</v>
      </c>
      <c r="G7328" s="63">
        <v>0.1857</v>
      </c>
    </row>
    <row r="7329" spans="1:7" x14ac:dyDescent="0.2">
      <c r="A7329" t="s">
        <v>89</v>
      </c>
      <c r="B7329" t="s">
        <v>147</v>
      </c>
      <c r="C7329" t="s">
        <v>212</v>
      </c>
      <c r="D7329" t="s">
        <v>91</v>
      </c>
      <c r="E7329" t="s">
        <v>78</v>
      </c>
      <c r="F7329" s="55">
        <v>110</v>
      </c>
      <c r="G7329" s="63">
        <v>0.16239999999999999</v>
      </c>
    </row>
    <row r="7330" spans="1:7" x14ac:dyDescent="0.2">
      <c r="A7330" t="s">
        <v>89</v>
      </c>
      <c r="B7330" t="s">
        <v>147</v>
      </c>
      <c r="C7330" t="s">
        <v>212</v>
      </c>
      <c r="D7330" t="s">
        <v>91</v>
      </c>
      <c r="E7330" t="s">
        <v>79</v>
      </c>
      <c r="F7330" s="55">
        <v>110</v>
      </c>
      <c r="G7330" s="63">
        <v>0.30109999999999998</v>
      </c>
    </row>
    <row r="7331" spans="1:7" x14ac:dyDescent="0.2">
      <c r="A7331" t="s">
        <v>89</v>
      </c>
      <c r="B7331" t="s">
        <v>147</v>
      </c>
      <c r="C7331" t="s">
        <v>212</v>
      </c>
      <c r="D7331" t="s">
        <v>91</v>
      </c>
      <c r="E7331" t="s">
        <v>80</v>
      </c>
      <c r="F7331" s="55">
        <v>106</v>
      </c>
      <c r="G7331" s="63">
        <v>0.1051</v>
      </c>
    </row>
    <row r="7332" spans="1:7" x14ac:dyDescent="0.2">
      <c r="A7332" t="s">
        <v>89</v>
      </c>
      <c r="B7332" t="s">
        <v>147</v>
      </c>
      <c r="C7332" t="s">
        <v>212</v>
      </c>
      <c r="D7332" t="s">
        <v>91</v>
      </c>
      <c r="E7332" t="s">
        <v>81</v>
      </c>
      <c r="F7332" s="55">
        <v>107</v>
      </c>
      <c r="G7332" s="63">
        <v>0.1047</v>
      </c>
    </row>
    <row r="7333" spans="1:7" x14ac:dyDescent="0.2">
      <c r="A7333" t="s">
        <v>89</v>
      </c>
      <c r="B7333" t="s">
        <v>147</v>
      </c>
      <c r="C7333" t="s">
        <v>212</v>
      </c>
      <c r="D7333" t="s">
        <v>91</v>
      </c>
      <c r="E7333" t="s">
        <v>82</v>
      </c>
      <c r="F7333" s="55">
        <v>113</v>
      </c>
      <c r="G7333" s="63">
        <v>0.21310000000000001</v>
      </c>
    </row>
    <row r="7334" spans="1:7" x14ac:dyDescent="0.2">
      <c r="A7334" t="s">
        <v>89</v>
      </c>
      <c r="B7334" t="s">
        <v>147</v>
      </c>
      <c r="C7334" t="s">
        <v>212</v>
      </c>
      <c r="D7334" t="s">
        <v>91</v>
      </c>
      <c r="E7334" t="s">
        <v>83</v>
      </c>
      <c r="F7334" s="55">
        <v>107</v>
      </c>
      <c r="G7334" s="63">
        <v>5.0700000000000002E-2</v>
      </c>
    </row>
    <row r="7335" spans="1:7" x14ac:dyDescent="0.2">
      <c r="A7335" t="s">
        <v>89</v>
      </c>
      <c r="B7335" t="s">
        <v>147</v>
      </c>
      <c r="C7335" t="s">
        <v>212</v>
      </c>
      <c r="D7335" t="s">
        <v>91</v>
      </c>
      <c r="E7335" t="s">
        <v>84</v>
      </c>
      <c r="F7335" s="55">
        <v>111</v>
      </c>
      <c r="G7335" s="63">
        <v>0.1333</v>
      </c>
    </row>
    <row r="7336" spans="1:7" x14ac:dyDescent="0.2">
      <c r="A7336" t="s">
        <v>89</v>
      </c>
      <c r="B7336" t="s">
        <v>147</v>
      </c>
      <c r="C7336" t="s">
        <v>212</v>
      </c>
      <c r="D7336" t="s">
        <v>91</v>
      </c>
      <c r="E7336" t="s">
        <v>85</v>
      </c>
      <c r="F7336" s="55">
        <v>108</v>
      </c>
      <c r="G7336" s="63">
        <v>0.124</v>
      </c>
    </row>
    <row r="7337" spans="1:7" x14ac:dyDescent="0.2">
      <c r="A7337" t="s">
        <v>89</v>
      </c>
      <c r="B7337" t="s">
        <v>147</v>
      </c>
      <c r="C7337" t="s">
        <v>212</v>
      </c>
      <c r="D7337" t="s">
        <v>91</v>
      </c>
      <c r="E7337" t="s">
        <v>86</v>
      </c>
      <c r="F7337" s="55">
        <v>110</v>
      </c>
      <c r="G7337" s="63">
        <v>0.1545</v>
      </c>
    </row>
    <row r="7338" spans="1:7" x14ac:dyDescent="0.2">
      <c r="A7338" t="s">
        <v>89</v>
      </c>
      <c r="B7338" t="s">
        <v>147</v>
      </c>
      <c r="C7338" t="s">
        <v>212</v>
      </c>
      <c r="D7338" t="s">
        <v>91</v>
      </c>
      <c r="E7338" t="s">
        <v>87</v>
      </c>
      <c r="F7338" s="55">
        <v>110</v>
      </c>
      <c r="G7338" s="63">
        <v>0.17469999999999999</v>
      </c>
    </row>
    <row r="7339" spans="1:7" x14ac:dyDescent="0.2">
      <c r="A7339" t="s">
        <v>89</v>
      </c>
      <c r="B7339" t="s">
        <v>147</v>
      </c>
      <c r="C7339" t="s">
        <v>212</v>
      </c>
      <c r="D7339" t="s">
        <v>91</v>
      </c>
      <c r="E7339" t="s">
        <v>88</v>
      </c>
      <c r="F7339" s="55">
        <v>108</v>
      </c>
      <c r="G7339" s="63">
        <v>0.1111</v>
      </c>
    </row>
    <row r="7340" spans="1:7" x14ac:dyDescent="0.2">
      <c r="A7340" t="s">
        <v>71</v>
      </c>
      <c r="B7340" t="s">
        <v>148</v>
      </c>
      <c r="C7340" t="s">
        <v>212</v>
      </c>
      <c r="D7340" t="s">
        <v>74</v>
      </c>
      <c r="E7340" t="s">
        <v>75</v>
      </c>
      <c r="F7340" s="55">
        <v>86</v>
      </c>
      <c r="G7340" s="63">
        <v>0.11310000000000001</v>
      </c>
    </row>
    <row r="7341" spans="1:7" x14ac:dyDescent="0.2">
      <c r="A7341" t="s">
        <v>71</v>
      </c>
      <c r="B7341" t="s">
        <v>148</v>
      </c>
      <c r="C7341" t="s">
        <v>212</v>
      </c>
      <c r="D7341" t="s">
        <v>74</v>
      </c>
      <c r="E7341" t="s">
        <v>76</v>
      </c>
      <c r="F7341" s="55">
        <v>83</v>
      </c>
      <c r="G7341" s="63">
        <v>1.52E-2</v>
      </c>
    </row>
    <row r="7342" spans="1:7" x14ac:dyDescent="0.2">
      <c r="A7342" t="s">
        <v>71</v>
      </c>
      <c r="B7342" t="s">
        <v>148</v>
      </c>
      <c r="C7342" t="s">
        <v>212</v>
      </c>
      <c r="D7342" t="s">
        <v>74</v>
      </c>
      <c r="E7342" t="s">
        <v>77</v>
      </c>
      <c r="F7342" s="55">
        <v>90</v>
      </c>
      <c r="G7342" s="63">
        <v>3.9699999999999999E-2</v>
      </c>
    </row>
    <row r="7343" spans="1:7" x14ac:dyDescent="0.2">
      <c r="A7343" t="s">
        <v>71</v>
      </c>
      <c r="B7343" t="s">
        <v>148</v>
      </c>
      <c r="C7343" t="s">
        <v>212</v>
      </c>
      <c r="D7343" t="s">
        <v>74</v>
      </c>
      <c r="E7343" t="s">
        <v>78</v>
      </c>
      <c r="F7343" s="55">
        <v>86</v>
      </c>
      <c r="G7343" s="63">
        <v>3.2599999999999997E-2</v>
      </c>
    </row>
    <row r="7344" spans="1:7" x14ac:dyDescent="0.2">
      <c r="A7344" t="s">
        <v>71</v>
      </c>
      <c r="B7344" t="s">
        <v>148</v>
      </c>
      <c r="C7344" t="s">
        <v>212</v>
      </c>
      <c r="D7344" t="s">
        <v>74</v>
      </c>
      <c r="E7344" t="s">
        <v>79</v>
      </c>
      <c r="F7344" s="55">
        <v>86</v>
      </c>
      <c r="G7344" s="63">
        <v>6.8599999999999994E-2</v>
      </c>
    </row>
    <row r="7345" spans="1:7" x14ac:dyDescent="0.2">
      <c r="A7345" t="s">
        <v>71</v>
      </c>
      <c r="B7345" t="s">
        <v>148</v>
      </c>
      <c r="C7345" t="s">
        <v>212</v>
      </c>
      <c r="D7345" t="s">
        <v>74</v>
      </c>
      <c r="E7345" t="s">
        <v>80</v>
      </c>
      <c r="F7345" s="55">
        <v>84</v>
      </c>
      <c r="G7345" s="63">
        <v>2.29E-2</v>
      </c>
    </row>
    <row r="7346" spans="1:7" x14ac:dyDescent="0.2">
      <c r="A7346" t="s">
        <v>71</v>
      </c>
      <c r="B7346" t="s">
        <v>148</v>
      </c>
      <c r="C7346" t="s">
        <v>212</v>
      </c>
      <c r="D7346" t="s">
        <v>74</v>
      </c>
      <c r="E7346" t="s">
        <v>81</v>
      </c>
      <c r="F7346" s="55">
        <v>82</v>
      </c>
      <c r="G7346" s="63">
        <v>2.2200000000000001E-2</v>
      </c>
    </row>
    <row r="7347" spans="1:7" x14ac:dyDescent="0.2">
      <c r="A7347" t="s">
        <v>71</v>
      </c>
      <c r="B7347" t="s">
        <v>148</v>
      </c>
      <c r="C7347" t="s">
        <v>212</v>
      </c>
      <c r="D7347" t="s">
        <v>74</v>
      </c>
      <c r="E7347" t="s">
        <v>82</v>
      </c>
      <c r="F7347" s="55">
        <v>85</v>
      </c>
      <c r="G7347" s="63">
        <v>5.2499999999999998E-2</v>
      </c>
    </row>
    <row r="7348" spans="1:7" x14ac:dyDescent="0.2">
      <c r="A7348" t="s">
        <v>71</v>
      </c>
      <c r="B7348" t="s">
        <v>148</v>
      </c>
      <c r="C7348" t="s">
        <v>212</v>
      </c>
      <c r="D7348" t="s">
        <v>74</v>
      </c>
      <c r="E7348" t="s">
        <v>83</v>
      </c>
      <c r="F7348" s="55">
        <v>77</v>
      </c>
      <c r="G7348" s="63">
        <v>1.06E-2</v>
      </c>
    </row>
    <row r="7349" spans="1:7" x14ac:dyDescent="0.2">
      <c r="A7349" t="s">
        <v>71</v>
      </c>
      <c r="B7349" t="s">
        <v>148</v>
      </c>
      <c r="C7349" t="s">
        <v>212</v>
      </c>
      <c r="D7349" t="s">
        <v>74</v>
      </c>
      <c r="E7349" t="s">
        <v>84</v>
      </c>
      <c r="F7349" s="55">
        <v>87</v>
      </c>
      <c r="G7349" s="63">
        <v>2.4799999999999999E-2</v>
      </c>
    </row>
    <row r="7350" spans="1:7" x14ac:dyDescent="0.2">
      <c r="A7350" t="s">
        <v>71</v>
      </c>
      <c r="B7350" t="s">
        <v>148</v>
      </c>
      <c r="C7350" t="s">
        <v>212</v>
      </c>
      <c r="D7350" t="s">
        <v>74</v>
      </c>
      <c r="E7350" t="s">
        <v>85</v>
      </c>
      <c r="F7350" s="55">
        <v>83</v>
      </c>
      <c r="G7350" s="63">
        <v>2.12E-2</v>
      </c>
    </row>
    <row r="7351" spans="1:7" x14ac:dyDescent="0.2">
      <c r="A7351" t="s">
        <v>71</v>
      </c>
      <c r="B7351" t="s">
        <v>148</v>
      </c>
      <c r="C7351" t="s">
        <v>212</v>
      </c>
      <c r="D7351" t="s">
        <v>74</v>
      </c>
      <c r="E7351" t="s">
        <v>86</v>
      </c>
      <c r="F7351" s="55">
        <v>85</v>
      </c>
      <c r="G7351" s="63">
        <v>2.9100000000000001E-2</v>
      </c>
    </row>
    <row r="7352" spans="1:7" x14ac:dyDescent="0.2">
      <c r="A7352" t="s">
        <v>71</v>
      </c>
      <c r="B7352" t="s">
        <v>148</v>
      </c>
      <c r="C7352" t="s">
        <v>212</v>
      </c>
      <c r="D7352" t="s">
        <v>74</v>
      </c>
      <c r="E7352" t="s">
        <v>87</v>
      </c>
      <c r="F7352" s="55">
        <v>88</v>
      </c>
      <c r="G7352" s="63">
        <v>3.1800000000000002E-2</v>
      </c>
    </row>
    <row r="7353" spans="1:7" x14ac:dyDescent="0.2">
      <c r="A7353" t="s">
        <v>71</v>
      </c>
      <c r="B7353" t="s">
        <v>148</v>
      </c>
      <c r="C7353" t="s">
        <v>212</v>
      </c>
      <c r="D7353" t="s">
        <v>74</v>
      </c>
      <c r="E7353" t="s">
        <v>88</v>
      </c>
      <c r="F7353" s="55">
        <v>84</v>
      </c>
      <c r="G7353" s="63">
        <v>2.3699999999999999E-2</v>
      </c>
    </row>
    <row r="7354" spans="1:7" x14ac:dyDescent="0.2">
      <c r="A7354" t="s">
        <v>89</v>
      </c>
      <c r="B7354" t="s">
        <v>202</v>
      </c>
      <c r="C7354" t="s">
        <v>212</v>
      </c>
      <c r="D7354" t="s">
        <v>74</v>
      </c>
      <c r="E7354" t="s">
        <v>75</v>
      </c>
      <c r="F7354" s="55">
        <v>92</v>
      </c>
      <c r="G7354" s="63">
        <v>5.1999999999999998E-3</v>
      </c>
    </row>
    <row r="7355" spans="1:7" x14ac:dyDescent="0.2">
      <c r="A7355" t="s">
        <v>89</v>
      </c>
      <c r="B7355" t="s">
        <v>202</v>
      </c>
      <c r="C7355" t="s">
        <v>212</v>
      </c>
      <c r="D7355" t="s">
        <v>74</v>
      </c>
      <c r="E7355" t="s">
        <v>76</v>
      </c>
      <c r="F7355" s="55">
        <v>59</v>
      </c>
      <c r="G7355" s="63">
        <v>2.0000000000000001E-4</v>
      </c>
    </row>
    <row r="7356" spans="1:7" x14ac:dyDescent="0.2">
      <c r="A7356" t="s">
        <v>89</v>
      </c>
      <c r="B7356" t="s">
        <v>202</v>
      </c>
      <c r="C7356" t="s">
        <v>212</v>
      </c>
      <c r="D7356" t="s">
        <v>74</v>
      </c>
      <c r="E7356" t="s">
        <v>77</v>
      </c>
      <c r="F7356" s="55">
        <v>110</v>
      </c>
      <c r="G7356" s="63">
        <v>1.1999999999999999E-3</v>
      </c>
    </row>
    <row r="7357" spans="1:7" x14ac:dyDescent="0.2">
      <c r="A7357" t="s">
        <v>89</v>
      </c>
      <c r="B7357" t="s">
        <v>202</v>
      </c>
      <c r="C7357" t="s">
        <v>212</v>
      </c>
      <c r="D7357" t="s">
        <v>74</v>
      </c>
      <c r="E7357" t="s">
        <v>78</v>
      </c>
      <c r="F7357" s="55">
        <v>88</v>
      </c>
      <c r="G7357" s="63">
        <v>8.0000000000000004E-4</v>
      </c>
    </row>
    <row r="7358" spans="1:7" x14ac:dyDescent="0.2">
      <c r="A7358" t="s">
        <v>89</v>
      </c>
      <c r="B7358" t="s">
        <v>202</v>
      </c>
      <c r="C7358" t="s">
        <v>212</v>
      </c>
      <c r="D7358" t="s">
        <v>74</v>
      </c>
      <c r="E7358" t="s">
        <v>79</v>
      </c>
      <c r="F7358" s="55">
        <v>77</v>
      </c>
      <c r="G7358" s="63">
        <v>2.3E-3</v>
      </c>
    </row>
    <row r="7359" spans="1:7" x14ac:dyDescent="0.2">
      <c r="A7359" t="s">
        <v>89</v>
      </c>
      <c r="B7359" t="s">
        <v>202</v>
      </c>
      <c r="C7359" t="s">
        <v>212</v>
      </c>
      <c r="D7359" t="s">
        <v>74</v>
      </c>
      <c r="E7359" t="s">
        <v>80</v>
      </c>
      <c r="F7359" s="55">
        <v>59</v>
      </c>
      <c r="G7359" s="63">
        <v>5.9999999999999995E-4</v>
      </c>
    </row>
    <row r="7360" spans="1:7" x14ac:dyDescent="0.2">
      <c r="A7360" t="s">
        <v>89</v>
      </c>
      <c r="B7360" t="s">
        <v>202</v>
      </c>
      <c r="C7360" t="s">
        <v>212</v>
      </c>
      <c r="D7360" t="s">
        <v>74</v>
      </c>
      <c r="E7360" t="s">
        <v>81</v>
      </c>
      <c r="F7360" s="55">
        <v>93</v>
      </c>
      <c r="G7360" s="63">
        <v>6.9999999999999999E-4</v>
      </c>
    </row>
    <row r="7361" spans="1:7" x14ac:dyDescent="0.2">
      <c r="A7361" t="s">
        <v>89</v>
      </c>
      <c r="B7361" t="s">
        <v>202</v>
      </c>
      <c r="C7361" t="s">
        <v>212</v>
      </c>
      <c r="D7361" t="s">
        <v>74</v>
      </c>
      <c r="E7361" t="s">
        <v>82</v>
      </c>
      <c r="F7361" s="55">
        <v>100</v>
      </c>
      <c r="G7361" s="63">
        <v>1.6999999999999999E-3</v>
      </c>
    </row>
    <row r="7362" spans="1:7" x14ac:dyDescent="0.2">
      <c r="A7362" t="s">
        <v>89</v>
      </c>
      <c r="B7362" t="s">
        <v>202</v>
      </c>
      <c r="C7362" t="s">
        <v>212</v>
      </c>
      <c r="D7362" t="s">
        <v>74</v>
      </c>
      <c r="E7362" t="s">
        <v>84</v>
      </c>
      <c r="F7362" s="55">
        <v>110</v>
      </c>
      <c r="G7362" s="63">
        <v>5.9999999999999995E-4</v>
      </c>
    </row>
    <row r="7363" spans="1:7" x14ac:dyDescent="0.2">
      <c r="A7363" t="s">
        <v>89</v>
      </c>
      <c r="B7363" t="s">
        <v>202</v>
      </c>
      <c r="C7363" t="s">
        <v>212</v>
      </c>
      <c r="D7363" t="s">
        <v>74</v>
      </c>
      <c r="E7363" t="s">
        <v>85</v>
      </c>
      <c r="F7363" s="55">
        <v>81</v>
      </c>
      <c r="G7363" s="63">
        <v>4.0000000000000002E-4</v>
      </c>
    </row>
    <row r="7364" spans="1:7" x14ac:dyDescent="0.2">
      <c r="A7364" t="s">
        <v>89</v>
      </c>
      <c r="B7364" t="s">
        <v>202</v>
      </c>
      <c r="C7364" t="s">
        <v>212</v>
      </c>
      <c r="D7364" t="s">
        <v>74</v>
      </c>
      <c r="E7364" t="s">
        <v>86</v>
      </c>
      <c r="F7364" s="55">
        <v>59</v>
      </c>
      <c r="G7364" s="63">
        <v>5.0000000000000001E-4</v>
      </c>
    </row>
    <row r="7365" spans="1:7" x14ac:dyDescent="0.2">
      <c r="A7365" t="s">
        <v>89</v>
      </c>
      <c r="B7365" t="s">
        <v>202</v>
      </c>
      <c r="C7365" t="s">
        <v>212</v>
      </c>
      <c r="D7365" t="s">
        <v>74</v>
      </c>
      <c r="E7365" t="s">
        <v>87</v>
      </c>
      <c r="F7365" s="55">
        <v>74</v>
      </c>
      <c r="G7365" s="63">
        <v>6.9999999999999999E-4</v>
      </c>
    </row>
    <row r="7366" spans="1:7" x14ac:dyDescent="0.2">
      <c r="A7366" t="s">
        <v>89</v>
      </c>
      <c r="B7366" t="s">
        <v>202</v>
      </c>
      <c r="C7366" t="s">
        <v>212</v>
      </c>
      <c r="D7366" t="s">
        <v>74</v>
      </c>
      <c r="E7366" t="s">
        <v>88</v>
      </c>
      <c r="F7366" s="55">
        <v>109</v>
      </c>
      <c r="G7366" s="63">
        <v>5.0000000000000001E-4</v>
      </c>
    </row>
    <row r="7367" spans="1:7" x14ac:dyDescent="0.2">
      <c r="A7367" t="s">
        <v>71</v>
      </c>
      <c r="B7367" t="s">
        <v>149</v>
      </c>
      <c r="C7367" t="s">
        <v>212</v>
      </c>
      <c r="D7367" t="s">
        <v>74</v>
      </c>
      <c r="E7367" t="s">
        <v>75</v>
      </c>
      <c r="F7367" s="55">
        <v>103</v>
      </c>
      <c r="G7367" s="63">
        <v>0.29759999999999998</v>
      </c>
    </row>
    <row r="7368" spans="1:7" x14ac:dyDescent="0.2">
      <c r="A7368" t="s">
        <v>71</v>
      </c>
      <c r="B7368" t="s">
        <v>149</v>
      </c>
      <c r="C7368" t="s">
        <v>212</v>
      </c>
      <c r="D7368" t="s">
        <v>74</v>
      </c>
      <c r="E7368" t="s">
        <v>76</v>
      </c>
      <c r="F7368" s="55">
        <v>99</v>
      </c>
      <c r="G7368" s="63">
        <v>3.5099999999999999E-2</v>
      </c>
    </row>
    <row r="7369" spans="1:7" x14ac:dyDescent="0.2">
      <c r="A7369" t="s">
        <v>71</v>
      </c>
      <c r="B7369" t="s">
        <v>149</v>
      </c>
      <c r="C7369" t="s">
        <v>212</v>
      </c>
      <c r="D7369" t="s">
        <v>74</v>
      </c>
      <c r="E7369" t="s">
        <v>77</v>
      </c>
      <c r="F7369" s="55">
        <v>118</v>
      </c>
      <c r="G7369" s="63">
        <v>0.1056</v>
      </c>
    </row>
    <row r="7370" spans="1:7" x14ac:dyDescent="0.2">
      <c r="A7370" t="s">
        <v>71</v>
      </c>
      <c r="B7370" t="s">
        <v>149</v>
      </c>
      <c r="C7370" t="s">
        <v>212</v>
      </c>
      <c r="D7370" t="s">
        <v>74</v>
      </c>
      <c r="E7370" t="s">
        <v>78</v>
      </c>
      <c r="F7370" s="55">
        <v>122</v>
      </c>
      <c r="G7370" s="63">
        <v>9.1499999999999998E-2</v>
      </c>
    </row>
    <row r="7371" spans="1:7" x14ac:dyDescent="0.2">
      <c r="A7371" t="s">
        <v>71</v>
      </c>
      <c r="B7371" t="s">
        <v>149</v>
      </c>
      <c r="C7371" t="s">
        <v>212</v>
      </c>
      <c r="D7371" t="s">
        <v>74</v>
      </c>
      <c r="E7371" t="s">
        <v>79</v>
      </c>
      <c r="F7371" s="55">
        <v>101</v>
      </c>
      <c r="G7371" s="63">
        <v>0.2082</v>
      </c>
    </row>
    <row r="7372" spans="1:7" x14ac:dyDescent="0.2">
      <c r="A7372" t="s">
        <v>71</v>
      </c>
      <c r="B7372" t="s">
        <v>149</v>
      </c>
      <c r="C7372" t="s">
        <v>212</v>
      </c>
      <c r="D7372" t="s">
        <v>74</v>
      </c>
      <c r="E7372" t="s">
        <v>80</v>
      </c>
      <c r="F7372" s="55">
        <v>98</v>
      </c>
      <c r="G7372" s="63">
        <v>7.0300000000000001E-2</v>
      </c>
    </row>
    <row r="7373" spans="1:7" x14ac:dyDescent="0.2">
      <c r="A7373" t="s">
        <v>71</v>
      </c>
      <c r="B7373" t="s">
        <v>149</v>
      </c>
      <c r="C7373" t="s">
        <v>212</v>
      </c>
      <c r="D7373" t="s">
        <v>74</v>
      </c>
      <c r="E7373" t="s">
        <v>81</v>
      </c>
      <c r="F7373" s="55">
        <v>97</v>
      </c>
      <c r="G7373" s="63">
        <v>6.5600000000000006E-2</v>
      </c>
    </row>
    <row r="7374" spans="1:7" x14ac:dyDescent="0.2">
      <c r="A7374" t="s">
        <v>71</v>
      </c>
      <c r="B7374" t="s">
        <v>149</v>
      </c>
      <c r="C7374" t="s">
        <v>212</v>
      </c>
      <c r="D7374" t="s">
        <v>74</v>
      </c>
      <c r="E7374" t="s">
        <v>82</v>
      </c>
      <c r="F7374" s="55">
        <v>86</v>
      </c>
      <c r="G7374" s="63">
        <v>0.1555</v>
      </c>
    </row>
    <row r="7375" spans="1:7" x14ac:dyDescent="0.2">
      <c r="A7375" t="s">
        <v>71</v>
      </c>
      <c r="B7375" t="s">
        <v>149</v>
      </c>
      <c r="C7375" t="s">
        <v>212</v>
      </c>
      <c r="D7375" t="s">
        <v>74</v>
      </c>
      <c r="E7375" t="s">
        <v>83</v>
      </c>
      <c r="F7375" s="55">
        <v>99</v>
      </c>
      <c r="G7375" s="63">
        <v>2.5499999999999998E-2</v>
      </c>
    </row>
    <row r="7376" spans="1:7" x14ac:dyDescent="0.2">
      <c r="A7376" t="s">
        <v>71</v>
      </c>
      <c r="B7376" t="s">
        <v>149</v>
      </c>
      <c r="C7376" t="s">
        <v>212</v>
      </c>
      <c r="D7376" t="s">
        <v>74</v>
      </c>
      <c r="E7376" t="s">
        <v>84</v>
      </c>
      <c r="F7376" s="55">
        <v>124</v>
      </c>
      <c r="G7376" s="63">
        <v>7.2099999999999997E-2</v>
      </c>
    </row>
    <row r="7377" spans="1:7" x14ac:dyDescent="0.2">
      <c r="A7377" t="s">
        <v>71</v>
      </c>
      <c r="B7377" t="s">
        <v>149</v>
      </c>
      <c r="C7377" t="s">
        <v>212</v>
      </c>
      <c r="D7377" t="s">
        <v>74</v>
      </c>
      <c r="E7377" t="s">
        <v>85</v>
      </c>
      <c r="F7377" s="55">
        <v>100</v>
      </c>
      <c r="G7377" s="63">
        <v>7.6300000000000007E-2</v>
      </c>
    </row>
    <row r="7378" spans="1:7" x14ac:dyDescent="0.2">
      <c r="A7378" t="s">
        <v>71</v>
      </c>
      <c r="B7378" t="s">
        <v>149</v>
      </c>
      <c r="C7378" t="s">
        <v>212</v>
      </c>
      <c r="D7378" t="s">
        <v>74</v>
      </c>
      <c r="E7378" t="s">
        <v>86</v>
      </c>
      <c r="F7378" s="55">
        <v>102</v>
      </c>
      <c r="G7378" s="63">
        <v>0.1033</v>
      </c>
    </row>
    <row r="7379" spans="1:7" x14ac:dyDescent="0.2">
      <c r="A7379" t="s">
        <v>71</v>
      </c>
      <c r="B7379" t="s">
        <v>149</v>
      </c>
      <c r="C7379" t="s">
        <v>212</v>
      </c>
      <c r="D7379" t="s">
        <v>74</v>
      </c>
      <c r="E7379" t="s">
        <v>87</v>
      </c>
      <c r="F7379" s="55">
        <v>101</v>
      </c>
      <c r="G7379" s="63">
        <v>0.1133</v>
      </c>
    </row>
    <row r="7380" spans="1:7" x14ac:dyDescent="0.2">
      <c r="A7380" t="s">
        <v>71</v>
      </c>
      <c r="B7380" t="s">
        <v>149</v>
      </c>
      <c r="C7380" t="s">
        <v>212</v>
      </c>
      <c r="D7380" t="s">
        <v>74</v>
      </c>
      <c r="E7380" t="s">
        <v>88</v>
      </c>
      <c r="F7380" s="55">
        <v>94</v>
      </c>
      <c r="G7380" s="63">
        <v>5.5300000000000002E-2</v>
      </c>
    </row>
    <row r="7381" spans="1:7" x14ac:dyDescent="0.2">
      <c r="A7381" t="s">
        <v>71</v>
      </c>
      <c r="B7381" t="s">
        <v>150</v>
      </c>
      <c r="C7381" t="s">
        <v>212</v>
      </c>
      <c r="D7381" t="s">
        <v>74</v>
      </c>
      <c r="E7381" t="s">
        <v>75</v>
      </c>
      <c r="F7381" s="55">
        <v>85</v>
      </c>
      <c r="G7381" s="63">
        <v>7.0099999999999996E-2</v>
      </c>
    </row>
    <row r="7382" spans="1:7" x14ac:dyDescent="0.2">
      <c r="A7382" t="s">
        <v>71</v>
      </c>
      <c r="B7382" t="s">
        <v>150</v>
      </c>
      <c r="C7382" t="s">
        <v>212</v>
      </c>
      <c r="D7382" t="s">
        <v>74</v>
      </c>
      <c r="E7382" t="s">
        <v>76</v>
      </c>
      <c r="F7382" s="55">
        <v>85</v>
      </c>
      <c r="G7382" s="63">
        <v>5.7999999999999996E-3</v>
      </c>
    </row>
    <row r="7383" spans="1:7" x14ac:dyDescent="0.2">
      <c r="A7383" t="s">
        <v>71</v>
      </c>
      <c r="B7383" t="s">
        <v>150</v>
      </c>
      <c r="C7383" t="s">
        <v>212</v>
      </c>
      <c r="D7383" t="s">
        <v>74</v>
      </c>
      <c r="E7383" t="s">
        <v>77</v>
      </c>
      <c r="F7383" s="55">
        <v>73</v>
      </c>
      <c r="G7383" s="63">
        <v>1.6E-2</v>
      </c>
    </row>
    <row r="7384" spans="1:7" x14ac:dyDescent="0.2">
      <c r="A7384" t="s">
        <v>71</v>
      </c>
      <c r="B7384" t="s">
        <v>150</v>
      </c>
      <c r="C7384" t="s">
        <v>212</v>
      </c>
      <c r="D7384" t="s">
        <v>74</v>
      </c>
      <c r="E7384" t="s">
        <v>78</v>
      </c>
      <c r="F7384" s="55">
        <v>79</v>
      </c>
      <c r="G7384" s="63">
        <v>1.41E-2</v>
      </c>
    </row>
    <row r="7385" spans="1:7" x14ac:dyDescent="0.2">
      <c r="A7385" t="s">
        <v>71</v>
      </c>
      <c r="B7385" t="s">
        <v>150</v>
      </c>
      <c r="C7385" t="s">
        <v>212</v>
      </c>
      <c r="D7385" t="s">
        <v>74</v>
      </c>
      <c r="E7385" t="s">
        <v>79</v>
      </c>
      <c r="F7385" s="55">
        <v>82</v>
      </c>
      <c r="G7385" s="63">
        <v>4.0899999999999999E-2</v>
      </c>
    </row>
    <row r="7386" spans="1:7" x14ac:dyDescent="0.2">
      <c r="A7386" t="s">
        <v>71</v>
      </c>
      <c r="B7386" t="s">
        <v>150</v>
      </c>
      <c r="C7386" t="s">
        <v>212</v>
      </c>
      <c r="D7386" t="s">
        <v>74</v>
      </c>
      <c r="E7386" t="s">
        <v>80</v>
      </c>
      <c r="F7386" s="55">
        <v>86</v>
      </c>
      <c r="G7386" s="63">
        <v>9.7000000000000003E-3</v>
      </c>
    </row>
    <row r="7387" spans="1:7" x14ac:dyDescent="0.2">
      <c r="A7387" t="s">
        <v>71</v>
      </c>
      <c r="B7387" t="s">
        <v>150</v>
      </c>
      <c r="C7387" t="s">
        <v>212</v>
      </c>
      <c r="D7387" t="s">
        <v>74</v>
      </c>
      <c r="E7387" t="s">
        <v>81</v>
      </c>
      <c r="F7387" s="55">
        <v>96</v>
      </c>
      <c r="G7387" s="63">
        <v>1.0999999999999999E-2</v>
      </c>
    </row>
    <row r="7388" spans="1:7" x14ac:dyDescent="0.2">
      <c r="A7388" t="s">
        <v>71</v>
      </c>
      <c r="B7388" t="s">
        <v>150</v>
      </c>
      <c r="C7388" t="s">
        <v>212</v>
      </c>
      <c r="D7388" t="s">
        <v>74</v>
      </c>
      <c r="E7388" t="s">
        <v>82</v>
      </c>
      <c r="F7388" s="55">
        <v>93</v>
      </c>
      <c r="G7388" s="63">
        <v>2.5999999999999999E-2</v>
      </c>
    </row>
    <row r="7389" spans="1:7" x14ac:dyDescent="0.2">
      <c r="A7389" t="s">
        <v>71</v>
      </c>
      <c r="B7389" t="s">
        <v>150</v>
      </c>
      <c r="C7389" t="s">
        <v>212</v>
      </c>
      <c r="D7389" t="s">
        <v>74</v>
      </c>
      <c r="E7389" t="s">
        <v>83</v>
      </c>
      <c r="F7389" s="55">
        <v>99</v>
      </c>
      <c r="G7389" s="63">
        <v>4.7000000000000002E-3</v>
      </c>
    </row>
    <row r="7390" spans="1:7" x14ac:dyDescent="0.2">
      <c r="A7390" t="s">
        <v>71</v>
      </c>
      <c r="B7390" t="s">
        <v>150</v>
      </c>
      <c r="C7390" t="s">
        <v>212</v>
      </c>
      <c r="D7390" t="s">
        <v>74</v>
      </c>
      <c r="E7390" t="s">
        <v>84</v>
      </c>
      <c r="F7390" s="55">
        <v>78</v>
      </c>
      <c r="G7390" s="63">
        <v>9.7999999999999997E-3</v>
      </c>
    </row>
    <row r="7391" spans="1:7" x14ac:dyDescent="0.2">
      <c r="A7391" t="s">
        <v>71</v>
      </c>
      <c r="B7391" t="s">
        <v>150</v>
      </c>
      <c r="C7391" t="s">
        <v>212</v>
      </c>
      <c r="D7391" t="s">
        <v>74</v>
      </c>
      <c r="E7391" t="s">
        <v>85</v>
      </c>
      <c r="F7391" s="55">
        <v>85</v>
      </c>
      <c r="G7391" s="63">
        <v>1.11E-2</v>
      </c>
    </row>
    <row r="7392" spans="1:7" x14ac:dyDescent="0.2">
      <c r="A7392" t="s">
        <v>71</v>
      </c>
      <c r="B7392" t="s">
        <v>150</v>
      </c>
      <c r="C7392" t="s">
        <v>212</v>
      </c>
      <c r="D7392" t="s">
        <v>74</v>
      </c>
      <c r="E7392" t="s">
        <v>86</v>
      </c>
      <c r="F7392" s="55">
        <v>83</v>
      </c>
      <c r="G7392" s="63">
        <v>1.3599999999999999E-2</v>
      </c>
    </row>
    <row r="7393" spans="1:7" x14ac:dyDescent="0.2">
      <c r="A7393" t="s">
        <v>71</v>
      </c>
      <c r="B7393" t="s">
        <v>150</v>
      </c>
      <c r="C7393" t="s">
        <v>212</v>
      </c>
      <c r="D7393" t="s">
        <v>74</v>
      </c>
      <c r="E7393" t="s">
        <v>87</v>
      </c>
      <c r="F7393" s="55">
        <v>81</v>
      </c>
      <c r="G7393" s="63">
        <v>1.5800000000000002E-2</v>
      </c>
    </row>
    <row r="7394" spans="1:7" x14ac:dyDescent="0.2">
      <c r="A7394" t="s">
        <v>71</v>
      </c>
      <c r="B7394" t="s">
        <v>150</v>
      </c>
      <c r="C7394" t="s">
        <v>212</v>
      </c>
      <c r="D7394" t="s">
        <v>74</v>
      </c>
      <c r="E7394" t="s">
        <v>88</v>
      </c>
      <c r="F7394" s="55">
        <v>89</v>
      </c>
      <c r="G7394" s="63">
        <v>1.03E-2</v>
      </c>
    </row>
    <row r="7395" spans="1:7" x14ac:dyDescent="0.2">
      <c r="A7395" t="s">
        <v>71</v>
      </c>
      <c r="B7395" t="s">
        <v>213</v>
      </c>
      <c r="C7395" t="s">
        <v>212</v>
      </c>
      <c r="D7395" t="s">
        <v>74</v>
      </c>
      <c r="E7395" t="s">
        <v>75</v>
      </c>
      <c r="F7395" s="55">
        <v>83</v>
      </c>
      <c r="G7395" s="63">
        <v>0.26100000000000001</v>
      </c>
    </row>
    <row r="7396" spans="1:7" x14ac:dyDescent="0.2">
      <c r="A7396" t="s">
        <v>71</v>
      </c>
      <c r="B7396" t="s">
        <v>213</v>
      </c>
      <c r="C7396" t="s">
        <v>212</v>
      </c>
      <c r="D7396" t="s">
        <v>74</v>
      </c>
      <c r="E7396" t="s">
        <v>76</v>
      </c>
      <c r="F7396" s="55">
        <v>69</v>
      </c>
      <c r="G7396" s="63">
        <v>1.9599999999999999E-2</v>
      </c>
    </row>
    <row r="7397" spans="1:7" x14ac:dyDescent="0.2">
      <c r="A7397" t="s">
        <v>71</v>
      </c>
      <c r="B7397" t="s">
        <v>213</v>
      </c>
      <c r="C7397" t="s">
        <v>212</v>
      </c>
      <c r="D7397" t="s">
        <v>74</v>
      </c>
      <c r="E7397" t="s">
        <v>77</v>
      </c>
      <c r="F7397" s="55">
        <v>77</v>
      </c>
      <c r="G7397" s="63">
        <v>6.7500000000000004E-2</v>
      </c>
    </row>
    <row r="7398" spans="1:7" x14ac:dyDescent="0.2">
      <c r="A7398" t="s">
        <v>71</v>
      </c>
      <c r="B7398" t="s">
        <v>213</v>
      </c>
      <c r="C7398" t="s">
        <v>212</v>
      </c>
      <c r="D7398" t="s">
        <v>74</v>
      </c>
      <c r="E7398" t="s">
        <v>78</v>
      </c>
      <c r="F7398" s="55">
        <v>81</v>
      </c>
      <c r="G7398" s="63">
        <v>7.2900000000000006E-2</v>
      </c>
    </row>
    <row r="7399" spans="1:7" x14ac:dyDescent="0.2">
      <c r="A7399" t="s">
        <v>71</v>
      </c>
      <c r="B7399" t="s">
        <v>213</v>
      </c>
      <c r="C7399" t="s">
        <v>212</v>
      </c>
      <c r="D7399" t="s">
        <v>74</v>
      </c>
      <c r="E7399" t="s">
        <v>79</v>
      </c>
      <c r="F7399" s="55">
        <v>87</v>
      </c>
      <c r="G7399" s="63">
        <v>0.20369999999999999</v>
      </c>
    </row>
    <row r="7400" spans="1:7" x14ac:dyDescent="0.2">
      <c r="A7400" t="s">
        <v>71</v>
      </c>
      <c r="B7400" t="s">
        <v>213</v>
      </c>
      <c r="C7400" t="s">
        <v>212</v>
      </c>
      <c r="D7400" t="s">
        <v>74</v>
      </c>
      <c r="E7400" t="s">
        <v>80</v>
      </c>
      <c r="F7400" s="55">
        <v>77</v>
      </c>
      <c r="G7400" s="63">
        <v>4.1500000000000002E-2</v>
      </c>
    </row>
    <row r="7401" spans="1:7" x14ac:dyDescent="0.2">
      <c r="A7401" t="s">
        <v>71</v>
      </c>
      <c r="B7401" t="s">
        <v>213</v>
      </c>
      <c r="C7401" t="s">
        <v>212</v>
      </c>
      <c r="D7401" t="s">
        <v>74</v>
      </c>
      <c r="E7401" t="s">
        <v>81</v>
      </c>
      <c r="F7401" s="55">
        <v>73</v>
      </c>
      <c r="G7401" s="63">
        <v>3.5400000000000001E-2</v>
      </c>
    </row>
    <row r="7402" spans="1:7" x14ac:dyDescent="0.2">
      <c r="A7402" t="s">
        <v>71</v>
      </c>
      <c r="B7402" t="s">
        <v>213</v>
      </c>
      <c r="C7402" t="s">
        <v>212</v>
      </c>
      <c r="D7402" t="s">
        <v>74</v>
      </c>
      <c r="E7402" t="s">
        <v>82</v>
      </c>
      <c r="F7402" s="55">
        <v>76</v>
      </c>
      <c r="G7402" s="63">
        <v>9.8199999999999996E-2</v>
      </c>
    </row>
    <row r="7403" spans="1:7" x14ac:dyDescent="0.2">
      <c r="A7403" t="s">
        <v>71</v>
      </c>
      <c r="B7403" t="s">
        <v>213</v>
      </c>
      <c r="C7403" t="s">
        <v>212</v>
      </c>
      <c r="D7403" t="s">
        <v>74</v>
      </c>
      <c r="E7403" t="s">
        <v>83</v>
      </c>
      <c r="F7403" s="55">
        <v>70</v>
      </c>
      <c r="G7403" s="63">
        <v>1.1599999999999999E-2</v>
      </c>
    </row>
    <row r="7404" spans="1:7" x14ac:dyDescent="0.2">
      <c r="A7404" t="s">
        <v>71</v>
      </c>
      <c r="B7404" t="s">
        <v>213</v>
      </c>
      <c r="C7404" t="s">
        <v>212</v>
      </c>
      <c r="D7404" t="s">
        <v>74</v>
      </c>
      <c r="E7404" t="s">
        <v>84</v>
      </c>
      <c r="F7404" s="55">
        <v>80</v>
      </c>
      <c r="G7404" s="63">
        <v>4.2299999999999997E-2</v>
      </c>
    </row>
    <row r="7405" spans="1:7" x14ac:dyDescent="0.2">
      <c r="A7405" t="s">
        <v>71</v>
      </c>
      <c r="B7405" t="s">
        <v>213</v>
      </c>
      <c r="C7405" t="s">
        <v>212</v>
      </c>
      <c r="D7405" t="s">
        <v>74</v>
      </c>
      <c r="E7405" t="s">
        <v>85</v>
      </c>
      <c r="F7405" s="55">
        <v>80</v>
      </c>
      <c r="G7405" s="63">
        <v>5.6000000000000001E-2</v>
      </c>
    </row>
    <row r="7406" spans="1:7" x14ac:dyDescent="0.2">
      <c r="A7406" t="s">
        <v>71</v>
      </c>
      <c r="B7406" t="s">
        <v>213</v>
      </c>
      <c r="C7406" t="s">
        <v>212</v>
      </c>
      <c r="D7406" t="s">
        <v>74</v>
      </c>
      <c r="E7406" t="s">
        <v>86</v>
      </c>
      <c r="F7406" s="55">
        <v>83</v>
      </c>
      <c r="G7406" s="63">
        <v>0.10630000000000001</v>
      </c>
    </row>
    <row r="7407" spans="1:7" x14ac:dyDescent="0.2">
      <c r="A7407" t="s">
        <v>71</v>
      </c>
      <c r="B7407" t="s">
        <v>213</v>
      </c>
      <c r="C7407" t="s">
        <v>212</v>
      </c>
      <c r="D7407" t="s">
        <v>74</v>
      </c>
      <c r="E7407" t="s">
        <v>87</v>
      </c>
      <c r="F7407" s="55">
        <v>86</v>
      </c>
      <c r="G7407" s="63">
        <v>0.13400000000000001</v>
      </c>
    </row>
    <row r="7408" spans="1:7" x14ac:dyDescent="0.2">
      <c r="A7408" t="s">
        <v>71</v>
      </c>
      <c r="B7408" t="s">
        <v>213</v>
      </c>
      <c r="C7408" t="s">
        <v>212</v>
      </c>
      <c r="D7408" t="s">
        <v>74</v>
      </c>
      <c r="E7408" t="s">
        <v>88</v>
      </c>
      <c r="F7408" s="55">
        <v>69</v>
      </c>
      <c r="G7408" s="63">
        <v>2.9100000000000001E-2</v>
      </c>
    </row>
    <row r="7409" spans="1:7" x14ac:dyDescent="0.2">
      <c r="A7409" t="s">
        <v>71</v>
      </c>
      <c r="B7409" t="s">
        <v>151</v>
      </c>
      <c r="C7409" t="s">
        <v>212</v>
      </c>
      <c r="D7409" t="s">
        <v>74</v>
      </c>
      <c r="E7409" t="s">
        <v>75</v>
      </c>
      <c r="F7409" s="55">
        <v>116</v>
      </c>
      <c r="G7409" s="63">
        <v>0.1552</v>
      </c>
    </row>
    <row r="7410" spans="1:7" x14ac:dyDescent="0.2">
      <c r="A7410" t="s">
        <v>71</v>
      </c>
      <c r="B7410" t="s">
        <v>151</v>
      </c>
      <c r="C7410" t="s">
        <v>212</v>
      </c>
      <c r="D7410" t="s">
        <v>74</v>
      </c>
      <c r="E7410" t="s">
        <v>76</v>
      </c>
      <c r="F7410" s="55">
        <v>118</v>
      </c>
      <c r="G7410" s="63">
        <v>2.23E-2</v>
      </c>
    </row>
    <row r="7411" spans="1:7" x14ac:dyDescent="0.2">
      <c r="A7411" t="s">
        <v>71</v>
      </c>
      <c r="B7411" t="s">
        <v>151</v>
      </c>
      <c r="C7411" t="s">
        <v>212</v>
      </c>
      <c r="D7411" t="s">
        <v>74</v>
      </c>
      <c r="E7411" t="s">
        <v>77</v>
      </c>
      <c r="F7411" s="55">
        <v>118</v>
      </c>
      <c r="G7411" s="63">
        <v>5.9900000000000002E-2</v>
      </c>
    </row>
    <row r="7412" spans="1:7" x14ac:dyDescent="0.2">
      <c r="A7412" t="s">
        <v>71</v>
      </c>
      <c r="B7412" t="s">
        <v>151</v>
      </c>
      <c r="C7412" t="s">
        <v>212</v>
      </c>
      <c r="D7412" t="s">
        <v>74</v>
      </c>
      <c r="E7412" t="s">
        <v>78</v>
      </c>
      <c r="F7412" s="55">
        <v>115</v>
      </c>
      <c r="G7412" s="63">
        <v>5.0799999999999998E-2</v>
      </c>
    </row>
    <row r="7413" spans="1:7" x14ac:dyDescent="0.2">
      <c r="A7413" t="s">
        <v>71</v>
      </c>
      <c r="B7413" t="s">
        <v>151</v>
      </c>
      <c r="C7413" t="s">
        <v>212</v>
      </c>
      <c r="D7413" t="s">
        <v>74</v>
      </c>
      <c r="E7413" t="s">
        <v>79</v>
      </c>
      <c r="F7413" s="55">
        <v>119</v>
      </c>
      <c r="G7413" s="63">
        <v>9.9099999999999994E-2</v>
      </c>
    </row>
    <row r="7414" spans="1:7" x14ac:dyDescent="0.2">
      <c r="A7414" t="s">
        <v>71</v>
      </c>
      <c r="B7414" t="s">
        <v>151</v>
      </c>
      <c r="C7414" t="s">
        <v>212</v>
      </c>
      <c r="D7414" t="s">
        <v>74</v>
      </c>
      <c r="E7414" t="s">
        <v>80</v>
      </c>
      <c r="F7414" s="55">
        <v>114</v>
      </c>
      <c r="G7414" s="63">
        <v>2.9899999999999999E-2</v>
      </c>
    </row>
    <row r="7415" spans="1:7" x14ac:dyDescent="0.2">
      <c r="A7415" t="s">
        <v>71</v>
      </c>
      <c r="B7415" t="s">
        <v>151</v>
      </c>
      <c r="C7415" t="s">
        <v>212</v>
      </c>
      <c r="D7415" t="s">
        <v>74</v>
      </c>
      <c r="E7415" t="s">
        <v>81</v>
      </c>
      <c r="F7415" s="55">
        <v>112</v>
      </c>
      <c r="G7415" s="63">
        <v>3.1600000000000003E-2</v>
      </c>
    </row>
    <row r="7416" spans="1:7" x14ac:dyDescent="0.2">
      <c r="A7416" t="s">
        <v>71</v>
      </c>
      <c r="B7416" t="s">
        <v>151</v>
      </c>
      <c r="C7416" t="s">
        <v>212</v>
      </c>
      <c r="D7416" t="s">
        <v>74</v>
      </c>
      <c r="E7416" t="s">
        <v>82</v>
      </c>
      <c r="F7416" s="55">
        <v>114</v>
      </c>
      <c r="G7416" s="63">
        <v>0.08</v>
      </c>
    </row>
    <row r="7417" spans="1:7" x14ac:dyDescent="0.2">
      <c r="A7417" t="s">
        <v>71</v>
      </c>
      <c r="B7417" t="s">
        <v>151</v>
      </c>
      <c r="C7417" t="s">
        <v>212</v>
      </c>
      <c r="D7417" t="s">
        <v>74</v>
      </c>
      <c r="E7417" t="s">
        <v>83</v>
      </c>
      <c r="F7417" s="55">
        <v>116</v>
      </c>
      <c r="G7417" s="63">
        <v>1.5100000000000001E-2</v>
      </c>
    </row>
    <row r="7418" spans="1:7" x14ac:dyDescent="0.2">
      <c r="A7418" t="s">
        <v>71</v>
      </c>
      <c r="B7418" t="s">
        <v>151</v>
      </c>
      <c r="C7418" t="s">
        <v>212</v>
      </c>
      <c r="D7418" t="s">
        <v>74</v>
      </c>
      <c r="E7418" t="s">
        <v>84</v>
      </c>
      <c r="F7418" s="55">
        <v>115</v>
      </c>
      <c r="G7418" s="63">
        <v>3.9899999999999998E-2</v>
      </c>
    </row>
    <row r="7419" spans="1:7" x14ac:dyDescent="0.2">
      <c r="A7419" t="s">
        <v>71</v>
      </c>
      <c r="B7419" t="s">
        <v>151</v>
      </c>
      <c r="C7419" t="s">
        <v>212</v>
      </c>
      <c r="D7419" t="s">
        <v>74</v>
      </c>
      <c r="E7419" t="s">
        <v>85</v>
      </c>
      <c r="F7419" s="55">
        <v>117</v>
      </c>
      <c r="G7419" s="63">
        <v>3.3500000000000002E-2</v>
      </c>
    </row>
    <row r="7420" spans="1:7" x14ac:dyDescent="0.2">
      <c r="A7420" t="s">
        <v>71</v>
      </c>
      <c r="B7420" t="s">
        <v>151</v>
      </c>
      <c r="C7420" t="s">
        <v>212</v>
      </c>
      <c r="D7420" t="s">
        <v>74</v>
      </c>
      <c r="E7420" t="s">
        <v>86</v>
      </c>
      <c r="F7420" s="55">
        <v>120</v>
      </c>
      <c r="G7420" s="63">
        <v>4.4600000000000001E-2</v>
      </c>
    </row>
    <row r="7421" spans="1:7" x14ac:dyDescent="0.2">
      <c r="A7421" t="s">
        <v>71</v>
      </c>
      <c r="B7421" t="s">
        <v>151</v>
      </c>
      <c r="C7421" t="s">
        <v>212</v>
      </c>
      <c r="D7421" t="s">
        <v>74</v>
      </c>
      <c r="E7421" t="s">
        <v>87</v>
      </c>
      <c r="F7421" s="55">
        <v>123</v>
      </c>
      <c r="G7421" s="63">
        <v>5.2299999999999999E-2</v>
      </c>
    </row>
    <row r="7422" spans="1:7" x14ac:dyDescent="0.2">
      <c r="A7422" t="s">
        <v>71</v>
      </c>
      <c r="B7422" t="s">
        <v>151</v>
      </c>
      <c r="C7422" t="s">
        <v>212</v>
      </c>
      <c r="D7422" t="s">
        <v>74</v>
      </c>
      <c r="E7422" t="s">
        <v>88</v>
      </c>
      <c r="F7422" s="55">
        <v>120</v>
      </c>
      <c r="G7422" s="63">
        <v>3.6799999999999999E-2</v>
      </c>
    </row>
    <row r="7423" spans="1:7" x14ac:dyDescent="0.2">
      <c r="A7423" t="s">
        <v>71</v>
      </c>
      <c r="B7423" t="s">
        <v>152</v>
      </c>
      <c r="C7423" t="s">
        <v>212</v>
      </c>
      <c r="D7423" t="s">
        <v>74</v>
      </c>
      <c r="E7423" t="s">
        <v>75</v>
      </c>
      <c r="F7423" s="55">
        <v>101</v>
      </c>
      <c r="G7423" s="63">
        <v>0.4047</v>
      </c>
    </row>
    <row r="7424" spans="1:7" x14ac:dyDescent="0.2">
      <c r="A7424" t="s">
        <v>71</v>
      </c>
      <c r="B7424" t="s">
        <v>152</v>
      </c>
      <c r="C7424" t="s">
        <v>212</v>
      </c>
      <c r="D7424" t="s">
        <v>74</v>
      </c>
      <c r="E7424" t="s">
        <v>76</v>
      </c>
      <c r="F7424" s="55">
        <v>105</v>
      </c>
      <c r="G7424" s="63">
        <v>0.13869999999999999</v>
      </c>
    </row>
    <row r="7425" spans="1:7" x14ac:dyDescent="0.2">
      <c r="A7425" t="s">
        <v>71</v>
      </c>
      <c r="B7425" t="s">
        <v>152</v>
      </c>
      <c r="C7425" t="s">
        <v>212</v>
      </c>
      <c r="D7425" t="s">
        <v>74</v>
      </c>
      <c r="E7425" t="s">
        <v>77</v>
      </c>
      <c r="F7425" s="55">
        <v>103</v>
      </c>
      <c r="G7425" s="63">
        <v>0.22439999999999999</v>
      </c>
    </row>
    <row r="7426" spans="1:7" x14ac:dyDescent="0.2">
      <c r="A7426" t="s">
        <v>71</v>
      </c>
      <c r="B7426" t="s">
        <v>152</v>
      </c>
      <c r="C7426" t="s">
        <v>212</v>
      </c>
      <c r="D7426" t="s">
        <v>74</v>
      </c>
      <c r="E7426" t="s">
        <v>78</v>
      </c>
      <c r="F7426" s="55">
        <v>105</v>
      </c>
      <c r="G7426" s="63">
        <v>0.19689999999999999</v>
      </c>
    </row>
    <row r="7427" spans="1:7" x14ac:dyDescent="0.2">
      <c r="A7427" t="s">
        <v>71</v>
      </c>
      <c r="B7427" t="s">
        <v>152</v>
      </c>
      <c r="C7427" t="s">
        <v>212</v>
      </c>
      <c r="D7427" t="s">
        <v>74</v>
      </c>
      <c r="E7427" t="s">
        <v>79</v>
      </c>
      <c r="F7427" s="55">
        <v>98</v>
      </c>
      <c r="G7427" s="63">
        <v>0.30059999999999998</v>
      </c>
    </row>
    <row r="7428" spans="1:7" x14ac:dyDescent="0.2">
      <c r="A7428" t="s">
        <v>71</v>
      </c>
      <c r="B7428" t="s">
        <v>152</v>
      </c>
      <c r="C7428" t="s">
        <v>212</v>
      </c>
      <c r="D7428" t="s">
        <v>74</v>
      </c>
      <c r="E7428" t="s">
        <v>80</v>
      </c>
      <c r="F7428" s="55">
        <v>96</v>
      </c>
      <c r="G7428" s="63">
        <v>0.1229</v>
      </c>
    </row>
    <row r="7429" spans="1:7" x14ac:dyDescent="0.2">
      <c r="A7429" t="s">
        <v>71</v>
      </c>
      <c r="B7429" t="s">
        <v>152</v>
      </c>
      <c r="C7429" t="s">
        <v>212</v>
      </c>
      <c r="D7429" t="s">
        <v>74</v>
      </c>
      <c r="E7429" t="s">
        <v>81</v>
      </c>
      <c r="F7429" s="55">
        <v>97</v>
      </c>
      <c r="G7429" s="63">
        <v>0.12889999999999999</v>
      </c>
    </row>
    <row r="7430" spans="1:7" x14ac:dyDescent="0.2">
      <c r="A7430" t="s">
        <v>71</v>
      </c>
      <c r="B7430" t="s">
        <v>152</v>
      </c>
      <c r="C7430" t="s">
        <v>212</v>
      </c>
      <c r="D7430" t="s">
        <v>74</v>
      </c>
      <c r="E7430" t="s">
        <v>82</v>
      </c>
      <c r="F7430" s="55">
        <v>99</v>
      </c>
      <c r="G7430" s="63">
        <v>0.25829999999999997</v>
      </c>
    </row>
    <row r="7431" spans="1:7" x14ac:dyDescent="0.2">
      <c r="A7431" t="s">
        <v>71</v>
      </c>
      <c r="B7431" t="s">
        <v>152</v>
      </c>
      <c r="C7431" t="s">
        <v>212</v>
      </c>
      <c r="D7431" t="s">
        <v>74</v>
      </c>
      <c r="E7431" t="s">
        <v>83</v>
      </c>
      <c r="F7431" s="55">
        <v>102</v>
      </c>
      <c r="G7431" s="63">
        <v>9.2999999999999999E-2</v>
      </c>
    </row>
    <row r="7432" spans="1:7" x14ac:dyDescent="0.2">
      <c r="A7432" t="s">
        <v>71</v>
      </c>
      <c r="B7432" t="s">
        <v>152</v>
      </c>
      <c r="C7432" t="s">
        <v>212</v>
      </c>
      <c r="D7432" t="s">
        <v>74</v>
      </c>
      <c r="E7432" t="s">
        <v>84</v>
      </c>
      <c r="F7432" s="55">
        <v>106</v>
      </c>
      <c r="G7432" s="63">
        <v>0.17219999999999999</v>
      </c>
    </row>
    <row r="7433" spans="1:7" x14ac:dyDescent="0.2">
      <c r="A7433" t="s">
        <v>71</v>
      </c>
      <c r="B7433" t="s">
        <v>152</v>
      </c>
      <c r="C7433" t="s">
        <v>212</v>
      </c>
      <c r="D7433" t="s">
        <v>74</v>
      </c>
      <c r="E7433" t="s">
        <v>85</v>
      </c>
      <c r="F7433" s="55">
        <v>99</v>
      </c>
      <c r="G7433" s="63">
        <v>0.14990000000000001</v>
      </c>
    </row>
    <row r="7434" spans="1:7" x14ac:dyDescent="0.2">
      <c r="A7434" t="s">
        <v>71</v>
      </c>
      <c r="B7434" t="s">
        <v>152</v>
      </c>
      <c r="C7434" t="s">
        <v>212</v>
      </c>
      <c r="D7434" t="s">
        <v>74</v>
      </c>
      <c r="E7434" t="s">
        <v>86</v>
      </c>
      <c r="F7434" s="55">
        <v>100</v>
      </c>
      <c r="G7434" s="63">
        <v>0.17380000000000001</v>
      </c>
    </row>
    <row r="7435" spans="1:7" x14ac:dyDescent="0.2">
      <c r="A7435" t="s">
        <v>71</v>
      </c>
      <c r="B7435" t="s">
        <v>152</v>
      </c>
      <c r="C7435" t="s">
        <v>212</v>
      </c>
      <c r="D7435" t="s">
        <v>74</v>
      </c>
      <c r="E7435" t="s">
        <v>87</v>
      </c>
      <c r="F7435" s="55">
        <v>98</v>
      </c>
      <c r="G7435" s="63">
        <v>0.1925</v>
      </c>
    </row>
    <row r="7436" spans="1:7" x14ac:dyDescent="0.2">
      <c r="A7436" t="s">
        <v>71</v>
      </c>
      <c r="B7436" t="s">
        <v>152</v>
      </c>
      <c r="C7436" t="s">
        <v>212</v>
      </c>
      <c r="D7436" t="s">
        <v>74</v>
      </c>
      <c r="E7436" t="s">
        <v>88</v>
      </c>
      <c r="F7436" s="55">
        <v>104</v>
      </c>
      <c r="G7436" s="63">
        <v>0.17469999999999999</v>
      </c>
    </row>
    <row r="7437" spans="1:7" x14ac:dyDescent="0.2">
      <c r="A7437" t="s">
        <v>71</v>
      </c>
      <c r="B7437" t="s">
        <v>153</v>
      </c>
      <c r="C7437" t="s">
        <v>212</v>
      </c>
      <c r="D7437" t="s">
        <v>74</v>
      </c>
      <c r="E7437" t="s">
        <v>75</v>
      </c>
      <c r="F7437" s="55">
        <v>97</v>
      </c>
      <c r="G7437" s="63">
        <v>0.11559999999999999</v>
      </c>
    </row>
    <row r="7438" spans="1:7" x14ac:dyDescent="0.2">
      <c r="A7438" t="s">
        <v>71</v>
      </c>
      <c r="B7438" t="s">
        <v>153</v>
      </c>
      <c r="C7438" t="s">
        <v>212</v>
      </c>
      <c r="D7438" t="s">
        <v>74</v>
      </c>
      <c r="E7438" t="s">
        <v>76</v>
      </c>
      <c r="F7438" s="55">
        <v>110</v>
      </c>
      <c r="G7438" s="63">
        <v>1.03E-2</v>
      </c>
    </row>
    <row r="7439" spans="1:7" x14ac:dyDescent="0.2">
      <c r="A7439" t="s">
        <v>71</v>
      </c>
      <c r="B7439" t="s">
        <v>153</v>
      </c>
      <c r="C7439" t="s">
        <v>212</v>
      </c>
      <c r="D7439" t="s">
        <v>74</v>
      </c>
      <c r="E7439" t="s">
        <v>77</v>
      </c>
      <c r="F7439" s="55">
        <v>107</v>
      </c>
      <c r="G7439" s="63">
        <v>4.1599999999999998E-2</v>
      </c>
    </row>
    <row r="7440" spans="1:7" x14ac:dyDescent="0.2">
      <c r="A7440" t="s">
        <v>71</v>
      </c>
      <c r="B7440" t="s">
        <v>153</v>
      </c>
      <c r="C7440" t="s">
        <v>212</v>
      </c>
      <c r="D7440" t="s">
        <v>74</v>
      </c>
      <c r="E7440" t="s">
        <v>78</v>
      </c>
      <c r="F7440" s="55">
        <v>95</v>
      </c>
      <c r="G7440" s="63">
        <v>2.9499999999999998E-2</v>
      </c>
    </row>
    <row r="7441" spans="1:7" x14ac:dyDescent="0.2">
      <c r="A7441" t="s">
        <v>71</v>
      </c>
      <c r="B7441" t="s">
        <v>153</v>
      </c>
      <c r="C7441" t="s">
        <v>212</v>
      </c>
      <c r="D7441" t="s">
        <v>74</v>
      </c>
      <c r="E7441" t="s">
        <v>79</v>
      </c>
      <c r="F7441" s="55">
        <v>91</v>
      </c>
      <c r="G7441" s="63">
        <v>5.9700000000000003E-2</v>
      </c>
    </row>
    <row r="7442" spans="1:7" x14ac:dyDescent="0.2">
      <c r="A7442" t="s">
        <v>71</v>
      </c>
      <c r="B7442" t="s">
        <v>153</v>
      </c>
      <c r="C7442" t="s">
        <v>212</v>
      </c>
      <c r="D7442" t="s">
        <v>74</v>
      </c>
      <c r="E7442" t="s">
        <v>80</v>
      </c>
      <c r="F7442" s="55">
        <v>93</v>
      </c>
      <c r="G7442" s="63">
        <v>1.04E-2</v>
      </c>
    </row>
    <row r="7443" spans="1:7" x14ac:dyDescent="0.2">
      <c r="A7443" t="s">
        <v>71</v>
      </c>
      <c r="B7443" t="s">
        <v>153</v>
      </c>
      <c r="C7443" t="s">
        <v>212</v>
      </c>
      <c r="D7443" t="s">
        <v>74</v>
      </c>
      <c r="E7443" t="s">
        <v>81</v>
      </c>
      <c r="F7443" s="55">
        <v>92</v>
      </c>
      <c r="G7443" s="63">
        <v>1.2E-2</v>
      </c>
    </row>
    <row r="7444" spans="1:7" x14ac:dyDescent="0.2">
      <c r="A7444" t="s">
        <v>71</v>
      </c>
      <c r="B7444" t="s">
        <v>153</v>
      </c>
      <c r="C7444" t="s">
        <v>212</v>
      </c>
      <c r="D7444" t="s">
        <v>74</v>
      </c>
      <c r="E7444" t="s">
        <v>82</v>
      </c>
      <c r="F7444" s="55">
        <v>94</v>
      </c>
      <c r="G7444" s="63">
        <v>5.4100000000000002E-2</v>
      </c>
    </row>
    <row r="7445" spans="1:7" x14ac:dyDescent="0.2">
      <c r="A7445" t="s">
        <v>71</v>
      </c>
      <c r="B7445" t="s">
        <v>153</v>
      </c>
      <c r="C7445" t="s">
        <v>212</v>
      </c>
      <c r="D7445" t="s">
        <v>74</v>
      </c>
      <c r="E7445" t="s">
        <v>83</v>
      </c>
      <c r="F7445" s="55">
        <v>96</v>
      </c>
      <c r="G7445" s="63">
        <v>6.1000000000000004E-3</v>
      </c>
    </row>
    <row r="7446" spans="1:7" x14ac:dyDescent="0.2">
      <c r="A7446" t="s">
        <v>71</v>
      </c>
      <c r="B7446" t="s">
        <v>153</v>
      </c>
      <c r="C7446" t="s">
        <v>212</v>
      </c>
      <c r="D7446" t="s">
        <v>74</v>
      </c>
      <c r="E7446" t="s">
        <v>84</v>
      </c>
      <c r="F7446" s="55">
        <v>94</v>
      </c>
      <c r="G7446" s="63">
        <v>2.1899999999999999E-2</v>
      </c>
    </row>
    <row r="7447" spans="1:7" x14ac:dyDescent="0.2">
      <c r="A7447" t="s">
        <v>71</v>
      </c>
      <c r="B7447" t="s">
        <v>153</v>
      </c>
      <c r="C7447" t="s">
        <v>212</v>
      </c>
      <c r="D7447" t="s">
        <v>74</v>
      </c>
      <c r="E7447" t="s">
        <v>85</v>
      </c>
      <c r="F7447" s="55">
        <v>87</v>
      </c>
      <c r="G7447" s="63">
        <v>1.1900000000000001E-2</v>
      </c>
    </row>
    <row r="7448" spans="1:7" x14ac:dyDescent="0.2">
      <c r="A7448" t="s">
        <v>71</v>
      </c>
      <c r="B7448" t="s">
        <v>153</v>
      </c>
      <c r="C7448" t="s">
        <v>212</v>
      </c>
      <c r="D7448" t="s">
        <v>74</v>
      </c>
      <c r="E7448" t="s">
        <v>86</v>
      </c>
      <c r="F7448" s="55">
        <v>85</v>
      </c>
      <c r="G7448" s="63">
        <v>1.7899999999999999E-2</v>
      </c>
    </row>
    <row r="7449" spans="1:7" x14ac:dyDescent="0.2">
      <c r="A7449" t="s">
        <v>71</v>
      </c>
      <c r="B7449" t="s">
        <v>153</v>
      </c>
      <c r="C7449" t="s">
        <v>212</v>
      </c>
      <c r="D7449" t="s">
        <v>74</v>
      </c>
      <c r="E7449" t="s">
        <v>87</v>
      </c>
      <c r="F7449" s="55">
        <v>89</v>
      </c>
      <c r="G7449" s="63">
        <v>2.2499999999999999E-2</v>
      </c>
    </row>
    <row r="7450" spans="1:7" x14ac:dyDescent="0.2">
      <c r="A7450" t="s">
        <v>71</v>
      </c>
      <c r="B7450" t="s">
        <v>153</v>
      </c>
      <c r="C7450" t="s">
        <v>212</v>
      </c>
      <c r="D7450" t="s">
        <v>74</v>
      </c>
      <c r="E7450" t="s">
        <v>88</v>
      </c>
      <c r="F7450" s="55">
        <v>100</v>
      </c>
      <c r="G7450" s="63">
        <v>1.6299999999999999E-2</v>
      </c>
    </row>
    <row r="7451" spans="1:7" x14ac:dyDescent="0.2">
      <c r="A7451" t="s">
        <v>89</v>
      </c>
      <c r="B7451" t="s">
        <v>154</v>
      </c>
      <c r="C7451" t="s">
        <v>212</v>
      </c>
      <c r="D7451" t="s">
        <v>74</v>
      </c>
      <c r="E7451" t="s">
        <v>75</v>
      </c>
      <c r="F7451" s="55">
        <v>109</v>
      </c>
      <c r="G7451" s="63">
        <v>0.13</v>
      </c>
    </row>
    <row r="7452" spans="1:7" x14ac:dyDescent="0.2">
      <c r="A7452" t="s">
        <v>89</v>
      </c>
      <c r="B7452" t="s">
        <v>154</v>
      </c>
      <c r="C7452" t="s">
        <v>212</v>
      </c>
      <c r="D7452" t="s">
        <v>74</v>
      </c>
      <c r="E7452" t="s">
        <v>76</v>
      </c>
      <c r="F7452" s="55">
        <v>111</v>
      </c>
      <c r="G7452" s="63">
        <v>2.2700000000000001E-2</v>
      </c>
    </row>
    <row r="7453" spans="1:7" x14ac:dyDescent="0.2">
      <c r="A7453" t="s">
        <v>89</v>
      </c>
      <c r="B7453" t="s">
        <v>154</v>
      </c>
      <c r="C7453" t="s">
        <v>212</v>
      </c>
      <c r="D7453" t="s">
        <v>74</v>
      </c>
      <c r="E7453" t="s">
        <v>77</v>
      </c>
      <c r="F7453" s="55">
        <v>113</v>
      </c>
      <c r="G7453" s="63">
        <v>5.3600000000000002E-2</v>
      </c>
    </row>
    <row r="7454" spans="1:7" x14ac:dyDescent="0.2">
      <c r="A7454" t="s">
        <v>89</v>
      </c>
      <c r="B7454" t="s">
        <v>154</v>
      </c>
      <c r="C7454" t="s">
        <v>212</v>
      </c>
      <c r="D7454" t="s">
        <v>74</v>
      </c>
      <c r="E7454" t="s">
        <v>78</v>
      </c>
      <c r="F7454" s="55">
        <v>111</v>
      </c>
      <c r="G7454" s="63">
        <v>4.7300000000000002E-2</v>
      </c>
    </row>
    <row r="7455" spans="1:7" x14ac:dyDescent="0.2">
      <c r="A7455" t="s">
        <v>89</v>
      </c>
      <c r="B7455" t="s">
        <v>154</v>
      </c>
      <c r="C7455" t="s">
        <v>212</v>
      </c>
      <c r="D7455" t="s">
        <v>74</v>
      </c>
      <c r="E7455" t="s">
        <v>79</v>
      </c>
      <c r="F7455" s="55">
        <v>109</v>
      </c>
      <c r="G7455" s="63">
        <v>8.4699999999999998E-2</v>
      </c>
    </row>
    <row r="7456" spans="1:7" x14ac:dyDescent="0.2">
      <c r="A7456" t="s">
        <v>89</v>
      </c>
      <c r="B7456" t="s">
        <v>154</v>
      </c>
      <c r="C7456" t="s">
        <v>212</v>
      </c>
      <c r="D7456" t="s">
        <v>74</v>
      </c>
      <c r="E7456" t="s">
        <v>80</v>
      </c>
      <c r="F7456" s="55">
        <v>102</v>
      </c>
      <c r="G7456" s="63">
        <v>2.5999999999999999E-2</v>
      </c>
    </row>
    <row r="7457" spans="1:7" x14ac:dyDescent="0.2">
      <c r="A7457" t="s">
        <v>89</v>
      </c>
      <c r="B7457" t="s">
        <v>154</v>
      </c>
      <c r="C7457" t="s">
        <v>212</v>
      </c>
      <c r="D7457" t="s">
        <v>74</v>
      </c>
      <c r="E7457" t="s">
        <v>81</v>
      </c>
      <c r="F7457" s="55">
        <v>103</v>
      </c>
      <c r="G7457" s="63">
        <v>2.8799999999999999E-2</v>
      </c>
    </row>
    <row r="7458" spans="1:7" x14ac:dyDescent="0.2">
      <c r="A7458" t="s">
        <v>89</v>
      </c>
      <c r="B7458" t="s">
        <v>154</v>
      </c>
      <c r="C7458" t="s">
        <v>212</v>
      </c>
      <c r="D7458" t="s">
        <v>74</v>
      </c>
      <c r="E7458" t="s">
        <v>82</v>
      </c>
      <c r="F7458" s="55">
        <v>107</v>
      </c>
      <c r="G7458" s="63">
        <v>6.9900000000000004E-2</v>
      </c>
    </row>
    <row r="7459" spans="1:7" x14ac:dyDescent="0.2">
      <c r="A7459" t="s">
        <v>89</v>
      </c>
      <c r="B7459" t="s">
        <v>154</v>
      </c>
      <c r="C7459" t="s">
        <v>212</v>
      </c>
      <c r="D7459" t="s">
        <v>74</v>
      </c>
      <c r="E7459" t="s">
        <v>83</v>
      </c>
      <c r="F7459" s="55">
        <v>103</v>
      </c>
      <c r="G7459" s="63">
        <v>1.6299999999999999E-2</v>
      </c>
    </row>
    <row r="7460" spans="1:7" x14ac:dyDescent="0.2">
      <c r="A7460" t="s">
        <v>89</v>
      </c>
      <c r="B7460" t="s">
        <v>154</v>
      </c>
      <c r="C7460" t="s">
        <v>212</v>
      </c>
      <c r="D7460" t="s">
        <v>74</v>
      </c>
      <c r="E7460" t="s">
        <v>84</v>
      </c>
      <c r="F7460" s="55">
        <v>110</v>
      </c>
      <c r="G7460" s="63">
        <v>3.7900000000000003E-2</v>
      </c>
    </row>
    <row r="7461" spans="1:7" x14ac:dyDescent="0.2">
      <c r="A7461" t="s">
        <v>89</v>
      </c>
      <c r="B7461" t="s">
        <v>154</v>
      </c>
      <c r="C7461" t="s">
        <v>212</v>
      </c>
      <c r="D7461" t="s">
        <v>74</v>
      </c>
      <c r="E7461" t="s">
        <v>85</v>
      </c>
      <c r="F7461" s="55">
        <v>108</v>
      </c>
      <c r="G7461" s="63">
        <v>2.9399999999999999E-2</v>
      </c>
    </row>
    <row r="7462" spans="1:7" x14ac:dyDescent="0.2">
      <c r="A7462" t="s">
        <v>89</v>
      </c>
      <c r="B7462" t="s">
        <v>154</v>
      </c>
      <c r="C7462" t="s">
        <v>212</v>
      </c>
      <c r="D7462" t="s">
        <v>74</v>
      </c>
      <c r="E7462" t="s">
        <v>86</v>
      </c>
      <c r="F7462" s="55">
        <v>109</v>
      </c>
      <c r="G7462" s="63">
        <v>3.8199999999999998E-2</v>
      </c>
    </row>
    <row r="7463" spans="1:7" x14ac:dyDescent="0.2">
      <c r="A7463" t="s">
        <v>89</v>
      </c>
      <c r="B7463" t="s">
        <v>154</v>
      </c>
      <c r="C7463" t="s">
        <v>212</v>
      </c>
      <c r="D7463" t="s">
        <v>74</v>
      </c>
      <c r="E7463" t="s">
        <v>87</v>
      </c>
      <c r="F7463" s="55">
        <v>108</v>
      </c>
      <c r="G7463" s="63">
        <v>4.6399999999999997E-2</v>
      </c>
    </row>
    <row r="7464" spans="1:7" x14ac:dyDescent="0.2">
      <c r="A7464" t="s">
        <v>89</v>
      </c>
      <c r="B7464" t="s">
        <v>154</v>
      </c>
      <c r="C7464" t="s">
        <v>212</v>
      </c>
      <c r="D7464" t="s">
        <v>74</v>
      </c>
      <c r="E7464" t="s">
        <v>88</v>
      </c>
      <c r="F7464" s="55">
        <v>109</v>
      </c>
      <c r="G7464" s="63">
        <v>3.5900000000000001E-2</v>
      </c>
    </row>
    <row r="7465" spans="1:7" x14ac:dyDescent="0.2">
      <c r="A7465" t="s">
        <v>71</v>
      </c>
      <c r="B7465" t="s">
        <v>155</v>
      </c>
      <c r="C7465" t="s">
        <v>212</v>
      </c>
      <c r="D7465" t="s">
        <v>74</v>
      </c>
      <c r="E7465" t="s">
        <v>75</v>
      </c>
      <c r="F7465" s="55">
        <v>95</v>
      </c>
      <c r="G7465" s="63">
        <v>0.25509999999999999</v>
      </c>
    </row>
    <row r="7466" spans="1:7" x14ac:dyDescent="0.2">
      <c r="A7466" t="s">
        <v>71</v>
      </c>
      <c r="B7466" t="s">
        <v>155</v>
      </c>
      <c r="C7466" t="s">
        <v>212</v>
      </c>
      <c r="D7466" t="s">
        <v>74</v>
      </c>
      <c r="E7466" t="s">
        <v>76</v>
      </c>
      <c r="F7466" s="55">
        <v>96</v>
      </c>
      <c r="G7466" s="63">
        <v>2.8000000000000001E-2</v>
      </c>
    </row>
    <row r="7467" spans="1:7" x14ac:dyDescent="0.2">
      <c r="A7467" t="s">
        <v>71</v>
      </c>
      <c r="B7467" t="s">
        <v>155</v>
      </c>
      <c r="C7467" t="s">
        <v>212</v>
      </c>
      <c r="D7467" t="s">
        <v>74</v>
      </c>
      <c r="E7467" t="s">
        <v>77</v>
      </c>
      <c r="F7467" s="55">
        <v>100</v>
      </c>
      <c r="G7467" s="63">
        <v>7.5399999999999995E-2</v>
      </c>
    </row>
    <row r="7468" spans="1:7" x14ac:dyDescent="0.2">
      <c r="A7468" t="s">
        <v>71</v>
      </c>
      <c r="B7468" t="s">
        <v>155</v>
      </c>
      <c r="C7468" t="s">
        <v>212</v>
      </c>
      <c r="D7468" t="s">
        <v>74</v>
      </c>
      <c r="E7468" t="s">
        <v>78</v>
      </c>
      <c r="F7468" s="55">
        <v>104</v>
      </c>
      <c r="G7468" s="63">
        <v>7.5200000000000003E-2</v>
      </c>
    </row>
    <row r="7469" spans="1:7" x14ac:dyDescent="0.2">
      <c r="A7469" t="s">
        <v>71</v>
      </c>
      <c r="B7469" t="s">
        <v>155</v>
      </c>
      <c r="C7469" t="s">
        <v>212</v>
      </c>
      <c r="D7469" t="s">
        <v>74</v>
      </c>
      <c r="E7469" t="s">
        <v>79</v>
      </c>
      <c r="F7469" s="55">
        <v>85</v>
      </c>
      <c r="G7469" s="63">
        <v>0.18</v>
      </c>
    </row>
    <row r="7470" spans="1:7" x14ac:dyDescent="0.2">
      <c r="A7470" t="s">
        <v>71</v>
      </c>
      <c r="B7470" t="s">
        <v>155</v>
      </c>
      <c r="C7470" t="s">
        <v>212</v>
      </c>
      <c r="D7470" t="s">
        <v>74</v>
      </c>
      <c r="E7470" t="s">
        <v>80</v>
      </c>
      <c r="F7470" s="55">
        <v>82</v>
      </c>
      <c r="G7470" s="63">
        <v>4.7E-2</v>
      </c>
    </row>
    <row r="7471" spans="1:7" x14ac:dyDescent="0.2">
      <c r="A7471" t="s">
        <v>71</v>
      </c>
      <c r="B7471" t="s">
        <v>155</v>
      </c>
      <c r="C7471" t="s">
        <v>212</v>
      </c>
      <c r="D7471" t="s">
        <v>74</v>
      </c>
      <c r="E7471" t="s">
        <v>81</v>
      </c>
      <c r="F7471" s="55">
        <v>87</v>
      </c>
      <c r="G7471" s="63">
        <v>4.9500000000000002E-2</v>
      </c>
    </row>
    <row r="7472" spans="1:7" x14ac:dyDescent="0.2">
      <c r="A7472" t="s">
        <v>71</v>
      </c>
      <c r="B7472" t="s">
        <v>155</v>
      </c>
      <c r="C7472" t="s">
        <v>212</v>
      </c>
      <c r="D7472" t="s">
        <v>74</v>
      </c>
      <c r="E7472" t="s">
        <v>82</v>
      </c>
      <c r="F7472" s="55">
        <v>106</v>
      </c>
      <c r="G7472" s="63">
        <v>0.11840000000000001</v>
      </c>
    </row>
    <row r="7473" spans="1:7" x14ac:dyDescent="0.2">
      <c r="A7473" t="s">
        <v>71</v>
      </c>
      <c r="B7473" t="s">
        <v>155</v>
      </c>
      <c r="C7473" t="s">
        <v>212</v>
      </c>
      <c r="D7473" t="s">
        <v>74</v>
      </c>
      <c r="E7473" t="s">
        <v>83</v>
      </c>
      <c r="F7473" s="55">
        <v>93</v>
      </c>
      <c r="G7473" s="63">
        <v>2.2499999999999999E-2</v>
      </c>
    </row>
    <row r="7474" spans="1:7" x14ac:dyDescent="0.2">
      <c r="A7474" t="s">
        <v>71</v>
      </c>
      <c r="B7474" t="s">
        <v>155</v>
      </c>
      <c r="C7474" t="s">
        <v>212</v>
      </c>
      <c r="D7474" t="s">
        <v>74</v>
      </c>
      <c r="E7474" t="s">
        <v>84</v>
      </c>
      <c r="F7474" s="55">
        <v>106</v>
      </c>
      <c r="G7474" s="63">
        <v>5.6399999999999999E-2</v>
      </c>
    </row>
    <row r="7475" spans="1:7" x14ac:dyDescent="0.2">
      <c r="A7475" t="s">
        <v>71</v>
      </c>
      <c r="B7475" t="s">
        <v>155</v>
      </c>
      <c r="C7475" t="s">
        <v>212</v>
      </c>
      <c r="D7475" t="s">
        <v>74</v>
      </c>
      <c r="E7475" t="s">
        <v>85</v>
      </c>
      <c r="F7475" s="55">
        <v>84</v>
      </c>
      <c r="G7475" s="63">
        <v>5.21E-2</v>
      </c>
    </row>
    <row r="7476" spans="1:7" x14ac:dyDescent="0.2">
      <c r="A7476" t="s">
        <v>71</v>
      </c>
      <c r="B7476" t="s">
        <v>155</v>
      </c>
      <c r="C7476" t="s">
        <v>212</v>
      </c>
      <c r="D7476" t="s">
        <v>74</v>
      </c>
      <c r="E7476" t="s">
        <v>86</v>
      </c>
      <c r="F7476" s="55">
        <v>82</v>
      </c>
      <c r="G7476" s="63">
        <v>6.7799999999999999E-2</v>
      </c>
    </row>
    <row r="7477" spans="1:7" x14ac:dyDescent="0.2">
      <c r="A7477" t="s">
        <v>71</v>
      </c>
      <c r="B7477" t="s">
        <v>155</v>
      </c>
      <c r="C7477" t="s">
        <v>212</v>
      </c>
      <c r="D7477" t="s">
        <v>74</v>
      </c>
      <c r="E7477" t="s">
        <v>87</v>
      </c>
      <c r="F7477" s="55">
        <v>84</v>
      </c>
      <c r="G7477" s="63">
        <v>8.43E-2</v>
      </c>
    </row>
    <row r="7478" spans="1:7" x14ac:dyDescent="0.2">
      <c r="A7478" t="s">
        <v>71</v>
      </c>
      <c r="B7478" t="s">
        <v>155</v>
      </c>
      <c r="C7478" t="s">
        <v>212</v>
      </c>
      <c r="D7478" t="s">
        <v>74</v>
      </c>
      <c r="E7478" t="s">
        <v>88</v>
      </c>
      <c r="F7478" s="55">
        <v>94</v>
      </c>
      <c r="G7478" s="63">
        <v>4.4400000000000002E-2</v>
      </c>
    </row>
    <row r="7479" spans="1:7" x14ac:dyDescent="0.2">
      <c r="A7479" t="s">
        <v>71</v>
      </c>
      <c r="B7479" t="s">
        <v>156</v>
      </c>
      <c r="C7479" t="s">
        <v>212</v>
      </c>
      <c r="D7479" t="s">
        <v>74</v>
      </c>
      <c r="E7479" t="s">
        <v>75</v>
      </c>
      <c r="F7479" s="55">
        <v>79</v>
      </c>
      <c r="G7479" s="63">
        <v>3.0499999999999999E-2</v>
      </c>
    </row>
    <row r="7480" spans="1:7" x14ac:dyDescent="0.2">
      <c r="A7480" t="s">
        <v>71</v>
      </c>
      <c r="B7480" t="s">
        <v>156</v>
      </c>
      <c r="C7480" t="s">
        <v>212</v>
      </c>
      <c r="D7480" t="s">
        <v>74</v>
      </c>
      <c r="E7480" t="s">
        <v>76</v>
      </c>
      <c r="F7480" s="55">
        <v>80</v>
      </c>
      <c r="G7480" s="63">
        <v>2.3999999999999998E-3</v>
      </c>
    </row>
    <row r="7481" spans="1:7" x14ac:dyDescent="0.2">
      <c r="A7481" t="s">
        <v>71</v>
      </c>
      <c r="B7481" t="s">
        <v>156</v>
      </c>
      <c r="C7481" t="s">
        <v>212</v>
      </c>
      <c r="D7481" t="s">
        <v>74</v>
      </c>
      <c r="E7481" t="s">
        <v>77</v>
      </c>
      <c r="F7481" s="55">
        <v>89</v>
      </c>
      <c r="G7481" s="63">
        <v>7.4999999999999997E-3</v>
      </c>
    </row>
    <row r="7482" spans="1:7" x14ac:dyDescent="0.2">
      <c r="A7482" t="s">
        <v>71</v>
      </c>
      <c r="B7482" t="s">
        <v>156</v>
      </c>
      <c r="C7482" t="s">
        <v>212</v>
      </c>
      <c r="D7482" t="s">
        <v>74</v>
      </c>
      <c r="E7482" t="s">
        <v>78</v>
      </c>
      <c r="F7482" s="55">
        <v>97</v>
      </c>
      <c r="G7482" s="63">
        <v>6.1999999999999998E-3</v>
      </c>
    </row>
    <row r="7483" spans="1:7" x14ac:dyDescent="0.2">
      <c r="A7483" t="s">
        <v>71</v>
      </c>
      <c r="B7483" t="s">
        <v>156</v>
      </c>
      <c r="C7483" t="s">
        <v>212</v>
      </c>
      <c r="D7483" t="s">
        <v>74</v>
      </c>
      <c r="E7483" t="s">
        <v>79</v>
      </c>
      <c r="F7483" s="55">
        <v>80</v>
      </c>
      <c r="G7483" s="63">
        <v>1.5599999999999999E-2</v>
      </c>
    </row>
    <row r="7484" spans="1:7" x14ac:dyDescent="0.2">
      <c r="A7484" t="s">
        <v>71</v>
      </c>
      <c r="B7484" t="s">
        <v>156</v>
      </c>
      <c r="C7484" t="s">
        <v>212</v>
      </c>
      <c r="D7484" t="s">
        <v>74</v>
      </c>
      <c r="E7484" t="s">
        <v>80</v>
      </c>
      <c r="F7484" s="55">
        <v>67</v>
      </c>
      <c r="G7484" s="63">
        <v>3.3999999999999998E-3</v>
      </c>
    </row>
    <row r="7485" spans="1:7" x14ac:dyDescent="0.2">
      <c r="A7485" t="s">
        <v>71</v>
      </c>
      <c r="B7485" t="s">
        <v>156</v>
      </c>
      <c r="C7485" t="s">
        <v>212</v>
      </c>
      <c r="D7485" t="s">
        <v>74</v>
      </c>
      <c r="E7485" t="s">
        <v>81</v>
      </c>
      <c r="F7485" s="55">
        <v>66</v>
      </c>
      <c r="G7485" s="63">
        <v>4.3E-3</v>
      </c>
    </row>
    <row r="7486" spans="1:7" x14ac:dyDescent="0.2">
      <c r="A7486" t="s">
        <v>71</v>
      </c>
      <c r="B7486" t="s">
        <v>156</v>
      </c>
      <c r="C7486" t="s">
        <v>212</v>
      </c>
      <c r="D7486" t="s">
        <v>74</v>
      </c>
      <c r="E7486" t="s">
        <v>82</v>
      </c>
      <c r="F7486" s="55">
        <v>79</v>
      </c>
      <c r="G7486" s="63">
        <v>1.0699999999999999E-2</v>
      </c>
    </row>
    <row r="7487" spans="1:7" x14ac:dyDescent="0.2">
      <c r="A7487" t="s">
        <v>71</v>
      </c>
      <c r="B7487" t="s">
        <v>156</v>
      </c>
      <c r="C7487" t="s">
        <v>212</v>
      </c>
      <c r="D7487" t="s">
        <v>74</v>
      </c>
      <c r="E7487" t="s">
        <v>83</v>
      </c>
      <c r="F7487" s="55">
        <v>72</v>
      </c>
      <c r="G7487" s="63">
        <v>2.0999999999999999E-3</v>
      </c>
    </row>
    <row r="7488" spans="1:7" x14ac:dyDescent="0.2">
      <c r="A7488" t="s">
        <v>71</v>
      </c>
      <c r="B7488" t="s">
        <v>156</v>
      </c>
      <c r="C7488" t="s">
        <v>212</v>
      </c>
      <c r="D7488" t="s">
        <v>74</v>
      </c>
      <c r="E7488" t="s">
        <v>84</v>
      </c>
      <c r="F7488" s="55">
        <v>95</v>
      </c>
      <c r="G7488" s="63">
        <v>4.1999999999999997E-3</v>
      </c>
    </row>
    <row r="7489" spans="1:7" x14ac:dyDescent="0.2">
      <c r="A7489" t="s">
        <v>71</v>
      </c>
      <c r="B7489" t="s">
        <v>156</v>
      </c>
      <c r="C7489" t="s">
        <v>212</v>
      </c>
      <c r="D7489" t="s">
        <v>74</v>
      </c>
      <c r="E7489" t="s">
        <v>85</v>
      </c>
      <c r="F7489" s="55">
        <v>76</v>
      </c>
      <c r="G7489" s="63">
        <v>3.3E-3</v>
      </c>
    </row>
    <row r="7490" spans="1:7" x14ac:dyDescent="0.2">
      <c r="A7490" t="s">
        <v>71</v>
      </c>
      <c r="B7490" t="s">
        <v>156</v>
      </c>
      <c r="C7490" t="s">
        <v>212</v>
      </c>
      <c r="D7490" t="s">
        <v>74</v>
      </c>
      <c r="E7490" t="s">
        <v>86</v>
      </c>
      <c r="F7490" s="55">
        <v>81</v>
      </c>
      <c r="G7490" s="63">
        <v>4.7000000000000002E-3</v>
      </c>
    </row>
    <row r="7491" spans="1:7" x14ac:dyDescent="0.2">
      <c r="A7491" t="s">
        <v>71</v>
      </c>
      <c r="B7491" t="s">
        <v>156</v>
      </c>
      <c r="C7491" t="s">
        <v>212</v>
      </c>
      <c r="D7491" t="s">
        <v>74</v>
      </c>
      <c r="E7491" t="s">
        <v>87</v>
      </c>
      <c r="F7491" s="55">
        <v>79</v>
      </c>
      <c r="G7491" s="63">
        <v>5.8999999999999999E-3</v>
      </c>
    </row>
    <row r="7492" spans="1:7" x14ac:dyDescent="0.2">
      <c r="A7492" t="s">
        <v>71</v>
      </c>
      <c r="B7492" t="s">
        <v>156</v>
      </c>
      <c r="C7492" t="s">
        <v>212</v>
      </c>
      <c r="D7492" t="s">
        <v>74</v>
      </c>
      <c r="E7492" t="s">
        <v>88</v>
      </c>
      <c r="F7492" s="55">
        <v>76</v>
      </c>
      <c r="G7492" s="63">
        <v>4.4999999999999997E-3</v>
      </c>
    </row>
    <row r="7493" spans="1:7" x14ac:dyDescent="0.2">
      <c r="A7493" t="s">
        <v>71</v>
      </c>
      <c r="B7493" t="s">
        <v>157</v>
      </c>
      <c r="C7493" t="s">
        <v>212</v>
      </c>
      <c r="D7493" t="s">
        <v>74</v>
      </c>
      <c r="E7493" t="s">
        <v>75</v>
      </c>
      <c r="F7493" s="55">
        <v>120</v>
      </c>
      <c r="G7493" s="63">
        <v>0.11169999999999999</v>
      </c>
    </row>
    <row r="7494" spans="1:7" x14ac:dyDescent="0.2">
      <c r="A7494" t="s">
        <v>71</v>
      </c>
      <c r="B7494" t="s">
        <v>157</v>
      </c>
      <c r="C7494" t="s">
        <v>212</v>
      </c>
      <c r="D7494" t="s">
        <v>74</v>
      </c>
      <c r="E7494" t="s">
        <v>76</v>
      </c>
      <c r="F7494" s="55">
        <v>117</v>
      </c>
      <c r="G7494" s="63">
        <v>1.3100000000000001E-2</v>
      </c>
    </row>
    <row r="7495" spans="1:7" x14ac:dyDescent="0.2">
      <c r="A7495" t="s">
        <v>71</v>
      </c>
      <c r="B7495" t="s">
        <v>157</v>
      </c>
      <c r="C7495" t="s">
        <v>212</v>
      </c>
      <c r="D7495" t="s">
        <v>74</v>
      </c>
      <c r="E7495" t="s">
        <v>77</v>
      </c>
      <c r="F7495" s="55">
        <v>118</v>
      </c>
      <c r="G7495" s="63">
        <v>4.3499999999999997E-2</v>
      </c>
    </row>
    <row r="7496" spans="1:7" x14ac:dyDescent="0.2">
      <c r="A7496" t="s">
        <v>71</v>
      </c>
      <c r="B7496" t="s">
        <v>157</v>
      </c>
      <c r="C7496" t="s">
        <v>212</v>
      </c>
      <c r="D7496" t="s">
        <v>74</v>
      </c>
      <c r="E7496" t="s">
        <v>78</v>
      </c>
      <c r="F7496" s="55">
        <v>117</v>
      </c>
      <c r="G7496" s="63">
        <v>3.4700000000000002E-2</v>
      </c>
    </row>
    <row r="7497" spans="1:7" x14ac:dyDescent="0.2">
      <c r="A7497" t="s">
        <v>71</v>
      </c>
      <c r="B7497" t="s">
        <v>157</v>
      </c>
      <c r="C7497" t="s">
        <v>212</v>
      </c>
      <c r="D7497" t="s">
        <v>74</v>
      </c>
      <c r="E7497" t="s">
        <v>79</v>
      </c>
      <c r="F7497" s="55">
        <v>125</v>
      </c>
      <c r="G7497" s="63">
        <v>6.9000000000000006E-2</v>
      </c>
    </row>
    <row r="7498" spans="1:7" x14ac:dyDescent="0.2">
      <c r="A7498" t="s">
        <v>71</v>
      </c>
      <c r="B7498" t="s">
        <v>157</v>
      </c>
      <c r="C7498" t="s">
        <v>212</v>
      </c>
      <c r="D7498" t="s">
        <v>74</v>
      </c>
      <c r="E7498" t="s">
        <v>80</v>
      </c>
      <c r="F7498" s="55">
        <v>119</v>
      </c>
      <c r="G7498" s="63">
        <v>2.1399999999999999E-2</v>
      </c>
    </row>
    <row r="7499" spans="1:7" x14ac:dyDescent="0.2">
      <c r="A7499" t="s">
        <v>71</v>
      </c>
      <c r="B7499" t="s">
        <v>157</v>
      </c>
      <c r="C7499" t="s">
        <v>212</v>
      </c>
      <c r="D7499" t="s">
        <v>74</v>
      </c>
      <c r="E7499" t="s">
        <v>81</v>
      </c>
      <c r="F7499" s="55">
        <v>112</v>
      </c>
      <c r="G7499" s="63">
        <v>1.8700000000000001E-2</v>
      </c>
    </row>
    <row r="7500" spans="1:7" x14ac:dyDescent="0.2">
      <c r="A7500" t="s">
        <v>71</v>
      </c>
      <c r="B7500" t="s">
        <v>157</v>
      </c>
      <c r="C7500" t="s">
        <v>212</v>
      </c>
      <c r="D7500" t="s">
        <v>74</v>
      </c>
      <c r="E7500" t="s">
        <v>82</v>
      </c>
      <c r="F7500" s="55">
        <v>120</v>
      </c>
      <c r="G7500" s="63">
        <v>4.7100000000000003E-2</v>
      </c>
    </row>
    <row r="7501" spans="1:7" x14ac:dyDescent="0.2">
      <c r="A7501" t="s">
        <v>71</v>
      </c>
      <c r="B7501" t="s">
        <v>157</v>
      </c>
      <c r="C7501" t="s">
        <v>212</v>
      </c>
      <c r="D7501" t="s">
        <v>74</v>
      </c>
      <c r="E7501" t="s">
        <v>83</v>
      </c>
      <c r="F7501" s="55">
        <v>104</v>
      </c>
      <c r="G7501" s="63">
        <v>5.4999999999999997E-3</v>
      </c>
    </row>
    <row r="7502" spans="1:7" x14ac:dyDescent="0.2">
      <c r="A7502" t="s">
        <v>71</v>
      </c>
      <c r="B7502" t="s">
        <v>157</v>
      </c>
      <c r="C7502" t="s">
        <v>212</v>
      </c>
      <c r="D7502" t="s">
        <v>74</v>
      </c>
      <c r="E7502" t="s">
        <v>84</v>
      </c>
      <c r="F7502" s="55">
        <v>117</v>
      </c>
      <c r="G7502" s="63">
        <v>2.7E-2</v>
      </c>
    </row>
    <row r="7503" spans="1:7" x14ac:dyDescent="0.2">
      <c r="A7503" t="s">
        <v>71</v>
      </c>
      <c r="B7503" t="s">
        <v>157</v>
      </c>
      <c r="C7503" t="s">
        <v>212</v>
      </c>
      <c r="D7503" t="s">
        <v>74</v>
      </c>
      <c r="E7503" t="s">
        <v>85</v>
      </c>
      <c r="F7503" s="55">
        <v>123</v>
      </c>
      <c r="G7503" s="63">
        <v>2.2599999999999999E-2</v>
      </c>
    </row>
    <row r="7504" spans="1:7" x14ac:dyDescent="0.2">
      <c r="A7504" t="s">
        <v>71</v>
      </c>
      <c r="B7504" t="s">
        <v>157</v>
      </c>
      <c r="C7504" t="s">
        <v>212</v>
      </c>
      <c r="D7504" t="s">
        <v>74</v>
      </c>
      <c r="E7504" t="s">
        <v>86</v>
      </c>
      <c r="F7504" s="55">
        <v>124</v>
      </c>
      <c r="G7504" s="63">
        <v>2.9499999999999998E-2</v>
      </c>
    </row>
    <row r="7505" spans="1:7" x14ac:dyDescent="0.2">
      <c r="A7505" t="s">
        <v>71</v>
      </c>
      <c r="B7505" t="s">
        <v>157</v>
      </c>
      <c r="C7505" t="s">
        <v>212</v>
      </c>
      <c r="D7505" t="s">
        <v>74</v>
      </c>
      <c r="E7505" t="s">
        <v>87</v>
      </c>
      <c r="F7505" s="55">
        <v>128</v>
      </c>
      <c r="G7505" s="63">
        <v>3.5099999999999999E-2</v>
      </c>
    </row>
    <row r="7506" spans="1:7" x14ac:dyDescent="0.2">
      <c r="A7506" t="s">
        <v>71</v>
      </c>
      <c r="B7506" t="s">
        <v>157</v>
      </c>
      <c r="C7506" t="s">
        <v>212</v>
      </c>
      <c r="D7506" t="s">
        <v>74</v>
      </c>
      <c r="E7506" t="s">
        <v>88</v>
      </c>
      <c r="F7506" s="55">
        <v>112</v>
      </c>
      <c r="G7506" s="63">
        <v>2.0199999999999999E-2</v>
      </c>
    </row>
    <row r="7507" spans="1:7" x14ac:dyDescent="0.2">
      <c r="A7507" t="s">
        <v>89</v>
      </c>
      <c r="B7507" t="s">
        <v>158</v>
      </c>
      <c r="C7507" t="s">
        <v>212</v>
      </c>
      <c r="D7507" t="s">
        <v>91</v>
      </c>
      <c r="E7507" t="s">
        <v>75</v>
      </c>
      <c r="F7507" s="55">
        <v>107</v>
      </c>
      <c r="G7507" s="63">
        <v>0.90110000000000001</v>
      </c>
    </row>
    <row r="7508" spans="1:7" x14ac:dyDescent="0.2">
      <c r="A7508" t="s">
        <v>89</v>
      </c>
      <c r="B7508" t="s">
        <v>158</v>
      </c>
      <c r="C7508" t="s">
        <v>212</v>
      </c>
      <c r="D7508" t="s">
        <v>91</v>
      </c>
      <c r="E7508" t="s">
        <v>76</v>
      </c>
      <c r="F7508" s="55">
        <v>106</v>
      </c>
      <c r="G7508" s="63">
        <v>0.3594</v>
      </c>
    </row>
    <row r="7509" spans="1:7" x14ac:dyDescent="0.2">
      <c r="A7509" t="s">
        <v>89</v>
      </c>
      <c r="B7509" t="s">
        <v>158</v>
      </c>
      <c r="C7509" t="s">
        <v>212</v>
      </c>
      <c r="D7509" t="s">
        <v>91</v>
      </c>
      <c r="E7509" t="s">
        <v>77</v>
      </c>
      <c r="F7509" s="55">
        <v>110</v>
      </c>
      <c r="G7509" s="63">
        <v>0.58489999999999998</v>
      </c>
    </row>
    <row r="7510" spans="1:7" x14ac:dyDescent="0.2">
      <c r="A7510" t="s">
        <v>89</v>
      </c>
      <c r="B7510" t="s">
        <v>158</v>
      </c>
      <c r="C7510" t="s">
        <v>212</v>
      </c>
      <c r="D7510" t="s">
        <v>91</v>
      </c>
      <c r="E7510" t="s">
        <v>78</v>
      </c>
      <c r="F7510" s="55">
        <v>113</v>
      </c>
      <c r="G7510" s="63">
        <v>0.56659999999999999</v>
      </c>
    </row>
    <row r="7511" spans="1:7" x14ac:dyDescent="0.2">
      <c r="A7511" t="s">
        <v>89</v>
      </c>
      <c r="B7511" t="s">
        <v>158</v>
      </c>
      <c r="C7511" t="s">
        <v>212</v>
      </c>
      <c r="D7511" t="s">
        <v>91</v>
      </c>
      <c r="E7511" t="s">
        <v>79</v>
      </c>
      <c r="F7511" s="55">
        <v>106</v>
      </c>
      <c r="G7511" s="63">
        <v>0.83620000000000005</v>
      </c>
    </row>
    <row r="7512" spans="1:7" x14ac:dyDescent="0.2">
      <c r="A7512" t="s">
        <v>89</v>
      </c>
      <c r="B7512" t="s">
        <v>158</v>
      </c>
      <c r="C7512" t="s">
        <v>212</v>
      </c>
      <c r="D7512" t="s">
        <v>91</v>
      </c>
      <c r="E7512" t="s">
        <v>80</v>
      </c>
      <c r="F7512" s="55">
        <v>101</v>
      </c>
      <c r="G7512" s="63">
        <v>0.39479999999999998</v>
      </c>
    </row>
    <row r="7513" spans="1:7" x14ac:dyDescent="0.2">
      <c r="A7513" t="s">
        <v>89</v>
      </c>
      <c r="B7513" t="s">
        <v>158</v>
      </c>
      <c r="C7513" t="s">
        <v>212</v>
      </c>
      <c r="D7513" t="s">
        <v>91</v>
      </c>
      <c r="E7513" t="s">
        <v>81</v>
      </c>
      <c r="F7513" s="55">
        <v>99</v>
      </c>
      <c r="G7513" s="63">
        <v>0.37219999999999998</v>
      </c>
    </row>
    <row r="7514" spans="1:7" x14ac:dyDescent="0.2">
      <c r="A7514" t="s">
        <v>89</v>
      </c>
      <c r="B7514" t="s">
        <v>158</v>
      </c>
      <c r="C7514" t="s">
        <v>212</v>
      </c>
      <c r="D7514" t="s">
        <v>91</v>
      </c>
      <c r="E7514" t="s">
        <v>82</v>
      </c>
      <c r="F7514" s="55">
        <v>109</v>
      </c>
      <c r="G7514" s="63">
        <v>0.77959999999999996</v>
      </c>
    </row>
    <row r="7515" spans="1:7" x14ac:dyDescent="0.2">
      <c r="A7515" t="s">
        <v>89</v>
      </c>
      <c r="B7515" t="s">
        <v>158</v>
      </c>
      <c r="C7515" t="s">
        <v>212</v>
      </c>
      <c r="D7515" t="s">
        <v>91</v>
      </c>
      <c r="E7515" t="s">
        <v>83</v>
      </c>
      <c r="F7515" s="55">
        <v>99</v>
      </c>
      <c r="G7515" s="63">
        <v>0.23780000000000001</v>
      </c>
    </row>
    <row r="7516" spans="1:7" x14ac:dyDescent="0.2">
      <c r="A7516" t="s">
        <v>89</v>
      </c>
      <c r="B7516" t="s">
        <v>158</v>
      </c>
      <c r="C7516" t="s">
        <v>212</v>
      </c>
      <c r="D7516" t="s">
        <v>91</v>
      </c>
      <c r="E7516" t="s">
        <v>84</v>
      </c>
      <c r="F7516" s="55">
        <v>114</v>
      </c>
      <c r="G7516" s="63">
        <v>0.50590000000000002</v>
      </c>
    </row>
    <row r="7517" spans="1:7" x14ac:dyDescent="0.2">
      <c r="A7517" t="s">
        <v>89</v>
      </c>
      <c r="B7517" t="s">
        <v>158</v>
      </c>
      <c r="C7517" t="s">
        <v>212</v>
      </c>
      <c r="D7517" t="s">
        <v>91</v>
      </c>
      <c r="E7517" t="s">
        <v>85</v>
      </c>
      <c r="F7517" s="55">
        <v>104</v>
      </c>
      <c r="G7517" s="63">
        <v>0.53220000000000001</v>
      </c>
    </row>
    <row r="7518" spans="1:7" x14ac:dyDescent="0.2">
      <c r="A7518" t="s">
        <v>89</v>
      </c>
      <c r="B7518" t="s">
        <v>158</v>
      </c>
      <c r="C7518" t="s">
        <v>212</v>
      </c>
      <c r="D7518" t="s">
        <v>91</v>
      </c>
      <c r="E7518" t="s">
        <v>86</v>
      </c>
      <c r="F7518" s="55">
        <v>107</v>
      </c>
      <c r="G7518" s="63">
        <v>0.66649999999999998</v>
      </c>
    </row>
    <row r="7519" spans="1:7" x14ac:dyDescent="0.2">
      <c r="A7519" t="s">
        <v>89</v>
      </c>
      <c r="B7519" t="s">
        <v>158</v>
      </c>
      <c r="C7519" t="s">
        <v>212</v>
      </c>
      <c r="D7519" t="s">
        <v>91</v>
      </c>
      <c r="E7519" t="s">
        <v>87</v>
      </c>
      <c r="F7519" s="55">
        <v>109</v>
      </c>
      <c r="G7519" s="63">
        <v>0.69699999999999995</v>
      </c>
    </row>
    <row r="7520" spans="1:7" x14ac:dyDescent="0.2">
      <c r="A7520" t="s">
        <v>89</v>
      </c>
      <c r="B7520" t="s">
        <v>158</v>
      </c>
      <c r="C7520" t="s">
        <v>212</v>
      </c>
      <c r="D7520" t="s">
        <v>91</v>
      </c>
      <c r="E7520" t="s">
        <v>88</v>
      </c>
      <c r="F7520" s="55">
        <v>105</v>
      </c>
      <c r="G7520" s="63">
        <v>0.49430000000000002</v>
      </c>
    </row>
    <row r="7521" spans="1:7" x14ac:dyDescent="0.2">
      <c r="A7521" t="s">
        <v>71</v>
      </c>
      <c r="B7521" t="s">
        <v>159</v>
      </c>
      <c r="C7521" t="s">
        <v>212</v>
      </c>
      <c r="D7521" t="s">
        <v>74</v>
      </c>
      <c r="E7521" t="s">
        <v>75</v>
      </c>
      <c r="F7521" s="55">
        <v>101</v>
      </c>
      <c r="G7521" s="63">
        <v>0.2031</v>
      </c>
    </row>
    <row r="7522" spans="1:7" x14ac:dyDescent="0.2">
      <c r="A7522" t="s">
        <v>71</v>
      </c>
      <c r="B7522" t="s">
        <v>159</v>
      </c>
      <c r="C7522" t="s">
        <v>212</v>
      </c>
      <c r="D7522" t="s">
        <v>74</v>
      </c>
      <c r="E7522" t="s">
        <v>76</v>
      </c>
      <c r="F7522" s="55">
        <v>101</v>
      </c>
      <c r="G7522" s="63">
        <v>1.4999999999999999E-2</v>
      </c>
    </row>
    <row r="7523" spans="1:7" x14ac:dyDescent="0.2">
      <c r="A7523" t="s">
        <v>71</v>
      </c>
      <c r="B7523" t="s">
        <v>159</v>
      </c>
      <c r="C7523" t="s">
        <v>212</v>
      </c>
      <c r="D7523" t="s">
        <v>74</v>
      </c>
      <c r="E7523" t="s">
        <v>77</v>
      </c>
      <c r="F7523" s="55">
        <v>106</v>
      </c>
      <c r="G7523" s="63">
        <v>7.5499999999999998E-2</v>
      </c>
    </row>
    <row r="7524" spans="1:7" x14ac:dyDescent="0.2">
      <c r="A7524" t="s">
        <v>71</v>
      </c>
      <c r="B7524" t="s">
        <v>159</v>
      </c>
      <c r="C7524" t="s">
        <v>212</v>
      </c>
      <c r="D7524" t="s">
        <v>74</v>
      </c>
      <c r="E7524" t="s">
        <v>78</v>
      </c>
      <c r="F7524" s="55">
        <v>105</v>
      </c>
      <c r="G7524" s="63">
        <v>6.5600000000000006E-2</v>
      </c>
    </row>
    <row r="7525" spans="1:7" x14ac:dyDescent="0.2">
      <c r="A7525" t="s">
        <v>71</v>
      </c>
      <c r="B7525" t="s">
        <v>159</v>
      </c>
      <c r="C7525" t="s">
        <v>212</v>
      </c>
      <c r="D7525" t="s">
        <v>74</v>
      </c>
      <c r="E7525" t="s">
        <v>79</v>
      </c>
      <c r="F7525" s="55">
        <v>102</v>
      </c>
      <c r="G7525" s="63">
        <v>0.1363</v>
      </c>
    </row>
    <row r="7526" spans="1:7" x14ac:dyDescent="0.2">
      <c r="A7526" t="s">
        <v>71</v>
      </c>
      <c r="B7526" t="s">
        <v>159</v>
      </c>
      <c r="C7526" t="s">
        <v>212</v>
      </c>
      <c r="D7526" t="s">
        <v>74</v>
      </c>
      <c r="E7526" t="s">
        <v>80</v>
      </c>
      <c r="F7526" s="55">
        <v>94</v>
      </c>
      <c r="G7526" s="63">
        <v>3.95E-2</v>
      </c>
    </row>
    <row r="7527" spans="1:7" x14ac:dyDescent="0.2">
      <c r="A7527" t="s">
        <v>71</v>
      </c>
      <c r="B7527" t="s">
        <v>159</v>
      </c>
      <c r="C7527" t="s">
        <v>212</v>
      </c>
      <c r="D7527" t="s">
        <v>74</v>
      </c>
      <c r="E7527" t="s">
        <v>81</v>
      </c>
      <c r="F7527" s="55">
        <v>96</v>
      </c>
      <c r="G7527" s="63">
        <v>4.19E-2</v>
      </c>
    </row>
    <row r="7528" spans="1:7" x14ac:dyDescent="0.2">
      <c r="A7528" t="s">
        <v>71</v>
      </c>
      <c r="B7528" t="s">
        <v>159</v>
      </c>
      <c r="C7528" t="s">
        <v>212</v>
      </c>
      <c r="D7528" t="s">
        <v>74</v>
      </c>
      <c r="E7528" t="s">
        <v>82</v>
      </c>
      <c r="F7528" s="55">
        <v>102</v>
      </c>
      <c r="G7528" s="63">
        <v>9.01E-2</v>
      </c>
    </row>
    <row r="7529" spans="1:7" x14ac:dyDescent="0.2">
      <c r="A7529" t="s">
        <v>71</v>
      </c>
      <c r="B7529" t="s">
        <v>159</v>
      </c>
      <c r="C7529" t="s">
        <v>212</v>
      </c>
      <c r="D7529" t="s">
        <v>74</v>
      </c>
      <c r="E7529" t="s">
        <v>83</v>
      </c>
      <c r="F7529" s="55">
        <v>99</v>
      </c>
      <c r="G7529" s="63">
        <v>1.7000000000000001E-2</v>
      </c>
    </row>
    <row r="7530" spans="1:7" x14ac:dyDescent="0.2">
      <c r="A7530" t="s">
        <v>71</v>
      </c>
      <c r="B7530" t="s">
        <v>159</v>
      </c>
      <c r="C7530" t="s">
        <v>212</v>
      </c>
      <c r="D7530" t="s">
        <v>74</v>
      </c>
      <c r="E7530" t="s">
        <v>84</v>
      </c>
      <c r="F7530" s="55">
        <v>106</v>
      </c>
      <c r="G7530" s="63">
        <v>5.0099999999999999E-2</v>
      </c>
    </row>
    <row r="7531" spans="1:7" x14ac:dyDescent="0.2">
      <c r="A7531" t="s">
        <v>71</v>
      </c>
      <c r="B7531" t="s">
        <v>159</v>
      </c>
      <c r="C7531" t="s">
        <v>212</v>
      </c>
      <c r="D7531" t="s">
        <v>74</v>
      </c>
      <c r="E7531" t="s">
        <v>85</v>
      </c>
      <c r="F7531" s="55">
        <v>100</v>
      </c>
      <c r="G7531" s="63">
        <v>4.4299999999999999E-2</v>
      </c>
    </row>
    <row r="7532" spans="1:7" x14ac:dyDescent="0.2">
      <c r="A7532" t="s">
        <v>71</v>
      </c>
      <c r="B7532" t="s">
        <v>159</v>
      </c>
      <c r="C7532" t="s">
        <v>212</v>
      </c>
      <c r="D7532" t="s">
        <v>74</v>
      </c>
      <c r="E7532" t="s">
        <v>86</v>
      </c>
      <c r="F7532" s="55">
        <v>101</v>
      </c>
      <c r="G7532" s="63">
        <v>5.8200000000000002E-2</v>
      </c>
    </row>
    <row r="7533" spans="1:7" x14ac:dyDescent="0.2">
      <c r="A7533" t="s">
        <v>71</v>
      </c>
      <c r="B7533" t="s">
        <v>159</v>
      </c>
      <c r="C7533" t="s">
        <v>212</v>
      </c>
      <c r="D7533" t="s">
        <v>74</v>
      </c>
      <c r="E7533" t="s">
        <v>87</v>
      </c>
      <c r="F7533" s="55">
        <v>103</v>
      </c>
      <c r="G7533" s="63">
        <v>7.0099999999999996E-2</v>
      </c>
    </row>
    <row r="7534" spans="1:7" x14ac:dyDescent="0.2">
      <c r="A7534" t="s">
        <v>71</v>
      </c>
      <c r="B7534" t="s">
        <v>159</v>
      </c>
      <c r="C7534" t="s">
        <v>212</v>
      </c>
      <c r="D7534" t="s">
        <v>74</v>
      </c>
      <c r="E7534" t="s">
        <v>88</v>
      </c>
      <c r="F7534" s="55">
        <v>98</v>
      </c>
      <c r="G7534" s="63">
        <v>2.87E-2</v>
      </c>
    </row>
    <row r="7535" spans="1:7" x14ac:dyDescent="0.2">
      <c r="A7535" t="s">
        <v>89</v>
      </c>
      <c r="B7535" t="s">
        <v>160</v>
      </c>
      <c r="C7535" t="s">
        <v>212</v>
      </c>
      <c r="D7535" t="s">
        <v>74</v>
      </c>
      <c r="E7535" t="s">
        <v>75</v>
      </c>
      <c r="F7535" s="55">
        <v>104</v>
      </c>
      <c r="G7535" s="63">
        <v>4.7800000000000002E-2</v>
      </c>
    </row>
    <row r="7536" spans="1:7" x14ac:dyDescent="0.2">
      <c r="A7536" t="s">
        <v>89</v>
      </c>
      <c r="B7536" t="s">
        <v>160</v>
      </c>
      <c r="C7536" t="s">
        <v>212</v>
      </c>
      <c r="D7536" t="s">
        <v>74</v>
      </c>
      <c r="E7536" t="s">
        <v>76</v>
      </c>
      <c r="F7536" s="55">
        <v>101</v>
      </c>
      <c r="G7536" s="63">
        <v>4.4000000000000003E-3</v>
      </c>
    </row>
    <row r="7537" spans="1:7" x14ac:dyDescent="0.2">
      <c r="A7537" t="s">
        <v>89</v>
      </c>
      <c r="B7537" t="s">
        <v>160</v>
      </c>
      <c r="C7537" t="s">
        <v>212</v>
      </c>
      <c r="D7537" t="s">
        <v>74</v>
      </c>
      <c r="E7537" t="s">
        <v>77</v>
      </c>
      <c r="F7537" s="55">
        <v>107</v>
      </c>
      <c r="G7537" s="63">
        <v>1.15E-2</v>
      </c>
    </row>
    <row r="7538" spans="1:7" x14ac:dyDescent="0.2">
      <c r="A7538" t="s">
        <v>89</v>
      </c>
      <c r="B7538" t="s">
        <v>160</v>
      </c>
      <c r="C7538" t="s">
        <v>212</v>
      </c>
      <c r="D7538" t="s">
        <v>74</v>
      </c>
      <c r="E7538" t="s">
        <v>78</v>
      </c>
      <c r="F7538" s="55">
        <v>105</v>
      </c>
      <c r="G7538" s="63">
        <v>1.0999999999999999E-2</v>
      </c>
    </row>
    <row r="7539" spans="1:7" x14ac:dyDescent="0.2">
      <c r="A7539" t="s">
        <v>89</v>
      </c>
      <c r="B7539" t="s">
        <v>160</v>
      </c>
      <c r="C7539" t="s">
        <v>212</v>
      </c>
      <c r="D7539" t="s">
        <v>74</v>
      </c>
      <c r="E7539" t="s">
        <v>79</v>
      </c>
      <c r="F7539" s="55">
        <v>105</v>
      </c>
      <c r="G7539" s="63">
        <v>2.81E-2</v>
      </c>
    </row>
    <row r="7540" spans="1:7" x14ac:dyDescent="0.2">
      <c r="A7540" t="s">
        <v>89</v>
      </c>
      <c r="B7540" t="s">
        <v>160</v>
      </c>
      <c r="C7540" t="s">
        <v>212</v>
      </c>
      <c r="D7540" t="s">
        <v>74</v>
      </c>
      <c r="E7540" t="s">
        <v>80</v>
      </c>
      <c r="F7540" s="55">
        <v>105</v>
      </c>
      <c r="G7540" s="63">
        <v>5.4999999999999997E-3</v>
      </c>
    </row>
    <row r="7541" spans="1:7" x14ac:dyDescent="0.2">
      <c r="A7541" t="s">
        <v>89</v>
      </c>
      <c r="B7541" t="s">
        <v>160</v>
      </c>
      <c r="C7541" t="s">
        <v>212</v>
      </c>
      <c r="D7541" t="s">
        <v>74</v>
      </c>
      <c r="E7541" t="s">
        <v>81</v>
      </c>
      <c r="F7541" s="55">
        <v>103</v>
      </c>
      <c r="G7541" s="63">
        <v>6.1999999999999998E-3</v>
      </c>
    </row>
    <row r="7542" spans="1:7" x14ac:dyDescent="0.2">
      <c r="A7542" t="s">
        <v>89</v>
      </c>
      <c r="B7542" t="s">
        <v>160</v>
      </c>
      <c r="C7542" t="s">
        <v>212</v>
      </c>
      <c r="D7542" t="s">
        <v>74</v>
      </c>
      <c r="E7542" t="s">
        <v>82</v>
      </c>
      <c r="F7542" s="55">
        <v>103</v>
      </c>
      <c r="G7542" s="63">
        <v>1.8800000000000001E-2</v>
      </c>
    </row>
    <row r="7543" spans="1:7" x14ac:dyDescent="0.2">
      <c r="A7543" t="s">
        <v>89</v>
      </c>
      <c r="B7543" t="s">
        <v>160</v>
      </c>
      <c r="C7543" t="s">
        <v>212</v>
      </c>
      <c r="D7543" t="s">
        <v>74</v>
      </c>
      <c r="E7543" t="s">
        <v>83</v>
      </c>
      <c r="F7543" s="55">
        <v>108</v>
      </c>
      <c r="G7543" s="63">
        <v>3.0999999999999999E-3</v>
      </c>
    </row>
    <row r="7544" spans="1:7" x14ac:dyDescent="0.2">
      <c r="A7544" t="s">
        <v>89</v>
      </c>
      <c r="B7544" t="s">
        <v>160</v>
      </c>
      <c r="C7544" t="s">
        <v>212</v>
      </c>
      <c r="D7544" t="s">
        <v>74</v>
      </c>
      <c r="E7544" t="s">
        <v>84</v>
      </c>
      <c r="F7544" s="55">
        <v>102</v>
      </c>
      <c r="G7544" s="63">
        <v>7.1999999999999998E-3</v>
      </c>
    </row>
    <row r="7545" spans="1:7" x14ac:dyDescent="0.2">
      <c r="A7545" t="s">
        <v>89</v>
      </c>
      <c r="B7545" t="s">
        <v>160</v>
      </c>
      <c r="C7545" t="s">
        <v>212</v>
      </c>
      <c r="D7545" t="s">
        <v>74</v>
      </c>
      <c r="E7545" t="s">
        <v>85</v>
      </c>
      <c r="F7545" s="55">
        <v>98</v>
      </c>
      <c r="G7545" s="63">
        <v>6.6E-3</v>
      </c>
    </row>
    <row r="7546" spans="1:7" x14ac:dyDescent="0.2">
      <c r="A7546" t="s">
        <v>89</v>
      </c>
      <c r="B7546" t="s">
        <v>160</v>
      </c>
      <c r="C7546" t="s">
        <v>212</v>
      </c>
      <c r="D7546" t="s">
        <v>74</v>
      </c>
      <c r="E7546" t="s">
        <v>86</v>
      </c>
      <c r="F7546" s="55">
        <v>105</v>
      </c>
      <c r="G7546" s="63">
        <v>9.1999999999999998E-3</v>
      </c>
    </row>
    <row r="7547" spans="1:7" x14ac:dyDescent="0.2">
      <c r="A7547" t="s">
        <v>89</v>
      </c>
      <c r="B7547" t="s">
        <v>160</v>
      </c>
      <c r="C7547" t="s">
        <v>212</v>
      </c>
      <c r="D7547" t="s">
        <v>74</v>
      </c>
      <c r="E7547" t="s">
        <v>87</v>
      </c>
      <c r="F7547" s="55">
        <v>106</v>
      </c>
      <c r="G7547" s="63">
        <v>1.0999999999999999E-2</v>
      </c>
    </row>
    <row r="7548" spans="1:7" x14ac:dyDescent="0.2">
      <c r="A7548" t="s">
        <v>89</v>
      </c>
      <c r="B7548" t="s">
        <v>160</v>
      </c>
      <c r="C7548" t="s">
        <v>212</v>
      </c>
      <c r="D7548" t="s">
        <v>74</v>
      </c>
      <c r="E7548" t="s">
        <v>88</v>
      </c>
      <c r="F7548" s="55">
        <v>99</v>
      </c>
      <c r="G7548" s="63">
        <v>6.8999999999999999E-3</v>
      </c>
    </row>
    <row r="7549" spans="1:7" x14ac:dyDescent="0.2">
      <c r="A7549" t="s">
        <v>71</v>
      </c>
      <c r="B7549" t="s">
        <v>161</v>
      </c>
      <c r="C7549" t="s">
        <v>212</v>
      </c>
      <c r="D7549" t="s">
        <v>74</v>
      </c>
      <c r="E7549" t="s">
        <v>75</v>
      </c>
      <c r="F7549" s="55">
        <v>63</v>
      </c>
      <c r="G7549" s="63">
        <v>4.6199999999999998E-2</v>
      </c>
    </row>
    <row r="7550" spans="1:7" x14ac:dyDescent="0.2">
      <c r="A7550" t="s">
        <v>71</v>
      </c>
      <c r="B7550" t="s">
        <v>161</v>
      </c>
      <c r="C7550" t="s">
        <v>212</v>
      </c>
      <c r="D7550" t="s">
        <v>74</v>
      </c>
      <c r="E7550" t="s">
        <v>76</v>
      </c>
      <c r="F7550" s="55">
        <v>70</v>
      </c>
      <c r="G7550" s="63">
        <v>3.8999999999999998E-3</v>
      </c>
    </row>
    <row r="7551" spans="1:7" x14ac:dyDescent="0.2">
      <c r="A7551" t="s">
        <v>71</v>
      </c>
      <c r="B7551" t="s">
        <v>161</v>
      </c>
      <c r="C7551" t="s">
        <v>212</v>
      </c>
      <c r="D7551" t="s">
        <v>74</v>
      </c>
      <c r="E7551" t="s">
        <v>77</v>
      </c>
      <c r="F7551" s="55">
        <v>66</v>
      </c>
      <c r="G7551" s="63">
        <v>1.2200000000000001E-2</v>
      </c>
    </row>
    <row r="7552" spans="1:7" x14ac:dyDescent="0.2">
      <c r="A7552" t="s">
        <v>71</v>
      </c>
      <c r="B7552" t="s">
        <v>161</v>
      </c>
      <c r="C7552" t="s">
        <v>212</v>
      </c>
      <c r="D7552" t="s">
        <v>74</v>
      </c>
      <c r="E7552" t="s">
        <v>78</v>
      </c>
      <c r="F7552" s="55">
        <v>66</v>
      </c>
      <c r="G7552" s="63">
        <v>9.9000000000000008E-3</v>
      </c>
    </row>
    <row r="7553" spans="1:7" x14ac:dyDescent="0.2">
      <c r="A7553" t="s">
        <v>71</v>
      </c>
      <c r="B7553" t="s">
        <v>161</v>
      </c>
      <c r="C7553" t="s">
        <v>212</v>
      </c>
      <c r="D7553" t="s">
        <v>74</v>
      </c>
      <c r="E7553" t="s">
        <v>79</v>
      </c>
      <c r="F7553" s="55">
        <v>61</v>
      </c>
      <c r="G7553" s="63">
        <v>2.8199999999999999E-2</v>
      </c>
    </row>
    <row r="7554" spans="1:7" x14ac:dyDescent="0.2">
      <c r="A7554" t="s">
        <v>71</v>
      </c>
      <c r="B7554" t="s">
        <v>161</v>
      </c>
      <c r="C7554" t="s">
        <v>212</v>
      </c>
      <c r="D7554" t="s">
        <v>74</v>
      </c>
      <c r="E7554" t="s">
        <v>80</v>
      </c>
      <c r="F7554" s="55">
        <v>60</v>
      </c>
      <c r="G7554" s="63">
        <v>6.4999999999999997E-3</v>
      </c>
    </row>
    <row r="7555" spans="1:7" x14ac:dyDescent="0.2">
      <c r="A7555" t="s">
        <v>71</v>
      </c>
      <c r="B7555" t="s">
        <v>161</v>
      </c>
      <c r="C7555" t="s">
        <v>212</v>
      </c>
      <c r="D7555" t="s">
        <v>74</v>
      </c>
      <c r="E7555" t="s">
        <v>81</v>
      </c>
      <c r="F7555" s="55">
        <v>61</v>
      </c>
      <c r="G7555" s="63">
        <v>6.6E-3</v>
      </c>
    </row>
    <row r="7556" spans="1:7" x14ac:dyDescent="0.2">
      <c r="A7556" t="s">
        <v>71</v>
      </c>
      <c r="B7556" t="s">
        <v>161</v>
      </c>
      <c r="C7556" t="s">
        <v>212</v>
      </c>
      <c r="D7556" t="s">
        <v>74</v>
      </c>
      <c r="E7556" t="s">
        <v>82</v>
      </c>
      <c r="F7556" s="55">
        <v>63</v>
      </c>
      <c r="G7556" s="63">
        <v>1.9099999999999999E-2</v>
      </c>
    </row>
    <row r="7557" spans="1:7" x14ac:dyDescent="0.2">
      <c r="A7557" t="s">
        <v>71</v>
      </c>
      <c r="B7557" t="s">
        <v>161</v>
      </c>
      <c r="C7557" t="s">
        <v>212</v>
      </c>
      <c r="D7557" t="s">
        <v>74</v>
      </c>
      <c r="E7557" t="s">
        <v>83</v>
      </c>
      <c r="F7557" s="55">
        <v>64</v>
      </c>
      <c r="G7557" s="63">
        <v>2.8E-3</v>
      </c>
    </row>
    <row r="7558" spans="1:7" x14ac:dyDescent="0.2">
      <c r="A7558" t="s">
        <v>71</v>
      </c>
      <c r="B7558" t="s">
        <v>161</v>
      </c>
      <c r="C7558" t="s">
        <v>212</v>
      </c>
      <c r="D7558" t="s">
        <v>74</v>
      </c>
      <c r="E7558" t="s">
        <v>84</v>
      </c>
      <c r="F7558" s="55">
        <v>71</v>
      </c>
      <c r="G7558" s="63">
        <v>6.7999999999999996E-3</v>
      </c>
    </row>
    <row r="7559" spans="1:7" x14ac:dyDescent="0.2">
      <c r="A7559" t="s">
        <v>71</v>
      </c>
      <c r="B7559" t="s">
        <v>161</v>
      </c>
      <c r="C7559" t="s">
        <v>212</v>
      </c>
      <c r="D7559" t="s">
        <v>74</v>
      </c>
      <c r="E7559" t="s">
        <v>85</v>
      </c>
      <c r="F7559" s="55">
        <v>61</v>
      </c>
      <c r="G7559" s="63">
        <v>7.6E-3</v>
      </c>
    </row>
    <row r="7560" spans="1:7" x14ac:dyDescent="0.2">
      <c r="A7560" t="s">
        <v>71</v>
      </c>
      <c r="B7560" t="s">
        <v>161</v>
      </c>
      <c r="C7560" t="s">
        <v>212</v>
      </c>
      <c r="D7560" t="s">
        <v>74</v>
      </c>
      <c r="E7560" t="s">
        <v>86</v>
      </c>
      <c r="F7560" s="55">
        <v>60</v>
      </c>
      <c r="G7560" s="63">
        <v>1.03E-2</v>
      </c>
    </row>
    <row r="7561" spans="1:7" x14ac:dyDescent="0.2">
      <c r="A7561" t="s">
        <v>71</v>
      </c>
      <c r="B7561" t="s">
        <v>161</v>
      </c>
      <c r="C7561" t="s">
        <v>212</v>
      </c>
      <c r="D7561" t="s">
        <v>74</v>
      </c>
      <c r="E7561" t="s">
        <v>87</v>
      </c>
      <c r="F7561" s="55">
        <v>62</v>
      </c>
      <c r="G7561" s="63">
        <v>1.17E-2</v>
      </c>
    </row>
    <row r="7562" spans="1:7" x14ac:dyDescent="0.2">
      <c r="A7562" t="s">
        <v>71</v>
      </c>
      <c r="B7562" t="s">
        <v>161</v>
      </c>
      <c r="C7562" t="s">
        <v>212</v>
      </c>
      <c r="D7562" t="s">
        <v>74</v>
      </c>
      <c r="E7562" t="s">
        <v>88</v>
      </c>
      <c r="F7562" s="55">
        <v>66</v>
      </c>
      <c r="G7562" s="63">
        <v>6.4999999999999997E-3</v>
      </c>
    </row>
    <row r="7563" spans="1:7" x14ac:dyDescent="0.2">
      <c r="A7563" t="s">
        <v>89</v>
      </c>
      <c r="B7563" t="s">
        <v>214</v>
      </c>
      <c r="C7563" t="s">
        <v>212</v>
      </c>
      <c r="D7563" t="s">
        <v>74</v>
      </c>
      <c r="E7563" t="s">
        <v>75</v>
      </c>
      <c r="F7563" s="55">
        <v>70</v>
      </c>
      <c r="G7563" s="63">
        <v>8.9999999999999998E-4</v>
      </c>
    </row>
    <row r="7564" spans="1:7" x14ac:dyDescent="0.2">
      <c r="A7564" t="s">
        <v>89</v>
      </c>
      <c r="B7564" t="s">
        <v>214</v>
      </c>
      <c r="C7564" t="s">
        <v>212</v>
      </c>
      <c r="D7564" t="s">
        <v>74</v>
      </c>
      <c r="E7564" t="s">
        <v>77</v>
      </c>
      <c r="F7564" s="55">
        <v>76</v>
      </c>
      <c r="G7564" s="63">
        <v>1E-4</v>
      </c>
    </row>
    <row r="7565" spans="1:7" x14ac:dyDescent="0.2">
      <c r="A7565" t="s">
        <v>89</v>
      </c>
      <c r="B7565" t="s">
        <v>214</v>
      </c>
      <c r="C7565" t="s">
        <v>212</v>
      </c>
      <c r="D7565" t="s">
        <v>74</v>
      </c>
      <c r="E7565" t="s">
        <v>79</v>
      </c>
      <c r="F7565" s="55">
        <v>81</v>
      </c>
      <c r="G7565" s="63">
        <v>5.0000000000000001E-4</v>
      </c>
    </row>
    <row r="7566" spans="1:7" x14ac:dyDescent="0.2">
      <c r="A7566" t="s">
        <v>89</v>
      </c>
      <c r="B7566" t="s">
        <v>214</v>
      </c>
      <c r="C7566" t="s">
        <v>212</v>
      </c>
      <c r="D7566" t="s">
        <v>74</v>
      </c>
      <c r="E7566" t="s">
        <v>82</v>
      </c>
      <c r="F7566" s="55">
        <v>68</v>
      </c>
      <c r="G7566" s="63">
        <v>2.9999999999999997E-4</v>
      </c>
    </row>
    <row r="7567" spans="1:7" x14ac:dyDescent="0.2">
      <c r="A7567" t="s">
        <v>89</v>
      </c>
      <c r="B7567" t="s">
        <v>214</v>
      </c>
      <c r="C7567" t="s">
        <v>212</v>
      </c>
      <c r="D7567" t="s">
        <v>74</v>
      </c>
      <c r="E7567" t="s">
        <v>87</v>
      </c>
      <c r="F7567" s="55">
        <v>80</v>
      </c>
      <c r="G7567" s="63">
        <v>1E-4</v>
      </c>
    </row>
    <row r="7568" spans="1:7" x14ac:dyDescent="0.2">
      <c r="A7568" t="s">
        <v>71</v>
      </c>
      <c r="B7568" t="s">
        <v>162</v>
      </c>
      <c r="C7568" t="s">
        <v>212</v>
      </c>
      <c r="D7568" t="s">
        <v>74</v>
      </c>
      <c r="E7568" t="s">
        <v>75</v>
      </c>
      <c r="F7568" s="55">
        <v>43</v>
      </c>
      <c r="G7568" s="63">
        <v>5.8500000000000003E-2</v>
      </c>
    </row>
    <row r="7569" spans="1:7" x14ac:dyDescent="0.2">
      <c r="A7569" t="s">
        <v>71</v>
      </c>
      <c r="B7569" t="s">
        <v>162</v>
      </c>
      <c r="C7569" t="s">
        <v>212</v>
      </c>
      <c r="D7569" t="s">
        <v>74</v>
      </c>
      <c r="E7569" t="s">
        <v>76</v>
      </c>
      <c r="F7569" s="55">
        <v>46</v>
      </c>
      <c r="G7569" s="63">
        <v>5.5999999999999999E-3</v>
      </c>
    </row>
    <row r="7570" spans="1:7" x14ac:dyDescent="0.2">
      <c r="A7570" t="s">
        <v>71</v>
      </c>
      <c r="B7570" t="s">
        <v>162</v>
      </c>
      <c r="C7570" t="s">
        <v>212</v>
      </c>
      <c r="D7570" t="s">
        <v>74</v>
      </c>
      <c r="E7570" t="s">
        <v>77</v>
      </c>
      <c r="F7570" s="55">
        <v>42</v>
      </c>
      <c r="G7570" s="63">
        <v>1.6400000000000001E-2</v>
      </c>
    </row>
    <row r="7571" spans="1:7" x14ac:dyDescent="0.2">
      <c r="A7571" t="s">
        <v>71</v>
      </c>
      <c r="B7571" t="s">
        <v>162</v>
      </c>
      <c r="C7571" t="s">
        <v>212</v>
      </c>
      <c r="D7571" t="s">
        <v>74</v>
      </c>
      <c r="E7571" t="s">
        <v>78</v>
      </c>
      <c r="F7571" s="55">
        <v>43</v>
      </c>
      <c r="G7571" s="63">
        <v>1.2500000000000001E-2</v>
      </c>
    </row>
    <row r="7572" spans="1:7" x14ac:dyDescent="0.2">
      <c r="A7572" t="s">
        <v>71</v>
      </c>
      <c r="B7572" t="s">
        <v>162</v>
      </c>
      <c r="C7572" t="s">
        <v>212</v>
      </c>
      <c r="D7572" t="s">
        <v>74</v>
      </c>
      <c r="E7572" t="s">
        <v>79</v>
      </c>
      <c r="F7572" s="55">
        <v>44</v>
      </c>
      <c r="G7572" s="63">
        <v>3.1899999999999998E-2</v>
      </c>
    </row>
    <row r="7573" spans="1:7" x14ac:dyDescent="0.2">
      <c r="A7573" t="s">
        <v>71</v>
      </c>
      <c r="B7573" t="s">
        <v>162</v>
      </c>
      <c r="C7573" t="s">
        <v>212</v>
      </c>
      <c r="D7573" t="s">
        <v>74</v>
      </c>
      <c r="E7573" t="s">
        <v>80</v>
      </c>
      <c r="F7573" s="55">
        <v>42</v>
      </c>
      <c r="G7573" s="63">
        <v>7.1999999999999998E-3</v>
      </c>
    </row>
    <row r="7574" spans="1:7" x14ac:dyDescent="0.2">
      <c r="A7574" t="s">
        <v>71</v>
      </c>
      <c r="B7574" t="s">
        <v>162</v>
      </c>
      <c r="C7574" t="s">
        <v>212</v>
      </c>
      <c r="D7574" t="s">
        <v>74</v>
      </c>
      <c r="E7574" t="s">
        <v>81</v>
      </c>
      <c r="F7574" s="55">
        <v>47</v>
      </c>
      <c r="G7574" s="63">
        <v>1.0699999999999999E-2</v>
      </c>
    </row>
    <row r="7575" spans="1:7" x14ac:dyDescent="0.2">
      <c r="A7575" t="s">
        <v>71</v>
      </c>
      <c r="B7575" t="s">
        <v>162</v>
      </c>
      <c r="C7575" t="s">
        <v>212</v>
      </c>
      <c r="D7575" t="s">
        <v>74</v>
      </c>
      <c r="E7575" t="s">
        <v>82</v>
      </c>
      <c r="F7575" s="55">
        <v>42</v>
      </c>
      <c r="G7575" s="63">
        <v>2.5499999999999998E-2</v>
      </c>
    </row>
    <row r="7576" spans="1:7" x14ac:dyDescent="0.2">
      <c r="A7576" t="s">
        <v>71</v>
      </c>
      <c r="B7576" t="s">
        <v>162</v>
      </c>
      <c r="C7576" t="s">
        <v>212</v>
      </c>
      <c r="D7576" t="s">
        <v>74</v>
      </c>
      <c r="E7576" t="s">
        <v>83</v>
      </c>
      <c r="F7576" s="55">
        <v>52</v>
      </c>
      <c r="G7576" s="63">
        <v>5.1999999999999998E-3</v>
      </c>
    </row>
    <row r="7577" spans="1:7" x14ac:dyDescent="0.2">
      <c r="A7577" t="s">
        <v>71</v>
      </c>
      <c r="B7577" t="s">
        <v>162</v>
      </c>
      <c r="C7577" t="s">
        <v>212</v>
      </c>
      <c r="D7577" t="s">
        <v>74</v>
      </c>
      <c r="E7577" t="s">
        <v>84</v>
      </c>
      <c r="F7577" s="55">
        <v>44</v>
      </c>
      <c r="G7577" s="63">
        <v>9.4999999999999998E-3</v>
      </c>
    </row>
    <row r="7578" spans="1:7" x14ac:dyDescent="0.2">
      <c r="A7578" t="s">
        <v>71</v>
      </c>
      <c r="B7578" t="s">
        <v>162</v>
      </c>
      <c r="C7578" t="s">
        <v>212</v>
      </c>
      <c r="D7578" t="s">
        <v>74</v>
      </c>
      <c r="E7578" t="s">
        <v>85</v>
      </c>
      <c r="F7578" s="55">
        <v>40</v>
      </c>
      <c r="G7578" s="63">
        <v>7.7999999999999996E-3</v>
      </c>
    </row>
    <row r="7579" spans="1:7" x14ac:dyDescent="0.2">
      <c r="A7579" t="s">
        <v>71</v>
      </c>
      <c r="B7579" t="s">
        <v>162</v>
      </c>
      <c r="C7579" t="s">
        <v>212</v>
      </c>
      <c r="D7579" t="s">
        <v>74</v>
      </c>
      <c r="E7579" t="s">
        <v>86</v>
      </c>
      <c r="F7579" s="55">
        <v>43</v>
      </c>
      <c r="G7579" s="63">
        <v>1.09E-2</v>
      </c>
    </row>
    <row r="7580" spans="1:7" x14ac:dyDescent="0.2">
      <c r="A7580" t="s">
        <v>71</v>
      </c>
      <c r="B7580" t="s">
        <v>162</v>
      </c>
      <c r="C7580" t="s">
        <v>212</v>
      </c>
      <c r="D7580" t="s">
        <v>74</v>
      </c>
      <c r="E7580" t="s">
        <v>87</v>
      </c>
      <c r="F7580" s="55">
        <v>45</v>
      </c>
      <c r="G7580" s="63">
        <v>1.3299999999999999E-2</v>
      </c>
    </row>
    <row r="7581" spans="1:7" x14ac:dyDescent="0.2">
      <c r="A7581" t="s">
        <v>71</v>
      </c>
      <c r="B7581" t="s">
        <v>162</v>
      </c>
      <c r="C7581" t="s">
        <v>212</v>
      </c>
      <c r="D7581" t="s">
        <v>74</v>
      </c>
      <c r="E7581" t="s">
        <v>88</v>
      </c>
      <c r="F7581" s="55">
        <v>46</v>
      </c>
      <c r="G7581" s="63">
        <v>1.0999999999999999E-2</v>
      </c>
    </row>
    <row r="7582" spans="1:7" x14ac:dyDescent="0.2">
      <c r="A7582" t="s">
        <v>89</v>
      </c>
      <c r="B7582" t="s">
        <v>215</v>
      </c>
      <c r="C7582" t="s">
        <v>212</v>
      </c>
      <c r="D7582" t="s">
        <v>74</v>
      </c>
      <c r="E7582" t="s">
        <v>75</v>
      </c>
      <c r="F7582" s="55">
        <v>100</v>
      </c>
      <c r="G7582" s="63">
        <v>4.7000000000000002E-3</v>
      </c>
    </row>
    <row r="7583" spans="1:7" x14ac:dyDescent="0.2">
      <c r="A7583" t="s">
        <v>89</v>
      </c>
      <c r="B7583" t="s">
        <v>215</v>
      </c>
      <c r="C7583" t="s">
        <v>212</v>
      </c>
      <c r="D7583" t="s">
        <v>74</v>
      </c>
      <c r="E7583" t="s">
        <v>76</v>
      </c>
      <c r="F7583" s="55">
        <v>114</v>
      </c>
      <c r="G7583" s="63">
        <v>2.0000000000000001E-4</v>
      </c>
    </row>
    <row r="7584" spans="1:7" x14ac:dyDescent="0.2">
      <c r="A7584" t="s">
        <v>89</v>
      </c>
      <c r="B7584" t="s">
        <v>215</v>
      </c>
      <c r="C7584" t="s">
        <v>212</v>
      </c>
      <c r="D7584" t="s">
        <v>74</v>
      </c>
      <c r="E7584" t="s">
        <v>77</v>
      </c>
      <c r="F7584" s="55">
        <v>94</v>
      </c>
      <c r="G7584" s="63">
        <v>8.9999999999999998E-4</v>
      </c>
    </row>
    <row r="7585" spans="1:7" x14ac:dyDescent="0.2">
      <c r="A7585" t="s">
        <v>89</v>
      </c>
      <c r="B7585" t="s">
        <v>215</v>
      </c>
      <c r="C7585" t="s">
        <v>212</v>
      </c>
      <c r="D7585" t="s">
        <v>74</v>
      </c>
      <c r="E7585" t="s">
        <v>78</v>
      </c>
      <c r="F7585" s="55">
        <v>102</v>
      </c>
      <c r="G7585" s="63">
        <v>6.9999999999999999E-4</v>
      </c>
    </row>
    <row r="7586" spans="1:7" x14ac:dyDescent="0.2">
      <c r="A7586" t="s">
        <v>89</v>
      </c>
      <c r="B7586" t="s">
        <v>215</v>
      </c>
      <c r="C7586" t="s">
        <v>212</v>
      </c>
      <c r="D7586" t="s">
        <v>74</v>
      </c>
      <c r="E7586" t="s">
        <v>79</v>
      </c>
      <c r="F7586" s="55">
        <v>98</v>
      </c>
      <c r="G7586" s="63">
        <v>2E-3</v>
      </c>
    </row>
    <row r="7587" spans="1:7" x14ac:dyDescent="0.2">
      <c r="A7587" t="s">
        <v>89</v>
      </c>
      <c r="B7587" t="s">
        <v>215</v>
      </c>
      <c r="C7587" t="s">
        <v>212</v>
      </c>
      <c r="D7587" t="s">
        <v>74</v>
      </c>
      <c r="E7587" t="s">
        <v>80</v>
      </c>
      <c r="F7587" s="55">
        <v>109</v>
      </c>
      <c r="G7587" s="63">
        <v>2.0000000000000001E-4</v>
      </c>
    </row>
    <row r="7588" spans="1:7" x14ac:dyDescent="0.2">
      <c r="A7588" t="s">
        <v>89</v>
      </c>
      <c r="B7588" t="s">
        <v>215</v>
      </c>
      <c r="C7588" t="s">
        <v>212</v>
      </c>
      <c r="D7588" t="s">
        <v>74</v>
      </c>
      <c r="E7588" t="s">
        <v>81</v>
      </c>
      <c r="F7588" s="55">
        <v>89</v>
      </c>
      <c r="G7588" s="63">
        <v>2.9999999999999997E-4</v>
      </c>
    </row>
    <row r="7589" spans="1:7" x14ac:dyDescent="0.2">
      <c r="A7589" t="s">
        <v>89</v>
      </c>
      <c r="B7589" t="s">
        <v>215</v>
      </c>
      <c r="C7589" t="s">
        <v>212</v>
      </c>
      <c r="D7589" t="s">
        <v>74</v>
      </c>
      <c r="E7589" t="s">
        <v>82</v>
      </c>
      <c r="F7589" s="55">
        <v>108</v>
      </c>
      <c r="G7589" s="63">
        <v>1.2999999999999999E-3</v>
      </c>
    </row>
    <row r="7590" spans="1:7" x14ac:dyDescent="0.2">
      <c r="A7590" t="s">
        <v>89</v>
      </c>
      <c r="B7590" t="s">
        <v>215</v>
      </c>
      <c r="C7590" t="s">
        <v>212</v>
      </c>
      <c r="D7590" t="s">
        <v>74</v>
      </c>
      <c r="E7590" t="s">
        <v>83</v>
      </c>
      <c r="F7590" s="55">
        <v>99</v>
      </c>
      <c r="G7590" s="63">
        <v>1E-4</v>
      </c>
    </row>
    <row r="7591" spans="1:7" x14ac:dyDescent="0.2">
      <c r="A7591" t="s">
        <v>89</v>
      </c>
      <c r="B7591" t="s">
        <v>215</v>
      </c>
      <c r="C7591" t="s">
        <v>212</v>
      </c>
      <c r="D7591" t="s">
        <v>74</v>
      </c>
      <c r="E7591" t="s">
        <v>84</v>
      </c>
      <c r="F7591" s="55">
        <v>111</v>
      </c>
      <c r="G7591" s="63">
        <v>4.0000000000000002E-4</v>
      </c>
    </row>
    <row r="7592" spans="1:7" x14ac:dyDescent="0.2">
      <c r="A7592" t="s">
        <v>89</v>
      </c>
      <c r="B7592" t="s">
        <v>215</v>
      </c>
      <c r="C7592" t="s">
        <v>212</v>
      </c>
      <c r="D7592" t="s">
        <v>74</v>
      </c>
      <c r="E7592" t="s">
        <v>85</v>
      </c>
      <c r="F7592" s="55">
        <v>119</v>
      </c>
      <c r="G7592" s="63">
        <v>2.0000000000000001E-4</v>
      </c>
    </row>
    <row r="7593" spans="1:7" x14ac:dyDescent="0.2">
      <c r="A7593" t="s">
        <v>89</v>
      </c>
      <c r="B7593" t="s">
        <v>215</v>
      </c>
      <c r="C7593" t="s">
        <v>212</v>
      </c>
      <c r="D7593" t="s">
        <v>74</v>
      </c>
      <c r="E7593" t="s">
        <v>86</v>
      </c>
      <c r="F7593" s="55">
        <v>102</v>
      </c>
      <c r="G7593" s="63">
        <v>2.9999999999999997E-4</v>
      </c>
    </row>
    <row r="7594" spans="1:7" x14ac:dyDescent="0.2">
      <c r="A7594" t="s">
        <v>89</v>
      </c>
      <c r="B7594" t="s">
        <v>215</v>
      </c>
      <c r="C7594" t="s">
        <v>212</v>
      </c>
      <c r="D7594" t="s">
        <v>74</v>
      </c>
      <c r="E7594" t="s">
        <v>87</v>
      </c>
      <c r="F7594" s="55">
        <v>78</v>
      </c>
      <c r="G7594" s="63">
        <v>5.0000000000000001E-4</v>
      </c>
    </row>
    <row r="7595" spans="1:7" x14ac:dyDescent="0.2">
      <c r="A7595" t="s">
        <v>89</v>
      </c>
      <c r="B7595" t="s">
        <v>215</v>
      </c>
      <c r="C7595" t="s">
        <v>212</v>
      </c>
      <c r="D7595" t="s">
        <v>74</v>
      </c>
      <c r="E7595" t="s">
        <v>88</v>
      </c>
      <c r="F7595" s="55">
        <v>109</v>
      </c>
      <c r="G7595" s="63">
        <v>5.0000000000000001E-4</v>
      </c>
    </row>
    <row r="7596" spans="1:7" x14ac:dyDescent="0.2">
      <c r="A7596" t="s">
        <v>71</v>
      </c>
      <c r="B7596" t="s">
        <v>216</v>
      </c>
      <c r="C7596" t="s">
        <v>212</v>
      </c>
      <c r="D7596" t="s">
        <v>74</v>
      </c>
      <c r="E7596" t="s">
        <v>75</v>
      </c>
      <c r="F7596" s="55">
        <v>33</v>
      </c>
      <c r="G7596" s="63">
        <v>1.84E-2</v>
      </c>
    </row>
    <row r="7597" spans="1:7" x14ac:dyDescent="0.2">
      <c r="A7597" t="s">
        <v>71</v>
      </c>
      <c r="B7597" t="s">
        <v>216</v>
      </c>
      <c r="C7597" t="s">
        <v>212</v>
      </c>
      <c r="D7597" t="s">
        <v>74</v>
      </c>
      <c r="E7597" t="s">
        <v>76</v>
      </c>
      <c r="F7597" s="55">
        <v>28</v>
      </c>
      <c r="G7597" s="63">
        <v>2.5999999999999999E-3</v>
      </c>
    </row>
    <row r="7598" spans="1:7" x14ac:dyDescent="0.2">
      <c r="A7598" t="s">
        <v>71</v>
      </c>
      <c r="B7598" t="s">
        <v>216</v>
      </c>
      <c r="C7598" t="s">
        <v>212</v>
      </c>
      <c r="D7598" t="s">
        <v>74</v>
      </c>
      <c r="E7598" t="s">
        <v>77</v>
      </c>
      <c r="F7598" s="55">
        <v>34</v>
      </c>
      <c r="G7598" s="63">
        <v>6.4999999999999997E-3</v>
      </c>
    </row>
    <row r="7599" spans="1:7" x14ac:dyDescent="0.2">
      <c r="A7599" t="s">
        <v>71</v>
      </c>
      <c r="B7599" t="s">
        <v>216</v>
      </c>
      <c r="C7599" t="s">
        <v>212</v>
      </c>
      <c r="D7599" t="s">
        <v>74</v>
      </c>
      <c r="E7599" t="s">
        <v>78</v>
      </c>
      <c r="F7599" s="55">
        <v>35</v>
      </c>
      <c r="G7599" s="63">
        <v>4.4999999999999997E-3</v>
      </c>
    </row>
    <row r="7600" spans="1:7" x14ac:dyDescent="0.2">
      <c r="A7600" t="s">
        <v>71</v>
      </c>
      <c r="B7600" t="s">
        <v>216</v>
      </c>
      <c r="C7600" t="s">
        <v>212</v>
      </c>
      <c r="D7600" t="s">
        <v>74</v>
      </c>
      <c r="E7600" t="s">
        <v>79</v>
      </c>
      <c r="F7600" s="55">
        <v>34</v>
      </c>
      <c r="G7600" s="63">
        <v>1.0200000000000001E-2</v>
      </c>
    </row>
    <row r="7601" spans="1:7" x14ac:dyDescent="0.2">
      <c r="A7601" t="s">
        <v>71</v>
      </c>
      <c r="B7601" t="s">
        <v>216</v>
      </c>
      <c r="C7601" t="s">
        <v>212</v>
      </c>
      <c r="D7601" t="s">
        <v>74</v>
      </c>
      <c r="E7601" t="s">
        <v>80</v>
      </c>
      <c r="F7601" s="55">
        <v>31</v>
      </c>
      <c r="G7601" s="63">
        <v>2.8E-3</v>
      </c>
    </row>
    <row r="7602" spans="1:7" x14ac:dyDescent="0.2">
      <c r="A7602" t="s">
        <v>71</v>
      </c>
      <c r="B7602" t="s">
        <v>216</v>
      </c>
      <c r="C7602" t="s">
        <v>212</v>
      </c>
      <c r="D7602" t="s">
        <v>74</v>
      </c>
      <c r="E7602" t="s">
        <v>81</v>
      </c>
      <c r="F7602" s="55">
        <v>34</v>
      </c>
      <c r="G7602" s="63">
        <v>3.5000000000000001E-3</v>
      </c>
    </row>
    <row r="7603" spans="1:7" x14ac:dyDescent="0.2">
      <c r="A7603" t="s">
        <v>71</v>
      </c>
      <c r="B7603" t="s">
        <v>216</v>
      </c>
      <c r="C7603" t="s">
        <v>212</v>
      </c>
      <c r="D7603" t="s">
        <v>74</v>
      </c>
      <c r="E7603" t="s">
        <v>82</v>
      </c>
      <c r="F7603" s="55">
        <v>33</v>
      </c>
      <c r="G7603" s="63">
        <v>8.3999999999999995E-3</v>
      </c>
    </row>
    <row r="7604" spans="1:7" x14ac:dyDescent="0.2">
      <c r="A7604" t="s">
        <v>71</v>
      </c>
      <c r="B7604" t="s">
        <v>216</v>
      </c>
      <c r="C7604" t="s">
        <v>212</v>
      </c>
      <c r="D7604" t="s">
        <v>74</v>
      </c>
      <c r="E7604" t="s">
        <v>83</v>
      </c>
      <c r="F7604" s="55">
        <v>31</v>
      </c>
      <c r="G7604" s="63">
        <v>1.9E-3</v>
      </c>
    </row>
    <row r="7605" spans="1:7" x14ac:dyDescent="0.2">
      <c r="A7605" t="s">
        <v>71</v>
      </c>
      <c r="B7605" t="s">
        <v>216</v>
      </c>
      <c r="C7605" t="s">
        <v>212</v>
      </c>
      <c r="D7605" t="s">
        <v>74</v>
      </c>
      <c r="E7605" t="s">
        <v>84</v>
      </c>
      <c r="F7605" s="55">
        <v>35</v>
      </c>
      <c r="G7605" s="63">
        <v>3.5000000000000001E-3</v>
      </c>
    </row>
    <row r="7606" spans="1:7" x14ac:dyDescent="0.2">
      <c r="A7606" t="s">
        <v>71</v>
      </c>
      <c r="B7606" t="s">
        <v>216</v>
      </c>
      <c r="C7606" t="s">
        <v>212</v>
      </c>
      <c r="D7606" t="s">
        <v>74</v>
      </c>
      <c r="E7606" t="s">
        <v>85</v>
      </c>
      <c r="F7606" s="55">
        <v>33</v>
      </c>
      <c r="G7606" s="63">
        <v>2.7000000000000001E-3</v>
      </c>
    </row>
    <row r="7607" spans="1:7" x14ac:dyDescent="0.2">
      <c r="A7607" t="s">
        <v>71</v>
      </c>
      <c r="B7607" t="s">
        <v>216</v>
      </c>
      <c r="C7607" t="s">
        <v>212</v>
      </c>
      <c r="D7607" t="s">
        <v>74</v>
      </c>
      <c r="E7607" t="s">
        <v>86</v>
      </c>
      <c r="F7607" s="55">
        <v>33</v>
      </c>
      <c r="G7607" s="63">
        <v>3.3999999999999998E-3</v>
      </c>
    </row>
    <row r="7608" spans="1:7" x14ac:dyDescent="0.2">
      <c r="A7608" t="s">
        <v>71</v>
      </c>
      <c r="B7608" t="s">
        <v>216</v>
      </c>
      <c r="C7608" t="s">
        <v>212</v>
      </c>
      <c r="D7608" t="s">
        <v>74</v>
      </c>
      <c r="E7608" t="s">
        <v>87</v>
      </c>
      <c r="F7608" s="55">
        <v>34</v>
      </c>
      <c r="G7608" s="63">
        <v>4.1999999999999997E-3</v>
      </c>
    </row>
    <row r="7609" spans="1:7" x14ac:dyDescent="0.2">
      <c r="A7609" t="s">
        <v>71</v>
      </c>
      <c r="B7609" t="s">
        <v>216</v>
      </c>
      <c r="C7609" t="s">
        <v>212</v>
      </c>
      <c r="D7609" t="s">
        <v>74</v>
      </c>
      <c r="E7609" t="s">
        <v>88</v>
      </c>
      <c r="F7609" s="55">
        <v>29</v>
      </c>
      <c r="G7609" s="63">
        <v>4.1000000000000003E-3</v>
      </c>
    </row>
    <row r="7610" spans="1:7" x14ac:dyDescent="0.2">
      <c r="A7610" t="s">
        <v>71</v>
      </c>
      <c r="B7610" t="s">
        <v>217</v>
      </c>
      <c r="C7610" t="s">
        <v>212</v>
      </c>
      <c r="D7610" t="s">
        <v>74</v>
      </c>
      <c r="E7610" t="s">
        <v>75</v>
      </c>
      <c r="F7610" s="55">
        <v>110</v>
      </c>
      <c r="G7610" s="63">
        <v>0.25019999999999998</v>
      </c>
    </row>
    <row r="7611" spans="1:7" x14ac:dyDescent="0.2">
      <c r="A7611" t="s">
        <v>71</v>
      </c>
      <c r="B7611" t="s">
        <v>217</v>
      </c>
      <c r="C7611" t="s">
        <v>212</v>
      </c>
      <c r="D7611" t="s">
        <v>74</v>
      </c>
      <c r="E7611" t="s">
        <v>76</v>
      </c>
      <c r="F7611" s="55">
        <v>114</v>
      </c>
      <c r="G7611" s="63">
        <v>7.0400000000000004E-2</v>
      </c>
    </row>
    <row r="7612" spans="1:7" x14ac:dyDescent="0.2">
      <c r="A7612" t="s">
        <v>71</v>
      </c>
      <c r="B7612" t="s">
        <v>217</v>
      </c>
      <c r="C7612" t="s">
        <v>212</v>
      </c>
      <c r="D7612" t="s">
        <v>74</v>
      </c>
      <c r="E7612" t="s">
        <v>77</v>
      </c>
      <c r="F7612" s="55">
        <v>114</v>
      </c>
      <c r="G7612" s="63">
        <v>0.1138</v>
      </c>
    </row>
    <row r="7613" spans="1:7" x14ac:dyDescent="0.2">
      <c r="A7613" t="s">
        <v>71</v>
      </c>
      <c r="B7613" t="s">
        <v>217</v>
      </c>
      <c r="C7613" t="s">
        <v>212</v>
      </c>
      <c r="D7613" t="s">
        <v>74</v>
      </c>
      <c r="E7613" t="s">
        <v>78</v>
      </c>
      <c r="F7613" s="55">
        <v>112</v>
      </c>
      <c r="G7613" s="63">
        <v>8.2100000000000006E-2</v>
      </c>
    </row>
    <row r="7614" spans="1:7" x14ac:dyDescent="0.2">
      <c r="A7614" t="s">
        <v>71</v>
      </c>
      <c r="B7614" t="s">
        <v>217</v>
      </c>
      <c r="C7614" t="s">
        <v>212</v>
      </c>
      <c r="D7614" t="s">
        <v>74</v>
      </c>
      <c r="E7614" t="s">
        <v>79</v>
      </c>
      <c r="F7614" s="55">
        <v>106</v>
      </c>
      <c r="G7614" s="63">
        <v>0.15579999999999999</v>
      </c>
    </row>
    <row r="7615" spans="1:7" x14ac:dyDescent="0.2">
      <c r="A7615" t="s">
        <v>71</v>
      </c>
      <c r="B7615" t="s">
        <v>217</v>
      </c>
      <c r="C7615" t="s">
        <v>212</v>
      </c>
      <c r="D7615" t="s">
        <v>74</v>
      </c>
      <c r="E7615" t="s">
        <v>80</v>
      </c>
      <c r="F7615" s="55">
        <v>100</v>
      </c>
      <c r="G7615" s="63">
        <v>2.1899999999999999E-2</v>
      </c>
    </row>
    <row r="7616" spans="1:7" x14ac:dyDescent="0.2">
      <c r="A7616" t="s">
        <v>71</v>
      </c>
      <c r="B7616" t="s">
        <v>217</v>
      </c>
      <c r="C7616" t="s">
        <v>212</v>
      </c>
      <c r="D7616" t="s">
        <v>74</v>
      </c>
      <c r="E7616" t="s">
        <v>81</v>
      </c>
      <c r="F7616" s="55">
        <v>97</v>
      </c>
      <c r="G7616" s="63">
        <v>4.0800000000000003E-2</v>
      </c>
    </row>
    <row r="7617" spans="1:7" x14ac:dyDescent="0.2">
      <c r="A7617" t="s">
        <v>71</v>
      </c>
      <c r="B7617" t="s">
        <v>217</v>
      </c>
      <c r="C7617" t="s">
        <v>212</v>
      </c>
      <c r="D7617" t="s">
        <v>74</v>
      </c>
      <c r="E7617" t="s">
        <v>82</v>
      </c>
      <c r="F7617" s="55">
        <v>111</v>
      </c>
      <c r="G7617" s="63">
        <v>0.16550000000000001</v>
      </c>
    </row>
    <row r="7618" spans="1:7" x14ac:dyDescent="0.2">
      <c r="A7618" t="s">
        <v>71</v>
      </c>
      <c r="B7618" t="s">
        <v>217</v>
      </c>
      <c r="C7618" t="s">
        <v>212</v>
      </c>
      <c r="D7618" t="s">
        <v>74</v>
      </c>
      <c r="E7618" t="s">
        <v>83</v>
      </c>
      <c r="F7618" s="55">
        <v>107</v>
      </c>
      <c r="G7618" s="63">
        <v>3.8100000000000002E-2</v>
      </c>
    </row>
    <row r="7619" spans="1:7" x14ac:dyDescent="0.2">
      <c r="A7619" t="s">
        <v>71</v>
      </c>
      <c r="B7619" t="s">
        <v>217</v>
      </c>
      <c r="C7619" t="s">
        <v>212</v>
      </c>
      <c r="D7619" t="s">
        <v>74</v>
      </c>
      <c r="E7619" t="s">
        <v>84</v>
      </c>
      <c r="F7619" s="55">
        <v>111</v>
      </c>
      <c r="G7619" s="63">
        <v>6.5600000000000006E-2</v>
      </c>
    </row>
    <row r="7620" spans="1:7" x14ac:dyDescent="0.2">
      <c r="A7620" t="s">
        <v>71</v>
      </c>
      <c r="B7620" t="s">
        <v>217</v>
      </c>
      <c r="C7620" t="s">
        <v>212</v>
      </c>
      <c r="D7620" t="s">
        <v>74</v>
      </c>
      <c r="E7620" t="s">
        <v>85</v>
      </c>
      <c r="F7620" s="55">
        <v>107</v>
      </c>
      <c r="G7620" s="63">
        <v>4.7300000000000002E-2</v>
      </c>
    </row>
    <row r="7621" spans="1:7" x14ac:dyDescent="0.2">
      <c r="A7621" t="s">
        <v>71</v>
      </c>
      <c r="B7621" t="s">
        <v>217</v>
      </c>
      <c r="C7621" t="s">
        <v>212</v>
      </c>
      <c r="D7621" t="s">
        <v>74</v>
      </c>
      <c r="E7621" t="s">
        <v>86</v>
      </c>
      <c r="F7621" s="55">
        <v>109</v>
      </c>
      <c r="G7621" s="63">
        <v>5.9299999999999999E-2</v>
      </c>
    </row>
    <row r="7622" spans="1:7" x14ac:dyDescent="0.2">
      <c r="A7622" t="s">
        <v>71</v>
      </c>
      <c r="B7622" t="s">
        <v>217</v>
      </c>
      <c r="C7622" t="s">
        <v>212</v>
      </c>
      <c r="D7622" t="s">
        <v>74</v>
      </c>
      <c r="E7622" t="s">
        <v>87</v>
      </c>
      <c r="F7622" s="55">
        <v>102</v>
      </c>
      <c r="G7622" s="63">
        <v>6.7000000000000004E-2</v>
      </c>
    </row>
    <row r="7623" spans="1:7" x14ac:dyDescent="0.2">
      <c r="A7623" t="s">
        <v>71</v>
      </c>
      <c r="B7623" t="s">
        <v>217</v>
      </c>
      <c r="C7623" t="s">
        <v>212</v>
      </c>
      <c r="D7623" t="s">
        <v>74</v>
      </c>
      <c r="E7623" t="s">
        <v>88</v>
      </c>
      <c r="F7623" s="55">
        <v>113</v>
      </c>
      <c r="G7623" s="63">
        <v>9.8000000000000004E-2</v>
      </c>
    </row>
    <row r="7624" spans="1:7" x14ac:dyDescent="0.2">
      <c r="A7624" t="s">
        <v>71</v>
      </c>
      <c r="B7624" t="s">
        <v>218</v>
      </c>
      <c r="C7624" t="s">
        <v>212</v>
      </c>
      <c r="D7624" t="s">
        <v>74</v>
      </c>
      <c r="E7624" t="s">
        <v>75</v>
      </c>
      <c r="F7624" s="55">
        <v>99</v>
      </c>
      <c r="G7624" s="63">
        <v>0.54349999999999998</v>
      </c>
    </row>
    <row r="7625" spans="1:7" x14ac:dyDescent="0.2">
      <c r="A7625" t="s">
        <v>71</v>
      </c>
      <c r="B7625" t="s">
        <v>218</v>
      </c>
      <c r="C7625" t="s">
        <v>212</v>
      </c>
      <c r="D7625" t="s">
        <v>74</v>
      </c>
      <c r="E7625" t="s">
        <v>76</v>
      </c>
      <c r="F7625" s="55">
        <v>104</v>
      </c>
      <c r="G7625" s="63">
        <v>0.34720000000000001</v>
      </c>
    </row>
    <row r="7626" spans="1:7" x14ac:dyDescent="0.2">
      <c r="A7626" t="s">
        <v>71</v>
      </c>
      <c r="B7626" t="s">
        <v>218</v>
      </c>
      <c r="C7626" t="s">
        <v>212</v>
      </c>
      <c r="D7626" t="s">
        <v>74</v>
      </c>
      <c r="E7626" t="s">
        <v>77</v>
      </c>
      <c r="F7626" s="55">
        <v>102</v>
      </c>
      <c r="G7626" s="63">
        <v>0.42530000000000001</v>
      </c>
    </row>
    <row r="7627" spans="1:7" x14ac:dyDescent="0.2">
      <c r="A7627" t="s">
        <v>71</v>
      </c>
      <c r="B7627" t="s">
        <v>218</v>
      </c>
      <c r="C7627" t="s">
        <v>212</v>
      </c>
      <c r="D7627" t="s">
        <v>74</v>
      </c>
      <c r="E7627" t="s">
        <v>78</v>
      </c>
      <c r="F7627" s="55">
        <v>101</v>
      </c>
      <c r="G7627" s="63">
        <v>0.37640000000000001</v>
      </c>
    </row>
    <row r="7628" spans="1:7" x14ac:dyDescent="0.2">
      <c r="A7628" t="s">
        <v>71</v>
      </c>
      <c r="B7628" t="s">
        <v>218</v>
      </c>
      <c r="C7628" t="s">
        <v>212</v>
      </c>
      <c r="D7628" t="s">
        <v>74</v>
      </c>
      <c r="E7628" t="s">
        <v>79</v>
      </c>
      <c r="F7628" s="55">
        <v>96</v>
      </c>
      <c r="G7628" s="63">
        <v>0.45760000000000001</v>
      </c>
    </row>
    <row r="7629" spans="1:7" x14ac:dyDescent="0.2">
      <c r="A7629" t="s">
        <v>71</v>
      </c>
      <c r="B7629" t="s">
        <v>218</v>
      </c>
      <c r="C7629" t="s">
        <v>212</v>
      </c>
      <c r="D7629" t="s">
        <v>74</v>
      </c>
      <c r="E7629" t="s">
        <v>80</v>
      </c>
      <c r="F7629" s="55">
        <v>97</v>
      </c>
      <c r="G7629" s="63">
        <v>0.23980000000000001</v>
      </c>
    </row>
    <row r="7630" spans="1:7" x14ac:dyDescent="0.2">
      <c r="A7630" t="s">
        <v>71</v>
      </c>
      <c r="B7630" t="s">
        <v>218</v>
      </c>
      <c r="C7630" t="s">
        <v>212</v>
      </c>
      <c r="D7630" t="s">
        <v>74</v>
      </c>
      <c r="E7630" t="s">
        <v>81</v>
      </c>
      <c r="F7630" s="55">
        <v>96</v>
      </c>
      <c r="G7630" s="63">
        <v>0.28420000000000001</v>
      </c>
    </row>
    <row r="7631" spans="1:7" x14ac:dyDescent="0.2">
      <c r="A7631" t="s">
        <v>71</v>
      </c>
      <c r="B7631" t="s">
        <v>218</v>
      </c>
      <c r="C7631" t="s">
        <v>212</v>
      </c>
      <c r="D7631" t="s">
        <v>74</v>
      </c>
      <c r="E7631" t="s">
        <v>82</v>
      </c>
      <c r="F7631" s="55">
        <v>99</v>
      </c>
      <c r="G7631" s="63">
        <v>0.46260000000000001</v>
      </c>
    </row>
    <row r="7632" spans="1:7" x14ac:dyDescent="0.2">
      <c r="A7632" t="s">
        <v>71</v>
      </c>
      <c r="B7632" t="s">
        <v>218</v>
      </c>
      <c r="C7632" t="s">
        <v>212</v>
      </c>
      <c r="D7632" t="s">
        <v>74</v>
      </c>
      <c r="E7632" t="s">
        <v>83</v>
      </c>
      <c r="F7632" s="55">
        <v>100</v>
      </c>
      <c r="G7632" s="63">
        <v>0.26319999999999999</v>
      </c>
    </row>
    <row r="7633" spans="1:7" x14ac:dyDescent="0.2">
      <c r="A7633" t="s">
        <v>71</v>
      </c>
      <c r="B7633" t="s">
        <v>218</v>
      </c>
      <c r="C7633" t="s">
        <v>212</v>
      </c>
      <c r="D7633" t="s">
        <v>74</v>
      </c>
      <c r="E7633" t="s">
        <v>84</v>
      </c>
      <c r="F7633" s="55">
        <v>102</v>
      </c>
      <c r="G7633" s="63">
        <v>0.34499999999999997</v>
      </c>
    </row>
    <row r="7634" spans="1:7" x14ac:dyDescent="0.2">
      <c r="A7634" t="s">
        <v>71</v>
      </c>
      <c r="B7634" t="s">
        <v>218</v>
      </c>
      <c r="C7634" t="s">
        <v>212</v>
      </c>
      <c r="D7634" t="s">
        <v>74</v>
      </c>
      <c r="E7634" t="s">
        <v>85</v>
      </c>
      <c r="F7634" s="55">
        <v>99</v>
      </c>
      <c r="G7634" s="63">
        <v>0.27350000000000002</v>
      </c>
    </row>
    <row r="7635" spans="1:7" x14ac:dyDescent="0.2">
      <c r="A7635" t="s">
        <v>71</v>
      </c>
      <c r="B7635" t="s">
        <v>218</v>
      </c>
      <c r="C7635" t="s">
        <v>212</v>
      </c>
      <c r="D7635" t="s">
        <v>74</v>
      </c>
      <c r="E7635" t="s">
        <v>86</v>
      </c>
      <c r="F7635" s="55">
        <v>98</v>
      </c>
      <c r="G7635" s="63">
        <v>0.31380000000000002</v>
      </c>
    </row>
    <row r="7636" spans="1:7" x14ac:dyDescent="0.2">
      <c r="A7636" t="s">
        <v>71</v>
      </c>
      <c r="B7636" t="s">
        <v>218</v>
      </c>
      <c r="C7636" t="s">
        <v>212</v>
      </c>
      <c r="D7636" t="s">
        <v>74</v>
      </c>
      <c r="E7636" t="s">
        <v>87</v>
      </c>
      <c r="F7636" s="55">
        <v>95</v>
      </c>
      <c r="G7636" s="63">
        <v>0.33589999999999998</v>
      </c>
    </row>
    <row r="7637" spans="1:7" x14ac:dyDescent="0.2">
      <c r="A7637" t="s">
        <v>71</v>
      </c>
      <c r="B7637" t="s">
        <v>218</v>
      </c>
      <c r="C7637" t="s">
        <v>212</v>
      </c>
      <c r="D7637" t="s">
        <v>74</v>
      </c>
      <c r="E7637" t="s">
        <v>88</v>
      </c>
      <c r="F7637" s="55">
        <v>103</v>
      </c>
      <c r="G7637" s="63">
        <v>0.3866</v>
      </c>
    </row>
    <row r="7638" spans="1:7" x14ac:dyDescent="0.2">
      <c r="A7638" t="s">
        <v>71</v>
      </c>
      <c r="B7638" t="s">
        <v>163</v>
      </c>
      <c r="C7638" t="s">
        <v>212</v>
      </c>
      <c r="D7638" t="s">
        <v>74</v>
      </c>
      <c r="E7638" t="s">
        <v>75</v>
      </c>
      <c r="F7638" s="55">
        <v>91</v>
      </c>
      <c r="G7638" s="63">
        <v>0.12690000000000001</v>
      </c>
    </row>
    <row r="7639" spans="1:7" x14ac:dyDescent="0.2">
      <c r="A7639" t="s">
        <v>71</v>
      </c>
      <c r="B7639" t="s">
        <v>163</v>
      </c>
      <c r="C7639" t="s">
        <v>212</v>
      </c>
      <c r="D7639" t="s">
        <v>74</v>
      </c>
      <c r="E7639" t="s">
        <v>76</v>
      </c>
      <c r="F7639" s="55">
        <v>85</v>
      </c>
      <c r="G7639" s="63">
        <v>1.5900000000000001E-2</v>
      </c>
    </row>
    <row r="7640" spans="1:7" x14ac:dyDescent="0.2">
      <c r="A7640" t="s">
        <v>71</v>
      </c>
      <c r="B7640" t="s">
        <v>163</v>
      </c>
      <c r="C7640" t="s">
        <v>212</v>
      </c>
      <c r="D7640" t="s">
        <v>74</v>
      </c>
      <c r="E7640" t="s">
        <v>77</v>
      </c>
      <c r="F7640" s="55">
        <v>94</v>
      </c>
      <c r="G7640" s="63">
        <v>4.1500000000000002E-2</v>
      </c>
    </row>
    <row r="7641" spans="1:7" x14ac:dyDescent="0.2">
      <c r="A7641" t="s">
        <v>71</v>
      </c>
      <c r="B7641" t="s">
        <v>163</v>
      </c>
      <c r="C7641" t="s">
        <v>212</v>
      </c>
      <c r="D7641" t="s">
        <v>74</v>
      </c>
      <c r="E7641" t="s">
        <v>78</v>
      </c>
      <c r="F7641" s="55">
        <v>89</v>
      </c>
      <c r="G7641" s="63">
        <v>3.61E-2</v>
      </c>
    </row>
    <row r="7642" spans="1:7" x14ac:dyDescent="0.2">
      <c r="A7642" t="s">
        <v>71</v>
      </c>
      <c r="B7642" t="s">
        <v>163</v>
      </c>
      <c r="C7642" t="s">
        <v>212</v>
      </c>
      <c r="D7642" t="s">
        <v>74</v>
      </c>
      <c r="E7642" t="s">
        <v>79</v>
      </c>
      <c r="F7642" s="55">
        <v>89</v>
      </c>
      <c r="G7642" s="63">
        <v>7.7899999999999997E-2</v>
      </c>
    </row>
    <row r="7643" spans="1:7" x14ac:dyDescent="0.2">
      <c r="A7643" t="s">
        <v>71</v>
      </c>
      <c r="B7643" t="s">
        <v>163</v>
      </c>
      <c r="C7643" t="s">
        <v>212</v>
      </c>
      <c r="D7643" t="s">
        <v>74</v>
      </c>
      <c r="E7643" t="s">
        <v>80</v>
      </c>
      <c r="F7643" s="55">
        <v>87</v>
      </c>
      <c r="G7643" s="63">
        <v>1.7500000000000002E-2</v>
      </c>
    </row>
    <row r="7644" spans="1:7" x14ac:dyDescent="0.2">
      <c r="A7644" t="s">
        <v>71</v>
      </c>
      <c r="B7644" t="s">
        <v>163</v>
      </c>
      <c r="C7644" t="s">
        <v>212</v>
      </c>
      <c r="D7644" t="s">
        <v>74</v>
      </c>
      <c r="E7644" t="s">
        <v>81</v>
      </c>
      <c r="F7644" s="55">
        <v>86</v>
      </c>
      <c r="G7644" s="63">
        <v>1.9400000000000001E-2</v>
      </c>
    </row>
    <row r="7645" spans="1:7" x14ac:dyDescent="0.2">
      <c r="A7645" t="s">
        <v>71</v>
      </c>
      <c r="B7645" t="s">
        <v>163</v>
      </c>
      <c r="C7645" t="s">
        <v>212</v>
      </c>
      <c r="D7645" t="s">
        <v>74</v>
      </c>
      <c r="E7645" t="s">
        <v>82</v>
      </c>
      <c r="F7645" s="55">
        <v>95</v>
      </c>
      <c r="G7645" s="63">
        <v>6.7199999999999996E-2</v>
      </c>
    </row>
    <row r="7646" spans="1:7" x14ac:dyDescent="0.2">
      <c r="A7646" t="s">
        <v>71</v>
      </c>
      <c r="B7646" t="s">
        <v>163</v>
      </c>
      <c r="C7646" t="s">
        <v>212</v>
      </c>
      <c r="D7646" t="s">
        <v>74</v>
      </c>
      <c r="E7646" t="s">
        <v>83</v>
      </c>
      <c r="F7646" s="55">
        <v>80</v>
      </c>
      <c r="G7646" s="63">
        <v>0.01</v>
      </c>
    </row>
    <row r="7647" spans="1:7" x14ac:dyDescent="0.2">
      <c r="A7647" t="s">
        <v>71</v>
      </c>
      <c r="B7647" t="s">
        <v>163</v>
      </c>
      <c r="C7647" t="s">
        <v>212</v>
      </c>
      <c r="D7647" t="s">
        <v>74</v>
      </c>
      <c r="E7647" t="s">
        <v>84</v>
      </c>
      <c r="F7647" s="55">
        <v>91</v>
      </c>
      <c r="G7647" s="63">
        <v>2.6499999999999999E-2</v>
      </c>
    </row>
    <row r="7648" spans="1:7" x14ac:dyDescent="0.2">
      <c r="A7648" t="s">
        <v>71</v>
      </c>
      <c r="B7648" t="s">
        <v>163</v>
      </c>
      <c r="C7648" t="s">
        <v>212</v>
      </c>
      <c r="D7648" t="s">
        <v>74</v>
      </c>
      <c r="E7648" t="s">
        <v>85</v>
      </c>
      <c r="F7648" s="55">
        <v>85</v>
      </c>
      <c r="G7648" s="63">
        <v>2.1999999999999999E-2</v>
      </c>
    </row>
    <row r="7649" spans="1:7" x14ac:dyDescent="0.2">
      <c r="A7649" t="s">
        <v>71</v>
      </c>
      <c r="B7649" t="s">
        <v>163</v>
      </c>
      <c r="C7649" t="s">
        <v>212</v>
      </c>
      <c r="D7649" t="s">
        <v>74</v>
      </c>
      <c r="E7649" t="s">
        <v>86</v>
      </c>
      <c r="F7649" s="55">
        <v>89</v>
      </c>
      <c r="G7649" s="63">
        <v>2.9700000000000001E-2</v>
      </c>
    </row>
    <row r="7650" spans="1:7" x14ac:dyDescent="0.2">
      <c r="A7650" t="s">
        <v>71</v>
      </c>
      <c r="B7650" t="s">
        <v>163</v>
      </c>
      <c r="C7650" t="s">
        <v>212</v>
      </c>
      <c r="D7650" t="s">
        <v>74</v>
      </c>
      <c r="E7650" t="s">
        <v>87</v>
      </c>
      <c r="F7650" s="55">
        <v>91</v>
      </c>
      <c r="G7650" s="63">
        <v>3.5999999999999997E-2</v>
      </c>
    </row>
    <row r="7651" spans="1:7" x14ac:dyDescent="0.2">
      <c r="A7651" t="s">
        <v>71</v>
      </c>
      <c r="B7651" t="s">
        <v>163</v>
      </c>
      <c r="C7651" t="s">
        <v>212</v>
      </c>
      <c r="D7651" t="s">
        <v>74</v>
      </c>
      <c r="E7651" t="s">
        <v>88</v>
      </c>
      <c r="F7651" s="55">
        <v>83</v>
      </c>
      <c r="G7651" s="63">
        <v>2.4799999999999999E-2</v>
      </c>
    </row>
    <row r="7652" spans="1:7" x14ac:dyDescent="0.2">
      <c r="A7652" t="s">
        <v>89</v>
      </c>
      <c r="B7652" t="s">
        <v>164</v>
      </c>
      <c r="C7652" t="s">
        <v>212</v>
      </c>
      <c r="D7652" t="s">
        <v>74</v>
      </c>
      <c r="E7652" t="s">
        <v>75</v>
      </c>
      <c r="F7652" s="55">
        <v>73</v>
      </c>
      <c r="G7652" s="63">
        <v>6.0999999999999999E-2</v>
      </c>
    </row>
    <row r="7653" spans="1:7" x14ac:dyDescent="0.2">
      <c r="A7653" t="s">
        <v>89</v>
      </c>
      <c r="B7653" t="s">
        <v>164</v>
      </c>
      <c r="C7653" t="s">
        <v>212</v>
      </c>
      <c r="D7653" t="s">
        <v>74</v>
      </c>
      <c r="E7653" t="s">
        <v>76</v>
      </c>
      <c r="F7653" s="55">
        <v>80</v>
      </c>
      <c r="G7653" s="63">
        <v>9.4000000000000004E-3</v>
      </c>
    </row>
    <row r="7654" spans="1:7" x14ac:dyDescent="0.2">
      <c r="A7654" t="s">
        <v>89</v>
      </c>
      <c r="B7654" t="s">
        <v>164</v>
      </c>
      <c r="C7654" t="s">
        <v>212</v>
      </c>
      <c r="D7654" t="s">
        <v>74</v>
      </c>
      <c r="E7654" t="s">
        <v>77</v>
      </c>
      <c r="F7654" s="55">
        <v>82</v>
      </c>
      <c r="G7654" s="63">
        <v>2.1899999999999999E-2</v>
      </c>
    </row>
    <row r="7655" spans="1:7" x14ac:dyDescent="0.2">
      <c r="A7655" t="s">
        <v>89</v>
      </c>
      <c r="B7655" t="s">
        <v>164</v>
      </c>
      <c r="C7655" t="s">
        <v>212</v>
      </c>
      <c r="D7655" t="s">
        <v>74</v>
      </c>
      <c r="E7655" t="s">
        <v>78</v>
      </c>
      <c r="F7655" s="55">
        <v>75</v>
      </c>
      <c r="G7655" s="63">
        <v>1.84E-2</v>
      </c>
    </row>
    <row r="7656" spans="1:7" x14ac:dyDescent="0.2">
      <c r="A7656" t="s">
        <v>89</v>
      </c>
      <c r="B7656" t="s">
        <v>164</v>
      </c>
      <c r="C7656" t="s">
        <v>212</v>
      </c>
      <c r="D7656" t="s">
        <v>74</v>
      </c>
      <c r="E7656" t="s">
        <v>79</v>
      </c>
      <c r="F7656" s="55">
        <v>69</v>
      </c>
      <c r="G7656" s="63">
        <v>2.8299999999999999E-2</v>
      </c>
    </row>
    <row r="7657" spans="1:7" x14ac:dyDescent="0.2">
      <c r="A7657" t="s">
        <v>89</v>
      </c>
      <c r="B7657" t="s">
        <v>164</v>
      </c>
      <c r="C7657" t="s">
        <v>212</v>
      </c>
      <c r="D7657" t="s">
        <v>74</v>
      </c>
      <c r="E7657" t="s">
        <v>80</v>
      </c>
      <c r="F7657" s="55">
        <v>65</v>
      </c>
      <c r="G7657" s="63">
        <v>5.4999999999999997E-3</v>
      </c>
    </row>
    <row r="7658" spans="1:7" x14ac:dyDescent="0.2">
      <c r="A7658" t="s">
        <v>89</v>
      </c>
      <c r="B7658" t="s">
        <v>164</v>
      </c>
      <c r="C7658" t="s">
        <v>212</v>
      </c>
      <c r="D7658" t="s">
        <v>74</v>
      </c>
      <c r="E7658" t="s">
        <v>81</v>
      </c>
      <c r="F7658" s="55">
        <v>65</v>
      </c>
      <c r="G7658" s="63">
        <v>7.0000000000000001E-3</v>
      </c>
    </row>
    <row r="7659" spans="1:7" x14ac:dyDescent="0.2">
      <c r="A7659" t="s">
        <v>89</v>
      </c>
      <c r="B7659" t="s">
        <v>164</v>
      </c>
      <c r="C7659" t="s">
        <v>212</v>
      </c>
      <c r="D7659" t="s">
        <v>74</v>
      </c>
      <c r="E7659" t="s">
        <v>82</v>
      </c>
      <c r="F7659" s="55">
        <v>71</v>
      </c>
      <c r="G7659" s="63">
        <v>2.5100000000000001E-2</v>
      </c>
    </row>
    <row r="7660" spans="1:7" x14ac:dyDescent="0.2">
      <c r="A7660" t="s">
        <v>89</v>
      </c>
      <c r="B7660" t="s">
        <v>164</v>
      </c>
      <c r="C7660" t="s">
        <v>212</v>
      </c>
      <c r="D7660" t="s">
        <v>74</v>
      </c>
      <c r="E7660" t="s">
        <v>83</v>
      </c>
      <c r="F7660" s="55">
        <v>70</v>
      </c>
      <c r="G7660" s="63">
        <v>4.8999999999999998E-3</v>
      </c>
    </row>
    <row r="7661" spans="1:7" x14ac:dyDescent="0.2">
      <c r="A7661" t="s">
        <v>89</v>
      </c>
      <c r="B7661" t="s">
        <v>164</v>
      </c>
      <c r="C7661" t="s">
        <v>212</v>
      </c>
      <c r="D7661" t="s">
        <v>74</v>
      </c>
      <c r="E7661" t="s">
        <v>84</v>
      </c>
      <c r="F7661" s="55">
        <v>77</v>
      </c>
      <c r="G7661" s="63">
        <v>1.52E-2</v>
      </c>
    </row>
    <row r="7662" spans="1:7" x14ac:dyDescent="0.2">
      <c r="A7662" t="s">
        <v>89</v>
      </c>
      <c r="B7662" t="s">
        <v>164</v>
      </c>
      <c r="C7662" t="s">
        <v>212</v>
      </c>
      <c r="D7662" t="s">
        <v>74</v>
      </c>
      <c r="E7662" t="s">
        <v>85</v>
      </c>
      <c r="F7662" s="55">
        <v>68</v>
      </c>
      <c r="G7662" s="63">
        <v>6.0000000000000001E-3</v>
      </c>
    </row>
    <row r="7663" spans="1:7" x14ac:dyDescent="0.2">
      <c r="A7663" t="s">
        <v>89</v>
      </c>
      <c r="B7663" t="s">
        <v>164</v>
      </c>
      <c r="C7663" t="s">
        <v>212</v>
      </c>
      <c r="D7663" t="s">
        <v>74</v>
      </c>
      <c r="E7663" t="s">
        <v>86</v>
      </c>
      <c r="F7663" s="55">
        <v>67</v>
      </c>
      <c r="G7663" s="63">
        <v>7.9000000000000008E-3</v>
      </c>
    </row>
    <row r="7664" spans="1:7" x14ac:dyDescent="0.2">
      <c r="A7664" t="s">
        <v>89</v>
      </c>
      <c r="B7664" t="s">
        <v>164</v>
      </c>
      <c r="C7664" t="s">
        <v>212</v>
      </c>
      <c r="D7664" t="s">
        <v>74</v>
      </c>
      <c r="E7664" t="s">
        <v>87</v>
      </c>
      <c r="F7664" s="55">
        <v>69</v>
      </c>
      <c r="G7664" s="63">
        <v>1.03E-2</v>
      </c>
    </row>
    <row r="7665" spans="1:7" x14ac:dyDescent="0.2">
      <c r="A7665" t="s">
        <v>89</v>
      </c>
      <c r="B7665" t="s">
        <v>164</v>
      </c>
      <c r="C7665" t="s">
        <v>212</v>
      </c>
      <c r="D7665" t="s">
        <v>74</v>
      </c>
      <c r="E7665" t="s">
        <v>88</v>
      </c>
      <c r="F7665" s="55">
        <v>78</v>
      </c>
      <c r="G7665" s="63">
        <v>1.44E-2</v>
      </c>
    </row>
    <row r="7666" spans="1:7" x14ac:dyDescent="0.2">
      <c r="A7666" t="s">
        <v>89</v>
      </c>
      <c r="B7666" t="s">
        <v>165</v>
      </c>
      <c r="C7666" t="s">
        <v>212</v>
      </c>
      <c r="D7666" t="s">
        <v>74</v>
      </c>
      <c r="E7666" t="s">
        <v>75</v>
      </c>
      <c r="F7666" s="55">
        <v>82</v>
      </c>
      <c r="G7666" s="63">
        <v>4.9099999999999998E-2</v>
      </c>
    </row>
    <row r="7667" spans="1:7" x14ac:dyDescent="0.2">
      <c r="A7667" t="s">
        <v>89</v>
      </c>
      <c r="B7667" t="s">
        <v>165</v>
      </c>
      <c r="C7667" t="s">
        <v>212</v>
      </c>
      <c r="D7667" t="s">
        <v>74</v>
      </c>
      <c r="E7667" t="s">
        <v>76</v>
      </c>
      <c r="F7667" s="55">
        <v>83</v>
      </c>
      <c r="G7667" s="63">
        <v>7.1000000000000004E-3</v>
      </c>
    </row>
    <row r="7668" spans="1:7" x14ac:dyDescent="0.2">
      <c r="A7668" t="s">
        <v>89</v>
      </c>
      <c r="B7668" t="s">
        <v>165</v>
      </c>
      <c r="C7668" t="s">
        <v>212</v>
      </c>
      <c r="D7668" t="s">
        <v>74</v>
      </c>
      <c r="E7668" t="s">
        <v>77</v>
      </c>
      <c r="F7668" s="55">
        <v>86</v>
      </c>
      <c r="G7668" s="63">
        <v>1.5699999999999999E-2</v>
      </c>
    </row>
    <row r="7669" spans="1:7" x14ac:dyDescent="0.2">
      <c r="A7669" t="s">
        <v>89</v>
      </c>
      <c r="B7669" t="s">
        <v>165</v>
      </c>
      <c r="C7669" t="s">
        <v>212</v>
      </c>
      <c r="D7669" t="s">
        <v>74</v>
      </c>
      <c r="E7669" t="s">
        <v>78</v>
      </c>
      <c r="F7669" s="55">
        <v>82</v>
      </c>
      <c r="G7669" s="63">
        <v>1.12E-2</v>
      </c>
    </row>
    <row r="7670" spans="1:7" x14ac:dyDescent="0.2">
      <c r="A7670" t="s">
        <v>89</v>
      </c>
      <c r="B7670" t="s">
        <v>165</v>
      </c>
      <c r="C7670" t="s">
        <v>212</v>
      </c>
      <c r="D7670" t="s">
        <v>74</v>
      </c>
      <c r="E7670" t="s">
        <v>79</v>
      </c>
      <c r="F7670" s="55">
        <v>83</v>
      </c>
      <c r="G7670" s="63">
        <v>2.3099999999999999E-2</v>
      </c>
    </row>
    <row r="7671" spans="1:7" x14ac:dyDescent="0.2">
      <c r="A7671" t="s">
        <v>89</v>
      </c>
      <c r="B7671" t="s">
        <v>165</v>
      </c>
      <c r="C7671" t="s">
        <v>212</v>
      </c>
      <c r="D7671" t="s">
        <v>74</v>
      </c>
      <c r="E7671" t="s">
        <v>80</v>
      </c>
      <c r="F7671" s="55">
        <v>79</v>
      </c>
      <c r="G7671" s="63">
        <v>6.3E-3</v>
      </c>
    </row>
    <row r="7672" spans="1:7" x14ac:dyDescent="0.2">
      <c r="A7672" t="s">
        <v>89</v>
      </c>
      <c r="B7672" t="s">
        <v>165</v>
      </c>
      <c r="C7672" t="s">
        <v>212</v>
      </c>
      <c r="D7672" t="s">
        <v>74</v>
      </c>
      <c r="E7672" t="s">
        <v>81</v>
      </c>
      <c r="F7672" s="55">
        <v>77</v>
      </c>
      <c r="G7672" s="63">
        <v>7.7999999999999996E-3</v>
      </c>
    </row>
    <row r="7673" spans="1:7" x14ac:dyDescent="0.2">
      <c r="A7673" t="s">
        <v>89</v>
      </c>
      <c r="B7673" t="s">
        <v>165</v>
      </c>
      <c r="C7673" t="s">
        <v>212</v>
      </c>
      <c r="D7673" t="s">
        <v>74</v>
      </c>
      <c r="E7673" t="s">
        <v>82</v>
      </c>
      <c r="F7673" s="55">
        <v>80</v>
      </c>
      <c r="G7673" s="63">
        <v>1.8200000000000001E-2</v>
      </c>
    </row>
    <row r="7674" spans="1:7" x14ac:dyDescent="0.2">
      <c r="A7674" t="s">
        <v>89</v>
      </c>
      <c r="B7674" t="s">
        <v>165</v>
      </c>
      <c r="C7674" t="s">
        <v>212</v>
      </c>
      <c r="D7674" t="s">
        <v>74</v>
      </c>
      <c r="E7674" t="s">
        <v>83</v>
      </c>
      <c r="F7674" s="55">
        <v>73</v>
      </c>
      <c r="G7674" s="63">
        <v>4.3E-3</v>
      </c>
    </row>
    <row r="7675" spans="1:7" x14ac:dyDescent="0.2">
      <c r="A7675" t="s">
        <v>89</v>
      </c>
      <c r="B7675" t="s">
        <v>165</v>
      </c>
      <c r="C7675" t="s">
        <v>212</v>
      </c>
      <c r="D7675" t="s">
        <v>74</v>
      </c>
      <c r="E7675" t="s">
        <v>84</v>
      </c>
      <c r="F7675" s="55">
        <v>83</v>
      </c>
      <c r="G7675" s="63">
        <v>8.3000000000000001E-3</v>
      </c>
    </row>
    <row r="7676" spans="1:7" x14ac:dyDescent="0.2">
      <c r="A7676" t="s">
        <v>89</v>
      </c>
      <c r="B7676" t="s">
        <v>165</v>
      </c>
      <c r="C7676" t="s">
        <v>212</v>
      </c>
      <c r="D7676" t="s">
        <v>74</v>
      </c>
      <c r="E7676" t="s">
        <v>85</v>
      </c>
      <c r="F7676" s="55">
        <v>84</v>
      </c>
      <c r="G7676" s="63">
        <v>6.4999999999999997E-3</v>
      </c>
    </row>
    <row r="7677" spans="1:7" x14ac:dyDescent="0.2">
      <c r="A7677" t="s">
        <v>89</v>
      </c>
      <c r="B7677" t="s">
        <v>165</v>
      </c>
      <c r="C7677" t="s">
        <v>212</v>
      </c>
      <c r="D7677" t="s">
        <v>74</v>
      </c>
      <c r="E7677" t="s">
        <v>86</v>
      </c>
      <c r="F7677" s="55">
        <v>85</v>
      </c>
      <c r="G7677" s="63">
        <v>7.7000000000000002E-3</v>
      </c>
    </row>
    <row r="7678" spans="1:7" x14ac:dyDescent="0.2">
      <c r="A7678" t="s">
        <v>89</v>
      </c>
      <c r="B7678" t="s">
        <v>165</v>
      </c>
      <c r="C7678" t="s">
        <v>212</v>
      </c>
      <c r="D7678" t="s">
        <v>74</v>
      </c>
      <c r="E7678" t="s">
        <v>87</v>
      </c>
      <c r="F7678" s="55">
        <v>84</v>
      </c>
      <c r="G7678" s="63">
        <v>8.8000000000000005E-3</v>
      </c>
    </row>
    <row r="7679" spans="1:7" x14ac:dyDescent="0.2">
      <c r="A7679" t="s">
        <v>89</v>
      </c>
      <c r="B7679" t="s">
        <v>165</v>
      </c>
      <c r="C7679" t="s">
        <v>212</v>
      </c>
      <c r="D7679" t="s">
        <v>74</v>
      </c>
      <c r="E7679" t="s">
        <v>88</v>
      </c>
      <c r="F7679" s="55">
        <v>81</v>
      </c>
      <c r="G7679" s="63">
        <v>1.0800000000000001E-2</v>
      </c>
    </row>
    <row r="7680" spans="1:7" x14ac:dyDescent="0.2">
      <c r="A7680" t="s">
        <v>71</v>
      </c>
      <c r="B7680" t="s">
        <v>15</v>
      </c>
      <c r="C7680" t="s">
        <v>212</v>
      </c>
      <c r="D7680" t="s">
        <v>74</v>
      </c>
      <c r="E7680" t="s">
        <v>75</v>
      </c>
      <c r="F7680" s="55">
        <v>96</v>
      </c>
      <c r="G7680" s="63">
        <v>0.18509999999999999</v>
      </c>
    </row>
    <row r="7681" spans="1:7" x14ac:dyDescent="0.2">
      <c r="A7681" t="s">
        <v>71</v>
      </c>
      <c r="B7681" t="s">
        <v>15</v>
      </c>
      <c r="C7681" t="s">
        <v>212</v>
      </c>
      <c r="D7681" t="s">
        <v>74</v>
      </c>
      <c r="E7681" t="s">
        <v>76</v>
      </c>
      <c r="F7681" s="55">
        <v>86</v>
      </c>
      <c r="G7681" s="63">
        <v>2.5100000000000001E-2</v>
      </c>
    </row>
    <row r="7682" spans="1:7" x14ac:dyDescent="0.2">
      <c r="A7682" t="s">
        <v>71</v>
      </c>
      <c r="B7682" t="s">
        <v>15</v>
      </c>
      <c r="C7682" t="s">
        <v>212</v>
      </c>
      <c r="D7682" t="s">
        <v>74</v>
      </c>
      <c r="E7682" t="s">
        <v>77</v>
      </c>
      <c r="F7682" s="55">
        <v>85</v>
      </c>
      <c r="G7682" s="63">
        <v>4.8500000000000001E-2</v>
      </c>
    </row>
    <row r="7683" spans="1:7" x14ac:dyDescent="0.2">
      <c r="A7683" t="s">
        <v>71</v>
      </c>
      <c r="B7683" t="s">
        <v>15</v>
      </c>
      <c r="C7683" t="s">
        <v>212</v>
      </c>
      <c r="D7683" t="s">
        <v>74</v>
      </c>
      <c r="E7683" t="s">
        <v>78</v>
      </c>
      <c r="F7683" s="55">
        <v>78</v>
      </c>
      <c r="G7683" s="63">
        <v>3.9E-2</v>
      </c>
    </row>
    <row r="7684" spans="1:7" x14ac:dyDescent="0.2">
      <c r="A7684" t="s">
        <v>71</v>
      </c>
      <c r="B7684" t="s">
        <v>15</v>
      </c>
      <c r="C7684" t="s">
        <v>212</v>
      </c>
      <c r="D7684" t="s">
        <v>74</v>
      </c>
      <c r="E7684" t="s">
        <v>79</v>
      </c>
      <c r="F7684" s="55">
        <v>102</v>
      </c>
      <c r="G7684" s="63">
        <v>0.1207</v>
      </c>
    </row>
    <row r="7685" spans="1:7" x14ac:dyDescent="0.2">
      <c r="A7685" t="s">
        <v>71</v>
      </c>
      <c r="B7685" t="s">
        <v>15</v>
      </c>
      <c r="C7685" t="s">
        <v>212</v>
      </c>
      <c r="D7685" t="s">
        <v>74</v>
      </c>
      <c r="E7685" t="s">
        <v>80</v>
      </c>
      <c r="F7685" s="55">
        <v>106</v>
      </c>
      <c r="G7685" s="63">
        <v>4.6800000000000001E-2</v>
      </c>
    </row>
    <row r="7686" spans="1:7" x14ac:dyDescent="0.2">
      <c r="A7686" t="s">
        <v>71</v>
      </c>
      <c r="B7686" t="s">
        <v>15</v>
      </c>
      <c r="C7686" t="s">
        <v>212</v>
      </c>
      <c r="D7686" t="s">
        <v>74</v>
      </c>
      <c r="E7686" t="s">
        <v>81</v>
      </c>
      <c r="F7686" s="55">
        <v>105</v>
      </c>
      <c r="G7686" s="63">
        <v>4.8599999999999997E-2</v>
      </c>
    </row>
    <row r="7687" spans="1:7" x14ac:dyDescent="0.2">
      <c r="A7687" t="s">
        <v>71</v>
      </c>
      <c r="B7687" t="s">
        <v>15</v>
      </c>
      <c r="C7687" t="s">
        <v>212</v>
      </c>
      <c r="D7687" t="s">
        <v>74</v>
      </c>
      <c r="E7687" t="s">
        <v>82</v>
      </c>
      <c r="F7687" s="55">
        <v>80</v>
      </c>
      <c r="G7687" s="63">
        <v>6.5799999999999997E-2</v>
      </c>
    </row>
    <row r="7688" spans="1:7" x14ac:dyDescent="0.2">
      <c r="A7688" t="s">
        <v>71</v>
      </c>
      <c r="B7688" t="s">
        <v>15</v>
      </c>
      <c r="C7688" t="s">
        <v>212</v>
      </c>
      <c r="D7688" t="s">
        <v>74</v>
      </c>
      <c r="E7688" t="s">
        <v>83</v>
      </c>
      <c r="F7688" s="55">
        <v>102</v>
      </c>
      <c r="G7688" s="63">
        <v>2.3099999999999999E-2</v>
      </c>
    </row>
    <row r="7689" spans="1:7" x14ac:dyDescent="0.2">
      <c r="A7689" t="s">
        <v>71</v>
      </c>
      <c r="B7689" t="s">
        <v>15</v>
      </c>
      <c r="C7689" t="s">
        <v>212</v>
      </c>
      <c r="D7689" t="s">
        <v>74</v>
      </c>
      <c r="E7689" t="s">
        <v>84</v>
      </c>
      <c r="F7689" s="55">
        <v>77</v>
      </c>
      <c r="G7689" s="63">
        <v>2.9399999999999999E-2</v>
      </c>
    </row>
    <row r="7690" spans="1:7" x14ac:dyDescent="0.2">
      <c r="A7690" t="s">
        <v>71</v>
      </c>
      <c r="B7690" t="s">
        <v>15</v>
      </c>
      <c r="C7690" t="s">
        <v>212</v>
      </c>
      <c r="D7690" t="s">
        <v>74</v>
      </c>
      <c r="E7690" t="s">
        <v>85</v>
      </c>
      <c r="F7690" s="55">
        <v>107</v>
      </c>
      <c r="G7690" s="63">
        <v>4.87E-2</v>
      </c>
    </row>
    <row r="7691" spans="1:7" x14ac:dyDescent="0.2">
      <c r="A7691" t="s">
        <v>71</v>
      </c>
      <c r="B7691" t="s">
        <v>15</v>
      </c>
      <c r="C7691" t="s">
        <v>212</v>
      </c>
      <c r="D7691" t="s">
        <v>74</v>
      </c>
      <c r="E7691" t="s">
        <v>86</v>
      </c>
      <c r="F7691" s="55">
        <v>104</v>
      </c>
      <c r="G7691" s="63">
        <v>5.8799999999999998E-2</v>
      </c>
    </row>
    <row r="7692" spans="1:7" x14ac:dyDescent="0.2">
      <c r="A7692" t="s">
        <v>71</v>
      </c>
      <c r="B7692" t="s">
        <v>15</v>
      </c>
      <c r="C7692" t="s">
        <v>212</v>
      </c>
      <c r="D7692" t="s">
        <v>74</v>
      </c>
      <c r="E7692" t="s">
        <v>87</v>
      </c>
      <c r="F7692" s="55">
        <v>102</v>
      </c>
      <c r="G7692" s="63">
        <v>5.7799999999999997E-2</v>
      </c>
    </row>
    <row r="7693" spans="1:7" x14ac:dyDescent="0.2">
      <c r="A7693" t="s">
        <v>71</v>
      </c>
      <c r="B7693" t="s">
        <v>15</v>
      </c>
      <c r="C7693" t="s">
        <v>212</v>
      </c>
      <c r="D7693" t="s">
        <v>74</v>
      </c>
      <c r="E7693" t="s">
        <v>88</v>
      </c>
      <c r="F7693" s="55">
        <v>93</v>
      </c>
      <c r="G7693" s="63">
        <v>0.04</v>
      </c>
    </row>
    <row r="7694" spans="1:7" x14ac:dyDescent="0.2">
      <c r="A7694" t="s">
        <v>71</v>
      </c>
      <c r="B7694" t="s">
        <v>166</v>
      </c>
      <c r="C7694" t="s">
        <v>212</v>
      </c>
      <c r="D7694" t="s">
        <v>74</v>
      </c>
      <c r="E7694" t="s">
        <v>75</v>
      </c>
      <c r="F7694" s="55">
        <v>117</v>
      </c>
      <c r="G7694" s="63">
        <v>0.31530000000000002</v>
      </c>
    </row>
    <row r="7695" spans="1:7" x14ac:dyDescent="0.2">
      <c r="A7695" t="s">
        <v>71</v>
      </c>
      <c r="B7695" t="s">
        <v>166</v>
      </c>
      <c r="C7695" t="s">
        <v>212</v>
      </c>
      <c r="D7695" t="s">
        <v>74</v>
      </c>
      <c r="E7695" t="s">
        <v>76</v>
      </c>
      <c r="F7695" s="55">
        <v>117</v>
      </c>
      <c r="G7695" s="63">
        <v>6.3399999999999998E-2</v>
      </c>
    </row>
    <row r="7696" spans="1:7" x14ac:dyDescent="0.2">
      <c r="A7696" t="s">
        <v>71</v>
      </c>
      <c r="B7696" t="s">
        <v>166</v>
      </c>
      <c r="C7696" t="s">
        <v>212</v>
      </c>
      <c r="D7696" t="s">
        <v>74</v>
      </c>
      <c r="E7696" t="s">
        <v>77</v>
      </c>
      <c r="F7696" s="55">
        <v>123</v>
      </c>
      <c r="G7696" s="63">
        <v>0.11119999999999999</v>
      </c>
    </row>
    <row r="7697" spans="1:7" x14ac:dyDescent="0.2">
      <c r="A7697" t="s">
        <v>71</v>
      </c>
      <c r="B7697" t="s">
        <v>166</v>
      </c>
      <c r="C7697" t="s">
        <v>212</v>
      </c>
      <c r="D7697" t="s">
        <v>74</v>
      </c>
      <c r="E7697" t="s">
        <v>78</v>
      </c>
      <c r="F7697" s="55">
        <v>119</v>
      </c>
      <c r="G7697" s="63">
        <v>9.74E-2</v>
      </c>
    </row>
    <row r="7698" spans="1:7" x14ac:dyDescent="0.2">
      <c r="A7698" t="s">
        <v>71</v>
      </c>
      <c r="B7698" t="s">
        <v>166</v>
      </c>
      <c r="C7698" t="s">
        <v>212</v>
      </c>
      <c r="D7698" t="s">
        <v>74</v>
      </c>
      <c r="E7698" t="s">
        <v>79</v>
      </c>
      <c r="F7698" s="55">
        <v>120</v>
      </c>
      <c r="G7698" s="63">
        <v>0.2356</v>
      </c>
    </row>
    <row r="7699" spans="1:7" x14ac:dyDescent="0.2">
      <c r="A7699" t="s">
        <v>71</v>
      </c>
      <c r="B7699" t="s">
        <v>166</v>
      </c>
      <c r="C7699" t="s">
        <v>212</v>
      </c>
      <c r="D7699" t="s">
        <v>74</v>
      </c>
      <c r="E7699" t="s">
        <v>80</v>
      </c>
      <c r="F7699" s="55">
        <v>114</v>
      </c>
      <c r="G7699" s="63">
        <v>9.4799999999999995E-2</v>
      </c>
    </row>
    <row r="7700" spans="1:7" x14ac:dyDescent="0.2">
      <c r="A7700" t="s">
        <v>71</v>
      </c>
      <c r="B7700" t="s">
        <v>166</v>
      </c>
      <c r="C7700" t="s">
        <v>212</v>
      </c>
      <c r="D7700" t="s">
        <v>74</v>
      </c>
      <c r="E7700" t="s">
        <v>81</v>
      </c>
      <c r="F7700" s="55">
        <v>112</v>
      </c>
      <c r="G7700" s="63">
        <v>9.6600000000000005E-2</v>
      </c>
    </row>
    <row r="7701" spans="1:7" x14ac:dyDescent="0.2">
      <c r="A7701" t="s">
        <v>71</v>
      </c>
      <c r="B7701" t="s">
        <v>166</v>
      </c>
      <c r="C7701" t="s">
        <v>212</v>
      </c>
      <c r="D7701" t="s">
        <v>74</v>
      </c>
      <c r="E7701" t="s">
        <v>82</v>
      </c>
      <c r="F7701" s="55">
        <v>115</v>
      </c>
      <c r="G7701" s="63">
        <v>0.1789</v>
      </c>
    </row>
    <row r="7702" spans="1:7" x14ac:dyDescent="0.2">
      <c r="A7702" t="s">
        <v>71</v>
      </c>
      <c r="B7702" t="s">
        <v>166</v>
      </c>
      <c r="C7702" t="s">
        <v>212</v>
      </c>
      <c r="D7702" t="s">
        <v>74</v>
      </c>
      <c r="E7702" t="s">
        <v>83</v>
      </c>
      <c r="F7702" s="55">
        <v>114</v>
      </c>
      <c r="G7702" s="63">
        <v>5.3999999999999999E-2</v>
      </c>
    </row>
    <row r="7703" spans="1:7" x14ac:dyDescent="0.2">
      <c r="A7703" t="s">
        <v>71</v>
      </c>
      <c r="B7703" t="s">
        <v>166</v>
      </c>
      <c r="C7703" t="s">
        <v>212</v>
      </c>
      <c r="D7703" t="s">
        <v>74</v>
      </c>
      <c r="E7703" t="s">
        <v>84</v>
      </c>
      <c r="F7703" s="55">
        <v>119</v>
      </c>
      <c r="G7703" s="63">
        <v>7.6100000000000001E-2</v>
      </c>
    </row>
    <row r="7704" spans="1:7" x14ac:dyDescent="0.2">
      <c r="A7704" t="s">
        <v>71</v>
      </c>
      <c r="B7704" t="s">
        <v>166</v>
      </c>
      <c r="C7704" t="s">
        <v>212</v>
      </c>
      <c r="D7704" t="s">
        <v>74</v>
      </c>
      <c r="E7704" t="s">
        <v>85</v>
      </c>
      <c r="F7704" s="55">
        <v>118</v>
      </c>
      <c r="G7704" s="63">
        <v>0.1139</v>
      </c>
    </row>
    <row r="7705" spans="1:7" x14ac:dyDescent="0.2">
      <c r="A7705" t="s">
        <v>71</v>
      </c>
      <c r="B7705" t="s">
        <v>166</v>
      </c>
      <c r="C7705" t="s">
        <v>212</v>
      </c>
      <c r="D7705" t="s">
        <v>74</v>
      </c>
      <c r="E7705" t="s">
        <v>86</v>
      </c>
      <c r="F7705" s="55">
        <v>120</v>
      </c>
      <c r="G7705" s="63">
        <v>0.1328</v>
      </c>
    </row>
    <row r="7706" spans="1:7" x14ac:dyDescent="0.2">
      <c r="A7706" t="s">
        <v>71</v>
      </c>
      <c r="B7706" t="s">
        <v>166</v>
      </c>
      <c r="C7706" t="s">
        <v>212</v>
      </c>
      <c r="D7706" t="s">
        <v>74</v>
      </c>
      <c r="E7706" t="s">
        <v>87</v>
      </c>
      <c r="F7706" s="55">
        <v>120</v>
      </c>
      <c r="G7706" s="63">
        <v>0.14319999999999999</v>
      </c>
    </row>
    <row r="7707" spans="1:7" x14ac:dyDescent="0.2">
      <c r="A7707" t="s">
        <v>71</v>
      </c>
      <c r="B7707" t="s">
        <v>166</v>
      </c>
      <c r="C7707" t="s">
        <v>212</v>
      </c>
      <c r="D7707" t="s">
        <v>74</v>
      </c>
      <c r="E7707" t="s">
        <v>88</v>
      </c>
      <c r="F7707" s="55">
        <v>115</v>
      </c>
      <c r="G7707" s="63">
        <v>9.6100000000000005E-2</v>
      </c>
    </row>
    <row r="7708" spans="1:7" x14ac:dyDescent="0.2">
      <c r="A7708" t="s">
        <v>71</v>
      </c>
      <c r="B7708" t="s">
        <v>167</v>
      </c>
      <c r="C7708" t="s">
        <v>212</v>
      </c>
      <c r="D7708" t="s">
        <v>74</v>
      </c>
      <c r="E7708" t="s">
        <v>75</v>
      </c>
      <c r="F7708" s="55">
        <v>89</v>
      </c>
      <c r="G7708" s="63">
        <v>0.14180000000000001</v>
      </c>
    </row>
    <row r="7709" spans="1:7" x14ac:dyDescent="0.2">
      <c r="A7709" t="s">
        <v>71</v>
      </c>
      <c r="B7709" t="s">
        <v>167</v>
      </c>
      <c r="C7709" t="s">
        <v>212</v>
      </c>
      <c r="D7709" t="s">
        <v>74</v>
      </c>
      <c r="E7709" t="s">
        <v>76</v>
      </c>
      <c r="F7709" s="55">
        <v>97</v>
      </c>
      <c r="G7709" s="63">
        <v>1.55E-2</v>
      </c>
    </row>
    <row r="7710" spans="1:7" x14ac:dyDescent="0.2">
      <c r="A7710" t="s">
        <v>71</v>
      </c>
      <c r="B7710" t="s">
        <v>167</v>
      </c>
      <c r="C7710" t="s">
        <v>212</v>
      </c>
      <c r="D7710" t="s">
        <v>74</v>
      </c>
      <c r="E7710" t="s">
        <v>77</v>
      </c>
      <c r="F7710" s="55">
        <v>95</v>
      </c>
      <c r="G7710" s="63">
        <v>4.1799999999999997E-2</v>
      </c>
    </row>
    <row r="7711" spans="1:7" x14ac:dyDescent="0.2">
      <c r="A7711" t="s">
        <v>71</v>
      </c>
      <c r="B7711" t="s">
        <v>167</v>
      </c>
      <c r="C7711" t="s">
        <v>212</v>
      </c>
      <c r="D7711" t="s">
        <v>74</v>
      </c>
      <c r="E7711" t="s">
        <v>78</v>
      </c>
      <c r="F7711" s="55">
        <v>93</v>
      </c>
      <c r="G7711" s="63">
        <v>3.2599999999999997E-2</v>
      </c>
    </row>
    <row r="7712" spans="1:7" x14ac:dyDescent="0.2">
      <c r="A7712" t="s">
        <v>71</v>
      </c>
      <c r="B7712" t="s">
        <v>167</v>
      </c>
      <c r="C7712" t="s">
        <v>212</v>
      </c>
      <c r="D7712" t="s">
        <v>74</v>
      </c>
      <c r="E7712" t="s">
        <v>79</v>
      </c>
      <c r="F7712" s="55">
        <v>88</v>
      </c>
      <c r="G7712" s="63">
        <v>8.1900000000000001E-2</v>
      </c>
    </row>
    <row r="7713" spans="1:7" x14ac:dyDescent="0.2">
      <c r="A7713" t="s">
        <v>71</v>
      </c>
      <c r="B7713" t="s">
        <v>167</v>
      </c>
      <c r="C7713" t="s">
        <v>212</v>
      </c>
      <c r="D7713" t="s">
        <v>74</v>
      </c>
      <c r="E7713" t="s">
        <v>80</v>
      </c>
      <c r="F7713" s="55">
        <v>80</v>
      </c>
      <c r="G7713" s="63">
        <v>2.3599999999999999E-2</v>
      </c>
    </row>
    <row r="7714" spans="1:7" x14ac:dyDescent="0.2">
      <c r="A7714" t="s">
        <v>71</v>
      </c>
      <c r="B7714" t="s">
        <v>167</v>
      </c>
      <c r="C7714" t="s">
        <v>212</v>
      </c>
      <c r="D7714" t="s">
        <v>74</v>
      </c>
      <c r="E7714" t="s">
        <v>81</v>
      </c>
      <c r="F7714" s="55">
        <v>85</v>
      </c>
      <c r="G7714" s="63">
        <v>2.7400000000000001E-2</v>
      </c>
    </row>
    <row r="7715" spans="1:7" x14ac:dyDescent="0.2">
      <c r="A7715" t="s">
        <v>71</v>
      </c>
      <c r="B7715" t="s">
        <v>167</v>
      </c>
      <c r="C7715" t="s">
        <v>212</v>
      </c>
      <c r="D7715" t="s">
        <v>74</v>
      </c>
      <c r="E7715" t="s">
        <v>82</v>
      </c>
      <c r="F7715" s="55">
        <v>87</v>
      </c>
      <c r="G7715" s="63">
        <v>6.3799999999999996E-2</v>
      </c>
    </row>
    <row r="7716" spans="1:7" x14ac:dyDescent="0.2">
      <c r="A7716" t="s">
        <v>71</v>
      </c>
      <c r="B7716" t="s">
        <v>167</v>
      </c>
      <c r="C7716" t="s">
        <v>212</v>
      </c>
      <c r="D7716" t="s">
        <v>74</v>
      </c>
      <c r="E7716" t="s">
        <v>83</v>
      </c>
      <c r="F7716" s="55">
        <v>98</v>
      </c>
      <c r="G7716" s="63">
        <v>1.34E-2</v>
      </c>
    </row>
    <row r="7717" spans="1:7" x14ac:dyDescent="0.2">
      <c r="A7717" t="s">
        <v>71</v>
      </c>
      <c r="B7717" t="s">
        <v>167</v>
      </c>
      <c r="C7717" t="s">
        <v>212</v>
      </c>
      <c r="D7717" t="s">
        <v>74</v>
      </c>
      <c r="E7717" t="s">
        <v>84</v>
      </c>
      <c r="F7717" s="55">
        <v>93</v>
      </c>
      <c r="G7717" s="63">
        <v>2.3900000000000001E-2</v>
      </c>
    </row>
    <row r="7718" spans="1:7" x14ac:dyDescent="0.2">
      <c r="A7718" t="s">
        <v>71</v>
      </c>
      <c r="B7718" t="s">
        <v>167</v>
      </c>
      <c r="C7718" t="s">
        <v>212</v>
      </c>
      <c r="D7718" t="s">
        <v>74</v>
      </c>
      <c r="E7718" t="s">
        <v>85</v>
      </c>
      <c r="F7718" s="55">
        <v>86</v>
      </c>
      <c r="G7718" s="63">
        <v>2.4400000000000002E-2</v>
      </c>
    </row>
    <row r="7719" spans="1:7" x14ac:dyDescent="0.2">
      <c r="A7719" t="s">
        <v>71</v>
      </c>
      <c r="B7719" t="s">
        <v>167</v>
      </c>
      <c r="C7719" t="s">
        <v>212</v>
      </c>
      <c r="D7719" t="s">
        <v>74</v>
      </c>
      <c r="E7719" t="s">
        <v>86</v>
      </c>
      <c r="F7719" s="55">
        <v>91</v>
      </c>
      <c r="G7719" s="63">
        <v>3.1300000000000001E-2</v>
      </c>
    </row>
    <row r="7720" spans="1:7" x14ac:dyDescent="0.2">
      <c r="A7720" t="s">
        <v>71</v>
      </c>
      <c r="B7720" t="s">
        <v>167</v>
      </c>
      <c r="C7720" t="s">
        <v>212</v>
      </c>
      <c r="D7720" t="s">
        <v>74</v>
      </c>
      <c r="E7720" t="s">
        <v>87</v>
      </c>
      <c r="F7720" s="55">
        <v>89</v>
      </c>
      <c r="G7720" s="63">
        <v>3.7600000000000001E-2</v>
      </c>
    </row>
    <row r="7721" spans="1:7" x14ac:dyDescent="0.2">
      <c r="A7721" t="s">
        <v>71</v>
      </c>
      <c r="B7721" t="s">
        <v>167</v>
      </c>
      <c r="C7721" t="s">
        <v>212</v>
      </c>
      <c r="D7721" t="s">
        <v>74</v>
      </c>
      <c r="E7721" t="s">
        <v>88</v>
      </c>
      <c r="F7721" s="55">
        <v>90</v>
      </c>
      <c r="G7721" s="63">
        <v>2.5700000000000001E-2</v>
      </c>
    </row>
    <row r="7722" spans="1:7" x14ac:dyDescent="0.2">
      <c r="A7722" t="s">
        <v>89</v>
      </c>
      <c r="B7722" t="s">
        <v>168</v>
      </c>
      <c r="C7722" t="s">
        <v>212</v>
      </c>
      <c r="D7722" t="s">
        <v>74</v>
      </c>
      <c r="E7722" t="s">
        <v>75</v>
      </c>
      <c r="F7722" s="55">
        <v>120</v>
      </c>
      <c r="G7722" s="63">
        <v>7.4000000000000003E-3</v>
      </c>
    </row>
    <row r="7723" spans="1:7" x14ac:dyDescent="0.2">
      <c r="A7723" t="s">
        <v>89</v>
      </c>
      <c r="B7723" t="s">
        <v>168</v>
      </c>
      <c r="C7723" t="s">
        <v>212</v>
      </c>
      <c r="D7723" t="s">
        <v>74</v>
      </c>
      <c r="E7723" t="s">
        <v>76</v>
      </c>
      <c r="F7723" s="55">
        <v>108</v>
      </c>
      <c r="G7723" s="63">
        <v>1E-3</v>
      </c>
    </row>
    <row r="7724" spans="1:7" x14ac:dyDescent="0.2">
      <c r="A7724" t="s">
        <v>89</v>
      </c>
      <c r="B7724" t="s">
        <v>168</v>
      </c>
      <c r="C7724" t="s">
        <v>212</v>
      </c>
      <c r="D7724" t="s">
        <v>74</v>
      </c>
      <c r="E7724" t="s">
        <v>77</v>
      </c>
      <c r="F7724" s="55">
        <v>121</v>
      </c>
      <c r="G7724" s="63">
        <v>2.8E-3</v>
      </c>
    </row>
    <row r="7725" spans="1:7" x14ac:dyDescent="0.2">
      <c r="A7725" t="s">
        <v>89</v>
      </c>
      <c r="B7725" t="s">
        <v>168</v>
      </c>
      <c r="C7725" t="s">
        <v>212</v>
      </c>
      <c r="D7725" t="s">
        <v>74</v>
      </c>
      <c r="E7725" t="s">
        <v>78</v>
      </c>
      <c r="F7725" s="55">
        <v>120</v>
      </c>
      <c r="G7725" s="63">
        <v>2.2000000000000001E-3</v>
      </c>
    </row>
    <row r="7726" spans="1:7" x14ac:dyDescent="0.2">
      <c r="A7726" t="s">
        <v>89</v>
      </c>
      <c r="B7726" t="s">
        <v>168</v>
      </c>
      <c r="C7726" t="s">
        <v>212</v>
      </c>
      <c r="D7726" t="s">
        <v>74</v>
      </c>
      <c r="E7726" t="s">
        <v>79</v>
      </c>
      <c r="F7726" s="55">
        <v>115</v>
      </c>
      <c r="G7726" s="63">
        <v>4.1999999999999997E-3</v>
      </c>
    </row>
    <row r="7727" spans="1:7" x14ac:dyDescent="0.2">
      <c r="A7727" t="s">
        <v>89</v>
      </c>
      <c r="B7727" t="s">
        <v>168</v>
      </c>
      <c r="C7727" t="s">
        <v>212</v>
      </c>
      <c r="D7727" t="s">
        <v>74</v>
      </c>
      <c r="E7727" t="s">
        <v>80</v>
      </c>
      <c r="F7727" s="55">
        <v>128</v>
      </c>
      <c r="G7727" s="63">
        <v>8.0000000000000004E-4</v>
      </c>
    </row>
    <row r="7728" spans="1:7" x14ac:dyDescent="0.2">
      <c r="A7728" t="s">
        <v>89</v>
      </c>
      <c r="B7728" t="s">
        <v>168</v>
      </c>
      <c r="C7728" t="s">
        <v>212</v>
      </c>
      <c r="D7728" t="s">
        <v>74</v>
      </c>
      <c r="E7728" t="s">
        <v>81</v>
      </c>
      <c r="F7728" s="55">
        <v>116</v>
      </c>
      <c r="G7728" s="63">
        <v>1.1000000000000001E-3</v>
      </c>
    </row>
    <row r="7729" spans="1:7" x14ac:dyDescent="0.2">
      <c r="A7729" t="s">
        <v>89</v>
      </c>
      <c r="B7729" t="s">
        <v>168</v>
      </c>
      <c r="C7729" t="s">
        <v>212</v>
      </c>
      <c r="D7729" t="s">
        <v>74</v>
      </c>
      <c r="E7729" t="s">
        <v>82</v>
      </c>
      <c r="F7729" s="55">
        <v>126</v>
      </c>
      <c r="G7729" s="63">
        <v>3.5000000000000001E-3</v>
      </c>
    </row>
    <row r="7730" spans="1:7" x14ac:dyDescent="0.2">
      <c r="A7730" t="s">
        <v>89</v>
      </c>
      <c r="B7730" t="s">
        <v>168</v>
      </c>
      <c r="C7730" t="s">
        <v>212</v>
      </c>
      <c r="D7730" t="s">
        <v>74</v>
      </c>
      <c r="E7730" t="s">
        <v>83</v>
      </c>
      <c r="F7730" s="55">
        <v>99</v>
      </c>
      <c r="G7730" s="63">
        <v>5.9999999999999995E-4</v>
      </c>
    </row>
    <row r="7731" spans="1:7" x14ac:dyDescent="0.2">
      <c r="A7731" t="s">
        <v>89</v>
      </c>
      <c r="B7731" t="s">
        <v>168</v>
      </c>
      <c r="C7731" t="s">
        <v>212</v>
      </c>
      <c r="D7731" t="s">
        <v>74</v>
      </c>
      <c r="E7731" t="s">
        <v>84</v>
      </c>
      <c r="F7731" s="55">
        <v>118</v>
      </c>
      <c r="G7731" s="63">
        <v>1.6999999999999999E-3</v>
      </c>
    </row>
    <row r="7732" spans="1:7" x14ac:dyDescent="0.2">
      <c r="A7732" t="s">
        <v>89</v>
      </c>
      <c r="B7732" t="s">
        <v>168</v>
      </c>
      <c r="C7732" t="s">
        <v>212</v>
      </c>
      <c r="D7732" t="s">
        <v>74</v>
      </c>
      <c r="E7732" t="s">
        <v>85</v>
      </c>
      <c r="F7732" s="55">
        <v>111</v>
      </c>
      <c r="G7732" s="63">
        <v>1E-3</v>
      </c>
    </row>
    <row r="7733" spans="1:7" x14ac:dyDescent="0.2">
      <c r="A7733" t="s">
        <v>89</v>
      </c>
      <c r="B7733" t="s">
        <v>168</v>
      </c>
      <c r="C7733" t="s">
        <v>212</v>
      </c>
      <c r="D7733" t="s">
        <v>74</v>
      </c>
      <c r="E7733" t="s">
        <v>86</v>
      </c>
      <c r="F7733" s="55">
        <v>111</v>
      </c>
      <c r="G7733" s="63">
        <v>1.5E-3</v>
      </c>
    </row>
    <row r="7734" spans="1:7" x14ac:dyDescent="0.2">
      <c r="A7734" t="s">
        <v>89</v>
      </c>
      <c r="B7734" t="s">
        <v>168</v>
      </c>
      <c r="C7734" t="s">
        <v>212</v>
      </c>
      <c r="D7734" t="s">
        <v>74</v>
      </c>
      <c r="E7734" t="s">
        <v>87</v>
      </c>
      <c r="F7734" s="55">
        <v>115</v>
      </c>
      <c r="G7734" s="63">
        <v>1.9E-3</v>
      </c>
    </row>
    <row r="7735" spans="1:7" x14ac:dyDescent="0.2">
      <c r="A7735" t="s">
        <v>89</v>
      </c>
      <c r="B7735" t="s">
        <v>168</v>
      </c>
      <c r="C7735" t="s">
        <v>212</v>
      </c>
      <c r="D7735" t="s">
        <v>74</v>
      </c>
      <c r="E7735" t="s">
        <v>88</v>
      </c>
      <c r="F7735" s="55">
        <v>111</v>
      </c>
      <c r="G7735" s="63">
        <v>1.6999999999999999E-3</v>
      </c>
    </row>
    <row r="7736" spans="1:7" x14ac:dyDescent="0.2">
      <c r="A7736" t="s">
        <v>89</v>
      </c>
      <c r="B7736" t="s">
        <v>169</v>
      </c>
      <c r="C7736" t="s">
        <v>212</v>
      </c>
      <c r="D7736" t="s">
        <v>74</v>
      </c>
      <c r="E7736" t="s">
        <v>75</v>
      </c>
      <c r="F7736" s="55">
        <v>120</v>
      </c>
      <c r="G7736" s="63">
        <v>5.0900000000000001E-2</v>
      </c>
    </row>
    <row r="7737" spans="1:7" x14ac:dyDescent="0.2">
      <c r="A7737" t="s">
        <v>89</v>
      </c>
      <c r="B7737" t="s">
        <v>169</v>
      </c>
      <c r="C7737" t="s">
        <v>212</v>
      </c>
      <c r="D7737" t="s">
        <v>74</v>
      </c>
      <c r="E7737" t="s">
        <v>76</v>
      </c>
      <c r="F7737" s="55">
        <v>113</v>
      </c>
      <c r="G7737" s="63">
        <v>6.8999999999999999E-3</v>
      </c>
    </row>
    <row r="7738" spans="1:7" x14ac:dyDescent="0.2">
      <c r="A7738" t="s">
        <v>89</v>
      </c>
      <c r="B7738" t="s">
        <v>169</v>
      </c>
      <c r="C7738" t="s">
        <v>212</v>
      </c>
      <c r="D7738" t="s">
        <v>74</v>
      </c>
      <c r="E7738" t="s">
        <v>77</v>
      </c>
      <c r="F7738" s="55">
        <v>121</v>
      </c>
      <c r="G7738" s="63">
        <v>1.9300000000000001E-2</v>
      </c>
    </row>
    <row r="7739" spans="1:7" x14ac:dyDescent="0.2">
      <c r="A7739" t="s">
        <v>89</v>
      </c>
      <c r="B7739" t="s">
        <v>169</v>
      </c>
      <c r="C7739" t="s">
        <v>212</v>
      </c>
      <c r="D7739" t="s">
        <v>74</v>
      </c>
      <c r="E7739" t="s">
        <v>78</v>
      </c>
      <c r="F7739" s="55">
        <v>124</v>
      </c>
      <c r="G7739" s="63">
        <v>1.55E-2</v>
      </c>
    </row>
    <row r="7740" spans="1:7" x14ac:dyDescent="0.2">
      <c r="A7740" t="s">
        <v>89</v>
      </c>
      <c r="B7740" t="s">
        <v>169</v>
      </c>
      <c r="C7740" t="s">
        <v>212</v>
      </c>
      <c r="D7740" t="s">
        <v>74</v>
      </c>
      <c r="E7740" t="s">
        <v>79</v>
      </c>
      <c r="F7740" s="55">
        <v>122</v>
      </c>
      <c r="G7740" s="63">
        <v>3.2800000000000003E-2</v>
      </c>
    </row>
    <row r="7741" spans="1:7" x14ac:dyDescent="0.2">
      <c r="A7741" t="s">
        <v>89</v>
      </c>
      <c r="B7741" t="s">
        <v>169</v>
      </c>
      <c r="C7741" t="s">
        <v>212</v>
      </c>
      <c r="D7741" t="s">
        <v>74</v>
      </c>
      <c r="E7741" t="s">
        <v>80</v>
      </c>
      <c r="F7741" s="55">
        <v>111</v>
      </c>
      <c r="G7741" s="63">
        <v>1.0200000000000001E-2</v>
      </c>
    </row>
    <row r="7742" spans="1:7" x14ac:dyDescent="0.2">
      <c r="A7742" t="s">
        <v>89</v>
      </c>
      <c r="B7742" t="s">
        <v>169</v>
      </c>
      <c r="C7742" t="s">
        <v>212</v>
      </c>
      <c r="D7742" t="s">
        <v>74</v>
      </c>
      <c r="E7742" t="s">
        <v>81</v>
      </c>
      <c r="F7742" s="55">
        <v>110</v>
      </c>
      <c r="G7742" s="63">
        <v>9.7000000000000003E-3</v>
      </c>
    </row>
    <row r="7743" spans="1:7" x14ac:dyDescent="0.2">
      <c r="A7743" t="s">
        <v>89</v>
      </c>
      <c r="B7743" t="s">
        <v>169</v>
      </c>
      <c r="C7743" t="s">
        <v>212</v>
      </c>
      <c r="D7743" t="s">
        <v>74</v>
      </c>
      <c r="E7743" t="s">
        <v>82</v>
      </c>
      <c r="F7743" s="55">
        <v>121</v>
      </c>
      <c r="G7743" s="63">
        <v>2.35E-2</v>
      </c>
    </row>
    <row r="7744" spans="1:7" x14ac:dyDescent="0.2">
      <c r="A7744" t="s">
        <v>89</v>
      </c>
      <c r="B7744" t="s">
        <v>169</v>
      </c>
      <c r="C7744" t="s">
        <v>212</v>
      </c>
      <c r="D7744" t="s">
        <v>74</v>
      </c>
      <c r="E7744" t="s">
        <v>83</v>
      </c>
      <c r="F7744" s="55">
        <v>108</v>
      </c>
      <c r="G7744" s="63">
        <v>4.0000000000000001E-3</v>
      </c>
    </row>
    <row r="7745" spans="1:7" x14ac:dyDescent="0.2">
      <c r="A7745" t="s">
        <v>89</v>
      </c>
      <c r="B7745" t="s">
        <v>169</v>
      </c>
      <c r="C7745" t="s">
        <v>212</v>
      </c>
      <c r="D7745" t="s">
        <v>74</v>
      </c>
      <c r="E7745" t="s">
        <v>84</v>
      </c>
      <c r="F7745" s="55">
        <v>124</v>
      </c>
      <c r="G7745" s="63">
        <v>1.2500000000000001E-2</v>
      </c>
    </row>
    <row r="7746" spans="1:7" x14ac:dyDescent="0.2">
      <c r="A7746" t="s">
        <v>89</v>
      </c>
      <c r="B7746" t="s">
        <v>169</v>
      </c>
      <c r="C7746" t="s">
        <v>212</v>
      </c>
      <c r="D7746" t="s">
        <v>74</v>
      </c>
      <c r="E7746" t="s">
        <v>85</v>
      </c>
      <c r="F7746" s="55">
        <v>117</v>
      </c>
      <c r="G7746" s="63">
        <v>1.15E-2</v>
      </c>
    </row>
    <row r="7747" spans="1:7" x14ac:dyDescent="0.2">
      <c r="A7747" t="s">
        <v>89</v>
      </c>
      <c r="B7747" t="s">
        <v>169</v>
      </c>
      <c r="C7747" t="s">
        <v>212</v>
      </c>
      <c r="D7747" t="s">
        <v>74</v>
      </c>
      <c r="E7747" t="s">
        <v>86</v>
      </c>
      <c r="F7747" s="55">
        <v>124</v>
      </c>
      <c r="G7747" s="63">
        <v>1.46E-2</v>
      </c>
    </row>
    <row r="7748" spans="1:7" x14ac:dyDescent="0.2">
      <c r="A7748" t="s">
        <v>89</v>
      </c>
      <c r="B7748" t="s">
        <v>169</v>
      </c>
      <c r="C7748" t="s">
        <v>212</v>
      </c>
      <c r="D7748" t="s">
        <v>74</v>
      </c>
      <c r="E7748" t="s">
        <v>87</v>
      </c>
      <c r="F7748" s="55">
        <v>124</v>
      </c>
      <c r="G7748" s="63">
        <v>1.7299999999999999E-2</v>
      </c>
    </row>
    <row r="7749" spans="1:7" x14ac:dyDescent="0.2">
      <c r="A7749" t="s">
        <v>89</v>
      </c>
      <c r="B7749" t="s">
        <v>169</v>
      </c>
      <c r="C7749" t="s">
        <v>212</v>
      </c>
      <c r="D7749" t="s">
        <v>74</v>
      </c>
      <c r="E7749" t="s">
        <v>88</v>
      </c>
      <c r="F7749" s="55">
        <v>113</v>
      </c>
      <c r="G7749" s="63">
        <v>1.04E-2</v>
      </c>
    </row>
    <row r="7750" spans="1:7" x14ac:dyDescent="0.2">
      <c r="A7750" t="s">
        <v>71</v>
      </c>
      <c r="B7750" t="s">
        <v>170</v>
      </c>
      <c r="C7750" t="s">
        <v>212</v>
      </c>
      <c r="D7750" t="s">
        <v>74</v>
      </c>
      <c r="E7750" t="s">
        <v>75</v>
      </c>
      <c r="F7750" s="55">
        <v>100</v>
      </c>
      <c r="G7750" s="63">
        <v>0.18509999999999999</v>
      </c>
    </row>
    <row r="7751" spans="1:7" x14ac:dyDescent="0.2">
      <c r="A7751" t="s">
        <v>71</v>
      </c>
      <c r="B7751" t="s">
        <v>170</v>
      </c>
      <c r="C7751" t="s">
        <v>212</v>
      </c>
      <c r="D7751" t="s">
        <v>74</v>
      </c>
      <c r="E7751" t="s">
        <v>76</v>
      </c>
      <c r="F7751" s="55">
        <v>105</v>
      </c>
      <c r="G7751" s="63">
        <v>3.1E-2</v>
      </c>
    </row>
    <row r="7752" spans="1:7" x14ac:dyDescent="0.2">
      <c r="A7752" t="s">
        <v>71</v>
      </c>
      <c r="B7752" t="s">
        <v>170</v>
      </c>
      <c r="C7752" t="s">
        <v>212</v>
      </c>
      <c r="D7752" t="s">
        <v>74</v>
      </c>
      <c r="E7752" t="s">
        <v>77</v>
      </c>
      <c r="F7752" s="55">
        <v>104</v>
      </c>
      <c r="G7752" s="63">
        <v>6.88E-2</v>
      </c>
    </row>
    <row r="7753" spans="1:7" x14ac:dyDescent="0.2">
      <c r="A7753" t="s">
        <v>71</v>
      </c>
      <c r="B7753" t="s">
        <v>170</v>
      </c>
      <c r="C7753" t="s">
        <v>212</v>
      </c>
      <c r="D7753" t="s">
        <v>74</v>
      </c>
      <c r="E7753" t="s">
        <v>78</v>
      </c>
      <c r="F7753" s="55">
        <v>99</v>
      </c>
      <c r="G7753" s="63">
        <v>5.5800000000000002E-2</v>
      </c>
    </row>
    <row r="7754" spans="1:7" x14ac:dyDescent="0.2">
      <c r="A7754" t="s">
        <v>71</v>
      </c>
      <c r="B7754" t="s">
        <v>170</v>
      </c>
      <c r="C7754" t="s">
        <v>212</v>
      </c>
      <c r="D7754" t="s">
        <v>74</v>
      </c>
      <c r="E7754" t="s">
        <v>79</v>
      </c>
      <c r="F7754" s="55">
        <v>100</v>
      </c>
      <c r="G7754" s="63">
        <v>0.1181</v>
      </c>
    </row>
    <row r="7755" spans="1:7" x14ac:dyDescent="0.2">
      <c r="A7755" t="s">
        <v>71</v>
      </c>
      <c r="B7755" t="s">
        <v>170</v>
      </c>
      <c r="C7755" t="s">
        <v>212</v>
      </c>
      <c r="D7755" t="s">
        <v>74</v>
      </c>
      <c r="E7755" t="s">
        <v>80</v>
      </c>
      <c r="F7755" s="55">
        <v>97</v>
      </c>
      <c r="G7755" s="63">
        <v>4.1000000000000002E-2</v>
      </c>
    </row>
    <row r="7756" spans="1:7" x14ac:dyDescent="0.2">
      <c r="A7756" t="s">
        <v>71</v>
      </c>
      <c r="B7756" t="s">
        <v>170</v>
      </c>
      <c r="C7756" t="s">
        <v>212</v>
      </c>
      <c r="D7756" t="s">
        <v>74</v>
      </c>
      <c r="E7756" t="s">
        <v>81</v>
      </c>
      <c r="F7756" s="55">
        <v>99</v>
      </c>
      <c r="G7756" s="63">
        <v>4.7699999999999999E-2</v>
      </c>
    </row>
    <row r="7757" spans="1:7" x14ac:dyDescent="0.2">
      <c r="A7757" t="s">
        <v>71</v>
      </c>
      <c r="B7757" t="s">
        <v>170</v>
      </c>
      <c r="C7757" t="s">
        <v>212</v>
      </c>
      <c r="D7757" t="s">
        <v>74</v>
      </c>
      <c r="E7757" t="s">
        <v>82</v>
      </c>
      <c r="F7757" s="55">
        <v>96</v>
      </c>
      <c r="G7757" s="63">
        <v>8.9200000000000002E-2</v>
      </c>
    </row>
    <row r="7758" spans="1:7" x14ac:dyDescent="0.2">
      <c r="A7758" t="s">
        <v>71</v>
      </c>
      <c r="B7758" t="s">
        <v>170</v>
      </c>
      <c r="C7758" t="s">
        <v>212</v>
      </c>
      <c r="D7758" t="s">
        <v>74</v>
      </c>
      <c r="E7758" t="s">
        <v>83</v>
      </c>
      <c r="F7758" s="55">
        <v>104</v>
      </c>
      <c r="G7758" s="63">
        <v>2.6499999999999999E-2</v>
      </c>
    </row>
    <row r="7759" spans="1:7" x14ac:dyDescent="0.2">
      <c r="A7759" t="s">
        <v>71</v>
      </c>
      <c r="B7759" t="s">
        <v>170</v>
      </c>
      <c r="C7759" t="s">
        <v>212</v>
      </c>
      <c r="D7759" t="s">
        <v>74</v>
      </c>
      <c r="E7759" t="s">
        <v>84</v>
      </c>
      <c r="F7759" s="55">
        <v>99</v>
      </c>
      <c r="G7759" s="63">
        <v>4.4400000000000002E-2</v>
      </c>
    </row>
    <row r="7760" spans="1:7" x14ac:dyDescent="0.2">
      <c r="A7760" t="s">
        <v>71</v>
      </c>
      <c r="B7760" t="s">
        <v>170</v>
      </c>
      <c r="C7760" t="s">
        <v>212</v>
      </c>
      <c r="D7760" t="s">
        <v>74</v>
      </c>
      <c r="E7760" t="s">
        <v>85</v>
      </c>
      <c r="F7760" s="55">
        <v>100</v>
      </c>
      <c r="G7760" s="63">
        <v>4.1799999999999997E-2</v>
      </c>
    </row>
    <row r="7761" spans="1:7" x14ac:dyDescent="0.2">
      <c r="A7761" t="s">
        <v>71</v>
      </c>
      <c r="B7761" t="s">
        <v>170</v>
      </c>
      <c r="C7761" t="s">
        <v>212</v>
      </c>
      <c r="D7761" t="s">
        <v>74</v>
      </c>
      <c r="E7761" t="s">
        <v>86</v>
      </c>
      <c r="F7761" s="55">
        <v>100</v>
      </c>
      <c r="G7761" s="63">
        <v>5.3400000000000003E-2</v>
      </c>
    </row>
    <row r="7762" spans="1:7" x14ac:dyDescent="0.2">
      <c r="A7762" t="s">
        <v>71</v>
      </c>
      <c r="B7762" t="s">
        <v>170</v>
      </c>
      <c r="C7762" t="s">
        <v>212</v>
      </c>
      <c r="D7762" t="s">
        <v>74</v>
      </c>
      <c r="E7762" t="s">
        <v>87</v>
      </c>
      <c r="F7762" s="55">
        <v>100</v>
      </c>
      <c r="G7762" s="63">
        <v>6.0499999999999998E-2</v>
      </c>
    </row>
    <row r="7763" spans="1:7" x14ac:dyDescent="0.2">
      <c r="A7763" t="s">
        <v>71</v>
      </c>
      <c r="B7763" t="s">
        <v>170</v>
      </c>
      <c r="C7763" t="s">
        <v>212</v>
      </c>
      <c r="D7763" t="s">
        <v>74</v>
      </c>
      <c r="E7763" t="s">
        <v>88</v>
      </c>
      <c r="F7763" s="55">
        <v>103</v>
      </c>
      <c r="G7763" s="63">
        <v>4.8399999999999999E-2</v>
      </c>
    </row>
    <row r="7764" spans="1:7" x14ac:dyDescent="0.2">
      <c r="A7764" t="s">
        <v>71</v>
      </c>
      <c r="B7764" t="s">
        <v>16</v>
      </c>
      <c r="C7764" t="s">
        <v>212</v>
      </c>
      <c r="D7764" t="s">
        <v>74</v>
      </c>
      <c r="E7764" t="s">
        <v>75</v>
      </c>
      <c r="F7764" s="55">
        <v>106</v>
      </c>
      <c r="G7764" s="63">
        <v>0.39319999999999999</v>
      </c>
    </row>
    <row r="7765" spans="1:7" x14ac:dyDescent="0.2">
      <c r="A7765" t="s">
        <v>71</v>
      </c>
      <c r="B7765" t="s">
        <v>16</v>
      </c>
      <c r="C7765" t="s">
        <v>212</v>
      </c>
      <c r="D7765" t="s">
        <v>74</v>
      </c>
      <c r="E7765" t="s">
        <v>76</v>
      </c>
      <c r="F7765" s="55">
        <v>103</v>
      </c>
      <c r="G7765" s="63">
        <v>5.0299999999999997E-2</v>
      </c>
    </row>
    <row r="7766" spans="1:7" x14ac:dyDescent="0.2">
      <c r="A7766" t="s">
        <v>71</v>
      </c>
      <c r="B7766" t="s">
        <v>16</v>
      </c>
      <c r="C7766" t="s">
        <v>212</v>
      </c>
      <c r="D7766" t="s">
        <v>74</v>
      </c>
      <c r="E7766" t="s">
        <v>77</v>
      </c>
      <c r="F7766" s="55">
        <v>115</v>
      </c>
      <c r="G7766" s="63">
        <v>0.1201</v>
      </c>
    </row>
    <row r="7767" spans="1:7" x14ac:dyDescent="0.2">
      <c r="A7767" t="s">
        <v>71</v>
      </c>
      <c r="B7767" t="s">
        <v>16</v>
      </c>
      <c r="C7767" t="s">
        <v>212</v>
      </c>
      <c r="D7767" t="s">
        <v>74</v>
      </c>
      <c r="E7767" t="s">
        <v>78</v>
      </c>
      <c r="F7767" s="55">
        <v>112</v>
      </c>
      <c r="G7767" s="63">
        <v>0.1384</v>
      </c>
    </row>
    <row r="7768" spans="1:7" x14ac:dyDescent="0.2">
      <c r="A7768" t="s">
        <v>71</v>
      </c>
      <c r="B7768" t="s">
        <v>16</v>
      </c>
      <c r="C7768" t="s">
        <v>212</v>
      </c>
      <c r="D7768" t="s">
        <v>74</v>
      </c>
      <c r="E7768" t="s">
        <v>79</v>
      </c>
      <c r="F7768" s="55">
        <v>104</v>
      </c>
      <c r="G7768" s="63">
        <v>0.29509999999999997</v>
      </c>
    </row>
    <row r="7769" spans="1:7" x14ac:dyDescent="0.2">
      <c r="A7769" t="s">
        <v>71</v>
      </c>
      <c r="B7769" t="s">
        <v>16</v>
      </c>
      <c r="C7769" t="s">
        <v>212</v>
      </c>
      <c r="D7769" t="s">
        <v>74</v>
      </c>
      <c r="E7769" t="s">
        <v>80</v>
      </c>
      <c r="F7769" s="55">
        <v>100</v>
      </c>
      <c r="G7769" s="63">
        <v>9.2499999999999999E-2</v>
      </c>
    </row>
    <row r="7770" spans="1:7" x14ac:dyDescent="0.2">
      <c r="A7770" t="s">
        <v>71</v>
      </c>
      <c r="B7770" t="s">
        <v>16</v>
      </c>
      <c r="C7770" t="s">
        <v>212</v>
      </c>
      <c r="D7770" t="s">
        <v>74</v>
      </c>
      <c r="E7770" t="s">
        <v>81</v>
      </c>
      <c r="F7770" s="55">
        <v>100</v>
      </c>
      <c r="G7770" s="63">
        <v>9.5299999999999996E-2</v>
      </c>
    </row>
    <row r="7771" spans="1:7" x14ac:dyDescent="0.2">
      <c r="A7771" t="s">
        <v>71</v>
      </c>
      <c r="B7771" t="s">
        <v>16</v>
      </c>
      <c r="C7771" t="s">
        <v>212</v>
      </c>
      <c r="D7771" t="s">
        <v>74</v>
      </c>
      <c r="E7771" t="s">
        <v>82</v>
      </c>
      <c r="F7771" s="55">
        <v>107</v>
      </c>
      <c r="G7771" s="63">
        <v>0.191</v>
      </c>
    </row>
    <row r="7772" spans="1:7" x14ac:dyDescent="0.2">
      <c r="A7772" t="s">
        <v>71</v>
      </c>
      <c r="B7772" t="s">
        <v>16</v>
      </c>
      <c r="C7772" t="s">
        <v>212</v>
      </c>
      <c r="D7772" t="s">
        <v>74</v>
      </c>
      <c r="E7772" t="s">
        <v>83</v>
      </c>
      <c r="F7772" s="55">
        <v>101</v>
      </c>
      <c r="G7772" s="63">
        <v>4.5100000000000001E-2</v>
      </c>
    </row>
    <row r="7773" spans="1:7" x14ac:dyDescent="0.2">
      <c r="A7773" t="s">
        <v>71</v>
      </c>
      <c r="B7773" t="s">
        <v>16</v>
      </c>
      <c r="C7773" t="s">
        <v>212</v>
      </c>
      <c r="D7773" t="s">
        <v>74</v>
      </c>
      <c r="E7773" t="s">
        <v>84</v>
      </c>
      <c r="F7773" s="55">
        <v>114</v>
      </c>
      <c r="G7773" s="63">
        <v>8.6599999999999996E-2</v>
      </c>
    </row>
    <row r="7774" spans="1:7" x14ac:dyDescent="0.2">
      <c r="A7774" t="s">
        <v>71</v>
      </c>
      <c r="B7774" t="s">
        <v>16</v>
      </c>
      <c r="C7774" t="s">
        <v>212</v>
      </c>
      <c r="D7774" t="s">
        <v>74</v>
      </c>
      <c r="E7774" t="s">
        <v>85</v>
      </c>
      <c r="F7774" s="55">
        <v>103</v>
      </c>
      <c r="G7774" s="63">
        <v>0.1115</v>
      </c>
    </row>
    <row r="7775" spans="1:7" x14ac:dyDescent="0.2">
      <c r="A7775" t="s">
        <v>71</v>
      </c>
      <c r="B7775" t="s">
        <v>16</v>
      </c>
      <c r="C7775" t="s">
        <v>212</v>
      </c>
      <c r="D7775" t="s">
        <v>74</v>
      </c>
      <c r="E7775" t="s">
        <v>86</v>
      </c>
      <c r="F7775" s="55">
        <v>102</v>
      </c>
      <c r="G7775" s="63">
        <v>0.14050000000000001</v>
      </c>
    </row>
    <row r="7776" spans="1:7" x14ac:dyDescent="0.2">
      <c r="A7776" t="s">
        <v>71</v>
      </c>
      <c r="B7776" t="s">
        <v>16</v>
      </c>
      <c r="C7776" t="s">
        <v>212</v>
      </c>
      <c r="D7776" t="s">
        <v>74</v>
      </c>
      <c r="E7776" t="s">
        <v>87</v>
      </c>
      <c r="F7776" s="55">
        <v>104</v>
      </c>
      <c r="G7776" s="63">
        <v>0.16289999999999999</v>
      </c>
    </row>
    <row r="7777" spans="1:7" x14ac:dyDescent="0.2">
      <c r="A7777" t="s">
        <v>71</v>
      </c>
      <c r="B7777" t="s">
        <v>16</v>
      </c>
      <c r="C7777" t="s">
        <v>212</v>
      </c>
      <c r="D7777" t="s">
        <v>74</v>
      </c>
      <c r="E7777" t="s">
        <v>88</v>
      </c>
      <c r="F7777" s="55">
        <v>103</v>
      </c>
      <c r="G7777" s="63">
        <v>8.77E-2</v>
      </c>
    </row>
    <row r="7778" spans="1:7" x14ac:dyDescent="0.2">
      <c r="A7778" t="s">
        <v>89</v>
      </c>
      <c r="B7778" t="s">
        <v>171</v>
      </c>
      <c r="C7778" t="s">
        <v>212</v>
      </c>
      <c r="D7778" t="s">
        <v>91</v>
      </c>
      <c r="E7778" t="s">
        <v>75</v>
      </c>
      <c r="F7778" s="55">
        <v>110</v>
      </c>
      <c r="G7778" s="63">
        <v>0.56689999999999996</v>
      </c>
    </row>
    <row r="7779" spans="1:7" x14ac:dyDescent="0.2">
      <c r="A7779" t="s">
        <v>89</v>
      </c>
      <c r="B7779" t="s">
        <v>171</v>
      </c>
      <c r="C7779" t="s">
        <v>212</v>
      </c>
      <c r="D7779" t="s">
        <v>91</v>
      </c>
      <c r="E7779" t="s">
        <v>76</v>
      </c>
      <c r="F7779" s="55">
        <v>94</v>
      </c>
      <c r="G7779" s="63">
        <v>7.5700000000000003E-2</v>
      </c>
    </row>
    <row r="7780" spans="1:7" x14ac:dyDescent="0.2">
      <c r="A7780" t="s">
        <v>89</v>
      </c>
      <c r="B7780" t="s">
        <v>171</v>
      </c>
      <c r="C7780" t="s">
        <v>212</v>
      </c>
      <c r="D7780" t="s">
        <v>91</v>
      </c>
      <c r="E7780" t="s">
        <v>77</v>
      </c>
      <c r="F7780" s="55">
        <v>100</v>
      </c>
      <c r="G7780" s="63">
        <v>0.2127</v>
      </c>
    </row>
    <row r="7781" spans="1:7" x14ac:dyDescent="0.2">
      <c r="A7781" t="s">
        <v>89</v>
      </c>
      <c r="B7781" t="s">
        <v>171</v>
      </c>
      <c r="C7781" t="s">
        <v>212</v>
      </c>
      <c r="D7781" t="s">
        <v>91</v>
      </c>
      <c r="E7781" t="s">
        <v>78</v>
      </c>
      <c r="F7781" s="55">
        <v>107</v>
      </c>
      <c r="G7781" s="63">
        <v>0.20069999999999999</v>
      </c>
    </row>
    <row r="7782" spans="1:7" x14ac:dyDescent="0.2">
      <c r="A7782" t="s">
        <v>89</v>
      </c>
      <c r="B7782" t="s">
        <v>171</v>
      </c>
      <c r="C7782" t="s">
        <v>212</v>
      </c>
      <c r="D7782" t="s">
        <v>91</v>
      </c>
      <c r="E7782" t="s">
        <v>79</v>
      </c>
      <c r="F7782" s="55">
        <v>116</v>
      </c>
      <c r="G7782" s="63">
        <v>0.43240000000000001</v>
      </c>
    </row>
    <row r="7783" spans="1:7" x14ac:dyDescent="0.2">
      <c r="A7783" t="s">
        <v>89</v>
      </c>
      <c r="B7783" t="s">
        <v>171</v>
      </c>
      <c r="C7783" t="s">
        <v>212</v>
      </c>
      <c r="D7783" t="s">
        <v>91</v>
      </c>
      <c r="E7783" t="s">
        <v>80</v>
      </c>
      <c r="F7783" s="55">
        <v>101</v>
      </c>
      <c r="G7783" s="63">
        <v>0.12659999999999999</v>
      </c>
    </row>
    <row r="7784" spans="1:7" x14ac:dyDescent="0.2">
      <c r="A7784" t="s">
        <v>89</v>
      </c>
      <c r="B7784" t="s">
        <v>171</v>
      </c>
      <c r="C7784" t="s">
        <v>212</v>
      </c>
      <c r="D7784" t="s">
        <v>91</v>
      </c>
      <c r="E7784" t="s">
        <v>81</v>
      </c>
      <c r="F7784" s="55">
        <v>101</v>
      </c>
      <c r="G7784" s="63">
        <v>0.13719999999999999</v>
      </c>
    </row>
    <row r="7785" spans="1:7" x14ac:dyDescent="0.2">
      <c r="A7785" t="s">
        <v>89</v>
      </c>
      <c r="B7785" t="s">
        <v>171</v>
      </c>
      <c r="C7785" t="s">
        <v>212</v>
      </c>
      <c r="D7785" t="s">
        <v>91</v>
      </c>
      <c r="E7785" t="s">
        <v>82</v>
      </c>
      <c r="F7785" s="55">
        <v>107</v>
      </c>
      <c r="G7785" s="63">
        <v>0.3609</v>
      </c>
    </row>
    <row r="7786" spans="1:7" x14ac:dyDescent="0.2">
      <c r="A7786" t="s">
        <v>89</v>
      </c>
      <c r="B7786" t="s">
        <v>171</v>
      </c>
      <c r="C7786" t="s">
        <v>212</v>
      </c>
      <c r="D7786" t="s">
        <v>91</v>
      </c>
      <c r="E7786" t="s">
        <v>83</v>
      </c>
      <c r="F7786" s="55">
        <v>102</v>
      </c>
      <c r="G7786" s="63">
        <v>6.6600000000000006E-2</v>
      </c>
    </row>
    <row r="7787" spans="1:7" x14ac:dyDescent="0.2">
      <c r="A7787" t="s">
        <v>89</v>
      </c>
      <c r="B7787" t="s">
        <v>171</v>
      </c>
      <c r="C7787" t="s">
        <v>212</v>
      </c>
      <c r="D7787" t="s">
        <v>91</v>
      </c>
      <c r="E7787" t="s">
        <v>84</v>
      </c>
      <c r="F7787" s="55">
        <v>108</v>
      </c>
      <c r="G7787" s="63">
        <v>0.15040000000000001</v>
      </c>
    </row>
    <row r="7788" spans="1:7" x14ac:dyDescent="0.2">
      <c r="A7788" t="s">
        <v>89</v>
      </c>
      <c r="B7788" t="s">
        <v>171</v>
      </c>
      <c r="C7788" t="s">
        <v>212</v>
      </c>
      <c r="D7788" t="s">
        <v>91</v>
      </c>
      <c r="E7788" t="s">
        <v>85</v>
      </c>
      <c r="F7788" s="55">
        <v>106</v>
      </c>
      <c r="G7788" s="63">
        <v>0.1522</v>
      </c>
    </row>
    <row r="7789" spans="1:7" x14ac:dyDescent="0.2">
      <c r="A7789" t="s">
        <v>89</v>
      </c>
      <c r="B7789" t="s">
        <v>171</v>
      </c>
      <c r="C7789" t="s">
        <v>212</v>
      </c>
      <c r="D7789" t="s">
        <v>91</v>
      </c>
      <c r="E7789" t="s">
        <v>86</v>
      </c>
      <c r="F7789" s="55">
        <v>112</v>
      </c>
      <c r="G7789" s="63">
        <v>0.21990000000000001</v>
      </c>
    </row>
    <row r="7790" spans="1:7" x14ac:dyDescent="0.2">
      <c r="A7790" t="s">
        <v>89</v>
      </c>
      <c r="B7790" t="s">
        <v>171</v>
      </c>
      <c r="C7790" t="s">
        <v>212</v>
      </c>
      <c r="D7790" t="s">
        <v>91</v>
      </c>
      <c r="E7790" t="s">
        <v>87</v>
      </c>
      <c r="F7790" s="55">
        <v>120</v>
      </c>
      <c r="G7790" s="63">
        <v>0.2727</v>
      </c>
    </row>
    <row r="7791" spans="1:7" x14ac:dyDescent="0.2">
      <c r="A7791" t="s">
        <v>89</v>
      </c>
      <c r="B7791" t="s">
        <v>171</v>
      </c>
      <c r="C7791" t="s">
        <v>212</v>
      </c>
      <c r="D7791" t="s">
        <v>91</v>
      </c>
      <c r="E7791" t="s">
        <v>88</v>
      </c>
      <c r="F7791" s="55">
        <v>98</v>
      </c>
      <c r="G7791" s="63">
        <v>0.1371</v>
      </c>
    </row>
    <row r="7792" spans="1:7" x14ac:dyDescent="0.2">
      <c r="A7792" t="s">
        <v>89</v>
      </c>
      <c r="B7792" t="s">
        <v>172</v>
      </c>
      <c r="C7792" t="s">
        <v>212</v>
      </c>
      <c r="D7792" t="s">
        <v>74</v>
      </c>
      <c r="E7792" t="s">
        <v>75</v>
      </c>
      <c r="F7792" s="55">
        <v>111</v>
      </c>
      <c r="G7792" s="63">
        <v>0.123</v>
      </c>
    </row>
    <row r="7793" spans="1:7" x14ac:dyDescent="0.2">
      <c r="A7793" t="s">
        <v>89</v>
      </c>
      <c r="B7793" t="s">
        <v>172</v>
      </c>
      <c r="C7793" t="s">
        <v>212</v>
      </c>
      <c r="D7793" t="s">
        <v>74</v>
      </c>
      <c r="E7793" t="s">
        <v>76</v>
      </c>
      <c r="F7793" s="55">
        <v>112</v>
      </c>
      <c r="G7793" s="63">
        <v>1.7299999999999999E-2</v>
      </c>
    </row>
    <row r="7794" spans="1:7" x14ac:dyDescent="0.2">
      <c r="A7794" t="s">
        <v>89</v>
      </c>
      <c r="B7794" t="s">
        <v>172</v>
      </c>
      <c r="C7794" t="s">
        <v>212</v>
      </c>
      <c r="D7794" t="s">
        <v>74</v>
      </c>
      <c r="E7794" t="s">
        <v>77</v>
      </c>
      <c r="F7794" s="55">
        <v>115</v>
      </c>
      <c r="G7794" s="63">
        <v>4.1099999999999998E-2</v>
      </c>
    </row>
    <row r="7795" spans="1:7" x14ac:dyDescent="0.2">
      <c r="A7795" t="s">
        <v>89</v>
      </c>
      <c r="B7795" t="s">
        <v>172</v>
      </c>
      <c r="C7795" t="s">
        <v>212</v>
      </c>
      <c r="D7795" t="s">
        <v>74</v>
      </c>
      <c r="E7795" t="s">
        <v>78</v>
      </c>
      <c r="F7795" s="55">
        <v>113</v>
      </c>
      <c r="G7795" s="63">
        <v>3.3399999999999999E-2</v>
      </c>
    </row>
    <row r="7796" spans="1:7" x14ac:dyDescent="0.2">
      <c r="A7796" t="s">
        <v>89</v>
      </c>
      <c r="B7796" t="s">
        <v>172</v>
      </c>
      <c r="C7796" t="s">
        <v>212</v>
      </c>
      <c r="D7796" t="s">
        <v>74</v>
      </c>
      <c r="E7796" t="s">
        <v>79</v>
      </c>
      <c r="F7796" s="55">
        <v>109</v>
      </c>
      <c r="G7796" s="63">
        <v>6.9099999999999995E-2</v>
      </c>
    </row>
    <row r="7797" spans="1:7" x14ac:dyDescent="0.2">
      <c r="A7797" t="s">
        <v>89</v>
      </c>
      <c r="B7797" t="s">
        <v>172</v>
      </c>
      <c r="C7797" t="s">
        <v>212</v>
      </c>
      <c r="D7797" t="s">
        <v>74</v>
      </c>
      <c r="E7797" t="s">
        <v>80</v>
      </c>
      <c r="F7797" s="55">
        <v>107</v>
      </c>
      <c r="G7797" s="63">
        <v>2.2200000000000001E-2</v>
      </c>
    </row>
    <row r="7798" spans="1:7" x14ac:dyDescent="0.2">
      <c r="A7798" t="s">
        <v>89</v>
      </c>
      <c r="B7798" t="s">
        <v>172</v>
      </c>
      <c r="C7798" t="s">
        <v>212</v>
      </c>
      <c r="D7798" t="s">
        <v>74</v>
      </c>
      <c r="E7798" t="s">
        <v>81</v>
      </c>
      <c r="F7798" s="55">
        <v>104</v>
      </c>
      <c r="G7798" s="63">
        <v>2.53E-2</v>
      </c>
    </row>
    <row r="7799" spans="1:7" x14ac:dyDescent="0.2">
      <c r="A7799" t="s">
        <v>89</v>
      </c>
      <c r="B7799" t="s">
        <v>172</v>
      </c>
      <c r="C7799" t="s">
        <v>212</v>
      </c>
      <c r="D7799" t="s">
        <v>74</v>
      </c>
      <c r="E7799" t="s">
        <v>82</v>
      </c>
      <c r="F7799" s="55">
        <v>114</v>
      </c>
      <c r="G7799" s="63">
        <v>6.13E-2</v>
      </c>
    </row>
    <row r="7800" spans="1:7" x14ac:dyDescent="0.2">
      <c r="A7800" t="s">
        <v>89</v>
      </c>
      <c r="B7800" t="s">
        <v>172</v>
      </c>
      <c r="C7800" t="s">
        <v>212</v>
      </c>
      <c r="D7800" t="s">
        <v>74</v>
      </c>
      <c r="E7800" t="s">
        <v>83</v>
      </c>
      <c r="F7800" s="55">
        <v>106</v>
      </c>
      <c r="G7800" s="63">
        <v>1.3899999999999999E-2</v>
      </c>
    </row>
    <row r="7801" spans="1:7" x14ac:dyDescent="0.2">
      <c r="A7801" t="s">
        <v>89</v>
      </c>
      <c r="B7801" t="s">
        <v>172</v>
      </c>
      <c r="C7801" t="s">
        <v>212</v>
      </c>
      <c r="D7801" t="s">
        <v>74</v>
      </c>
      <c r="E7801" t="s">
        <v>84</v>
      </c>
      <c r="F7801" s="55">
        <v>115</v>
      </c>
      <c r="G7801" s="63">
        <v>2.7400000000000001E-2</v>
      </c>
    </row>
    <row r="7802" spans="1:7" x14ac:dyDescent="0.2">
      <c r="A7802" t="s">
        <v>89</v>
      </c>
      <c r="B7802" t="s">
        <v>172</v>
      </c>
      <c r="C7802" t="s">
        <v>212</v>
      </c>
      <c r="D7802" t="s">
        <v>74</v>
      </c>
      <c r="E7802" t="s">
        <v>85</v>
      </c>
      <c r="F7802" s="55">
        <v>105</v>
      </c>
      <c r="G7802" s="63">
        <v>2.1999999999999999E-2</v>
      </c>
    </row>
    <row r="7803" spans="1:7" x14ac:dyDescent="0.2">
      <c r="A7803" t="s">
        <v>89</v>
      </c>
      <c r="B7803" t="s">
        <v>172</v>
      </c>
      <c r="C7803" t="s">
        <v>212</v>
      </c>
      <c r="D7803" t="s">
        <v>74</v>
      </c>
      <c r="E7803" t="s">
        <v>86</v>
      </c>
      <c r="F7803" s="55">
        <v>110</v>
      </c>
      <c r="G7803" s="63">
        <v>2.7400000000000001E-2</v>
      </c>
    </row>
    <row r="7804" spans="1:7" x14ac:dyDescent="0.2">
      <c r="A7804" t="s">
        <v>89</v>
      </c>
      <c r="B7804" t="s">
        <v>172</v>
      </c>
      <c r="C7804" t="s">
        <v>212</v>
      </c>
      <c r="D7804" t="s">
        <v>74</v>
      </c>
      <c r="E7804" t="s">
        <v>87</v>
      </c>
      <c r="F7804" s="55">
        <v>111</v>
      </c>
      <c r="G7804" s="63">
        <v>3.0599999999999999E-2</v>
      </c>
    </row>
    <row r="7805" spans="1:7" x14ac:dyDescent="0.2">
      <c r="A7805" t="s">
        <v>89</v>
      </c>
      <c r="B7805" t="s">
        <v>172</v>
      </c>
      <c r="C7805" t="s">
        <v>212</v>
      </c>
      <c r="D7805" t="s">
        <v>74</v>
      </c>
      <c r="E7805" t="s">
        <v>88</v>
      </c>
      <c r="F7805" s="55">
        <v>110</v>
      </c>
      <c r="G7805" s="63">
        <v>2.81E-2</v>
      </c>
    </row>
    <row r="7806" spans="1:7" x14ac:dyDescent="0.2">
      <c r="A7806" t="s">
        <v>89</v>
      </c>
      <c r="B7806" t="s">
        <v>173</v>
      </c>
      <c r="C7806" t="s">
        <v>212</v>
      </c>
      <c r="D7806" t="s">
        <v>74</v>
      </c>
      <c r="E7806" t="s">
        <v>75</v>
      </c>
      <c r="F7806" s="55">
        <v>116</v>
      </c>
      <c r="G7806" s="63">
        <v>0.1157</v>
      </c>
    </row>
    <row r="7807" spans="1:7" x14ac:dyDescent="0.2">
      <c r="A7807" t="s">
        <v>89</v>
      </c>
      <c r="B7807" t="s">
        <v>173</v>
      </c>
      <c r="C7807" t="s">
        <v>212</v>
      </c>
      <c r="D7807" t="s">
        <v>74</v>
      </c>
      <c r="E7807" t="s">
        <v>76</v>
      </c>
      <c r="F7807" s="55">
        <v>92</v>
      </c>
      <c r="G7807" s="63">
        <v>7.0000000000000001E-3</v>
      </c>
    </row>
    <row r="7808" spans="1:7" x14ac:dyDescent="0.2">
      <c r="A7808" t="s">
        <v>89</v>
      </c>
      <c r="B7808" t="s">
        <v>173</v>
      </c>
      <c r="C7808" t="s">
        <v>212</v>
      </c>
      <c r="D7808" t="s">
        <v>74</v>
      </c>
      <c r="E7808" t="s">
        <v>77</v>
      </c>
      <c r="F7808" s="55">
        <v>118</v>
      </c>
      <c r="G7808" s="63">
        <v>3.6999999999999998E-2</v>
      </c>
    </row>
    <row r="7809" spans="1:7" x14ac:dyDescent="0.2">
      <c r="A7809" t="s">
        <v>89</v>
      </c>
      <c r="B7809" t="s">
        <v>173</v>
      </c>
      <c r="C7809" t="s">
        <v>212</v>
      </c>
      <c r="D7809" t="s">
        <v>74</v>
      </c>
      <c r="E7809" t="s">
        <v>78</v>
      </c>
      <c r="F7809" s="55">
        <v>115</v>
      </c>
      <c r="G7809" s="63">
        <v>3.0099999999999998E-2</v>
      </c>
    </row>
    <row r="7810" spans="1:7" x14ac:dyDescent="0.2">
      <c r="A7810" t="s">
        <v>89</v>
      </c>
      <c r="B7810" t="s">
        <v>173</v>
      </c>
      <c r="C7810" t="s">
        <v>212</v>
      </c>
      <c r="D7810" t="s">
        <v>74</v>
      </c>
      <c r="E7810" t="s">
        <v>79</v>
      </c>
      <c r="F7810" s="55">
        <v>121</v>
      </c>
      <c r="G7810" s="63">
        <v>6.7199999999999996E-2</v>
      </c>
    </row>
    <row r="7811" spans="1:7" x14ac:dyDescent="0.2">
      <c r="A7811" t="s">
        <v>89</v>
      </c>
      <c r="B7811" t="s">
        <v>173</v>
      </c>
      <c r="C7811" t="s">
        <v>212</v>
      </c>
      <c r="D7811" t="s">
        <v>74</v>
      </c>
      <c r="E7811" t="s">
        <v>80</v>
      </c>
      <c r="F7811" s="55">
        <v>111</v>
      </c>
      <c r="G7811" s="63">
        <v>2.4E-2</v>
      </c>
    </row>
    <row r="7812" spans="1:7" x14ac:dyDescent="0.2">
      <c r="A7812" t="s">
        <v>89</v>
      </c>
      <c r="B7812" t="s">
        <v>173</v>
      </c>
      <c r="C7812" t="s">
        <v>212</v>
      </c>
      <c r="D7812" t="s">
        <v>74</v>
      </c>
      <c r="E7812" t="s">
        <v>81</v>
      </c>
      <c r="F7812" s="55">
        <v>106</v>
      </c>
      <c r="G7812" s="63">
        <v>2.1399999999999999E-2</v>
      </c>
    </row>
    <row r="7813" spans="1:7" x14ac:dyDescent="0.2">
      <c r="A7813" t="s">
        <v>89</v>
      </c>
      <c r="B7813" t="s">
        <v>173</v>
      </c>
      <c r="C7813" t="s">
        <v>212</v>
      </c>
      <c r="D7813" t="s">
        <v>74</v>
      </c>
      <c r="E7813" t="s">
        <v>82</v>
      </c>
      <c r="F7813" s="55">
        <v>114</v>
      </c>
      <c r="G7813" s="63">
        <v>5.6399999999999999E-2</v>
      </c>
    </row>
    <row r="7814" spans="1:7" x14ac:dyDescent="0.2">
      <c r="A7814" t="s">
        <v>89</v>
      </c>
      <c r="B7814" t="s">
        <v>173</v>
      </c>
      <c r="C7814" t="s">
        <v>212</v>
      </c>
      <c r="D7814" t="s">
        <v>74</v>
      </c>
      <c r="E7814" t="s">
        <v>83</v>
      </c>
      <c r="F7814" s="55">
        <v>97</v>
      </c>
      <c r="G7814" s="63">
        <v>5.4000000000000003E-3</v>
      </c>
    </row>
    <row r="7815" spans="1:7" x14ac:dyDescent="0.2">
      <c r="A7815" t="s">
        <v>89</v>
      </c>
      <c r="B7815" t="s">
        <v>173</v>
      </c>
      <c r="C7815" t="s">
        <v>212</v>
      </c>
      <c r="D7815" t="s">
        <v>74</v>
      </c>
      <c r="E7815" t="s">
        <v>84</v>
      </c>
      <c r="F7815" s="55">
        <v>116</v>
      </c>
      <c r="G7815" s="63">
        <v>2.3E-2</v>
      </c>
    </row>
    <row r="7816" spans="1:7" x14ac:dyDescent="0.2">
      <c r="A7816" t="s">
        <v>89</v>
      </c>
      <c r="B7816" t="s">
        <v>173</v>
      </c>
      <c r="C7816" t="s">
        <v>212</v>
      </c>
      <c r="D7816" t="s">
        <v>74</v>
      </c>
      <c r="E7816" t="s">
        <v>85</v>
      </c>
      <c r="F7816" s="55">
        <v>123</v>
      </c>
      <c r="G7816" s="63">
        <v>2.5700000000000001E-2</v>
      </c>
    </row>
    <row r="7817" spans="1:7" x14ac:dyDescent="0.2">
      <c r="A7817" t="s">
        <v>89</v>
      </c>
      <c r="B7817" t="s">
        <v>173</v>
      </c>
      <c r="C7817" t="s">
        <v>212</v>
      </c>
      <c r="D7817" t="s">
        <v>74</v>
      </c>
      <c r="E7817" t="s">
        <v>86</v>
      </c>
      <c r="F7817" s="55">
        <v>122</v>
      </c>
      <c r="G7817" s="63">
        <v>3.0800000000000001E-2</v>
      </c>
    </row>
    <row r="7818" spans="1:7" x14ac:dyDescent="0.2">
      <c r="A7818" t="s">
        <v>89</v>
      </c>
      <c r="B7818" t="s">
        <v>173</v>
      </c>
      <c r="C7818" t="s">
        <v>212</v>
      </c>
      <c r="D7818" t="s">
        <v>74</v>
      </c>
      <c r="E7818" t="s">
        <v>87</v>
      </c>
      <c r="F7818" s="55">
        <v>121</v>
      </c>
      <c r="G7818" s="63">
        <v>3.5700000000000003E-2</v>
      </c>
    </row>
    <row r="7819" spans="1:7" x14ac:dyDescent="0.2">
      <c r="A7819" t="s">
        <v>89</v>
      </c>
      <c r="B7819" t="s">
        <v>173</v>
      </c>
      <c r="C7819" t="s">
        <v>212</v>
      </c>
      <c r="D7819" t="s">
        <v>74</v>
      </c>
      <c r="E7819" t="s">
        <v>88</v>
      </c>
      <c r="F7819" s="55">
        <v>110</v>
      </c>
      <c r="G7819" s="63">
        <v>2.06E-2</v>
      </c>
    </row>
    <row r="7820" spans="1:7" x14ac:dyDescent="0.2">
      <c r="A7820" t="s">
        <v>89</v>
      </c>
      <c r="B7820" t="s">
        <v>174</v>
      </c>
      <c r="C7820" t="s">
        <v>212</v>
      </c>
      <c r="D7820" t="s">
        <v>74</v>
      </c>
      <c r="E7820" t="s">
        <v>75</v>
      </c>
      <c r="F7820" s="55">
        <v>113</v>
      </c>
      <c r="G7820" s="63">
        <v>0.14460000000000001</v>
      </c>
    </row>
    <row r="7821" spans="1:7" x14ac:dyDescent="0.2">
      <c r="A7821" t="s">
        <v>89</v>
      </c>
      <c r="B7821" t="s">
        <v>174</v>
      </c>
      <c r="C7821" t="s">
        <v>212</v>
      </c>
      <c r="D7821" t="s">
        <v>74</v>
      </c>
      <c r="E7821" t="s">
        <v>76</v>
      </c>
      <c r="F7821" s="55">
        <v>109</v>
      </c>
      <c r="G7821" s="63">
        <v>1.8200000000000001E-2</v>
      </c>
    </row>
    <row r="7822" spans="1:7" x14ac:dyDescent="0.2">
      <c r="A7822" t="s">
        <v>89</v>
      </c>
      <c r="B7822" t="s">
        <v>174</v>
      </c>
      <c r="C7822" t="s">
        <v>212</v>
      </c>
      <c r="D7822" t="s">
        <v>74</v>
      </c>
      <c r="E7822" t="s">
        <v>77</v>
      </c>
      <c r="F7822" s="55">
        <v>111</v>
      </c>
      <c r="G7822" s="63">
        <v>5.1499999999999997E-2</v>
      </c>
    </row>
    <row r="7823" spans="1:7" x14ac:dyDescent="0.2">
      <c r="A7823" t="s">
        <v>89</v>
      </c>
      <c r="B7823" t="s">
        <v>174</v>
      </c>
      <c r="C7823" t="s">
        <v>212</v>
      </c>
      <c r="D7823" t="s">
        <v>74</v>
      </c>
      <c r="E7823" t="s">
        <v>78</v>
      </c>
      <c r="F7823" s="55">
        <v>112</v>
      </c>
      <c r="G7823" s="63">
        <v>4.3099999999999999E-2</v>
      </c>
    </row>
    <row r="7824" spans="1:7" x14ac:dyDescent="0.2">
      <c r="A7824" t="s">
        <v>89</v>
      </c>
      <c r="B7824" t="s">
        <v>174</v>
      </c>
      <c r="C7824" t="s">
        <v>212</v>
      </c>
      <c r="D7824" t="s">
        <v>74</v>
      </c>
      <c r="E7824" t="s">
        <v>79</v>
      </c>
      <c r="F7824" s="55">
        <v>115</v>
      </c>
      <c r="G7824" s="63">
        <v>8.9300000000000004E-2</v>
      </c>
    </row>
    <row r="7825" spans="1:7" x14ac:dyDescent="0.2">
      <c r="A7825" t="s">
        <v>89</v>
      </c>
      <c r="B7825" t="s">
        <v>174</v>
      </c>
      <c r="C7825" t="s">
        <v>212</v>
      </c>
      <c r="D7825" t="s">
        <v>74</v>
      </c>
      <c r="E7825" t="s">
        <v>80</v>
      </c>
      <c r="F7825" s="55">
        <v>108</v>
      </c>
      <c r="G7825" s="63">
        <v>2.63E-2</v>
      </c>
    </row>
    <row r="7826" spans="1:7" x14ac:dyDescent="0.2">
      <c r="A7826" t="s">
        <v>89</v>
      </c>
      <c r="B7826" t="s">
        <v>174</v>
      </c>
      <c r="C7826" t="s">
        <v>212</v>
      </c>
      <c r="D7826" t="s">
        <v>74</v>
      </c>
      <c r="E7826" t="s">
        <v>81</v>
      </c>
      <c r="F7826" s="55">
        <v>110</v>
      </c>
      <c r="G7826" s="63">
        <v>2.98E-2</v>
      </c>
    </row>
    <row r="7827" spans="1:7" x14ac:dyDescent="0.2">
      <c r="A7827" t="s">
        <v>89</v>
      </c>
      <c r="B7827" t="s">
        <v>174</v>
      </c>
      <c r="C7827" t="s">
        <v>212</v>
      </c>
      <c r="D7827" t="s">
        <v>74</v>
      </c>
      <c r="E7827" t="s">
        <v>82</v>
      </c>
      <c r="F7827" s="55">
        <v>117</v>
      </c>
      <c r="G7827" s="63">
        <v>7.1900000000000006E-2</v>
      </c>
    </row>
    <row r="7828" spans="1:7" x14ac:dyDescent="0.2">
      <c r="A7828" t="s">
        <v>89</v>
      </c>
      <c r="B7828" t="s">
        <v>174</v>
      </c>
      <c r="C7828" t="s">
        <v>212</v>
      </c>
      <c r="D7828" t="s">
        <v>74</v>
      </c>
      <c r="E7828" t="s">
        <v>83</v>
      </c>
      <c r="F7828" s="55">
        <v>107</v>
      </c>
      <c r="G7828" s="63">
        <v>1.4500000000000001E-2</v>
      </c>
    </row>
    <row r="7829" spans="1:7" x14ac:dyDescent="0.2">
      <c r="A7829" t="s">
        <v>89</v>
      </c>
      <c r="B7829" t="s">
        <v>174</v>
      </c>
      <c r="C7829" t="s">
        <v>212</v>
      </c>
      <c r="D7829" t="s">
        <v>74</v>
      </c>
      <c r="E7829" t="s">
        <v>84</v>
      </c>
      <c r="F7829" s="55">
        <v>114</v>
      </c>
      <c r="G7829" s="63">
        <v>3.2500000000000001E-2</v>
      </c>
    </row>
    <row r="7830" spans="1:7" x14ac:dyDescent="0.2">
      <c r="A7830" t="s">
        <v>89</v>
      </c>
      <c r="B7830" t="s">
        <v>174</v>
      </c>
      <c r="C7830" t="s">
        <v>212</v>
      </c>
      <c r="D7830" t="s">
        <v>74</v>
      </c>
      <c r="E7830" t="s">
        <v>85</v>
      </c>
      <c r="F7830" s="55">
        <v>109</v>
      </c>
      <c r="G7830" s="63">
        <v>2.8400000000000002E-2</v>
      </c>
    </row>
    <row r="7831" spans="1:7" x14ac:dyDescent="0.2">
      <c r="A7831" t="s">
        <v>89</v>
      </c>
      <c r="B7831" t="s">
        <v>174</v>
      </c>
      <c r="C7831" t="s">
        <v>212</v>
      </c>
      <c r="D7831" t="s">
        <v>74</v>
      </c>
      <c r="E7831" t="s">
        <v>86</v>
      </c>
      <c r="F7831" s="55">
        <v>115</v>
      </c>
      <c r="G7831" s="63">
        <v>3.61E-2</v>
      </c>
    </row>
    <row r="7832" spans="1:7" x14ac:dyDescent="0.2">
      <c r="A7832" t="s">
        <v>89</v>
      </c>
      <c r="B7832" t="s">
        <v>174</v>
      </c>
      <c r="C7832" t="s">
        <v>212</v>
      </c>
      <c r="D7832" t="s">
        <v>74</v>
      </c>
      <c r="E7832" t="s">
        <v>87</v>
      </c>
      <c r="F7832" s="55">
        <v>117</v>
      </c>
      <c r="G7832" s="63">
        <v>4.3200000000000002E-2</v>
      </c>
    </row>
    <row r="7833" spans="1:7" x14ac:dyDescent="0.2">
      <c r="A7833" t="s">
        <v>89</v>
      </c>
      <c r="B7833" t="s">
        <v>174</v>
      </c>
      <c r="C7833" t="s">
        <v>212</v>
      </c>
      <c r="D7833" t="s">
        <v>74</v>
      </c>
      <c r="E7833" t="s">
        <v>88</v>
      </c>
      <c r="F7833" s="55">
        <v>112</v>
      </c>
      <c r="G7833" s="63">
        <v>3.15E-2</v>
      </c>
    </row>
    <row r="7834" spans="1:7" x14ac:dyDescent="0.2">
      <c r="A7834" t="s">
        <v>89</v>
      </c>
      <c r="B7834" t="s">
        <v>17</v>
      </c>
      <c r="C7834" t="s">
        <v>212</v>
      </c>
      <c r="D7834" t="s">
        <v>74</v>
      </c>
      <c r="E7834" t="s">
        <v>75</v>
      </c>
      <c r="F7834" s="55">
        <v>89</v>
      </c>
      <c r="G7834" s="63">
        <v>6.2199999999999998E-2</v>
      </c>
    </row>
    <row r="7835" spans="1:7" x14ac:dyDescent="0.2">
      <c r="A7835" t="s">
        <v>89</v>
      </c>
      <c r="B7835" t="s">
        <v>17</v>
      </c>
      <c r="C7835" t="s">
        <v>212</v>
      </c>
      <c r="D7835" t="s">
        <v>74</v>
      </c>
      <c r="E7835" t="s">
        <v>76</v>
      </c>
      <c r="F7835" s="55">
        <v>70</v>
      </c>
      <c r="G7835" s="63">
        <v>3.0999999999999999E-3</v>
      </c>
    </row>
    <row r="7836" spans="1:7" x14ac:dyDescent="0.2">
      <c r="A7836" t="s">
        <v>89</v>
      </c>
      <c r="B7836" t="s">
        <v>17</v>
      </c>
      <c r="C7836" t="s">
        <v>212</v>
      </c>
      <c r="D7836" t="s">
        <v>74</v>
      </c>
      <c r="E7836" t="s">
        <v>77</v>
      </c>
      <c r="F7836" s="55">
        <v>91</v>
      </c>
      <c r="G7836" s="63">
        <v>1.4E-2</v>
      </c>
    </row>
    <row r="7837" spans="1:7" x14ac:dyDescent="0.2">
      <c r="A7837" t="s">
        <v>89</v>
      </c>
      <c r="B7837" t="s">
        <v>17</v>
      </c>
      <c r="C7837" t="s">
        <v>212</v>
      </c>
      <c r="D7837" t="s">
        <v>74</v>
      </c>
      <c r="E7837" t="s">
        <v>78</v>
      </c>
      <c r="F7837" s="55">
        <v>88</v>
      </c>
      <c r="G7837" s="63">
        <v>1.15E-2</v>
      </c>
    </row>
    <row r="7838" spans="1:7" x14ac:dyDescent="0.2">
      <c r="A7838" t="s">
        <v>89</v>
      </c>
      <c r="B7838" t="s">
        <v>17</v>
      </c>
      <c r="C7838" t="s">
        <v>212</v>
      </c>
      <c r="D7838" t="s">
        <v>74</v>
      </c>
      <c r="E7838" t="s">
        <v>79</v>
      </c>
      <c r="F7838" s="55">
        <v>90</v>
      </c>
      <c r="G7838" s="63">
        <v>3.78E-2</v>
      </c>
    </row>
    <row r="7839" spans="1:7" x14ac:dyDescent="0.2">
      <c r="A7839" t="s">
        <v>89</v>
      </c>
      <c r="B7839" t="s">
        <v>17</v>
      </c>
      <c r="C7839" t="s">
        <v>212</v>
      </c>
      <c r="D7839" t="s">
        <v>74</v>
      </c>
      <c r="E7839" t="s">
        <v>80</v>
      </c>
      <c r="F7839" s="55">
        <v>83</v>
      </c>
      <c r="G7839" s="63">
        <v>4.7999999999999996E-3</v>
      </c>
    </row>
    <row r="7840" spans="1:7" x14ac:dyDescent="0.2">
      <c r="A7840" t="s">
        <v>89</v>
      </c>
      <c r="B7840" t="s">
        <v>17</v>
      </c>
      <c r="C7840" t="s">
        <v>212</v>
      </c>
      <c r="D7840" t="s">
        <v>74</v>
      </c>
      <c r="E7840" t="s">
        <v>81</v>
      </c>
      <c r="F7840" s="55">
        <v>83</v>
      </c>
      <c r="G7840" s="63">
        <v>5.7000000000000002E-3</v>
      </c>
    </row>
    <row r="7841" spans="1:7" x14ac:dyDescent="0.2">
      <c r="A7841" t="s">
        <v>89</v>
      </c>
      <c r="B7841" t="s">
        <v>17</v>
      </c>
      <c r="C7841" t="s">
        <v>212</v>
      </c>
      <c r="D7841" t="s">
        <v>74</v>
      </c>
      <c r="E7841" t="s">
        <v>82</v>
      </c>
      <c r="F7841" s="55">
        <v>92</v>
      </c>
      <c r="G7841" s="63">
        <v>2.5999999999999999E-2</v>
      </c>
    </row>
    <row r="7842" spans="1:7" x14ac:dyDescent="0.2">
      <c r="A7842" t="s">
        <v>89</v>
      </c>
      <c r="B7842" t="s">
        <v>17</v>
      </c>
      <c r="C7842" t="s">
        <v>212</v>
      </c>
      <c r="D7842" t="s">
        <v>74</v>
      </c>
      <c r="E7842" t="s">
        <v>83</v>
      </c>
      <c r="F7842" s="55">
        <v>70</v>
      </c>
      <c r="G7842" s="63">
        <v>2.3E-3</v>
      </c>
    </row>
    <row r="7843" spans="1:7" x14ac:dyDescent="0.2">
      <c r="A7843" t="s">
        <v>89</v>
      </c>
      <c r="B7843" t="s">
        <v>17</v>
      </c>
      <c r="C7843" t="s">
        <v>212</v>
      </c>
      <c r="D7843" t="s">
        <v>74</v>
      </c>
      <c r="E7843" t="s">
        <v>84</v>
      </c>
      <c r="F7843" s="55">
        <v>89</v>
      </c>
      <c r="G7843" s="63">
        <v>6.7000000000000002E-3</v>
      </c>
    </row>
    <row r="7844" spans="1:7" x14ac:dyDescent="0.2">
      <c r="A7844" t="s">
        <v>89</v>
      </c>
      <c r="B7844" t="s">
        <v>17</v>
      </c>
      <c r="C7844" t="s">
        <v>212</v>
      </c>
      <c r="D7844" t="s">
        <v>74</v>
      </c>
      <c r="E7844" t="s">
        <v>85</v>
      </c>
      <c r="F7844" s="55">
        <v>84</v>
      </c>
      <c r="G7844" s="63">
        <v>6.6E-3</v>
      </c>
    </row>
    <row r="7845" spans="1:7" x14ac:dyDescent="0.2">
      <c r="A7845" t="s">
        <v>89</v>
      </c>
      <c r="B7845" t="s">
        <v>17</v>
      </c>
      <c r="C7845" t="s">
        <v>212</v>
      </c>
      <c r="D7845" t="s">
        <v>74</v>
      </c>
      <c r="E7845" t="s">
        <v>86</v>
      </c>
      <c r="F7845" s="55">
        <v>89</v>
      </c>
      <c r="G7845" s="63">
        <v>1.0699999999999999E-2</v>
      </c>
    </row>
    <row r="7846" spans="1:7" x14ac:dyDescent="0.2">
      <c r="A7846" t="s">
        <v>89</v>
      </c>
      <c r="B7846" t="s">
        <v>17</v>
      </c>
      <c r="C7846" t="s">
        <v>212</v>
      </c>
      <c r="D7846" t="s">
        <v>74</v>
      </c>
      <c r="E7846" t="s">
        <v>87</v>
      </c>
      <c r="F7846" s="55">
        <v>91</v>
      </c>
      <c r="G7846" s="63">
        <v>1.5800000000000002E-2</v>
      </c>
    </row>
    <row r="7847" spans="1:7" x14ac:dyDescent="0.2">
      <c r="A7847" t="s">
        <v>89</v>
      </c>
      <c r="B7847" t="s">
        <v>17</v>
      </c>
      <c r="C7847" t="s">
        <v>212</v>
      </c>
      <c r="D7847" t="s">
        <v>74</v>
      </c>
      <c r="E7847" t="s">
        <v>88</v>
      </c>
      <c r="F7847" s="55">
        <v>79</v>
      </c>
      <c r="G7847" s="63">
        <v>6.1000000000000004E-3</v>
      </c>
    </row>
    <row r="7848" spans="1:7" x14ac:dyDescent="0.2">
      <c r="A7848" t="s">
        <v>89</v>
      </c>
      <c r="B7848" t="s">
        <v>175</v>
      </c>
      <c r="C7848" t="s">
        <v>212</v>
      </c>
      <c r="D7848" t="s">
        <v>74</v>
      </c>
      <c r="E7848" t="s">
        <v>75</v>
      </c>
      <c r="F7848" s="55">
        <v>115</v>
      </c>
      <c r="G7848" s="63">
        <v>0.1318</v>
      </c>
    </row>
    <row r="7849" spans="1:7" x14ac:dyDescent="0.2">
      <c r="A7849" t="s">
        <v>89</v>
      </c>
      <c r="B7849" t="s">
        <v>175</v>
      </c>
      <c r="C7849" t="s">
        <v>212</v>
      </c>
      <c r="D7849" t="s">
        <v>74</v>
      </c>
      <c r="E7849" t="s">
        <v>76</v>
      </c>
      <c r="F7849" s="55">
        <v>106</v>
      </c>
      <c r="G7849" s="63">
        <v>0.02</v>
      </c>
    </row>
    <row r="7850" spans="1:7" x14ac:dyDescent="0.2">
      <c r="A7850" t="s">
        <v>89</v>
      </c>
      <c r="B7850" t="s">
        <v>175</v>
      </c>
      <c r="C7850" t="s">
        <v>212</v>
      </c>
      <c r="D7850" t="s">
        <v>74</v>
      </c>
      <c r="E7850" t="s">
        <v>77</v>
      </c>
      <c r="F7850" s="55">
        <v>117</v>
      </c>
      <c r="G7850" s="63">
        <v>5.0099999999999999E-2</v>
      </c>
    </row>
    <row r="7851" spans="1:7" x14ac:dyDescent="0.2">
      <c r="A7851" t="s">
        <v>89</v>
      </c>
      <c r="B7851" t="s">
        <v>175</v>
      </c>
      <c r="C7851" t="s">
        <v>212</v>
      </c>
      <c r="D7851" t="s">
        <v>74</v>
      </c>
      <c r="E7851" t="s">
        <v>78</v>
      </c>
      <c r="F7851" s="55">
        <v>113</v>
      </c>
      <c r="G7851" s="63">
        <v>4.24E-2</v>
      </c>
    </row>
    <row r="7852" spans="1:7" x14ac:dyDescent="0.2">
      <c r="A7852" t="s">
        <v>89</v>
      </c>
      <c r="B7852" t="s">
        <v>175</v>
      </c>
      <c r="C7852" t="s">
        <v>212</v>
      </c>
      <c r="D7852" t="s">
        <v>74</v>
      </c>
      <c r="E7852" t="s">
        <v>79</v>
      </c>
      <c r="F7852" s="55">
        <v>117</v>
      </c>
      <c r="G7852" s="63">
        <v>8.5000000000000006E-2</v>
      </c>
    </row>
    <row r="7853" spans="1:7" x14ac:dyDescent="0.2">
      <c r="A7853" t="s">
        <v>89</v>
      </c>
      <c r="B7853" t="s">
        <v>175</v>
      </c>
      <c r="C7853" t="s">
        <v>212</v>
      </c>
      <c r="D7853" t="s">
        <v>74</v>
      </c>
      <c r="E7853" t="s">
        <v>80</v>
      </c>
      <c r="F7853" s="55">
        <v>112</v>
      </c>
      <c r="G7853" s="63">
        <v>2.52E-2</v>
      </c>
    </row>
    <row r="7854" spans="1:7" x14ac:dyDescent="0.2">
      <c r="A7854" t="s">
        <v>89</v>
      </c>
      <c r="B7854" t="s">
        <v>175</v>
      </c>
      <c r="C7854" t="s">
        <v>212</v>
      </c>
      <c r="D7854" t="s">
        <v>74</v>
      </c>
      <c r="E7854" t="s">
        <v>81</v>
      </c>
      <c r="F7854" s="55">
        <v>108</v>
      </c>
      <c r="G7854" s="63">
        <v>2.7E-2</v>
      </c>
    </row>
    <row r="7855" spans="1:7" x14ac:dyDescent="0.2">
      <c r="A7855" t="s">
        <v>89</v>
      </c>
      <c r="B7855" t="s">
        <v>175</v>
      </c>
      <c r="C7855" t="s">
        <v>212</v>
      </c>
      <c r="D7855" t="s">
        <v>74</v>
      </c>
      <c r="E7855" t="s">
        <v>82</v>
      </c>
      <c r="F7855" s="55">
        <v>118</v>
      </c>
      <c r="G7855" s="63">
        <v>6.1899999999999997E-2</v>
      </c>
    </row>
    <row r="7856" spans="1:7" x14ac:dyDescent="0.2">
      <c r="A7856" t="s">
        <v>89</v>
      </c>
      <c r="B7856" t="s">
        <v>175</v>
      </c>
      <c r="C7856" t="s">
        <v>212</v>
      </c>
      <c r="D7856" t="s">
        <v>74</v>
      </c>
      <c r="E7856" t="s">
        <v>83</v>
      </c>
      <c r="F7856" s="55">
        <v>107</v>
      </c>
      <c r="G7856" s="63">
        <v>1.43E-2</v>
      </c>
    </row>
    <row r="7857" spans="1:7" x14ac:dyDescent="0.2">
      <c r="A7857" t="s">
        <v>89</v>
      </c>
      <c r="B7857" t="s">
        <v>175</v>
      </c>
      <c r="C7857" t="s">
        <v>212</v>
      </c>
      <c r="D7857" t="s">
        <v>74</v>
      </c>
      <c r="E7857" t="s">
        <v>84</v>
      </c>
      <c r="F7857" s="55">
        <v>114</v>
      </c>
      <c r="G7857" s="63">
        <v>3.2500000000000001E-2</v>
      </c>
    </row>
    <row r="7858" spans="1:7" x14ac:dyDescent="0.2">
      <c r="A7858" t="s">
        <v>89</v>
      </c>
      <c r="B7858" t="s">
        <v>175</v>
      </c>
      <c r="C7858" t="s">
        <v>212</v>
      </c>
      <c r="D7858" t="s">
        <v>74</v>
      </c>
      <c r="E7858" t="s">
        <v>85</v>
      </c>
      <c r="F7858" s="55">
        <v>117</v>
      </c>
      <c r="G7858" s="63">
        <v>2.8199999999999999E-2</v>
      </c>
    </row>
    <row r="7859" spans="1:7" x14ac:dyDescent="0.2">
      <c r="A7859" t="s">
        <v>89</v>
      </c>
      <c r="B7859" t="s">
        <v>175</v>
      </c>
      <c r="C7859" t="s">
        <v>212</v>
      </c>
      <c r="D7859" t="s">
        <v>74</v>
      </c>
      <c r="E7859" t="s">
        <v>86</v>
      </c>
      <c r="F7859" s="55">
        <v>118</v>
      </c>
      <c r="G7859" s="63">
        <v>3.6499999999999998E-2</v>
      </c>
    </row>
    <row r="7860" spans="1:7" x14ac:dyDescent="0.2">
      <c r="A7860" t="s">
        <v>89</v>
      </c>
      <c r="B7860" t="s">
        <v>175</v>
      </c>
      <c r="C7860" t="s">
        <v>212</v>
      </c>
      <c r="D7860" t="s">
        <v>74</v>
      </c>
      <c r="E7860" t="s">
        <v>87</v>
      </c>
      <c r="F7860" s="55">
        <v>118</v>
      </c>
      <c r="G7860" s="63">
        <v>4.2599999999999999E-2</v>
      </c>
    </row>
    <row r="7861" spans="1:7" x14ac:dyDescent="0.2">
      <c r="A7861" t="s">
        <v>89</v>
      </c>
      <c r="B7861" t="s">
        <v>175</v>
      </c>
      <c r="C7861" t="s">
        <v>212</v>
      </c>
      <c r="D7861" t="s">
        <v>74</v>
      </c>
      <c r="E7861" t="s">
        <v>88</v>
      </c>
      <c r="F7861" s="55">
        <v>106</v>
      </c>
      <c r="G7861" s="63">
        <v>3.1800000000000002E-2</v>
      </c>
    </row>
    <row r="7862" spans="1:7" x14ac:dyDescent="0.2">
      <c r="A7862" t="s">
        <v>89</v>
      </c>
      <c r="B7862" t="s">
        <v>219</v>
      </c>
      <c r="C7862" t="s">
        <v>212</v>
      </c>
      <c r="D7862" t="s">
        <v>74</v>
      </c>
      <c r="E7862" t="s">
        <v>75</v>
      </c>
      <c r="F7862" s="55">
        <v>122</v>
      </c>
      <c r="G7862" s="63">
        <v>2.3199999999999998E-2</v>
      </c>
    </row>
    <row r="7863" spans="1:7" x14ac:dyDescent="0.2">
      <c r="A7863" t="s">
        <v>89</v>
      </c>
      <c r="B7863" t="s">
        <v>219</v>
      </c>
      <c r="C7863" t="s">
        <v>212</v>
      </c>
      <c r="D7863" t="s">
        <v>74</v>
      </c>
      <c r="E7863" t="s">
        <v>76</v>
      </c>
      <c r="F7863" s="55">
        <v>124</v>
      </c>
      <c r="G7863" s="63">
        <v>1.47E-2</v>
      </c>
    </row>
    <row r="7864" spans="1:7" x14ac:dyDescent="0.2">
      <c r="A7864" t="s">
        <v>89</v>
      </c>
      <c r="B7864" t="s">
        <v>219</v>
      </c>
      <c r="C7864" t="s">
        <v>212</v>
      </c>
      <c r="D7864" t="s">
        <v>74</v>
      </c>
      <c r="E7864" t="s">
        <v>77</v>
      </c>
      <c r="F7864" s="55">
        <v>128</v>
      </c>
      <c r="G7864" s="63">
        <v>1.8100000000000002E-2</v>
      </c>
    </row>
    <row r="7865" spans="1:7" x14ac:dyDescent="0.2">
      <c r="A7865" t="s">
        <v>89</v>
      </c>
      <c r="B7865" t="s">
        <v>219</v>
      </c>
      <c r="C7865" t="s">
        <v>212</v>
      </c>
      <c r="D7865" t="s">
        <v>74</v>
      </c>
      <c r="E7865" t="s">
        <v>78</v>
      </c>
      <c r="F7865" s="55">
        <v>122</v>
      </c>
      <c r="G7865" s="63">
        <v>1.6899999999999998E-2</v>
      </c>
    </row>
    <row r="7866" spans="1:7" x14ac:dyDescent="0.2">
      <c r="A7866" t="s">
        <v>89</v>
      </c>
      <c r="B7866" t="s">
        <v>219</v>
      </c>
      <c r="C7866" t="s">
        <v>212</v>
      </c>
      <c r="D7866" t="s">
        <v>74</v>
      </c>
      <c r="E7866" t="s">
        <v>79</v>
      </c>
      <c r="F7866" s="55">
        <v>120</v>
      </c>
      <c r="G7866" s="63">
        <v>1.9699999999999999E-2</v>
      </c>
    </row>
    <row r="7867" spans="1:7" x14ac:dyDescent="0.2">
      <c r="A7867" t="s">
        <v>89</v>
      </c>
      <c r="B7867" t="s">
        <v>219</v>
      </c>
      <c r="C7867" t="s">
        <v>212</v>
      </c>
      <c r="D7867" t="s">
        <v>74</v>
      </c>
      <c r="E7867" t="s">
        <v>80</v>
      </c>
      <c r="F7867" s="55">
        <v>112</v>
      </c>
      <c r="G7867" s="63">
        <v>9.4999999999999998E-3</v>
      </c>
    </row>
    <row r="7868" spans="1:7" x14ac:dyDescent="0.2">
      <c r="A7868" t="s">
        <v>89</v>
      </c>
      <c r="B7868" t="s">
        <v>219</v>
      </c>
      <c r="C7868" t="s">
        <v>212</v>
      </c>
      <c r="D7868" t="s">
        <v>74</v>
      </c>
      <c r="E7868" t="s">
        <v>81</v>
      </c>
      <c r="F7868" s="55">
        <v>111</v>
      </c>
      <c r="G7868" s="63">
        <v>1.15E-2</v>
      </c>
    </row>
    <row r="7869" spans="1:7" x14ac:dyDescent="0.2">
      <c r="A7869" t="s">
        <v>89</v>
      </c>
      <c r="B7869" t="s">
        <v>219</v>
      </c>
      <c r="C7869" t="s">
        <v>212</v>
      </c>
      <c r="D7869" t="s">
        <v>74</v>
      </c>
      <c r="E7869" t="s">
        <v>82</v>
      </c>
      <c r="F7869" s="55">
        <v>123</v>
      </c>
      <c r="G7869" s="63">
        <v>1.9900000000000001E-2</v>
      </c>
    </row>
    <row r="7870" spans="1:7" x14ac:dyDescent="0.2">
      <c r="A7870" t="s">
        <v>89</v>
      </c>
      <c r="B7870" t="s">
        <v>219</v>
      </c>
      <c r="C7870" t="s">
        <v>212</v>
      </c>
      <c r="D7870" t="s">
        <v>74</v>
      </c>
      <c r="E7870" t="s">
        <v>83</v>
      </c>
      <c r="F7870" s="55">
        <v>114</v>
      </c>
      <c r="G7870" s="63">
        <v>1.06E-2</v>
      </c>
    </row>
    <row r="7871" spans="1:7" x14ac:dyDescent="0.2">
      <c r="A7871" t="s">
        <v>89</v>
      </c>
      <c r="B7871" t="s">
        <v>219</v>
      </c>
      <c r="C7871" t="s">
        <v>212</v>
      </c>
      <c r="D7871" t="s">
        <v>74</v>
      </c>
      <c r="E7871" t="s">
        <v>84</v>
      </c>
      <c r="F7871" s="55">
        <v>125</v>
      </c>
      <c r="G7871" s="63">
        <v>1.5299999999999999E-2</v>
      </c>
    </row>
    <row r="7872" spans="1:7" x14ac:dyDescent="0.2">
      <c r="A7872" t="s">
        <v>89</v>
      </c>
      <c r="B7872" t="s">
        <v>219</v>
      </c>
      <c r="C7872" t="s">
        <v>212</v>
      </c>
      <c r="D7872" t="s">
        <v>74</v>
      </c>
      <c r="E7872" t="s">
        <v>85</v>
      </c>
      <c r="F7872" s="55">
        <v>120</v>
      </c>
      <c r="G7872" s="63">
        <v>1.0999999999999999E-2</v>
      </c>
    </row>
    <row r="7873" spans="1:7" x14ac:dyDescent="0.2">
      <c r="A7873" t="s">
        <v>89</v>
      </c>
      <c r="B7873" t="s">
        <v>219</v>
      </c>
      <c r="C7873" t="s">
        <v>212</v>
      </c>
      <c r="D7873" t="s">
        <v>74</v>
      </c>
      <c r="E7873" t="s">
        <v>86</v>
      </c>
      <c r="F7873" s="55">
        <v>122</v>
      </c>
      <c r="G7873" s="63">
        <v>1.2699999999999999E-2</v>
      </c>
    </row>
    <row r="7874" spans="1:7" x14ac:dyDescent="0.2">
      <c r="A7874" t="s">
        <v>89</v>
      </c>
      <c r="B7874" t="s">
        <v>219</v>
      </c>
      <c r="C7874" t="s">
        <v>212</v>
      </c>
      <c r="D7874" t="s">
        <v>74</v>
      </c>
      <c r="E7874" t="s">
        <v>87</v>
      </c>
      <c r="F7874" s="55">
        <v>120</v>
      </c>
      <c r="G7874" s="63">
        <v>1.38E-2</v>
      </c>
    </row>
    <row r="7875" spans="1:7" x14ac:dyDescent="0.2">
      <c r="A7875" t="s">
        <v>89</v>
      </c>
      <c r="B7875" t="s">
        <v>219</v>
      </c>
      <c r="C7875" t="s">
        <v>212</v>
      </c>
      <c r="D7875" t="s">
        <v>74</v>
      </c>
      <c r="E7875" t="s">
        <v>88</v>
      </c>
      <c r="F7875" s="55">
        <v>122</v>
      </c>
      <c r="G7875" s="63">
        <v>1.6500000000000001E-2</v>
      </c>
    </row>
    <row r="7876" spans="1:7" x14ac:dyDescent="0.2">
      <c r="A7876" t="s">
        <v>71</v>
      </c>
      <c r="B7876" t="s">
        <v>220</v>
      </c>
      <c r="C7876" t="s">
        <v>212</v>
      </c>
      <c r="D7876" t="s">
        <v>74</v>
      </c>
      <c r="E7876" t="s">
        <v>75</v>
      </c>
      <c r="F7876" s="55">
        <v>70</v>
      </c>
      <c r="G7876" s="63">
        <v>9.2999999999999999E-2</v>
      </c>
    </row>
    <row r="7877" spans="1:7" x14ac:dyDescent="0.2">
      <c r="A7877" t="s">
        <v>71</v>
      </c>
      <c r="B7877" t="s">
        <v>220</v>
      </c>
      <c r="C7877" t="s">
        <v>212</v>
      </c>
      <c r="D7877" t="s">
        <v>74</v>
      </c>
      <c r="E7877" t="s">
        <v>76</v>
      </c>
      <c r="F7877" s="55">
        <v>69</v>
      </c>
      <c r="G7877" s="63">
        <v>5.4699999999999999E-2</v>
      </c>
    </row>
    <row r="7878" spans="1:7" x14ac:dyDescent="0.2">
      <c r="A7878" t="s">
        <v>71</v>
      </c>
      <c r="B7878" t="s">
        <v>220</v>
      </c>
      <c r="C7878" t="s">
        <v>212</v>
      </c>
      <c r="D7878" t="s">
        <v>74</v>
      </c>
      <c r="E7878" t="s">
        <v>77</v>
      </c>
      <c r="F7878" s="55">
        <v>72</v>
      </c>
      <c r="G7878" s="63">
        <v>7.2099999999999997E-2</v>
      </c>
    </row>
    <row r="7879" spans="1:7" x14ac:dyDescent="0.2">
      <c r="A7879" t="s">
        <v>71</v>
      </c>
      <c r="B7879" t="s">
        <v>220</v>
      </c>
      <c r="C7879" t="s">
        <v>212</v>
      </c>
      <c r="D7879" t="s">
        <v>74</v>
      </c>
      <c r="E7879" t="s">
        <v>78</v>
      </c>
      <c r="F7879" s="55">
        <v>71</v>
      </c>
      <c r="G7879" s="63">
        <v>6.5600000000000006E-2</v>
      </c>
    </row>
    <row r="7880" spans="1:7" x14ac:dyDescent="0.2">
      <c r="A7880" t="s">
        <v>71</v>
      </c>
      <c r="B7880" t="s">
        <v>220</v>
      </c>
      <c r="C7880" t="s">
        <v>212</v>
      </c>
      <c r="D7880" t="s">
        <v>74</v>
      </c>
      <c r="E7880" t="s">
        <v>79</v>
      </c>
      <c r="F7880" s="55">
        <v>69</v>
      </c>
      <c r="G7880" s="63">
        <v>7.9299999999999995E-2</v>
      </c>
    </row>
    <row r="7881" spans="1:7" x14ac:dyDescent="0.2">
      <c r="A7881" t="s">
        <v>71</v>
      </c>
      <c r="B7881" t="s">
        <v>220</v>
      </c>
      <c r="C7881" t="s">
        <v>212</v>
      </c>
      <c r="D7881" t="s">
        <v>74</v>
      </c>
      <c r="E7881" t="s">
        <v>80</v>
      </c>
      <c r="F7881" s="55">
        <v>71</v>
      </c>
      <c r="G7881" s="63">
        <v>4.6300000000000001E-2</v>
      </c>
    </row>
    <row r="7882" spans="1:7" x14ac:dyDescent="0.2">
      <c r="A7882" t="s">
        <v>71</v>
      </c>
      <c r="B7882" t="s">
        <v>220</v>
      </c>
      <c r="C7882" t="s">
        <v>212</v>
      </c>
      <c r="D7882" t="s">
        <v>74</v>
      </c>
      <c r="E7882" t="s">
        <v>81</v>
      </c>
      <c r="F7882" s="55">
        <v>69</v>
      </c>
      <c r="G7882" s="63">
        <v>4.9299999999999997E-2</v>
      </c>
    </row>
    <row r="7883" spans="1:7" x14ac:dyDescent="0.2">
      <c r="A7883" t="s">
        <v>71</v>
      </c>
      <c r="B7883" t="s">
        <v>220</v>
      </c>
      <c r="C7883" t="s">
        <v>212</v>
      </c>
      <c r="D7883" t="s">
        <v>74</v>
      </c>
      <c r="E7883" t="s">
        <v>82</v>
      </c>
      <c r="F7883" s="55">
        <v>70</v>
      </c>
      <c r="G7883" s="63">
        <v>7.6700000000000004E-2</v>
      </c>
    </row>
    <row r="7884" spans="1:7" x14ac:dyDescent="0.2">
      <c r="A7884" t="s">
        <v>71</v>
      </c>
      <c r="B7884" t="s">
        <v>220</v>
      </c>
      <c r="C7884" t="s">
        <v>212</v>
      </c>
      <c r="D7884" t="s">
        <v>74</v>
      </c>
      <c r="E7884" t="s">
        <v>83</v>
      </c>
      <c r="F7884" s="55">
        <v>67</v>
      </c>
      <c r="G7884" s="63">
        <v>3.9600000000000003E-2</v>
      </c>
    </row>
    <row r="7885" spans="1:7" x14ac:dyDescent="0.2">
      <c r="A7885" t="s">
        <v>71</v>
      </c>
      <c r="B7885" t="s">
        <v>220</v>
      </c>
      <c r="C7885" t="s">
        <v>212</v>
      </c>
      <c r="D7885" t="s">
        <v>74</v>
      </c>
      <c r="E7885" t="s">
        <v>84</v>
      </c>
      <c r="F7885" s="55">
        <v>71</v>
      </c>
      <c r="G7885" s="63">
        <v>5.96E-2</v>
      </c>
    </row>
    <row r="7886" spans="1:7" x14ac:dyDescent="0.2">
      <c r="A7886" t="s">
        <v>71</v>
      </c>
      <c r="B7886" t="s">
        <v>220</v>
      </c>
      <c r="C7886" t="s">
        <v>212</v>
      </c>
      <c r="D7886" t="s">
        <v>74</v>
      </c>
      <c r="E7886" t="s">
        <v>85</v>
      </c>
      <c r="F7886" s="55">
        <v>71</v>
      </c>
      <c r="G7886" s="63">
        <v>4.99E-2</v>
      </c>
    </row>
    <row r="7887" spans="1:7" x14ac:dyDescent="0.2">
      <c r="A7887" t="s">
        <v>71</v>
      </c>
      <c r="B7887" t="s">
        <v>220</v>
      </c>
      <c r="C7887" t="s">
        <v>212</v>
      </c>
      <c r="D7887" t="s">
        <v>74</v>
      </c>
      <c r="E7887" t="s">
        <v>86</v>
      </c>
      <c r="F7887" s="55">
        <v>69</v>
      </c>
      <c r="G7887" s="63">
        <v>5.5599999999999997E-2</v>
      </c>
    </row>
    <row r="7888" spans="1:7" x14ac:dyDescent="0.2">
      <c r="A7888" t="s">
        <v>71</v>
      </c>
      <c r="B7888" t="s">
        <v>220</v>
      </c>
      <c r="C7888" t="s">
        <v>212</v>
      </c>
      <c r="D7888" t="s">
        <v>74</v>
      </c>
      <c r="E7888" t="s">
        <v>87</v>
      </c>
      <c r="F7888" s="55">
        <v>69</v>
      </c>
      <c r="G7888" s="63">
        <v>5.8299999999999998E-2</v>
      </c>
    </row>
    <row r="7889" spans="1:7" x14ac:dyDescent="0.2">
      <c r="A7889" t="s">
        <v>71</v>
      </c>
      <c r="B7889" t="s">
        <v>220</v>
      </c>
      <c r="C7889" t="s">
        <v>212</v>
      </c>
      <c r="D7889" t="s">
        <v>74</v>
      </c>
      <c r="E7889" t="s">
        <v>88</v>
      </c>
      <c r="F7889" s="55">
        <v>69</v>
      </c>
      <c r="G7889" s="63">
        <v>6.2E-2</v>
      </c>
    </row>
    <row r="7890" spans="1:7" x14ac:dyDescent="0.2">
      <c r="A7890" t="s">
        <v>89</v>
      </c>
      <c r="B7890" t="s">
        <v>209</v>
      </c>
      <c r="C7890" t="s">
        <v>212</v>
      </c>
      <c r="D7890" t="s">
        <v>74</v>
      </c>
      <c r="E7890" t="s">
        <v>75</v>
      </c>
      <c r="F7890" s="55">
        <v>159</v>
      </c>
      <c r="G7890" s="63">
        <v>2.9999999999999997E-4</v>
      </c>
    </row>
    <row r="7891" spans="1:7" x14ac:dyDescent="0.2">
      <c r="A7891" t="s">
        <v>89</v>
      </c>
      <c r="B7891" t="s">
        <v>209</v>
      </c>
      <c r="C7891" t="s">
        <v>212</v>
      </c>
      <c r="D7891" t="s">
        <v>74</v>
      </c>
      <c r="E7891" t="s">
        <v>79</v>
      </c>
      <c r="F7891" s="55">
        <v>159</v>
      </c>
      <c r="G7891" s="63">
        <v>1E-4</v>
      </c>
    </row>
    <row r="7892" spans="1:7" x14ac:dyDescent="0.2">
      <c r="A7892" t="s">
        <v>89</v>
      </c>
      <c r="B7892" t="s">
        <v>210</v>
      </c>
      <c r="C7892" t="s">
        <v>212</v>
      </c>
      <c r="D7892" t="s">
        <v>74</v>
      </c>
      <c r="E7892" t="s">
        <v>75</v>
      </c>
      <c r="F7892" s="55">
        <v>8</v>
      </c>
      <c r="G7892" s="63">
        <v>2.9999999999999997E-4</v>
      </c>
    </row>
    <row r="7893" spans="1:7" x14ac:dyDescent="0.2">
      <c r="A7893" t="s">
        <v>89</v>
      </c>
      <c r="B7893" t="s">
        <v>176</v>
      </c>
      <c r="C7893" t="s">
        <v>212</v>
      </c>
      <c r="D7893" t="s">
        <v>74</v>
      </c>
      <c r="E7893" t="s">
        <v>75</v>
      </c>
      <c r="F7893" s="55">
        <v>140</v>
      </c>
      <c r="G7893" s="63">
        <v>1.6899999999999998E-2</v>
      </c>
    </row>
    <row r="7894" spans="1:7" x14ac:dyDescent="0.2">
      <c r="A7894" t="s">
        <v>89</v>
      </c>
      <c r="B7894" t="s">
        <v>176</v>
      </c>
      <c r="C7894" t="s">
        <v>212</v>
      </c>
      <c r="D7894" t="s">
        <v>74</v>
      </c>
      <c r="E7894" t="s">
        <v>76</v>
      </c>
      <c r="F7894" s="55">
        <v>145</v>
      </c>
      <c r="G7894" s="63">
        <v>2E-3</v>
      </c>
    </row>
    <row r="7895" spans="1:7" x14ac:dyDescent="0.2">
      <c r="A7895" t="s">
        <v>89</v>
      </c>
      <c r="B7895" t="s">
        <v>176</v>
      </c>
      <c r="C7895" t="s">
        <v>212</v>
      </c>
      <c r="D7895" t="s">
        <v>74</v>
      </c>
      <c r="E7895" t="s">
        <v>77</v>
      </c>
      <c r="F7895" s="55">
        <v>148</v>
      </c>
      <c r="G7895" s="63">
        <v>6.0000000000000001E-3</v>
      </c>
    </row>
    <row r="7896" spans="1:7" x14ac:dyDescent="0.2">
      <c r="A7896" t="s">
        <v>89</v>
      </c>
      <c r="B7896" t="s">
        <v>176</v>
      </c>
      <c r="C7896" t="s">
        <v>212</v>
      </c>
      <c r="D7896" t="s">
        <v>74</v>
      </c>
      <c r="E7896" t="s">
        <v>78</v>
      </c>
      <c r="F7896" s="55">
        <v>135</v>
      </c>
      <c r="G7896" s="63">
        <v>4.5999999999999999E-3</v>
      </c>
    </row>
    <row r="7897" spans="1:7" x14ac:dyDescent="0.2">
      <c r="A7897" t="s">
        <v>89</v>
      </c>
      <c r="B7897" t="s">
        <v>176</v>
      </c>
      <c r="C7897" t="s">
        <v>212</v>
      </c>
      <c r="D7897" t="s">
        <v>74</v>
      </c>
      <c r="E7897" t="s">
        <v>79</v>
      </c>
      <c r="F7897" s="55">
        <v>140</v>
      </c>
      <c r="G7897" s="63">
        <v>9.4000000000000004E-3</v>
      </c>
    </row>
    <row r="7898" spans="1:7" x14ac:dyDescent="0.2">
      <c r="A7898" t="s">
        <v>89</v>
      </c>
      <c r="B7898" t="s">
        <v>176</v>
      </c>
      <c r="C7898" t="s">
        <v>212</v>
      </c>
      <c r="D7898" t="s">
        <v>74</v>
      </c>
      <c r="E7898" t="s">
        <v>80</v>
      </c>
      <c r="F7898" s="55">
        <v>135</v>
      </c>
      <c r="G7898" s="63">
        <v>2E-3</v>
      </c>
    </row>
    <row r="7899" spans="1:7" x14ac:dyDescent="0.2">
      <c r="A7899" t="s">
        <v>89</v>
      </c>
      <c r="B7899" t="s">
        <v>176</v>
      </c>
      <c r="C7899" t="s">
        <v>212</v>
      </c>
      <c r="D7899" t="s">
        <v>74</v>
      </c>
      <c r="E7899" t="s">
        <v>81</v>
      </c>
      <c r="F7899" s="55">
        <v>135</v>
      </c>
      <c r="G7899" s="63">
        <v>2.7000000000000001E-3</v>
      </c>
    </row>
    <row r="7900" spans="1:7" x14ac:dyDescent="0.2">
      <c r="A7900" t="s">
        <v>89</v>
      </c>
      <c r="B7900" t="s">
        <v>176</v>
      </c>
      <c r="C7900" t="s">
        <v>212</v>
      </c>
      <c r="D7900" t="s">
        <v>74</v>
      </c>
      <c r="E7900" t="s">
        <v>82</v>
      </c>
      <c r="F7900" s="55">
        <v>136</v>
      </c>
      <c r="G7900" s="63">
        <v>7.7000000000000002E-3</v>
      </c>
    </row>
    <row r="7901" spans="1:7" x14ac:dyDescent="0.2">
      <c r="A7901" t="s">
        <v>89</v>
      </c>
      <c r="B7901" t="s">
        <v>176</v>
      </c>
      <c r="C7901" t="s">
        <v>212</v>
      </c>
      <c r="D7901" t="s">
        <v>74</v>
      </c>
      <c r="E7901" t="s">
        <v>83</v>
      </c>
      <c r="F7901" s="55">
        <v>132</v>
      </c>
      <c r="G7901" s="63">
        <v>1.4E-3</v>
      </c>
    </row>
    <row r="7902" spans="1:7" x14ac:dyDescent="0.2">
      <c r="A7902" t="s">
        <v>89</v>
      </c>
      <c r="B7902" t="s">
        <v>176</v>
      </c>
      <c r="C7902" t="s">
        <v>212</v>
      </c>
      <c r="D7902" t="s">
        <v>74</v>
      </c>
      <c r="E7902" t="s">
        <v>84</v>
      </c>
      <c r="F7902" s="55">
        <v>130</v>
      </c>
      <c r="G7902" s="63">
        <v>3.3999999999999998E-3</v>
      </c>
    </row>
    <row r="7903" spans="1:7" x14ac:dyDescent="0.2">
      <c r="A7903" t="s">
        <v>89</v>
      </c>
      <c r="B7903" t="s">
        <v>176</v>
      </c>
      <c r="C7903" t="s">
        <v>212</v>
      </c>
      <c r="D7903" t="s">
        <v>74</v>
      </c>
      <c r="E7903" t="s">
        <v>85</v>
      </c>
      <c r="F7903" s="55">
        <v>140</v>
      </c>
      <c r="G7903" s="63">
        <v>2.3999999999999998E-3</v>
      </c>
    </row>
    <row r="7904" spans="1:7" x14ac:dyDescent="0.2">
      <c r="A7904" t="s">
        <v>89</v>
      </c>
      <c r="B7904" t="s">
        <v>176</v>
      </c>
      <c r="C7904" t="s">
        <v>212</v>
      </c>
      <c r="D7904" t="s">
        <v>74</v>
      </c>
      <c r="E7904" t="s">
        <v>86</v>
      </c>
      <c r="F7904" s="55">
        <v>146</v>
      </c>
      <c r="G7904" s="63">
        <v>3.0999999999999999E-3</v>
      </c>
    </row>
    <row r="7905" spans="1:7" x14ac:dyDescent="0.2">
      <c r="A7905" t="s">
        <v>89</v>
      </c>
      <c r="B7905" t="s">
        <v>176</v>
      </c>
      <c r="C7905" t="s">
        <v>212</v>
      </c>
      <c r="D7905" t="s">
        <v>74</v>
      </c>
      <c r="E7905" t="s">
        <v>87</v>
      </c>
      <c r="F7905" s="55">
        <v>143</v>
      </c>
      <c r="G7905" s="63">
        <v>4.0000000000000001E-3</v>
      </c>
    </row>
    <row r="7906" spans="1:7" x14ac:dyDescent="0.2">
      <c r="A7906" t="s">
        <v>89</v>
      </c>
      <c r="B7906" t="s">
        <v>176</v>
      </c>
      <c r="C7906" t="s">
        <v>212</v>
      </c>
      <c r="D7906" t="s">
        <v>74</v>
      </c>
      <c r="E7906" t="s">
        <v>88</v>
      </c>
      <c r="F7906" s="55">
        <v>141</v>
      </c>
      <c r="G7906" s="63">
        <v>3.5000000000000001E-3</v>
      </c>
    </row>
    <row r="7907" spans="1:7" x14ac:dyDescent="0.2">
      <c r="A7907" t="s">
        <v>71</v>
      </c>
      <c r="B7907" t="s">
        <v>221</v>
      </c>
      <c r="C7907" t="s">
        <v>212</v>
      </c>
      <c r="D7907" t="s">
        <v>74</v>
      </c>
      <c r="E7907" t="s">
        <v>75</v>
      </c>
      <c r="F7907" s="55">
        <v>109</v>
      </c>
      <c r="G7907" s="63">
        <v>0.2046</v>
      </c>
    </row>
    <row r="7908" spans="1:7" x14ac:dyDescent="0.2">
      <c r="A7908" t="s">
        <v>71</v>
      </c>
      <c r="B7908" t="s">
        <v>221</v>
      </c>
      <c r="C7908" t="s">
        <v>212</v>
      </c>
      <c r="D7908" t="s">
        <v>74</v>
      </c>
      <c r="E7908" t="s">
        <v>76</v>
      </c>
      <c r="F7908" s="55">
        <v>106</v>
      </c>
      <c r="G7908" s="63">
        <v>2.29E-2</v>
      </c>
    </row>
    <row r="7909" spans="1:7" x14ac:dyDescent="0.2">
      <c r="A7909" t="s">
        <v>71</v>
      </c>
      <c r="B7909" t="s">
        <v>221</v>
      </c>
      <c r="C7909" t="s">
        <v>212</v>
      </c>
      <c r="D7909" t="s">
        <v>74</v>
      </c>
      <c r="E7909" t="s">
        <v>77</v>
      </c>
      <c r="F7909" s="55">
        <v>109</v>
      </c>
      <c r="G7909" s="63">
        <v>6.7799999999999999E-2</v>
      </c>
    </row>
    <row r="7910" spans="1:7" x14ac:dyDescent="0.2">
      <c r="A7910" t="s">
        <v>71</v>
      </c>
      <c r="B7910" t="s">
        <v>221</v>
      </c>
      <c r="C7910" t="s">
        <v>212</v>
      </c>
      <c r="D7910" t="s">
        <v>74</v>
      </c>
      <c r="E7910" t="s">
        <v>78</v>
      </c>
      <c r="F7910" s="55">
        <v>115</v>
      </c>
      <c r="G7910" s="63">
        <v>6.8400000000000002E-2</v>
      </c>
    </row>
    <row r="7911" spans="1:7" x14ac:dyDescent="0.2">
      <c r="A7911" t="s">
        <v>71</v>
      </c>
      <c r="B7911" t="s">
        <v>221</v>
      </c>
      <c r="C7911" t="s">
        <v>212</v>
      </c>
      <c r="D7911" t="s">
        <v>74</v>
      </c>
      <c r="E7911" t="s">
        <v>79</v>
      </c>
      <c r="F7911" s="55">
        <v>105</v>
      </c>
      <c r="G7911" s="63">
        <v>0.1225</v>
      </c>
    </row>
    <row r="7912" spans="1:7" x14ac:dyDescent="0.2">
      <c r="A7912" t="s">
        <v>71</v>
      </c>
      <c r="B7912" t="s">
        <v>221</v>
      </c>
      <c r="C7912" t="s">
        <v>212</v>
      </c>
      <c r="D7912" t="s">
        <v>74</v>
      </c>
      <c r="E7912" t="s">
        <v>80</v>
      </c>
      <c r="F7912" s="55">
        <v>101</v>
      </c>
      <c r="G7912" s="63">
        <v>2.93E-2</v>
      </c>
    </row>
    <row r="7913" spans="1:7" x14ac:dyDescent="0.2">
      <c r="A7913" t="s">
        <v>71</v>
      </c>
      <c r="B7913" t="s">
        <v>221</v>
      </c>
      <c r="C7913" t="s">
        <v>212</v>
      </c>
      <c r="D7913" t="s">
        <v>74</v>
      </c>
      <c r="E7913" t="s">
        <v>81</v>
      </c>
      <c r="F7913" s="55">
        <v>103</v>
      </c>
      <c r="G7913" s="63">
        <v>2.5999999999999999E-2</v>
      </c>
    </row>
    <row r="7914" spans="1:7" x14ac:dyDescent="0.2">
      <c r="A7914" t="s">
        <v>71</v>
      </c>
      <c r="B7914" t="s">
        <v>221</v>
      </c>
      <c r="C7914" t="s">
        <v>212</v>
      </c>
      <c r="D7914" t="s">
        <v>74</v>
      </c>
      <c r="E7914" t="s">
        <v>82</v>
      </c>
      <c r="F7914" s="55">
        <v>113</v>
      </c>
      <c r="G7914" s="63">
        <v>0.1026</v>
      </c>
    </row>
    <row r="7915" spans="1:7" x14ac:dyDescent="0.2">
      <c r="A7915" t="s">
        <v>71</v>
      </c>
      <c r="B7915" t="s">
        <v>221</v>
      </c>
      <c r="C7915" t="s">
        <v>212</v>
      </c>
      <c r="D7915" t="s">
        <v>74</v>
      </c>
      <c r="E7915" t="s">
        <v>83</v>
      </c>
      <c r="F7915" s="55">
        <v>113</v>
      </c>
      <c r="G7915" s="63">
        <v>1.32E-2</v>
      </c>
    </row>
    <row r="7916" spans="1:7" x14ac:dyDescent="0.2">
      <c r="A7916" t="s">
        <v>71</v>
      </c>
      <c r="B7916" t="s">
        <v>221</v>
      </c>
      <c r="C7916" t="s">
        <v>212</v>
      </c>
      <c r="D7916" t="s">
        <v>74</v>
      </c>
      <c r="E7916" t="s">
        <v>84</v>
      </c>
      <c r="F7916" s="55">
        <v>117</v>
      </c>
      <c r="G7916" s="63">
        <v>5.2299999999999999E-2</v>
      </c>
    </row>
    <row r="7917" spans="1:7" x14ac:dyDescent="0.2">
      <c r="A7917" t="s">
        <v>71</v>
      </c>
      <c r="B7917" t="s">
        <v>221</v>
      </c>
      <c r="C7917" t="s">
        <v>212</v>
      </c>
      <c r="D7917" t="s">
        <v>74</v>
      </c>
      <c r="E7917" t="s">
        <v>85</v>
      </c>
      <c r="F7917" s="55">
        <v>107</v>
      </c>
      <c r="G7917" s="63">
        <v>3.3599999999999998E-2</v>
      </c>
    </row>
    <row r="7918" spans="1:7" x14ac:dyDescent="0.2">
      <c r="A7918" t="s">
        <v>71</v>
      </c>
      <c r="B7918" t="s">
        <v>221</v>
      </c>
      <c r="C7918" t="s">
        <v>212</v>
      </c>
      <c r="D7918" t="s">
        <v>74</v>
      </c>
      <c r="E7918" t="s">
        <v>86</v>
      </c>
      <c r="F7918" s="55">
        <v>103</v>
      </c>
      <c r="G7918" s="63">
        <v>4.07E-2</v>
      </c>
    </row>
    <row r="7919" spans="1:7" x14ac:dyDescent="0.2">
      <c r="A7919" t="s">
        <v>71</v>
      </c>
      <c r="B7919" t="s">
        <v>221</v>
      </c>
      <c r="C7919" t="s">
        <v>212</v>
      </c>
      <c r="D7919" t="s">
        <v>74</v>
      </c>
      <c r="E7919" t="s">
        <v>87</v>
      </c>
      <c r="F7919" s="55">
        <v>103</v>
      </c>
      <c r="G7919" s="63">
        <v>4.9200000000000001E-2</v>
      </c>
    </row>
    <row r="7920" spans="1:7" x14ac:dyDescent="0.2">
      <c r="A7920" t="s">
        <v>71</v>
      </c>
      <c r="B7920" t="s">
        <v>221</v>
      </c>
      <c r="C7920" t="s">
        <v>212</v>
      </c>
      <c r="D7920" t="s">
        <v>74</v>
      </c>
      <c r="E7920" t="s">
        <v>88</v>
      </c>
      <c r="F7920" s="55">
        <v>106</v>
      </c>
      <c r="G7920" s="63">
        <v>3.4299999999999997E-2</v>
      </c>
    </row>
    <row r="7921" spans="1:7" x14ac:dyDescent="0.2">
      <c r="A7921" t="s">
        <v>89</v>
      </c>
      <c r="B7921" t="s">
        <v>177</v>
      </c>
      <c r="C7921" t="s">
        <v>212</v>
      </c>
      <c r="D7921" t="s">
        <v>74</v>
      </c>
      <c r="E7921" t="s">
        <v>75</v>
      </c>
      <c r="F7921" s="55">
        <v>112</v>
      </c>
      <c r="G7921" s="63">
        <v>0.14560000000000001</v>
      </c>
    </row>
    <row r="7922" spans="1:7" x14ac:dyDescent="0.2">
      <c r="A7922" t="s">
        <v>89</v>
      </c>
      <c r="B7922" t="s">
        <v>177</v>
      </c>
      <c r="C7922" t="s">
        <v>212</v>
      </c>
      <c r="D7922" t="s">
        <v>74</v>
      </c>
      <c r="E7922" t="s">
        <v>76</v>
      </c>
      <c r="F7922" s="55">
        <v>111</v>
      </c>
      <c r="G7922" s="63">
        <v>2.1899999999999999E-2</v>
      </c>
    </row>
    <row r="7923" spans="1:7" x14ac:dyDescent="0.2">
      <c r="A7923" t="s">
        <v>89</v>
      </c>
      <c r="B7923" t="s">
        <v>177</v>
      </c>
      <c r="C7923" t="s">
        <v>212</v>
      </c>
      <c r="D7923" t="s">
        <v>74</v>
      </c>
      <c r="E7923" t="s">
        <v>77</v>
      </c>
      <c r="F7923" s="55">
        <v>113</v>
      </c>
      <c r="G7923" s="63">
        <v>5.3499999999999999E-2</v>
      </c>
    </row>
    <row r="7924" spans="1:7" x14ac:dyDescent="0.2">
      <c r="A7924" t="s">
        <v>89</v>
      </c>
      <c r="B7924" t="s">
        <v>177</v>
      </c>
      <c r="C7924" t="s">
        <v>212</v>
      </c>
      <c r="D7924" t="s">
        <v>74</v>
      </c>
      <c r="E7924" t="s">
        <v>78</v>
      </c>
      <c r="F7924" s="55">
        <v>119</v>
      </c>
      <c r="G7924" s="63">
        <v>4.5499999999999999E-2</v>
      </c>
    </row>
    <row r="7925" spans="1:7" x14ac:dyDescent="0.2">
      <c r="A7925" t="s">
        <v>89</v>
      </c>
      <c r="B7925" t="s">
        <v>177</v>
      </c>
      <c r="C7925" t="s">
        <v>212</v>
      </c>
      <c r="D7925" t="s">
        <v>74</v>
      </c>
      <c r="E7925" t="s">
        <v>79</v>
      </c>
      <c r="F7925" s="55">
        <v>114</v>
      </c>
      <c r="G7925" s="63">
        <v>9.1899999999999996E-2</v>
      </c>
    </row>
    <row r="7926" spans="1:7" x14ac:dyDescent="0.2">
      <c r="A7926" t="s">
        <v>89</v>
      </c>
      <c r="B7926" t="s">
        <v>177</v>
      </c>
      <c r="C7926" t="s">
        <v>212</v>
      </c>
      <c r="D7926" t="s">
        <v>74</v>
      </c>
      <c r="E7926" t="s">
        <v>80</v>
      </c>
      <c r="F7926" s="55">
        <v>110</v>
      </c>
      <c r="G7926" s="63">
        <v>3.3000000000000002E-2</v>
      </c>
    </row>
    <row r="7927" spans="1:7" x14ac:dyDescent="0.2">
      <c r="A7927" t="s">
        <v>89</v>
      </c>
      <c r="B7927" t="s">
        <v>177</v>
      </c>
      <c r="C7927" t="s">
        <v>212</v>
      </c>
      <c r="D7927" t="s">
        <v>74</v>
      </c>
      <c r="E7927" t="s">
        <v>81</v>
      </c>
      <c r="F7927" s="55">
        <v>109</v>
      </c>
      <c r="G7927" s="63">
        <v>3.6900000000000002E-2</v>
      </c>
    </row>
    <row r="7928" spans="1:7" x14ac:dyDescent="0.2">
      <c r="A7928" t="s">
        <v>89</v>
      </c>
      <c r="B7928" t="s">
        <v>177</v>
      </c>
      <c r="C7928" t="s">
        <v>212</v>
      </c>
      <c r="D7928" t="s">
        <v>74</v>
      </c>
      <c r="E7928" t="s">
        <v>82</v>
      </c>
      <c r="F7928" s="55">
        <v>107</v>
      </c>
      <c r="G7928" s="63">
        <v>7.4899999999999994E-2</v>
      </c>
    </row>
    <row r="7929" spans="1:7" x14ac:dyDescent="0.2">
      <c r="A7929" t="s">
        <v>89</v>
      </c>
      <c r="B7929" t="s">
        <v>177</v>
      </c>
      <c r="C7929" t="s">
        <v>212</v>
      </c>
      <c r="D7929" t="s">
        <v>74</v>
      </c>
      <c r="E7929" t="s">
        <v>83</v>
      </c>
      <c r="F7929" s="55">
        <v>113</v>
      </c>
      <c r="G7929" s="63">
        <v>1.8599999999999998E-2</v>
      </c>
    </row>
    <row r="7930" spans="1:7" x14ac:dyDescent="0.2">
      <c r="A7930" t="s">
        <v>89</v>
      </c>
      <c r="B7930" t="s">
        <v>177</v>
      </c>
      <c r="C7930" t="s">
        <v>212</v>
      </c>
      <c r="D7930" t="s">
        <v>74</v>
      </c>
      <c r="E7930" t="s">
        <v>84</v>
      </c>
      <c r="F7930" s="55">
        <v>122</v>
      </c>
      <c r="G7930" s="63">
        <v>3.7100000000000001E-2</v>
      </c>
    </row>
    <row r="7931" spans="1:7" x14ac:dyDescent="0.2">
      <c r="A7931" t="s">
        <v>89</v>
      </c>
      <c r="B7931" t="s">
        <v>177</v>
      </c>
      <c r="C7931" t="s">
        <v>212</v>
      </c>
      <c r="D7931" t="s">
        <v>74</v>
      </c>
      <c r="E7931" t="s">
        <v>85</v>
      </c>
      <c r="F7931" s="55">
        <v>110</v>
      </c>
      <c r="G7931" s="63">
        <v>3.3700000000000001E-2</v>
      </c>
    </row>
    <row r="7932" spans="1:7" x14ac:dyDescent="0.2">
      <c r="A7932" t="s">
        <v>89</v>
      </c>
      <c r="B7932" t="s">
        <v>177</v>
      </c>
      <c r="C7932" t="s">
        <v>212</v>
      </c>
      <c r="D7932" t="s">
        <v>74</v>
      </c>
      <c r="E7932" t="s">
        <v>86</v>
      </c>
      <c r="F7932" s="55">
        <v>115</v>
      </c>
      <c r="G7932" s="63">
        <v>4.2799999999999998E-2</v>
      </c>
    </row>
    <row r="7933" spans="1:7" x14ac:dyDescent="0.2">
      <c r="A7933" t="s">
        <v>89</v>
      </c>
      <c r="B7933" t="s">
        <v>177</v>
      </c>
      <c r="C7933" t="s">
        <v>212</v>
      </c>
      <c r="D7933" t="s">
        <v>74</v>
      </c>
      <c r="E7933" t="s">
        <v>87</v>
      </c>
      <c r="F7933" s="55">
        <v>117</v>
      </c>
      <c r="G7933" s="63">
        <v>4.7600000000000003E-2</v>
      </c>
    </row>
    <row r="7934" spans="1:7" x14ac:dyDescent="0.2">
      <c r="A7934" t="s">
        <v>89</v>
      </c>
      <c r="B7934" t="s">
        <v>177</v>
      </c>
      <c r="C7934" t="s">
        <v>212</v>
      </c>
      <c r="D7934" t="s">
        <v>74</v>
      </c>
      <c r="E7934" t="s">
        <v>88</v>
      </c>
      <c r="F7934" s="55">
        <v>112</v>
      </c>
      <c r="G7934" s="63">
        <v>3.5200000000000002E-2</v>
      </c>
    </row>
    <row r="7935" spans="1:7" x14ac:dyDescent="0.2">
      <c r="A7935" t="s">
        <v>71</v>
      </c>
      <c r="B7935" t="s">
        <v>178</v>
      </c>
      <c r="C7935" t="s">
        <v>212</v>
      </c>
      <c r="D7935" t="s">
        <v>74</v>
      </c>
      <c r="E7935" t="s">
        <v>75</v>
      </c>
      <c r="F7935" s="55">
        <v>93</v>
      </c>
      <c r="G7935" s="63">
        <v>0.27939999999999998</v>
      </c>
    </row>
    <row r="7936" spans="1:7" x14ac:dyDescent="0.2">
      <c r="A7936" t="s">
        <v>71</v>
      </c>
      <c r="B7936" t="s">
        <v>178</v>
      </c>
      <c r="C7936" t="s">
        <v>212</v>
      </c>
      <c r="D7936" t="s">
        <v>74</v>
      </c>
      <c r="E7936" t="s">
        <v>76</v>
      </c>
      <c r="F7936" s="55">
        <v>97</v>
      </c>
      <c r="G7936" s="63">
        <v>4.2900000000000001E-2</v>
      </c>
    </row>
    <row r="7937" spans="1:7" x14ac:dyDescent="0.2">
      <c r="A7937" t="s">
        <v>71</v>
      </c>
      <c r="B7937" t="s">
        <v>178</v>
      </c>
      <c r="C7937" t="s">
        <v>212</v>
      </c>
      <c r="D7937" t="s">
        <v>74</v>
      </c>
      <c r="E7937" t="s">
        <v>77</v>
      </c>
      <c r="F7937" s="55">
        <v>93</v>
      </c>
      <c r="G7937" s="63">
        <v>0.1024</v>
      </c>
    </row>
    <row r="7938" spans="1:7" x14ac:dyDescent="0.2">
      <c r="A7938" t="s">
        <v>71</v>
      </c>
      <c r="B7938" t="s">
        <v>178</v>
      </c>
      <c r="C7938" t="s">
        <v>212</v>
      </c>
      <c r="D7938" t="s">
        <v>74</v>
      </c>
      <c r="E7938" t="s">
        <v>78</v>
      </c>
      <c r="F7938" s="55">
        <v>94</v>
      </c>
      <c r="G7938" s="63">
        <v>8.6199999999999999E-2</v>
      </c>
    </row>
    <row r="7939" spans="1:7" x14ac:dyDescent="0.2">
      <c r="A7939" t="s">
        <v>71</v>
      </c>
      <c r="B7939" t="s">
        <v>178</v>
      </c>
      <c r="C7939" t="s">
        <v>212</v>
      </c>
      <c r="D7939" t="s">
        <v>74</v>
      </c>
      <c r="E7939" t="s">
        <v>79</v>
      </c>
      <c r="F7939" s="55">
        <v>92</v>
      </c>
      <c r="G7939" s="63">
        <v>0.187</v>
      </c>
    </row>
    <row r="7940" spans="1:7" x14ac:dyDescent="0.2">
      <c r="A7940" t="s">
        <v>71</v>
      </c>
      <c r="B7940" t="s">
        <v>178</v>
      </c>
      <c r="C7940" t="s">
        <v>212</v>
      </c>
      <c r="D7940" t="s">
        <v>74</v>
      </c>
      <c r="E7940" t="s">
        <v>80</v>
      </c>
      <c r="F7940" s="55">
        <v>89</v>
      </c>
      <c r="G7940" s="63">
        <v>4.9399999999999999E-2</v>
      </c>
    </row>
    <row r="7941" spans="1:7" x14ac:dyDescent="0.2">
      <c r="A7941" t="s">
        <v>71</v>
      </c>
      <c r="B7941" t="s">
        <v>178</v>
      </c>
      <c r="C7941" t="s">
        <v>212</v>
      </c>
      <c r="D7941" t="s">
        <v>74</v>
      </c>
      <c r="E7941" t="s">
        <v>81</v>
      </c>
      <c r="F7941" s="55">
        <v>93</v>
      </c>
      <c r="G7941" s="63">
        <v>6.0999999999999999E-2</v>
      </c>
    </row>
    <row r="7942" spans="1:7" x14ac:dyDescent="0.2">
      <c r="A7942" t="s">
        <v>71</v>
      </c>
      <c r="B7942" t="s">
        <v>178</v>
      </c>
      <c r="C7942" t="s">
        <v>212</v>
      </c>
      <c r="D7942" t="s">
        <v>74</v>
      </c>
      <c r="E7942" t="s">
        <v>82</v>
      </c>
      <c r="F7942" s="55">
        <v>94</v>
      </c>
      <c r="G7942" s="63">
        <v>0.13250000000000001</v>
      </c>
    </row>
    <row r="7943" spans="1:7" x14ac:dyDescent="0.2">
      <c r="A7943" t="s">
        <v>71</v>
      </c>
      <c r="B7943" t="s">
        <v>178</v>
      </c>
      <c r="C7943" t="s">
        <v>212</v>
      </c>
      <c r="D7943" t="s">
        <v>74</v>
      </c>
      <c r="E7943" t="s">
        <v>83</v>
      </c>
      <c r="F7943" s="55">
        <v>97</v>
      </c>
      <c r="G7943" s="63">
        <v>3.3599999999999998E-2</v>
      </c>
    </row>
    <row r="7944" spans="1:7" x14ac:dyDescent="0.2">
      <c r="A7944" t="s">
        <v>71</v>
      </c>
      <c r="B7944" t="s">
        <v>178</v>
      </c>
      <c r="C7944" t="s">
        <v>212</v>
      </c>
      <c r="D7944" t="s">
        <v>74</v>
      </c>
      <c r="E7944" t="s">
        <v>84</v>
      </c>
      <c r="F7944" s="55">
        <v>94</v>
      </c>
      <c r="G7944" s="63">
        <v>6.5500000000000003E-2</v>
      </c>
    </row>
    <row r="7945" spans="1:7" x14ac:dyDescent="0.2">
      <c r="A7945" t="s">
        <v>71</v>
      </c>
      <c r="B7945" t="s">
        <v>178</v>
      </c>
      <c r="C7945" t="s">
        <v>212</v>
      </c>
      <c r="D7945" t="s">
        <v>74</v>
      </c>
      <c r="E7945" t="s">
        <v>85</v>
      </c>
      <c r="F7945" s="55">
        <v>93</v>
      </c>
      <c r="G7945" s="63">
        <v>6.1899999999999997E-2</v>
      </c>
    </row>
    <row r="7946" spans="1:7" x14ac:dyDescent="0.2">
      <c r="A7946" t="s">
        <v>71</v>
      </c>
      <c r="B7946" t="s">
        <v>178</v>
      </c>
      <c r="C7946" t="s">
        <v>212</v>
      </c>
      <c r="D7946" t="s">
        <v>74</v>
      </c>
      <c r="E7946" t="s">
        <v>86</v>
      </c>
      <c r="F7946" s="55">
        <v>91</v>
      </c>
      <c r="G7946" s="63">
        <v>8.0799999999999997E-2</v>
      </c>
    </row>
    <row r="7947" spans="1:7" x14ac:dyDescent="0.2">
      <c r="A7947" t="s">
        <v>71</v>
      </c>
      <c r="B7947" t="s">
        <v>178</v>
      </c>
      <c r="C7947" t="s">
        <v>212</v>
      </c>
      <c r="D7947" t="s">
        <v>74</v>
      </c>
      <c r="E7947" t="s">
        <v>87</v>
      </c>
      <c r="F7947" s="55">
        <v>90</v>
      </c>
      <c r="G7947" s="63">
        <v>9.2999999999999999E-2</v>
      </c>
    </row>
    <row r="7948" spans="1:7" x14ac:dyDescent="0.2">
      <c r="A7948" t="s">
        <v>71</v>
      </c>
      <c r="B7948" t="s">
        <v>178</v>
      </c>
      <c r="C7948" t="s">
        <v>212</v>
      </c>
      <c r="D7948" t="s">
        <v>74</v>
      </c>
      <c r="E7948" t="s">
        <v>88</v>
      </c>
      <c r="F7948" s="55">
        <v>98</v>
      </c>
      <c r="G7948" s="63">
        <v>6.5100000000000005E-2</v>
      </c>
    </row>
    <row r="7949" spans="1:7" x14ac:dyDescent="0.2">
      <c r="A7949" t="s">
        <v>71</v>
      </c>
      <c r="B7949" t="s">
        <v>179</v>
      </c>
      <c r="C7949" t="s">
        <v>212</v>
      </c>
      <c r="D7949" t="s">
        <v>74</v>
      </c>
      <c r="E7949" t="s">
        <v>75</v>
      </c>
      <c r="F7949" s="55">
        <v>105</v>
      </c>
      <c r="G7949" s="63">
        <v>0.4325</v>
      </c>
    </row>
    <row r="7950" spans="1:7" x14ac:dyDescent="0.2">
      <c r="A7950" t="s">
        <v>71</v>
      </c>
      <c r="B7950" t="s">
        <v>179</v>
      </c>
      <c r="C7950" t="s">
        <v>212</v>
      </c>
      <c r="D7950" t="s">
        <v>74</v>
      </c>
      <c r="E7950" t="s">
        <v>76</v>
      </c>
      <c r="F7950" s="55">
        <v>107</v>
      </c>
      <c r="G7950" s="63">
        <v>6.2799999999999995E-2</v>
      </c>
    </row>
    <row r="7951" spans="1:7" x14ac:dyDescent="0.2">
      <c r="A7951" t="s">
        <v>71</v>
      </c>
      <c r="B7951" t="s">
        <v>179</v>
      </c>
      <c r="C7951" t="s">
        <v>212</v>
      </c>
      <c r="D7951" t="s">
        <v>74</v>
      </c>
      <c r="E7951" t="s">
        <v>77</v>
      </c>
      <c r="F7951" s="55">
        <v>105</v>
      </c>
      <c r="G7951" s="63">
        <v>0.16789999999999999</v>
      </c>
    </row>
    <row r="7952" spans="1:7" x14ac:dyDescent="0.2">
      <c r="A7952" t="s">
        <v>71</v>
      </c>
      <c r="B7952" t="s">
        <v>179</v>
      </c>
      <c r="C7952" t="s">
        <v>212</v>
      </c>
      <c r="D7952" t="s">
        <v>74</v>
      </c>
      <c r="E7952" t="s">
        <v>78</v>
      </c>
      <c r="F7952" s="55">
        <v>114</v>
      </c>
      <c r="G7952" s="63">
        <v>0.1552</v>
      </c>
    </row>
    <row r="7953" spans="1:7" x14ac:dyDescent="0.2">
      <c r="A7953" t="s">
        <v>71</v>
      </c>
      <c r="B7953" t="s">
        <v>179</v>
      </c>
      <c r="C7953" t="s">
        <v>212</v>
      </c>
      <c r="D7953" t="s">
        <v>74</v>
      </c>
      <c r="E7953" t="s">
        <v>79</v>
      </c>
      <c r="F7953" s="55">
        <v>105</v>
      </c>
      <c r="G7953" s="63">
        <v>0.30719999999999997</v>
      </c>
    </row>
    <row r="7954" spans="1:7" x14ac:dyDescent="0.2">
      <c r="A7954" t="s">
        <v>71</v>
      </c>
      <c r="B7954" t="s">
        <v>179</v>
      </c>
      <c r="C7954" t="s">
        <v>212</v>
      </c>
      <c r="D7954" t="s">
        <v>74</v>
      </c>
      <c r="E7954" t="s">
        <v>80</v>
      </c>
      <c r="F7954" s="55">
        <v>98</v>
      </c>
      <c r="G7954" s="63">
        <v>9.5100000000000004E-2</v>
      </c>
    </row>
    <row r="7955" spans="1:7" x14ac:dyDescent="0.2">
      <c r="A7955" t="s">
        <v>71</v>
      </c>
      <c r="B7955" t="s">
        <v>179</v>
      </c>
      <c r="C7955" t="s">
        <v>212</v>
      </c>
      <c r="D7955" t="s">
        <v>74</v>
      </c>
      <c r="E7955" t="s">
        <v>81</v>
      </c>
      <c r="F7955" s="55">
        <v>98</v>
      </c>
      <c r="G7955" s="63">
        <v>9.5699999999999993E-2</v>
      </c>
    </row>
    <row r="7956" spans="1:7" x14ac:dyDescent="0.2">
      <c r="A7956" t="s">
        <v>71</v>
      </c>
      <c r="B7956" t="s">
        <v>179</v>
      </c>
      <c r="C7956" t="s">
        <v>212</v>
      </c>
      <c r="D7956" t="s">
        <v>74</v>
      </c>
      <c r="E7956" t="s">
        <v>82</v>
      </c>
      <c r="F7956" s="55">
        <v>101</v>
      </c>
      <c r="G7956" s="63">
        <v>0.2475</v>
      </c>
    </row>
    <row r="7957" spans="1:7" x14ac:dyDescent="0.2">
      <c r="A7957" t="s">
        <v>71</v>
      </c>
      <c r="B7957" t="s">
        <v>179</v>
      </c>
      <c r="C7957" t="s">
        <v>212</v>
      </c>
      <c r="D7957" t="s">
        <v>74</v>
      </c>
      <c r="E7957" t="s">
        <v>83</v>
      </c>
      <c r="F7957" s="55">
        <v>100</v>
      </c>
      <c r="G7957" s="63">
        <v>4.7800000000000002E-2</v>
      </c>
    </row>
    <row r="7958" spans="1:7" x14ac:dyDescent="0.2">
      <c r="A7958" t="s">
        <v>71</v>
      </c>
      <c r="B7958" t="s">
        <v>179</v>
      </c>
      <c r="C7958" t="s">
        <v>212</v>
      </c>
      <c r="D7958" t="s">
        <v>74</v>
      </c>
      <c r="E7958" t="s">
        <v>84</v>
      </c>
      <c r="F7958" s="55">
        <v>113</v>
      </c>
      <c r="G7958" s="63">
        <v>0.12590000000000001</v>
      </c>
    </row>
    <row r="7959" spans="1:7" x14ac:dyDescent="0.2">
      <c r="A7959" t="s">
        <v>71</v>
      </c>
      <c r="B7959" t="s">
        <v>179</v>
      </c>
      <c r="C7959" t="s">
        <v>212</v>
      </c>
      <c r="D7959" t="s">
        <v>74</v>
      </c>
      <c r="E7959" t="s">
        <v>85</v>
      </c>
      <c r="F7959" s="55">
        <v>99</v>
      </c>
      <c r="G7959" s="63">
        <v>0.11269999999999999</v>
      </c>
    </row>
    <row r="7960" spans="1:7" x14ac:dyDescent="0.2">
      <c r="A7960" t="s">
        <v>71</v>
      </c>
      <c r="B7960" t="s">
        <v>179</v>
      </c>
      <c r="C7960" t="s">
        <v>212</v>
      </c>
      <c r="D7960" t="s">
        <v>74</v>
      </c>
      <c r="E7960" t="s">
        <v>86</v>
      </c>
      <c r="F7960" s="55">
        <v>103</v>
      </c>
      <c r="G7960" s="63">
        <v>0.14979999999999999</v>
      </c>
    </row>
    <row r="7961" spans="1:7" x14ac:dyDescent="0.2">
      <c r="A7961" t="s">
        <v>71</v>
      </c>
      <c r="B7961" t="s">
        <v>179</v>
      </c>
      <c r="C7961" t="s">
        <v>212</v>
      </c>
      <c r="D7961" t="s">
        <v>74</v>
      </c>
      <c r="E7961" t="s">
        <v>87</v>
      </c>
      <c r="F7961" s="55">
        <v>105</v>
      </c>
      <c r="G7961" s="63">
        <v>0.16980000000000001</v>
      </c>
    </row>
    <row r="7962" spans="1:7" x14ac:dyDescent="0.2">
      <c r="A7962" t="s">
        <v>71</v>
      </c>
      <c r="B7962" t="s">
        <v>179</v>
      </c>
      <c r="C7962" t="s">
        <v>212</v>
      </c>
      <c r="D7962" t="s">
        <v>74</v>
      </c>
      <c r="E7962" t="s">
        <v>88</v>
      </c>
      <c r="F7962" s="55">
        <v>104</v>
      </c>
      <c r="G7962" s="63">
        <v>0.1012</v>
      </c>
    </row>
    <row r="7963" spans="1:7" x14ac:dyDescent="0.2">
      <c r="A7963" t="s">
        <v>89</v>
      </c>
      <c r="B7963" t="s">
        <v>180</v>
      </c>
      <c r="C7963" t="s">
        <v>212</v>
      </c>
      <c r="D7963" t="s">
        <v>74</v>
      </c>
      <c r="E7963" t="s">
        <v>75</v>
      </c>
      <c r="F7963" s="55">
        <v>35</v>
      </c>
      <c r="G7963" s="63">
        <v>0.22620000000000001</v>
      </c>
    </row>
    <row r="7964" spans="1:7" x14ac:dyDescent="0.2">
      <c r="A7964" t="s">
        <v>89</v>
      </c>
      <c r="B7964" t="s">
        <v>180</v>
      </c>
      <c r="C7964" t="s">
        <v>212</v>
      </c>
      <c r="D7964" t="s">
        <v>74</v>
      </c>
      <c r="E7964" t="s">
        <v>76</v>
      </c>
      <c r="F7964" s="55">
        <v>33</v>
      </c>
      <c r="G7964" s="63">
        <v>2.7900000000000001E-2</v>
      </c>
    </row>
    <row r="7965" spans="1:7" x14ac:dyDescent="0.2">
      <c r="A7965" t="s">
        <v>89</v>
      </c>
      <c r="B7965" t="s">
        <v>180</v>
      </c>
      <c r="C7965" t="s">
        <v>212</v>
      </c>
      <c r="D7965" t="s">
        <v>74</v>
      </c>
      <c r="E7965" t="s">
        <v>77</v>
      </c>
      <c r="F7965" s="55">
        <v>36</v>
      </c>
      <c r="G7965" s="63">
        <v>6.5500000000000003E-2</v>
      </c>
    </row>
    <row r="7966" spans="1:7" x14ac:dyDescent="0.2">
      <c r="A7966" t="s">
        <v>89</v>
      </c>
      <c r="B7966" t="s">
        <v>180</v>
      </c>
      <c r="C7966" t="s">
        <v>212</v>
      </c>
      <c r="D7966" t="s">
        <v>74</v>
      </c>
      <c r="E7966" t="s">
        <v>78</v>
      </c>
      <c r="F7966" s="55">
        <v>35</v>
      </c>
      <c r="G7966" s="63">
        <v>4.87E-2</v>
      </c>
    </row>
    <row r="7967" spans="1:7" x14ac:dyDescent="0.2">
      <c r="A7967" t="s">
        <v>89</v>
      </c>
      <c r="B7967" t="s">
        <v>180</v>
      </c>
      <c r="C7967" t="s">
        <v>212</v>
      </c>
      <c r="D7967" t="s">
        <v>74</v>
      </c>
      <c r="E7967" t="s">
        <v>79</v>
      </c>
      <c r="F7967" s="55">
        <v>35</v>
      </c>
      <c r="G7967" s="63">
        <v>0.12939999999999999</v>
      </c>
    </row>
    <row r="7968" spans="1:7" x14ac:dyDescent="0.2">
      <c r="A7968" t="s">
        <v>89</v>
      </c>
      <c r="B7968" t="s">
        <v>180</v>
      </c>
      <c r="C7968" t="s">
        <v>212</v>
      </c>
      <c r="D7968" t="s">
        <v>74</v>
      </c>
      <c r="E7968" t="s">
        <v>80</v>
      </c>
      <c r="F7968" s="55">
        <v>36</v>
      </c>
      <c r="G7968" s="63">
        <v>2.6700000000000002E-2</v>
      </c>
    </row>
    <row r="7969" spans="1:7" x14ac:dyDescent="0.2">
      <c r="A7969" t="s">
        <v>89</v>
      </c>
      <c r="B7969" t="s">
        <v>180</v>
      </c>
      <c r="C7969" t="s">
        <v>212</v>
      </c>
      <c r="D7969" t="s">
        <v>74</v>
      </c>
      <c r="E7969" t="s">
        <v>81</v>
      </c>
      <c r="F7969" s="55">
        <v>36</v>
      </c>
      <c r="G7969" s="63">
        <v>3.2399999999999998E-2</v>
      </c>
    </row>
    <row r="7970" spans="1:7" x14ac:dyDescent="0.2">
      <c r="A7970" t="s">
        <v>89</v>
      </c>
      <c r="B7970" t="s">
        <v>180</v>
      </c>
      <c r="C7970" t="s">
        <v>212</v>
      </c>
      <c r="D7970" t="s">
        <v>74</v>
      </c>
      <c r="E7970" t="s">
        <v>82</v>
      </c>
      <c r="F7970" s="55">
        <v>36</v>
      </c>
      <c r="G7970" s="63">
        <v>0.1138</v>
      </c>
    </row>
    <row r="7971" spans="1:7" x14ac:dyDescent="0.2">
      <c r="A7971" t="s">
        <v>89</v>
      </c>
      <c r="B7971" t="s">
        <v>180</v>
      </c>
      <c r="C7971" t="s">
        <v>212</v>
      </c>
      <c r="D7971" t="s">
        <v>74</v>
      </c>
      <c r="E7971" t="s">
        <v>83</v>
      </c>
      <c r="F7971" s="55">
        <v>34</v>
      </c>
      <c r="G7971" s="63">
        <v>1.8700000000000001E-2</v>
      </c>
    </row>
    <row r="7972" spans="1:7" x14ac:dyDescent="0.2">
      <c r="A7972" t="s">
        <v>89</v>
      </c>
      <c r="B7972" t="s">
        <v>180</v>
      </c>
      <c r="C7972" t="s">
        <v>212</v>
      </c>
      <c r="D7972" t="s">
        <v>74</v>
      </c>
      <c r="E7972" t="s">
        <v>84</v>
      </c>
      <c r="F7972" s="55">
        <v>36</v>
      </c>
      <c r="G7972" s="63">
        <v>3.7999999999999999E-2</v>
      </c>
    </row>
    <row r="7973" spans="1:7" x14ac:dyDescent="0.2">
      <c r="A7973" t="s">
        <v>89</v>
      </c>
      <c r="B7973" t="s">
        <v>180</v>
      </c>
      <c r="C7973" t="s">
        <v>212</v>
      </c>
      <c r="D7973" t="s">
        <v>74</v>
      </c>
      <c r="E7973" t="s">
        <v>85</v>
      </c>
      <c r="F7973" s="55">
        <v>35</v>
      </c>
      <c r="G7973" s="63">
        <v>3.0800000000000001E-2</v>
      </c>
    </row>
    <row r="7974" spans="1:7" x14ac:dyDescent="0.2">
      <c r="A7974" t="s">
        <v>89</v>
      </c>
      <c r="B7974" t="s">
        <v>180</v>
      </c>
      <c r="C7974" t="s">
        <v>212</v>
      </c>
      <c r="D7974" t="s">
        <v>74</v>
      </c>
      <c r="E7974" t="s">
        <v>86</v>
      </c>
      <c r="F7974" s="55">
        <v>35</v>
      </c>
      <c r="G7974" s="63">
        <v>4.2000000000000003E-2</v>
      </c>
    </row>
    <row r="7975" spans="1:7" x14ac:dyDescent="0.2">
      <c r="A7975" t="s">
        <v>89</v>
      </c>
      <c r="B7975" t="s">
        <v>180</v>
      </c>
      <c r="C7975" t="s">
        <v>212</v>
      </c>
      <c r="D7975" t="s">
        <v>74</v>
      </c>
      <c r="E7975" t="s">
        <v>87</v>
      </c>
      <c r="F7975" s="55">
        <v>35</v>
      </c>
      <c r="G7975" s="63">
        <v>5.1400000000000001E-2</v>
      </c>
    </row>
    <row r="7976" spans="1:7" x14ac:dyDescent="0.2">
      <c r="A7976" t="s">
        <v>89</v>
      </c>
      <c r="B7976" t="s">
        <v>180</v>
      </c>
      <c r="C7976" t="s">
        <v>212</v>
      </c>
      <c r="D7976" t="s">
        <v>74</v>
      </c>
      <c r="E7976" t="s">
        <v>88</v>
      </c>
      <c r="F7976" s="55">
        <v>34</v>
      </c>
      <c r="G7976" s="63">
        <v>4.1099999999999998E-2</v>
      </c>
    </row>
    <row r="7977" spans="1:7" x14ac:dyDescent="0.2">
      <c r="A7977" t="s">
        <v>71</v>
      </c>
      <c r="B7977" t="s">
        <v>18</v>
      </c>
      <c r="C7977" t="s">
        <v>212</v>
      </c>
      <c r="D7977" t="s">
        <v>74</v>
      </c>
      <c r="E7977" t="s">
        <v>75</v>
      </c>
      <c r="F7977" s="55">
        <v>118</v>
      </c>
      <c r="G7977" s="63">
        <v>0.31040000000000001</v>
      </c>
    </row>
    <row r="7978" spans="1:7" x14ac:dyDescent="0.2">
      <c r="A7978" t="s">
        <v>71</v>
      </c>
      <c r="B7978" t="s">
        <v>18</v>
      </c>
      <c r="C7978" t="s">
        <v>212</v>
      </c>
      <c r="D7978" t="s">
        <v>74</v>
      </c>
      <c r="E7978" t="s">
        <v>76</v>
      </c>
      <c r="F7978" s="55">
        <v>115</v>
      </c>
      <c r="G7978" s="63">
        <v>4.8500000000000001E-2</v>
      </c>
    </row>
    <row r="7979" spans="1:7" x14ac:dyDescent="0.2">
      <c r="A7979" t="s">
        <v>71</v>
      </c>
      <c r="B7979" t="s">
        <v>18</v>
      </c>
      <c r="C7979" t="s">
        <v>212</v>
      </c>
      <c r="D7979" t="s">
        <v>74</v>
      </c>
      <c r="E7979" t="s">
        <v>77</v>
      </c>
      <c r="F7979" s="55">
        <v>119</v>
      </c>
      <c r="G7979" s="63">
        <v>0.13500000000000001</v>
      </c>
    </row>
    <row r="7980" spans="1:7" x14ac:dyDescent="0.2">
      <c r="A7980" t="s">
        <v>71</v>
      </c>
      <c r="B7980" t="s">
        <v>18</v>
      </c>
      <c r="C7980" t="s">
        <v>212</v>
      </c>
      <c r="D7980" t="s">
        <v>74</v>
      </c>
      <c r="E7980" t="s">
        <v>78</v>
      </c>
      <c r="F7980" s="55">
        <v>117</v>
      </c>
      <c r="G7980" s="63">
        <v>0.1211</v>
      </c>
    </row>
    <row r="7981" spans="1:7" x14ac:dyDescent="0.2">
      <c r="A7981" t="s">
        <v>71</v>
      </c>
      <c r="B7981" t="s">
        <v>18</v>
      </c>
      <c r="C7981" t="s">
        <v>212</v>
      </c>
      <c r="D7981" t="s">
        <v>74</v>
      </c>
      <c r="E7981" t="s">
        <v>79</v>
      </c>
      <c r="F7981" s="55">
        <v>119</v>
      </c>
      <c r="G7981" s="63">
        <v>0.22439999999999999</v>
      </c>
    </row>
    <row r="7982" spans="1:7" x14ac:dyDescent="0.2">
      <c r="A7982" t="s">
        <v>71</v>
      </c>
      <c r="B7982" t="s">
        <v>18</v>
      </c>
      <c r="C7982" t="s">
        <v>212</v>
      </c>
      <c r="D7982" t="s">
        <v>74</v>
      </c>
      <c r="E7982" t="s">
        <v>80</v>
      </c>
      <c r="F7982" s="55">
        <v>113</v>
      </c>
      <c r="G7982" s="63">
        <v>7.1800000000000003E-2</v>
      </c>
    </row>
    <row r="7983" spans="1:7" x14ac:dyDescent="0.2">
      <c r="A7983" t="s">
        <v>71</v>
      </c>
      <c r="B7983" t="s">
        <v>18</v>
      </c>
      <c r="C7983" t="s">
        <v>212</v>
      </c>
      <c r="D7983" t="s">
        <v>74</v>
      </c>
      <c r="E7983" t="s">
        <v>81</v>
      </c>
      <c r="F7983" s="55">
        <v>111</v>
      </c>
      <c r="G7983" s="63">
        <v>6.8400000000000002E-2</v>
      </c>
    </row>
    <row r="7984" spans="1:7" x14ac:dyDescent="0.2">
      <c r="A7984" t="s">
        <v>71</v>
      </c>
      <c r="B7984" t="s">
        <v>18</v>
      </c>
      <c r="C7984" t="s">
        <v>212</v>
      </c>
      <c r="D7984" t="s">
        <v>74</v>
      </c>
      <c r="E7984" t="s">
        <v>82</v>
      </c>
      <c r="F7984" s="55">
        <v>118</v>
      </c>
      <c r="G7984" s="63">
        <v>0.17380000000000001</v>
      </c>
    </row>
    <row r="7985" spans="1:7" x14ac:dyDescent="0.2">
      <c r="A7985" t="s">
        <v>71</v>
      </c>
      <c r="B7985" t="s">
        <v>18</v>
      </c>
      <c r="C7985" t="s">
        <v>212</v>
      </c>
      <c r="D7985" t="s">
        <v>74</v>
      </c>
      <c r="E7985" t="s">
        <v>83</v>
      </c>
      <c r="F7985" s="55">
        <v>113</v>
      </c>
      <c r="G7985" s="63">
        <v>2.8799999999999999E-2</v>
      </c>
    </row>
    <row r="7986" spans="1:7" x14ac:dyDescent="0.2">
      <c r="A7986" t="s">
        <v>71</v>
      </c>
      <c r="B7986" t="s">
        <v>18</v>
      </c>
      <c r="C7986" t="s">
        <v>212</v>
      </c>
      <c r="D7986" t="s">
        <v>74</v>
      </c>
      <c r="E7986" t="s">
        <v>84</v>
      </c>
      <c r="F7986" s="55">
        <v>116</v>
      </c>
      <c r="G7986" s="63">
        <v>9.7600000000000006E-2</v>
      </c>
    </row>
    <row r="7987" spans="1:7" x14ac:dyDescent="0.2">
      <c r="A7987" t="s">
        <v>71</v>
      </c>
      <c r="B7987" t="s">
        <v>18</v>
      </c>
      <c r="C7987" t="s">
        <v>212</v>
      </c>
      <c r="D7987" t="s">
        <v>74</v>
      </c>
      <c r="E7987" t="s">
        <v>85</v>
      </c>
      <c r="F7987" s="55">
        <v>115</v>
      </c>
      <c r="G7987" s="63">
        <v>8.6199999999999999E-2</v>
      </c>
    </row>
    <row r="7988" spans="1:7" x14ac:dyDescent="0.2">
      <c r="A7988" t="s">
        <v>71</v>
      </c>
      <c r="B7988" t="s">
        <v>18</v>
      </c>
      <c r="C7988" t="s">
        <v>212</v>
      </c>
      <c r="D7988" t="s">
        <v>74</v>
      </c>
      <c r="E7988" t="s">
        <v>86</v>
      </c>
      <c r="F7988" s="55">
        <v>118</v>
      </c>
      <c r="G7988" s="63">
        <v>0.1171</v>
      </c>
    </row>
    <row r="7989" spans="1:7" x14ac:dyDescent="0.2">
      <c r="A7989" t="s">
        <v>71</v>
      </c>
      <c r="B7989" t="s">
        <v>18</v>
      </c>
      <c r="C7989" t="s">
        <v>212</v>
      </c>
      <c r="D7989" t="s">
        <v>74</v>
      </c>
      <c r="E7989" t="s">
        <v>87</v>
      </c>
      <c r="F7989" s="55">
        <v>123</v>
      </c>
      <c r="G7989" s="63">
        <v>0.13300000000000001</v>
      </c>
    </row>
    <row r="7990" spans="1:7" x14ac:dyDescent="0.2">
      <c r="A7990" t="s">
        <v>71</v>
      </c>
      <c r="B7990" t="s">
        <v>18</v>
      </c>
      <c r="C7990" t="s">
        <v>212</v>
      </c>
      <c r="D7990" t="s">
        <v>74</v>
      </c>
      <c r="E7990" t="s">
        <v>88</v>
      </c>
      <c r="F7990" s="55">
        <v>113</v>
      </c>
      <c r="G7990" s="63">
        <v>7.3899999999999993E-2</v>
      </c>
    </row>
    <row r="7991" spans="1:7" x14ac:dyDescent="0.2">
      <c r="A7991" t="s">
        <v>89</v>
      </c>
      <c r="B7991" t="s">
        <v>181</v>
      </c>
      <c r="C7991" t="s">
        <v>212</v>
      </c>
      <c r="D7991" t="s">
        <v>74</v>
      </c>
      <c r="E7991" t="s">
        <v>75</v>
      </c>
      <c r="F7991" s="55">
        <v>103</v>
      </c>
      <c r="G7991" s="63">
        <v>2.5499999999999998E-2</v>
      </c>
    </row>
    <row r="7992" spans="1:7" x14ac:dyDescent="0.2">
      <c r="A7992" t="s">
        <v>89</v>
      </c>
      <c r="B7992" t="s">
        <v>181</v>
      </c>
      <c r="C7992" t="s">
        <v>212</v>
      </c>
      <c r="D7992" t="s">
        <v>74</v>
      </c>
      <c r="E7992" t="s">
        <v>76</v>
      </c>
      <c r="F7992" s="55">
        <v>99</v>
      </c>
      <c r="G7992" s="63">
        <v>4.4999999999999997E-3</v>
      </c>
    </row>
    <row r="7993" spans="1:7" x14ac:dyDescent="0.2">
      <c r="A7993" t="s">
        <v>89</v>
      </c>
      <c r="B7993" t="s">
        <v>181</v>
      </c>
      <c r="C7993" t="s">
        <v>212</v>
      </c>
      <c r="D7993" t="s">
        <v>74</v>
      </c>
      <c r="E7993" t="s">
        <v>77</v>
      </c>
      <c r="F7993" s="55">
        <v>103</v>
      </c>
      <c r="G7993" s="63">
        <v>1.0699999999999999E-2</v>
      </c>
    </row>
    <row r="7994" spans="1:7" x14ac:dyDescent="0.2">
      <c r="A7994" t="s">
        <v>89</v>
      </c>
      <c r="B7994" t="s">
        <v>181</v>
      </c>
      <c r="C7994" t="s">
        <v>212</v>
      </c>
      <c r="D7994" t="s">
        <v>74</v>
      </c>
      <c r="E7994" t="s">
        <v>78</v>
      </c>
      <c r="F7994" s="55">
        <v>107</v>
      </c>
      <c r="G7994" s="63">
        <v>8.9999999999999993E-3</v>
      </c>
    </row>
    <row r="7995" spans="1:7" x14ac:dyDescent="0.2">
      <c r="A7995" t="s">
        <v>89</v>
      </c>
      <c r="B7995" t="s">
        <v>181</v>
      </c>
      <c r="C7995" t="s">
        <v>212</v>
      </c>
      <c r="D7995" t="s">
        <v>74</v>
      </c>
      <c r="E7995" t="s">
        <v>79</v>
      </c>
      <c r="F7995" s="55">
        <v>105</v>
      </c>
      <c r="G7995" s="63">
        <v>1.61E-2</v>
      </c>
    </row>
    <row r="7996" spans="1:7" x14ac:dyDescent="0.2">
      <c r="A7996" t="s">
        <v>89</v>
      </c>
      <c r="B7996" t="s">
        <v>181</v>
      </c>
      <c r="C7996" t="s">
        <v>212</v>
      </c>
      <c r="D7996" t="s">
        <v>74</v>
      </c>
      <c r="E7996" t="s">
        <v>80</v>
      </c>
      <c r="F7996" s="55">
        <v>105</v>
      </c>
      <c r="G7996" s="63">
        <v>6.3E-3</v>
      </c>
    </row>
    <row r="7997" spans="1:7" x14ac:dyDescent="0.2">
      <c r="A7997" t="s">
        <v>89</v>
      </c>
      <c r="B7997" t="s">
        <v>181</v>
      </c>
      <c r="C7997" t="s">
        <v>212</v>
      </c>
      <c r="D7997" t="s">
        <v>74</v>
      </c>
      <c r="E7997" t="s">
        <v>81</v>
      </c>
      <c r="F7997" s="55">
        <v>99</v>
      </c>
      <c r="G7997" s="63">
        <v>6.1999999999999998E-3</v>
      </c>
    </row>
    <row r="7998" spans="1:7" x14ac:dyDescent="0.2">
      <c r="A7998" t="s">
        <v>89</v>
      </c>
      <c r="B7998" t="s">
        <v>181</v>
      </c>
      <c r="C7998" t="s">
        <v>212</v>
      </c>
      <c r="D7998" t="s">
        <v>74</v>
      </c>
      <c r="E7998" t="s">
        <v>82</v>
      </c>
      <c r="F7998" s="55">
        <v>100</v>
      </c>
      <c r="G7998" s="63">
        <v>1.35E-2</v>
      </c>
    </row>
    <row r="7999" spans="1:7" x14ac:dyDescent="0.2">
      <c r="A7999" t="s">
        <v>89</v>
      </c>
      <c r="B7999" t="s">
        <v>181</v>
      </c>
      <c r="C7999" t="s">
        <v>212</v>
      </c>
      <c r="D7999" t="s">
        <v>74</v>
      </c>
      <c r="E7999" t="s">
        <v>83</v>
      </c>
      <c r="F7999" s="55">
        <v>95</v>
      </c>
      <c r="G7999" s="63">
        <v>2.8999999999999998E-3</v>
      </c>
    </row>
    <row r="8000" spans="1:7" x14ac:dyDescent="0.2">
      <c r="A8000" t="s">
        <v>89</v>
      </c>
      <c r="B8000" t="s">
        <v>181</v>
      </c>
      <c r="C8000" t="s">
        <v>212</v>
      </c>
      <c r="D8000" t="s">
        <v>74</v>
      </c>
      <c r="E8000" t="s">
        <v>84</v>
      </c>
      <c r="F8000" s="55">
        <v>107</v>
      </c>
      <c r="G8000" s="63">
        <v>7.6E-3</v>
      </c>
    </row>
    <row r="8001" spans="1:7" x14ac:dyDescent="0.2">
      <c r="A8001" t="s">
        <v>89</v>
      </c>
      <c r="B8001" t="s">
        <v>181</v>
      </c>
      <c r="C8001" t="s">
        <v>212</v>
      </c>
      <c r="D8001" t="s">
        <v>74</v>
      </c>
      <c r="E8001" t="s">
        <v>85</v>
      </c>
      <c r="F8001" s="55">
        <v>106</v>
      </c>
      <c r="G8001" s="63">
        <v>6.8999999999999999E-3</v>
      </c>
    </row>
    <row r="8002" spans="1:7" x14ac:dyDescent="0.2">
      <c r="A8002" t="s">
        <v>89</v>
      </c>
      <c r="B8002" t="s">
        <v>181</v>
      </c>
      <c r="C8002" t="s">
        <v>212</v>
      </c>
      <c r="D8002" t="s">
        <v>74</v>
      </c>
      <c r="E8002" t="s">
        <v>86</v>
      </c>
      <c r="F8002" s="55">
        <v>102</v>
      </c>
      <c r="G8002" s="63">
        <v>8.3000000000000001E-3</v>
      </c>
    </row>
    <row r="8003" spans="1:7" x14ac:dyDescent="0.2">
      <c r="A8003" t="s">
        <v>89</v>
      </c>
      <c r="B8003" t="s">
        <v>181</v>
      </c>
      <c r="C8003" t="s">
        <v>212</v>
      </c>
      <c r="D8003" t="s">
        <v>74</v>
      </c>
      <c r="E8003" t="s">
        <v>87</v>
      </c>
      <c r="F8003" s="55">
        <v>102</v>
      </c>
      <c r="G8003" s="63">
        <v>9.4999999999999998E-3</v>
      </c>
    </row>
    <row r="8004" spans="1:7" x14ac:dyDescent="0.2">
      <c r="A8004" t="s">
        <v>89</v>
      </c>
      <c r="B8004" t="s">
        <v>181</v>
      </c>
      <c r="C8004" t="s">
        <v>212</v>
      </c>
      <c r="D8004" t="s">
        <v>74</v>
      </c>
      <c r="E8004" t="s">
        <v>88</v>
      </c>
      <c r="F8004" s="55">
        <v>96</v>
      </c>
      <c r="G8004" s="63">
        <v>6.0000000000000001E-3</v>
      </c>
    </row>
    <row r="8005" spans="1:7" x14ac:dyDescent="0.2">
      <c r="A8005" t="s">
        <v>71</v>
      </c>
      <c r="B8005" t="s">
        <v>182</v>
      </c>
      <c r="C8005" t="s">
        <v>212</v>
      </c>
      <c r="D8005" t="s">
        <v>74</v>
      </c>
      <c r="E8005" t="s">
        <v>75</v>
      </c>
      <c r="F8005" s="55">
        <v>100</v>
      </c>
      <c r="G8005" s="63">
        <v>0.3206</v>
      </c>
    </row>
    <row r="8006" spans="1:7" x14ac:dyDescent="0.2">
      <c r="A8006" t="s">
        <v>71</v>
      </c>
      <c r="B8006" t="s">
        <v>182</v>
      </c>
      <c r="C8006" t="s">
        <v>212</v>
      </c>
      <c r="D8006" t="s">
        <v>74</v>
      </c>
      <c r="E8006" t="s">
        <v>76</v>
      </c>
      <c r="F8006" s="55">
        <v>104</v>
      </c>
      <c r="G8006" s="63">
        <v>6.7699999999999996E-2</v>
      </c>
    </row>
    <row r="8007" spans="1:7" x14ac:dyDescent="0.2">
      <c r="A8007" t="s">
        <v>71</v>
      </c>
      <c r="B8007" t="s">
        <v>182</v>
      </c>
      <c r="C8007" t="s">
        <v>212</v>
      </c>
      <c r="D8007" t="s">
        <v>74</v>
      </c>
      <c r="E8007" t="s">
        <v>77</v>
      </c>
      <c r="F8007" s="55">
        <v>104</v>
      </c>
      <c r="G8007" s="63">
        <v>0.14760000000000001</v>
      </c>
    </row>
    <row r="8008" spans="1:7" x14ac:dyDescent="0.2">
      <c r="A8008" t="s">
        <v>71</v>
      </c>
      <c r="B8008" t="s">
        <v>182</v>
      </c>
      <c r="C8008" t="s">
        <v>212</v>
      </c>
      <c r="D8008" t="s">
        <v>74</v>
      </c>
      <c r="E8008" t="s">
        <v>78</v>
      </c>
      <c r="F8008" s="55">
        <v>101</v>
      </c>
      <c r="G8008" s="63">
        <v>0.12559999999999999</v>
      </c>
    </row>
    <row r="8009" spans="1:7" x14ac:dyDescent="0.2">
      <c r="A8009" t="s">
        <v>71</v>
      </c>
      <c r="B8009" t="s">
        <v>182</v>
      </c>
      <c r="C8009" t="s">
        <v>212</v>
      </c>
      <c r="D8009" t="s">
        <v>74</v>
      </c>
      <c r="E8009" t="s">
        <v>79</v>
      </c>
      <c r="F8009" s="55">
        <v>101</v>
      </c>
      <c r="G8009" s="63">
        <v>0.22739999999999999</v>
      </c>
    </row>
    <row r="8010" spans="1:7" x14ac:dyDescent="0.2">
      <c r="A8010" t="s">
        <v>71</v>
      </c>
      <c r="B8010" t="s">
        <v>182</v>
      </c>
      <c r="C8010" t="s">
        <v>212</v>
      </c>
      <c r="D8010" t="s">
        <v>74</v>
      </c>
      <c r="E8010" t="s">
        <v>80</v>
      </c>
      <c r="F8010" s="55">
        <v>96</v>
      </c>
      <c r="G8010" s="63">
        <v>7.7799999999999994E-2</v>
      </c>
    </row>
    <row r="8011" spans="1:7" x14ac:dyDescent="0.2">
      <c r="A8011" t="s">
        <v>71</v>
      </c>
      <c r="B8011" t="s">
        <v>182</v>
      </c>
      <c r="C8011" t="s">
        <v>212</v>
      </c>
      <c r="D8011" t="s">
        <v>74</v>
      </c>
      <c r="E8011" t="s">
        <v>81</v>
      </c>
      <c r="F8011" s="55">
        <v>98</v>
      </c>
      <c r="G8011" s="63">
        <v>8.1699999999999995E-2</v>
      </c>
    </row>
    <row r="8012" spans="1:7" x14ac:dyDescent="0.2">
      <c r="A8012" t="s">
        <v>71</v>
      </c>
      <c r="B8012" t="s">
        <v>182</v>
      </c>
      <c r="C8012" t="s">
        <v>212</v>
      </c>
      <c r="D8012" t="s">
        <v>74</v>
      </c>
      <c r="E8012" t="s">
        <v>82</v>
      </c>
      <c r="F8012" s="55">
        <v>98</v>
      </c>
      <c r="G8012" s="63">
        <v>0.1762</v>
      </c>
    </row>
    <row r="8013" spans="1:7" x14ac:dyDescent="0.2">
      <c r="A8013" t="s">
        <v>71</v>
      </c>
      <c r="B8013" t="s">
        <v>182</v>
      </c>
      <c r="C8013" t="s">
        <v>212</v>
      </c>
      <c r="D8013" t="s">
        <v>74</v>
      </c>
      <c r="E8013" t="s">
        <v>83</v>
      </c>
      <c r="F8013" s="55">
        <v>99</v>
      </c>
      <c r="G8013" s="63">
        <v>4.7399999999999998E-2</v>
      </c>
    </row>
    <row r="8014" spans="1:7" x14ac:dyDescent="0.2">
      <c r="A8014" t="s">
        <v>71</v>
      </c>
      <c r="B8014" t="s">
        <v>182</v>
      </c>
      <c r="C8014" t="s">
        <v>212</v>
      </c>
      <c r="D8014" t="s">
        <v>74</v>
      </c>
      <c r="E8014" t="s">
        <v>84</v>
      </c>
      <c r="F8014" s="55">
        <v>100</v>
      </c>
      <c r="G8014" s="63">
        <v>0.10050000000000001</v>
      </c>
    </row>
    <row r="8015" spans="1:7" x14ac:dyDescent="0.2">
      <c r="A8015" t="s">
        <v>71</v>
      </c>
      <c r="B8015" t="s">
        <v>182</v>
      </c>
      <c r="C8015" t="s">
        <v>212</v>
      </c>
      <c r="D8015" t="s">
        <v>74</v>
      </c>
      <c r="E8015" t="s">
        <v>85</v>
      </c>
      <c r="F8015" s="55">
        <v>98</v>
      </c>
      <c r="G8015" s="63">
        <v>9.74E-2</v>
      </c>
    </row>
    <row r="8016" spans="1:7" x14ac:dyDescent="0.2">
      <c r="A8016" t="s">
        <v>71</v>
      </c>
      <c r="B8016" t="s">
        <v>182</v>
      </c>
      <c r="C8016" t="s">
        <v>212</v>
      </c>
      <c r="D8016" t="s">
        <v>74</v>
      </c>
      <c r="E8016" t="s">
        <v>86</v>
      </c>
      <c r="F8016" s="55">
        <v>102</v>
      </c>
      <c r="G8016" s="63">
        <v>0.125</v>
      </c>
    </row>
    <row r="8017" spans="1:7" x14ac:dyDescent="0.2">
      <c r="A8017" t="s">
        <v>71</v>
      </c>
      <c r="B8017" t="s">
        <v>182</v>
      </c>
      <c r="C8017" t="s">
        <v>212</v>
      </c>
      <c r="D8017" t="s">
        <v>74</v>
      </c>
      <c r="E8017" t="s">
        <v>87</v>
      </c>
      <c r="F8017" s="55">
        <v>101</v>
      </c>
      <c r="G8017" s="63">
        <v>0.13469999999999999</v>
      </c>
    </row>
    <row r="8018" spans="1:7" x14ac:dyDescent="0.2">
      <c r="A8018" t="s">
        <v>71</v>
      </c>
      <c r="B8018" t="s">
        <v>182</v>
      </c>
      <c r="C8018" t="s">
        <v>212</v>
      </c>
      <c r="D8018" t="s">
        <v>74</v>
      </c>
      <c r="E8018" t="s">
        <v>88</v>
      </c>
      <c r="F8018" s="55">
        <v>103</v>
      </c>
      <c r="G8018" s="63">
        <v>0.10059999999999999</v>
      </c>
    </row>
    <row r="8019" spans="1:7" x14ac:dyDescent="0.2">
      <c r="A8019" t="s">
        <v>89</v>
      </c>
      <c r="B8019" t="s">
        <v>183</v>
      </c>
      <c r="C8019" t="s">
        <v>212</v>
      </c>
      <c r="D8019" t="s">
        <v>74</v>
      </c>
      <c r="E8019" t="s">
        <v>75</v>
      </c>
      <c r="F8019" s="55">
        <v>85</v>
      </c>
      <c r="G8019" s="63">
        <v>8.43E-2</v>
      </c>
    </row>
    <row r="8020" spans="1:7" x14ac:dyDescent="0.2">
      <c r="A8020" t="s">
        <v>89</v>
      </c>
      <c r="B8020" t="s">
        <v>183</v>
      </c>
      <c r="C8020" t="s">
        <v>212</v>
      </c>
      <c r="D8020" t="s">
        <v>74</v>
      </c>
      <c r="E8020" t="s">
        <v>76</v>
      </c>
      <c r="F8020" s="55">
        <v>79</v>
      </c>
      <c r="G8020" s="63">
        <v>1.23E-2</v>
      </c>
    </row>
    <row r="8021" spans="1:7" x14ac:dyDescent="0.2">
      <c r="A8021" t="s">
        <v>89</v>
      </c>
      <c r="B8021" t="s">
        <v>183</v>
      </c>
      <c r="C8021" t="s">
        <v>212</v>
      </c>
      <c r="D8021" t="s">
        <v>74</v>
      </c>
      <c r="E8021" t="s">
        <v>77</v>
      </c>
      <c r="F8021" s="55">
        <v>85</v>
      </c>
      <c r="G8021" s="63">
        <v>3.1399999999999997E-2</v>
      </c>
    </row>
    <row r="8022" spans="1:7" x14ac:dyDescent="0.2">
      <c r="A8022" t="s">
        <v>89</v>
      </c>
      <c r="B8022" t="s">
        <v>183</v>
      </c>
      <c r="C8022" t="s">
        <v>212</v>
      </c>
      <c r="D8022" t="s">
        <v>74</v>
      </c>
      <c r="E8022" t="s">
        <v>78</v>
      </c>
      <c r="F8022" s="55">
        <v>85</v>
      </c>
      <c r="G8022" s="63">
        <v>2.5399999999999999E-2</v>
      </c>
    </row>
    <row r="8023" spans="1:7" x14ac:dyDescent="0.2">
      <c r="A8023" t="s">
        <v>89</v>
      </c>
      <c r="B8023" t="s">
        <v>183</v>
      </c>
      <c r="C8023" t="s">
        <v>212</v>
      </c>
      <c r="D8023" t="s">
        <v>74</v>
      </c>
      <c r="E8023" t="s">
        <v>79</v>
      </c>
      <c r="F8023" s="55">
        <v>84</v>
      </c>
      <c r="G8023" s="63">
        <v>4.8599999999999997E-2</v>
      </c>
    </row>
    <row r="8024" spans="1:7" x14ac:dyDescent="0.2">
      <c r="A8024" t="s">
        <v>89</v>
      </c>
      <c r="B8024" t="s">
        <v>183</v>
      </c>
      <c r="C8024" t="s">
        <v>212</v>
      </c>
      <c r="D8024" t="s">
        <v>74</v>
      </c>
      <c r="E8024" t="s">
        <v>80</v>
      </c>
      <c r="F8024" s="55">
        <v>83</v>
      </c>
      <c r="G8024" s="63">
        <v>1.2699999999999999E-2</v>
      </c>
    </row>
    <row r="8025" spans="1:7" x14ac:dyDescent="0.2">
      <c r="A8025" t="s">
        <v>89</v>
      </c>
      <c r="B8025" t="s">
        <v>183</v>
      </c>
      <c r="C8025" t="s">
        <v>212</v>
      </c>
      <c r="D8025" t="s">
        <v>74</v>
      </c>
      <c r="E8025" t="s">
        <v>81</v>
      </c>
      <c r="F8025" s="55">
        <v>82</v>
      </c>
      <c r="G8025" s="63">
        <v>1.43E-2</v>
      </c>
    </row>
    <row r="8026" spans="1:7" x14ac:dyDescent="0.2">
      <c r="A8026" t="s">
        <v>89</v>
      </c>
      <c r="B8026" t="s">
        <v>183</v>
      </c>
      <c r="C8026" t="s">
        <v>212</v>
      </c>
      <c r="D8026" t="s">
        <v>74</v>
      </c>
      <c r="E8026" t="s">
        <v>82</v>
      </c>
      <c r="F8026" s="55">
        <v>87</v>
      </c>
      <c r="G8026" s="63">
        <v>4.5600000000000002E-2</v>
      </c>
    </row>
    <row r="8027" spans="1:7" x14ac:dyDescent="0.2">
      <c r="A8027" t="s">
        <v>89</v>
      </c>
      <c r="B8027" t="s">
        <v>183</v>
      </c>
      <c r="C8027" t="s">
        <v>212</v>
      </c>
      <c r="D8027" t="s">
        <v>74</v>
      </c>
      <c r="E8027" t="s">
        <v>83</v>
      </c>
      <c r="F8027" s="55">
        <v>78</v>
      </c>
      <c r="G8027" s="63">
        <v>8.2000000000000007E-3</v>
      </c>
    </row>
    <row r="8028" spans="1:7" x14ac:dyDescent="0.2">
      <c r="A8028" t="s">
        <v>89</v>
      </c>
      <c r="B8028" t="s">
        <v>183</v>
      </c>
      <c r="C8028" t="s">
        <v>212</v>
      </c>
      <c r="D8028" t="s">
        <v>74</v>
      </c>
      <c r="E8028" t="s">
        <v>84</v>
      </c>
      <c r="F8028" s="55">
        <v>86</v>
      </c>
      <c r="G8028" s="63">
        <v>2.0500000000000001E-2</v>
      </c>
    </row>
    <row r="8029" spans="1:7" x14ac:dyDescent="0.2">
      <c r="A8029" t="s">
        <v>89</v>
      </c>
      <c r="B8029" t="s">
        <v>183</v>
      </c>
      <c r="C8029" t="s">
        <v>212</v>
      </c>
      <c r="D8029" t="s">
        <v>74</v>
      </c>
      <c r="E8029" t="s">
        <v>85</v>
      </c>
      <c r="F8029" s="55">
        <v>84</v>
      </c>
      <c r="G8029" s="63">
        <v>1.43E-2</v>
      </c>
    </row>
    <row r="8030" spans="1:7" x14ac:dyDescent="0.2">
      <c r="A8030" t="s">
        <v>89</v>
      </c>
      <c r="B8030" t="s">
        <v>183</v>
      </c>
      <c r="C8030" t="s">
        <v>212</v>
      </c>
      <c r="D8030" t="s">
        <v>74</v>
      </c>
      <c r="E8030" t="s">
        <v>86</v>
      </c>
      <c r="F8030" s="55">
        <v>84</v>
      </c>
      <c r="G8030" s="63">
        <v>1.89E-2</v>
      </c>
    </row>
    <row r="8031" spans="1:7" x14ac:dyDescent="0.2">
      <c r="A8031" t="s">
        <v>89</v>
      </c>
      <c r="B8031" t="s">
        <v>183</v>
      </c>
      <c r="C8031" t="s">
        <v>212</v>
      </c>
      <c r="D8031" t="s">
        <v>74</v>
      </c>
      <c r="E8031" t="s">
        <v>87</v>
      </c>
      <c r="F8031" s="55">
        <v>83</v>
      </c>
      <c r="G8031" s="63">
        <v>2.3E-2</v>
      </c>
    </row>
    <row r="8032" spans="1:7" x14ac:dyDescent="0.2">
      <c r="A8032" t="s">
        <v>89</v>
      </c>
      <c r="B8032" t="s">
        <v>183</v>
      </c>
      <c r="C8032" t="s">
        <v>212</v>
      </c>
      <c r="D8032" t="s">
        <v>74</v>
      </c>
      <c r="E8032" t="s">
        <v>88</v>
      </c>
      <c r="F8032" s="55">
        <v>80</v>
      </c>
      <c r="G8032" s="63">
        <v>1.9599999999999999E-2</v>
      </c>
    </row>
    <row r="8033" spans="1:7" x14ac:dyDescent="0.2">
      <c r="A8033" t="s">
        <v>71</v>
      </c>
      <c r="B8033" t="s">
        <v>184</v>
      </c>
      <c r="C8033" t="s">
        <v>212</v>
      </c>
      <c r="D8033" t="s">
        <v>74</v>
      </c>
      <c r="E8033" t="s">
        <v>75</v>
      </c>
      <c r="F8033" s="55">
        <v>119</v>
      </c>
      <c r="G8033" s="63">
        <v>0.34820000000000001</v>
      </c>
    </row>
    <row r="8034" spans="1:7" x14ac:dyDescent="0.2">
      <c r="A8034" t="s">
        <v>71</v>
      </c>
      <c r="B8034" t="s">
        <v>184</v>
      </c>
      <c r="C8034" t="s">
        <v>212</v>
      </c>
      <c r="D8034" t="s">
        <v>74</v>
      </c>
      <c r="E8034" t="s">
        <v>76</v>
      </c>
      <c r="F8034" s="55">
        <v>122</v>
      </c>
      <c r="G8034" s="63">
        <v>9.2100000000000001E-2</v>
      </c>
    </row>
    <row r="8035" spans="1:7" x14ac:dyDescent="0.2">
      <c r="A8035" t="s">
        <v>71</v>
      </c>
      <c r="B8035" t="s">
        <v>184</v>
      </c>
      <c r="C8035" t="s">
        <v>212</v>
      </c>
      <c r="D8035" t="s">
        <v>74</v>
      </c>
      <c r="E8035" t="s">
        <v>77</v>
      </c>
      <c r="F8035" s="55">
        <v>123</v>
      </c>
      <c r="G8035" s="63">
        <v>0.15579999999999999</v>
      </c>
    </row>
    <row r="8036" spans="1:7" x14ac:dyDescent="0.2">
      <c r="A8036" t="s">
        <v>71</v>
      </c>
      <c r="B8036" t="s">
        <v>184</v>
      </c>
      <c r="C8036" t="s">
        <v>212</v>
      </c>
      <c r="D8036" t="s">
        <v>74</v>
      </c>
      <c r="E8036" t="s">
        <v>78</v>
      </c>
      <c r="F8036" s="55">
        <v>119</v>
      </c>
      <c r="G8036" s="63">
        <v>0.114</v>
      </c>
    </row>
    <row r="8037" spans="1:7" x14ac:dyDescent="0.2">
      <c r="A8037" t="s">
        <v>71</v>
      </c>
      <c r="B8037" t="s">
        <v>184</v>
      </c>
      <c r="C8037" t="s">
        <v>212</v>
      </c>
      <c r="D8037" t="s">
        <v>74</v>
      </c>
      <c r="E8037" t="s">
        <v>79</v>
      </c>
      <c r="F8037" s="55">
        <v>117</v>
      </c>
      <c r="G8037" s="63">
        <v>0.23100000000000001</v>
      </c>
    </row>
    <row r="8038" spans="1:7" x14ac:dyDescent="0.2">
      <c r="A8038" t="s">
        <v>71</v>
      </c>
      <c r="B8038" t="s">
        <v>184</v>
      </c>
      <c r="C8038" t="s">
        <v>212</v>
      </c>
      <c r="D8038" t="s">
        <v>74</v>
      </c>
      <c r="E8038" t="s">
        <v>80</v>
      </c>
      <c r="F8038" s="55">
        <v>117</v>
      </c>
      <c r="G8038" s="63">
        <v>6.6199999999999995E-2</v>
      </c>
    </row>
    <row r="8039" spans="1:7" x14ac:dyDescent="0.2">
      <c r="A8039" t="s">
        <v>71</v>
      </c>
      <c r="B8039" t="s">
        <v>184</v>
      </c>
      <c r="C8039" t="s">
        <v>212</v>
      </c>
      <c r="D8039" t="s">
        <v>74</v>
      </c>
      <c r="E8039" t="s">
        <v>81</v>
      </c>
      <c r="F8039" s="55">
        <v>112</v>
      </c>
      <c r="G8039" s="63">
        <v>8.3299999999999999E-2</v>
      </c>
    </row>
    <row r="8040" spans="1:7" x14ac:dyDescent="0.2">
      <c r="A8040" t="s">
        <v>71</v>
      </c>
      <c r="B8040" t="s">
        <v>184</v>
      </c>
      <c r="C8040" t="s">
        <v>212</v>
      </c>
      <c r="D8040" t="s">
        <v>74</v>
      </c>
      <c r="E8040" t="s">
        <v>82</v>
      </c>
      <c r="F8040" s="55">
        <v>120</v>
      </c>
      <c r="G8040" s="63">
        <v>0.2336</v>
      </c>
    </row>
    <row r="8041" spans="1:7" x14ac:dyDescent="0.2">
      <c r="A8041" t="s">
        <v>71</v>
      </c>
      <c r="B8041" t="s">
        <v>184</v>
      </c>
      <c r="C8041" t="s">
        <v>212</v>
      </c>
      <c r="D8041" t="s">
        <v>74</v>
      </c>
      <c r="E8041" t="s">
        <v>83</v>
      </c>
      <c r="F8041" s="55">
        <v>114</v>
      </c>
      <c r="G8041" s="63">
        <v>5.7299999999999997E-2</v>
      </c>
    </row>
    <row r="8042" spans="1:7" x14ac:dyDescent="0.2">
      <c r="A8042" t="s">
        <v>71</v>
      </c>
      <c r="B8042" t="s">
        <v>184</v>
      </c>
      <c r="C8042" t="s">
        <v>212</v>
      </c>
      <c r="D8042" t="s">
        <v>74</v>
      </c>
      <c r="E8042" t="s">
        <v>84</v>
      </c>
      <c r="F8042" s="55">
        <v>119</v>
      </c>
      <c r="G8042" s="63">
        <v>9.3100000000000002E-2</v>
      </c>
    </row>
    <row r="8043" spans="1:7" x14ac:dyDescent="0.2">
      <c r="A8043" t="s">
        <v>71</v>
      </c>
      <c r="B8043" t="s">
        <v>184</v>
      </c>
      <c r="C8043" t="s">
        <v>212</v>
      </c>
      <c r="D8043" t="s">
        <v>74</v>
      </c>
      <c r="E8043" t="s">
        <v>85</v>
      </c>
      <c r="F8043" s="55">
        <v>116</v>
      </c>
      <c r="G8043" s="63">
        <v>7.7200000000000005E-2</v>
      </c>
    </row>
    <row r="8044" spans="1:7" x14ac:dyDescent="0.2">
      <c r="A8044" t="s">
        <v>71</v>
      </c>
      <c r="B8044" t="s">
        <v>184</v>
      </c>
      <c r="C8044" t="s">
        <v>212</v>
      </c>
      <c r="D8044" t="s">
        <v>74</v>
      </c>
      <c r="E8044" t="s">
        <v>86</v>
      </c>
      <c r="F8044" s="55">
        <v>119</v>
      </c>
      <c r="G8044" s="63">
        <v>0.1009</v>
      </c>
    </row>
    <row r="8045" spans="1:7" x14ac:dyDescent="0.2">
      <c r="A8045" t="s">
        <v>71</v>
      </c>
      <c r="B8045" t="s">
        <v>184</v>
      </c>
      <c r="C8045" t="s">
        <v>212</v>
      </c>
      <c r="D8045" t="s">
        <v>74</v>
      </c>
      <c r="E8045" t="s">
        <v>87</v>
      </c>
      <c r="F8045" s="55">
        <v>116</v>
      </c>
      <c r="G8045" s="63">
        <v>0.11700000000000001</v>
      </c>
    </row>
    <row r="8046" spans="1:7" x14ac:dyDescent="0.2">
      <c r="A8046" t="s">
        <v>71</v>
      </c>
      <c r="B8046" t="s">
        <v>184</v>
      </c>
      <c r="C8046" t="s">
        <v>212</v>
      </c>
      <c r="D8046" t="s">
        <v>74</v>
      </c>
      <c r="E8046" t="s">
        <v>88</v>
      </c>
      <c r="F8046" s="55">
        <v>121</v>
      </c>
      <c r="G8046" s="63">
        <v>0.13200000000000001</v>
      </c>
    </row>
    <row r="8047" spans="1:7" x14ac:dyDescent="0.2">
      <c r="A8047" t="s">
        <v>71</v>
      </c>
      <c r="B8047" t="s">
        <v>185</v>
      </c>
      <c r="C8047" t="s">
        <v>212</v>
      </c>
      <c r="D8047" t="s">
        <v>74</v>
      </c>
      <c r="E8047" t="s">
        <v>75</v>
      </c>
      <c r="F8047" s="55">
        <v>46</v>
      </c>
      <c r="G8047" s="63">
        <v>2.8299999999999999E-2</v>
      </c>
    </row>
    <row r="8048" spans="1:7" x14ac:dyDescent="0.2">
      <c r="A8048" t="s">
        <v>71</v>
      </c>
      <c r="B8048" t="s">
        <v>185</v>
      </c>
      <c r="C8048" t="s">
        <v>212</v>
      </c>
      <c r="D8048" t="s">
        <v>74</v>
      </c>
      <c r="E8048" t="s">
        <v>76</v>
      </c>
      <c r="F8048" s="55">
        <v>89</v>
      </c>
      <c r="G8048" s="63">
        <v>2.2000000000000001E-3</v>
      </c>
    </row>
    <row r="8049" spans="1:7" x14ac:dyDescent="0.2">
      <c r="A8049" t="s">
        <v>71</v>
      </c>
      <c r="B8049" t="s">
        <v>185</v>
      </c>
      <c r="C8049" t="s">
        <v>212</v>
      </c>
      <c r="D8049" t="s">
        <v>74</v>
      </c>
      <c r="E8049" t="s">
        <v>77</v>
      </c>
      <c r="F8049" s="55">
        <v>43</v>
      </c>
      <c r="G8049" s="63">
        <v>7.0000000000000001E-3</v>
      </c>
    </row>
    <row r="8050" spans="1:7" x14ac:dyDescent="0.2">
      <c r="A8050" t="s">
        <v>71</v>
      </c>
      <c r="B8050" t="s">
        <v>185</v>
      </c>
      <c r="C8050" t="s">
        <v>212</v>
      </c>
      <c r="D8050" t="s">
        <v>74</v>
      </c>
      <c r="E8050" t="s">
        <v>78</v>
      </c>
      <c r="F8050" s="55">
        <v>47</v>
      </c>
      <c r="G8050" s="63">
        <v>4.4999999999999997E-3</v>
      </c>
    </row>
    <row r="8051" spans="1:7" x14ac:dyDescent="0.2">
      <c r="A8051" t="s">
        <v>71</v>
      </c>
      <c r="B8051" t="s">
        <v>185</v>
      </c>
      <c r="C8051" t="s">
        <v>212</v>
      </c>
      <c r="D8051" t="s">
        <v>74</v>
      </c>
      <c r="E8051" t="s">
        <v>79</v>
      </c>
      <c r="F8051" s="55">
        <v>50</v>
      </c>
      <c r="G8051" s="63">
        <v>1.3599999999999999E-2</v>
      </c>
    </row>
    <row r="8052" spans="1:7" x14ac:dyDescent="0.2">
      <c r="A8052" t="s">
        <v>71</v>
      </c>
      <c r="B8052" t="s">
        <v>185</v>
      </c>
      <c r="C8052" t="s">
        <v>212</v>
      </c>
      <c r="D8052" t="s">
        <v>74</v>
      </c>
      <c r="E8052" t="s">
        <v>80</v>
      </c>
      <c r="F8052" s="55">
        <v>95</v>
      </c>
      <c r="G8052" s="63">
        <v>3.0000000000000001E-3</v>
      </c>
    </row>
    <row r="8053" spans="1:7" x14ac:dyDescent="0.2">
      <c r="A8053" t="s">
        <v>71</v>
      </c>
      <c r="B8053" t="s">
        <v>185</v>
      </c>
      <c r="C8053" t="s">
        <v>212</v>
      </c>
      <c r="D8053" t="s">
        <v>74</v>
      </c>
      <c r="E8053" t="s">
        <v>81</v>
      </c>
      <c r="F8053" s="55">
        <v>114</v>
      </c>
      <c r="G8053" s="63">
        <v>4.3E-3</v>
      </c>
    </row>
    <row r="8054" spans="1:7" x14ac:dyDescent="0.2">
      <c r="A8054" t="s">
        <v>71</v>
      </c>
      <c r="B8054" t="s">
        <v>185</v>
      </c>
      <c r="C8054" t="s">
        <v>212</v>
      </c>
      <c r="D8054" t="s">
        <v>74</v>
      </c>
      <c r="E8054" t="s">
        <v>82</v>
      </c>
      <c r="F8054" s="55">
        <v>32</v>
      </c>
      <c r="G8054" s="63">
        <v>9.4999999999999998E-3</v>
      </c>
    </row>
    <row r="8055" spans="1:7" x14ac:dyDescent="0.2">
      <c r="A8055" t="s">
        <v>71</v>
      </c>
      <c r="B8055" t="s">
        <v>185</v>
      </c>
      <c r="C8055" t="s">
        <v>212</v>
      </c>
      <c r="D8055" t="s">
        <v>74</v>
      </c>
      <c r="E8055" t="s">
        <v>83</v>
      </c>
      <c r="F8055" s="55">
        <v>125</v>
      </c>
      <c r="G8055" s="63">
        <v>1.9E-3</v>
      </c>
    </row>
    <row r="8056" spans="1:7" x14ac:dyDescent="0.2">
      <c r="A8056" t="s">
        <v>71</v>
      </c>
      <c r="B8056" t="s">
        <v>185</v>
      </c>
      <c r="C8056" t="s">
        <v>212</v>
      </c>
      <c r="D8056" t="s">
        <v>74</v>
      </c>
      <c r="E8056" t="s">
        <v>84</v>
      </c>
      <c r="F8056" s="55">
        <v>63</v>
      </c>
      <c r="G8056" s="63">
        <v>3.0999999999999999E-3</v>
      </c>
    </row>
    <row r="8057" spans="1:7" x14ac:dyDescent="0.2">
      <c r="A8057" t="s">
        <v>71</v>
      </c>
      <c r="B8057" t="s">
        <v>185</v>
      </c>
      <c r="C8057" t="s">
        <v>212</v>
      </c>
      <c r="D8057" t="s">
        <v>74</v>
      </c>
      <c r="E8057" t="s">
        <v>85</v>
      </c>
      <c r="F8057" s="55">
        <v>65</v>
      </c>
      <c r="G8057" s="63">
        <v>2.3999999999999998E-3</v>
      </c>
    </row>
    <row r="8058" spans="1:7" x14ac:dyDescent="0.2">
      <c r="A8058" t="s">
        <v>71</v>
      </c>
      <c r="B8058" t="s">
        <v>185</v>
      </c>
      <c r="C8058" t="s">
        <v>212</v>
      </c>
      <c r="D8058" t="s">
        <v>74</v>
      </c>
      <c r="E8058" t="s">
        <v>86</v>
      </c>
      <c r="F8058" s="55">
        <v>49</v>
      </c>
      <c r="G8058" s="63">
        <v>3.7000000000000002E-3</v>
      </c>
    </row>
    <row r="8059" spans="1:7" x14ac:dyDescent="0.2">
      <c r="A8059" t="s">
        <v>71</v>
      </c>
      <c r="B8059" t="s">
        <v>185</v>
      </c>
      <c r="C8059" t="s">
        <v>212</v>
      </c>
      <c r="D8059" t="s">
        <v>74</v>
      </c>
      <c r="E8059" t="s">
        <v>87</v>
      </c>
      <c r="F8059" s="55">
        <v>54</v>
      </c>
      <c r="G8059" s="63">
        <v>4.1000000000000003E-3</v>
      </c>
    </row>
    <row r="8060" spans="1:7" x14ac:dyDescent="0.2">
      <c r="A8060" t="s">
        <v>71</v>
      </c>
      <c r="B8060" t="s">
        <v>185</v>
      </c>
      <c r="C8060" t="s">
        <v>212</v>
      </c>
      <c r="D8060" t="s">
        <v>74</v>
      </c>
      <c r="E8060" t="s">
        <v>88</v>
      </c>
      <c r="F8060" s="55">
        <v>103</v>
      </c>
      <c r="G8060" s="63">
        <v>3.8999999999999998E-3</v>
      </c>
    </row>
    <row r="8061" spans="1:7" x14ac:dyDescent="0.2">
      <c r="A8061" t="s">
        <v>71</v>
      </c>
      <c r="B8061" t="s">
        <v>186</v>
      </c>
      <c r="C8061" t="s">
        <v>212</v>
      </c>
      <c r="D8061" t="s">
        <v>74</v>
      </c>
      <c r="E8061" t="s">
        <v>75</v>
      </c>
      <c r="F8061" s="55">
        <v>111</v>
      </c>
      <c r="G8061" s="63">
        <v>0.17130000000000001</v>
      </c>
    </row>
    <row r="8062" spans="1:7" x14ac:dyDescent="0.2">
      <c r="A8062" t="s">
        <v>71</v>
      </c>
      <c r="B8062" t="s">
        <v>186</v>
      </c>
      <c r="C8062" t="s">
        <v>212</v>
      </c>
      <c r="D8062" t="s">
        <v>74</v>
      </c>
      <c r="E8062" t="s">
        <v>76</v>
      </c>
      <c r="F8062" s="55">
        <v>106</v>
      </c>
      <c r="G8062" s="63">
        <v>2.1399999999999999E-2</v>
      </c>
    </row>
    <row r="8063" spans="1:7" x14ac:dyDescent="0.2">
      <c r="A8063" t="s">
        <v>71</v>
      </c>
      <c r="B8063" t="s">
        <v>186</v>
      </c>
      <c r="C8063" t="s">
        <v>212</v>
      </c>
      <c r="D8063" t="s">
        <v>74</v>
      </c>
      <c r="E8063" t="s">
        <v>77</v>
      </c>
      <c r="F8063" s="55">
        <v>114</v>
      </c>
      <c r="G8063" s="63">
        <v>6.13E-2</v>
      </c>
    </row>
    <row r="8064" spans="1:7" x14ac:dyDescent="0.2">
      <c r="A8064" t="s">
        <v>71</v>
      </c>
      <c r="B8064" t="s">
        <v>186</v>
      </c>
      <c r="C8064" t="s">
        <v>212</v>
      </c>
      <c r="D8064" t="s">
        <v>74</v>
      </c>
      <c r="E8064" t="s">
        <v>78</v>
      </c>
      <c r="F8064" s="55">
        <v>113</v>
      </c>
      <c r="G8064" s="63">
        <v>5.0700000000000002E-2</v>
      </c>
    </row>
    <row r="8065" spans="1:7" x14ac:dyDescent="0.2">
      <c r="A8065" t="s">
        <v>71</v>
      </c>
      <c r="B8065" t="s">
        <v>186</v>
      </c>
      <c r="C8065" t="s">
        <v>212</v>
      </c>
      <c r="D8065" t="s">
        <v>74</v>
      </c>
      <c r="E8065" t="s">
        <v>79</v>
      </c>
      <c r="F8065" s="55">
        <v>111</v>
      </c>
      <c r="G8065" s="63">
        <v>0.10349999999999999</v>
      </c>
    </row>
    <row r="8066" spans="1:7" x14ac:dyDescent="0.2">
      <c r="A8066" t="s">
        <v>71</v>
      </c>
      <c r="B8066" t="s">
        <v>186</v>
      </c>
      <c r="C8066" t="s">
        <v>212</v>
      </c>
      <c r="D8066" t="s">
        <v>74</v>
      </c>
      <c r="E8066" t="s">
        <v>80</v>
      </c>
      <c r="F8066" s="55">
        <v>106</v>
      </c>
      <c r="G8066" s="63">
        <v>2.9399999999999999E-2</v>
      </c>
    </row>
    <row r="8067" spans="1:7" x14ac:dyDescent="0.2">
      <c r="A8067" t="s">
        <v>71</v>
      </c>
      <c r="B8067" t="s">
        <v>186</v>
      </c>
      <c r="C8067" t="s">
        <v>212</v>
      </c>
      <c r="D8067" t="s">
        <v>74</v>
      </c>
      <c r="E8067" t="s">
        <v>81</v>
      </c>
      <c r="F8067" s="55">
        <v>102</v>
      </c>
      <c r="G8067" s="63">
        <v>3.0499999999999999E-2</v>
      </c>
    </row>
    <row r="8068" spans="1:7" x14ac:dyDescent="0.2">
      <c r="A8068" t="s">
        <v>71</v>
      </c>
      <c r="B8068" t="s">
        <v>186</v>
      </c>
      <c r="C8068" t="s">
        <v>212</v>
      </c>
      <c r="D8068" t="s">
        <v>74</v>
      </c>
      <c r="E8068" t="s">
        <v>82</v>
      </c>
      <c r="F8068" s="55">
        <v>112</v>
      </c>
      <c r="G8068" s="63">
        <v>7.5200000000000003E-2</v>
      </c>
    </row>
    <row r="8069" spans="1:7" x14ac:dyDescent="0.2">
      <c r="A8069" t="s">
        <v>71</v>
      </c>
      <c r="B8069" t="s">
        <v>186</v>
      </c>
      <c r="C8069" t="s">
        <v>212</v>
      </c>
      <c r="D8069" t="s">
        <v>74</v>
      </c>
      <c r="E8069" t="s">
        <v>83</v>
      </c>
      <c r="F8069" s="55">
        <v>102</v>
      </c>
      <c r="G8069" s="63">
        <v>1.34E-2</v>
      </c>
    </row>
    <row r="8070" spans="1:7" x14ac:dyDescent="0.2">
      <c r="A8070" t="s">
        <v>71</v>
      </c>
      <c r="B8070" t="s">
        <v>186</v>
      </c>
      <c r="C8070" t="s">
        <v>212</v>
      </c>
      <c r="D8070" t="s">
        <v>74</v>
      </c>
      <c r="E8070" t="s">
        <v>84</v>
      </c>
      <c r="F8070" s="55">
        <v>114</v>
      </c>
      <c r="G8070" s="63">
        <v>3.8199999999999998E-2</v>
      </c>
    </row>
    <row r="8071" spans="1:7" x14ac:dyDescent="0.2">
      <c r="A8071" t="s">
        <v>71</v>
      </c>
      <c r="B8071" t="s">
        <v>186</v>
      </c>
      <c r="C8071" t="s">
        <v>212</v>
      </c>
      <c r="D8071" t="s">
        <v>74</v>
      </c>
      <c r="E8071" t="s">
        <v>85</v>
      </c>
      <c r="F8071" s="55">
        <v>109</v>
      </c>
      <c r="G8071" s="63">
        <v>3.1E-2</v>
      </c>
    </row>
    <row r="8072" spans="1:7" x14ac:dyDescent="0.2">
      <c r="A8072" t="s">
        <v>71</v>
      </c>
      <c r="B8072" t="s">
        <v>186</v>
      </c>
      <c r="C8072" t="s">
        <v>212</v>
      </c>
      <c r="D8072" t="s">
        <v>74</v>
      </c>
      <c r="E8072" t="s">
        <v>86</v>
      </c>
      <c r="F8072" s="55">
        <v>113</v>
      </c>
      <c r="G8072" s="63">
        <v>3.9199999999999999E-2</v>
      </c>
    </row>
    <row r="8073" spans="1:7" x14ac:dyDescent="0.2">
      <c r="A8073" t="s">
        <v>71</v>
      </c>
      <c r="B8073" t="s">
        <v>186</v>
      </c>
      <c r="C8073" t="s">
        <v>212</v>
      </c>
      <c r="D8073" t="s">
        <v>74</v>
      </c>
      <c r="E8073" t="s">
        <v>87</v>
      </c>
      <c r="F8073" s="55">
        <v>114</v>
      </c>
      <c r="G8073" s="63">
        <v>4.6300000000000001E-2</v>
      </c>
    </row>
    <row r="8074" spans="1:7" x14ac:dyDescent="0.2">
      <c r="A8074" t="s">
        <v>71</v>
      </c>
      <c r="B8074" t="s">
        <v>186</v>
      </c>
      <c r="C8074" t="s">
        <v>212</v>
      </c>
      <c r="D8074" t="s">
        <v>74</v>
      </c>
      <c r="E8074" t="s">
        <v>88</v>
      </c>
      <c r="F8074" s="55">
        <v>107</v>
      </c>
      <c r="G8074" s="63">
        <v>3.4099999999999998E-2</v>
      </c>
    </row>
    <row r="8075" spans="1:7" x14ac:dyDescent="0.2">
      <c r="A8075" t="s">
        <v>71</v>
      </c>
      <c r="B8075" t="s">
        <v>187</v>
      </c>
      <c r="C8075" t="s">
        <v>212</v>
      </c>
      <c r="D8075" t="s">
        <v>74</v>
      </c>
      <c r="E8075" t="s">
        <v>75</v>
      </c>
      <c r="F8075" s="55">
        <v>97</v>
      </c>
      <c r="G8075" s="63">
        <v>0.24970000000000001</v>
      </c>
    </row>
    <row r="8076" spans="1:7" x14ac:dyDescent="0.2">
      <c r="A8076" t="s">
        <v>71</v>
      </c>
      <c r="B8076" t="s">
        <v>187</v>
      </c>
      <c r="C8076" t="s">
        <v>212</v>
      </c>
      <c r="D8076" t="s">
        <v>74</v>
      </c>
      <c r="E8076" t="s">
        <v>76</v>
      </c>
      <c r="F8076" s="55">
        <v>92</v>
      </c>
      <c r="G8076" s="63">
        <v>2.1000000000000001E-2</v>
      </c>
    </row>
    <row r="8077" spans="1:7" x14ac:dyDescent="0.2">
      <c r="A8077" t="s">
        <v>71</v>
      </c>
      <c r="B8077" t="s">
        <v>187</v>
      </c>
      <c r="C8077" t="s">
        <v>212</v>
      </c>
      <c r="D8077" t="s">
        <v>74</v>
      </c>
      <c r="E8077" t="s">
        <v>77</v>
      </c>
      <c r="F8077" s="55">
        <v>92</v>
      </c>
      <c r="G8077" s="63">
        <v>6.54E-2</v>
      </c>
    </row>
    <row r="8078" spans="1:7" x14ac:dyDescent="0.2">
      <c r="A8078" t="s">
        <v>71</v>
      </c>
      <c r="B8078" t="s">
        <v>187</v>
      </c>
      <c r="C8078" t="s">
        <v>212</v>
      </c>
      <c r="D8078" t="s">
        <v>74</v>
      </c>
      <c r="E8078" t="s">
        <v>78</v>
      </c>
      <c r="F8078" s="55">
        <v>99</v>
      </c>
      <c r="G8078" s="63">
        <v>6.0100000000000001E-2</v>
      </c>
    </row>
    <row r="8079" spans="1:7" x14ac:dyDescent="0.2">
      <c r="A8079" t="s">
        <v>71</v>
      </c>
      <c r="B8079" t="s">
        <v>187</v>
      </c>
      <c r="C8079" t="s">
        <v>212</v>
      </c>
      <c r="D8079" t="s">
        <v>74</v>
      </c>
      <c r="E8079" t="s">
        <v>79</v>
      </c>
      <c r="F8079" s="55">
        <v>99</v>
      </c>
      <c r="G8079" s="63">
        <v>0.15529999999999999</v>
      </c>
    </row>
    <row r="8080" spans="1:7" x14ac:dyDescent="0.2">
      <c r="A8080" t="s">
        <v>71</v>
      </c>
      <c r="B8080" t="s">
        <v>187</v>
      </c>
      <c r="C8080" t="s">
        <v>212</v>
      </c>
      <c r="D8080" t="s">
        <v>74</v>
      </c>
      <c r="E8080" t="s">
        <v>80</v>
      </c>
      <c r="F8080" s="55">
        <v>96</v>
      </c>
      <c r="G8080" s="63">
        <v>3.9899999999999998E-2</v>
      </c>
    </row>
    <row r="8081" spans="1:7" x14ac:dyDescent="0.2">
      <c r="A8081" t="s">
        <v>71</v>
      </c>
      <c r="B8081" t="s">
        <v>187</v>
      </c>
      <c r="C8081" t="s">
        <v>212</v>
      </c>
      <c r="D8081" t="s">
        <v>74</v>
      </c>
      <c r="E8081" t="s">
        <v>81</v>
      </c>
      <c r="F8081" s="55">
        <v>98</v>
      </c>
      <c r="G8081" s="63">
        <v>4.1500000000000002E-2</v>
      </c>
    </row>
    <row r="8082" spans="1:7" x14ac:dyDescent="0.2">
      <c r="A8082" t="s">
        <v>71</v>
      </c>
      <c r="B8082" t="s">
        <v>187</v>
      </c>
      <c r="C8082" t="s">
        <v>212</v>
      </c>
      <c r="D8082" t="s">
        <v>74</v>
      </c>
      <c r="E8082" t="s">
        <v>82</v>
      </c>
      <c r="F8082" s="55">
        <v>99</v>
      </c>
      <c r="G8082" s="63">
        <v>0.1109</v>
      </c>
    </row>
    <row r="8083" spans="1:7" x14ac:dyDescent="0.2">
      <c r="A8083" t="s">
        <v>71</v>
      </c>
      <c r="B8083" t="s">
        <v>187</v>
      </c>
      <c r="C8083" t="s">
        <v>212</v>
      </c>
      <c r="D8083" t="s">
        <v>74</v>
      </c>
      <c r="E8083" t="s">
        <v>83</v>
      </c>
      <c r="F8083" s="55">
        <v>87</v>
      </c>
      <c r="G8083" s="63">
        <v>1.4200000000000001E-2</v>
      </c>
    </row>
    <row r="8084" spans="1:7" x14ac:dyDescent="0.2">
      <c r="A8084" t="s">
        <v>71</v>
      </c>
      <c r="B8084" t="s">
        <v>187</v>
      </c>
      <c r="C8084" t="s">
        <v>212</v>
      </c>
      <c r="D8084" t="s">
        <v>74</v>
      </c>
      <c r="E8084" t="s">
        <v>84</v>
      </c>
      <c r="F8084" s="55">
        <v>99</v>
      </c>
      <c r="G8084" s="63">
        <v>4.2900000000000001E-2</v>
      </c>
    </row>
    <row r="8085" spans="1:7" x14ac:dyDescent="0.2">
      <c r="A8085" t="s">
        <v>71</v>
      </c>
      <c r="B8085" t="s">
        <v>187</v>
      </c>
      <c r="C8085" t="s">
        <v>212</v>
      </c>
      <c r="D8085" t="s">
        <v>74</v>
      </c>
      <c r="E8085" t="s">
        <v>85</v>
      </c>
      <c r="F8085" s="55">
        <v>94</v>
      </c>
      <c r="G8085" s="63">
        <v>4.1599999999999998E-2</v>
      </c>
    </row>
    <row r="8086" spans="1:7" x14ac:dyDescent="0.2">
      <c r="A8086" t="s">
        <v>71</v>
      </c>
      <c r="B8086" t="s">
        <v>187</v>
      </c>
      <c r="C8086" t="s">
        <v>212</v>
      </c>
      <c r="D8086" t="s">
        <v>74</v>
      </c>
      <c r="E8086" t="s">
        <v>86</v>
      </c>
      <c r="F8086" s="55">
        <v>93</v>
      </c>
      <c r="G8086" s="63">
        <v>5.5399999999999998E-2</v>
      </c>
    </row>
    <row r="8087" spans="1:7" x14ac:dyDescent="0.2">
      <c r="A8087" t="s">
        <v>71</v>
      </c>
      <c r="B8087" t="s">
        <v>187</v>
      </c>
      <c r="C8087" t="s">
        <v>212</v>
      </c>
      <c r="D8087" t="s">
        <v>74</v>
      </c>
      <c r="E8087" t="s">
        <v>87</v>
      </c>
      <c r="F8087" s="55">
        <v>102</v>
      </c>
      <c r="G8087" s="63">
        <v>6.2600000000000003E-2</v>
      </c>
    </row>
    <row r="8088" spans="1:7" x14ac:dyDescent="0.2">
      <c r="A8088" t="s">
        <v>71</v>
      </c>
      <c r="B8088" t="s">
        <v>187</v>
      </c>
      <c r="C8088" t="s">
        <v>212</v>
      </c>
      <c r="D8088" t="s">
        <v>74</v>
      </c>
      <c r="E8088" t="s">
        <v>88</v>
      </c>
      <c r="F8088" s="55">
        <v>92</v>
      </c>
      <c r="G8088" s="63">
        <v>3.8300000000000001E-2</v>
      </c>
    </row>
    <row r="8089" spans="1:7" x14ac:dyDescent="0.2">
      <c r="A8089" t="s">
        <v>89</v>
      </c>
      <c r="B8089" t="s">
        <v>188</v>
      </c>
      <c r="C8089" t="s">
        <v>212</v>
      </c>
      <c r="D8089" t="s">
        <v>74</v>
      </c>
      <c r="E8089" t="s">
        <v>75</v>
      </c>
      <c r="F8089" s="55">
        <v>26</v>
      </c>
      <c r="G8089" s="63">
        <v>2.1700000000000001E-2</v>
      </c>
    </row>
    <row r="8090" spans="1:7" x14ac:dyDescent="0.2">
      <c r="A8090" t="s">
        <v>89</v>
      </c>
      <c r="B8090" t="s">
        <v>188</v>
      </c>
      <c r="C8090" t="s">
        <v>212</v>
      </c>
      <c r="D8090" t="s">
        <v>74</v>
      </c>
      <c r="E8090" t="s">
        <v>76</v>
      </c>
      <c r="F8090" s="55">
        <v>35</v>
      </c>
      <c r="G8090" s="63">
        <v>1.8E-3</v>
      </c>
    </row>
    <row r="8091" spans="1:7" x14ac:dyDescent="0.2">
      <c r="A8091" t="s">
        <v>89</v>
      </c>
      <c r="B8091" t="s">
        <v>188</v>
      </c>
      <c r="C8091" t="s">
        <v>212</v>
      </c>
      <c r="D8091" t="s">
        <v>74</v>
      </c>
      <c r="E8091" t="s">
        <v>77</v>
      </c>
      <c r="F8091" s="55">
        <v>36</v>
      </c>
      <c r="G8091" s="63">
        <v>8.9999999999999993E-3</v>
      </c>
    </row>
    <row r="8092" spans="1:7" x14ac:dyDescent="0.2">
      <c r="A8092" t="s">
        <v>89</v>
      </c>
      <c r="B8092" t="s">
        <v>188</v>
      </c>
      <c r="C8092" t="s">
        <v>212</v>
      </c>
      <c r="D8092" t="s">
        <v>74</v>
      </c>
      <c r="E8092" t="s">
        <v>78</v>
      </c>
      <c r="F8092" s="55">
        <v>31</v>
      </c>
      <c r="G8092" s="63">
        <v>7.1999999999999998E-3</v>
      </c>
    </row>
    <row r="8093" spans="1:7" x14ac:dyDescent="0.2">
      <c r="A8093" t="s">
        <v>89</v>
      </c>
      <c r="B8093" t="s">
        <v>188</v>
      </c>
      <c r="C8093" t="s">
        <v>212</v>
      </c>
      <c r="D8093" t="s">
        <v>74</v>
      </c>
      <c r="E8093" t="s">
        <v>79</v>
      </c>
      <c r="F8093" s="55">
        <v>24</v>
      </c>
      <c r="G8093" s="63">
        <v>1.03E-2</v>
      </c>
    </row>
    <row r="8094" spans="1:7" x14ac:dyDescent="0.2">
      <c r="A8094" t="s">
        <v>89</v>
      </c>
      <c r="B8094" t="s">
        <v>188</v>
      </c>
      <c r="C8094" t="s">
        <v>212</v>
      </c>
      <c r="D8094" t="s">
        <v>74</v>
      </c>
      <c r="E8094" t="s">
        <v>80</v>
      </c>
      <c r="F8094" s="55">
        <v>21</v>
      </c>
      <c r="G8094" s="63">
        <v>2.5999999999999999E-3</v>
      </c>
    </row>
    <row r="8095" spans="1:7" x14ac:dyDescent="0.2">
      <c r="A8095" t="s">
        <v>89</v>
      </c>
      <c r="B8095" t="s">
        <v>188</v>
      </c>
      <c r="C8095" t="s">
        <v>212</v>
      </c>
      <c r="D8095" t="s">
        <v>74</v>
      </c>
      <c r="E8095" t="s">
        <v>81</v>
      </c>
      <c r="F8095" s="55">
        <v>17</v>
      </c>
      <c r="G8095" s="63">
        <v>2.7000000000000001E-3</v>
      </c>
    </row>
    <row r="8096" spans="1:7" x14ac:dyDescent="0.2">
      <c r="A8096" t="s">
        <v>89</v>
      </c>
      <c r="B8096" t="s">
        <v>188</v>
      </c>
      <c r="C8096" t="s">
        <v>212</v>
      </c>
      <c r="D8096" t="s">
        <v>74</v>
      </c>
      <c r="E8096" t="s">
        <v>82</v>
      </c>
      <c r="F8096" s="55">
        <v>23</v>
      </c>
      <c r="G8096" s="63">
        <v>8.8000000000000005E-3</v>
      </c>
    </row>
    <row r="8097" spans="1:7" x14ac:dyDescent="0.2">
      <c r="A8097" t="s">
        <v>89</v>
      </c>
      <c r="B8097" t="s">
        <v>188</v>
      </c>
      <c r="C8097" t="s">
        <v>212</v>
      </c>
      <c r="D8097" t="s">
        <v>74</v>
      </c>
      <c r="E8097" t="s">
        <v>83</v>
      </c>
      <c r="F8097" s="55">
        <v>34</v>
      </c>
      <c r="G8097" s="63">
        <v>1.1000000000000001E-3</v>
      </c>
    </row>
    <row r="8098" spans="1:7" x14ac:dyDescent="0.2">
      <c r="A8098" t="s">
        <v>89</v>
      </c>
      <c r="B8098" t="s">
        <v>188</v>
      </c>
      <c r="C8098" t="s">
        <v>212</v>
      </c>
      <c r="D8098" t="s">
        <v>74</v>
      </c>
      <c r="E8098" t="s">
        <v>84</v>
      </c>
      <c r="F8098" s="55">
        <v>33</v>
      </c>
      <c r="G8098" s="63">
        <v>6.1999999999999998E-3</v>
      </c>
    </row>
    <row r="8099" spans="1:7" x14ac:dyDescent="0.2">
      <c r="A8099" t="s">
        <v>89</v>
      </c>
      <c r="B8099" t="s">
        <v>188</v>
      </c>
      <c r="C8099" t="s">
        <v>212</v>
      </c>
      <c r="D8099" t="s">
        <v>74</v>
      </c>
      <c r="E8099" t="s">
        <v>85</v>
      </c>
      <c r="F8099" s="55">
        <v>23</v>
      </c>
      <c r="G8099" s="63">
        <v>2.8E-3</v>
      </c>
    </row>
    <row r="8100" spans="1:7" x14ac:dyDescent="0.2">
      <c r="A8100" t="s">
        <v>89</v>
      </c>
      <c r="B8100" t="s">
        <v>188</v>
      </c>
      <c r="C8100" t="s">
        <v>212</v>
      </c>
      <c r="D8100" t="s">
        <v>74</v>
      </c>
      <c r="E8100" t="s">
        <v>86</v>
      </c>
      <c r="F8100" s="55">
        <v>25</v>
      </c>
      <c r="G8100" s="63">
        <v>3.5999999999999999E-3</v>
      </c>
    </row>
    <row r="8101" spans="1:7" x14ac:dyDescent="0.2">
      <c r="A8101" t="s">
        <v>89</v>
      </c>
      <c r="B8101" t="s">
        <v>188</v>
      </c>
      <c r="C8101" t="s">
        <v>212</v>
      </c>
      <c r="D8101" t="s">
        <v>74</v>
      </c>
      <c r="E8101" t="s">
        <v>87</v>
      </c>
      <c r="F8101" s="55">
        <v>24</v>
      </c>
      <c r="G8101" s="63">
        <v>4.3E-3</v>
      </c>
    </row>
    <row r="8102" spans="1:7" x14ac:dyDescent="0.2">
      <c r="A8102" t="s">
        <v>89</v>
      </c>
      <c r="B8102" t="s">
        <v>188</v>
      </c>
      <c r="C8102" t="s">
        <v>212</v>
      </c>
      <c r="D8102" t="s">
        <v>74</v>
      </c>
      <c r="E8102" t="s">
        <v>88</v>
      </c>
      <c r="F8102" s="55">
        <v>19</v>
      </c>
      <c r="G8102" s="63">
        <v>3.5000000000000001E-3</v>
      </c>
    </row>
    <row r="8103" spans="1:7" x14ac:dyDescent="0.2">
      <c r="A8103" t="s">
        <v>71</v>
      </c>
      <c r="B8103" t="s">
        <v>19</v>
      </c>
      <c r="C8103" t="s">
        <v>212</v>
      </c>
      <c r="D8103" t="s">
        <v>74</v>
      </c>
      <c r="E8103" t="s">
        <v>75</v>
      </c>
      <c r="F8103" s="55">
        <v>92</v>
      </c>
      <c r="G8103" s="63">
        <v>0.434</v>
      </c>
    </row>
    <row r="8104" spans="1:7" x14ac:dyDescent="0.2">
      <c r="A8104" t="s">
        <v>71</v>
      </c>
      <c r="B8104" t="s">
        <v>19</v>
      </c>
      <c r="C8104" t="s">
        <v>212</v>
      </c>
      <c r="D8104" t="s">
        <v>74</v>
      </c>
      <c r="E8104" t="s">
        <v>76</v>
      </c>
      <c r="F8104" s="55">
        <v>93</v>
      </c>
      <c r="G8104" s="63">
        <v>6.08E-2</v>
      </c>
    </row>
    <row r="8105" spans="1:7" x14ac:dyDescent="0.2">
      <c r="A8105" t="s">
        <v>71</v>
      </c>
      <c r="B8105" t="s">
        <v>19</v>
      </c>
      <c r="C8105" t="s">
        <v>212</v>
      </c>
      <c r="D8105" t="s">
        <v>74</v>
      </c>
      <c r="E8105" t="s">
        <v>77</v>
      </c>
      <c r="F8105" s="55">
        <v>94</v>
      </c>
      <c r="G8105" s="63">
        <v>0.16619999999999999</v>
      </c>
    </row>
    <row r="8106" spans="1:7" x14ac:dyDescent="0.2">
      <c r="A8106" t="s">
        <v>71</v>
      </c>
      <c r="B8106" t="s">
        <v>19</v>
      </c>
      <c r="C8106" t="s">
        <v>212</v>
      </c>
      <c r="D8106" t="s">
        <v>74</v>
      </c>
      <c r="E8106" t="s">
        <v>78</v>
      </c>
      <c r="F8106" s="55">
        <v>88</v>
      </c>
      <c r="G8106" s="63">
        <v>0.1583</v>
      </c>
    </row>
    <row r="8107" spans="1:7" x14ac:dyDescent="0.2">
      <c r="A8107" t="s">
        <v>71</v>
      </c>
      <c r="B8107" t="s">
        <v>19</v>
      </c>
      <c r="C8107" t="s">
        <v>212</v>
      </c>
      <c r="D8107" t="s">
        <v>74</v>
      </c>
      <c r="E8107" t="s">
        <v>79</v>
      </c>
      <c r="F8107" s="55">
        <v>93</v>
      </c>
      <c r="G8107" s="63">
        <v>0.30630000000000002</v>
      </c>
    </row>
    <row r="8108" spans="1:7" x14ac:dyDescent="0.2">
      <c r="A8108" t="s">
        <v>71</v>
      </c>
      <c r="B8108" t="s">
        <v>19</v>
      </c>
      <c r="C8108" t="s">
        <v>212</v>
      </c>
      <c r="D8108" t="s">
        <v>74</v>
      </c>
      <c r="E8108" t="s">
        <v>80</v>
      </c>
      <c r="F8108" s="55">
        <v>87</v>
      </c>
      <c r="G8108" s="63">
        <v>8.9499999999999996E-2</v>
      </c>
    </row>
    <row r="8109" spans="1:7" x14ac:dyDescent="0.2">
      <c r="A8109" t="s">
        <v>71</v>
      </c>
      <c r="B8109" t="s">
        <v>19</v>
      </c>
      <c r="C8109" t="s">
        <v>212</v>
      </c>
      <c r="D8109" t="s">
        <v>74</v>
      </c>
      <c r="E8109" t="s">
        <v>81</v>
      </c>
      <c r="F8109" s="55">
        <v>87</v>
      </c>
      <c r="G8109" s="63">
        <v>9.5600000000000004E-2</v>
      </c>
    </row>
    <row r="8110" spans="1:7" x14ac:dyDescent="0.2">
      <c r="A8110" t="s">
        <v>71</v>
      </c>
      <c r="B8110" t="s">
        <v>19</v>
      </c>
      <c r="C8110" t="s">
        <v>212</v>
      </c>
      <c r="D8110" t="s">
        <v>74</v>
      </c>
      <c r="E8110" t="s">
        <v>82</v>
      </c>
      <c r="F8110" s="55">
        <v>95</v>
      </c>
      <c r="G8110" s="63">
        <v>0.23230000000000001</v>
      </c>
    </row>
    <row r="8111" spans="1:7" x14ac:dyDescent="0.2">
      <c r="A8111" t="s">
        <v>71</v>
      </c>
      <c r="B8111" t="s">
        <v>19</v>
      </c>
      <c r="C8111" t="s">
        <v>212</v>
      </c>
      <c r="D8111" t="s">
        <v>74</v>
      </c>
      <c r="E8111" t="s">
        <v>83</v>
      </c>
      <c r="F8111" s="55">
        <v>87</v>
      </c>
      <c r="G8111" s="63">
        <v>4.6800000000000001E-2</v>
      </c>
    </row>
    <row r="8112" spans="1:7" x14ac:dyDescent="0.2">
      <c r="A8112" t="s">
        <v>71</v>
      </c>
      <c r="B8112" t="s">
        <v>19</v>
      </c>
      <c r="C8112" t="s">
        <v>212</v>
      </c>
      <c r="D8112" t="s">
        <v>74</v>
      </c>
      <c r="E8112" t="s">
        <v>84</v>
      </c>
      <c r="F8112" s="55">
        <v>88</v>
      </c>
      <c r="G8112" s="63">
        <v>0.1203</v>
      </c>
    </row>
    <row r="8113" spans="1:7" x14ac:dyDescent="0.2">
      <c r="A8113" t="s">
        <v>71</v>
      </c>
      <c r="B8113" t="s">
        <v>19</v>
      </c>
      <c r="C8113" t="s">
        <v>212</v>
      </c>
      <c r="D8113" t="s">
        <v>74</v>
      </c>
      <c r="E8113" t="s">
        <v>85</v>
      </c>
      <c r="F8113" s="55">
        <v>87</v>
      </c>
      <c r="G8113" s="63">
        <v>0.1032</v>
      </c>
    </row>
    <row r="8114" spans="1:7" x14ac:dyDescent="0.2">
      <c r="A8114" t="s">
        <v>71</v>
      </c>
      <c r="B8114" t="s">
        <v>19</v>
      </c>
      <c r="C8114" t="s">
        <v>212</v>
      </c>
      <c r="D8114" t="s">
        <v>74</v>
      </c>
      <c r="E8114" t="s">
        <v>86</v>
      </c>
      <c r="F8114" s="55">
        <v>91</v>
      </c>
      <c r="G8114" s="63">
        <v>0.13769999999999999</v>
      </c>
    </row>
    <row r="8115" spans="1:7" x14ac:dyDescent="0.2">
      <c r="A8115" t="s">
        <v>71</v>
      </c>
      <c r="B8115" t="s">
        <v>19</v>
      </c>
      <c r="C8115" t="s">
        <v>212</v>
      </c>
      <c r="D8115" t="s">
        <v>74</v>
      </c>
      <c r="E8115" t="s">
        <v>87</v>
      </c>
      <c r="F8115" s="55">
        <v>94</v>
      </c>
      <c r="G8115" s="63">
        <v>0.15529999999999999</v>
      </c>
    </row>
    <row r="8116" spans="1:7" x14ac:dyDescent="0.2">
      <c r="A8116" t="s">
        <v>71</v>
      </c>
      <c r="B8116" t="s">
        <v>19</v>
      </c>
      <c r="C8116" t="s">
        <v>212</v>
      </c>
      <c r="D8116" t="s">
        <v>74</v>
      </c>
      <c r="E8116" t="s">
        <v>88</v>
      </c>
      <c r="F8116" s="55">
        <v>94</v>
      </c>
      <c r="G8116" s="63">
        <v>9.7199999999999995E-2</v>
      </c>
    </row>
    <row r="8117" spans="1:7" x14ac:dyDescent="0.2">
      <c r="A8117" t="s">
        <v>71</v>
      </c>
      <c r="B8117" t="s">
        <v>189</v>
      </c>
      <c r="C8117" t="s">
        <v>212</v>
      </c>
      <c r="D8117" t="s">
        <v>74</v>
      </c>
      <c r="E8117" t="s">
        <v>75</v>
      </c>
      <c r="F8117" s="55">
        <v>67</v>
      </c>
      <c r="G8117" s="63">
        <v>9.6799999999999997E-2</v>
      </c>
    </row>
    <row r="8118" spans="1:7" x14ac:dyDescent="0.2">
      <c r="A8118" t="s">
        <v>71</v>
      </c>
      <c r="B8118" t="s">
        <v>189</v>
      </c>
      <c r="C8118" t="s">
        <v>212</v>
      </c>
      <c r="D8118" t="s">
        <v>74</v>
      </c>
      <c r="E8118" t="s">
        <v>76</v>
      </c>
      <c r="F8118" s="55">
        <v>70</v>
      </c>
      <c r="G8118" s="63">
        <v>1.0699999999999999E-2</v>
      </c>
    </row>
    <row r="8119" spans="1:7" x14ac:dyDescent="0.2">
      <c r="A8119" t="s">
        <v>71</v>
      </c>
      <c r="B8119" t="s">
        <v>189</v>
      </c>
      <c r="C8119" t="s">
        <v>212</v>
      </c>
      <c r="D8119" t="s">
        <v>74</v>
      </c>
      <c r="E8119" t="s">
        <v>77</v>
      </c>
      <c r="F8119" s="55">
        <v>66</v>
      </c>
      <c r="G8119" s="63">
        <v>2.7799999999999998E-2</v>
      </c>
    </row>
    <row r="8120" spans="1:7" x14ac:dyDescent="0.2">
      <c r="A8120" t="s">
        <v>71</v>
      </c>
      <c r="B8120" t="s">
        <v>189</v>
      </c>
      <c r="C8120" t="s">
        <v>212</v>
      </c>
      <c r="D8120" t="s">
        <v>74</v>
      </c>
      <c r="E8120" t="s">
        <v>78</v>
      </c>
      <c r="F8120" s="55">
        <v>66</v>
      </c>
      <c r="G8120" s="63">
        <v>2.2100000000000002E-2</v>
      </c>
    </row>
    <row r="8121" spans="1:7" x14ac:dyDescent="0.2">
      <c r="A8121" t="s">
        <v>71</v>
      </c>
      <c r="B8121" t="s">
        <v>189</v>
      </c>
      <c r="C8121" t="s">
        <v>212</v>
      </c>
      <c r="D8121" t="s">
        <v>74</v>
      </c>
      <c r="E8121" t="s">
        <v>79</v>
      </c>
      <c r="F8121" s="55">
        <v>66</v>
      </c>
      <c r="G8121" s="63">
        <v>5.7599999999999998E-2</v>
      </c>
    </row>
    <row r="8122" spans="1:7" x14ac:dyDescent="0.2">
      <c r="A8122" t="s">
        <v>71</v>
      </c>
      <c r="B8122" t="s">
        <v>189</v>
      </c>
      <c r="C8122" t="s">
        <v>212</v>
      </c>
      <c r="D8122" t="s">
        <v>74</v>
      </c>
      <c r="E8122" t="s">
        <v>80</v>
      </c>
      <c r="F8122" s="55">
        <v>64</v>
      </c>
      <c r="G8122" s="63">
        <v>1.8200000000000001E-2</v>
      </c>
    </row>
    <row r="8123" spans="1:7" x14ac:dyDescent="0.2">
      <c r="A8123" t="s">
        <v>71</v>
      </c>
      <c r="B8123" t="s">
        <v>189</v>
      </c>
      <c r="C8123" t="s">
        <v>212</v>
      </c>
      <c r="D8123" t="s">
        <v>74</v>
      </c>
      <c r="E8123" t="s">
        <v>81</v>
      </c>
      <c r="F8123" s="55">
        <v>64</v>
      </c>
      <c r="G8123" s="63">
        <v>1.8800000000000001E-2</v>
      </c>
    </row>
    <row r="8124" spans="1:7" x14ac:dyDescent="0.2">
      <c r="A8124" t="s">
        <v>71</v>
      </c>
      <c r="B8124" t="s">
        <v>189</v>
      </c>
      <c r="C8124" t="s">
        <v>212</v>
      </c>
      <c r="D8124" t="s">
        <v>74</v>
      </c>
      <c r="E8124" t="s">
        <v>82</v>
      </c>
      <c r="F8124" s="55">
        <v>69</v>
      </c>
      <c r="G8124" s="63">
        <v>4.2299999999999997E-2</v>
      </c>
    </row>
    <row r="8125" spans="1:7" x14ac:dyDescent="0.2">
      <c r="A8125" t="s">
        <v>71</v>
      </c>
      <c r="B8125" t="s">
        <v>189</v>
      </c>
      <c r="C8125" t="s">
        <v>212</v>
      </c>
      <c r="D8125" t="s">
        <v>74</v>
      </c>
      <c r="E8125" t="s">
        <v>83</v>
      </c>
      <c r="F8125" s="55">
        <v>60</v>
      </c>
      <c r="G8125" s="63">
        <v>8.0000000000000002E-3</v>
      </c>
    </row>
    <row r="8126" spans="1:7" x14ac:dyDescent="0.2">
      <c r="A8126" t="s">
        <v>71</v>
      </c>
      <c r="B8126" t="s">
        <v>189</v>
      </c>
      <c r="C8126" t="s">
        <v>212</v>
      </c>
      <c r="D8126" t="s">
        <v>74</v>
      </c>
      <c r="E8126" t="s">
        <v>84</v>
      </c>
      <c r="F8126" s="55">
        <v>65</v>
      </c>
      <c r="G8126" s="63">
        <v>1.5900000000000001E-2</v>
      </c>
    </row>
    <row r="8127" spans="1:7" x14ac:dyDescent="0.2">
      <c r="A8127" t="s">
        <v>71</v>
      </c>
      <c r="B8127" t="s">
        <v>189</v>
      </c>
      <c r="C8127" t="s">
        <v>212</v>
      </c>
      <c r="D8127" t="s">
        <v>74</v>
      </c>
      <c r="E8127" t="s">
        <v>85</v>
      </c>
      <c r="F8127" s="55">
        <v>66</v>
      </c>
      <c r="G8127" s="63">
        <v>1.7999999999999999E-2</v>
      </c>
    </row>
    <row r="8128" spans="1:7" x14ac:dyDescent="0.2">
      <c r="A8128" t="s">
        <v>71</v>
      </c>
      <c r="B8128" t="s">
        <v>189</v>
      </c>
      <c r="C8128" t="s">
        <v>212</v>
      </c>
      <c r="D8128" t="s">
        <v>74</v>
      </c>
      <c r="E8128" t="s">
        <v>86</v>
      </c>
      <c r="F8128" s="55">
        <v>64</v>
      </c>
      <c r="G8128" s="63">
        <v>2.2200000000000001E-2</v>
      </c>
    </row>
    <row r="8129" spans="1:7" x14ac:dyDescent="0.2">
      <c r="A8129" t="s">
        <v>71</v>
      </c>
      <c r="B8129" t="s">
        <v>189</v>
      </c>
      <c r="C8129" t="s">
        <v>212</v>
      </c>
      <c r="D8129" t="s">
        <v>74</v>
      </c>
      <c r="E8129" t="s">
        <v>87</v>
      </c>
      <c r="F8129" s="55">
        <v>64</v>
      </c>
      <c r="G8129" s="63">
        <v>2.5899999999999999E-2</v>
      </c>
    </row>
    <row r="8130" spans="1:7" x14ac:dyDescent="0.2">
      <c r="A8130" t="s">
        <v>71</v>
      </c>
      <c r="B8130" t="s">
        <v>189</v>
      </c>
      <c r="C8130" t="s">
        <v>212</v>
      </c>
      <c r="D8130" t="s">
        <v>74</v>
      </c>
      <c r="E8130" t="s">
        <v>88</v>
      </c>
      <c r="F8130" s="55">
        <v>67</v>
      </c>
      <c r="G8130" s="63">
        <v>1.8200000000000001E-2</v>
      </c>
    </row>
    <row r="8131" spans="1:7" x14ac:dyDescent="0.2">
      <c r="A8131" t="s">
        <v>89</v>
      </c>
      <c r="B8131" t="s">
        <v>190</v>
      </c>
      <c r="C8131" t="s">
        <v>212</v>
      </c>
      <c r="D8131" t="s">
        <v>74</v>
      </c>
      <c r="E8131" t="s">
        <v>75</v>
      </c>
      <c r="F8131" s="55">
        <v>38</v>
      </c>
      <c r="G8131" s="63">
        <v>0.2006</v>
      </c>
    </row>
    <row r="8132" spans="1:7" x14ac:dyDescent="0.2">
      <c r="A8132" t="s">
        <v>89</v>
      </c>
      <c r="B8132" t="s">
        <v>190</v>
      </c>
      <c r="C8132" t="s">
        <v>212</v>
      </c>
      <c r="D8132" t="s">
        <v>74</v>
      </c>
      <c r="E8132" t="s">
        <v>76</v>
      </c>
      <c r="F8132" s="55">
        <v>43</v>
      </c>
      <c r="G8132" s="63">
        <v>1.6799999999999999E-2</v>
      </c>
    </row>
    <row r="8133" spans="1:7" x14ac:dyDescent="0.2">
      <c r="A8133" t="s">
        <v>89</v>
      </c>
      <c r="B8133" t="s">
        <v>190</v>
      </c>
      <c r="C8133" t="s">
        <v>212</v>
      </c>
      <c r="D8133" t="s">
        <v>74</v>
      </c>
      <c r="E8133" t="s">
        <v>77</v>
      </c>
      <c r="F8133" s="55">
        <v>42</v>
      </c>
      <c r="G8133" s="63">
        <v>5.3100000000000001E-2</v>
      </c>
    </row>
    <row r="8134" spans="1:7" x14ac:dyDescent="0.2">
      <c r="A8134" t="s">
        <v>89</v>
      </c>
      <c r="B8134" t="s">
        <v>190</v>
      </c>
      <c r="C8134" t="s">
        <v>212</v>
      </c>
      <c r="D8134" t="s">
        <v>74</v>
      </c>
      <c r="E8134" t="s">
        <v>78</v>
      </c>
      <c r="F8134" s="55">
        <v>43</v>
      </c>
      <c r="G8134" s="63">
        <v>4.0800000000000003E-2</v>
      </c>
    </row>
    <row r="8135" spans="1:7" x14ac:dyDescent="0.2">
      <c r="A8135" t="s">
        <v>89</v>
      </c>
      <c r="B8135" t="s">
        <v>190</v>
      </c>
      <c r="C8135" t="s">
        <v>212</v>
      </c>
      <c r="D8135" t="s">
        <v>74</v>
      </c>
      <c r="E8135" t="s">
        <v>79</v>
      </c>
      <c r="F8135" s="55">
        <v>36</v>
      </c>
      <c r="G8135" s="63">
        <v>0.113</v>
      </c>
    </row>
    <row r="8136" spans="1:7" x14ac:dyDescent="0.2">
      <c r="A8136" t="s">
        <v>89</v>
      </c>
      <c r="B8136" t="s">
        <v>190</v>
      </c>
      <c r="C8136" t="s">
        <v>212</v>
      </c>
      <c r="D8136" t="s">
        <v>74</v>
      </c>
      <c r="E8136" t="s">
        <v>80</v>
      </c>
      <c r="F8136" s="55">
        <v>38</v>
      </c>
      <c r="G8136" s="63">
        <v>2.3900000000000001E-2</v>
      </c>
    </row>
    <row r="8137" spans="1:7" x14ac:dyDescent="0.2">
      <c r="A8137" t="s">
        <v>89</v>
      </c>
      <c r="B8137" t="s">
        <v>190</v>
      </c>
      <c r="C8137" t="s">
        <v>212</v>
      </c>
      <c r="D8137" t="s">
        <v>74</v>
      </c>
      <c r="E8137" t="s">
        <v>81</v>
      </c>
      <c r="F8137" s="55">
        <v>44</v>
      </c>
      <c r="G8137" s="63">
        <v>2.7699999999999999E-2</v>
      </c>
    </row>
    <row r="8138" spans="1:7" x14ac:dyDescent="0.2">
      <c r="A8138" t="s">
        <v>89</v>
      </c>
      <c r="B8138" t="s">
        <v>190</v>
      </c>
      <c r="C8138" t="s">
        <v>212</v>
      </c>
      <c r="D8138" t="s">
        <v>74</v>
      </c>
      <c r="E8138" t="s">
        <v>82</v>
      </c>
      <c r="F8138" s="55">
        <v>37</v>
      </c>
      <c r="G8138" s="63">
        <v>9.2799999999999994E-2</v>
      </c>
    </row>
    <row r="8139" spans="1:7" x14ac:dyDescent="0.2">
      <c r="A8139" t="s">
        <v>89</v>
      </c>
      <c r="B8139" t="s">
        <v>190</v>
      </c>
      <c r="C8139" t="s">
        <v>212</v>
      </c>
      <c r="D8139" t="s">
        <v>74</v>
      </c>
      <c r="E8139" t="s">
        <v>83</v>
      </c>
      <c r="F8139" s="55">
        <v>50</v>
      </c>
      <c r="G8139" s="63">
        <v>1.0999999999999999E-2</v>
      </c>
    </row>
    <row r="8140" spans="1:7" x14ac:dyDescent="0.2">
      <c r="A8140" t="s">
        <v>89</v>
      </c>
      <c r="B8140" t="s">
        <v>190</v>
      </c>
      <c r="C8140" t="s">
        <v>212</v>
      </c>
      <c r="D8140" t="s">
        <v>74</v>
      </c>
      <c r="E8140" t="s">
        <v>84</v>
      </c>
      <c r="F8140" s="55">
        <v>44</v>
      </c>
      <c r="G8140" s="63">
        <v>3.0499999999999999E-2</v>
      </c>
    </row>
    <row r="8141" spans="1:7" x14ac:dyDescent="0.2">
      <c r="A8141" t="s">
        <v>89</v>
      </c>
      <c r="B8141" t="s">
        <v>190</v>
      </c>
      <c r="C8141" t="s">
        <v>212</v>
      </c>
      <c r="D8141" t="s">
        <v>74</v>
      </c>
      <c r="E8141" t="s">
        <v>85</v>
      </c>
      <c r="F8141" s="55">
        <v>37</v>
      </c>
      <c r="G8141" s="63">
        <v>2.3099999999999999E-2</v>
      </c>
    </row>
    <row r="8142" spans="1:7" x14ac:dyDescent="0.2">
      <c r="A8142" t="s">
        <v>89</v>
      </c>
      <c r="B8142" t="s">
        <v>190</v>
      </c>
      <c r="C8142" t="s">
        <v>212</v>
      </c>
      <c r="D8142" t="s">
        <v>74</v>
      </c>
      <c r="E8142" t="s">
        <v>86</v>
      </c>
      <c r="F8142" s="55">
        <v>35</v>
      </c>
      <c r="G8142" s="63">
        <v>3.3700000000000001E-2</v>
      </c>
    </row>
    <row r="8143" spans="1:7" x14ac:dyDescent="0.2">
      <c r="A8143" t="s">
        <v>89</v>
      </c>
      <c r="B8143" t="s">
        <v>190</v>
      </c>
      <c r="C8143" t="s">
        <v>212</v>
      </c>
      <c r="D8143" t="s">
        <v>74</v>
      </c>
      <c r="E8143" t="s">
        <v>87</v>
      </c>
      <c r="F8143" s="55">
        <v>36</v>
      </c>
      <c r="G8143" s="63">
        <v>4.24E-2</v>
      </c>
    </row>
    <row r="8144" spans="1:7" x14ac:dyDescent="0.2">
      <c r="A8144" t="s">
        <v>89</v>
      </c>
      <c r="B8144" t="s">
        <v>190</v>
      </c>
      <c r="C8144" t="s">
        <v>212</v>
      </c>
      <c r="D8144" t="s">
        <v>74</v>
      </c>
      <c r="E8144" t="s">
        <v>88</v>
      </c>
      <c r="F8144" s="55">
        <v>49</v>
      </c>
      <c r="G8144" s="63">
        <v>2.8000000000000001E-2</v>
      </c>
    </row>
    <row r="8145" spans="1:7" x14ac:dyDescent="0.2">
      <c r="A8145" t="s">
        <v>89</v>
      </c>
      <c r="B8145" t="s">
        <v>191</v>
      </c>
      <c r="C8145" t="s">
        <v>212</v>
      </c>
      <c r="D8145" t="s">
        <v>91</v>
      </c>
      <c r="E8145" t="s">
        <v>75</v>
      </c>
      <c r="F8145" s="55">
        <v>36</v>
      </c>
      <c r="G8145" s="63">
        <v>0.28199999999999997</v>
      </c>
    </row>
    <row r="8146" spans="1:7" x14ac:dyDescent="0.2">
      <c r="A8146" t="s">
        <v>89</v>
      </c>
      <c r="B8146" t="s">
        <v>191</v>
      </c>
      <c r="C8146" t="s">
        <v>212</v>
      </c>
      <c r="D8146" t="s">
        <v>91</v>
      </c>
      <c r="E8146" t="s">
        <v>76</v>
      </c>
      <c r="F8146" s="55">
        <v>34</v>
      </c>
      <c r="G8146" s="63">
        <v>4.4900000000000002E-2</v>
      </c>
    </row>
    <row r="8147" spans="1:7" x14ac:dyDescent="0.2">
      <c r="A8147" t="s">
        <v>89</v>
      </c>
      <c r="B8147" t="s">
        <v>191</v>
      </c>
      <c r="C8147" t="s">
        <v>212</v>
      </c>
      <c r="D8147" t="s">
        <v>91</v>
      </c>
      <c r="E8147" t="s">
        <v>77</v>
      </c>
      <c r="F8147" s="55">
        <v>36</v>
      </c>
      <c r="G8147" s="63">
        <v>9.3299999999999994E-2</v>
      </c>
    </row>
    <row r="8148" spans="1:7" x14ac:dyDescent="0.2">
      <c r="A8148" t="s">
        <v>89</v>
      </c>
      <c r="B8148" t="s">
        <v>191</v>
      </c>
      <c r="C8148" t="s">
        <v>212</v>
      </c>
      <c r="D8148" t="s">
        <v>91</v>
      </c>
      <c r="E8148" t="s">
        <v>78</v>
      </c>
      <c r="F8148" s="55">
        <v>35</v>
      </c>
      <c r="G8148" s="63">
        <v>7.7200000000000005E-2</v>
      </c>
    </row>
    <row r="8149" spans="1:7" x14ac:dyDescent="0.2">
      <c r="A8149" t="s">
        <v>89</v>
      </c>
      <c r="B8149" t="s">
        <v>191</v>
      </c>
      <c r="C8149" t="s">
        <v>212</v>
      </c>
      <c r="D8149" t="s">
        <v>91</v>
      </c>
      <c r="E8149" t="s">
        <v>79</v>
      </c>
      <c r="F8149" s="55">
        <v>35</v>
      </c>
      <c r="G8149" s="63">
        <v>0.16070000000000001</v>
      </c>
    </row>
    <row r="8150" spans="1:7" x14ac:dyDescent="0.2">
      <c r="A8150" t="s">
        <v>89</v>
      </c>
      <c r="B8150" t="s">
        <v>191</v>
      </c>
      <c r="C8150" t="s">
        <v>212</v>
      </c>
      <c r="D8150" t="s">
        <v>91</v>
      </c>
      <c r="E8150" t="s">
        <v>80</v>
      </c>
      <c r="F8150" s="55">
        <v>37</v>
      </c>
      <c r="G8150" s="63">
        <v>4.5900000000000003E-2</v>
      </c>
    </row>
    <row r="8151" spans="1:7" x14ac:dyDescent="0.2">
      <c r="A8151" t="s">
        <v>89</v>
      </c>
      <c r="B8151" t="s">
        <v>191</v>
      </c>
      <c r="C8151" t="s">
        <v>212</v>
      </c>
      <c r="D8151" t="s">
        <v>91</v>
      </c>
      <c r="E8151" t="s">
        <v>81</v>
      </c>
      <c r="F8151" s="55">
        <v>37</v>
      </c>
      <c r="G8151" s="63">
        <v>5.7200000000000001E-2</v>
      </c>
    </row>
    <row r="8152" spans="1:7" x14ac:dyDescent="0.2">
      <c r="A8152" t="s">
        <v>89</v>
      </c>
      <c r="B8152" t="s">
        <v>191</v>
      </c>
      <c r="C8152" t="s">
        <v>212</v>
      </c>
      <c r="D8152" t="s">
        <v>91</v>
      </c>
      <c r="E8152" t="s">
        <v>82</v>
      </c>
      <c r="F8152" s="55">
        <v>37</v>
      </c>
      <c r="G8152" s="63">
        <v>0.124</v>
      </c>
    </row>
    <row r="8153" spans="1:7" x14ac:dyDescent="0.2">
      <c r="A8153" t="s">
        <v>89</v>
      </c>
      <c r="B8153" t="s">
        <v>191</v>
      </c>
      <c r="C8153" t="s">
        <v>212</v>
      </c>
      <c r="D8153" t="s">
        <v>91</v>
      </c>
      <c r="E8153" t="s">
        <v>83</v>
      </c>
      <c r="F8153" s="55">
        <v>35</v>
      </c>
      <c r="G8153" s="63">
        <v>3.27E-2</v>
      </c>
    </row>
    <row r="8154" spans="1:7" x14ac:dyDescent="0.2">
      <c r="A8154" t="s">
        <v>89</v>
      </c>
      <c r="B8154" t="s">
        <v>191</v>
      </c>
      <c r="C8154" t="s">
        <v>212</v>
      </c>
      <c r="D8154" t="s">
        <v>91</v>
      </c>
      <c r="E8154" t="s">
        <v>84</v>
      </c>
      <c r="F8154" s="55">
        <v>36</v>
      </c>
      <c r="G8154" s="63">
        <v>5.8900000000000001E-2</v>
      </c>
    </row>
    <row r="8155" spans="1:7" x14ac:dyDescent="0.2">
      <c r="A8155" t="s">
        <v>89</v>
      </c>
      <c r="B8155" t="s">
        <v>191</v>
      </c>
      <c r="C8155" t="s">
        <v>212</v>
      </c>
      <c r="D8155" t="s">
        <v>91</v>
      </c>
      <c r="E8155" t="s">
        <v>85</v>
      </c>
      <c r="F8155" s="55">
        <v>35</v>
      </c>
      <c r="G8155" s="63">
        <v>4.48E-2</v>
      </c>
    </row>
    <row r="8156" spans="1:7" x14ac:dyDescent="0.2">
      <c r="A8156" t="s">
        <v>89</v>
      </c>
      <c r="B8156" t="s">
        <v>191</v>
      </c>
      <c r="C8156" t="s">
        <v>212</v>
      </c>
      <c r="D8156" t="s">
        <v>91</v>
      </c>
      <c r="E8156" t="s">
        <v>86</v>
      </c>
      <c r="F8156" s="55">
        <v>36</v>
      </c>
      <c r="G8156" s="63">
        <v>5.6300000000000003E-2</v>
      </c>
    </row>
    <row r="8157" spans="1:7" x14ac:dyDescent="0.2">
      <c r="A8157" t="s">
        <v>89</v>
      </c>
      <c r="B8157" t="s">
        <v>191</v>
      </c>
      <c r="C8157" t="s">
        <v>212</v>
      </c>
      <c r="D8157" t="s">
        <v>91</v>
      </c>
      <c r="E8157" t="s">
        <v>87</v>
      </c>
      <c r="F8157" s="55">
        <v>36</v>
      </c>
      <c r="G8157" s="63">
        <v>6.3600000000000004E-2</v>
      </c>
    </row>
    <row r="8158" spans="1:7" x14ac:dyDescent="0.2">
      <c r="A8158" t="s">
        <v>89</v>
      </c>
      <c r="B8158" t="s">
        <v>191</v>
      </c>
      <c r="C8158" t="s">
        <v>212</v>
      </c>
      <c r="D8158" t="s">
        <v>91</v>
      </c>
      <c r="E8158" t="s">
        <v>88</v>
      </c>
      <c r="F8158" s="55">
        <v>34</v>
      </c>
      <c r="G8158" s="63">
        <v>6.5199999999999994E-2</v>
      </c>
    </row>
    <row r="8159" spans="1:7" x14ac:dyDescent="0.2">
      <c r="A8159" t="s">
        <v>89</v>
      </c>
      <c r="B8159" t="s">
        <v>192</v>
      </c>
      <c r="C8159" t="s">
        <v>212</v>
      </c>
      <c r="D8159" t="s">
        <v>74</v>
      </c>
      <c r="E8159" t="s">
        <v>75</v>
      </c>
      <c r="F8159" s="55">
        <v>118</v>
      </c>
      <c r="G8159" s="63">
        <v>6.7900000000000002E-2</v>
      </c>
    </row>
    <row r="8160" spans="1:7" x14ac:dyDescent="0.2">
      <c r="A8160" t="s">
        <v>89</v>
      </c>
      <c r="B8160" t="s">
        <v>192</v>
      </c>
      <c r="C8160" t="s">
        <v>212</v>
      </c>
      <c r="D8160" t="s">
        <v>74</v>
      </c>
      <c r="E8160" t="s">
        <v>76</v>
      </c>
      <c r="F8160" s="55">
        <v>120</v>
      </c>
      <c r="G8160" s="63">
        <v>7.0000000000000001E-3</v>
      </c>
    </row>
    <row r="8161" spans="1:7" x14ac:dyDescent="0.2">
      <c r="A8161" t="s">
        <v>89</v>
      </c>
      <c r="B8161" t="s">
        <v>192</v>
      </c>
      <c r="C8161" t="s">
        <v>212</v>
      </c>
      <c r="D8161" t="s">
        <v>74</v>
      </c>
      <c r="E8161" t="s">
        <v>77</v>
      </c>
      <c r="F8161" s="55">
        <v>125</v>
      </c>
      <c r="G8161" s="63">
        <v>2.5700000000000001E-2</v>
      </c>
    </row>
    <row r="8162" spans="1:7" x14ac:dyDescent="0.2">
      <c r="A8162" t="s">
        <v>89</v>
      </c>
      <c r="B8162" t="s">
        <v>192</v>
      </c>
      <c r="C8162" t="s">
        <v>212</v>
      </c>
      <c r="D8162" t="s">
        <v>74</v>
      </c>
      <c r="E8162" t="s">
        <v>78</v>
      </c>
      <c r="F8162" s="55">
        <v>126</v>
      </c>
      <c r="G8162" s="63">
        <v>2.0199999999999999E-2</v>
      </c>
    </row>
    <row r="8163" spans="1:7" x14ac:dyDescent="0.2">
      <c r="A8163" t="s">
        <v>89</v>
      </c>
      <c r="B8163" t="s">
        <v>192</v>
      </c>
      <c r="C8163" t="s">
        <v>212</v>
      </c>
      <c r="D8163" t="s">
        <v>74</v>
      </c>
      <c r="E8163" t="s">
        <v>79</v>
      </c>
      <c r="F8163" s="55">
        <v>117</v>
      </c>
      <c r="G8163" s="63">
        <v>4.0500000000000001E-2</v>
      </c>
    </row>
    <row r="8164" spans="1:7" x14ac:dyDescent="0.2">
      <c r="A8164" t="s">
        <v>89</v>
      </c>
      <c r="B8164" t="s">
        <v>192</v>
      </c>
      <c r="C8164" t="s">
        <v>212</v>
      </c>
      <c r="D8164" t="s">
        <v>74</v>
      </c>
      <c r="E8164" t="s">
        <v>80</v>
      </c>
      <c r="F8164" s="55">
        <v>114</v>
      </c>
      <c r="G8164" s="63">
        <v>1.5299999999999999E-2</v>
      </c>
    </row>
    <row r="8165" spans="1:7" x14ac:dyDescent="0.2">
      <c r="A8165" t="s">
        <v>89</v>
      </c>
      <c r="B8165" t="s">
        <v>192</v>
      </c>
      <c r="C8165" t="s">
        <v>212</v>
      </c>
      <c r="D8165" t="s">
        <v>74</v>
      </c>
      <c r="E8165" t="s">
        <v>81</v>
      </c>
      <c r="F8165" s="55">
        <v>117</v>
      </c>
      <c r="G8165" s="63">
        <v>1.55E-2</v>
      </c>
    </row>
    <row r="8166" spans="1:7" x14ac:dyDescent="0.2">
      <c r="A8166" t="s">
        <v>89</v>
      </c>
      <c r="B8166" t="s">
        <v>192</v>
      </c>
      <c r="C8166" t="s">
        <v>212</v>
      </c>
      <c r="D8166" t="s">
        <v>74</v>
      </c>
      <c r="E8166" t="s">
        <v>82</v>
      </c>
      <c r="F8166" s="55">
        <v>116</v>
      </c>
      <c r="G8166" s="63">
        <v>0.03</v>
      </c>
    </row>
    <row r="8167" spans="1:7" x14ac:dyDescent="0.2">
      <c r="A8167" t="s">
        <v>89</v>
      </c>
      <c r="B8167" t="s">
        <v>192</v>
      </c>
      <c r="C8167" t="s">
        <v>212</v>
      </c>
      <c r="D8167" t="s">
        <v>74</v>
      </c>
      <c r="E8167" t="s">
        <v>83</v>
      </c>
      <c r="F8167" s="55">
        <v>123</v>
      </c>
      <c r="G8167" s="63">
        <v>5.7000000000000002E-3</v>
      </c>
    </row>
    <row r="8168" spans="1:7" x14ac:dyDescent="0.2">
      <c r="A8168" t="s">
        <v>89</v>
      </c>
      <c r="B8168" t="s">
        <v>192</v>
      </c>
      <c r="C8168" t="s">
        <v>212</v>
      </c>
      <c r="D8168" t="s">
        <v>74</v>
      </c>
      <c r="E8168" t="s">
        <v>84</v>
      </c>
      <c r="F8168" s="55">
        <v>129</v>
      </c>
      <c r="G8168" s="63">
        <v>1.61E-2</v>
      </c>
    </row>
    <row r="8169" spans="1:7" x14ac:dyDescent="0.2">
      <c r="A8169" t="s">
        <v>89</v>
      </c>
      <c r="B8169" t="s">
        <v>192</v>
      </c>
      <c r="C8169" t="s">
        <v>212</v>
      </c>
      <c r="D8169" t="s">
        <v>74</v>
      </c>
      <c r="E8169" t="s">
        <v>85</v>
      </c>
      <c r="F8169" s="55">
        <v>115</v>
      </c>
      <c r="G8169" s="63">
        <v>1.5800000000000002E-2</v>
      </c>
    </row>
    <row r="8170" spans="1:7" x14ac:dyDescent="0.2">
      <c r="A8170" t="s">
        <v>89</v>
      </c>
      <c r="B8170" t="s">
        <v>192</v>
      </c>
      <c r="C8170" t="s">
        <v>212</v>
      </c>
      <c r="D8170" t="s">
        <v>74</v>
      </c>
      <c r="E8170" t="s">
        <v>86</v>
      </c>
      <c r="F8170" s="55">
        <v>115</v>
      </c>
      <c r="G8170" s="63">
        <v>1.7299999999999999E-2</v>
      </c>
    </row>
    <row r="8171" spans="1:7" x14ac:dyDescent="0.2">
      <c r="A8171" t="s">
        <v>89</v>
      </c>
      <c r="B8171" t="s">
        <v>192</v>
      </c>
      <c r="C8171" t="s">
        <v>212</v>
      </c>
      <c r="D8171" t="s">
        <v>74</v>
      </c>
      <c r="E8171" t="s">
        <v>87</v>
      </c>
      <c r="F8171" s="55">
        <v>115</v>
      </c>
      <c r="G8171" s="63">
        <v>1.9199999999999998E-2</v>
      </c>
    </row>
    <row r="8172" spans="1:7" x14ac:dyDescent="0.2">
      <c r="A8172" t="s">
        <v>89</v>
      </c>
      <c r="B8172" t="s">
        <v>192</v>
      </c>
      <c r="C8172" t="s">
        <v>212</v>
      </c>
      <c r="D8172" t="s">
        <v>74</v>
      </c>
      <c r="E8172" t="s">
        <v>88</v>
      </c>
      <c r="F8172" s="55">
        <v>120</v>
      </c>
      <c r="G8172" s="63">
        <v>1.23E-2</v>
      </c>
    </row>
    <row r="8173" spans="1:7" x14ac:dyDescent="0.2">
      <c r="A8173" t="s">
        <v>71</v>
      </c>
      <c r="B8173" t="s">
        <v>20</v>
      </c>
      <c r="C8173" t="s">
        <v>212</v>
      </c>
      <c r="D8173" t="s">
        <v>74</v>
      </c>
      <c r="E8173" t="s">
        <v>75</v>
      </c>
      <c r="F8173" s="55">
        <v>110</v>
      </c>
      <c r="G8173" s="63">
        <v>0.56179999999999997</v>
      </c>
    </row>
    <row r="8174" spans="1:7" x14ac:dyDescent="0.2">
      <c r="A8174" t="s">
        <v>71</v>
      </c>
      <c r="B8174" t="s">
        <v>20</v>
      </c>
      <c r="C8174" t="s">
        <v>212</v>
      </c>
      <c r="D8174" t="s">
        <v>74</v>
      </c>
      <c r="E8174" t="s">
        <v>76</v>
      </c>
      <c r="F8174" s="55">
        <v>109</v>
      </c>
      <c r="G8174" s="63">
        <v>0.14549999999999999</v>
      </c>
    </row>
    <row r="8175" spans="1:7" x14ac:dyDescent="0.2">
      <c r="A8175" t="s">
        <v>71</v>
      </c>
      <c r="B8175" t="s">
        <v>20</v>
      </c>
      <c r="C8175" t="s">
        <v>212</v>
      </c>
      <c r="D8175" t="s">
        <v>74</v>
      </c>
      <c r="E8175" t="s">
        <v>77</v>
      </c>
      <c r="F8175" s="55">
        <v>115</v>
      </c>
      <c r="G8175" s="63">
        <v>0.31540000000000001</v>
      </c>
    </row>
    <row r="8176" spans="1:7" x14ac:dyDescent="0.2">
      <c r="A8176" t="s">
        <v>71</v>
      </c>
      <c r="B8176" t="s">
        <v>20</v>
      </c>
      <c r="C8176" t="s">
        <v>212</v>
      </c>
      <c r="D8176" t="s">
        <v>74</v>
      </c>
      <c r="E8176" t="s">
        <v>78</v>
      </c>
      <c r="F8176" s="55">
        <v>112</v>
      </c>
      <c r="G8176" s="63">
        <v>0.30270000000000002</v>
      </c>
    </row>
    <row r="8177" spans="1:7" x14ac:dyDescent="0.2">
      <c r="A8177" t="s">
        <v>71</v>
      </c>
      <c r="B8177" t="s">
        <v>20</v>
      </c>
      <c r="C8177" t="s">
        <v>212</v>
      </c>
      <c r="D8177" t="s">
        <v>74</v>
      </c>
      <c r="E8177" t="s">
        <v>79</v>
      </c>
      <c r="F8177" s="55">
        <v>108</v>
      </c>
      <c r="G8177" s="63">
        <v>0.436</v>
      </c>
    </row>
    <row r="8178" spans="1:7" x14ac:dyDescent="0.2">
      <c r="A8178" t="s">
        <v>71</v>
      </c>
      <c r="B8178" t="s">
        <v>20</v>
      </c>
      <c r="C8178" t="s">
        <v>212</v>
      </c>
      <c r="D8178" t="s">
        <v>74</v>
      </c>
      <c r="E8178" t="s">
        <v>80</v>
      </c>
      <c r="F8178" s="55">
        <v>101</v>
      </c>
      <c r="G8178" s="63">
        <v>0.15029999999999999</v>
      </c>
    </row>
    <row r="8179" spans="1:7" x14ac:dyDescent="0.2">
      <c r="A8179" t="s">
        <v>71</v>
      </c>
      <c r="B8179" t="s">
        <v>20</v>
      </c>
      <c r="C8179" t="s">
        <v>212</v>
      </c>
      <c r="D8179" t="s">
        <v>74</v>
      </c>
      <c r="E8179" t="s">
        <v>81</v>
      </c>
      <c r="F8179" s="55">
        <v>102</v>
      </c>
      <c r="G8179" s="63">
        <v>0.15859999999999999</v>
      </c>
    </row>
    <row r="8180" spans="1:7" x14ac:dyDescent="0.2">
      <c r="A8180" t="s">
        <v>71</v>
      </c>
      <c r="B8180" t="s">
        <v>20</v>
      </c>
      <c r="C8180" t="s">
        <v>212</v>
      </c>
      <c r="D8180" t="s">
        <v>74</v>
      </c>
      <c r="E8180" t="s">
        <v>82</v>
      </c>
      <c r="F8180" s="55">
        <v>110</v>
      </c>
      <c r="G8180" s="63">
        <v>0.4012</v>
      </c>
    </row>
    <row r="8181" spans="1:7" x14ac:dyDescent="0.2">
      <c r="A8181" t="s">
        <v>71</v>
      </c>
      <c r="B8181" t="s">
        <v>20</v>
      </c>
      <c r="C8181" t="s">
        <v>212</v>
      </c>
      <c r="D8181" t="s">
        <v>74</v>
      </c>
      <c r="E8181" t="s">
        <v>83</v>
      </c>
      <c r="F8181" s="55">
        <v>106</v>
      </c>
      <c r="G8181" s="63">
        <v>9.5799999999999996E-2</v>
      </c>
    </row>
    <row r="8182" spans="1:7" x14ac:dyDescent="0.2">
      <c r="A8182" t="s">
        <v>71</v>
      </c>
      <c r="B8182" t="s">
        <v>20</v>
      </c>
      <c r="C8182" t="s">
        <v>212</v>
      </c>
      <c r="D8182" t="s">
        <v>74</v>
      </c>
      <c r="E8182" t="s">
        <v>84</v>
      </c>
      <c r="F8182" s="55">
        <v>113</v>
      </c>
      <c r="G8182" s="63">
        <v>0.2591</v>
      </c>
    </row>
    <row r="8183" spans="1:7" x14ac:dyDescent="0.2">
      <c r="A8183" t="s">
        <v>71</v>
      </c>
      <c r="B8183" t="s">
        <v>20</v>
      </c>
      <c r="C8183" t="s">
        <v>212</v>
      </c>
      <c r="D8183" t="s">
        <v>74</v>
      </c>
      <c r="E8183" t="s">
        <v>85</v>
      </c>
      <c r="F8183" s="55">
        <v>104</v>
      </c>
      <c r="G8183" s="63">
        <v>0.18590000000000001</v>
      </c>
    </row>
    <row r="8184" spans="1:7" x14ac:dyDescent="0.2">
      <c r="A8184" t="s">
        <v>71</v>
      </c>
      <c r="B8184" t="s">
        <v>20</v>
      </c>
      <c r="C8184" t="s">
        <v>212</v>
      </c>
      <c r="D8184" t="s">
        <v>74</v>
      </c>
      <c r="E8184" t="s">
        <v>86</v>
      </c>
      <c r="F8184" s="55">
        <v>106</v>
      </c>
      <c r="G8184" s="63">
        <v>0.23630000000000001</v>
      </c>
    </row>
    <row r="8185" spans="1:7" x14ac:dyDescent="0.2">
      <c r="A8185" t="s">
        <v>71</v>
      </c>
      <c r="B8185" t="s">
        <v>20</v>
      </c>
      <c r="C8185" t="s">
        <v>212</v>
      </c>
      <c r="D8185" t="s">
        <v>74</v>
      </c>
      <c r="E8185" t="s">
        <v>87</v>
      </c>
      <c r="F8185" s="55">
        <v>107</v>
      </c>
      <c r="G8185" s="63">
        <v>0.27500000000000002</v>
      </c>
    </row>
    <row r="8186" spans="1:7" x14ac:dyDescent="0.2">
      <c r="A8186" t="s">
        <v>71</v>
      </c>
      <c r="B8186" t="s">
        <v>20</v>
      </c>
      <c r="C8186" t="s">
        <v>212</v>
      </c>
      <c r="D8186" t="s">
        <v>74</v>
      </c>
      <c r="E8186" t="s">
        <v>88</v>
      </c>
      <c r="F8186" s="55">
        <v>107</v>
      </c>
      <c r="G8186" s="63">
        <v>0.2069</v>
      </c>
    </row>
    <row r="8187" spans="1:7" x14ac:dyDescent="0.2">
      <c r="A8187" t="s">
        <v>71</v>
      </c>
      <c r="B8187" t="s">
        <v>193</v>
      </c>
      <c r="C8187" t="s">
        <v>212</v>
      </c>
      <c r="D8187" t="s">
        <v>74</v>
      </c>
      <c r="E8187" t="s">
        <v>75</v>
      </c>
      <c r="F8187" s="55">
        <v>73</v>
      </c>
      <c r="G8187" s="63">
        <v>0.2296</v>
      </c>
    </row>
    <row r="8188" spans="1:7" x14ac:dyDescent="0.2">
      <c r="A8188" t="s">
        <v>71</v>
      </c>
      <c r="B8188" t="s">
        <v>193</v>
      </c>
      <c r="C8188" t="s">
        <v>212</v>
      </c>
      <c r="D8188" t="s">
        <v>74</v>
      </c>
      <c r="E8188" t="s">
        <v>76</v>
      </c>
      <c r="F8188" s="55">
        <v>62</v>
      </c>
      <c r="G8188" s="63">
        <v>1.66E-2</v>
      </c>
    </row>
    <row r="8189" spans="1:7" x14ac:dyDescent="0.2">
      <c r="A8189" t="s">
        <v>71</v>
      </c>
      <c r="B8189" t="s">
        <v>193</v>
      </c>
      <c r="C8189" t="s">
        <v>212</v>
      </c>
      <c r="D8189" t="s">
        <v>74</v>
      </c>
      <c r="E8189" t="s">
        <v>77</v>
      </c>
      <c r="F8189" s="55">
        <v>67</v>
      </c>
      <c r="G8189" s="63">
        <v>5.6300000000000003E-2</v>
      </c>
    </row>
    <row r="8190" spans="1:7" x14ac:dyDescent="0.2">
      <c r="A8190" t="s">
        <v>71</v>
      </c>
      <c r="B8190" t="s">
        <v>193</v>
      </c>
      <c r="C8190" t="s">
        <v>212</v>
      </c>
      <c r="D8190" t="s">
        <v>74</v>
      </c>
      <c r="E8190" t="s">
        <v>78</v>
      </c>
      <c r="F8190" s="55">
        <v>68</v>
      </c>
      <c r="G8190" s="63">
        <v>4.4699999999999997E-2</v>
      </c>
    </row>
    <row r="8191" spans="1:7" x14ac:dyDescent="0.2">
      <c r="A8191" t="s">
        <v>71</v>
      </c>
      <c r="B8191" t="s">
        <v>193</v>
      </c>
      <c r="C8191" t="s">
        <v>212</v>
      </c>
      <c r="D8191" t="s">
        <v>74</v>
      </c>
      <c r="E8191" t="s">
        <v>79</v>
      </c>
      <c r="F8191" s="55">
        <v>80</v>
      </c>
      <c r="G8191" s="63">
        <v>0.16259999999999999</v>
      </c>
    </row>
    <row r="8192" spans="1:7" x14ac:dyDescent="0.2">
      <c r="A8192" t="s">
        <v>71</v>
      </c>
      <c r="B8192" t="s">
        <v>193</v>
      </c>
      <c r="C8192" t="s">
        <v>212</v>
      </c>
      <c r="D8192" t="s">
        <v>74</v>
      </c>
      <c r="E8192" t="s">
        <v>80</v>
      </c>
      <c r="F8192" s="55">
        <v>71</v>
      </c>
      <c r="G8192" s="63">
        <v>4.0399999999999998E-2</v>
      </c>
    </row>
    <row r="8193" spans="1:7" x14ac:dyDescent="0.2">
      <c r="A8193" t="s">
        <v>71</v>
      </c>
      <c r="B8193" t="s">
        <v>193</v>
      </c>
      <c r="C8193" t="s">
        <v>212</v>
      </c>
      <c r="D8193" t="s">
        <v>74</v>
      </c>
      <c r="E8193" t="s">
        <v>81</v>
      </c>
      <c r="F8193" s="55">
        <v>63</v>
      </c>
      <c r="G8193" s="63">
        <v>3.6900000000000002E-2</v>
      </c>
    </row>
    <row r="8194" spans="1:7" x14ac:dyDescent="0.2">
      <c r="A8194" t="s">
        <v>71</v>
      </c>
      <c r="B8194" t="s">
        <v>193</v>
      </c>
      <c r="C8194" t="s">
        <v>212</v>
      </c>
      <c r="D8194" t="s">
        <v>74</v>
      </c>
      <c r="E8194" t="s">
        <v>82</v>
      </c>
      <c r="F8194" s="55">
        <v>74</v>
      </c>
      <c r="G8194" s="63">
        <v>9.8400000000000001E-2</v>
      </c>
    </row>
    <row r="8195" spans="1:7" x14ac:dyDescent="0.2">
      <c r="A8195" t="s">
        <v>71</v>
      </c>
      <c r="B8195" t="s">
        <v>193</v>
      </c>
      <c r="C8195" t="s">
        <v>212</v>
      </c>
      <c r="D8195" t="s">
        <v>74</v>
      </c>
      <c r="E8195" t="s">
        <v>83</v>
      </c>
      <c r="F8195" s="55">
        <v>61</v>
      </c>
      <c r="G8195" s="63">
        <v>1.3599999999999999E-2</v>
      </c>
    </row>
    <row r="8196" spans="1:7" x14ac:dyDescent="0.2">
      <c r="A8196" t="s">
        <v>71</v>
      </c>
      <c r="B8196" t="s">
        <v>193</v>
      </c>
      <c r="C8196" t="s">
        <v>212</v>
      </c>
      <c r="D8196" t="s">
        <v>74</v>
      </c>
      <c r="E8196" t="s">
        <v>84</v>
      </c>
      <c r="F8196" s="55">
        <v>70</v>
      </c>
      <c r="G8196" s="63">
        <v>3.0800000000000001E-2</v>
      </c>
    </row>
    <row r="8197" spans="1:7" x14ac:dyDescent="0.2">
      <c r="A8197" t="s">
        <v>71</v>
      </c>
      <c r="B8197" t="s">
        <v>193</v>
      </c>
      <c r="C8197" t="s">
        <v>212</v>
      </c>
      <c r="D8197" t="s">
        <v>74</v>
      </c>
      <c r="E8197" t="s">
        <v>85</v>
      </c>
      <c r="F8197" s="55">
        <v>74</v>
      </c>
      <c r="G8197" s="63">
        <v>4.9200000000000001E-2</v>
      </c>
    </row>
    <row r="8198" spans="1:7" x14ac:dyDescent="0.2">
      <c r="A8198" t="s">
        <v>71</v>
      </c>
      <c r="B8198" t="s">
        <v>193</v>
      </c>
      <c r="C8198" t="s">
        <v>212</v>
      </c>
      <c r="D8198" t="s">
        <v>74</v>
      </c>
      <c r="E8198" t="s">
        <v>86</v>
      </c>
      <c r="F8198" s="55">
        <v>81</v>
      </c>
      <c r="G8198" s="63">
        <v>6.5199999999999994E-2</v>
      </c>
    </row>
    <row r="8199" spans="1:7" x14ac:dyDescent="0.2">
      <c r="A8199" t="s">
        <v>71</v>
      </c>
      <c r="B8199" t="s">
        <v>193</v>
      </c>
      <c r="C8199" t="s">
        <v>212</v>
      </c>
      <c r="D8199" t="s">
        <v>74</v>
      </c>
      <c r="E8199" t="s">
        <v>87</v>
      </c>
      <c r="F8199" s="55">
        <v>82</v>
      </c>
      <c r="G8199" s="63">
        <v>7.4300000000000005E-2</v>
      </c>
    </row>
    <row r="8200" spans="1:7" x14ac:dyDescent="0.2">
      <c r="A8200" t="s">
        <v>71</v>
      </c>
      <c r="B8200" t="s">
        <v>193</v>
      </c>
      <c r="C8200" t="s">
        <v>212</v>
      </c>
      <c r="D8200" t="s">
        <v>74</v>
      </c>
      <c r="E8200" t="s">
        <v>88</v>
      </c>
      <c r="F8200" s="55">
        <v>61</v>
      </c>
      <c r="G8200" s="63">
        <v>2.9399999999999999E-2</v>
      </c>
    </row>
    <row r="8201" spans="1:7" x14ac:dyDescent="0.2">
      <c r="A8201" t="s">
        <v>71</v>
      </c>
      <c r="B8201" t="s">
        <v>194</v>
      </c>
      <c r="C8201" t="s">
        <v>212</v>
      </c>
      <c r="D8201" t="s">
        <v>74</v>
      </c>
      <c r="E8201" t="s">
        <v>75</v>
      </c>
      <c r="F8201" s="55">
        <v>98</v>
      </c>
      <c r="G8201" s="63">
        <v>9.9699999999999997E-2</v>
      </c>
    </row>
    <row r="8202" spans="1:7" x14ac:dyDescent="0.2">
      <c r="A8202" t="s">
        <v>71</v>
      </c>
      <c r="B8202" t="s">
        <v>194</v>
      </c>
      <c r="C8202" t="s">
        <v>212</v>
      </c>
      <c r="D8202" t="s">
        <v>74</v>
      </c>
      <c r="E8202" t="s">
        <v>76</v>
      </c>
      <c r="F8202" s="55">
        <v>93</v>
      </c>
      <c r="G8202" s="63">
        <v>7.7000000000000002E-3</v>
      </c>
    </row>
    <row r="8203" spans="1:7" x14ac:dyDescent="0.2">
      <c r="A8203" t="s">
        <v>71</v>
      </c>
      <c r="B8203" t="s">
        <v>194</v>
      </c>
      <c r="C8203" t="s">
        <v>212</v>
      </c>
      <c r="D8203" t="s">
        <v>74</v>
      </c>
      <c r="E8203" t="s">
        <v>77</v>
      </c>
      <c r="F8203" s="55">
        <v>107</v>
      </c>
      <c r="G8203" s="63">
        <v>3.2099999999999997E-2</v>
      </c>
    </row>
    <row r="8204" spans="1:7" x14ac:dyDescent="0.2">
      <c r="A8204" t="s">
        <v>71</v>
      </c>
      <c r="B8204" t="s">
        <v>194</v>
      </c>
      <c r="C8204" t="s">
        <v>212</v>
      </c>
      <c r="D8204" t="s">
        <v>74</v>
      </c>
      <c r="E8204" t="s">
        <v>78</v>
      </c>
      <c r="F8204" s="55">
        <v>98</v>
      </c>
      <c r="G8204" s="63">
        <v>2.75E-2</v>
      </c>
    </row>
    <row r="8205" spans="1:7" x14ac:dyDescent="0.2">
      <c r="A8205" t="s">
        <v>71</v>
      </c>
      <c r="B8205" t="s">
        <v>194</v>
      </c>
      <c r="C8205" t="s">
        <v>212</v>
      </c>
      <c r="D8205" t="s">
        <v>74</v>
      </c>
      <c r="E8205" t="s">
        <v>79</v>
      </c>
      <c r="F8205" s="55">
        <v>96</v>
      </c>
      <c r="G8205" s="63">
        <v>6.0900000000000003E-2</v>
      </c>
    </row>
    <row r="8206" spans="1:7" x14ac:dyDescent="0.2">
      <c r="A8206" t="s">
        <v>71</v>
      </c>
      <c r="B8206" t="s">
        <v>194</v>
      </c>
      <c r="C8206" t="s">
        <v>212</v>
      </c>
      <c r="D8206" t="s">
        <v>74</v>
      </c>
      <c r="E8206" t="s">
        <v>80</v>
      </c>
      <c r="F8206" s="55">
        <v>97</v>
      </c>
      <c r="G8206" s="63">
        <v>1.49E-2</v>
      </c>
    </row>
    <row r="8207" spans="1:7" x14ac:dyDescent="0.2">
      <c r="A8207" t="s">
        <v>71</v>
      </c>
      <c r="B8207" t="s">
        <v>194</v>
      </c>
      <c r="C8207" t="s">
        <v>212</v>
      </c>
      <c r="D8207" t="s">
        <v>74</v>
      </c>
      <c r="E8207" t="s">
        <v>81</v>
      </c>
      <c r="F8207" s="55">
        <v>97</v>
      </c>
      <c r="G8207" s="63">
        <v>1.6500000000000001E-2</v>
      </c>
    </row>
    <row r="8208" spans="1:7" x14ac:dyDescent="0.2">
      <c r="A8208" t="s">
        <v>71</v>
      </c>
      <c r="B8208" t="s">
        <v>194</v>
      </c>
      <c r="C8208" t="s">
        <v>212</v>
      </c>
      <c r="D8208" t="s">
        <v>74</v>
      </c>
      <c r="E8208" t="s">
        <v>82</v>
      </c>
      <c r="F8208" s="55">
        <v>96</v>
      </c>
      <c r="G8208" s="63">
        <v>0.04</v>
      </c>
    </row>
    <row r="8209" spans="1:7" x14ac:dyDescent="0.2">
      <c r="A8209" t="s">
        <v>71</v>
      </c>
      <c r="B8209" t="s">
        <v>194</v>
      </c>
      <c r="C8209" t="s">
        <v>212</v>
      </c>
      <c r="D8209" t="s">
        <v>74</v>
      </c>
      <c r="E8209" t="s">
        <v>83</v>
      </c>
      <c r="F8209" s="55">
        <v>88</v>
      </c>
      <c r="G8209" s="63">
        <v>6.3E-3</v>
      </c>
    </row>
    <row r="8210" spans="1:7" x14ac:dyDescent="0.2">
      <c r="A8210" t="s">
        <v>71</v>
      </c>
      <c r="B8210" t="s">
        <v>194</v>
      </c>
      <c r="C8210" t="s">
        <v>212</v>
      </c>
      <c r="D8210" t="s">
        <v>74</v>
      </c>
      <c r="E8210" t="s">
        <v>84</v>
      </c>
      <c r="F8210" s="55">
        <v>100</v>
      </c>
      <c r="G8210" s="63">
        <v>2.0199999999999999E-2</v>
      </c>
    </row>
    <row r="8211" spans="1:7" x14ac:dyDescent="0.2">
      <c r="A8211" t="s">
        <v>71</v>
      </c>
      <c r="B8211" t="s">
        <v>194</v>
      </c>
      <c r="C8211" t="s">
        <v>212</v>
      </c>
      <c r="D8211" t="s">
        <v>74</v>
      </c>
      <c r="E8211" t="s">
        <v>85</v>
      </c>
      <c r="F8211" s="55">
        <v>96</v>
      </c>
      <c r="G8211" s="63">
        <v>1.6400000000000001E-2</v>
      </c>
    </row>
    <row r="8212" spans="1:7" x14ac:dyDescent="0.2">
      <c r="A8212" t="s">
        <v>71</v>
      </c>
      <c r="B8212" t="s">
        <v>194</v>
      </c>
      <c r="C8212" t="s">
        <v>212</v>
      </c>
      <c r="D8212" t="s">
        <v>74</v>
      </c>
      <c r="E8212" t="s">
        <v>86</v>
      </c>
      <c r="F8212" s="55">
        <v>95</v>
      </c>
      <c r="G8212" s="63">
        <v>2.23E-2</v>
      </c>
    </row>
    <row r="8213" spans="1:7" x14ac:dyDescent="0.2">
      <c r="A8213" t="s">
        <v>71</v>
      </c>
      <c r="B8213" t="s">
        <v>194</v>
      </c>
      <c r="C8213" t="s">
        <v>212</v>
      </c>
      <c r="D8213" t="s">
        <v>74</v>
      </c>
      <c r="E8213" t="s">
        <v>87</v>
      </c>
      <c r="F8213" s="55">
        <v>100</v>
      </c>
      <c r="G8213" s="63">
        <v>2.58E-2</v>
      </c>
    </row>
    <row r="8214" spans="1:7" x14ac:dyDescent="0.2">
      <c r="A8214" t="s">
        <v>71</v>
      </c>
      <c r="B8214" t="s">
        <v>194</v>
      </c>
      <c r="C8214" t="s">
        <v>212</v>
      </c>
      <c r="D8214" t="s">
        <v>74</v>
      </c>
      <c r="E8214" t="s">
        <v>88</v>
      </c>
      <c r="F8214" s="55">
        <v>92</v>
      </c>
      <c r="G8214" s="63">
        <v>1.41E-2</v>
      </c>
    </row>
    <row r="8215" spans="1:7" x14ac:dyDescent="0.2">
      <c r="A8215" t="s">
        <v>89</v>
      </c>
      <c r="B8215" t="s">
        <v>203</v>
      </c>
      <c r="C8215" t="s">
        <v>212</v>
      </c>
      <c r="D8215" t="s">
        <v>74</v>
      </c>
      <c r="E8215" t="s">
        <v>75</v>
      </c>
      <c r="F8215" s="55">
        <v>48</v>
      </c>
      <c r="G8215" s="63">
        <v>5.4000000000000003E-3</v>
      </c>
    </row>
    <row r="8216" spans="1:7" x14ac:dyDescent="0.2">
      <c r="A8216" t="s">
        <v>89</v>
      </c>
      <c r="B8216" t="s">
        <v>203</v>
      </c>
      <c r="C8216" t="s">
        <v>212</v>
      </c>
      <c r="D8216" t="s">
        <v>74</v>
      </c>
      <c r="E8216" t="s">
        <v>76</v>
      </c>
      <c r="F8216" s="55">
        <v>51</v>
      </c>
      <c r="G8216" s="63">
        <v>1.1999999999999999E-3</v>
      </c>
    </row>
    <row r="8217" spans="1:7" x14ac:dyDescent="0.2">
      <c r="A8217" t="s">
        <v>89</v>
      </c>
      <c r="B8217" t="s">
        <v>203</v>
      </c>
      <c r="C8217" t="s">
        <v>212</v>
      </c>
      <c r="D8217" t="s">
        <v>74</v>
      </c>
      <c r="E8217" t="s">
        <v>77</v>
      </c>
      <c r="F8217" s="55">
        <v>47</v>
      </c>
      <c r="G8217" s="63">
        <v>2.5999999999999999E-3</v>
      </c>
    </row>
    <row r="8218" spans="1:7" x14ac:dyDescent="0.2">
      <c r="A8218" t="s">
        <v>89</v>
      </c>
      <c r="B8218" t="s">
        <v>203</v>
      </c>
      <c r="C8218" t="s">
        <v>212</v>
      </c>
      <c r="D8218" t="s">
        <v>74</v>
      </c>
      <c r="E8218" t="s">
        <v>78</v>
      </c>
      <c r="F8218" s="55">
        <v>50</v>
      </c>
      <c r="G8218" s="63">
        <v>2.3E-3</v>
      </c>
    </row>
    <row r="8219" spans="1:7" x14ac:dyDescent="0.2">
      <c r="A8219" t="s">
        <v>89</v>
      </c>
      <c r="B8219" t="s">
        <v>203</v>
      </c>
      <c r="C8219" t="s">
        <v>212</v>
      </c>
      <c r="D8219" t="s">
        <v>74</v>
      </c>
      <c r="E8219" t="s">
        <v>79</v>
      </c>
      <c r="F8219" s="55">
        <v>42</v>
      </c>
      <c r="G8219" s="63">
        <v>3.8E-3</v>
      </c>
    </row>
    <row r="8220" spans="1:7" x14ac:dyDescent="0.2">
      <c r="A8220" t="s">
        <v>89</v>
      </c>
      <c r="B8220" t="s">
        <v>203</v>
      </c>
      <c r="C8220" t="s">
        <v>212</v>
      </c>
      <c r="D8220" t="s">
        <v>74</v>
      </c>
      <c r="E8220" t="s">
        <v>80</v>
      </c>
      <c r="F8220" s="55">
        <v>54</v>
      </c>
      <c r="G8220" s="63">
        <v>1.1999999999999999E-3</v>
      </c>
    </row>
    <row r="8221" spans="1:7" x14ac:dyDescent="0.2">
      <c r="A8221" t="s">
        <v>89</v>
      </c>
      <c r="B8221" t="s">
        <v>203</v>
      </c>
      <c r="C8221" t="s">
        <v>212</v>
      </c>
      <c r="D8221" t="s">
        <v>74</v>
      </c>
      <c r="E8221" t="s">
        <v>81</v>
      </c>
      <c r="F8221" s="55">
        <v>63</v>
      </c>
      <c r="G8221" s="63">
        <v>1.1999999999999999E-3</v>
      </c>
    </row>
    <row r="8222" spans="1:7" x14ac:dyDescent="0.2">
      <c r="A8222" t="s">
        <v>89</v>
      </c>
      <c r="B8222" t="s">
        <v>203</v>
      </c>
      <c r="C8222" t="s">
        <v>212</v>
      </c>
      <c r="D8222" t="s">
        <v>74</v>
      </c>
      <c r="E8222" t="s">
        <v>82</v>
      </c>
      <c r="F8222" s="55">
        <v>48</v>
      </c>
      <c r="G8222" s="63">
        <v>3.2000000000000002E-3</v>
      </c>
    </row>
    <row r="8223" spans="1:7" x14ac:dyDescent="0.2">
      <c r="A8223" t="s">
        <v>89</v>
      </c>
      <c r="B8223" t="s">
        <v>203</v>
      </c>
      <c r="C8223" t="s">
        <v>212</v>
      </c>
      <c r="D8223" t="s">
        <v>74</v>
      </c>
      <c r="E8223" t="s">
        <v>83</v>
      </c>
      <c r="F8223" s="55">
        <v>50</v>
      </c>
      <c r="G8223" s="63">
        <v>5.9999999999999995E-4</v>
      </c>
    </row>
    <row r="8224" spans="1:7" x14ac:dyDescent="0.2">
      <c r="A8224" t="s">
        <v>89</v>
      </c>
      <c r="B8224" t="s">
        <v>203</v>
      </c>
      <c r="C8224" t="s">
        <v>212</v>
      </c>
      <c r="D8224" t="s">
        <v>74</v>
      </c>
      <c r="E8224" t="s">
        <v>84</v>
      </c>
      <c r="F8224" s="55">
        <v>52</v>
      </c>
      <c r="G8224" s="63">
        <v>2E-3</v>
      </c>
    </row>
    <row r="8225" spans="1:7" x14ac:dyDescent="0.2">
      <c r="A8225" t="s">
        <v>89</v>
      </c>
      <c r="B8225" t="s">
        <v>203</v>
      </c>
      <c r="C8225" t="s">
        <v>212</v>
      </c>
      <c r="D8225" t="s">
        <v>74</v>
      </c>
      <c r="E8225" t="s">
        <v>85</v>
      </c>
      <c r="F8225" s="55">
        <v>50</v>
      </c>
      <c r="G8225" s="63">
        <v>1.4E-3</v>
      </c>
    </row>
    <row r="8226" spans="1:7" x14ac:dyDescent="0.2">
      <c r="A8226" t="s">
        <v>89</v>
      </c>
      <c r="B8226" t="s">
        <v>203</v>
      </c>
      <c r="C8226" t="s">
        <v>212</v>
      </c>
      <c r="D8226" t="s">
        <v>74</v>
      </c>
      <c r="E8226" t="s">
        <v>86</v>
      </c>
      <c r="F8226" s="55">
        <v>45</v>
      </c>
      <c r="G8226" s="63">
        <v>1.9E-3</v>
      </c>
    </row>
    <row r="8227" spans="1:7" x14ac:dyDescent="0.2">
      <c r="A8227" t="s">
        <v>89</v>
      </c>
      <c r="B8227" t="s">
        <v>203</v>
      </c>
      <c r="C8227" t="s">
        <v>212</v>
      </c>
      <c r="D8227" t="s">
        <v>74</v>
      </c>
      <c r="E8227" t="s">
        <v>87</v>
      </c>
      <c r="F8227" s="55">
        <v>40</v>
      </c>
      <c r="G8227" s="63">
        <v>2.0999999999999999E-3</v>
      </c>
    </row>
    <row r="8228" spans="1:7" x14ac:dyDescent="0.2">
      <c r="A8228" t="s">
        <v>89</v>
      </c>
      <c r="B8228" t="s">
        <v>203</v>
      </c>
      <c r="C8228" t="s">
        <v>212</v>
      </c>
      <c r="D8228" t="s">
        <v>74</v>
      </c>
      <c r="E8228" t="s">
        <v>88</v>
      </c>
      <c r="F8228" s="55">
        <v>52</v>
      </c>
      <c r="G8228" s="63">
        <v>1.6999999999999999E-3</v>
      </c>
    </row>
    <row r="8229" spans="1:7" x14ac:dyDescent="0.2">
      <c r="A8229" t="s">
        <v>71</v>
      </c>
      <c r="B8229" t="s">
        <v>195</v>
      </c>
      <c r="C8229" t="s">
        <v>212</v>
      </c>
      <c r="D8229" t="s">
        <v>74</v>
      </c>
      <c r="E8229" t="s">
        <v>75</v>
      </c>
      <c r="F8229" s="55">
        <v>117</v>
      </c>
      <c r="G8229" s="63">
        <v>0.2838</v>
      </c>
    </row>
    <row r="8230" spans="1:7" x14ac:dyDescent="0.2">
      <c r="A8230" t="s">
        <v>71</v>
      </c>
      <c r="B8230" t="s">
        <v>195</v>
      </c>
      <c r="C8230" t="s">
        <v>212</v>
      </c>
      <c r="D8230" t="s">
        <v>74</v>
      </c>
      <c r="E8230" t="s">
        <v>76</v>
      </c>
      <c r="F8230" s="55">
        <v>106</v>
      </c>
      <c r="G8230" s="63">
        <v>2.5100000000000001E-2</v>
      </c>
    </row>
    <row r="8231" spans="1:7" x14ac:dyDescent="0.2">
      <c r="A8231" t="s">
        <v>71</v>
      </c>
      <c r="B8231" t="s">
        <v>195</v>
      </c>
      <c r="C8231" t="s">
        <v>212</v>
      </c>
      <c r="D8231" t="s">
        <v>74</v>
      </c>
      <c r="E8231" t="s">
        <v>77</v>
      </c>
      <c r="F8231" s="55">
        <v>118</v>
      </c>
      <c r="G8231" s="63">
        <v>0.11600000000000001</v>
      </c>
    </row>
    <row r="8232" spans="1:7" x14ac:dyDescent="0.2">
      <c r="A8232" t="s">
        <v>71</v>
      </c>
      <c r="B8232" t="s">
        <v>195</v>
      </c>
      <c r="C8232" t="s">
        <v>212</v>
      </c>
      <c r="D8232" t="s">
        <v>74</v>
      </c>
      <c r="E8232" t="s">
        <v>78</v>
      </c>
      <c r="F8232" s="55">
        <v>119</v>
      </c>
      <c r="G8232" s="63">
        <v>0.1067</v>
      </c>
    </row>
    <row r="8233" spans="1:7" x14ac:dyDescent="0.2">
      <c r="A8233" t="s">
        <v>71</v>
      </c>
      <c r="B8233" t="s">
        <v>195</v>
      </c>
      <c r="C8233" t="s">
        <v>212</v>
      </c>
      <c r="D8233" t="s">
        <v>74</v>
      </c>
      <c r="E8233" t="s">
        <v>79</v>
      </c>
      <c r="F8233" s="55">
        <v>118</v>
      </c>
      <c r="G8233" s="63">
        <v>0.19500000000000001</v>
      </c>
    </row>
    <row r="8234" spans="1:7" x14ac:dyDescent="0.2">
      <c r="A8234" t="s">
        <v>71</v>
      </c>
      <c r="B8234" t="s">
        <v>195</v>
      </c>
      <c r="C8234" t="s">
        <v>212</v>
      </c>
      <c r="D8234" t="s">
        <v>74</v>
      </c>
      <c r="E8234" t="s">
        <v>80</v>
      </c>
      <c r="F8234" s="55">
        <v>112</v>
      </c>
      <c r="G8234" s="63">
        <v>6.4299999999999996E-2</v>
      </c>
    </row>
    <row r="8235" spans="1:7" x14ac:dyDescent="0.2">
      <c r="A8235" t="s">
        <v>71</v>
      </c>
      <c r="B8235" t="s">
        <v>195</v>
      </c>
      <c r="C8235" t="s">
        <v>212</v>
      </c>
      <c r="D8235" t="s">
        <v>74</v>
      </c>
      <c r="E8235" t="s">
        <v>81</v>
      </c>
      <c r="F8235" s="55">
        <v>108</v>
      </c>
      <c r="G8235" s="63">
        <v>6.6000000000000003E-2</v>
      </c>
    </row>
    <row r="8236" spans="1:7" x14ac:dyDescent="0.2">
      <c r="A8236" t="s">
        <v>71</v>
      </c>
      <c r="B8236" t="s">
        <v>195</v>
      </c>
      <c r="C8236" t="s">
        <v>212</v>
      </c>
      <c r="D8236" t="s">
        <v>74</v>
      </c>
      <c r="E8236" t="s">
        <v>82</v>
      </c>
      <c r="F8236" s="55">
        <v>120</v>
      </c>
      <c r="G8236" s="63">
        <v>0.13400000000000001</v>
      </c>
    </row>
    <row r="8237" spans="1:7" x14ac:dyDescent="0.2">
      <c r="A8237" t="s">
        <v>71</v>
      </c>
      <c r="B8237" t="s">
        <v>195</v>
      </c>
      <c r="C8237" t="s">
        <v>212</v>
      </c>
      <c r="D8237" t="s">
        <v>74</v>
      </c>
      <c r="E8237" t="s">
        <v>83</v>
      </c>
      <c r="F8237" s="55">
        <v>106</v>
      </c>
      <c r="G8237" s="63">
        <v>2.64E-2</v>
      </c>
    </row>
    <row r="8238" spans="1:7" x14ac:dyDescent="0.2">
      <c r="A8238" t="s">
        <v>71</v>
      </c>
      <c r="B8238" t="s">
        <v>195</v>
      </c>
      <c r="C8238" t="s">
        <v>212</v>
      </c>
      <c r="D8238" t="s">
        <v>74</v>
      </c>
      <c r="E8238" t="s">
        <v>84</v>
      </c>
      <c r="F8238" s="55">
        <v>120</v>
      </c>
      <c r="G8238" s="63">
        <v>8.3400000000000002E-2</v>
      </c>
    </row>
    <row r="8239" spans="1:7" x14ac:dyDescent="0.2">
      <c r="A8239" t="s">
        <v>71</v>
      </c>
      <c r="B8239" t="s">
        <v>195</v>
      </c>
      <c r="C8239" t="s">
        <v>212</v>
      </c>
      <c r="D8239" t="s">
        <v>74</v>
      </c>
      <c r="E8239" t="s">
        <v>85</v>
      </c>
      <c r="F8239" s="55">
        <v>115</v>
      </c>
      <c r="G8239" s="63">
        <v>7.1499999999999994E-2</v>
      </c>
    </row>
    <row r="8240" spans="1:7" x14ac:dyDescent="0.2">
      <c r="A8240" t="s">
        <v>71</v>
      </c>
      <c r="B8240" t="s">
        <v>195</v>
      </c>
      <c r="C8240" t="s">
        <v>212</v>
      </c>
      <c r="D8240" t="s">
        <v>74</v>
      </c>
      <c r="E8240" t="s">
        <v>86</v>
      </c>
      <c r="F8240" s="55">
        <v>116</v>
      </c>
      <c r="G8240" s="63">
        <v>8.72E-2</v>
      </c>
    </row>
    <row r="8241" spans="1:7" x14ac:dyDescent="0.2">
      <c r="A8241" t="s">
        <v>71</v>
      </c>
      <c r="B8241" t="s">
        <v>195</v>
      </c>
      <c r="C8241" t="s">
        <v>212</v>
      </c>
      <c r="D8241" t="s">
        <v>74</v>
      </c>
      <c r="E8241" t="s">
        <v>87</v>
      </c>
      <c r="F8241" s="55">
        <v>117</v>
      </c>
      <c r="G8241" s="63">
        <v>0.1017</v>
      </c>
    </row>
    <row r="8242" spans="1:7" x14ac:dyDescent="0.2">
      <c r="A8242" t="s">
        <v>71</v>
      </c>
      <c r="B8242" t="s">
        <v>195</v>
      </c>
      <c r="C8242" t="s">
        <v>212</v>
      </c>
      <c r="D8242" t="s">
        <v>74</v>
      </c>
      <c r="E8242" t="s">
        <v>88</v>
      </c>
      <c r="F8242" s="55">
        <v>108</v>
      </c>
      <c r="G8242" s="63">
        <v>4.7E-2</v>
      </c>
    </row>
    <row r="8243" spans="1:7" x14ac:dyDescent="0.2">
      <c r="A8243" t="s">
        <v>89</v>
      </c>
      <c r="B8243" t="s">
        <v>222</v>
      </c>
      <c r="C8243" t="s">
        <v>212</v>
      </c>
      <c r="D8243" t="s">
        <v>74</v>
      </c>
      <c r="E8243" t="s">
        <v>75</v>
      </c>
      <c r="F8243" s="55">
        <v>84</v>
      </c>
      <c r="G8243" s="63">
        <v>0.2152</v>
      </c>
    </row>
    <row r="8244" spans="1:7" x14ac:dyDescent="0.2">
      <c r="A8244" t="s">
        <v>89</v>
      </c>
      <c r="B8244" t="s">
        <v>222</v>
      </c>
      <c r="C8244" t="s">
        <v>212</v>
      </c>
      <c r="D8244" t="s">
        <v>74</v>
      </c>
      <c r="E8244" t="s">
        <v>76</v>
      </c>
      <c r="F8244" s="55">
        <v>75</v>
      </c>
      <c r="G8244" s="63">
        <v>1.5800000000000002E-2</v>
      </c>
    </row>
    <row r="8245" spans="1:7" x14ac:dyDescent="0.2">
      <c r="A8245" t="s">
        <v>89</v>
      </c>
      <c r="B8245" t="s">
        <v>222</v>
      </c>
      <c r="C8245" t="s">
        <v>212</v>
      </c>
      <c r="D8245" t="s">
        <v>74</v>
      </c>
      <c r="E8245" t="s">
        <v>77</v>
      </c>
      <c r="F8245" s="55">
        <v>93</v>
      </c>
      <c r="G8245" s="63">
        <v>6.6400000000000001E-2</v>
      </c>
    </row>
    <row r="8246" spans="1:7" x14ac:dyDescent="0.2">
      <c r="A8246" t="s">
        <v>89</v>
      </c>
      <c r="B8246" t="s">
        <v>222</v>
      </c>
      <c r="C8246" t="s">
        <v>212</v>
      </c>
      <c r="D8246" t="s">
        <v>74</v>
      </c>
      <c r="E8246" t="s">
        <v>78</v>
      </c>
      <c r="F8246" s="55">
        <v>87</v>
      </c>
      <c r="G8246" s="63">
        <v>5.3800000000000001E-2</v>
      </c>
    </row>
    <row r="8247" spans="1:7" x14ac:dyDescent="0.2">
      <c r="A8247" t="s">
        <v>89</v>
      </c>
      <c r="B8247" t="s">
        <v>222</v>
      </c>
      <c r="C8247" t="s">
        <v>212</v>
      </c>
      <c r="D8247" t="s">
        <v>74</v>
      </c>
      <c r="E8247" t="s">
        <v>79</v>
      </c>
      <c r="F8247" s="55">
        <v>79</v>
      </c>
      <c r="G8247" s="63">
        <v>0.14380000000000001</v>
      </c>
    </row>
    <row r="8248" spans="1:7" x14ac:dyDescent="0.2">
      <c r="A8248" t="s">
        <v>89</v>
      </c>
      <c r="B8248" t="s">
        <v>222</v>
      </c>
      <c r="C8248" t="s">
        <v>212</v>
      </c>
      <c r="D8248" t="s">
        <v>74</v>
      </c>
      <c r="E8248" t="s">
        <v>80</v>
      </c>
      <c r="F8248" s="55">
        <v>74</v>
      </c>
      <c r="G8248" s="63">
        <v>2.5100000000000001E-2</v>
      </c>
    </row>
    <row r="8249" spans="1:7" x14ac:dyDescent="0.2">
      <c r="A8249" t="s">
        <v>89</v>
      </c>
      <c r="B8249" t="s">
        <v>222</v>
      </c>
      <c r="C8249" t="s">
        <v>212</v>
      </c>
      <c r="D8249" t="s">
        <v>74</v>
      </c>
      <c r="E8249" t="s">
        <v>81</v>
      </c>
      <c r="F8249" s="55">
        <v>73</v>
      </c>
      <c r="G8249" s="63">
        <v>2.7E-2</v>
      </c>
    </row>
    <row r="8250" spans="1:7" x14ac:dyDescent="0.2">
      <c r="A8250" t="s">
        <v>89</v>
      </c>
      <c r="B8250" t="s">
        <v>222</v>
      </c>
      <c r="C8250" t="s">
        <v>212</v>
      </c>
      <c r="D8250" t="s">
        <v>74</v>
      </c>
      <c r="E8250" t="s">
        <v>82</v>
      </c>
      <c r="F8250" s="55">
        <v>95</v>
      </c>
      <c r="G8250" s="63">
        <v>0.1115</v>
      </c>
    </row>
    <row r="8251" spans="1:7" x14ac:dyDescent="0.2">
      <c r="A8251" t="s">
        <v>89</v>
      </c>
      <c r="B8251" t="s">
        <v>222</v>
      </c>
      <c r="C8251" t="s">
        <v>212</v>
      </c>
      <c r="D8251" t="s">
        <v>74</v>
      </c>
      <c r="E8251" t="s">
        <v>83</v>
      </c>
      <c r="F8251" s="55">
        <v>78</v>
      </c>
      <c r="G8251" s="63">
        <v>1.24E-2</v>
      </c>
    </row>
    <row r="8252" spans="1:7" x14ac:dyDescent="0.2">
      <c r="A8252" t="s">
        <v>89</v>
      </c>
      <c r="B8252" t="s">
        <v>222</v>
      </c>
      <c r="C8252" t="s">
        <v>212</v>
      </c>
      <c r="D8252" t="s">
        <v>74</v>
      </c>
      <c r="E8252" t="s">
        <v>84</v>
      </c>
      <c r="F8252" s="55">
        <v>82</v>
      </c>
      <c r="G8252" s="63">
        <v>3.3799999999999997E-2</v>
      </c>
    </row>
    <row r="8253" spans="1:7" x14ac:dyDescent="0.2">
      <c r="A8253" t="s">
        <v>89</v>
      </c>
      <c r="B8253" t="s">
        <v>222</v>
      </c>
      <c r="C8253" t="s">
        <v>212</v>
      </c>
      <c r="D8253" t="s">
        <v>74</v>
      </c>
      <c r="E8253" t="s">
        <v>85</v>
      </c>
      <c r="F8253" s="55">
        <v>76</v>
      </c>
      <c r="G8253" s="63">
        <v>0.03</v>
      </c>
    </row>
    <row r="8254" spans="1:7" x14ac:dyDescent="0.2">
      <c r="A8254" t="s">
        <v>89</v>
      </c>
      <c r="B8254" t="s">
        <v>222</v>
      </c>
      <c r="C8254" t="s">
        <v>212</v>
      </c>
      <c r="D8254" t="s">
        <v>74</v>
      </c>
      <c r="E8254" t="s">
        <v>86</v>
      </c>
      <c r="F8254" s="55">
        <v>74</v>
      </c>
      <c r="G8254" s="63">
        <v>4.7100000000000003E-2</v>
      </c>
    </row>
    <row r="8255" spans="1:7" x14ac:dyDescent="0.2">
      <c r="A8255" t="s">
        <v>89</v>
      </c>
      <c r="B8255" t="s">
        <v>222</v>
      </c>
      <c r="C8255" t="s">
        <v>212</v>
      </c>
      <c r="D8255" t="s">
        <v>74</v>
      </c>
      <c r="E8255" t="s">
        <v>87</v>
      </c>
      <c r="F8255" s="55">
        <v>75</v>
      </c>
      <c r="G8255" s="63">
        <v>6.7799999999999999E-2</v>
      </c>
    </row>
    <row r="8256" spans="1:7" x14ac:dyDescent="0.2">
      <c r="A8256" t="s">
        <v>89</v>
      </c>
      <c r="B8256" t="s">
        <v>222</v>
      </c>
      <c r="C8256" t="s">
        <v>212</v>
      </c>
      <c r="D8256" t="s">
        <v>74</v>
      </c>
      <c r="E8256" t="s">
        <v>88</v>
      </c>
      <c r="F8256" s="55">
        <v>80</v>
      </c>
      <c r="G8256" s="63">
        <v>2.5899999999999999E-2</v>
      </c>
    </row>
    <row r="8257" spans="1:7" x14ac:dyDescent="0.2">
      <c r="A8257" t="s">
        <v>71</v>
      </c>
      <c r="B8257" t="s">
        <v>72</v>
      </c>
      <c r="C8257" t="s">
        <v>223</v>
      </c>
      <c r="D8257" t="s">
        <v>74</v>
      </c>
      <c r="E8257" t="s">
        <v>75</v>
      </c>
      <c r="F8257" s="55">
        <v>96</v>
      </c>
      <c r="G8257" s="63">
        <v>0.26100000000000001</v>
      </c>
    </row>
    <row r="8258" spans="1:7" x14ac:dyDescent="0.2">
      <c r="A8258" t="s">
        <v>71</v>
      </c>
      <c r="B8258" t="s">
        <v>72</v>
      </c>
      <c r="C8258" t="s">
        <v>223</v>
      </c>
      <c r="D8258" t="s">
        <v>74</v>
      </c>
      <c r="E8258" t="s">
        <v>76</v>
      </c>
      <c r="F8258" s="55">
        <v>93</v>
      </c>
      <c r="G8258" s="63">
        <v>4.2599999999999999E-2</v>
      </c>
    </row>
    <row r="8259" spans="1:7" x14ac:dyDescent="0.2">
      <c r="A8259" t="s">
        <v>71</v>
      </c>
      <c r="B8259" t="s">
        <v>72</v>
      </c>
      <c r="C8259" t="s">
        <v>223</v>
      </c>
      <c r="D8259" t="s">
        <v>74</v>
      </c>
      <c r="E8259" t="s">
        <v>77</v>
      </c>
      <c r="F8259" s="55">
        <v>98</v>
      </c>
      <c r="G8259" s="63">
        <v>0.11849999999999999</v>
      </c>
    </row>
    <row r="8260" spans="1:7" x14ac:dyDescent="0.2">
      <c r="A8260" t="s">
        <v>71</v>
      </c>
      <c r="B8260" t="s">
        <v>72</v>
      </c>
      <c r="C8260" t="s">
        <v>223</v>
      </c>
      <c r="D8260" t="s">
        <v>74</v>
      </c>
      <c r="E8260" t="s">
        <v>78</v>
      </c>
      <c r="F8260" s="55">
        <v>94</v>
      </c>
      <c r="G8260" s="63">
        <v>0.1123</v>
      </c>
    </row>
    <row r="8261" spans="1:7" x14ac:dyDescent="0.2">
      <c r="A8261" t="s">
        <v>71</v>
      </c>
      <c r="B8261" t="s">
        <v>72</v>
      </c>
      <c r="C8261" t="s">
        <v>223</v>
      </c>
      <c r="D8261" t="s">
        <v>74</v>
      </c>
      <c r="E8261" t="s">
        <v>79</v>
      </c>
      <c r="F8261" s="55">
        <v>96</v>
      </c>
      <c r="G8261" s="63">
        <v>0.18329999999999999</v>
      </c>
    </row>
    <row r="8262" spans="1:7" x14ac:dyDescent="0.2">
      <c r="A8262" t="s">
        <v>71</v>
      </c>
      <c r="B8262" t="s">
        <v>72</v>
      </c>
      <c r="C8262" t="s">
        <v>223</v>
      </c>
      <c r="D8262" t="s">
        <v>74</v>
      </c>
      <c r="E8262" t="s">
        <v>80</v>
      </c>
      <c r="F8262" s="55">
        <v>93</v>
      </c>
      <c r="G8262" s="63">
        <v>5.3900000000000003E-2</v>
      </c>
    </row>
    <row r="8263" spans="1:7" x14ac:dyDescent="0.2">
      <c r="A8263" t="s">
        <v>71</v>
      </c>
      <c r="B8263" t="s">
        <v>72</v>
      </c>
      <c r="C8263" t="s">
        <v>223</v>
      </c>
      <c r="D8263" t="s">
        <v>74</v>
      </c>
      <c r="E8263" t="s">
        <v>81</v>
      </c>
      <c r="F8263" s="55">
        <v>92</v>
      </c>
      <c r="G8263" s="63">
        <v>5.6399999999999999E-2</v>
      </c>
    </row>
    <row r="8264" spans="1:7" x14ac:dyDescent="0.2">
      <c r="A8264" t="s">
        <v>71</v>
      </c>
      <c r="B8264" t="s">
        <v>72</v>
      </c>
      <c r="C8264" t="s">
        <v>223</v>
      </c>
      <c r="D8264" t="s">
        <v>74</v>
      </c>
      <c r="E8264" t="s">
        <v>82</v>
      </c>
      <c r="F8264" s="55">
        <v>97</v>
      </c>
      <c r="G8264" s="63">
        <v>0.14810000000000001</v>
      </c>
    </row>
    <row r="8265" spans="1:7" x14ac:dyDescent="0.2">
      <c r="A8265" t="s">
        <v>71</v>
      </c>
      <c r="B8265" t="s">
        <v>72</v>
      </c>
      <c r="C8265" t="s">
        <v>223</v>
      </c>
      <c r="D8265" t="s">
        <v>74</v>
      </c>
      <c r="E8265" t="s">
        <v>83</v>
      </c>
      <c r="F8265" s="55">
        <v>83</v>
      </c>
      <c r="G8265" s="63">
        <v>2.5899999999999999E-2</v>
      </c>
    </row>
    <row r="8266" spans="1:7" x14ac:dyDescent="0.2">
      <c r="A8266" t="s">
        <v>71</v>
      </c>
      <c r="B8266" t="s">
        <v>72</v>
      </c>
      <c r="C8266" t="s">
        <v>223</v>
      </c>
      <c r="D8266" t="s">
        <v>74</v>
      </c>
      <c r="E8266" t="s">
        <v>84</v>
      </c>
      <c r="F8266" s="55">
        <v>93</v>
      </c>
      <c r="G8266" s="63">
        <v>8.8400000000000006E-2</v>
      </c>
    </row>
    <row r="8267" spans="1:7" x14ac:dyDescent="0.2">
      <c r="A8267" t="s">
        <v>71</v>
      </c>
      <c r="B8267" t="s">
        <v>72</v>
      </c>
      <c r="C8267" t="s">
        <v>223</v>
      </c>
      <c r="D8267" t="s">
        <v>74</v>
      </c>
      <c r="E8267" t="s">
        <v>85</v>
      </c>
      <c r="F8267" s="55">
        <v>92</v>
      </c>
      <c r="G8267" s="63">
        <v>6.8500000000000005E-2</v>
      </c>
    </row>
    <row r="8268" spans="1:7" x14ac:dyDescent="0.2">
      <c r="A8268" t="s">
        <v>71</v>
      </c>
      <c r="B8268" t="s">
        <v>72</v>
      </c>
      <c r="C8268" t="s">
        <v>223</v>
      </c>
      <c r="D8268" t="s">
        <v>74</v>
      </c>
      <c r="E8268" t="s">
        <v>86</v>
      </c>
      <c r="F8268" s="55">
        <v>95</v>
      </c>
      <c r="G8268" s="63">
        <v>9.4299999999999995E-2</v>
      </c>
    </row>
    <row r="8269" spans="1:7" x14ac:dyDescent="0.2">
      <c r="A8269" t="s">
        <v>71</v>
      </c>
      <c r="B8269" t="s">
        <v>72</v>
      </c>
      <c r="C8269" t="s">
        <v>223</v>
      </c>
      <c r="D8269" t="s">
        <v>74</v>
      </c>
      <c r="E8269" t="s">
        <v>87</v>
      </c>
      <c r="F8269" s="55">
        <v>97</v>
      </c>
      <c r="G8269" s="63">
        <v>0.1123</v>
      </c>
    </row>
    <row r="8270" spans="1:7" x14ac:dyDescent="0.2">
      <c r="A8270" t="s">
        <v>71</v>
      </c>
      <c r="B8270" t="s">
        <v>72</v>
      </c>
      <c r="C8270" t="s">
        <v>223</v>
      </c>
      <c r="D8270" t="s">
        <v>74</v>
      </c>
      <c r="E8270" t="s">
        <v>88</v>
      </c>
      <c r="F8270" s="55">
        <v>91</v>
      </c>
      <c r="G8270" s="63">
        <v>6.9800000000000001E-2</v>
      </c>
    </row>
    <row r="8271" spans="1:7" x14ac:dyDescent="0.2">
      <c r="A8271" t="s">
        <v>89</v>
      </c>
      <c r="B8271" t="s">
        <v>90</v>
      </c>
      <c r="C8271" t="s">
        <v>223</v>
      </c>
      <c r="D8271" t="s">
        <v>91</v>
      </c>
      <c r="E8271" t="s">
        <v>75</v>
      </c>
      <c r="F8271" s="55">
        <v>109</v>
      </c>
      <c r="G8271" s="63">
        <v>0.83479999999999999</v>
      </c>
    </row>
    <row r="8272" spans="1:7" x14ac:dyDescent="0.2">
      <c r="A8272" t="s">
        <v>89</v>
      </c>
      <c r="B8272" t="s">
        <v>90</v>
      </c>
      <c r="C8272" t="s">
        <v>223</v>
      </c>
      <c r="D8272" t="s">
        <v>91</v>
      </c>
      <c r="E8272" t="s">
        <v>76</v>
      </c>
      <c r="F8272" s="55">
        <v>103</v>
      </c>
      <c r="G8272" s="63">
        <v>0.33400000000000002</v>
      </c>
    </row>
    <row r="8273" spans="1:7" x14ac:dyDescent="0.2">
      <c r="A8273" t="s">
        <v>89</v>
      </c>
      <c r="B8273" t="s">
        <v>90</v>
      </c>
      <c r="C8273" t="s">
        <v>223</v>
      </c>
      <c r="D8273" t="s">
        <v>91</v>
      </c>
      <c r="E8273" t="s">
        <v>77</v>
      </c>
      <c r="F8273" s="55">
        <v>110</v>
      </c>
      <c r="G8273" s="63">
        <v>0.55300000000000005</v>
      </c>
    </row>
    <row r="8274" spans="1:7" x14ac:dyDescent="0.2">
      <c r="A8274" t="s">
        <v>89</v>
      </c>
      <c r="B8274" t="s">
        <v>90</v>
      </c>
      <c r="C8274" t="s">
        <v>223</v>
      </c>
      <c r="D8274" t="s">
        <v>91</v>
      </c>
      <c r="E8274" t="s">
        <v>78</v>
      </c>
      <c r="F8274" s="55">
        <v>112</v>
      </c>
      <c r="G8274" s="63">
        <v>0.625</v>
      </c>
    </row>
    <row r="8275" spans="1:7" x14ac:dyDescent="0.2">
      <c r="A8275" t="s">
        <v>89</v>
      </c>
      <c r="B8275" t="s">
        <v>90</v>
      </c>
      <c r="C8275" t="s">
        <v>223</v>
      </c>
      <c r="D8275" t="s">
        <v>91</v>
      </c>
      <c r="E8275" t="s">
        <v>79</v>
      </c>
      <c r="F8275" s="55">
        <v>110</v>
      </c>
      <c r="G8275" s="63">
        <v>0.73740000000000006</v>
      </c>
    </row>
    <row r="8276" spans="1:7" x14ac:dyDescent="0.2">
      <c r="A8276" t="s">
        <v>89</v>
      </c>
      <c r="B8276" t="s">
        <v>90</v>
      </c>
      <c r="C8276" t="s">
        <v>223</v>
      </c>
      <c r="D8276" t="s">
        <v>91</v>
      </c>
      <c r="E8276" t="s">
        <v>80</v>
      </c>
      <c r="F8276" s="55">
        <v>107</v>
      </c>
      <c r="G8276" s="63">
        <v>0.2712</v>
      </c>
    </row>
    <row r="8277" spans="1:7" x14ac:dyDescent="0.2">
      <c r="A8277" t="s">
        <v>89</v>
      </c>
      <c r="B8277" t="s">
        <v>90</v>
      </c>
      <c r="C8277" t="s">
        <v>223</v>
      </c>
      <c r="D8277" t="s">
        <v>91</v>
      </c>
      <c r="E8277" t="s">
        <v>81</v>
      </c>
      <c r="F8277" s="55">
        <v>101</v>
      </c>
      <c r="G8277" s="63">
        <v>0.29830000000000001</v>
      </c>
    </row>
    <row r="8278" spans="1:7" x14ac:dyDescent="0.2">
      <c r="A8278" t="s">
        <v>89</v>
      </c>
      <c r="B8278" t="s">
        <v>90</v>
      </c>
      <c r="C8278" t="s">
        <v>223</v>
      </c>
      <c r="D8278" t="s">
        <v>91</v>
      </c>
      <c r="E8278" t="s">
        <v>82</v>
      </c>
      <c r="F8278" s="55">
        <v>103</v>
      </c>
      <c r="G8278" s="63">
        <v>0.67379999999999995</v>
      </c>
    </row>
    <row r="8279" spans="1:7" x14ac:dyDescent="0.2">
      <c r="A8279" t="s">
        <v>89</v>
      </c>
      <c r="B8279" t="s">
        <v>90</v>
      </c>
      <c r="C8279" t="s">
        <v>223</v>
      </c>
      <c r="D8279" t="s">
        <v>91</v>
      </c>
      <c r="E8279" t="s">
        <v>83</v>
      </c>
      <c r="F8279" s="55">
        <v>98</v>
      </c>
      <c r="G8279" s="63">
        <v>0.22239999999999999</v>
      </c>
    </row>
    <row r="8280" spans="1:7" x14ac:dyDescent="0.2">
      <c r="A8280" t="s">
        <v>89</v>
      </c>
      <c r="B8280" t="s">
        <v>90</v>
      </c>
      <c r="C8280" t="s">
        <v>223</v>
      </c>
      <c r="D8280" t="s">
        <v>91</v>
      </c>
      <c r="E8280" t="s">
        <v>84</v>
      </c>
      <c r="F8280" s="55">
        <v>112</v>
      </c>
      <c r="G8280" s="63">
        <v>0.55089999999999995</v>
      </c>
    </row>
    <row r="8281" spans="1:7" x14ac:dyDescent="0.2">
      <c r="A8281" t="s">
        <v>89</v>
      </c>
      <c r="B8281" t="s">
        <v>90</v>
      </c>
      <c r="C8281" t="s">
        <v>223</v>
      </c>
      <c r="D8281" t="s">
        <v>91</v>
      </c>
      <c r="E8281" t="s">
        <v>85</v>
      </c>
      <c r="F8281" s="55">
        <v>110</v>
      </c>
      <c r="G8281" s="63">
        <v>0.3871</v>
      </c>
    </row>
    <row r="8282" spans="1:7" x14ac:dyDescent="0.2">
      <c r="A8282" t="s">
        <v>89</v>
      </c>
      <c r="B8282" t="s">
        <v>90</v>
      </c>
      <c r="C8282" t="s">
        <v>223</v>
      </c>
      <c r="D8282" t="s">
        <v>91</v>
      </c>
      <c r="E8282" t="s">
        <v>86</v>
      </c>
      <c r="F8282" s="55">
        <v>109</v>
      </c>
      <c r="G8282" s="63">
        <v>0.48830000000000001</v>
      </c>
    </row>
    <row r="8283" spans="1:7" x14ac:dyDescent="0.2">
      <c r="A8283" t="s">
        <v>89</v>
      </c>
      <c r="B8283" t="s">
        <v>90</v>
      </c>
      <c r="C8283" t="s">
        <v>223</v>
      </c>
      <c r="D8283" t="s">
        <v>91</v>
      </c>
      <c r="E8283" t="s">
        <v>87</v>
      </c>
      <c r="F8283" s="55">
        <v>109</v>
      </c>
      <c r="G8283" s="63">
        <v>0.56740000000000002</v>
      </c>
    </row>
    <row r="8284" spans="1:7" x14ac:dyDescent="0.2">
      <c r="A8284" t="s">
        <v>89</v>
      </c>
      <c r="B8284" t="s">
        <v>90</v>
      </c>
      <c r="C8284" t="s">
        <v>223</v>
      </c>
      <c r="D8284" t="s">
        <v>91</v>
      </c>
      <c r="E8284" t="s">
        <v>88</v>
      </c>
      <c r="F8284" s="55">
        <v>103</v>
      </c>
      <c r="G8284" s="63">
        <v>0.44519999999999998</v>
      </c>
    </row>
    <row r="8285" spans="1:7" x14ac:dyDescent="0.2">
      <c r="A8285" t="s">
        <v>89</v>
      </c>
      <c r="B8285" t="s">
        <v>92</v>
      </c>
      <c r="C8285" t="s">
        <v>223</v>
      </c>
      <c r="D8285" t="s">
        <v>74</v>
      </c>
      <c r="E8285" t="s">
        <v>75</v>
      </c>
      <c r="F8285" s="55">
        <v>123</v>
      </c>
      <c r="G8285" s="63">
        <v>1.1000000000000001E-3</v>
      </c>
    </row>
    <row r="8286" spans="1:7" x14ac:dyDescent="0.2">
      <c r="A8286" t="s">
        <v>89</v>
      </c>
      <c r="B8286" t="s">
        <v>93</v>
      </c>
      <c r="C8286" t="s">
        <v>223</v>
      </c>
      <c r="D8286" t="s">
        <v>74</v>
      </c>
      <c r="E8286" t="s">
        <v>75</v>
      </c>
      <c r="F8286" s="55">
        <v>105</v>
      </c>
      <c r="G8286" s="63">
        <v>7.0699999999999999E-2</v>
      </c>
    </row>
    <row r="8287" spans="1:7" x14ac:dyDescent="0.2">
      <c r="A8287" t="s">
        <v>89</v>
      </c>
      <c r="B8287" t="s">
        <v>93</v>
      </c>
      <c r="C8287" t="s">
        <v>223</v>
      </c>
      <c r="D8287" t="s">
        <v>74</v>
      </c>
      <c r="E8287" t="s">
        <v>76</v>
      </c>
      <c r="F8287" s="55">
        <v>101</v>
      </c>
      <c r="G8287" s="63">
        <v>7.0000000000000001E-3</v>
      </c>
    </row>
    <row r="8288" spans="1:7" x14ac:dyDescent="0.2">
      <c r="A8288" t="s">
        <v>89</v>
      </c>
      <c r="B8288" t="s">
        <v>93</v>
      </c>
      <c r="C8288" t="s">
        <v>223</v>
      </c>
      <c r="D8288" t="s">
        <v>74</v>
      </c>
      <c r="E8288" t="s">
        <v>77</v>
      </c>
      <c r="F8288" s="55">
        <v>114</v>
      </c>
      <c r="G8288" s="63">
        <v>2.1399999999999999E-2</v>
      </c>
    </row>
    <row r="8289" spans="1:7" x14ac:dyDescent="0.2">
      <c r="A8289" t="s">
        <v>89</v>
      </c>
      <c r="B8289" t="s">
        <v>93</v>
      </c>
      <c r="C8289" t="s">
        <v>223</v>
      </c>
      <c r="D8289" t="s">
        <v>74</v>
      </c>
      <c r="E8289" t="s">
        <v>78</v>
      </c>
      <c r="F8289" s="55">
        <v>104</v>
      </c>
      <c r="G8289" s="63">
        <v>1.7999999999999999E-2</v>
      </c>
    </row>
    <row r="8290" spans="1:7" x14ac:dyDescent="0.2">
      <c r="A8290" t="s">
        <v>89</v>
      </c>
      <c r="B8290" t="s">
        <v>93</v>
      </c>
      <c r="C8290" t="s">
        <v>223</v>
      </c>
      <c r="D8290" t="s">
        <v>74</v>
      </c>
      <c r="E8290" t="s">
        <v>79</v>
      </c>
      <c r="F8290" s="55">
        <v>101</v>
      </c>
      <c r="G8290" s="63">
        <v>4.4499999999999998E-2</v>
      </c>
    </row>
    <row r="8291" spans="1:7" x14ac:dyDescent="0.2">
      <c r="A8291" t="s">
        <v>89</v>
      </c>
      <c r="B8291" t="s">
        <v>93</v>
      </c>
      <c r="C8291" t="s">
        <v>223</v>
      </c>
      <c r="D8291" t="s">
        <v>74</v>
      </c>
      <c r="E8291" t="s">
        <v>80</v>
      </c>
      <c r="F8291" s="55">
        <v>109</v>
      </c>
      <c r="G8291" s="63">
        <v>2.6499999999999999E-2</v>
      </c>
    </row>
    <row r="8292" spans="1:7" x14ac:dyDescent="0.2">
      <c r="A8292" t="s">
        <v>89</v>
      </c>
      <c r="B8292" t="s">
        <v>93</v>
      </c>
      <c r="C8292" t="s">
        <v>223</v>
      </c>
      <c r="D8292" t="s">
        <v>74</v>
      </c>
      <c r="E8292" t="s">
        <v>81</v>
      </c>
      <c r="F8292" s="55">
        <v>108</v>
      </c>
      <c r="G8292" s="63">
        <v>2.58E-2</v>
      </c>
    </row>
    <row r="8293" spans="1:7" x14ac:dyDescent="0.2">
      <c r="A8293" t="s">
        <v>89</v>
      </c>
      <c r="B8293" t="s">
        <v>93</v>
      </c>
      <c r="C8293" t="s">
        <v>223</v>
      </c>
      <c r="D8293" t="s">
        <v>74</v>
      </c>
      <c r="E8293" t="s">
        <v>82</v>
      </c>
      <c r="F8293" s="55">
        <v>105</v>
      </c>
      <c r="G8293" s="63">
        <v>3.0499999999999999E-2</v>
      </c>
    </row>
    <row r="8294" spans="1:7" x14ac:dyDescent="0.2">
      <c r="A8294" t="s">
        <v>89</v>
      </c>
      <c r="B8294" t="s">
        <v>93</v>
      </c>
      <c r="C8294" t="s">
        <v>223</v>
      </c>
      <c r="D8294" t="s">
        <v>74</v>
      </c>
      <c r="E8294" t="s">
        <v>83</v>
      </c>
      <c r="F8294" s="55">
        <v>110</v>
      </c>
      <c r="G8294" s="63">
        <v>9.1999999999999998E-3</v>
      </c>
    </row>
    <row r="8295" spans="1:7" x14ac:dyDescent="0.2">
      <c r="A8295" t="s">
        <v>89</v>
      </c>
      <c r="B8295" t="s">
        <v>93</v>
      </c>
      <c r="C8295" t="s">
        <v>223</v>
      </c>
      <c r="D8295" t="s">
        <v>74</v>
      </c>
      <c r="E8295" t="s">
        <v>84</v>
      </c>
      <c r="F8295" s="55">
        <v>107</v>
      </c>
      <c r="G8295" s="63">
        <v>1.41E-2</v>
      </c>
    </row>
    <row r="8296" spans="1:7" x14ac:dyDescent="0.2">
      <c r="A8296" t="s">
        <v>89</v>
      </c>
      <c r="B8296" t="s">
        <v>93</v>
      </c>
      <c r="C8296" t="s">
        <v>223</v>
      </c>
      <c r="D8296" t="s">
        <v>74</v>
      </c>
      <c r="E8296" t="s">
        <v>85</v>
      </c>
      <c r="F8296" s="55">
        <v>105</v>
      </c>
      <c r="G8296" s="63">
        <v>2.2200000000000001E-2</v>
      </c>
    </row>
    <row r="8297" spans="1:7" x14ac:dyDescent="0.2">
      <c r="A8297" t="s">
        <v>89</v>
      </c>
      <c r="B8297" t="s">
        <v>93</v>
      </c>
      <c r="C8297" t="s">
        <v>223</v>
      </c>
      <c r="D8297" t="s">
        <v>74</v>
      </c>
      <c r="E8297" t="s">
        <v>86</v>
      </c>
      <c r="F8297" s="55">
        <v>98</v>
      </c>
      <c r="G8297" s="63">
        <v>2.1000000000000001E-2</v>
      </c>
    </row>
    <row r="8298" spans="1:7" x14ac:dyDescent="0.2">
      <c r="A8298" t="s">
        <v>89</v>
      </c>
      <c r="B8298" t="s">
        <v>93</v>
      </c>
      <c r="C8298" t="s">
        <v>223</v>
      </c>
      <c r="D8298" t="s">
        <v>74</v>
      </c>
      <c r="E8298" t="s">
        <v>87</v>
      </c>
      <c r="F8298" s="55">
        <v>100</v>
      </c>
      <c r="G8298" s="63">
        <v>1.8499999999999999E-2</v>
      </c>
    </row>
    <row r="8299" spans="1:7" x14ac:dyDescent="0.2">
      <c r="A8299" t="s">
        <v>89</v>
      </c>
      <c r="B8299" t="s">
        <v>93</v>
      </c>
      <c r="C8299" t="s">
        <v>223</v>
      </c>
      <c r="D8299" t="s">
        <v>74</v>
      </c>
      <c r="E8299" t="s">
        <v>88</v>
      </c>
      <c r="F8299" s="55">
        <v>100</v>
      </c>
      <c r="G8299" s="63">
        <v>1.17E-2</v>
      </c>
    </row>
    <row r="8300" spans="1:7" x14ac:dyDescent="0.2">
      <c r="A8300" t="s">
        <v>71</v>
      </c>
      <c r="B8300" t="s">
        <v>4</v>
      </c>
      <c r="C8300" t="s">
        <v>223</v>
      </c>
      <c r="D8300" t="s">
        <v>74</v>
      </c>
      <c r="E8300" t="s">
        <v>75</v>
      </c>
      <c r="F8300" s="55">
        <v>93</v>
      </c>
      <c r="G8300" s="63">
        <v>0.32769999999999999</v>
      </c>
    </row>
    <row r="8301" spans="1:7" x14ac:dyDescent="0.2">
      <c r="A8301" t="s">
        <v>71</v>
      </c>
      <c r="B8301" t="s">
        <v>4</v>
      </c>
      <c r="C8301" t="s">
        <v>223</v>
      </c>
      <c r="D8301" t="s">
        <v>74</v>
      </c>
      <c r="E8301" t="s">
        <v>76</v>
      </c>
      <c r="F8301" s="55">
        <v>91</v>
      </c>
      <c r="G8301" s="63">
        <v>3.4599999999999999E-2</v>
      </c>
    </row>
    <row r="8302" spans="1:7" x14ac:dyDescent="0.2">
      <c r="A8302" t="s">
        <v>71</v>
      </c>
      <c r="B8302" t="s">
        <v>4</v>
      </c>
      <c r="C8302" t="s">
        <v>223</v>
      </c>
      <c r="D8302" t="s">
        <v>74</v>
      </c>
      <c r="E8302" t="s">
        <v>77</v>
      </c>
      <c r="F8302" s="55">
        <v>96</v>
      </c>
      <c r="G8302" s="63">
        <v>0.14249999999999999</v>
      </c>
    </row>
    <row r="8303" spans="1:7" x14ac:dyDescent="0.2">
      <c r="A8303" t="s">
        <v>71</v>
      </c>
      <c r="B8303" t="s">
        <v>4</v>
      </c>
      <c r="C8303" t="s">
        <v>223</v>
      </c>
      <c r="D8303" t="s">
        <v>74</v>
      </c>
      <c r="E8303" t="s">
        <v>78</v>
      </c>
      <c r="F8303" s="55">
        <v>91</v>
      </c>
      <c r="G8303" s="63">
        <v>0.1472</v>
      </c>
    </row>
    <row r="8304" spans="1:7" x14ac:dyDescent="0.2">
      <c r="A8304" t="s">
        <v>71</v>
      </c>
      <c r="B8304" t="s">
        <v>4</v>
      </c>
      <c r="C8304" t="s">
        <v>223</v>
      </c>
      <c r="D8304" t="s">
        <v>74</v>
      </c>
      <c r="E8304" t="s">
        <v>79</v>
      </c>
      <c r="F8304" s="55">
        <v>93</v>
      </c>
      <c r="G8304" s="63">
        <v>0.23619999999999999</v>
      </c>
    </row>
    <row r="8305" spans="1:7" x14ac:dyDescent="0.2">
      <c r="A8305" t="s">
        <v>71</v>
      </c>
      <c r="B8305" t="s">
        <v>4</v>
      </c>
      <c r="C8305" t="s">
        <v>223</v>
      </c>
      <c r="D8305" t="s">
        <v>74</v>
      </c>
      <c r="E8305" t="s">
        <v>80</v>
      </c>
      <c r="F8305" s="55">
        <v>93</v>
      </c>
      <c r="G8305" s="63">
        <v>6.3299999999999995E-2</v>
      </c>
    </row>
    <row r="8306" spans="1:7" x14ac:dyDescent="0.2">
      <c r="A8306" t="s">
        <v>71</v>
      </c>
      <c r="B8306" t="s">
        <v>4</v>
      </c>
      <c r="C8306" t="s">
        <v>223</v>
      </c>
      <c r="D8306" t="s">
        <v>74</v>
      </c>
      <c r="E8306" t="s">
        <v>81</v>
      </c>
      <c r="F8306" s="55">
        <v>92</v>
      </c>
      <c r="G8306" s="63">
        <v>6.7900000000000002E-2</v>
      </c>
    </row>
    <row r="8307" spans="1:7" x14ac:dyDescent="0.2">
      <c r="A8307" t="s">
        <v>71</v>
      </c>
      <c r="B8307" t="s">
        <v>4</v>
      </c>
      <c r="C8307" t="s">
        <v>223</v>
      </c>
      <c r="D8307" t="s">
        <v>74</v>
      </c>
      <c r="E8307" t="s">
        <v>82</v>
      </c>
      <c r="F8307" s="55">
        <v>90</v>
      </c>
      <c r="G8307" s="63">
        <v>0.17269999999999999</v>
      </c>
    </row>
    <row r="8308" spans="1:7" x14ac:dyDescent="0.2">
      <c r="A8308" t="s">
        <v>71</v>
      </c>
      <c r="B8308" t="s">
        <v>4</v>
      </c>
      <c r="C8308" t="s">
        <v>223</v>
      </c>
      <c r="D8308" t="s">
        <v>74</v>
      </c>
      <c r="E8308" t="s">
        <v>83</v>
      </c>
      <c r="F8308" s="55">
        <v>92</v>
      </c>
      <c r="G8308" s="63">
        <v>2.6599999999999999E-2</v>
      </c>
    </row>
    <row r="8309" spans="1:7" x14ac:dyDescent="0.2">
      <c r="A8309" t="s">
        <v>71</v>
      </c>
      <c r="B8309" t="s">
        <v>4</v>
      </c>
      <c r="C8309" t="s">
        <v>223</v>
      </c>
      <c r="D8309" t="s">
        <v>74</v>
      </c>
      <c r="E8309" t="s">
        <v>84</v>
      </c>
      <c r="F8309" s="55">
        <v>91</v>
      </c>
      <c r="G8309" s="63">
        <v>0.11409999999999999</v>
      </c>
    </row>
    <row r="8310" spans="1:7" x14ac:dyDescent="0.2">
      <c r="A8310" t="s">
        <v>71</v>
      </c>
      <c r="B8310" t="s">
        <v>4</v>
      </c>
      <c r="C8310" t="s">
        <v>223</v>
      </c>
      <c r="D8310" t="s">
        <v>74</v>
      </c>
      <c r="E8310" t="s">
        <v>85</v>
      </c>
      <c r="F8310" s="55">
        <v>94</v>
      </c>
      <c r="G8310" s="63">
        <v>8.1500000000000003E-2</v>
      </c>
    </row>
    <row r="8311" spans="1:7" x14ac:dyDescent="0.2">
      <c r="A8311" t="s">
        <v>71</v>
      </c>
      <c r="B8311" t="s">
        <v>4</v>
      </c>
      <c r="C8311" t="s">
        <v>223</v>
      </c>
      <c r="D8311" t="s">
        <v>74</v>
      </c>
      <c r="E8311" t="s">
        <v>86</v>
      </c>
      <c r="F8311" s="55">
        <v>94</v>
      </c>
      <c r="G8311" s="63">
        <v>0.11459999999999999</v>
      </c>
    </row>
    <row r="8312" spans="1:7" x14ac:dyDescent="0.2">
      <c r="A8312" t="s">
        <v>71</v>
      </c>
      <c r="B8312" t="s">
        <v>4</v>
      </c>
      <c r="C8312" t="s">
        <v>223</v>
      </c>
      <c r="D8312" t="s">
        <v>74</v>
      </c>
      <c r="E8312" t="s">
        <v>87</v>
      </c>
      <c r="F8312" s="55">
        <v>95</v>
      </c>
      <c r="G8312" s="63">
        <v>0.14219999999999999</v>
      </c>
    </row>
    <row r="8313" spans="1:7" x14ac:dyDescent="0.2">
      <c r="A8313" t="s">
        <v>71</v>
      </c>
      <c r="B8313" t="s">
        <v>4</v>
      </c>
      <c r="C8313" t="s">
        <v>223</v>
      </c>
      <c r="D8313" t="s">
        <v>74</v>
      </c>
      <c r="E8313" t="s">
        <v>88</v>
      </c>
      <c r="F8313" s="55">
        <v>89</v>
      </c>
      <c r="G8313" s="63">
        <v>7.1099999999999997E-2</v>
      </c>
    </row>
    <row r="8314" spans="1:7" x14ac:dyDescent="0.2">
      <c r="A8314" t="s">
        <v>71</v>
      </c>
      <c r="B8314" t="s">
        <v>94</v>
      </c>
      <c r="C8314" t="s">
        <v>223</v>
      </c>
      <c r="D8314" t="s">
        <v>74</v>
      </c>
      <c r="E8314" t="s">
        <v>75</v>
      </c>
      <c r="F8314" s="55">
        <v>102</v>
      </c>
      <c r="G8314" s="63">
        <v>0.25940000000000002</v>
      </c>
    </row>
    <row r="8315" spans="1:7" x14ac:dyDescent="0.2">
      <c r="A8315" t="s">
        <v>71</v>
      </c>
      <c r="B8315" t="s">
        <v>94</v>
      </c>
      <c r="C8315" t="s">
        <v>223</v>
      </c>
      <c r="D8315" t="s">
        <v>74</v>
      </c>
      <c r="E8315" t="s">
        <v>76</v>
      </c>
      <c r="F8315" s="55">
        <v>89</v>
      </c>
      <c r="G8315" s="63">
        <v>3.5000000000000003E-2</v>
      </c>
    </row>
    <row r="8316" spans="1:7" x14ac:dyDescent="0.2">
      <c r="A8316" t="s">
        <v>71</v>
      </c>
      <c r="B8316" t="s">
        <v>94</v>
      </c>
      <c r="C8316" t="s">
        <v>223</v>
      </c>
      <c r="D8316" t="s">
        <v>74</v>
      </c>
      <c r="E8316" t="s">
        <v>77</v>
      </c>
      <c r="F8316" s="55">
        <v>97</v>
      </c>
      <c r="G8316" s="63">
        <v>9.1800000000000007E-2</v>
      </c>
    </row>
    <row r="8317" spans="1:7" x14ac:dyDescent="0.2">
      <c r="A8317" t="s">
        <v>71</v>
      </c>
      <c r="B8317" t="s">
        <v>94</v>
      </c>
      <c r="C8317" t="s">
        <v>223</v>
      </c>
      <c r="D8317" t="s">
        <v>74</v>
      </c>
      <c r="E8317" t="s">
        <v>78</v>
      </c>
      <c r="F8317" s="55">
        <v>96</v>
      </c>
      <c r="G8317" s="63">
        <v>8.7599999999999997E-2</v>
      </c>
    </row>
    <row r="8318" spans="1:7" x14ac:dyDescent="0.2">
      <c r="A8318" t="s">
        <v>71</v>
      </c>
      <c r="B8318" t="s">
        <v>94</v>
      </c>
      <c r="C8318" t="s">
        <v>223</v>
      </c>
      <c r="D8318" t="s">
        <v>74</v>
      </c>
      <c r="E8318" t="s">
        <v>79</v>
      </c>
      <c r="F8318" s="55">
        <v>107</v>
      </c>
      <c r="G8318" s="63">
        <v>0.16189999999999999</v>
      </c>
    </row>
    <row r="8319" spans="1:7" x14ac:dyDescent="0.2">
      <c r="A8319" t="s">
        <v>71</v>
      </c>
      <c r="B8319" t="s">
        <v>94</v>
      </c>
      <c r="C8319" t="s">
        <v>223</v>
      </c>
      <c r="D8319" t="s">
        <v>74</v>
      </c>
      <c r="E8319" t="s">
        <v>80</v>
      </c>
      <c r="F8319" s="55">
        <v>109</v>
      </c>
      <c r="G8319" s="63">
        <v>3.9600000000000003E-2</v>
      </c>
    </row>
    <row r="8320" spans="1:7" x14ac:dyDescent="0.2">
      <c r="A8320" t="s">
        <v>71</v>
      </c>
      <c r="B8320" t="s">
        <v>94</v>
      </c>
      <c r="C8320" t="s">
        <v>223</v>
      </c>
      <c r="D8320" t="s">
        <v>74</v>
      </c>
      <c r="E8320" t="s">
        <v>81</v>
      </c>
      <c r="F8320" s="55">
        <v>104</v>
      </c>
      <c r="G8320" s="63">
        <v>4.8000000000000001E-2</v>
      </c>
    </row>
    <row r="8321" spans="1:7" x14ac:dyDescent="0.2">
      <c r="A8321" t="s">
        <v>71</v>
      </c>
      <c r="B8321" t="s">
        <v>94</v>
      </c>
      <c r="C8321" t="s">
        <v>223</v>
      </c>
      <c r="D8321" t="s">
        <v>74</v>
      </c>
      <c r="E8321" t="s">
        <v>82</v>
      </c>
      <c r="F8321" s="55">
        <v>102</v>
      </c>
      <c r="G8321" s="63">
        <v>0.14530000000000001</v>
      </c>
    </row>
    <row r="8322" spans="1:7" x14ac:dyDescent="0.2">
      <c r="A8322" t="s">
        <v>71</v>
      </c>
      <c r="B8322" t="s">
        <v>94</v>
      </c>
      <c r="C8322" t="s">
        <v>223</v>
      </c>
      <c r="D8322" t="s">
        <v>74</v>
      </c>
      <c r="E8322" t="s">
        <v>83</v>
      </c>
      <c r="F8322" s="55">
        <v>93</v>
      </c>
      <c r="G8322" s="63">
        <v>2.58E-2</v>
      </c>
    </row>
    <row r="8323" spans="1:7" x14ac:dyDescent="0.2">
      <c r="A8323" t="s">
        <v>71</v>
      </c>
      <c r="B8323" t="s">
        <v>94</v>
      </c>
      <c r="C8323" t="s">
        <v>223</v>
      </c>
      <c r="D8323" t="s">
        <v>74</v>
      </c>
      <c r="E8323" t="s">
        <v>84</v>
      </c>
      <c r="F8323" s="55">
        <v>97</v>
      </c>
      <c r="G8323" s="63">
        <v>6.4899999999999999E-2</v>
      </c>
    </row>
    <row r="8324" spans="1:7" x14ac:dyDescent="0.2">
      <c r="A8324" t="s">
        <v>71</v>
      </c>
      <c r="B8324" t="s">
        <v>94</v>
      </c>
      <c r="C8324" t="s">
        <v>223</v>
      </c>
      <c r="D8324" t="s">
        <v>74</v>
      </c>
      <c r="E8324" t="s">
        <v>85</v>
      </c>
      <c r="F8324" s="55">
        <v>104</v>
      </c>
      <c r="G8324" s="63">
        <v>4.7199999999999999E-2</v>
      </c>
    </row>
    <row r="8325" spans="1:7" x14ac:dyDescent="0.2">
      <c r="A8325" t="s">
        <v>71</v>
      </c>
      <c r="B8325" t="s">
        <v>94</v>
      </c>
      <c r="C8325" t="s">
        <v>223</v>
      </c>
      <c r="D8325" t="s">
        <v>74</v>
      </c>
      <c r="E8325" t="s">
        <v>86</v>
      </c>
      <c r="F8325" s="55">
        <v>102</v>
      </c>
      <c r="G8325" s="63">
        <v>7.0000000000000007E-2</v>
      </c>
    </row>
    <row r="8326" spans="1:7" x14ac:dyDescent="0.2">
      <c r="A8326" t="s">
        <v>71</v>
      </c>
      <c r="B8326" t="s">
        <v>94</v>
      </c>
      <c r="C8326" t="s">
        <v>223</v>
      </c>
      <c r="D8326" t="s">
        <v>74</v>
      </c>
      <c r="E8326" t="s">
        <v>87</v>
      </c>
      <c r="F8326" s="55">
        <v>111</v>
      </c>
      <c r="G8326" s="63">
        <v>8.7599999999999997E-2</v>
      </c>
    </row>
    <row r="8327" spans="1:7" x14ac:dyDescent="0.2">
      <c r="A8327" t="s">
        <v>71</v>
      </c>
      <c r="B8327" t="s">
        <v>94</v>
      </c>
      <c r="C8327" t="s">
        <v>223</v>
      </c>
      <c r="D8327" t="s">
        <v>74</v>
      </c>
      <c r="E8327" t="s">
        <v>88</v>
      </c>
      <c r="F8327" s="55">
        <v>92</v>
      </c>
      <c r="G8327" s="63">
        <v>5.96E-2</v>
      </c>
    </row>
    <row r="8328" spans="1:7" x14ac:dyDescent="0.2">
      <c r="A8328" t="s">
        <v>89</v>
      </c>
      <c r="B8328" t="s">
        <v>97</v>
      </c>
      <c r="C8328" t="s">
        <v>223</v>
      </c>
      <c r="D8328" t="s">
        <v>74</v>
      </c>
      <c r="E8328" t="s">
        <v>75</v>
      </c>
      <c r="F8328" s="55">
        <v>93</v>
      </c>
      <c r="G8328" s="63">
        <v>0.2681</v>
      </c>
    </row>
    <row r="8329" spans="1:7" x14ac:dyDescent="0.2">
      <c r="A8329" t="s">
        <v>89</v>
      </c>
      <c r="B8329" t="s">
        <v>97</v>
      </c>
      <c r="C8329" t="s">
        <v>223</v>
      </c>
      <c r="D8329" t="s">
        <v>74</v>
      </c>
      <c r="E8329" t="s">
        <v>76</v>
      </c>
      <c r="F8329" s="55">
        <v>98</v>
      </c>
      <c r="G8329" s="63">
        <v>3.73E-2</v>
      </c>
    </row>
    <row r="8330" spans="1:7" x14ac:dyDescent="0.2">
      <c r="A8330" t="s">
        <v>89</v>
      </c>
      <c r="B8330" t="s">
        <v>97</v>
      </c>
      <c r="C8330" t="s">
        <v>223</v>
      </c>
      <c r="D8330" t="s">
        <v>74</v>
      </c>
      <c r="E8330" t="s">
        <v>77</v>
      </c>
      <c r="F8330" s="55">
        <v>98</v>
      </c>
      <c r="G8330" s="63">
        <v>0.1027</v>
      </c>
    </row>
    <row r="8331" spans="1:7" x14ac:dyDescent="0.2">
      <c r="A8331" t="s">
        <v>89</v>
      </c>
      <c r="B8331" t="s">
        <v>97</v>
      </c>
      <c r="C8331" t="s">
        <v>223</v>
      </c>
      <c r="D8331" t="s">
        <v>74</v>
      </c>
      <c r="E8331" t="s">
        <v>78</v>
      </c>
      <c r="F8331" s="55">
        <v>91</v>
      </c>
      <c r="G8331" s="63">
        <v>0.10299999999999999</v>
      </c>
    </row>
    <row r="8332" spans="1:7" x14ac:dyDescent="0.2">
      <c r="A8332" t="s">
        <v>89</v>
      </c>
      <c r="B8332" t="s">
        <v>97</v>
      </c>
      <c r="C8332" t="s">
        <v>223</v>
      </c>
      <c r="D8332" t="s">
        <v>74</v>
      </c>
      <c r="E8332" t="s">
        <v>79</v>
      </c>
      <c r="F8332" s="55">
        <v>90</v>
      </c>
      <c r="G8332" s="63">
        <v>0.1762</v>
      </c>
    </row>
    <row r="8333" spans="1:7" x14ac:dyDescent="0.2">
      <c r="A8333" t="s">
        <v>89</v>
      </c>
      <c r="B8333" t="s">
        <v>97</v>
      </c>
      <c r="C8333" t="s">
        <v>223</v>
      </c>
      <c r="D8333" t="s">
        <v>74</v>
      </c>
      <c r="E8333" t="s">
        <v>80</v>
      </c>
      <c r="F8333" s="55">
        <v>97</v>
      </c>
      <c r="G8333" s="63">
        <v>3.95E-2</v>
      </c>
    </row>
    <row r="8334" spans="1:7" x14ac:dyDescent="0.2">
      <c r="A8334" t="s">
        <v>89</v>
      </c>
      <c r="B8334" t="s">
        <v>97</v>
      </c>
      <c r="C8334" t="s">
        <v>223</v>
      </c>
      <c r="D8334" t="s">
        <v>74</v>
      </c>
      <c r="E8334" t="s">
        <v>81</v>
      </c>
      <c r="F8334" s="55">
        <v>94</v>
      </c>
      <c r="G8334" s="63">
        <v>4.6899999999999997E-2</v>
      </c>
    </row>
    <row r="8335" spans="1:7" x14ac:dyDescent="0.2">
      <c r="A8335" t="s">
        <v>89</v>
      </c>
      <c r="B8335" t="s">
        <v>97</v>
      </c>
      <c r="C8335" t="s">
        <v>223</v>
      </c>
      <c r="D8335" t="s">
        <v>74</v>
      </c>
      <c r="E8335" t="s">
        <v>82</v>
      </c>
      <c r="F8335" s="55">
        <v>94</v>
      </c>
      <c r="G8335" s="63">
        <v>0.12909999999999999</v>
      </c>
    </row>
    <row r="8336" spans="1:7" x14ac:dyDescent="0.2">
      <c r="A8336" t="s">
        <v>89</v>
      </c>
      <c r="B8336" t="s">
        <v>97</v>
      </c>
      <c r="C8336" t="s">
        <v>223</v>
      </c>
      <c r="D8336" t="s">
        <v>74</v>
      </c>
      <c r="E8336" t="s">
        <v>83</v>
      </c>
      <c r="F8336" s="55">
        <v>89</v>
      </c>
      <c r="G8336" s="63">
        <v>2.5100000000000001E-2</v>
      </c>
    </row>
    <row r="8337" spans="1:7" x14ac:dyDescent="0.2">
      <c r="A8337" t="s">
        <v>89</v>
      </c>
      <c r="B8337" t="s">
        <v>97</v>
      </c>
      <c r="C8337" t="s">
        <v>223</v>
      </c>
      <c r="D8337" t="s">
        <v>74</v>
      </c>
      <c r="E8337" t="s">
        <v>84</v>
      </c>
      <c r="F8337" s="55">
        <v>92</v>
      </c>
      <c r="G8337" s="63">
        <v>7.8200000000000006E-2</v>
      </c>
    </row>
    <row r="8338" spans="1:7" x14ac:dyDescent="0.2">
      <c r="A8338" t="s">
        <v>89</v>
      </c>
      <c r="B8338" t="s">
        <v>97</v>
      </c>
      <c r="C8338" t="s">
        <v>223</v>
      </c>
      <c r="D8338" t="s">
        <v>74</v>
      </c>
      <c r="E8338" t="s">
        <v>85</v>
      </c>
      <c r="F8338" s="55">
        <v>89</v>
      </c>
      <c r="G8338" s="63">
        <v>5.0599999999999999E-2</v>
      </c>
    </row>
    <row r="8339" spans="1:7" x14ac:dyDescent="0.2">
      <c r="A8339" t="s">
        <v>89</v>
      </c>
      <c r="B8339" t="s">
        <v>97</v>
      </c>
      <c r="C8339" t="s">
        <v>223</v>
      </c>
      <c r="D8339" t="s">
        <v>74</v>
      </c>
      <c r="E8339" t="s">
        <v>86</v>
      </c>
      <c r="F8339" s="55">
        <v>86</v>
      </c>
      <c r="G8339" s="63">
        <v>7.2700000000000001E-2</v>
      </c>
    </row>
    <row r="8340" spans="1:7" x14ac:dyDescent="0.2">
      <c r="A8340" t="s">
        <v>89</v>
      </c>
      <c r="B8340" t="s">
        <v>97</v>
      </c>
      <c r="C8340" t="s">
        <v>223</v>
      </c>
      <c r="D8340" t="s">
        <v>74</v>
      </c>
      <c r="E8340" t="s">
        <v>87</v>
      </c>
      <c r="F8340" s="55">
        <v>88</v>
      </c>
      <c r="G8340" s="63">
        <v>9.2999999999999999E-2</v>
      </c>
    </row>
    <row r="8341" spans="1:7" x14ac:dyDescent="0.2">
      <c r="A8341" t="s">
        <v>89</v>
      </c>
      <c r="B8341" t="s">
        <v>97</v>
      </c>
      <c r="C8341" t="s">
        <v>223</v>
      </c>
      <c r="D8341" t="s">
        <v>74</v>
      </c>
      <c r="E8341" t="s">
        <v>88</v>
      </c>
      <c r="F8341" s="55">
        <v>91</v>
      </c>
      <c r="G8341" s="63">
        <v>5.9200000000000003E-2</v>
      </c>
    </row>
    <row r="8342" spans="1:7" x14ac:dyDescent="0.2">
      <c r="A8342" t="s">
        <v>89</v>
      </c>
      <c r="B8342" t="s">
        <v>99</v>
      </c>
      <c r="C8342" t="s">
        <v>223</v>
      </c>
      <c r="D8342" t="s">
        <v>74</v>
      </c>
      <c r="E8342" t="s">
        <v>75</v>
      </c>
      <c r="F8342" s="55">
        <v>75</v>
      </c>
      <c r="G8342" s="63">
        <v>2.1899999999999999E-2</v>
      </c>
    </row>
    <row r="8343" spans="1:7" x14ac:dyDescent="0.2">
      <c r="A8343" t="s">
        <v>89</v>
      </c>
      <c r="B8343" t="s">
        <v>99</v>
      </c>
      <c r="C8343" t="s">
        <v>223</v>
      </c>
      <c r="D8343" t="s">
        <v>74</v>
      </c>
      <c r="E8343" t="s">
        <v>76</v>
      </c>
      <c r="F8343" s="55">
        <v>80</v>
      </c>
      <c r="G8343" s="63">
        <v>1.5E-3</v>
      </c>
    </row>
    <row r="8344" spans="1:7" x14ac:dyDescent="0.2">
      <c r="A8344" t="s">
        <v>89</v>
      </c>
      <c r="B8344" t="s">
        <v>99</v>
      </c>
      <c r="C8344" t="s">
        <v>223</v>
      </c>
      <c r="D8344" t="s">
        <v>74</v>
      </c>
      <c r="E8344" t="s">
        <v>77</v>
      </c>
      <c r="F8344" s="55">
        <v>67</v>
      </c>
      <c r="G8344" s="63">
        <v>4.7999999999999996E-3</v>
      </c>
    </row>
    <row r="8345" spans="1:7" x14ac:dyDescent="0.2">
      <c r="A8345" t="s">
        <v>89</v>
      </c>
      <c r="B8345" t="s">
        <v>99</v>
      </c>
      <c r="C8345" t="s">
        <v>223</v>
      </c>
      <c r="D8345" t="s">
        <v>74</v>
      </c>
      <c r="E8345" t="s">
        <v>78</v>
      </c>
      <c r="F8345" s="55">
        <v>72</v>
      </c>
      <c r="G8345" s="63">
        <v>3.7000000000000002E-3</v>
      </c>
    </row>
    <row r="8346" spans="1:7" x14ac:dyDescent="0.2">
      <c r="A8346" t="s">
        <v>89</v>
      </c>
      <c r="B8346" t="s">
        <v>99</v>
      </c>
      <c r="C8346" t="s">
        <v>223</v>
      </c>
      <c r="D8346" t="s">
        <v>74</v>
      </c>
      <c r="E8346" t="s">
        <v>79</v>
      </c>
      <c r="F8346" s="55">
        <v>77</v>
      </c>
      <c r="G8346" s="63">
        <v>1.17E-2</v>
      </c>
    </row>
    <row r="8347" spans="1:7" x14ac:dyDescent="0.2">
      <c r="A8347" t="s">
        <v>89</v>
      </c>
      <c r="B8347" t="s">
        <v>99</v>
      </c>
      <c r="C8347" t="s">
        <v>223</v>
      </c>
      <c r="D8347" t="s">
        <v>74</v>
      </c>
      <c r="E8347" t="s">
        <v>80</v>
      </c>
      <c r="F8347" s="55">
        <v>86</v>
      </c>
      <c r="G8347" s="63">
        <v>6.3E-3</v>
      </c>
    </row>
    <row r="8348" spans="1:7" x14ac:dyDescent="0.2">
      <c r="A8348" t="s">
        <v>89</v>
      </c>
      <c r="B8348" t="s">
        <v>99</v>
      </c>
      <c r="C8348" t="s">
        <v>223</v>
      </c>
      <c r="D8348" t="s">
        <v>74</v>
      </c>
      <c r="E8348" t="s">
        <v>81</v>
      </c>
      <c r="F8348" s="55">
        <v>75</v>
      </c>
      <c r="G8348" s="63">
        <v>6.1999999999999998E-3</v>
      </c>
    </row>
    <row r="8349" spans="1:7" x14ac:dyDescent="0.2">
      <c r="A8349" t="s">
        <v>89</v>
      </c>
      <c r="B8349" t="s">
        <v>99</v>
      </c>
      <c r="C8349" t="s">
        <v>223</v>
      </c>
      <c r="D8349" t="s">
        <v>74</v>
      </c>
      <c r="E8349" t="s">
        <v>82</v>
      </c>
      <c r="F8349" s="55">
        <v>72</v>
      </c>
      <c r="G8349" s="63">
        <v>6.3E-3</v>
      </c>
    </row>
    <row r="8350" spans="1:7" x14ac:dyDescent="0.2">
      <c r="A8350" t="s">
        <v>89</v>
      </c>
      <c r="B8350" t="s">
        <v>99</v>
      </c>
      <c r="C8350" t="s">
        <v>223</v>
      </c>
      <c r="D8350" t="s">
        <v>74</v>
      </c>
      <c r="E8350" t="s">
        <v>83</v>
      </c>
      <c r="F8350" s="55">
        <v>72</v>
      </c>
      <c r="G8350" s="63">
        <v>1.9E-3</v>
      </c>
    </row>
    <row r="8351" spans="1:7" x14ac:dyDescent="0.2">
      <c r="A8351" t="s">
        <v>89</v>
      </c>
      <c r="B8351" t="s">
        <v>99</v>
      </c>
      <c r="C8351" t="s">
        <v>223</v>
      </c>
      <c r="D8351" t="s">
        <v>74</v>
      </c>
      <c r="E8351" t="s">
        <v>84</v>
      </c>
      <c r="F8351" s="55">
        <v>73</v>
      </c>
      <c r="G8351" s="63">
        <v>2.8E-3</v>
      </c>
    </row>
    <row r="8352" spans="1:7" x14ac:dyDescent="0.2">
      <c r="A8352" t="s">
        <v>89</v>
      </c>
      <c r="B8352" t="s">
        <v>99</v>
      </c>
      <c r="C8352" t="s">
        <v>223</v>
      </c>
      <c r="D8352" t="s">
        <v>74</v>
      </c>
      <c r="E8352" t="s">
        <v>85</v>
      </c>
      <c r="F8352" s="55">
        <v>85</v>
      </c>
      <c r="G8352" s="63">
        <v>4.4999999999999997E-3</v>
      </c>
    </row>
    <row r="8353" spans="1:7" x14ac:dyDescent="0.2">
      <c r="A8353" t="s">
        <v>89</v>
      </c>
      <c r="B8353" t="s">
        <v>99</v>
      </c>
      <c r="C8353" t="s">
        <v>223</v>
      </c>
      <c r="D8353" t="s">
        <v>74</v>
      </c>
      <c r="E8353" t="s">
        <v>86</v>
      </c>
      <c r="F8353" s="55">
        <v>75</v>
      </c>
      <c r="G8353" s="63">
        <v>4.3E-3</v>
      </c>
    </row>
    <row r="8354" spans="1:7" x14ac:dyDescent="0.2">
      <c r="A8354" t="s">
        <v>89</v>
      </c>
      <c r="B8354" t="s">
        <v>99</v>
      </c>
      <c r="C8354" t="s">
        <v>223</v>
      </c>
      <c r="D8354" t="s">
        <v>74</v>
      </c>
      <c r="E8354" t="s">
        <v>87</v>
      </c>
      <c r="F8354" s="55">
        <v>72</v>
      </c>
      <c r="G8354" s="63">
        <v>4.3E-3</v>
      </c>
    </row>
    <row r="8355" spans="1:7" x14ac:dyDescent="0.2">
      <c r="A8355" t="s">
        <v>89</v>
      </c>
      <c r="B8355" t="s">
        <v>99</v>
      </c>
      <c r="C8355" t="s">
        <v>223</v>
      </c>
      <c r="D8355" t="s">
        <v>74</v>
      </c>
      <c r="E8355" t="s">
        <v>88</v>
      </c>
      <c r="F8355" s="55">
        <v>75</v>
      </c>
      <c r="G8355" s="63">
        <v>2.8999999999999998E-3</v>
      </c>
    </row>
    <row r="8356" spans="1:7" x14ac:dyDescent="0.2">
      <c r="A8356" t="s">
        <v>71</v>
      </c>
      <c r="B8356" t="s">
        <v>100</v>
      </c>
      <c r="C8356" t="s">
        <v>223</v>
      </c>
      <c r="D8356" t="s">
        <v>74</v>
      </c>
      <c r="E8356" t="s">
        <v>75</v>
      </c>
      <c r="F8356" s="55">
        <v>102</v>
      </c>
      <c r="G8356" s="63">
        <v>0.1318</v>
      </c>
    </row>
    <row r="8357" spans="1:7" x14ac:dyDescent="0.2">
      <c r="A8357" t="s">
        <v>71</v>
      </c>
      <c r="B8357" t="s">
        <v>100</v>
      </c>
      <c r="C8357" t="s">
        <v>223</v>
      </c>
      <c r="D8357" t="s">
        <v>74</v>
      </c>
      <c r="E8357" t="s">
        <v>76</v>
      </c>
      <c r="F8357" s="55">
        <v>93</v>
      </c>
      <c r="G8357" s="63">
        <v>5.1000000000000004E-3</v>
      </c>
    </row>
    <row r="8358" spans="1:7" x14ac:dyDescent="0.2">
      <c r="A8358" t="s">
        <v>71</v>
      </c>
      <c r="B8358" t="s">
        <v>100</v>
      </c>
      <c r="C8358" t="s">
        <v>223</v>
      </c>
      <c r="D8358" t="s">
        <v>74</v>
      </c>
      <c r="E8358" t="s">
        <v>77</v>
      </c>
      <c r="F8358" s="55">
        <v>117</v>
      </c>
      <c r="G8358" s="63">
        <v>2.23E-2</v>
      </c>
    </row>
    <row r="8359" spans="1:7" x14ac:dyDescent="0.2">
      <c r="A8359" t="s">
        <v>71</v>
      </c>
      <c r="B8359" t="s">
        <v>100</v>
      </c>
      <c r="C8359" t="s">
        <v>223</v>
      </c>
      <c r="D8359" t="s">
        <v>74</v>
      </c>
      <c r="E8359" t="s">
        <v>78</v>
      </c>
      <c r="F8359" s="55">
        <v>111</v>
      </c>
      <c r="G8359" s="63">
        <v>2.75E-2</v>
      </c>
    </row>
    <row r="8360" spans="1:7" x14ac:dyDescent="0.2">
      <c r="A8360" t="s">
        <v>71</v>
      </c>
      <c r="B8360" t="s">
        <v>100</v>
      </c>
      <c r="C8360" t="s">
        <v>223</v>
      </c>
      <c r="D8360" t="s">
        <v>74</v>
      </c>
      <c r="E8360" t="s">
        <v>79</v>
      </c>
      <c r="F8360" s="55">
        <v>102</v>
      </c>
      <c r="G8360" s="63">
        <v>9.6799999999999997E-2</v>
      </c>
    </row>
    <row r="8361" spans="1:7" x14ac:dyDescent="0.2">
      <c r="A8361" t="s">
        <v>71</v>
      </c>
      <c r="B8361" t="s">
        <v>100</v>
      </c>
      <c r="C8361" t="s">
        <v>223</v>
      </c>
      <c r="D8361" t="s">
        <v>74</v>
      </c>
      <c r="E8361" t="s">
        <v>80</v>
      </c>
      <c r="F8361" s="55">
        <v>96</v>
      </c>
      <c r="G8361" s="63">
        <v>4.8000000000000001E-2</v>
      </c>
    </row>
    <row r="8362" spans="1:7" x14ac:dyDescent="0.2">
      <c r="A8362" t="s">
        <v>71</v>
      </c>
      <c r="B8362" t="s">
        <v>100</v>
      </c>
      <c r="C8362" t="s">
        <v>223</v>
      </c>
      <c r="D8362" t="s">
        <v>74</v>
      </c>
      <c r="E8362" t="s">
        <v>81</v>
      </c>
      <c r="F8362" s="55">
        <v>95</v>
      </c>
      <c r="G8362" s="63">
        <v>3.6799999999999999E-2</v>
      </c>
    </row>
    <row r="8363" spans="1:7" x14ac:dyDescent="0.2">
      <c r="A8363" t="s">
        <v>71</v>
      </c>
      <c r="B8363" t="s">
        <v>100</v>
      </c>
      <c r="C8363" t="s">
        <v>223</v>
      </c>
      <c r="D8363" t="s">
        <v>74</v>
      </c>
      <c r="E8363" t="s">
        <v>82</v>
      </c>
      <c r="F8363" s="55">
        <v>106</v>
      </c>
      <c r="G8363" s="63">
        <v>5.2299999999999999E-2</v>
      </c>
    </row>
    <row r="8364" spans="1:7" x14ac:dyDescent="0.2">
      <c r="A8364" t="s">
        <v>71</v>
      </c>
      <c r="B8364" t="s">
        <v>100</v>
      </c>
      <c r="C8364" t="s">
        <v>223</v>
      </c>
      <c r="D8364" t="s">
        <v>74</v>
      </c>
      <c r="E8364" t="s">
        <v>83</v>
      </c>
      <c r="F8364" s="55">
        <v>94</v>
      </c>
      <c r="G8364" s="63">
        <v>5.7999999999999996E-3</v>
      </c>
    </row>
    <row r="8365" spans="1:7" x14ac:dyDescent="0.2">
      <c r="A8365" t="s">
        <v>71</v>
      </c>
      <c r="B8365" t="s">
        <v>100</v>
      </c>
      <c r="C8365" t="s">
        <v>223</v>
      </c>
      <c r="D8365" t="s">
        <v>74</v>
      </c>
      <c r="E8365" t="s">
        <v>84</v>
      </c>
      <c r="F8365" s="55">
        <v>104</v>
      </c>
      <c r="G8365" s="63">
        <v>1.38E-2</v>
      </c>
    </row>
    <row r="8366" spans="1:7" x14ac:dyDescent="0.2">
      <c r="A8366" t="s">
        <v>71</v>
      </c>
      <c r="B8366" t="s">
        <v>100</v>
      </c>
      <c r="C8366" t="s">
        <v>223</v>
      </c>
      <c r="D8366" t="s">
        <v>74</v>
      </c>
      <c r="E8366" t="s">
        <v>85</v>
      </c>
      <c r="F8366" s="55">
        <v>99</v>
      </c>
      <c r="G8366" s="63">
        <v>5.28E-2</v>
      </c>
    </row>
    <row r="8367" spans="1:7" x14ac:dyDescent="0.2">
      <c r="A8367" t="s">
        <v>71</v>
      </c>
      <c r="B8367" t="s">
        <v>100</v>
      </c>
      <c r="C8367" t="s">
        <v>223</v>
      </c>
      <c r="D8367" t="s">
        <v>74</v>
      </c>
      <c r="E8367" t="s">
        <v>86</v>
      </c>
      <c r="F8367" s="55">
        <v>102</v>
      </c>
      <c r="G8367" s="63">
        <v>5.4300000000000001E-2</v>
      </c>
    </row>
    <row r="8368" spans="1:7" x14ac:dyDescent="0.2">
      <c r="A8368" t="s">
        <v>71</v>
      </c>
      <c r="B8368" t="s">
        <v>100</v>
      </c>
      <c r="C8368" t="s">
        <v>223</v>
      </c>
      <c r="D8368" t="s">
        <v>74</v>
      </c>
      <c r="E8368" t="s">
        <v>87</v>
      </c>
      <c r="F8368" s="55">
        <v>102</v>
      </c>
      <c r="G8368" s="63">
        <v>5.3600000000000002E-2</v>
      </c>
    </row>
    <row r="8369" spans="1:7" x14ac:dyDescent="0.2">
      <c r="A8369" t="s">
        <v>71</v>
      </c>
      <c r="B8369" t="s">
        <v>100</v>
      </c>
      <c r="C8369" t="s">
        <v>223</v>
      </c>
      <c r="D8369" t="s">
        <v>74</v>
      </c>
      <c r="E8369" t="s">
        <v>88</v>
      </c>
      <c r="F8369" s="55">
        <v>94</v>
      </c>
      <c r="G8369" s="63">
        <v>8.6999999999999994E-3</v>
      </c>
    </row>
    <row r="8370" spans="1:7" x14ac:dyDescent="0.2">
      <c r="A8370" t="s">
        <v>71</v>
      </c>
      <c r="B8370" t="s">
        <v>101</v>
      </c>
      <c r="C8370" t="s">
        <v>223</v>
      </c>
      <c r="D8370" t="s">
        <v>74</v>
      </c>
      <c r="E8370" t="s">
        <v>75</v>
      </c>
      <c r="F8370" s="55">
        <v>62</v>
      </c>
      <c r="G8370" s="63">
        <v>0.1182</v>
      </c>
    </row>
    <row r="8371" spans="1:7" x14ac:dyDescent="0.2">
      <c r="A8371" t="s">
        <v>71</v>
      </c>
      <c r="B8371" t="s">
        <v>101</v>
      </c>
      <c r="C8371" t="s">
        <v>223</v>
      </c>
      <c r="D8371" t="s">
        <v>74</v>
      </c>
      <c r="E8371" t="s">
        <v>76</v>
      </c>
      <c r="F8371" s="55">
        <v>66</v>
      </c>
      <c r="G8371" s="63">
        <v>1.1599999999999999E-2</v>
      </c>
    </row>
    <row r="8372" spans="1:7" x14ac:dyDescent="0.2">
      <c r="A8372" t="s">
        <v>71</v>
      </c>
      <c r="B8372" t="s">
        <v>101</v>
      </c>
      <c r="C8372" t="s">
        <v>223</v>
      </c>
      <c r="D8372" t="s">
        <v>74</v>
      </c>
      <c r="E8372" t="s">
        <v>77</v>
      </c>
      <c r="F8372" s="55">
        <v>52</v>
      </c>
      <c r="G8372" s="63">
        <v>3.2399999999999998E-2</v>
      </c>
    </row>
    <row r="8373" spans="1:7" x14ac:dyDescent="0.2">
      <c r="A8373" t="s">
        <v>71</v>
      </c>
      <c r="B8373" t="s">
        <v>101</v>
      </c>
      <c r="C8373" t="s">
        <v>223</v>
      </c>
      <c r="D8373" t="s">
        <v>74</v>
      </c>
      <c r="E8373" t="s">
        <v>78</v>
      </c>
      <c r="F8373" s="55">
        <v>63</v>
      </c>
      <c r="G8373" s="63">
        <v>2.9899999999999999E-2</v>
      </c>
    </row>
    <row r="8374" spans="1:7" x14ac:dyDescent="0.2">
      <c r="A8374" t="s">
        <v>71</v>
      </c>
      <c r="B8374" t="s">
        <v>101</v>
      </c>
      <c r="C8374" t="s">
        <v>223</v>
      </c>
      <c r="D8374" t="s">
        <v>74</v>
      </c>
      <c r="E8374" t="s">
        <v>79</v>
      </c>
      <c r="F8374" s="55">
        <v>66</v>
      </c>
      <c r="G8374" s="63">
        <v>7.4700000000000003E-2</v>
      </c>
    </row>
    <row r="8375" spans="1:7" x14ac:dyDescent="0.2">
      <c r="A8375" t="s">
        <v>71</v>
      </c>
      <c r="B8375" t="s">
        <v>101</v>
      </c>
      <c r="C8375" t="s">
        <v>223</v>
      </c>
      <c r="D8375" t="s">
        <v>74</v>
      </c>
      <c r="E8375" t="s">
        <v>80</v>
      </c>
      <c r="F8375" s="55">
        <v>55</v>
      </c>
      <c r="G8375" s="63">
        <v>1.7399999999999999E-2</v>
      </c>
    </row>
    <row r="8376" spans="1:7" x14ac:dyDescent="0.2">
      <c r="A8376" t="s">
        <v>71</v>
      </c>
      <c r="B8376" t="s">
        <v>101</v>
      </c>
      <c r="C8376" t="s">
        <v>223</v>
      </c>
      <c r="D8376" t="s">
        <v>74</v>
      </c>
      <c r="E8376" t="s">
        <v>81</v>
      </c>
      <c r="F8376" s="55">
        <v>52</v>
      </c>
      <c r="G8376" s="63">
        <v>1.95E-2</v>
      </c>
    </row>
    <row r="8377" spans="1:7" x14ac:dyDescent="0.2">
      <c r="A8377" t="s">
        <v>71</v>
      </c>
      <c r="B8377" t="s">
        <v>101</v>
      </c>
      <c r="C8377" t="s">
        <v>223</v>
      </c>
      <c r="D8377" t="s">
        <v>74</v>
      </c>
      <c r="E8377" t="s">
        <v>82</v>
      </c>
      <c r="F8377" s="55">
        <v>65</v>
      </c>
      <c r="G8377" s="63">
        <v>5.3900000000000003E-2</v>
      </c>
    </row>
    <row r="8378" spans="1:7" x14ac:dyDescent="0.2">
      <c r="A8378" t="s">
        <v>71</v>
      </c>
      <c r="B8378" t="s">
        <v>101</v>
      </c>
      <c r="C8378" t="s">
        <v>223</v>
      </c>
      <c r="D8378" t="s">
        <v>74</v>
      </c>
      <c r="E8378" t="s">
        <v>83</v>
      </c>
      <c r="F8378" s="55">
        <v>53</v>
      </c>
      <c r="G8378" s="63">
        <v>8.8999999999999999E-3</v>
      </c>
    </row>
    <row r="8379" spans="1:7" x14ac:dyDescent="0.2">
      <c r="A8379" t="s">
        <v>71</v>
      </c>
      <c r="B8379" t="s">
        <v>101</v>
      </c>
      <c r="C8379" t="s">
        <v>223</v>
      </c>
      <c r="D8379" t="s">
        <v>74</v>
      </c>
      <c r="E8379" t="s">
        <v>84</v>
      </c>
      <c r="F8379" s="55">
        <v>61</v>
      </c>
      <c r="G8379" s="63">
        <v>1.9699999999999999E-2</v>
      </c>
    </row>
    <row r="8380" spans="1:7" x14ac:dyDescent="0.2">
      <c r="A8380" t="s">
        <v>71</v>
      </c>
      <c r="B8380" t="s">
        <v>101</v>
      </c>
      <c r="C8380" t="s">
        <v>223</v>
      </c>
      <c r="D8380" t="s">
        <v>74</v>
      </c>
      <c r="E8380" t="s">
        <v>85</v>
      </c>
      <c r="F8380" s="55">
        <v>58</v>
      </c>
      <c r="G8380" s="63">
        <v>1.9099999999999999E-2</v>
      </c>
    </row>
    <row r="8381" spans="1:7" x14ac:dyDescent="0.2">
      <c r="A8381" t="s">
        <v>71</v>
      </c>
      <c r="B8381" t="s">
        <v>101</v>
      </c>
      <c r="C8381" t="s">
        <v>223</v>
      </c>
      <c r="D8381" t="s">
        <v>74</v>
      </c>
      <c r="E8381" t="s">
        <v>86</v>
      </c>
      <c r="F8381" s="55">
        <v>65</v>
      </c>
      <c r="G8381" s="63">
        <v>2.8299999999999999E-2</v>
      </c>
    </row>
    <row r="8382" spans="1:7" x14ac:dyDescent="0.2">
      <c r="A8382" t="s">
        <v>71</v>
      </c>
      <c r="B8382" t="s">
        <v>101</v>
      </c>
      <c r="C8382" t="s">
        <v>223</v>
      </c>
      <c r="D8382" t="s">
        <v>74</v>
      </c>
      <c r="E8382" t="s">
        <v>87</v>
      </c>
      <c r="F8382" s="55">
        <v>68</v>
      </c>
      <c r="G8382" s="63">
        <v>3.44E-2</v>
      </c>
    </row>
    <row r="8383" spans="1:7" x14ac:dyDescent="0.2">
      <c r="A8383" t="s">
        <v>71</v>
      </c>
      <c r="B8383" t="s">
        <v>101</v>
      </c>
      <c r="C8383" t="s">
        <v>223</v>
      </c>
      <c r="D8383" t="s">
        <v>74</v>
      </c>
      <c r="E8383" t="s">
        <v>88</v>
      </c>
      <c r="F8383" s="55">
        <v>60</v>
      </c>
      <c r="G8383" s="63">
        <v>2.0199999999999999E-2</v>
      </c>
    </row>
    <row r="8384" spans="1:7" x14ac:dyDescent="0.2">
      <c r="A8384" t="s">
        <v>89</v>
      </c>
      <c r="B8384" t="s">
        <v>102</v>
      </c>
      <c r="C8384" t="s">
        <v>223</v>
      </c>
      <c r="D8384" t="s">
        <v>74</v>
      </c>
      <c r="E8384" t="s">
        <v>75</v>
      </c>
      <c r="F8384" s="55">
        <v>84</v>
      </c>
      <c r="G8384" s="63">
        <v>0.17879999999999999</v>
      </c>
    </row>
    <row r="8385" spans="1:7" x14ac:dyDescent="0.2">
      <c r="A8385" t="s">
        <v>89</v>
      </c>
      <c r="B8385" t="s">
        <v>102</v>
      </c>
      <c r="C8385" t="s">
        <v>223</v>
      </c>
      <c r="D8385" t="s">
        <v>74</v>
      </c>
      <c r="E8385" t="s">
        <v>76</v>
      </c>
      <c r="F8385" s="55">
        <v>80</v>
      </c>
      <c r="G8385" s="63">
        <v>1.7999999999999999E-2</v>
      </c>
    </row>
    <row r="8386" spans="1:7" x14ac:dyDescent="0.2">
      <c r="A8386" t="s">
        <v>89</v>
      </c>
      <c r="B8386" t="s">
        <v>102</v>
      </c>
      <c r="C8386" t="s">
        <v>223</v>
      </c>
      <c r="D8386" t="s">
        <v>74</v>
      </c>
      <c r="E8386" t="s">
        <v>77</v>
      </c>
      <c r="F8386" s="55">
        <v>87</v>
      </c>
      <c r="G8386" s="63">
        <v>6.5299999999999997E-2</v>
      </c>
    </row>
    <row r="8387" spans="1:7" x14ac:dyDescent="0.2">
      <c r="A8387" t="s">
        <v>89</v>
      </c>
      <c r="B8387" t="s">
        <v>102</v>
      </c>
      <c r="C8387" t="s">
        <v>223</v>
      </c>
      <c r="D8387" t="s">
        <v>74</v>
      </c>
      <c r="E8387" t="s">
        <v>78</v>
      </c>
      <c r="F8387" s="55">
        <v>88</v>
      </c>
      <c r="G8387" s="63">
        <v>5.1700000000000003E-2</v>
      </c>
    </row>
    <row r="8388" spans="1:7" x14ac:dyDescent="0.2">
      <c r="A8388" t="s">
        <v>89</v>
      </c>
      <c r="B8388" t="s">
        <v>102</v>
      </c>
      <c r="C8388" t="s">
        <v>223</v>
      </c>
      <c r="D8388" t="s">
        <v>74</v>
      </c>
      <c r="E8388" t="s">
        <v>79</v>
      </c>
      <c r="F8388" s="55">
        <v>78</v>
      </c>
      <c r="G8388" s="63">
        <v>0.1027</v>
      </c>
    </row>
    <row r="8389" spans="1:7" x14ac:dyDescent="0.2">
      <c r="A8389" t="s">
        <v>89</v>
      </c>
      <c r="B8389" t="s">
        <v>102</v>
      </c>
      <c r="C8389" t="s">
        <v>223</v>
      </c>
      <c r="D8389" t="s">
        <v>74</v>
      </c>
      <c r="E8389" t="s">
        <v>80</v>
      </c>
      <c r="F8389" s="55">
        <v>89</v>
      </c>
      <c r="G8389" s="63">
        <v>5.0200000000000002E-2</v>
      </c>
    </row>
    <row r="8390" spans="1:7" x14ac:dyDescent="0.2">
      <c r="A8390" t="s">
        <v>89</v>
      </c>
      <c r="B8390" t="s">
        <v>102</v>
      </c>
      <c r="C8390" t="s">
        <v>223</v>
      </c>
      <c r="D8390" t="s">
        <v>74</v>
      </c>
      <c r="E8390" t="s">
        <v>81</v>
      </c>
      <c r="F8390" s="55">
        <v>81</v>
      </c>
      <c r="G8390" s="63">
        <v>5.28E-2</v>
      </c>
    </row>
    <row r="8391" spans="1:7" x14ac:dyDescent="0.2">
      <c r="A8391" t="s">
        <v>89</v>
      </c>
      <c r="B8391" t="s">
        <v>102</v>
      </c>
      <c r="C8391" t="s">
        <v>223</v>
      </c>
      <c r="D8391" t="s">
        <v>74</v>
      </c>
      <c r="E8391" t="s">
        <v>82</v>
      </c>
      <c r="F8391" s="55">
        <v>83</v>
      </c>
      <c r="G8391" s="63">
        <v>6.6699999999999995E-2</v>
      </c>
    </row>
    <row r="8392" spans="1:7" x14ac:dyDescent="0.2">
      <c r="A8392" t="s">
        <v>89</v>
      </c>
      <c r="B8392" t="s">
        <v>102</v>
      </c>
      <c r="C8392" t="s">
        <v>223</v>
      </c>
      <c r="D8392" t="s">
        <v>74</v>
      </c>
      <c r="E8392" t="s">
        <v>83</v>
      </c>
      <c r="F8392" s="55">
        <v>70</v>
      </c>
      <c r="G8392" s="63">
        <v>1.7299999999999999E-2</v>
      </c>
    </row>
    <row r="8393" spans="1:7" x14ac:dyDescent="0.2">
      <c r="A8393" t="s">
        <v>89</v>
      </c>
      <c r="B8393" t="s">
        <v>102</v>
      </c>
      <c r="C8393" t="s">
        <v>223</v>
      </c>
      <c r="D8393" t="s">
        <v>74</v>
      </c>
      <c r="E8393" t="s">
        <v>84</v>
      </c>
      <c r="F8393" s="55">
        <v>90</v>
      </c>
      <c r="G8393" s="63">
        <v>4.1099999999999998E-2</v>
      </c>
    </row>
    <row r="8394" spans="1:7" x14ac:dyDescent="0.2">
      <c r="A8394" t="s">
        <v>89</v>
      </c>
      <c r="B8394" t="s">
        <v>102</v>
      </c>
      <c r="C8394" t="s">
        <v>223</v>
      </c>
      <c r="D8394" t="s">
        <v>74</v>
      </c>
      <c r="E8394" t="s">
        <v>85</v>
      </c>
      <c r="F8394" s="55">
        <v>79</v>
      </c>
      <c r="G8394" s="63">
        <v>4.2500000000000003E-2</v>
      </c>
    </row>
    <row r="8395" spans="1:7" x14ac:dyDescent="0.2">
      <c r="A8395" t="s">
        <v>89</v>
      </c>
      <c r="B8395" t="s">
        <v>102</v>
      </c>
      <c r="C8395" t="s">
        <v>223</v>
      </c>
      <c r="D8395" t="s">
        <v>74</v>
      </c>
      <c r="E8395" t="s">
        <v>86</v>
      </c>
      <c r="F8395" s="55">
        <v>77</v>
      </c>
      <c r="G8395" s="63">
        <v>4.2299999999999997E-2</v>
      </c>
    </row>
    <row r="8396" spans="1:7" x14ac:dyDescent="0.2">
      <c r="A8396" t="s">
        <v>89</v>
      </c>
      <c r="B8396" t="s">
        <v>102</v>
      </c>
      <c r="C8396" t="s">
        <v>223</v>
      </c>
      <c r="D8396" t="s">
        <v>74</v>
      </c>
      <c r="E8396" t="s">
        <v>87</v>
      </c>
      <c r="F8396" s="55">
        <v>78</v>
      </c>
      <c r="G8396" s="63">
        <v>3.9399999999999998E-2</v>
      </c>
    </row>
    <row r="8397" spans="1:7" x14ac:dyDescent="0.2">
      <c r="A8397" t="s">
        <v>89</v>
      </c>
      <c r="B8397" t="s">
        <v>102</v>
      </c>
      <c r="C8397" t="s">
        <v>223</v>
      </c>
      <c r="D8397" t="s">
        <v>74</v>
      </c>
      <c r="E8397" t="s">
        <v>88</v>
      </c>
      <c r="F8397" s="55">
        <v>77</v>
      </c>
      <c r="G8397" s="63">
        <v>2.76E-2</v>
      </c>
    </row>
    <row r="8398" spans="1:7" x14ac:dyDescent="0.2">
      <c r="A8398" t="s">
        <v>71</v>
      </c>
      <c r="B8398" t="s">
        <v>104</v>
      </c>
      <c r="C8398" t="s">
        <v>223</v>
      </c>
      <c r="D8398" t="s">
        <v>74</v>
      </c>
      <c r="E8398" t="s">
        <v>75</v>
      </c>
      <c r="F8398" s="55">
        <v>79</v>
      </c>
      <c r="G8398" s="63">
        <v>0.2407</v>
      </c>
    </row>
    <row r="8399" spans="1:7" x14ac:dyDescent="0.2">
      <c r="A8399" t="s">
        <v>71</v>
      </c>
      <c r="B8399" t="s">
        <v>104</v>
      </c>
      <c r="C8399" t="s">
        <v>223</v>
      </c>
      <c r="D8399" t="s">
        <v>74</v>
      </c>
      <c r="E8399" t="s">
        <v>76</v>
      </c>
      <c r="F8399" s="55">
        <v>81</v>
      </c>
      <c r="G8399" s="63">
        <v>4.3200000000000002E-2</v>
      </c>
    </row>
    <row r="8400" spans="1:7" x14ac:dyDescent="0.2">
      <c r="A8400" t="s">
        <v>71</v>
      </c>
      <c r="B8400" t="s">
        <v>104</v>
      </c>
      <c r="C8400" t="s">
        <v>223</v>
      </c>
      <c r="D8400" t="s">
        <v>74</v>
      </c>
      <c r="E8400" t="s">
        <v>77</v>
      </c>
      <c r="F8400" s="55">
        <v>80</v>
      </c>
      <c r="G8400" s="63">
        <v>9.8299999999999998E-2</v>
      </c>
    </row>
    <row r="8401" spans="1:7" x14ac:dyDescent="0.2">
      <c r="A8401" t="s">
        <v>71</v>
      </c>
      <c r="B8401" t="s">
        <v>104</v>
      </c>
      <c r="C8401" t="s">
        <v>223</v>
      </c>
      <c r="D8401" t="s">
        <v>74</v>
      </c>
      <c r="E8401" t="s">
        <v>78</v>
      </c>
      <c r="F8401" s="55">
        <v>77</v>
      </c>
      <c r="G8401" s="63">
        <v>9.2700000000000005E-2</v>
      </c>
    </row>
    <row r="8402" spans="1:7" x14ac:dyDescent="0.2">
      <c r="A8402" t="s">
        <v>71</v>
      </c>
      <c r="B8402" t="s">
        <v>104</v>
      </c>
      <c r="C8402" t="s">
        <v>223</v>
      </c>
      <c r="D8402" t="s">
        <v>74</v>
      </c>
      <c r="E8402" t="s">
        <v>79</v>
      </c>
      <c r="F8402" s="55">
        <v>78</v>
      </c>
      <c r="G8402" s="63">
        <v>0.1656</v>
      </c>
    </row>
    <row r="8403" spans="1:7" x14ac:dyDescent="0.2">
      <c r="A8403" t="s">
        <v>71</v>
      </c>
      <c r="B8403" t="s">
        <v>104</v>
      </c>
      <c r="C8403" t="s">
        <v>223</v>
      </c>
      <c r="D8403" t="s">
        <v>74</v>
      </c>
      <c r="E8403" t="s">
        <v>80</v>
      </c>
      <c r="F8403" s="55">
        <v>79</v>
      </c>
      <c r="G8403" s="63">
        <v>4.3999999999999997E-2</v>
      </c>
    </row>
    <row r="8404" spans="1:7" x14ac:dyDescent="0.2">
      <c r="A8404" t="s">
        <v>71</v>
      </c>
      <c r="B8404" t="s">
        <v>104</v>
      </c>
      <c r="C8404" t="s">
        <v>223</v>
      </c>
      <c r="D8404" t="s">
        <v>74</v>
      </c>
      <c r="E8404" t="s">
        <v>81</v>
      </c>
      <c r="F8404" s="55">
        <v>82</v>
      </c>
      <c r="G8404" s="63">
        <v>5.11E-2</v>
      </c>
    </row>
    <row r="8405" spans="1:7" x14ac:dyDescent="0.2">
      <c r="A8405" t="s">
        <v>71</v>
      </c>
      <c r="B8405" t="s">
        <v>104</v>
      </c>
      <c r="C8405" t="s">
        <v>223</v>
      </c>
      <c r="D8405" t="s">
        <v>74</v>
      </c>
      <c r="E8405" t="s">
        <v>82</v>
      </c>
      <c r="F8405" s="55">
        <v>79</v>
      </c>
      <c r="G8405" s="63">
        <v>0.114</v>
      </c>
    </row>
    <row r="8406" spans="1:7" x14ac:dyDescent="0.2">
      <c r="A8406" t="s">
        <v>71</v>
      </c>
      <c r="B8406" t="s">
        <v>104</v>
      </c>
      <c r="C8406" t="s">
        <v>223</v>
      </c>
      <c r="D8406" t="s">
        <v>74</v>
      </c>
      <c r="E8406" t="s">
        <v>83</v>
      </c>
      <c r="F8406" s="55">
        <v>79</v>
      </c>
      <c r="G8406" s="63">
        <v>2.9499999999999998E-2</v>
      </c>
    </row>
    <row r="8407" spans="1:7" x14ac:dyDescent="0.2">
      <c r="A8407" t="s">
        <v>71</v>
      </c>
      <c r="B8407" t="s">
        <v>104</v>
      </c>
      <c r="C8407" t="s">
        <v>223</v>
      </c>
      <c r="D8407" t="s">
        <v>74</v>
      </c>
      <c r="E8407" t="s">
        <v>84</v>
      </c>
      <c r="F8407" s="55">
        <v>77</v>
      </c>
      <c r="G8407" s="63">
        <v>7.0800000000000002E-2</v>
      </c>
    </row>
    <row r="8408" spans="1:7" x14ac:dyDescent="0.2">
      <c r="A8408" t="s">
        <v>71</v>
      </c>
      <c r="B8408" t="s">
        <v>104</v>
      </c>
      <c r="C8408" t="s">
        <v>223</v>
      </c>
      <c r="D8408" t="s">
        <v>74</v>
      </c>
      <c r="E8408" t="s">
        <v>85</v>
      </c>
      <c r="F8408" s="55">
        <v>75</v>
      </c>
      <c r="G8408" s="63">
        <v>5.8799999999999998E-2</v>
      </c>
    </row>
    <row r="8409" spans="1:7" x14ac:dyDescent="0.2">
      <c r="A8409" t="s">
        <v>71</v>
      </c>
      <c r="B8409" t="s">
        <v>104</v>
      </c>
      <c r="C8409" t="s">
        <v>223</v>
      </c>
      <c r="D8409" t="s">
        <v>74</v>
      </c>
      <c r="E8409" t="s">
        <v>86</v>
      </c>
      <c r="F8409" s="55">
        <v>77</v>
      </c>
      <c r="G8409" s="63">
        <v>8.2000000000000003E-2</v>
      </c>
    </row>
    <row r="8410" spans="1:7" x14ac:dyDescent="0.2">
      <c r="A8410" t="s">
        <v>71</v>
      </c>
      <c r="B8410" t="s">
        <v>104</v>
      </c>
      <c r="C8410" t="s">
        <v>223</v>
      </c>
      <c r="D8410" t="s">
        <v>74</v>
      </c>
      <c r="E8410" t="s">
        <v>87</v>
      </c>
      <c r="F8410" s="55">
        <v>78</v>
      </c>
      <c r="G8410" s="63">
        <v>9.7699999999999995E-2</v>
      </c>
    </row>
    <row r="8411" spans="1:7" x14ac:dyDescent="0.2">
      <c r="A8411" t="s">
        <v>71</v>
      </c>
      <c r="B8411" t="s">
        <v>104</v>
      </c>
      <c r="C8411" t="s">
        <v>223</v>
      </c>
      <c r="D8411" t="s">
        <v>74</v>
      </c>
      <c r="E8411" t="s">
        <v>88</v>
      </c>
      <c r="F8411" s="55">
        <v>81</v>
      </c>
      <c r="G8411" s="63">
        <v>6.1199999999999997E-2</v>
      </c>
    </row>
    <row r="8412" spans="1:7" x14ac:dyDescent="0.2">
      <c r="A8412" t="s">
        <v>71</v>
      </c>
      <c r="B8412" t="s">
        <v>105</v>
      </c>
      <c r="C8412" t="s">
        <v>223</v>
      </c>
      <c r="D8412" t="s">
        <v>74</v>
      </c>
      <c r="E8412" t="s">
        <v>75</v>
      </c>
      <c r="F8412" s="55">
        <v>73</v>
      </c>
      <c r="G8412" s="63">
        <v>3.8699999999999998E-2</v>
      </c>
    </row>
    <row r="8413" spans="1:7" x14ac:dyDescent="0.2">
      <c r="A8413" t="s">
        <v>71</v>
      </c>
      <c r="B8413" t="s">
        <v>105</v>
      </c>
      <c r="C8413" t="s">
        <v>223</v>
      </c>
      <c r="D8413" t="s">
        <v>74</v>
      </c>
      <c r="E8413" t="s">
        <v>76</v>
      </c>
      <c r="F8413" s="55">
        <v>69</v>
      </c>
      <c r="G8413" s="63">
        <v>4.7999999999999996E-3</v>
      </c>
    </row>
    <row r="8414" spans="1:7" x14ac:dyDescent="0.2">
      <c r="A8414" t="s">
        <v>71</v>
      </c>
      <c r="B8414" t="s">
        <v>105</v>
      </c>
      <c r="C8414" t="s">
        <v>223</v>
      </c>
      <c r="D8414" t="s">
        <v>74</v>
      </c>
      <c r="E8414" t="s">
        <v>77</v>
      </c>
      <c r="F8414" s="55">
        <v>71</v>
      </c>
      <c r="G8414" s="63">
        <v>1.04E-2</v>
      </c>
    </row>
    <row r="8415" spans="1:7" x14ac:dyDescent="0.2">
      <c r="A8415" t="s">
        <v>71</v>
      </c>
      <c r="B8415" t="s">
        <v>105</v>
      </c>
      <c r="C8415" t="s">
        <v>223</v>
      </c>
      <c r="D8415" t="s">
        <v>74</v>
      </c>
      <c r="E8415" t="s">
        <v>78</v>
      </c>
      <c r="F8415" s="55">
        <v>75</v>
      </c>
      <c r="G8415" s="63">
        <v>8.8999999999999999E-3</v>
      </c>
    </row>
    <row r="8416" spans="1:7" x14ac:dyDescent="0.2">
      <c r="A8416" t="s">
        <v>71</v>
      </c>
      <c r="B8416" t="s">
        <v>105</v>
      </c>
      <c r="C8416" t="s">
        <v>223</v>
      </c>
      <c r="D8416" t="s">
        <v>74</v>
      </c>
      <c r="E8416" t="s">
        <v>79</v>
      </c>
      <c r="F8416" s="55">
        <v>70</v>
      </c>
      <c r="G8416" s="63">
        <v>2.1100000000000001E-2</v>
      </c>
    </row>
    <row r="8417" spans="1:7" x14ac:dyDescent="0.2">
      <c r="A8417" t="s">
        <v>71</v>
      </c>
      <c r="B8417" t="s">
        <v>105</v>
      </c>
      <c r="C8417" t="s">
        <v>223</v>
      </c>
      <c r="D8417" t="s">
        <v>74</v>
      </c>
      <c r="E8417" t="s">
        <v>80</v>
      </c>
      <c r="F8417" s="55">
        <v>72</v>
      </c>
      <c r="G8417" s="63">
        <v>5.3E-3</v>
      </c>
    </row>
    <row r="8418" spans="1:7" x14ac:dyDescent="0.2">
      <c r="A8418" t="s">
        <v>71</v>
      </c>
      <c r="B8418" t="s">
        <v>105</v>
      </c>
      <c r="C8418" t="s">
        <v>223</v>
      </c>
      <c r="D8418" t="s">
        <v>74</v>
      </c>
      <c r="E8418" t="s">
        <v>81</v>
      </c>
      <c r="F8418" s="55">
        <v>74</v>
      </c>
      <c r="G8418" s="63">
        <v>6.7000000000000002E-3</v>
      </c>
    </row>
    <row r="8419" spans="1:7" x14ac:dyDescent="0.2">
      <c r="A8419" t="s">
        <v>71</v>
      </c>
      <c r="B8419" t="s">
        <v>105</v>
      </c>
      <c r="C8419" t="s">
        <v>223</v>
      </c>
      <c r="D8419" t="s">
        <v>74</v>
      </c>
      <c r="E8419" t="s">
        <v>82</v>
      </c>
      <c r="F8419" s="55">
        <v>90</v>
      </c>
      <c r="G8419" s="63">
        <v>1.5299999999999999E-2</v>
      </c>
    </row>
    <row r="8420" spans="1:7" x14ac:dyDescent="0.2">
      <c r="A8420" t="s">
        <v>71</v>
      </c>
      <c r="B8420" t="s">
        <v>105</v>
      </c>
      <c r="C8420" t="s">
        <v>223</v>
      </c>
      <c r="D8420" t="s">
        <v>74</v>
      </c>
      <c r="E8420" t="s">
        <v>83</v>
      </c>
      <c r="F8420" s="55">
        <v>62</v>
      </c>
      <c r="G8420" s="63">
        <v>3.2000000000000002E-3</v>
      </c>
    </row>
    <row r="8421" spans="1:7" x14ac:dyDescent="0.2">
      <c r="A8421" t="s">
        <v>71</v>
      </c>
      <c r="B8421" t="s">
        <v>105</v>
      </c>
      <c r="C8421" t="s">
        <v>223</v>
      </c>
      <c r="D8421" t="s">
        <v>74</v>
      </c>
      <c r="E8421" t="s">
        <v>84</v>
      </c>
      <c r="F8421" s="55">
        <v>81</v>
      </c>
      <c r="G8421" s="63">
        <v>6.0000000000000001E-3</v>
      </c>
    </row>
    <row r="8422" spans="1:7" x14ac:dyDescent="0.2">
      <c r="A8422" t="s">
        <v>71</v>
      </c>
      <c r="B8422" t="s">
        <v>105</v>
      </c>
      <c r="C8422" t="s">
        <v>223</v>
      </c>
      <c r="D8422" t="s">
        <v>74</v>
      </c>
      <c r="E8422" t="s">
        <v>85</v>
      </c>
      <c r="F8422" s="55">
        <v>65</v>
      </c>
      <c r="G8422" s="63">
        <v>5.5999999999999999E-3</v>
      </c>
    </row>
    <row r="8423" spans="1:7" x14ac:dyDescent="0.2">
      <c r="A8423" t="s">
        <v>71</v>
      </c>
      <c r="B8423" t="s">
        <v>105</v>
      </c>
      <c r="C8423" t="s">
        <v>223</v>
      </c>
      <c r="D8423" t="s">
        <v>74</v>
      </c>
      <c r="E8423" t="s">
        <v>86</v>
      </c>
      <c r="F8423" s="55">
        <v>78</v>
      </c>
      <c r="G8423" s="63">
        <v>8.0999999999999996E-3</v>
      </c>
    </row>
    <row r="8424" spans="1:7" x14ac:dyDescent="0.2">
      <c r="A8424" t="s">
        <v>71</v>
      </c>
      <c r="B8424" t="s">
        <v>105</v>
      </c>
      <c r="C8424" t="s">
        <v>223</v>
      </c>
      <c r="D8424" t="s">
        <v>74</v>
      </c>
      <c r="E8424" t="s">
        <v>87</v>
      </c>
      <c r="F8424" s="55">
        <v>79</v>
      </c>
      <c r="G8424" s="63">
        <v>9.2999999999999992E-3</v>
      </c>
    </row>
    <row r="8425" spans="1:7" x14ac:dyDescent="0.2">
      <c r="A8425" t="s">
        <v>71</v>
      </c>
      <c r="B8425" t="s">
        <v>105</v>
      </c>
      <c r="C8425" t="s">
        <v>223</v>
      </c>
      <c r="D8425" t="s">
        <v>74</v>
      </c>
      <c r="E8425" t="s">
        <v>88</v>
      </c>
      <c r="F8425" s="55">
        <v>73</v>
      </c>
      <c r="G8425" s="63">
        <v>7.9000000000000008E-3</v>
      </c>
    </row>
    <row r="8426" spans="1:7" x14ac:dyDescent="0.2">
      <c r="A8426" t="s">
        <v>89</v>
      </c>
      <c r="B8426" t="s">
        <v>106</v>
      </c>
      <c r="C8426" t="s">
        <v>223</v>
      </c>
      <c r="D8426" t="s">
        <v>91</v>
      </c>
      <c r="E8426" t="s">
        <v>75</v>
      </c>
      <c r="F8426" s="55">
        <v>105</v>
      </c>
      <c r="G8426" s="63">
        <v>0.8256</v>
      </c>
    </row>
    <row r="8427" spans="1:7" x14ac:dyDescent="0.2">
      <c r="A8427" t="s">
        <v>89</v>
      </c>
      <c r="B8427" t="s">
        <v>106</v>
      </c>
      <c r="C8427" t="s">
        <v>223</v>
      </c>
      <c r="D8427" t="s">
        <v>91</v>
      </c>
      <c r="E8427" t="s">
        <v>76</v>
      </c>
      <c r="F8427" s="55">
        <v>99</v>
      </c>
      <c r="G8427" s="63">
        <v>0.26400000000000001</v>
      </c>
    </row>
    <row r="8428" spans="1:7" x14ac:dyDescent="0.2">
      <c r="A8428" t="s">
        <v>89</v>
      </c>
      <c r="B8428" t="s">
        <v>106</v>
      </c>
      <c r="C8428" t="s">
        <v>223</v>
      </c>
      <c r="D8428" t="s">
        <v>91</v>
      </c>
      <c r="E8428" t="s">
        <v>77</v>
      </c>
      <c r="F8428" s="55">
        <v>107</v>
      </c>
      <c r="G8428" s="63">
        <v>0.4829</v>
      </c>
    </row>
    <row r="8429" spans="1:7" x14ac:dyDescent="0.2">
      <c r="A8429" t="s">
        <v>89</v>
      </c>
      <c r="B8429" t="s">
        <v>106</v>
      </c>
      <c r="C8429" t="s">
        <v>223</v>
      </c>
      <c r="D8429" t="s">
        <v>91</v>
      </c>
      <c r="E8429" t="s">
        <v>78</v>
      </c>
      <c r="F8429" s="55">
        <v>106</v>
      </c>
      <c r="G8429" s="63">
        <v>0.51119999999999999</v>
      </c>
    </row>
    <row r="8430" spans="1:7" x14ac:dyDescent="0.2">
      <c r="A8430" t="s">
        <v>89</v>
      </c>
      <c r="B8430" t="s">
        <v>106</v>
      </c>
      <c r="C8430" t="s">
        <v>223</v>
      </c>
      <c r="D8430" t="s">
        <v>91</v>
      </c>
      <c r="E8430" t="s">
        <v>79</v>
      </c>
      <c r="F8430" s="55">
        <v>107</v>
      </c>
      <c r="G8430" s="63">
        <v>0.71309999999999996</v>
      </c>
    </row>
    <row r="8431" spans="1:7" x14ac:dyDescent="0.2">
      <c r="A8431" t="s">
        <v>89</v>
      </c>
      <c r="B8431" t="s">
        <v>106</v>
      </c>
      <c r="C8431" t="s">
        <v>223</v>
      </c>
      <c r="D8431" t="s">
        <v>91</v>
      </c>
      <c r="E8431" t="s">
        <v>80</v>
      </c>
      <c r="F8431" s="55">
        <v>105</v>
      </c>
      <c r="G8431" s="63">
        <v>0.2261</v>
      </c>
    </row>
    <row r="8432" spans="1:7" x14ac:dyDescent="0.2">
      <c r="A8432" t="s">
        <v>89</v>
      </c>
      <c r="B8432" t="s">
        <v>106</v>
      </c>
      <c r="C8432" t="s">
        <v>223</v>
      </c>
      <c r="D8432" t="s">
        <v>91</v>
      </c>
      <c r="E8432" t="s">
        <v>81</v>
      </c>
      <c r="F8432" s="55">
        <v>96</v>
      </c>
      <c r="G8432" s="63">
        <v>0.24629999999999999</v>
      </c>
    </row>
    <row r="8433" spans="1:7" x14ac:dyDescent="0.2">
      <c r="A8433" t="s">
        <v>89</v>
      </c>
      <c r="B8433" t="s">
        <v>106</v>
      </c>
      <c r="C8433" t="s">
        <v>223</v>
      </c>
      <c r="D8433" t="s">
        <v>91</v>
      </c>
      <c r="E8433" t="s">
        <v>82</v>
      </c>
      <c r="F8433" s="55">
        <v>103</v>
      </c>
      <c r="G8433" s="63">
        <v>0.66459999999999997</v>
      </c>
    </row>
    <row r="8434" spans="1:7" x14ac:dyDescent="0.2">
      <c r="A8434" t="s">
        <v>89</v>
      </c>
      <c r="B8434" t="s">
        <v>106</v>
      </c>
      <c r="C8434" t="s">
        <v>223</v>
      </c>
      <c r="D8434" t="s">
        <v>91</v>
      </c>
      <c r="E8434" t="s">
        <v>83</v>
      </c>
      <c r="F8434" s="55">
        <v>93</v>
      </c>
      <c r="G8434" s="63">
        <v>0.1666</v>
      </c>
    </row>
    <row r="8435" spans="1:7" x14ac:dyDescent="0.2">
      <c r="A8435" t="s">
        <v>89</v>
      </c>
      <c r="B8435" t="s">
        <v>106</v>
      </c>
      <c r="C8435" t="s">
        <v>223</v>
      </c>
      <c r="D8435" t="s">
        <v>91</v>
      </c>
      <c r="E8435" t="s">
        <v>84</v>
      </c>
      <c r="F8435" s="55">
        <v>106</v>
      </c>
      <c r="G8435" s="63">
        <v>0.4007</v>
      </c>
    </row>
    <row r="8436" spans="1:7" x14ac:dyDescent="0.2">
      <c r="A8436" t="s">
        <v>89</v>
      </c>
      <c r="B8436" t="s">
        <v>106</v>
      </c>
      <c r="C8436" t="s">
        <v>223</v>
      </c>
      <c r="D8436" t="s">
        <v>91</v>
      </c>
      <c r="E8436" t="s">
        <v>85</v>
      </c>
      <c r="F8436" s="55">
        <v>109</v>
      </c>
      <c r="G8436" s="63">
        <v>0.33300000000000002</v>
      </c>
    </row>
    <row r="8437" spans="1:7" x14ac:dyDescent="0.2">
      <c r="A8437" t="s">
        <v>89</v>
      </c>
      <c r="B8437" t="s">
        <v>106</v>
      </c>
      <c r="C8437" t="s">
        <v>223</v>
      </c>
      <c r="D8437" t="s">
        <v>91</v>
      </c>
      <c r="E8437" t="s">
        <v>86</v>
      </c>
      <c r="F8437" s="55">
        <v>109</v>
      </c>
      <c r="G8437" s="63">
        <v>0.42870000000000003</v>
      </c>
    </row>
    <row r="8438" spans="1:7" x14ac:dyDescent="0.2">
      <c r="A8438" t="s">
        <v>89</v>
      </c>
      <c r="B8438" t="s">
        <v>106</v>
      </c>
      <c r="C8438" t="s">
        <v>223</v>
      </c>
      <c r="D8438" t="s">
        <v>91</v>
      </c>
      <c r="E8438" t="s">
        <v>87</v>
      </c>
      <c r="F8438" s="55">
        <v>110</v>
      </c>
      <c r="G8438" s="63">
        <v>0.50900000000000001</v>
      </c>
    </row>
    <row r="8439" spans="1:7" x14ac:dyDescent="0.2">
      <c r="A8439" t="s">
        <v>89</v>
      </c>
      <c r="B8439" t="s">
        <v>106</v>
      </c>
      <c r="C8439" t="s">
        <v>223</v>
      </c>
      <c r="D8439" t="s">
        <v>91</v>
      </c>
      <c r="E8439" t="s">
        <v>88</v>
      </c>
      <c r="F8439" s="55">
        <v>99</v>
      </c>
      <c r="G8439" s="63">
        <v>0.36209999999999998</v>
      </c>
    </row>
    <row r="8440" spans="1:7" x14ac:dyDescent="0.2">
      <c r="A8440" t="s">
        <v>89</v>
      </c>
      <c r="B8440" t="s">
        <v>107</v>
      </c>
      <c r="C8440" t="s">
        <v>223</v>
      </c>
      <c r="D8440" t="s">
        <v>74</v>
      </c>
      <c r="E8440" t="s">
        <v>75</v>
      </c>
      <c r="F8440" s="55">
        <v>96</v>
      </c>
      <c r="G8440" s="63">
        <v>9.0800000000000006E-2</v>
      </c>
    </row>
    <row r="8441" spans="1:7" x14ac:dyDescent="0.2">
      <c r="A8441" t="s">
        <v>89</v>
      </c>
      <c r="B8441" t="s">
        <v>107</v>
      </c>
      <c r="C8441" t="s">
        <v>223</v>
      </c>
      <c r="D8441" t="s">
        <v>74</v>
      </c>
      <c r="E8441" t="s">
        <v>76</v>
      </c>
      <c r="F8441" s="55">
        <v>60</v>
      </c>
      <c r="G8441" s="63">
        <v>4.7999999999999996E-3</v>
      </c>
    </row>
    <row r="8442" spans="1:7" x14ac:dyDescent="0.2">
      <c r="A8442" t="s">
        <v>89</v>
      </c>
      <c r="B8442" t="s">
        <v>107</v>
      </c>
      <c r="C8442" t="s">
        <v>223</v>
      </c>
      <c r="D8442" t="s">
        <v>74</v>
      </c>
      <c r="E8442" t="s">
        <v>77</v>
      </c>
      <c r="F8442" s="55">
        <v>80</v>
      </c>
      <c r="G8442" s="63">
        <v>1.9800000000000002E-2</v>
      </c>
    </row>
    <row r="8443" spans="1:7" x14ac:dyDescent="0.2">
      <c r="A8443" t="s">
        <v>89</v>
      </c>
      <c r="B8443" t="s">
        <v>107</v>
      </c>
      <c r="C8443" t="s">
        <v>223</v>
      </c>
      <c r="D8443" t="s">
        <v>74</v>
      </c>
      <c r="E8443" t="s">
        <v>78</v>
      </c>
      <c r="F8443" s="55">
        <v>89</v>
      </c>
      <c r="G8443" s="63">
        <v>1.9900000000000001E-2</v>
      </c>
    </row>
    <row r="8444" spans="1:7" x14ac:dyDescent="0.2">
      <c r="A8444" t="s">
        <v>89</v>
      </c>
      <c r="B8444" t="s">
        <v>107</v>
      </c>
      <c r="C8444" t="s">
        <v>223</v>
      </c>
      <c r="D8444" t="s">
        <v>74</v>
      </c>
      <c r="E8444" t="s">
        <v>79</v>
      </c>
      <c r="F8444" s="55">
        <v>97</v>
      </c>
      <c r="G8444" s="63">
        <v>5.6899999999999999E-2</v>
      </c>
    </row>
    <row r="8445" spans="1:7" x14ac:dyDescent="0.2">
      <c r="A8445" t="s">
        <v>89</v>
      </c>
      <c r="B8445" t="s">
        <v>107</v>
      </c>
      <c r="C8445" t="s">
        <v>223</v>
      </c>
      <c r="D8445" t="s">
        <v>74</v>
      </c>
      <c r="E8445" t="s">
        <v>80</v>
      </c>
      <c r="F8445" s="55">
        <v>106</v>
      </c>
      <c r="G8445" s="63">
        <v>3.3000000000000002E-2</v>
      </c>
    </row>
    <row r="8446" spans="1:7" x14ac:dyDescent="0.2">
      <c r="A8446" t="s">
        <v>89</v>
      </c>
      <c r="B8446" t="s">
        <v>107</v>
      </c>
      <c r="C8446" t="s">
        <v>223</v>
      </c>
      <c r="D8446" t="s">
        <v>74</v>
      </c>
      <c r="E8446" t="s">
        <v>81</v>
      </c>
      <c r="F8446" s="55">
        <v>105</v>
      </c>
      <c r="G8446" s="63">
        <v>2.9399999999999999E-2</v>
      </c>
    </row>
    <row r="8447" spans="1:7" x14ac:dyDescent="0.2">
      <c r="A8447" t="s">
        <v>89</v>
      </c>
      <c r="B8447" t="s">
        <v>107</v>
      </c>
      <c r="C8447" t="s">
        <v>223</v>
      </c>
      <c r="D8447" t="s">
        <v>74</v>
      </c>
      <c r="E8447" t="s">
        <v>82</v>
      </c>
      <c r="F8447" s="55">
        <v>92</v>
      </c>
      <c r="G8447" s="63">
        <v>3.0499999999999999E-2</v>
      </c>
    </row>
    <row r="8448" spans="1:7" x14ac:dyDescent="0.2">
      <c r="A8448" t="s">
        <v>89</v>
      </c>
      <c r="B8448" t="s">
        <v>107</v>
      </c>
      <c r="C8448" t="s">
        <v>223</v>
      </c>
      <c r="D8448" t="s">
        <v>74</v>
      </c>
      <c r="E8448" t="s">
        <v>83</v>
      </c>
      <c r="F8448" s="55">
        <v>95</v>
      </c>
      <c r="G8448" s="63">
        <v>6.7999999999999996E-3</v>
      </c>
    </row>
    <row r="8449" spans="1:7" x14ac:dyDescent="0.2">
      <c r="A8449" t="s">
        <v>89</v>
      </c>
      <c r="B8449" t="s">
        <v>107</v>
      </c>
      <c r="C8449" t="s">
        <v>223</v>
      </c>
      <c r="D8449" t="s">
        <v>74</v>
      </c>
      <c r="E8449" t="s">
        <v>84</v>
      </c>
      <c r="F8449" s="55">
        <v>91</v>
      </c>
      <c r="G8449" s="63">
        <v>1.43E-2</v>
      </c>
    </row>
    <row r="8450" spans="1:7" x14ac:dyDescent="0.2">
      <c r="A8450" t="s">
        <v>89</v>
      </c>
      <c r="B8450" t="s">
        <v>107</v>
      </c>
      <c r="C8450" t="s">
        <v>223</v>
      </c>
      <c r="D8450" t="s">
        <v>74</v>
      </c>
      <c r="E8450" t="s">
        <v>85</v>
      </c>
      <c r="F8450" s="55">
        <v>108</v>
      </c>
      <c r="G8450" s="63">
        <v>3.1399999999999997E-2</v>
      </c>
    </row>
    <row r="8451" spans="1:7" x14ac:dyDescent="0.2">
      <c r="A8451" t="s">
        <v>89</v>
      </c>
      <c r="B8451" t="s">
        <v>107</v>
      </c>
      <c r="C8451" t="s">
        <v>223</v>
      </c>
      <c r="D8451" t="s">
        <v>74</v>
      </c>
      <c r="E8451" t="s">
        <v>86</v>
      </c>
      <c r="F8451" s="55">
        <v>101</v>
      </c>
      <c r="G8451" s="63">
        <v>2.69E-2</v>
      </c>
    </row>
    <row r="8452" spans="1:7" x14ac:dyDescent="0.2">
      <c r="A8452" t="s">
        <v>89</v>
      </c>
      <c r="B8452" t="s">
        <v>107</v>
      </c>
      <c r="C8452" t="s">
        <v>223</v>
      </c>
      <c r="D8452" t="s">
        <v>74</v>
      </c>
      <c r="E8452" t="s">
        <v>87</v>
      </c>
      <c r="F8452" s="55">
        <v>91</v>
      </c>
      <c r="G8452" s="63">
        <v>2.3300000000000001E-2</v>
      </c>
    </row>
    <row r="8453" spans="1:7" x14ac:dyDescent="0.2">
      <c r="A8453" t="s">
        <v>89</v>
      </c>
      <c r="B8453" t="s">
        <v>107</v>
      </c>
      <c r="C8453" t="s">
        <v>223</v>
      </c>
      <c r="D8453" t="s">
        <v>74</v>
      </c>
      <c r="E8453" t="s">
        <v>88</v>
      </c>
      <c r="F8453" s="55">
        <v>78</v>
      </c>
      <c r="G8453" s="63">
        <v>9.4000000000000004E-3</v>
      </c>
    </row>
    <row r="8454" spans="1:7" x14ac:dyDescent="0.2">
      <c r="A8454" t="s">
        <v>71</v>
      </c>
      <c r="B8454" t="s">
        <v>5</v>
      </c>
      <c r="C8454" t="s">
        <v>223</v>
      </c>
      <c r="D8454" t="s">
        <v>74</v>
      </c>
      <c r="E8454" t="s">
        <v>75</v>
      </c>
      <c r="F8454" s="55">
        <v>94</v>
      </c>
      <c r="G8454" s="63">
        <v>0.36020000000000002</v>
      </c>
    </row>
    <row r="8455" spans="1:7" x14ac:dyDescent="0.2">
      <c r="A8455" t="s">
        <v>71</v>
      </c>
      <c r="B8455" t="s">
        <v>5</v>
      </c>
      <c r="C8455" t="s">
        <v>223</v>
      </c>
      <c r="D8455" t="s">
        <v>74</v>
      </c>
      <c r="E8455" t="s">
        <v>76</v>
      </c>
      <c r="F8455" s="55">
        <v>87</v>
      </c>
      <c r="G8455" s="63">
        <v>3.1E-2</v>
      </c>
    </row>
    <row r="8456" spans="1:7" x14ac:dyDescent="0.2">
      <c r="A8456" t="s">
        <v>71</v>
      </c>
      <c r="B8456" t="s">
        <v>5</v>
      </c>
      <c r="C8456" t="s">
        <v>223</v>
      </c>
      <c r="D8456" t="s">
        <v>74</v>
      </c>
      <c r="E8456" t="s">
        <v>77</v>
      </c>
      <c r="F8456" s="55">
        <v>90</v>
      </c>
      <c r="G8456" s="63">
        <v>0.1118</v>
      </c>
    </row>
    <row r="8457" spans="1:7" x14ac:dyDescent="0.2">
      <c r="A8457" t="s">
        <v>71</v>
      </c>
      <c r="B8457" t="s">
        <v>5</v>
      </c>
      <c r="C8457" t="s">
        <v>223</v>
      </c>
      <c r="D8457" t="s">
        <v>74</v>
      </c>
      <c r="E8457" t="s">
        <v>78</v>
      </c>
      <c r="F8457" s="55">
        <v>96</v>
      </c>
      <c r="G8457" s="63">
        <v>0.13969999999999999</v>
      </c>
    </row>
    <row r="8458" spans="1:7" x14ac:dyDescent="0.2">
      <c r="A8458" t="s">
        <v>71</v>
      </c>
      <c r="B8458" t="s">
        <v>5</v>
      </c>
      <c r="C8458" t="s">
        <v>223</v>
      </c>
      <c r="D8458" t="s">
        <v>74</v>
      </c>
      <c r="E8458" t="s">
        <v>79</v>
      </c>
      <c r="F8458" s="55">
        <v>95</v>
      </c>
      <c r="G8458" s="63">
        <v>0.25800000000000001</v>
      </c>
    </row>
    <row r="8459" spans="1:7" x14ac:dyDescent="0.2">
      <c r="A8459" t="s">
        <v>71</v>
      </c>
      <c r="B8459" t="s">
        <v>5</v>
      </c>
      <c r="C8459" t="s">
        <v>223</v>
      </c>
      <c r="D8459" t="s">
        <v>74</v>
      </c>
      <c r="E8459" t="s">
        <v>80</v>
      </c>
      <c r="F8459" s="55">
        <v>94</v>
      </c>
      <c r="G8459" s="63">
        <v>0.1021</v>
      </c>
    </row>
    <row r="8460" spans="1:7" x14ac:dyDescent="0.2">
      <c r="A8460" t="s">
        <v>71</v>
      </c>
      <c r="B8460" t="s">
        <v>5</v>
      </c>
      <c r="C8460" t="s">
        <v>223</v>
      </c>
      <c r="D8460" t="s">
        <v>74</v>
      </c>
      <c r="E8460" t="s">
        <v>81</v>
      </c>
      <c r="F8460" s="55">
        <v>93</v>
      </c>
      <c r="G8460" s="63">
        <v>0.1016</v>
      </c>
    </row>
    <row r="8461" spans="1:7" x14ac:dyDescent="0.2">
      <c r="A8461" t="s">
        <v>71</v>
      </c>
      <c r="B8461" t="s">
        <v>5</v>
      </c>
      <c r="C8461" t="s">
        <v>223</v>
      </c>
      <c r="D8461" t="s">
        <v>74</v>
      </c>
      <c r="E8461" t="s">
        <v>82</v>
      </c>
      <c r="F8461" s="55">
        <v>100</v>
      </c>
      <c r="G8461" s="63">
        <v>0.17630000000000001</v>
      </c>
    </row>
    <row r="8462" spans="1:7" x14ac:dyDescent="0.2">
      <c r="A8462" t="s">
        <v>71</v>
      </c>
      <c r="B8462" t="s">
        <v>5</v>
      </c>
      <c r="C8462" t="s">
        <v>223</v>
      </c>
      <c r="D8462" t="s">
        <v>74</v>
      </c>
      <c r="E8462" t="s">
        <v>83</v>
      </c>
      <c r="F8462" s="55">
        <v>97</v>
      </c>
      <c r="G8462" s="63">
        <v>2.8400000000000002E-2</v>
      </c>
    </row>
    <row r="8463" spans="1:7" x14ac:dyDescent="0.2">
      <c r="A8463" t="s">
        <v>71</v>
      </c>
      <c r="B8463" t="s">
        <v>5</v>
      </c>
      <c r="C8463" t="s">
        <v>223</v>
      </c>
      <c r="D8463" t="s">
        <v>74</v>
      </c>
      <c r="E8463" t="s">
        <v>84</v>
      </c>
      <c r="F8463" s="55">
        <v>94</v>
      </c>
      <c r="G8463" s="63">
        <v>0.10050000000000001</v>
      </c>
    </row>
    <row r="8464" spans="1:7" x14ac:dyDescent="0.2">
      <c r="A8464" t="s">
        <v>71</v>
      </c>
      <c r="B8464" t="s">
        <v>5</v>
      </c>
      <c r="C8464" t="s">
        <v>223</v>
      </c>
      <c r="D8464" t="s">
        <v>74</v>
      </c>
      <c r="E8464" t="s">
        <v>85</v>
      </c>
      <c r="F8464" s="55">
        <v>93</v>
      </c>
      <c r="G8464" s="63">
        <v>0.10290000000000001</v>
      </c>
    </row>
    <row r="8465" spans="1:7" x14ac:dyDescent="0.2">
      <c r="A8465" t="s">
        <v>71</v>
      </c>
      <c r="B8465" t="s">
        <v>5</v>
      </c>
      <c r="C8465" t="s">
        <v>223</v>
      </c>
      <c r="D8465" t="s">
        <v>74</v>
      </c>
      <c r="E8465" t="s">
        <v>86</v>
      </c>
      <c r="F8465" s="55">
        <v>93</v>
      </c>
      <c r="G8465" s="63">
        <v>0.121</v>
      </c>
    </row>
    <row r="8466" spans="1:7" x14ac:dyDescent="0.2">
      <c r="A8466" t="s">
        <v>71</v>
      </c>
      <c r="B8466" t="s">
        <v>5</v>
      </c>
      <c r="C8466" t="s">
        <v>223</v>
      </c>
      <c r="D8466" t="s">
        <v>74</v>
      </c>
      <c r="E8466" t="s">
        <v>87</v>
      </c>
      <c r="F8466" s="55">
        <v>94</v>
      </c>
      <c r="G8466" s="63">
        <v>0.1239</v>
      </c>
    </row>
    <row r="8467" spans="1:7" x14ac:dyDescent="0.2">
      <c r="A8467" t="s">
        <v>71</v>
      </c>
      <c r="B8467" t="s">
        <v>5</v>
      </c>
      <c r="C8467" t="s">
        <v>223</v>
      </c>
      <c r="D8467" t="s">
        <v>74</v>
      </c>
      <c r="E8467" t="s">
        <v>88</v>
      </c>
      <c r="F8467" s="55">
        <v>90</v>
      </c>
      <c r="G8467" s="63">
        <v>5.0700000000000002E-2</v>
      </c>
    </row>
    <row r="8468" spans="1:7" x14ac:dyDescent="0.2">
      <c r="A8468" t="s">
        <v>71</v>
      </c>
      <c r="B8468" t="s">
        <v>6</v>
      </c>
      <c r="C8468" t="s">
        <v>223</v>
      </c>
      <c r="D8468" t="s">
        <v>74</v>
      </c>
      <c r="E8468" t="s">
        <v>75</v>
      </c>
      <c r="F8468" s="55">
        <v>92</v>
      </c>
      <c r="G8468" s="63">
        <v>0.43940000000000001</v>
      </c>
    </row>
    <row r="8469" spans="1:7" x14ac:dyDescent="0.2">
      <c r="A8469" t="s">
        <v>71</v>
      </c>
      <c r="B8469" t="s">
        <v>6</v>
      </c>
      <c r="C8469" t="s">
        <v>223</v>
      </c>
      <c r="D8469" t="s">
        <v>74</v>
      </c>
      <c r="E8469" t="s">
        <v>76</v>
      </c>
      <c r="F8469" s="55">
        <v>85</v>
      </c>
      <c r="G8469" s="63">
        <v>8.4400000000000003E-2</v>
      </c>
    </row>
    <row r="8470" spans="1:7" x14ac:dyDescent="0.2">
      <c r="A8470" t="s">
        <v>71</v>
      </c>
      <c r="B8470" t="s">
        <v>6</v>
      </c>
      <c r="C8470" t="s">
        <v>223</v>
      </c>
      <c r="D8470" t="s">
        <v>74</v>
      </c>
      <c r="E8470" t="s">
        <v>77</v>
      </c>
      <c r="F8470" s="55">
        <v>93</v>
      </c>
      <c r="G8470" s="63">
        <v>0.246</v>
      </c>
    </row>
    <row r="8471" spans="1:7" x14ac:dyDescent="0.2">
      <c r="A8471" t="s">
        <v>71</v>
      </c>
      <c r="B8471" t="s">
        <v>6</v>
      </c>
      <c r="C8471" t="s">
        <v>223</v>
      </c>
      <c r="D8471" t="s">
        <v>74</v>
      </c>
      <c r="E8471" t="s">
        <v>78</v>
      </c>
      <c r="F8471" s="55">
        <v>96</v>
      </c>
      <c r="G8471" s="63">
        <v>0.21149999999999999</v>
      </c>
    </row>
    <row r="8472" spans="1:7" x14ac:dyDescent="0.2">
      <c r="A8472" t="s">
        <v>71</v>
      </c>
      <c r="B8472" t="s">
        <v>6</v>
      </c>
      <c r="C8472" t="s">
        <v>223</v>
      </c>
      <c r="D8472" t="s">
        <v>74</v>
      </c>
      <c r="E8472" t="s">
        <v>79</v>
      </c>
      <c r="F8472" s="55">
        <v>91</v>
      </c>
      <c r="G8472" s="63">
        <v>0.32829999999999998</v>
      </c>
    </row>
    <row r="8473" spans="1:7" x14ac:dyDescent="0.2">
      <c r="A8473" t="s">
        <v>71</v>
      </c>
      <c r="B8473" t="s">
        <v>6</v>
      </c>
      <c r="C8473" t="s">
        <v>223</v>
      </c>
      <c r="D8473" t="s">
        <v>74</v>
      </c>
      <c r="E8473" t="s">
        <v>80</v>
      </c>
      <c r="F8473" s="55">
        <v>90</v>
      </c>
      <c r="G8473" s="63">
        <v>0.22819999999999999</v>
      </c>
    </row>
    <row r="8474" spans="1:7" x14ac:dyDescent="0.2">
      <c r="A8474" t="s">
        <v>71</v>
      </c>
      <c r="B8474" t="s">
        <v>6</v>
      </c>
      <c r="C8474" t="s">
        <v>223</v>
      </c>
      <c r="D8474" t="s">
        <v>74</v>
      </c>
      <c r="E8474" t="s">
        <v>81</v>
      </c>
      <c r="F8474" s="55">
        <v>90</v>
      </c>
      <c r="G8474" s="63">
        <v>0.218</v>
      </c>
    </row>
    <row r="8475" spans="1:7" x14ac:dyDescent="0.2">
      <c r="A8475" t="s">
        <v>71</v>
      </c>
      <c r="B8475" t="s">
        <v>6</v>
      </c>
      <c r="C8475" t="s">
        <v>223</v>
      </c>
      <c r="D8475" t="s">
        <v>74</v>
      </c>
      <c r="E8475" t="s">
        <v>82</v>
      </c>
      <c r="F8475" s="55">
        <v>92</v>
      </c>
      <c r="G8475" s="63">
        <v>0.29360000000000003</v>
      </c>
    </row>
    <row r="8476" spans="1:7" x14ac:dyDescent="0.2">
      <c r="A8476" t="s">
        <v>71</v>
      </c>
      <c r="B8476" t="s">
        <v>6</v>
      </c>
      <c r="C8476" t="s">
        <v>223</v>
      </c>
      <c r="D8476" t="s">
        <v>74</v>
      </c>
      <c r="E8476" t="s">
        <v>83</v>
      </c>
      <c r="F8476" s="55">
        <v>87</v>
      </c>
      <c r="G8476" s="63">
        <v>7.8299999999999995E-2</v>
      </c>
    </row>
    <row r="8477" spans="1:7" x14ac:dyDescent="0.2">
      <c r="A8477" t="s">
        <v>71</v>
      </c>
      <c r="B8477" t="s">
        <v>6</v>
      </c>
      <c r="C8477" t="s">
        <v>223</v>
      </c>
      <c r="D8477" t="s">
        <v>74</v>
      </c>
      <c r="E8477" t="s">
        <v>84</v>
      </c>
      <c r="F8477" s="55">
        <v>97</v>
      </c>
      <c r="G8477" s="63">
        <v>0.18820000000000001</v>
      </c>
    </row>
    <row r="8478" spans="1:7" x14ac:dyDescent="0.2">
      <c r="A8478" t="s">
        <v>71</v>
      </c>
      <c r="B8478" t="s">
        <v>6</v>
      </c>
      <c r="C8478" t="s">
        <v>223</v>
      </c>
      <c r="D8478" t="s">
        <v>74</v>
      </c>
      <c r="E8478" t="s">
        <v>85</v>
      </c>
      <c r="F8478" s="55">
        <v>88</v>
      </c>
      <c r="G8478" s="63">
        <v>0.21959999999999999</v>
      </c>
    </row>
    <row r="8479" spans="1:7" x14ac:dyDescent="0.2">
      <c r="A8479" t="s">
        <v>71</v>
      </c>
      <c r="B8479" t="s">
        <v>6</v>
      </c>
      <c r="C8479" t="s">
        <v>223</v>
      </c>
      <c r="D8479" t="s">
        <v>74</v>
      </c>
      <c r="E8479" t="s">
        <v>86</v>
      </c>
      <c r="F8479" s="55">
        <v>89</v>
      </c>
      <c r="G8479" s="63">
        <v>0.21429999999999999</v>
      </c>
    </row>
    <row r="8480" spans="1:7" x14ac:dyDescent="0.2">
      <c r="A8480" t="s">
        <v>71</v>
      </c>
      <c r="B8480" t="s">
        <v>6</v>
      </c>
      <c r="C8480" t="s">
        <v>223</v>
      </c>
      <c r="D8480" t="s">
        <v>74</v>
      </c>
      <c r="E8480" t="s">
        <v>87</v>
      </c>
      <c r="F8480" s="55">
        <v>92</v>
      </c>
      <c r="G8480" s="63">
        <v>0.20799999999999999</v>
      </c>
    </row>
    <row r="8481" spans="1:7" x14ac:dyDescent="0.2">
      <c r="A8481" t="s">
        <v>71</v>
      </c>
      <c r="B8481" t="s">
        <v>6</v>
      </c>
      <c r="C8481" t="s">
        <v>223</v>
      </c>
      <c r="D8481" t="s">
        <v>74</v>
      </c>
      <c r="E8481" t="s">
        <v>88</v>
      </c>
      <c r="F8481" s="55">
        <v>87</v>
      </c>
      <c r="G8481" s="63">
        <v>0.12</v>
      </c>
    </row>
    <row r="8482" spans="1:7" x14ac:dyDescent="0.2">
      <c r="A8482" t="s">
        <v>71</v>
      </c>
      <c r="B8482" t="s">
        <v>7</v>
      </c>
      <c r="C8482" t="s">
        <v>223</v>
      </c>
      <c r="D8482" t="s">
        <v>74</v>
      </c>
      <c r="E8482" t="s">
        <v>75</v>
      </c>
      <c r="F8482" s="55">
        <v>81</v>
      </c>
      <c r="G8482" s="63">
        <v>0.2056</v>
      </c>
    </row>
    <row r="8483" spans="1:7" x14ac:dyDescent="0.2">
      <c r="A8483" t="s">
        <v>71</v>
      </c>
      <c r="B8483" t="s">
        <v>7</v>
      </c>
      <c r="C8483" t="s">
        <v>223</v>
      </c>
      <c r="D8483" t="s">
        <v>74</v>
      </c>
      <c r="E8483" t="s">
        <v>76</v>
      </c>
      <c r="F8483" s="55">
        <v>80</v>
      </c>
      <c r="G8483" s="63">
        <v>2.7E-2</v>
      </c>
    </row>
    <row r="8484" spans="1:7" x14ac:dyDescent="0.2">
      <c r="A8484" t="s">
        <v>71</v>
      </c>
      <c r="B8484" t="s">
        <v>7</v>
      </c>
      <c r="C8484" t="s">
        <v>223</v>
      </c>
      <c r="D8484" t="s">
        <v>74</v>
      </c>
      <c r="E8484" t="s">
        <v>77</v>
      </c>
      <c r="F8484" s="55">
        <v>85</v>
      </c>
      <c r="G8484" s="63">
        <v>7.5700000000000003E-2</v>
      </c>
    </row>
    <row r="8485" spans="1:7" x14ac:dyDescent="0.2">
      <c r="A8485" t="s">
        <v>71</v>
      </c>
      <c r="B8485" t="s">
        <v>7</v>
      </c>
      <c r="C8485" t="s">
        <v>223</v>
      </c>
      <c r="D8485" t="s">
        <v>74</v>
      </c>
      <c r="E8485" t="s">
        <v>78</v>
      </c>
      <c r="F8485" s="55">
        <v>83</v>
      </c>
      <c r="G8485" s="63">
        <v>7.3800000000000004E-2</v>
      </c>
    </row>
    <row r="8486" spans="1:7" x14ac:dyDescent="0.2">
      <c r="A8486" t="s">
        <v>71</v>
      </c>
      <c r="B8486" t="s">
        <v>7</v>
      </c>
      <c r="C8486" t="s">
        <v>223</v>
      </c>
      <c r="D8486" t="s">
        <v>74</v>
      </c>
      <c r="E8486" t="s">
        <v>79</v>
      </c>
      <c r="F8486" s="55">
        <v>80</v>
      </c>
      <c r="G8486" s="63">
        <v>0.13869999999999999</v>
      </c>
    </row>
    <row r="8487" spans="1:7" x14ac:dyDescent="0.2">
      <c r="A8487" t="s">
        <v>71</v>
      </c>
      <c r="B8487" t="s">
        <v>7</v>
      </c>
      <c r="C8487" t="s">
        <v>223</v>
      </c>
      <c r="D8487" t="s">
        <v>74</v>
      </c>
      <c r="E8487" t="s">
        <v>80</v>
      </c>
      <c r="F8487" s="55">
        <v>82</v>
      </c>
      <c r="G8487" s="63">
        <v>3.8399999999999997E-2</v>
      </c>
    </row>
    <row r="8488" spans="1:7" x14ac:dyDescent="0.2">
      <c r="A8488" t="s">
        <v>71</v>
      </c>
      <c r="B8488" t="s">
        <v>7</v>
      </c>
      <c r="C8488" t="s">
        <v>223</v>
      </c>
      <c r="D8488" t="s">
        <v>74</v>
      </c>
      <c r="E8488" t="s">
        <v>81</v>
      </c>
      <c r="F8488" s="55">
        <v>78</v>
      </c>
      <c r="G8488" s="63">
        <v>3.8699999999999998E-2</v>
      </c>
    </row>
    <row r="8489" spans="1:7" x14ac:dyDescent="0.2">
      <c r="A8489" t="s">
        <v>71</v>
      </c>
      <c r="B8489" t="s">
        <v>7</v>
      </c>
      <c r="C8489" t="s">
        <v>223</v>
      </c>
      <c r="D8489" t="s">
        <v>74</v>
      </c>
      <c r="E8489" t="s">
        <v>82</v>
      </c>
      <c r="F8489" s="55">
        <v>79</v>
      </c>
      <c r="G8489" s="63">
        <v>9.0999999999999998E-2</v>
      </c>
    </row>
    <row r="8490" spans="1:7" x14ac:dyDescent="0.2">
      <c r="A8490" t="s">
        <v>71</v>
      </c>
      <c r="B8490" t="s">
        <v>7</v>
      </c>
      <c r="C8490" t="s">
        <v>223</v>
      </c>
      <c r="D8490" t="s">
        <v>74</v>
      </c>
      <c r="E8490" t="s">
        <v>83</v>
      </c>
      <c r="F8490" s="55">
        <v>77</v>
      </c>
      <c r="G8490" s="63">
        <v>1.9400000000000001E-2</v>
      </c>
    </row>
    <row r="8491" spans="1:7" x14ac:dyDescent="0.2">
      <c r="A8491" t="s">
        <v>71</v>
      </c>
      <c r="B8491" t="s">
        <v>7</v>
      </c>
      <c r="C8491" t="s">
        <v>223</v>
      </c>
      <c r="D8491" t="s">
        <v>74</v>
      </c>
      <c r="E8491" t="s">
        <v>84</v>
      </c>
      <c r="F8491" s="55">
        <v>84</v>
      </c>
      <c r="G8491" s="63">
        <v>5.6899999999999999E-2</v>
      </c>
    </row>
    <row r="8492" spans="1:7" x14ac:dyDescent="0.2">
      <c r="A8492" t="s">
        <v>71</v>
      </c>
      <c r="B8492" t="s">
        <v>7</v>
      </c>
      <c r="C8492" t="s">
        <v>223</v>
      </c>
      <c r="D8492" t="s">
        <v>74</v>
      </c>
      <c r="E8492" t="s">
        <v>85</v>
      </c>
      <c r="F8492" s="55">
        <v>85</v>
      </c>
      <c r="G8492" s="63">
        <v>4.8500000000000001E-2</v>
      </c>
    </row>
    <row r="8493" spans="1:7" x14ac:dyDescent="0.2">
      <c r="A8493" t="s">
        <v>71</v>
      </c>
      <c r="B8493" t="s">
        <v>7</v>
      </c>
      <c r="C8493" t="s">
        <v>223</v>
      </c>
      <c r="D8493" t="s">
        <v>74</v>
      </c>
      <c r="E8493" t="s">
        <v>86</v>
      </c>
      <c r="F8493" s="55">
        <v>76</v>
      </c>
      <c r="G8493" s="63">
        <v>5.8999999999999997E-2</v>
      </c>
    </row>
    <row r="8494" spans="1:7" x14ac:dyDescent="0.2">
      <c r="A8494" t="s">
        <v>71</v>
      </c>
      <c r="B8494" t="s">
        <v>7</v>
      </c>
      <c r="C8494" t="s">
        <v>223</v>
      </c>
      <c r="D8494" t="s">
        <v>74</v>
      </c>
      <c r="E8494" t="s">
        <v>87</v>
      </c>
      <c r="F8494" s="55">
        <v>78</v>
      </c>
      <c r="G8494" s="63">
        <v>6.83E-2</v>
      </c>
    </row>
    <row r="8495" spans="1:7" x14ac:dyDescent="0.2">
      <c r="A8495" t="s">
        <v>71</v>
      </c>
      <c r="B8495" t="s">
        <v>7</v>
      </c>
      <c r="C8495" t="s">
        <v>223</v>
      </c>
      <c r="D8495" t="s">
        <v>74</v>
      </c>
      <c r="E8495" t="s">
        <v>88</v>
      </c>
      <c r="F8495" s="55">
        <v>78</v>
      </c>
      <c r="G8495" s="63">
        <v>4.1099999999999998E-2</v>
      </c>
    </row>
    <row r="8496" spans="1:7" x14ac:dyDescent="0.2">
      <c r="A8496" t="s">
        <v>89</v>
      </c>
      <c r="B8496" t="s">
        <v>110</v>
      </c>
      <c r="C8496" t="s">
        <v>223</v>
      </c>
      <c r="D8496" t="s">
        <v>74</v>
      </c>
      <c r="E8496" t="s">
        <v>75</v>
      </c>
      <c r="F8496" s="55">
        <v>100</v>
      </c>
      <c r="G8496" s="63">
        <v>0.1017</v>
      </c>
    </row>
    <row r="8497" spans="1:7" x14ac:dyDescent="0.2">
      <c r="A8497" t="s">
        <v>89</v>
      </c>
      <c r="B8497" t="s">
        <v>110</v>
      </c>
      <c r="C8497" t="s">
        <v>223</v>
      </c>
      <c r="D8497" t="s">
        <v>74</v>
      </c>
      <c r="E8497" t="s">
        <v>76</v>
      </c>
      <c r="F8497" s="55">
        <v>75</v>
      </c>
      <c r="G8497" s="63">
        <v>8.6999999999999994E-3</v>
      </c>
    </row>
    <row r="8498" spans="1:7" x14ac:dyDescent="0.2">
      <c r="A8498" t="s">
        <v>89</v>
      </c>
      <c r="B8498" t="s">
        <v>110</v>
      </c>
      <c r="C8498" t="s">
        <v>223</v>
      </c>
      <c r="D8498" t="s">
        <v>74</v>
      </c>
      <c r="E8498" t="s">
        <v>77</v>
      </c>
      <c r="F8498" s="55">
        <v>102</v>
      </c>
      <c r="G8498" s="63">
        <v>3.1600000000000003E-2</v>
      </c>
    </row>
    <row r="8499" spans="1:7" x14ac:dyDescent="0.2">
      <c r="A8499" t="s">
        <v>89</v>
      </c>
      <c r="B8499" t="s">
        <v>110</v>
      </c>
      <c r="C8499" t="s">
        <v>223</v>
      </c>
      <c r="D8499" t="s">
        <v>74</v>
      </c>
      <c r="E8499" t="s">
        <v>78</v>
      </c>
      <c r="F8499" s="55">
        <v>103</v>
      </c>
      <c r="G8499" s="63">
        <v>2.8799999999999999E-2</v>
      </c>
    </row>
    <row r="8500" spans="1:7" x14ac:dyDescent="0.2">
      <c r="A8500" t="s">
        <v>89</v>
      </c>
      <c r="B8500" t="s">
        <v>110</v>
      </c>
      <c r="C8500" t="s">
        <v>223</v>
      </c>
      <c r="D8500" t="s">
        <v>74</v>
      </c>
      <c r="E8500" t="s">
        <v>79</v>
      </c>
      <c r="F8500" s="55">
        <v>101</v>
      </c>
      <c r="G8500" s="63">
        <v>6.59E-2</v>
      </c>
    </row>
    <row r="8501" spans="1:7" x14ac:dyDescent="0.2">
      <c r="A8501" t="s">
        <v>89</v>
      </c>
      <c r="B8501" t="s">
        <v>110</v>
      </c>
      <c r="C8501" t="s">
        <v>223</v>
      </c>
      <c r="D8501" t="s">
        <v>74</v>
      </c>
      <c r="E8501" t="s">
        <v>80</v>
      </c>
      <c r="F8501" s="55">
        <v>92</v>
      </c>
      <c r="G8501" s="63">
        <v>3.8899999999999997E-2</v>
      </c>
    </row>
    <row r="8502" spans="1:7" x14ac:dyDescent="0.2">
      <c r="A8502" t="s">
        <v>89</v>
      </c>
      <c r="B8502" t="s">
        <v>110</v>
      </c>
      <c r="C8502" t="s">
        <v>223</v>
      </c>
      <c r="D8502" t="s">
        <v>74</v>
      </c>
      <c r="E8502" t="s">
        <v>81</v>
      </c>
      <c r="F8502" s="55">
        <v>93</v>
      </c>
      <c r="G8502" s="63">
        <v>3.56E-2</v>
      </c>
    </row>
    <row r="8503" spans="1:7" x14ac:dyDescent="0.2">
      <c r="A8503" t="s">
        <v>89</v>
      </c>
      <c r="B8503" t="s">
        <v>110</v>
      </c>
      <c r="C8503" t="s">
        <v>223</v>
      </c>
      <c r="D8503" t="s">
        <v>74</v>
      </c>
      <c r="E8503" t="s">
        <v>82</v>
      </c>
      <c r="F8503" s="55">
        <v>103</v>
      </c>
      <c r="G8503" s="63">
        <v>4.2099999999999999E-2</v>
      </c>
    </row>
    <row r="8504" spans="1:7" x14ac:dyDescent="0.2">
      <c r="A8504" t="s">
        <v>89</v>
      </c>
      <c r="B8504" t="s">
        <v>110</v>
      </c>
      <c r="C8504" t="s">
        <v>223</v>
      </c>
      <c r="D8504" t="s">
        <v>74</v>
      </c>
      <c r="E8504" t="s">
        <v>83</v>
      </c>
      <c r="F8504" s="55">
        <v>82</v>
      </c>
      <c r="G8504" s="63">
        <v>9.4999999999999998E-3</v>
      </c>
    </row>
    <row r="8505" spans="1:7" x14ac:dyDescent="0.2">
      <c r="A8505" t="s">
        <v>89</v>
      </c>
      <c r="B8505" t="s">
        <v>110</v>
      </c>
      <c r="C8505" t="s">
        <v>223</v>
      </c>
      <c r="D8505" t="s">
        <v>74</v>
      </c>
      <c r="E8505" t="s">
        <v>84</v>
      </c>
      <c r="F8505" s="55">
        <v>105</v>
      </c>
      <c r="G8505" s="63">
        <v>2.3400000000000001E-2</v>
      </c>
    </row>
    <row r="8506" spans="1:7" x14ac:dyDescent="0.2">
      <c r="A8506" t="s">
        <v>89</v>
      </c>
      <c r="B8506" t="s">
        <v>110</v>
      </c>
      <c r="C8506" t="s">
        <v>223</v>
      </c>
      <c r="D8506" t="s">
        <v>74</v>
      </c>
      <c r="E8506" t="s">
        <v>85</v>
      </c>
      <c r="F8506" s="55">
        <v>102</v>
      </c>
      <c r="G8506" s="63">
        <v>3.56E-2</v>
      </c>
    </row>
    <row r="8507" spans="1:7" x14ac:dyDescent="0.2">
      <c r="A8507" t="s">
        <v>89</v>
      </c>
      <c r="B8507" t="s">
        <v>110</v>
      </c>
      <c r="C8507" t="s">
        <v>223</v>
      </c>
      <c r="D8507" t="s">
        <v>74</v>
      </c>
      <c r="E8507" t="s">
        <v>86</v>
      </c>
      <c r="F8507" s="55">
        <v>102</v>
      </c>
      <c r="G8507" s="63">
        <v>3.44E-2</v>
      </c>
    </row>
    <row r="8508" spans="1:7" x14ac:dyDescent="0.2">
      <c r="A8508" t="s">
        <v>89</v>
      </c>
      <c r="B8508" t="s">
        <v>110</v>
      </c>
      <c r="C8508" t="s">
        <v>223</v>
      </c>
      <c r="D8508" t="s">
        <v>74</v>
      </c>
      <c r="E8508" t="s">
        <v>87</v>
      </c>
      <c r="F8508" s="55">
        <v>103</v>
      </c>
      <c r="G8508" s="63">
        <v>3.1E-2</v>
      </c>
    </row>
    <row r="8509" spans="1:7" x14ac:dyDescent="0.2">
      <c r="A8509" t="s">
        <v>89</v>
      </c>
      <c r="B8509" t="s">
        <v>110</v>
      </c>
      <c r="C8509" t="s">
        <v>223</v>
      </c>
      <c r="D8509" t="s">
        <v>74</v>
      </c>
      <c r="E8509" t="s">
        <v>88</v>
      </c>
      <c r="F8509" s="55">
        <v>85</v>
      </c>
      <c r="G8509" s="63">
        <v>1.44E-2</v>
      </c>
    </row>
    <row r="8510" spans="1:7" x14ac:dyDescent="0.2">
      <c r="A8510" t="s">
        <v>71</v>
      </c>
      <c r="B8510" t="s">
        <v>111</v>
      </c>
      <c r="C8510" t="s">
        <v>223</v>
      </c>
      <c r="D8510" t="s">
        <v>74</v>
      </c>
      <c r="E8510" t="s">
        <v>75</v>
      </c>
      <c r="F8510" s="55">
        <v>101</v>
      </c>
      <c r="G8510" s="63">
        <v>5.2999999999999999E-2</v>
      </c>
    </row>
    <row r="8511" spans="1:7" x14ac:dyDescent="0.2">
      <c r="A8511" t="s">
        <v>71</v>
      </c>
      <c r="B8511" t="s">
        <v>111</v>
      </c>
      <c r="C8511" t="s">
        <v>223</v>
      </c>
      <c r="D8511" t="s">
        <v>74</v>
      </c>
      <c r="E8511" t="s">
        <v>76</v>
      </c>
      <c r="F8511" s="55">
        <v>86</v>
      </c>
      <c r="G8511" s="63">
        <v>3.7000000000000002E-3</v>
      </c>
    </row>
    <row r="8512" spans="1:7" x14ac:dyDescent="0.2">
      <c r="A8512" t="s">
        <v>71</v>
      </c>
      <c r="B8512" t="s">
        <v>111</v>
      </c>
      <c r="C8512" t="s">
        <v>223</v>
      </c>
      <c r="D8512" t="s">
        <v>74</v>
      </c>
      <c r="E8512" t="s">
        <v>77</v>
      </c>
      <c r="F8512" s="55">
        <v>104</v>
      </c>
      <c r="G8512" s="63">
        <v>1.47E-2</v>
      </c>
    </row>
    <row r="8513" spans="1:7" x14ac:dyDescent="0.2">
      <c r="A8513" t="s">
        <v>71</v>
      </c>
      <c r="B8513" t="s">
        <v>111</v>
      </c>
      <c r="C8513" t="s">
        <v>223</v>
      </c>
      <c r="D8513" t="s">
        <v>74</v>
      </c>
      <c r="E8513" t="s">
        <v>78</v>
      </c>
      <c r="F8513" s="55">
        <v>101</v>
      </c>
      <c r="G8513" s="63">
        <v>1.0999999999999999E-2</v>
      </c>
    </row>
    <row r="8514" spans="1:7" x14ac:dyDescent="0.2">
      <c r="A8514" t="s">
        <v>71</v>
      </c>
      <c r="B8514" t="s">
        <v>111</v>
      </c>
      <c r="C8514" t="s">
        <v>223</v>
      </c>
      <c r="D8514" t="s">
        <v>74</v>
      </c>
      <c r="E8514" t="s">
        <v>79</v>
      </c>
      <c r="F8514" s="55">
        <v>103</v>
      </c>
      <c r="G8514" s="63">
        <v>2.9700000000000001E-2</v>
      </c>
    </row>
    <row r="8515" spans="1:7" x14ac:dyDescent="0.2">
      <c r="A8515" t="s">
        <v>71</v>
      </c>
      <c r="B8515" t="s">
        <v>111</v>
      </c>
      <c r="C8515" t="s">
        <v>223</v>
      </c>
      <c r="D8515" t="s">
        <v>74</v>
      </c>
      <c r="E8515" t="s">
        <v>80</v>
      </c>
      <c r="F8515" s="55">
        <v>96</v>
      </c>
      <c r="G8515" s="63">
        <v>6.6E-3</v>
      </c>
    </row>
    <row r="8516" spans="1:7" x14ac:dyDescent="0.2">
      <c r="A8516" t="s">
        <v>71</v>
      </c>
      <c r="B8516" t="s">
        <v>111</v>
      </c>
      <c r="C8516" t="s">
        <v>223</v>
      </c>
      <c r="D8516" t="s">
        <v>74</v>
      </c>
      <c r="E8516" t="s">
        <v>81</v>
      </c>
      <c r="F8516" s="55">
        <v>99</v>
      </c>
      <c r="G8516" s="63">
        <v>7.1000000000000004E-3</v>
      </c>
    </row>
    <row r="8517" spans="1:7" x14ac:dyDescent="0.2">
      <c r="A8517" t="s">
        <v>71</v>
      </c>
      <c r="B8517" t="s">
        <v>111</v>
      </c>
      <c r="C8517" t="s">
        <v>223</v>
      </c>
      <c r="D8517" t="s">
        <v>74</v>
      </c>
      <c r="E8517" t="s">
        <v>82</v>
      </c>
      <c r="F8517" s="55">
        <v>103</v>
      </c>
      <c r="G8517" s="63">
        <v>2.8000000000000001E-2</v>
      </c>
    </row>
    <row r="8518" spans="1:7" x14ac:dyDescent="0.2">
      <c r="A8518" t="s">
        <v>71</v>
      </c>
      <c r="B8518" t="s">
        <v>111</v>
      </c>
      <c r="C8518" t="s">
        <v>223</v>
      </c>
      <c r="D8518" t="s">
        <v>74</v>
      </c>
      <c r="E8518" t="s">
        <v>83</v>
      </c>
      <c r="F8518" s="55">
        <v>88</v>
      </c>
      <c r="G8518" s="63">
        <v>2.8E-3</v>
      </c>
    </row>
    <row r="8519" spans="1:7" x14ac:dyDescent="0.2">
      <c r="A8519" t="s">
        <v>71</v>
      </c>
      <c r="B8519" t="s">
        <v>111</v>
      </c>
      <c r="C8519" t="s">
        <v>223</v>
      </c>
      <c r="D8519" t="s">
        <v>74</v>
      </c>
      <c r="E8519" t="s">
        <v>84</v>
      </c>
      <c r="F8519" s="55">
        <v>90</v>
      </c>
      <c r="G8519" s="63">
        <v>7.4999999999999997E-3</v>
      </c>
    </row>
    <row r="8520" spans="1:7" x14ac:dyDescent="0.2">
      <c r="A8520" t="s">
        <v>71</v>
      </c>
      <c r="B8520" t="s">
        <v>111</v>
      </c>
      <c r="C8520" t="s">
        <v>223</v>
      </c>
      <c r="D8520" t="s">
        <v>74</v>
      </c>
      <c r="E8520" t="s">
        <v>85</v>
      </c>
      <c r="F8520" s="55">
        <v>92</v>
      </c>
      <c r="G8520" s="63">
        <v>7.0000000000000001E-3</v>
      </c>
    </row>
    <row r="8521" spans="1:7" x14ac:dyDescent="0.2">
      <c r="A8521" t="s">
        <v>71</v>
      </c>
      <c r="B8521" t="s">
        <v>111</v>
      </c>
      <c r="C8521" t="s">
        <v>223</v>
      </c>
      <c r="D8521" t="s">
        <v>74</v>
      </c>
      <c r="E8521" t="s">
        <v>86</v>
      </c>
      <c r="F8521" s="55">
        <v>96</v>
      </c>
      <c r="G8521" s="63">
        <v>1.18E-2</v>
      </c>
    </row>
    <row r="8522" spans="1:7" x14ac:dyDescent="0.2">
      <c r="A8522" t="s">
        <v>71</v>
      </c>
      <c r="B8522" t="s">
        <v>111</v>
      </c>
      <c r="C8522" t="s">
        <v>223</v>
      </c>
      <c r="D8522" t="s">
        <v>74</v>
      </c>
      <c r="E8522" t="s">
        <v>87</v>
      </c>
      <c r="F8522" s="55">
        <v>108</v>
      </c>
      <c r="G8522" s="63">
        <v>1.4E-2</v>
      </c>
    </row>
    <row r="8523" spans="1:7" x14ac:dyDescent="0.2">
      <c r="A8523" t="s">
        <v>71</v>
      </c>
      <c r="B8523" t="s">
        <v>111</v>
      </c>
      <c r="C8523" t="s">
        <v>223</v>
      </c>
      <c r="D8523" t="s">
        <v>74</v>
      </c>
      <c r="E8523" t="s">
        <v>88</v>
      </c>
      <c r="F8523" s="55">
        <v>84</v>
      </c>
      <c r="G8523" s="63">
        <v>8.3000000000000001E-3</v>
      </c>
    </row>
    <row r="8524" spans="1:7" x14ac:dyDescent="0.2">
      <c r="A8524" t="s">
        <v>89</v>
      </c>
      <c r="B8524" t="s">
        <v>112</v>
      </c>
      <c r="C8524" t="s">
        <v>223</v>
      </c>
      <c r="D8524" t="s">
        <v>74</v>
      </c>
      <c r="E8524" t="s">
        <v>75</v>
      </c>
      <c r="F8524" s="55">
        <v>169</v>
      </c>
      <c r="G8524" s="63">
        <v>1.1999999999999999E-3</v>
      </c>
    </row>
    <row r="8525" spans="1:7" x14ac:dyDescent="0.2">
      <c r="A8525" t="s">
        <v>89</v>
      </c>
      <c r="B8525" t="s">
        <v>113</v>
      </c>
      <c r="C8525" t="s">
        <v>223</v>
      </c>
      <c r="D8525" t="s">
        <v>91</v>
      </c>
      <c r="E8525" t="s">
        <v>75</v>
      </c>
      <c r="F8525" s="55">
        <v>102</v>
      </c>
      <c r="G8525" s="63">
        <v>0.40860000000000002</v>
      </c>
    </row>
    <row r="8526" spans="1:7" x14ac:dyDescent="0.2">
      <c r="A8526" t="s">
        <v>89</v>
      </c>
      <c r="B8526" t="s">
        <v>113</v>
      </c>
      <c r="C8526" t="s">
        <v>223</v>
      </c>
      <c r="D8526" t="s">
        <v>91</v>
      </c>
      <c r="E8526" t="s">
        <v>76</v>
      </c>
      <c r="F8526" s="55">
        <v>105</v>
      </c>
      <c r="G8526" s="63">
        <v>5.62E-2</v>
      </c>
    </row>
    <row r="8527" spans="1:7" x14ac:dyDescent="0.2">
      <c r="A8527" t="s">
        <v>89</v>
      </c>
      <c r="B8527" t="s">
        <v>113</v>
      </c>
      <c r="C8527" t="s">
        <v>223</v>
      </c>
      <c r="D8527" t="s">
        <v>91</v>
      </c>
      <c r="E8527" t="s">
        <v>77</v>
      </c>
      <c r="F8527" s="55">
        <v>104</v>
      </c>
      <c r="G8527" s="63">
        <v>0.14249999999999999</v>
      </c>
    </row>
    <row r="8528" spans="1:7" x14ac:dyDescent="0.2">
      <c r="A8528" t="s">
        <v>89</v>
      </c>
      <c r="B8528" t="s">
        <v>113</v>
      </c>
      <c r="C8528" t="s">
        <v>223</v>
      </c>
      <c r="D8528" t="s">
        <v>91</v>
      </c>
      <c r="E8528" t="s">
        <v>78</v>
      </c>
      <c r="F8528" s="55">
        <v>95</v>
      </c>
      <c r="G8528" s="63">
        <v>0.1381</v>
      </c>
    </row>
    <row r="8529" spans="1:7" x14ac:dyDescent="0.2">
      <c r="A8529" t="s">
        <v>89</v>
      </c>
      <c r="B8529" t="s">
        <v>113</v>
      </c>
      <c r="C8529" t="s">
        <v>223</v>
      </c>
      <c r="D8529" t="s">
        <v>91</v>
      </c>
      <c r="E8529" t="s">
        <v>79</v>
      </c>
      <c r="F8529" s="55">
        <v>104</v>
      </c>
      <c r="G8529" s="63">
        <v>0.29870000000000002</v>
      </c>
    </row>
    <row r="8530" spans="1:7" x14ac:dyDescent="0.2">
      <c r="A8530" t="s">
        <v>89</v>
      </c>
      <c r="B8530" t="s">
        <v>113</v>
      </c>
      <c r="C8530" t="s">
        <v>223</v>
      </c>
      <c r="D8530" t="s">
        <v>91</v>
      </c>
      <c r="E8530" t="s">
        <v>80</v>
      </c>
      <c r="F8530" s="55">
        <v>100</v>
      </c>
      <c r="G8530" s="63">
        <v>6.0900000000000003E-2</v>
      </c>
    </row>
    <row r="8531" spans="1:7" x14ac:dyDescent="0.2">
      <c r="A8531" t="s">
        <v>89</v>
      </c>
      <c r="B8531" t="s">
        <v>113</v>
      </c>
      <c r="C8531" t="s">
        <v>223</v>
      </c>
      <c r="D8531" t="s">
        <v>91</v>
      </c>
      <c r="E8531" t="s">
        <v>81</v>
      </c>
      <c r="F8531" s="55">
        <v>96</v>
      </c>
      <c r="G8531" s="63">
        <v>6.8599999999999994E-2</v>
      </c>
    </row>
    <row r="8532" spans="1:7" x14ac:dyDescent="0.2">
      <c r="A8532" t="s">
        <v>89</v>
      </c>
      <c r="B8532" t="s">
        <v>113</v>
      </c>
      <c r="C8532" t="s">
        <v>223</v>
      </c>
      <c r="D8532" t="s">
        <v>91</v>
      </c>
      <c r="E8532" t="s">
        <v>82</v>
      </c>
      <c r="F8532" s="55">
        <v>95</v>
      </c>
      <c r="G8532" s="63">
        <v>0.2054</v>
      </c>
    </row>
    <row r="8533" spans="1:7" x14ac:dyDescent="0.2">
      <c r="A8533" t="s">
        <v>89</v>
      </c>
      <c r="B8533" t="s">
        <v>113</v>
      </c>
      <c r="C8533" t="s">
        <v>223</v>
      </c>
      <c r="D8533" t="s">
        <v>91</v>
      </c>
      <c r="E8533" t="s">
        <v>83</v>
      </c>
      <c r="F8533" s="55">
        <v>100</v>
      </c>
      <c r="G8533" s="63">
        <v>2.93E-2</v>
      </c>
    </row>
    <row r="8534" spans="1:7" x14ac:dyDescent="0.2">
      <c r="A8534" t="s">
        <v>89</v>
      </c>
      <c r="B8534" t="s">
        <v>113</v>
      </c>
      <c r="C8534" t="s">
        <v>223</v>
      </c>
      <c r="D8534" t="s">
        <v>91</v>
      </c>
      <c r="E8534" t="s">
        <v>84</v>
      </c>
      <c r="F8534" s="55">
        <v>95</v>
      </c>
      <c r="G8534" s="63">
        <v>9.6100000000000005E-2</v>
      </c>
    </row>
    <row r="8535" spans="1:7" x14ac:dyDescent="0.2">
      <c r="A8535" t="s">
        <v>89</v>
      </c>
      <c r="B8535" t="s">
        <v>113</v>
      </c>
      <c r="C8535" t="s">
        <v>223</v>
      </c>
      <c r="D8535" t="s">
        <v>91</v>
      </c>
      <c r="E8535" t="s">
        <v>85</v>
      </c>
      <c r="F8535" s="55">
        <v>105</v>
      </c>
      <c r="G8535" s="63">
        <v>8.2500000000000004E-2</v>
      </c>
    </row>
    <row r="8536" spans="1:7" x14ac:dyDescent="0.2">
      <c r="A8536" t="s">
        <v>89</v>
      </c>
      <c r="B8536" t="s">
        <v>113</v>
      </c>
      <c r="C8536" t="s">
        <v>223</v>
      </c>
      <c r="D8536" t="s">
        <v>91</v>
      </c>
      <c r="E8536" t="s">
        <v>86</v>
      </c>
      <c r="F8536" s="55">
        <v>102</v>
      </c>
      <c r="G8536" s="63">
        <v>0.1239</v>
      </c>
    </row>
    <row r="8537" spans="1:7" x14ac:dyDescent="0.2">
      <c r="A8537" t="s">
        <v>89</v>
      </c>
      <c r="B8537" t="s">
        <v>113</v>
      </c>
      <c r="C8537" t="s">
        <v>223</v>
      </c>
      <c r="D8537" t="s">
        <v>91</v>
      </c>
      <c r="E8537" t="s">
        <v>87</v>
      </c>
      <c r="F8537" s="55">
        <v>104</v>
      </c>
      <c r="G8537" s="63">
        <v>0.1623</v>
      </c>
    </row>
    <row r="8538" spans="1:7" x14ac:dyDescent="0.2">
      <c r="A8538" t="s">
        <v>89</v>
      </c>
      <c r="B8538" t="s">
        <v>113</v>
      </c>
      <c r="C8538" t="s">
        <v>223</v>
      </c>
      <c r="D8538" t="s">
        <v>91</v>
      </c>
      <c r="E8538" t="s">
        <v>88</v>
      </c>
      <c r="F8538" s="55">
        <v>105</v>
      </c>
      <c r="G8538" s="63">
        <v>9.2700000000000005E-2</v>
      </c>
    </row>
    <row r="8539" spans="1:7" x14ac:dyDescent="0.2">
      <c r="A8539" t="s">
        <v>89</v>
      </c>
      <c r="B8539" t="s">
        <v>115</v>
      </c>
      <c r="C8539" t="s">
        <v>223</v>
      </c>
      <c r="D8539" t="s">
        <v>74</v>
      </c>
      <c r="E8539" t="s">
        <v>75</v>
      </c>
      <c r="F8539" s="55">
        <v>100</v>
      </c>
      <c r="G8539" s="63">
        <v>0.13089999999999999</v>
      </c>
    </row>
    <row r="8540" spans="1:7" x14ac:dyDescent="0.2">
      <c r="A8540" t="s">
        <v>89</v>
      </c>
      <c r="B8540" t="s">
        <v>115</v>
      </c>
      <c r="C8540" t="s">
        <v>223</v>
      </c>
      <c r="D8540" t="s">
        <v>74</v>
      </c>
      <c r="E8540" t="s">
        <v>76</v>
      </c>
      <c r="F8540" s="55">
        <v>101</v>
      </c>
      <c r="G8540" s="63">
        <v>1.15E-2</v>
      </c>
    </row>
    <row r="8541" spans="1:7" x14ac:dyDescent="0.2">
      <c r="A8541" t="s">
        <v>89</v>
      </c>
      <c r="B8541" t="s">
        <v>115</v>
      </c>
      <c r="C8541" t="s">
        <v>223</v>
      </c>
      <c r="D8541" t="s">
        <v>74</v>
      </c>
      <c r="E8541" t="s">
        <v>77</v>
      </c>
      <c r="F8541" s="55">
        <v>102</v>
      </c>
      <c r="G8541" s="63">
        <v>3.9300000000000002E-2</v>
      </c>
    </row>
    <row r="8542" spans="1:7" x14ac:dyDescent="0.2">
      <c r="A8542" t="s">
        <v>89</v>
      </c>
      <c r="B8542" t="s">
        <v>115</v>
      </c>
      <c r="C8542" t="s">
        <v>223</v>
      </c>
      <c r="D8542" t="s">
        <v>74</v>
      </c>
      <c r="E8542" t="s">
        <v>78</v>
      </c>
      <c r="F8542" s="55">
        <v>107</v>
      </c>
      <c r="G8542" s="63">
        <v>3.5499999999999997E-2</v>
      </c>
    </row>
    <row r="8543" spans="1:7" x14ac:dyDescent="0.2">
      <c r="A8543" t="s">
        <v>89</v>
      </c>
      <c r="B8543" t="s">
        <v>115</v>
      </c>
      <c r="C8543" t="s">
        <v>223</v>
      </c>
      <c r="D8543" t="s">
        <v>74</v>
      </c>
      <c r="E8543" t="s">
        <v>79</v>
      </c>
      <c r="F8543" s="55">
        <v>99</v>
      </c>
      <c r="G8543" s="63">
        <v>8.4099999999999994E-2</v>
      </c>
    </row>
    <row r="8544" spans="1:7" x14ac:dyDescent="0.2">
      <c r="A8544" t="s">
        <v>89</v>
      </c>
      <c r="B8544" t="s">
        <v>115</v>
      </c>
      <c r="C8544" t="s">
        <v>223</v>
      </c>
      <c r="D8544" t="s">
        <v>74</v>
      </c>
      <c r="E8544" t="s">
        <v>80</v>
      </c>
      <c r="F8544" s="55">
        <v>98</v>
      </c>
      <c r="G8544" s="63">
        <v>0.05</v>
      </c>
    </row>
    <row r="8545" spans="1:7" x14ac:dyDescent="0.2">
      <c r="A8545" t="s">
        <v>89</v>
      </c>
      <c r="B8545" t="s">
        <v>115</v>
      </c>
      <c r="C8545" t="s">
        <v>223</v>
      </c>
      <c r="D8545" t="s">
        <v>74</v>
      </c>
      <c r="E8545" t="s">
        <v>81</v>
      </c>
      <c r="F8545" s="55">
        <v>95</v>
      </c>
      <c r="G8545" s="63">
        <v>4.65E-2</v>
      </c>
    </row>
    <row r="8546" spans="1:7" x14ac:dyDescent="0.2">
      <c r="A8546" t="s">
        <v>89</v>
      </c>
      <c r="B8546" t="s">
        <v>115</v>
      </c>
      <c r="C8546" t="s">
        <v>223</v>
      </c>
      <c r="D8546" t="s">
        <v>74</v>
      </c>
      <c r="E8546" t="s">
        <v>82</v>
      </c>
      <c r="F8546" s="55">
        <v>94</v>
      </c>
      <c r="G8546" s="63">
        <v>5.6000000000000001E-2</v>
      </c>
    </row>
    <row r="8547" spans="1:7" x14ac:dyDescent="0.2">
      <c r="A8547" t="s">
        <v>89</v>
      </c>
      <c r="B8547" t="s">
        <v>115</v>
      </c>
      <c r="C8547" t="s">
        <v>223</v>
      </c>
      <c r="D8547" t="s">
        <v>74</v>
      </c>
      <c r="E8547" t="s">
        <v>83</v>
      </c>
      <c r="F8547" s="55">
        <v>96</v>
      </c>
      <c r="G8547" s="63">
        <v>1.3100000000000001E-2</v>
      </c>
    </row>
    <row r="8548" spans="1:7" x14ac:dyDescent="0.2">
      <c r="A8548" t="s">
        <v>89</v>
      </c>
      <c r="B8548" t="s">
        <v>115</v>
      </c>
      <c r="C8548" t="s">
        <v>223</v>
      </c>
      <c r="D8548" t="s">
        <v>74</v>
      </c>
      <c r="E8548" t="s">
        <v>84</v>
      </c>
      <c r="F8548" s="55">
        <v>107</v>
      </c>
      <c r="G8548" s="63">
        <v>2.87E-2</v>
      </c>
    </row>
    <row r="8549" spans="1:7" x14ac:dyDescent="0.2">
      <c r="A8549" t="s">
        <v>89</v>
      </c>
      <c r="B8549" t="s">
        <v>115</v>
      </c>
      <c r="C8549" t="s">
        <v>223</v>
      </c>
      <c r="D8549" t="s">
        <v>74</v>
      </c>
      <c r="E8549" t="s">
        <v>85</v>
      </c>
      <c r="F8549" s="55">
        <v>101</v>
      </c>
      <c r="G8549" s="63">
        <v>4.4200000000000003E-2</v>
      </c>
    </row>
    <row r="8550" spans="1:7" x14ac:dyDescent="0.2">
      <c r="A8550" t="s">
        <v>89</v>
      </c>
      <c r="B8550" t="s">
        <v>115</v>
      </c>
      <c r="C8550" t="s">
        <v>223</v>
      </c>
      <c r="D8550" t="s">
        <v>74</v>
      </c>
      <c r="E8550" t="s">
        <v>86</v>
      </c>
      <c r="F8550" s="55">
        <v>100</v>
      </c>
      <c r="G8550" s="63">
        <v>4.24E-2</v>
      </c>
    </row>
    <row r="8551" spans="1:7" x14ac:dyDescent="0.2">
      <c r="A8551" t="s">
        <v>89</v>
      </c>
      <c r="B8551" t="s">
        <v>115</v>
      </c>
      <c r="C8551" t="s">
        <v>223</v>
      </c>
      <c r="D8551" t="s">
        <v>74</v>
      </c>
      <c r="E8551" t="s">
        <v>87</v>
      </c>
      <c r="F8551" s="55">
        <v>96</v>
      </c>
      <c r="G8551" s="63">
        <v>3.9100000000000003E-2</v>
      </c>
    </row>
    <row r="8552" spans="1:7" x14ac:dyDescent="0.2">
      <c r="A8552" t="s">
        <v>89</v>
      </c>
      <c r="B8552" t="s">
        <v>115</v>
      </c>
      <c r="C8552" t="s">
        <v>223</v>
      </c>
      <c r="D8552" t="s">
        <v>74</v>
      </c>
      <c r="E8552" t="s">
        <v>88</v>
      </c>
      <c r="F8552" s="55">
        <v>97</v>
      </c>
      <c r="G8552" s="63">
        <v>1.9400000000000001E-2</v>
      </c>
    </row>
    <row r="8553" spans="1:7" x14ac:dyDescent="0.2">
      <c r="A8553" t="s">
        <v>89</v>
      </c>
      <c r="B8553" t="s">
        <v>116</v>
      </c>
      <c r="C8553" t="s">
        <v>223</v>
      </c>
      <c r="D8553" t="s">
        <v>74</v>
      </c>
      <c r="E8553" t="s">
        <v>75</v>
      </c>
      <c r="F8553" s="55">
        <v>107</v>
      </c>
      <c r="G8553" s="63">
        <v>0.1057</v>
      </c>
    </row>
    <row r="8554" spans="1:7" x14ac:dyDescent="0.2">
      <c r="A8554" t="s">
        <v>89</v>
      </c>
      <c r="B8554" t="s">
        <v>116</v>
      </c>
      <c r="C8554" t="s">
        <v>223</v>
      </c>
      <c r="D8554" t="s">
        <v>74</v>
      </c>
      <c r="E8554" t="s">
        <v>76</v>
      </c>
      <c r="F8554" s="55">
        <v>97</v>
      </c>
      <c r="G8554" s="63">
        <v>5.1000000000000004E-3</v>
      </c>
    </row>
    <row r="8555" spans="1:7" x14ac:dyDescent="0.2">
      <c r="A8555" t="s">
        <v>89</v>
      </c>
      <c r="B8555" t="s">
        <v>116</v>
      </c>
      <c r="C8555" t="s">
        <v>223</v>
      </c>
      <c r="D8555" t="s">
        <v>74</v>
      </c>
      <c r="E8555" t="s">
        <v>77</v>
      </c>
      <c r="F8555" s="55">
        <v>111</v>
      </c>
      <c r="G8555" s="63">
        <v>1.8800000000000001E-2</v>
      </c>
    </row>
    <row r="8556" spans="1:7" x14ac:dyDescent="0.2">
      <c r="A8556" t="s">
        <v>89</v>
      </c>
      <c r="B8556" t="s">
        <v>116</v>
      </c>
      <c r="C8556" t="s">
        <v>223</v>
      </c>
      <c r="D8556" t="s">
        <v>74</v>
      </c>
      <c r="E8556" t="s">
        <v>78</v>
      </c>
      <c r="F8556" s="55">
        <v>112</v>
      </c>
      <c r="G8556" s="63">
        <v>1.9800000000000002E-2</v>
      </c>
    </row>
    <row r="8557" spans="1:7" x14ac:dyDescent="0.2">
      <c r="A8557" t="s">
        <v>89</v>
      </c>
      <c r="B8557" t="s">
        <v>116</v>
      </c>
      <c r="C8557" t="s">
        <v>223</v>
      </c>
      <c r="D8557" t="s">
        <v>74</v>
      </c>
      <c r="E8557" t="s">
        <v>79</v>
      </c>
      <c r="F8557" s="55">
        <v>104</v>
      </c>
      <c r="G8557" s="63">
        <v>6.8400000000000002E-2</v>
      </c>
    </row>
    <row r="8558" spans="1:7" x14ac:dyDescent="0.2">
      <c r="A8558" t="s">
        <v>89</v>
      </c>
      <c r="B8558" t="s">
        <v>116</v>
      </c>
      <c r="C8558" t="s">
        <v>223</v>
      </c>
      <c r="D8558" t="s">
        <v>74</v>
      </c>
      <c r="E8558" t="s">
        <v>80</v>
      </c>
      <c r="F8558" s="55">
        <v>106</v>
      </c>
      <c r="G8558" s="63">
        <v>3.5499999999999997E-2</v>
      </c>
    </row>
    <row r="8559" spans="1:7" x14ac:dyDescent="0.2">
      <c r="A8559" t="s">
        <v>89</v>
      </c>
      <c r="B8559" t="s">
        <v>116</v>
      </c>
      <c r="C8559" t="s">
        <v>223</v>
      </c>
      <c r="D8559" t="s">
        <v>74</v>
      </c>
      <c r="E8559" t="s">
        <v>81</v>
      </c>
      <c r="F8559" s="55">
        <v>114</v>
      </c>
      <c r="G8559" s="63">
        <v>3.2500000000000001E-2</v>
      </c>
    </row>
    <row r="8560" spans="1:7" x14ac:dyDescent="0.2">
      <c r="A8560" t="s">
        <v>89</v>
      </c>
      <c r="B8560" t="s">
        <v>116</v>
      </c>
      <c r="C8560" t="s">
        <v>223</v>
      </c>
      <c r="D8560" t="s">
        <v>74</v>
      </c>
      <c r="E8560" t="s">
        <v>82</v>
      </c>
      <c r="F8560" s="55">
        <v>104</v>
      </c>
      <c r="G8560" s="63">
        <v>3.5700000000000003E-2</v>
      </c>
    </row>
    <row r="8561" spans="1:7" x14ac:dyDescent="0.2">
      <c r="A8561" t="s">
        <v>89</v>
      </c>
      <c r="B8561" t="s">
        <v>116</v>
      </c>
      <c r="C8561" t="s">
        <v>223</v>
      </c>
      <c r="D8561" t="s">
        <v>74</v>
      </c>
      <c r="E8561" t="s">
        <v>83</v>
      </c>
      <c r="F8561" s="55">
        <v>105</v>
      </c>
      <c r="G8561" s="63">
        <v>7.6E-3</v>
      </c>
    </row>
    <row r="8562" spans="1:7" x14ac:dyDescent="0.2">
      <c r="A8562" t="s">
        <v>89</v>
      </c>
      <c r="B8562" t="s">
        <v>116</v>
      </c>
      <c r="C8562" t="s">
        <v>223</v>
      </c>
      <c r="D8562" t="s">
        <v>74</v>
      </c>
      <c r="E8562" t="s">
        <v>84</v>
      </c>
      <c r="F8562" s="55">
        <v>110</v>
      </c>
      <c r="G8562" s="63">
        <v>1.3599999999999999E-2</v>
      </c>
    </row>
    <row r="8563" spans="1:7" x14ac:dyDescent="0.2">
      <c r="A8563" t="s">
        <v>89</v>
      </c>
      <c r="B8563" t="s">
        <v>116</v>
      </c>
      <c r="C8563" t="s">
        <v>223</v>
      </c>
      <c r="D8563" t="s">
        <v>74</v>
      </c>
      <c r="E8563" t="s">
        <v>85</v>
      </c>
      <c r="F8563" s="55">
        <v>104</v>
      </c>
      <c r="G8563" s="63">
        <v>3.32E-2</v>
      </c>
    </row>
    <row r="8564" spans="1:7" x14ac:dyDescent="0.2">
      <c r="A8564" t="s">
        <v>89</v>
      </c>
      <c r="B8564" t="s">
        <v>116</v>
      </c>
      <c r="C8564" t="s">
        <v>223</v>
      </c>
      <c r="D8564" t="s">
        <v>74</v>
      </c>
      <c r="E8564" t="s">
        <v>86</v>
      </c>
      <c r="F8564" s="55">
        <v>107</v>
      </c>
      <c r="G8564" s="63">
        <v>3.1800000000000002E-2</v>
      </c>
    </row>
    <row r="8565" spans="1:7" x14ac:dyDescent="0.2">
      <c r="A8565" t="s">
        <v>89</v>
      </c>
      <c r="B8565" t="s">
        <v>116</v>
      </c>
      <c r="C8565" t="s">
        <v>223</v>
      </c>
      <c r="D8565" t="s">
        <v>74</v>
      </c>
      <c r="E8565" t="s">
        <v>87</v>
      </c>
      <c r="F8565" s="55">
        <v>106</v>
      </c>
      <c r="G8565" s="63">
        <v>2.7799999999999998E-2</v>
      </c>
    </row>
    <row r="8566" spans="1:7" x14ac:dyDescent="0.2">
      <c r="A8566" t="s">
        <v>89</v>
      </c>
      <c r="B8566" t="s">
        <v>116</v>
      </c>
      <c r="C8566" t="s">
        <v>223</v>
      </c>
      <c r="D8566" t="s">
        <v>74</v>
      </c>
      <c r="E8566" t="s">
        <v>88</v>
      </c>
      <c r="F8566" s="55">
        <v>96</v>
      </c>
      <c r="G8566" s="63">
        <v>1.11E-2</v>
      </c>
    </row>
    <row r="8567" spans="1:7" x14ac:dyDescent="0.2">
      <c r="A8567" t="s">
        <v>71</v>
      </c>
      <c r="B8567" t="s">
        <v>117</v>
      </c>
      <c r="C8567" t="s">
        <v>223</v>
      </c>
      <c r="D8567" t="s">
        <v>74</v>
      </c>
      <c r="E8567" t="s">
        <v>75</v>
      </c>
      <c r="F8567" s="55">
        <v>99</v>
      </c>
      <c r="G8567" s="63">
        <v>0.37609999999999999</v>
      </c>
    </row>
    <row r="8568" spans="1:7" x14ac:dyDescent="0.2">
      <c r="A8568" t="s">
        <v>71</v>
      </c>
      <c r="B8568" t="s">
        <v>117</v>
      </c>
      <c r="C8568" t="s">
        <v>223</v>
      </c>
      <c r="D8568" t="s">
        <v>74</v>
      </c>
      <c r="E8568" t="s">
        <v>76</v>
      </c>
      <c r="F8568" s="55">
        <v>96</v>
      </c>
      <c r="G8568" s="63">
        <v>6.9599999999999995E-2</v>
      </c>
    </row>
    <row r="8569" spans="1:7" x14ac:dyDescent="0.2">
      <c r="A8569" t="s">
        <v>71</v>
      </c>
      <c r="B8569" t="s">
        <v>117</v>
      </c>
      <c r="C8569" t="s">
        <v>223</v>
      </c>
      <c r="D8569" t="s">
        <v>74</v>
      </c>
      <c r="E8569" t="s">
        <v>77</v>
      </c>
      <c r="F8569" s="55">
        <v>102</v>
      </c>
      <c r="G8569" s="63">
        <v>0.16880000000000001</v>
      </c>
    </row>
    <row r="8570" spans="1:7" x14ac:dyDescent="0.2">
      <c r="A8570" t="s">
        <v>71</v>
      </c>
      <c r="B8570" t="s">
        <v>117</v>
      </c>
      <c r="C8570" t="s">
        <v>223</v>
      </c>
      <c r="D8570" t="s">
        <v>74</v>
      </c>
      <c r="E8570" t="s">
        <v>78</v>
      </c>
      <c r="F8570" s="55">
        <v>99</v>
      </c>
      <c r="G8570" s="63">
        <v>0.16450000000000001</v>
      </c>
    </row>
    <row r="8571" spans="1:7" x14ac:dyDescent="0.2">
      <c r="A8571" t="s">
        <v>71</v>
      </c>
      <c r="B8571" t="s">
        <v>117</v>
      </c>
      <c r="C8571" t="s">
        <v>223</v>
      </c>
      <c r="D8571" t="s">
        <v>74</v>
      </c>
      <c r="E8571" t="s">
        <v>79</v>
      </c>
      <c r="F8571" s="55">
        <v>100</v>
      </c>
      <c r="G8571" s="63">
        <v>0.26979999999999998</v>
      </c>
    </row>
    <row r="8572" spans="1:7" x14ac:dyDescent="0.2">
      <c r="A8572" t="s">
        <v>71</v>
      </c>
      <c r="B8572" t="s">
        <v>117</v>
      </c>
      <c r="C8572" t="s">
        <v>223</v>
      </c>
      <c r="D8572" t="s">
        <v>74</v>
      </c>
      <c r="E8572" t="s">
        <v>80</v>
      </c>
      <c r="F8572" s="55">
        <v>93</v>
      </c>
      <c r="G8572" s="63">
        <v>7.5600000000000001E-2</v>
      </c>
    </row>
    <row r="8573" spans="1:7" x14ac:dyDescent="0.2">
      <c r="A8573" t="s">
        <v>71</v>
      </c>
      <c r="B8573" t="s">
        <v>117</v>
      </c>
      <c r="C8573" t="s">
        <v>223</v>
      </c>
      <c r="D8573" t="s">
        <v>74</v>
      </c>
      <c r="E8573" t="s">
        <v>81</v>
      </c>
      <c r="F8573" s="55">
        <v>94</v>
      </c>
      <c r="G8573" s="63">
        <v>8.72E-2</v>
      </c>
    </row>
    <row r="8574" spans="1:7" x14ac:dyDescent="0.2">
      <c r="A8574" t="s">
        <v>71</v>
      </c>
      <c r="B8574" t="s">
        <v>117</v>
      </c>
      <c r="C8574" t="s">
        <v>223</v>
      </c>
      <c r="D8574" t="s">
        <v>74</v>
      </c>
      <c r="E8574" t="s">
        <v>82</v>
      </c>
      <c r="F8574" s="55">
        <v>100</v>
      </c>
      <c r="G8574" s="63">
        <v>0.2306</v>
      </c>
    </row>
    <row r="8575" spans="1:7" x14ac:dyDescent="0.2">
      <c r="A8575" t="s">
        <v>71</v>
      </c>
      <c r="B8575" t="s">
        <v>117</v>
      </c>
      <c r="C8575" t="s">
        <v>223</v>
      </c>
      <c r="D8575" t="s">
        <v>74</v>
      </c>
      <c r="E8575" t="s">
        <v>83</v>
      </c>
      <c r="F8575" s="55">
        <v>98</v>
      </c>
      <c r="G8575" s="63">
        <v>4.6399999999999997E-2</v>
      </c>
    </row>
    <row r="8576" spans="1:7" x14ac:dyDescent="0.2">
      <c r="A8576" t="s">
        <v>71</v>
      </c>
      <c r="B8576" t="s">
        <v>117</v>
      </c>
      <c r="C8576" t="s">
        <v>223</v>
      </c>
      <c r="D8576" t="s">
        <v>74</v>
      </c>
      <c r="E8576" t="s">
        <v>84</v>
      </c>
      <c r="F8576" s="55">
        <v>99</v>
      </c>
      <c r="G8576" s="63">
        <v>0.12839999999999999</v>
      </c>
    </row>
    <row r="8577" spans="1:7" x14ac:dyDescent="0.2">
      <c r="A8577" t="s">
        <v>71</v>
      </c>
      <c r="B8577" t="s">
        <v>117</v>
      </c>
      <c r="C8577" t="s">
        <v>223</v>
      </c>
      <c r="D8577" t="s">
        <v>74</v>
      </c>
      <c r="E8577" t="s">
        <v>85</v>
      </c>
      <c r="F8577" s="55">
        <v>94</v>
      </c>
      <c r="G8577" s="63">
        <v>0.10100000000000001</v>
      </c>
    </row>
    <row r="8578" spans="1:7" x14ac:dyDescent="0.2">
      <c r="A8578" t="s">
        <v>71</v>
      </c>
      <c r="B8578" t="s">
        <v>117</v>
      </c>
      <c r="C8578" t="s">
        <v>223</v>
      </c>
      <c r="D8578" t="s">
        <v>74</v>
      </c>
      <c r="E8578" t="s">
        <v>86</v>
      </c>
      <c r="F8578" s="55">
        <v>98</v>
      </c>
      <c r="G8578" s="63">
        <v>0.1464</v>
      </c>
    </row>
    <row r="8579" spans="1:7" x14ac:dyDescent="0.2">
      <c r="A8579" t="s">
        <v>71</v>
      </c>
      <c r="B8579" t="s">
        <v>117</v>
      </c>
      <c r="C8579" t="s">
        <v>223</v>
      </c>
      <c r="D8579" t="s">
        <v>74</v>
      </c>
      <c r="E8579" t="s">
        <v>87</v>
      </c>
      <c r="F8579" s="55">
        <v>101</v>
      </c>
      <c r="G8579" s="63">
        <v>0.17480000000000001</v>
      </c>
    </row>
    <row r="8580" spans="1:7" x14ac:dyDescent="0.2">
      <c r="A8580" t="s">
        <v>71</v>
      </c>
      <c r="B8580" t="s">
        <v>117</v>
      </c>
      <c r="C8580" t="s">
        <v>223</v>
      </c>
      <c r="D8580" t="s">
        <v>74</v>
      </c>
      <c r="E8580" t="s">
        <v>88</v>
      </c>
      <c r="F8580" s="55">
        <v>96</v>
      </c>
      <c r="G8580" s="63">
        <v>0.1061</v>
      </c>
    </row>
    <row r="8581" spans="1:7" x14ac:dyDescent="0.2">
      <c r="A8581" t="s">
        <v>89</v>
      </c>
      <c r="B8581" t="s">
        <v>119</v>
      </c>
      <c r="C8581" t="s">
        <v>223</v>
      </c>
      <c r="D8581" t="s">
        <v>74</v>
      </c>
      <c r="E8581" t="s">
        <v>75</v>
      </c>
      <c r="F8581" s="55">
        <v>98</v>
      </c>
      <c r="G8581" s="63">
        <v>5.8200000000000002E-2</v>
      </c>
    </row>
    <row r="8582" spans="1:7" x14ac:dyDescent="0.2">
      <c r="A8582" t="s">
        <v>89</v>
      </c>
      <c r="B8582" t="s">
        <v>119</v>
      </c>
      <c r="C8582" t="s">
        <v>223</v>
      </c>
      <c r="D8582" t="s">
        <v>74</v>
      </c>
      <c r="E8582" t="s">
        <v>76</v>
      </c>
      <c r="F8582" s="55">
        <v>88</v>
      </c>
      <c r="G8582" s="63">
        <v>4.1000000000000003E-3</v>
      </c>
    </row>
    <row r="8583" spans="1:7" x14ac:dyDescent="0.2">
      <c r="A8583" t="s">
        <v>89</v>
      </c>
      <c r="B8583" t="s">
        <v>119</v>
      </c>
      <c r="C8583" t="s">
        <v>223</v>
      </c>
      <c r="D8583" t="s">
        <v>74</v>
      </c>
      <c r="E8583" t="s">
        <v>77</v>
      </c>
      <c r="F8583" s="55">
        <v>87</v>
      </c>
      <c r="G8583" s="63">
        <v>1.5100000000000001E-2</v>
      </c>
    </row>
    <row r="8584" spans="1:7" x14ac:dyDescent="0.2">
      <c r="A8584" t="s">
        <v>89</v>
      </c>
      <c r="B8584" t="s">
        <v>119</v>
      </c>
      <c r="C8584" t="s">
        <v>223</v>
      </c>
      <c r="D8584" t="s">
        <v>74</v>
      </c>
      <c r="E8584" t="s">
        <v>78</v>
      </c>
      <c r="F8584" s="55">
        <v>87</v>
      </c>
      <c r="G8584" s="63">
        <v>1.2999999999999999E-2</v>
      </c>
    </row>
    <row r="8585" spans="1:7" x14ac:dyDescent="0.2">
      <c r="A8585" t="s">
        <v>89</v>
      </c>
      <c r="B8585" t="s">
        <v>119</v>
      </c>
      <c r="C8585" t="s">
        <v>223</v>
      </c>
      <c r="D8585" t="s">
        <v>74</v>
      </c>
      <c r="E8585" t="s">
        <v>79</v>
      </c>
      <c r="F8585" s="55">
        <v>104</v>
      </c>
      <c r="G8585" s="63">
        <v>3.3399999999999999E-2</v>
      </c>
    </row>
    <row r="8586" spans="1:7" x14ac:dyDescent="0.2">
      <c r="A8586" t="s">
        <v>89</v>
      </c>
      <c r="B8586" t="s">
        <v>119</v>
      </c>
      <c r="C8586" t="s">
        <v>223</v>
      </c>
      <c r="D8586" t="s">
        <v>74</v>
      </c>
      <c r="E8586" t="s">
        <v>80</v>
      </c>
      <c r="F8586" s="55">
        <v>113</v>
      </c>
      <c r="G8586" s="63">
        <v>1.9E-2</v>
      </c>
    </row>
    <row r="8587" spans="1:7" x14ac:dyDescent="0.2">
      <c r="A8587" t="s">
        <v>89</v>
      </c>
      <c r="B8587" t="s">
        <v>119</v>
      </c>
      <c r="C8587" t="s">
        <v>223</v>
      </c>
      <c r="D8587" t="s">
        <v>74</v>
      </c>
      <c r="E8587" t="s">
        <v>81</v>
      </c>
      <c r="F8587" s="55">
        <v>102</v>
      </c>
      <c r="G8587" s="63">
        <v>1.9099999999999999E-2</v>
      </c>
    </row>
    <row r="8588" spans="1:7" x14ac:dyDescent="0.2">
      <c r="A8588" t="s">
        <v>89</v>
      </c>
      <c r="B8588" t="s">
        <v>119</v>
      </c>
      <c r="C8588" t="s">
        <v>223</v>
      </c>
      <c r="D8588" t="s">
        <v>74</v>
      </c>
      <c r="E8588" t="s">
        <v>82</v>
      </c>
      <c r="F8588" s="55">
        <v>96</v>
      </c>
      <c r="G8588" s="63">
        <v>2.01E-2</v>
      </c>
    </row>
    <row r="8589" spans="1:7" x14ac:dyDescent="0.2">
      <c r="A8589" t="s">
        <v>89</v>
      </c>
      <c r="B8589" t="s">
        <v>119</v>
      </c>
      <c r="C8589" t="s">
        <v>223</v>
      </c>
      <c r="D8589" t="s">
        <v>74</v>
      </c>
      <c r="E8589" t="s">
        <v>83</v>
      </c>
      <c r="F8589" s="55">
        <v>80</v>
      </c>
      <c r="G8589" s="63">
        <v>5.3E-3</v>
      </c>
    </row>
    <row r="8590" spans="1:7" x14ac:dyDescent="0.2">
      <c r="A8590" t="s">
        <v>89</v>
      </c>
      <c r="B8590" t="s">
        <v>119</v>
      </c>
      <c r="C8590" t="s">
        <v>223</v>
      </c>
      <c r="D8590" t="s">
        <v>74</v>
      </c>
      <c r="E8590" t="s">
        <v>84</v>
      </c>
      <c r="F8590" s="55">
        <v>86</v>
      </c>
      <c r="G8590" s="63">
        <v>9.7999999999999997E-3</v>
      </c>
    </row>
    <row r="8591" spans="1:7" x14ac:dyDescent="0.2">
      <c r="A8591" t="s">
        <v>89</v>
      </c>
      <c r="B8591" t="s">
        <v>119</v>
      </c>
      <c r="C8591" t="s">
        <v>223</v>
      </c>
      <c r="D8591" t="s">
        <v>74</v>
      </c>
      <c r="E8591" t="s">
        <v>85</v>
      </c>
      <c r="F8591" s="55">
        <v>104</v>
      </c>
      <c r="G8591" s="63">
        <v>1.5800000000000002E-2</v>
      </c>
    </row>
    <row r="8592" spans="1:7" x14ac:dyDescent="0.2">
      <c r="A8592" t="s">
        <v>89</v>
      </c>
      <c r="B8592" t="s">
        <v>119</v>
      </c>
      <c r="C8592" t="s">
        <v>223</v>
      </c>
      <c r="D8592" t="s">
        <v>74</v>
      </c>
      <c r="E8592" t="s">
        <v>86</v>
      </c>
      <c r="F8592" s="55">
        <v>103</v>
      </c>
      <c r="G8592" s="63">
        <v>1.46E-2</v>
      </c>
    </row>
    <row r="8593" spans="1:7" x14ac:dyDescent="0.2">
      <c r="A8593" t="s">
        <v>89</v>
      </c>
      <c r="B8593" t="s">
        <v>119</v>
      </c>
      <c r="C8593" t="s">
        <v>223</v>
      </c>
      <c r="D8593" t="s">
        <v>74</v>
      </c>
      <c r="E8593" t="s">
        <v>87</v>
      </c>
      <c r="F8593" s="55">
        <v>102</v>
      </c>
      <c r="G8593" s="63">
        <v>1.21E-2</v>
      </c>
    </row>
    <row r="8594" spans="1:7" x14ac:dyDescent="0.2">
      <c r="A8594" t="s">
        <v>89</v>
      </c>
      <c r="B8594" t="s">
        <v>119</v>
      </c>
      <c r="C8594" t="s">
        <v>223</v>
      </c>
      <c r="D8594" t="s">
        <v>74</v>
      </c>
      <c r="E8594" t="s">
        <v>88</v>
      </c>
      <c r="F8594" s="55">
        <v>86</v>
      </c>
      <c r="G8594" s="63">
        <v>7.7000000000000002E-3</v>
      </c>
    </row>
    <row r="8595" spans="1:7" x14ac:dyDescent="0.2">
      <c r="A8595" t="s">
        <v>89</v>
      </c>
      <c r="B8595" t="s">
        <v>120</v>
      </c>
      <c r="C8595" t="s">
        <v>223</v>
      </c>
      <c r="D8595" t="s">
        <v>74</v>
      </c>
      <c r="E8595" t="s">
        <v>75</v>
      </c>
      <c r="F8595" s="55">
        <v>61</v>
      </c>
      <c r="G8595" s="63">
        <v>0.1489</v>
      </c>
    </row>
    <row r="8596" spans="1:7" x14ac:dyDescent="0.2">
      <c r="A8596" t="s">
        <v>89</v>
      </c>
      <c r="B8596" t="s">
        <v>120</v>
      </c>
      <c r="C8596" t="s">
        <v>223</v>
      </c>
      <c r="D8596" t="s">
        <v>74</v>
      </c>
      <c r="E8596" t="s">
        <v>76</v>
      </c>
      <c r="F8596" s="55">
        <v>52</v>
      </c>
      <c r="G8596" s="63">
        <v>2.0500000000000001E-2</v>
      </c>
    </row>
    <row r="8597" spans="1:7" x14ac:dyDescent="0.2">
      <c r="A8597" t="s">
        <v>89</v>
      </c>
      <c r="B8597" t="s">
        <v>120</v>
      </c>
      <c r="C8597" t="s">
        <v>223</v>
      </c>
      <c r="D8597" t="s">
        <v>74</v>
      </c>
      <c r="E8597" t="s">
        <v>77</v>
      </c>
      <c r="F8597" s="55">
        <v>64</v>
      </c>
      <c r="G8597" s="63">
        <v>5.1299999999999998E-2</v>
      </c>
    </row>
    <row r="8598" spans="1:7" x14ac:dyDescent="0.2">
      <c r="A8598" t="s">
        <v>89</v>
      </c>
      <c r="B8598" t="s">
        <v>120</v>
      </c>
      <c r="C8598" t="s">
        <v>223</v>
      </c>
      <c r="D8598" t="s">
        <v>74</v>
      </c>
      <c r="E8598" t="s">
        <v>78</v>
      </c>
      <c r="F8598" s="55">
        <v>63</v>
      </c>
      <c r="G8598" s="63">
        <v>4.4499999999999998E-2</v>
      </c>
    </row>
    <row r="8599" spans="1:7" x14ac:dyDescent="0.2">
      <c r="A8599" t="s">
        <v>89</v>
      </c>
      <c r="B8599" t="s">
        <v>120</v>
      </c>
      <c r="C8599" t="s">
        <v>223</v>
      </c>
      <c r="D8599" t="s">
        <v>74</v>
      </c>
      <c r="E8599" t="s">
        <v>79</v>
      </c>
      <c r="F8599" s="55">
        <v>63</v>
      </c>
      <c r="G8599" s="63">
        <v>8.2100000000000006E-2</v>
      </c>
    </row>
    <row r="8600" spans="1:7" x14ac:dyDescent="0.2">
      <c r="A8600" t="s">
        <v>89</v>
      </c>
      <c r="B8600" t="s">
        <v>120</v>
      </c>
      <c r="C8600" t="s">
        <v>223</v>
      </c>
      <c r="D8600" t="s">
        <v>74</v>
      </c>
      <c r="E8600" t="s">
        <v>80</v>
      </c>
      <c r="F8600" s="55">
        <v>54</v>
      </c>
      <c r="G8600" s="63">
        <v>1.41E-2</v>
      </c>
    </row>
    <row r="8601" spans="1:7" x14ac:dyDescent="0.2">
      <c r="A8601" t="s">
        <v>89</v>
      </c>
      <c r="B8601" t="s">
        <v>120</v>
      </c>
      <c r="C8601" t="s">
        <v>223</v>
      </c>
      <c r="D8601" t="s">
        <v>74</v>
      </c>
      <c r="E8601" t="s">
        <v>81</v>
      </c>
      <c r="F8601" s="55">
        <v>47</v>
      </c>
      <c r="G8601" s="63">
        <v>1.9199999999999998E-2</v>
      </c>
    </row>
    <row r="8602" spans="1:7" x14ac:dyDescent="0.2">
      <c r="A8602" t="s">
        <v>89</v>
      </c>
      <c r="B8602" t="s">
        <v>120</v>
      </c>
      <c r="C8602" t="s">
        <v>223</v>
      </c>
      <c r="D8602" t="s">
        <v>74</v>
      </c>
      <c r="E8602" t="s">
        <v>82</v>
      </c>
      <c r="F8602" s="55">
        <v>65</v>
      </c>
      <c r="G8602" s="63">
        <v>6.8199999999999997E-2</v>
      </c>
    </row>
    <row r="8603" spans="1:7" x14ac:dyDescent="0.2">
      <c r="A8603" t="s">
        <v>89</v>
      </c>
      <c r="B8603" t="s">
        <v>120</v>
      </c>
      <c r="C8603" t="s">
        <v>223</v>
      </c>
      <c r="D8603" t="s">
        <v>74</v>
      </c>
      <c r="E8603" t="s">
        <v>83</v>
      </c>
      <c r="F8603" s="55">
        <v>57</v>
      </c>
      <c r="G8603" s="63">
        <v>1.2200000000000001E-2</v>
      </c>
    </row>
    <row r="8604" spans="1:7" x14ac:dyDescent="0.2">
      <c r="A8604" t="s">
        <v>89</v>
      </c>
      <c r="B8604" t="s">
        <v>120</v>
      </c>
      <c r="C8604" t="s">
        <v>223</v>
      </c>
      <c r="D8604" t="s">
        <v>74</v>
      </c>
      <c r="E8604" t="s">
        <v>84</v>
      </c>
      <c r="F8604" s="55">
        <v>63</v>
      </c>
      <c r="G8604" s="63">
        <v>3.3000000000000002E-2</v>
      </c>
    </row>
    <row r="8605" spans="1:7" x14ac:dyDescent="0.2">
      <c r="A8605" t="s">
        <v>89</v>
      </c>
      <c r="B8605" t="s">
        <v>120</v>
      </c>
      <c r="C8605" t="s">
        <v>223</v>
      </c>
      <c r="D8605" t="s">
        <v>74</v>
      </c>
      <c r="E8605" t="s">
        <v>85</v>
      </c>
      <c r="F8605" s="55">
        <v>61</v>
      </c>
      <c r="G8605" s="63">
        <v>1.4999999999999999E-2</v>
      </c>
    </row>
    <row r="8606" spans="1:7" x14ac:dyDescent="0.2">
      <c r="A8606" t="s">
        <v>89</v>
      </c>
      <c r="B8606" t="s">
        <v>120</v>
      </c>
      <c r="C8606" t="s">
        <v>223</v>
      </c>
      <c r="D8606" t="s">
        <v>74</v>
      </c>
      <c r="E8606" t="s">
        <v>86</v>
      </c>
      <c r="F8606" s="55">
        <v>59</v>
      </c>
      <c r="G8606" s="63">
        <v>2.4299999999999999E-2</v>
      </c>
    </row>
    <row r="8607" spans="1:7" x14ac:dyDescent="0.2">
      <c r="A8607" t="s">
        <v>89</v>
      </c>
      <c r="B8607" t="s">
        <v>120</v>
      </c>
      <c r="C8607" t="s">
        <v>223</v>
      </c>
      <c r="D8607" t="s">
        <v>74</v>
      </c>
      <c r="E8607" t="s">
        <v>87</v>
      </c>
      <c r="F8607" s="55">
        <v>61</v>
      </c>
      <c r="G8607" s="63">
        <v>3.3399999999999999E-2</v>
      </c>
    </row>
    <row r="8608" spans="1:7" x14ac:dyDescent="0.2">
      <c r="A8608" t="s">
        <v>89</v>
      </c>
      <c r="B8608" t="s">
        <v>120</v>
      </c>
      <c r="C8608" t="s">
        <v>223</v>
      </c>
      <c r="D8608" t="s">
        <v>74</v>
      </c>
      <c r="E8608" t="s">
        <v>88</v>
      </c>
      <c r="F8608" s="55">
        <v>52</v>
      </c>
      <c r="G8608" s="63">
        <v>3.1399999999999997E-2</v>
      </c>
    </row>
    <row r="8609" spans="1:7" x14ac:dyDescent="0.2">
      <c r="A8609" t="s">
        <v>89</v>
      </c>
      <c r="B8609" t="s">
        <v>121</v>
      </c>
      <c r="C8609" t="s">
        <v>223</v>
      </c>
      <c r="D8609" t="s">
        <v>74</v>
      </c>
      <c r="E8609" t="s">
        <v>75</v>
      </c>
      <c r="F8609" s="55">
        <v>69</v>
      </c>
      <c r="G8609" s="63">
        <v>8.0600000000000005E-2</v>
      </c>
    </row>
    <row r="8610" spans="1:7" x14ac:dyDescent="0.2">
      <c r="A8610" t="s">
        <v>89</v>
      </c>
      <c r="B8610" t="s">
        <v>121</v>
      </c>
      <c r="C8610" t="s">
        <v>223</v>
      </c>
      <c r="D8610" t="s">
        <v>74</v>
      </c>
      <c r="E8610" t="s">
        <v>76</v>
      </c>
      <c r="F8610" s="55">
        <v>64</v>
      </c>
      <c r="G8610" s="63">
        <v>1.01E-2</v>
      </c>
    </row>
    <row r="8611" spans="1:7" x14ac:dyDescent="0.2">
      <c r="A8611" t="s">
        <v>89</v>
      </c>
      <c r="B8611" t="s">
        <v>121</v>
      </c>
      <c r="C8611" t="s">
        <v>223</v>
      </c>
      <c r="D8611" t="s">
        <v>74</v>
      </c>
      <c r="E8611" t="s">
        <v>77</v>
      </c>
      <c r="F8611" s="55">
        <v>67</v>
      </c>
      <c r="G8611" s="63">
        <v>2.6200000000000001E-2</v>
      </c>
    </row>
    <row r="8612" spans="1:7" x14ac:dyDescent="0.2">
      <c r="A8612" t="s">
        <v>89</v>
      </c>
      <c r="B8612" t="s">
        <v>121</v>
      </c>
      <c r="C8612" t="s">
        <v>223</v>
      </c>
      <c r="D8612" t="s">
        <v>74</v>
      </c>
      <c r="E8612" t="s">
        <v>78</v>
      </c>
      <c r="F8612" s="55">
        <v>76</v>
      </c>
      <c r="G8612" s="63">
        <v>2.4899999999999999E-2</v>
      </c>
    </row>
    <row r="8613" spans="1:7" x14ac:dyDescent="0.2">
      <c r="A8613" t="s">
        <v>89</v>
      </c>
      <c r="B8613" t="s">
        <v>121</v>
      </c>
      <c r="C8613" t="s">
        <v>223</v>
      </c>
      <c r="D8613" t="s">
        <v>74</v>
      </c>
      <c r="E8613" t="s">
        <v>79</v>
      </c>
      <c r="F8613" s="55">
        <v>72</v>
      </c>
      <c r="G8613" s="63">
        <v>4.2799999999999998E-2</v>
      </c>
    </row>
    <row r="8614" spans="1:7" x14ac:dyDescent="0.2">
      <c r="A8614" t="s">
        <v>89</v>
      </c>
      <c r="B8614" t="s">
        <v>121</v>
      </c>
      <c r="C8614" t="s">
        <v>223</v>
      </c>
      <c r="D8614" t="s">
        <v>74</v>
      </c>
      <c r="E8614" t="s">
        <v>80</v>
      </c>
      <c r="F8614" s="55">
        <v>58</v>
      </c>
      <c r="G8614" s="63">
        <v>9.4999999999999998E-3</v>
      </c>
    </row>
    <row r="8615" spans="1:7" x14ac:dyDescent="0.2">
      <c r="A8615" t="s">
        <v>89</v>
      </c>
      <c r="B8615" t="s">
        <v>121</v>
      </c>
      <c r="C8615" t="s">
        <v>223</v>
      </c>
      <c r="D8615" t="s">
        <v>74</v>
      </c>
      <c r="E8615" t="s">
        <v>81</v>
      </c>
      <c r="F8615" s="55">
        <v>62</v>
      </c>
      <c r="G8615" s="63">
        <v>1.29E-2</v>
      </c>
    </row>
    <row r="8616" spans="1:7" x14ac:dyDescent="0.2">
      <c r="A8616" t="s">
        <v>89</v>
      </c>
      <c r="B8616" t="s">
        <v>121</v>
      </c>
      <c r="C8616" t="s">
        <v>223</v>
      </c>
      <c r="D8616" t="s">
        <v>74</v>
      </c>
      <c r="E8616" t="s">
        <v>82</v>
      </c>
      <c r="F8616" s="55">
        <v>73</v>
      </c>
      <c r="G8616" s="63">
        <v>3.4200000000000001E-2</v>
      </c>
    </row>
    <row r="8617" spans="1:7" x14ac:dyDescent="0.2">
      <c r="A8617" t="s">
        <v>89</v>
      </c>
      <c r="B8617" t="s">
        <v>121</v>
      </c>
      <c r="C8617" t="s">
        <v>223</v>
      </c>
      <c r="D8617" t="s">
        <v>74</v>
      </c>
      <c r="E8617" t="s">
        <v>83</v>
      </c>
      <c r="F8617" s="55">
        <v>59</v>
      </c>
      <c r="G8617" s="63">
        <v>6.7999999999999996E-3</v>
      </c>
    </row>
    <row r="8618" spans="1:7" x14ac:dyDescent="0.2">
      <c r="A8618" t="s">
        <v>89</v>
      </c>
      <c r="B8618" t="s">
        <v>121</v>
      </c>
      <c r="C8618" t="s">
        <v>223</v>
      </c>
      <c r="D8618" t="s">
        <v>74</v>
      </c>
      <c r="E8618" t="s">
        <v>84</v>
      </c>
      <c r="F8618" s="55">
        <v>72</v>
      </c>
      <c r="G8618" s="63">
        <v>1.6799999999999999E-2</v>
      </c>
    </row>
    <row r="8619" spans="1:7" x14ac:dyDescent="0.2">
      <c r="A8619" t="s">
        <v>89</v>
      </c>
      <c r="B8619" t="s">
        <v>121</v>
      </c>
      <c r="C8619" t="s">
        <v>223</v>
      </c>
      <c r="D8619" t="s">
        <v>74</v>
      </c>
      <c r="E8619" t="s">
        <v>85</v>
      </c>
      <c r="F8619" s="55">
        <v>82</v>
      </c>
      <c r="G8619" s="63">
        <v>8.8999999999999999E-3</v>
      </c>
    </row>
    <row r="8620" spans="1:7" x14ac:dyDescent="0.2">
      <c r="A8620" t="s">
        <v>89</v>
      </c>
      <c r="B8620" t="s">
        <v>121</v>
      </c>
      <c r="C8620" t="s">
        <v>223</v>
      </c>
      <c r="D8620" t="s">
        <v>74</v>
      </c>
      <c r="E8620" t="s">
        <v>86</v>
      </c>
      <c r="F8620" s="55">
        <v>78</v>
      </c>
      <c r="G8620" s="63">
        <v>1.23E-2</v>
      </c>
    </row>
    <row r="8621" spans="1:7" x14ac:dyDescent="0.2">
      <c r="A8621" t="s">
        <v>89</v>
      </c>
      <c r="B8621" t="s">
        <v>121</v>
      </c>
      <c r="C8621" t="s">
        <v>223</v>
      </c>
      <c r="D8621" t="s">
        <v>74</v>
      </c>
      <c r="E8621" t="s">
        <v>87</v>
      </c>
      <c r="F8621" s="55">
        <v>64</v>
      </c>
      <c r="G8621" s="63">
        <v>1.5599999999999999E-2</v>
      </c>
    </row>
    <row r="8622" spans="1:7" x14ac:dyDescent="0.2">
      <c r="A8622" t="s">
        <v>89</v>
      </c>
      <c r="B8622" t="s">
        <v>121</v>
      </c>
      <c r="C8622" t="s">
        <v>223</v>
      </c>
      <c r="D8622" t="s">
        <v>74</v>
      </c>
      <c r="E8622" t="s">
        <v>88</v>
      </c>
      <c r="F8622" s="55">
        <v>65</v>
      </c>
      <c r="G8622" s="63">
        <v>1.5800000000000002E-2</v>
      </c>
    </row>
    <row r="8623" spans="1:7" x14ac:dyDescent="0.2">
      <c r="A8623" t="s">
        <v>71</v>
      </c>
      <c r="B8623" t="s">
        <v>8</v>
      </c>
      <c r="C8623" t="s">
        <v>223</v>
      </c>
      <c r="D8623" t="s">
        <v>74</v>
      </c>
      <c r="E8623" t="s">
        <v>75</v>
      </c>
      <c r="F8623" s="55">
        <v>85</v>
      </c>
      <c r="G8623" s="63">
        <v>0.26069999999999999</v>
      </c>
    </row>
    <row r="8624" spans="1:7" x14ac:dyDescent="0.2">
      <c r="A8624" t="s">
        <v>71</v>
      </c>
      <c r="B8624" t="s">
        <v>8</v>
      </c>
      <c r="C8624" t="s">
        <v>223</v>
      </c>
      <c r="D8624" t="s">
        <v>74</v>
      </c>
      <c r="E8624" t="s">
        <v>76</v>
      </c>
      <c r="F8624" s="55">
        <v>84</v>
      </c>
      <c r="G8624" s="63">
        <v>3.3000000000000002E-2</v>
      </c>
    </row>
    <row r="8625" spans="1:7" x14ac:dyDescent="0.2">
      <c r="A8625" t="s">
        <v>71</v>
      </c>
      <c r="B8625" t="s">
        <v>8</v>
      </c>
      <c r="C8625" t="s">
        <v>223</v>
      </c>
      <c r="D8625" t="s">
        <v>74</v>
      </c>
      <c r="E8625" t="s">
        <v>77</v>
      </c>
      <c r="F8625" s="55">
        <v>88</v>
      </c>
      <c r="G8625" s="63">
        <v>9.3600000000000003E-2</v>
      </c>
    </row>
    <row r="8626" spans="1:7" x14ac:dyDescent="0.2">
      <c r="A8626" t="s">
        <v>71</v>
      </c>
      <c r="B8626" t="s">
        <v>8</v>
      </c>
      <c r="C8626" t="s">
        <v>223</v>
      </c>
      <c r="D8626" t="s">
        <v>74</v>
      </c>
      <c r="E8626" t="s">
        <v>78</v>
      </c>
      <c r="F8626" s="55">
        <v>82</v>
      </c>
      <c r="G8626" s="63">
        <v>8.4599999999999995E-2</v>
      </c>
    </row>
    <row r="8627" spans="1:7" x14ac:dyDescent="0.2">
      <c r="A8627" t="s">
        <v>71</v>
      </c>
      <c r="B8627" t="s">
        <v>8</v>
      </c>
      <c r="C8627" t="s">
        <v>223</v>
      </c>
      <c r="D8627" t="s">
        <v>74</v>
      </c>
      <c r="E8627" t="s">
        <v>79</v>
      </c>
      <c r="F8627" s="55">
        <v>84</v>
      </c>
      <c r="G8627" s="63">
        <v>0.1593</v>
      </c>
    </row>
    <row r="8628" spans="1:7" x14ac:dyDescent="0.2">
      <c r="A8628" t="s">
        <v>71</v>
      </c>
      <c r="B8628" t="s">
        <v>8</v>
      </c>
      <c r="C8628" t="s">
        <v>223</v>
      </c>
      <c r="D8628" t="s">
        <v>74</v>
      </c>
      <c r="E8628" t="s">
        <v>80</v>
      </c>
      <c r="F8628" s="55">
        <v>85</v>
      </c>
      <c r="G8628" s="63">
        <v>3.8800000000000001E-2</v>
      </c>
    </row>
    <row r="8629" spans="1:7" x14ac:dyDescent="0.2">
      <c r="A8629" t="s">
        <v>71</v>
      </c>
      <c r="B8629" t="s">
        <v>8</v>
      </c>
      <c r="C8629" t="s">
        <v>223</v>
      </c>
      <c r="D8629" t="s">
        <v>74</v>
      </c>
      <c r="E8629" t="s">
        <v>81</v>
      </c>
      <c r="F8629" s="55">
        <v>83</v>
      </c>
      <c r="G8629" s="63">
        <v>4.3499999999999997E-2</v>
      </c>
    </row>
    <row r="8630" spans="1:7" x14ac:dyDescent="0.2">
      <c r="A8630" t="s">
        <v>71</v>
      </c>
      <c r="B8630" t="s">
        <v>8</v>
      </c>
      <c r="C8630" t="s">
        <v>223</v>
      </c>
      <c r="D8630" t="s">
        <v>74</v>
      </c>
      <c r="E8630" t="s">
        <v>82</v>
      </c>
      <c r="F8630" s="55">
        <v>89</v>
      </c>
      <c r="G8630" s="63">
        <v>0.1295</v>
      </c>
    </row>
    <row r="8631" spans="1:7" x14ac:dyDescent="0.2">
      <c r="A8631" t="s">
        <v>71</v>
      </c>
      <c r="B8631" t="s">
        <v>8</v>
      </c>
      <c r="C8631" t="s">
        <v>223</v>
      </c>
      <c r="D8631" t="s">
        <v>74</v>
      </c>
      <c r="E8631" t="s">
        <v>83</v>
      </c>
      <c r="F8631" s="55">
        <v>82</v>
      </c>
      <c r="G8631" s="63">
        <v>2.2700000000000001E-2</v>
      </c>
    </row>
    <row r="8632" spans="1:7" x14ac:dyDescent="0.2">
      <c r="A8632" t="s">
        <v>71</v>
      </c>
      <c r="B8632" t="s">
        <v>8</v>
      </c>
      <c r="C8632" t="s">
        <v>223</v>
      </c>
      <c r="D8632" t="s">
        <v>74</v>
      </c>
      <c r="E8632" t="s">
        <v>84</v>
      </c>
      <c r="F8632" s="55">
        <v>82</v>
      </c>
      <c r="G8632" s="63">
        <v>6.2700000000000006E-2</v>
      </c>
    </row>
    <row r="8633" spans="1:7" x14ac:dyDescent="0.2">
      <c r="A8633" t="s">
        <v>71</v>
      </c>
      <c r="B8633" t="s">
        <v>8</v>
      </c>
      <c r="C8633" t="s">
        <v>223</v>
      </c>
      <c r="D8633" t="s">
        <v>74</v>
      </c>
      <c r="E8633" t="s">
        <v>85</v>
      </c>
      <c r="F8633" s="55">
        <v>86</v>
      </c>
      <c r="G8633" s="63">
        <v>4.4999999999999998E-2</v>
      </c>
    </row>
    <row r="8634" spans="1:7" x14ac:dyDescent="0.2">
      <c r="A8634" t="s">
        <v>71</v>
      </c>
      <c r="B8634" t="s">
        <v>8</v>
      </c>
      <c r="C8634" t="s">
        <v>223</v>
      </c>
      <c r="D8634" t="s">
        <v>74</v>
      </c>
      <c r="E8634" t="s">
        <v>86</v>
      </c>
      <c r="F8634" s="55">
        <v>84</v>
      </c>
      <c r="G8634" s="63">
        <v>6.4399999999999999E-2</v>
      </c>
    </row>
    <row r="8635" spans="1:7" x14ac:dyDescent="0.2">
      <c r="A8635" t="s">
        <v>71</v>
      </c>
      <c r="B8635" t="s">
        <v>8</v>
      </c>
      <c r="C8635" t="s">
        <v>223</v>
      </c>
      <c r="D8635" t="s">
        <v>74</v>
      </c>
      <c r="E8635" t="s">
        <v>87</v>
      </c>
      <c r="F8635" s="55">
        <v>82</v>
      </c>
      <c r="G8635" s="63">
        <v>7.8299999999999995E-2</v>
      </c>
    </row>
    <row r="8636" spans="1:7" x14ac:dyDescent="0.2">
      <c r="A8636" t="s">
        <v>71</v>
      </c>
      <c r="B8636" t="s">
        <v>8</v>
      </c>
      <c r="C8636" t="s">
        <v>223</v>
      </c>
      <c r="D8636" t="s">
        <v>74</v>
      </c>
      <c r="E8636" t="s">
        <v>88</v>
      </c>
      <c r="F8636" s="55">
        <v>86</v>
      </c>
      <c r="G8636" s="63">
        <v>5.4300000000000001E-2</v>
      </c>
    </row>
    <row r="8637" spans="1:7" x14ac:dyDescent="0.2">
      <c r="A8637" t="s">
        <v>71</v>
      </c>
      <c r="B8637" t="s">
        <v>9</v>
      </c>
      <c r="C8637" t="s">
        <v>223</v>
      </c>
      <c r="D8637" t="s">
        <v>74</v>
      </c>
      <c r="E8637" t="s">
        <v>75</v>
      </c>
      <c r="F8637" s="55">
        <v>81</v>
      </c>
      <c r="G8637" s="63">
        <v>0.40660000000000002</v>
      </c>
    </row>
    <row r="8638" spans="1:7" x14ac:dyDescent="0.2">
      <c r="A8638" t="s">
        <v>71</v>
      </c>
      <c r="B8638" t="s">
        <v>9</v>
      </c>
      <c r="C8638" t="s">
        <v>223</v>
      </c>
      <c r="D8638" t="s">
        <v>74</v>
      </c>
      <c r="E8638" t="s">
        <v>76</v>
      </c>
      <c r="F8638" s="55">
        <v>77</v>
      </c>
      <c r="G8638" s="63">
        <v>4.6600000000000003E-2</v>
      </c>
    </row>
    <row r="8639" spans="1:7" x14ac:dyDescent="0.2">
      <c r="A8639" t="s">
        <v>71</v>
      </c>
      <c r="B8639" t="s">
        <v>9</v>
      </c>
      <c r="C8639" t="s">
        <v>223</v>
      </c>
      <c r="D8639" t="s">
        <v>74</v>
      </c>
      <c r="E8639" t="s">
        <v>77</v>
      </c>
      <c r="F8639" s="55">
        <v>77</v>
      </c>
      <c r="G8639" s="63">
        <v>0.15160000000000001</v>
      </c>
    </row>
    <row r="8640" spans="1:7" x14ac:dyDescent="0.2">
      <c r="A8640" t="s">
        <v>71</v>
      </c>
      <c r="B8640" t="s">
        <v>9</v>
      </c>
      <c r="C8640" t="s">
        <v>223</v>
      </c>
      <c r="D8640" t="s">
        <v>74</v>
      </c>
      <c r="E8640" t="s">
        <v>78</v>
      </c>
      <c r="F8640" s="55">
        <v>85</v>
      </c>
      <c r="G8640" s="63">
        <v>0.14910000000000001</v>
      </c>
    </row>
    <row r="8641" spans="1:7" x14ac:dyDescent="0.2">
      <c r="A8641" t="s">
        <v>71</v>
      </c>
      <c r="B8641" t="s">
        <v>9</v>
      </c>
      <c r="C8641" t="s">
        <v>223</v>
      </c>
      <c r="D8641" t="s">
        <v>74</v>
      </c>
      <c r="E8641" t="s">
        <v>79</v>
      </c>
      <c r="F8641" s="55">
        <v>83</v>
      </c>
      <c r="G8641" s="63">
        <v>0.3241</v>
      </c>
    </row>
    <row r="8642" spans="1:7" x14ac:dyDescent="0.2">
      <c r="A8642" t="s">
        <v>71</v>
      </c>
      <c r="B8642" t="s">
        <v>9</v>
      </c>
      <c r="C8642" t="s">
        <v>223</v>
      </c>
      <c r="D8642" t="s">
        <v>74</v>
      </c>
      <c r="E8642" t="s">
        <v>80</v>
      </c>
      <c r="F8642" s="55">
        <v>80</v>
      </c>
      <c r="G8642" s="63">
        <v>0.21479999999999999</v>
      </c>
    </row>
    <row r="8643" spans="1:7" x14ac:dyDescent="0.2">
      <c r="A8643" t="s">
        <v>71</v>
      </c>
      <c r="B8643" t="s">
        <v>9</v>
      </c>
      <c r="C8643" t="s">
        <v>223</v>
      </c>
      <c r="D8643" t="s">
        <v>74</v>
      </c>
      <c r="E8643" t="s">
        <v>81</v>
      </c>
      <c r="F8643" s="55">
        <v>78</v>
      </c>
      <c r="G8643" s="63">
        <v>0.17949999999999999</v>
      </c>
    </row>
    <row r="8644" spans="1:7" x14ac:dyDescent="0.2">
      <c r="A8644" t="s">
        <v>71</v>
      </c>
      <c r="B8644" t="s">
        <v>9</v>
      </c>
      <c r="C8644" t="s">
        <v>223</v>
      </c>
      <c r="D8644" t="s">
        <v>74</v>
      </c>
      <c r="E8644" t="s">
        <v>82</v>
      </c>
      <c r="F8644" s="55">
        <v>82</v>
      </c>
      <c r="G8644" s="63">
        <v>0.22450000000000001</v>
      </c>
    </row>
    <row r="8645" spans="1:7" x14ac:dyDescent="0.2">
      <c r="A8645" t="s">
        <v>71</v>
      </c>
      <c r="B8645" t="s">
        <v>9</v>
      </c>
      <c r="C8645" t="s">
        <v>223</v>
      </c>
      <c r="D8645" t="s">
        <v>74</v>
      </c>
      <c r="E8645" t="s">
        <v>83</v>
      </c>
      <c r="F8645" s="55">
        <v>77</v>
      </c>
      <c r="G8645" s="63">
        <v>4.48E-2</v>
      </c>
    </row>
    <row r="8646" spans="1:7" x14ac:dyDescent="0.2">
      <c r="A8646" t="s">
        <v>71</v>
      </c>
      <c r="B8646" t="s">
        <v>9</v>
      </c>
      <c r="C8646" t="s">
        <v>223</v>
      </c>
      <c r="D8646" t="s">
        <v>74</v>
      </c>
      <c r="E8646" t="s">
        <v>84</v>
      </c>
      <c r="F8646" s="55">
        <v>87</v>
      </c>
      <c r="G8646" s="63">
        <v>0.1196</v>
      </c>
    </row>
    <row r="8647" spans="1:7" x14ac:dyDescent="0.2">
      <c r="A8647" t="s">
        <v>71</v>
      </c>
      <c r="B8647" t="s">
        <v>9</v>
      </c>
      <c r="C8647" t="s">
        <v>223</v>
      </c>
      <c r="D8647" t="s">
        <v>74</v>
      </c>
      <c r="E8647" t="s">
        <v>85</v>
      </c>
      <c r="F8647" s="55">
        <v>83</v>
      </c>
      <c r="G8647" s="63">
        <v>0.21990000000000001</v>
      </c>
    </row>
    <row r="8648" spans="1:7" x14ac:dyDescent="0.2">
      <c r="A8648" t="s">
        <v>71</v>
      </c>
      <c r="B8648" t="s">
        <v>9</v>
      </c>
      <c r="C8648" t="s">
        <v>223</v>
      </c>
      <c r="D8648" t="s">
        <v>74</v>
      </c>
      <c r="E8648" t="s">
        <v>86</v>
      </c>
      <c r="F8648" s="55">
        <v>82</v>
      </c>
      <c r="G8648" s="63">
        <v>0.21079999999999999</v>
      </c>
    </row>
    <row r="8649" spans="1:7" x14ac:dyDescent="0.2">
      <c r="A8649" t="s">
        <v>71</v>
      </c>
      <c r="B8649" t="s">
        <v>9</v>
      </c>
      <c r="C8649" t="s">
        <v>223</v>
      </c>
      <c r="D8649" t="s">
        <v>74</v>
      </c>
      <c r="E8649" t="s">
        <v>87</v>
      </c>
      <c r="F8649" s="55">
        <v>81</v>
      </c>
      <c r="G8649" s="63">
        <v>0.186</v>
      </c>
    </row>
    <row r="8650" spans="1:7" x14ac:dyDescent="0.2">
      <c r="A8650" t="s">
        <v>71</v>
      </c>
      <c r="B8650" t="s">
        <v>9</v>
      </c>
      <c r="C8650" t="s">
        <v>223</v>
      </c>
      <c r="D8650" t="s">
        <v>74</v>
      </c>
      <c r="E8650" t="s">
        <v>88</v>
      </c>
      <c r="F8650" s="55">
        <v>77</v>
      </c>
      <c r="G8650" s="63">
        <v>7.3099999999999998E-2</v>
      </c>
    </row>
    <row r="8651" spans="1:7" x14ac:dyDescent="0.2">
      <c r="A8651" t="s">
        <v>71</v>
      </c>
      <c r="B8651" t="s">
        <v>122</v>
      </c>
      <c r="C8651" t="s">
        <v>223</v>
      </c>
      <c r="D8651" t="s">
        <v>74</v>
      </c>
      <c r="E8651" t="s">
        <v>75</v>
      </c>
      <c r="F8651" s="55">
        <v>18</v>
      </c>
      <c r="G8651" s="63">
        <v>7.9000000000000008E-3</v>
      </c>
    </row>
    <row r="8652" spans="1:7" x14ac:dyDescent="0.2">
      <c r="A8652" t="s">
        <v>71</v>
      </c>
      <c r="B8652" t="s">
        <v>122</v>
      </c>
      <c r="C8652" t="s">
        <v>223</v>
      </c>
      <c r="D8652" t="s">
        <v>74</v>
      </c>
      <c r="E8652" t="s">
        <v>77</v>
      </c>
      <c r="F8652" s="55">
        <v>21</v>
      </c>
      <c r="G8652" s="63">
        <v>1.9E-3</v>
      </c>
    </row>
    <row r="8653" spans="1:7" x14ac:dyDescent="0.2">
      <c r="A8653" t="s">
        <v>71</v>
      </c>
      <c r="B8653" t="s">
        <v>122</v>
      </c>
      <c r="C8653" t="s">
        <v>223</v>
      </c>
      <c r="D8653" t="s">
        <v>74</v>
      </c>
      <c r="E8653" t="s">
        <v>78</v>
      </c>
      <c r="F8653" s="55">
        <v>17</v>
      </c>
      <c r="G8653" s="63">
        <v>1.6999999999999999E-3</v>
      </c>
    </row>
    <row r="8654" spans="1:7" x14ac:dyDescent="0.2">
      <c r="A8654" t="s">
        <v>71</v>
      </c>
      <c r="B8654" t="s">
        <v>122</v>
      </c>
      <c r="C8654" t="s">
        <v>223</v>
      </c>
      <c r="D8654" t="s">
        <v>74</v>
      </c>
      <c r="E8654" t="s">
        <v>79</v>
      </c>
      <c r="F8654" s="55">
        <v>11</v>
      </c>
      <c r="G8654" s="63">
        <v>4.1999999999999997E-3</v>
      </c>
    </row>
    <row r="8655" spans="1:7" x14ac:dyDescent="0.2">
      <c r="A8655" t="s">
        <v>71</v>
      </c>
      <c r="B8655" t="s">
        <v>122</v>
      </c>
      <c r="C8655" t="s">
        <v>223</v>
      </c>
      <c r="D8655" t="s">
        <v>74</v>
      </c>
      <c r="E8655" t="s">
        <v>80</v>
      </c>
      <c r="F8655" s="55">
        <v>11</v>
      </c>
      <c r="G8655" s="63">
        <v>1.9E-3</v>
      </c>
    </row>
    <row r="8656" spans="1:7" x14ac:dyDescent="0.2">
      <c r="A8656" t="s">
        <v>71</v>
      </c>
      <c r="B8656" t="s">
        <v>122</v>
      </c>
      <c r="C8656" t="s">
        <v>223</v>
      </c>
      <c r="D8656" t="s">
        <v>74</v>
      </c>
      <c r="E8656" t="s">
        <v>81</v>
      </c>
      <c r="F8656" s="55">
        <v>16</v>
      </c>
      <c r="G8656" s="63">
        <v>2.2000000000000001E-3</v>
      </c>
    </row>
    <row r="8657" spans="1:7" x14ac:dyDescent="0.2">
      <c r="A8657" t="s">
        <v>71</v>
      </c>
      <c r="B8657" t="s">
        <v>122</v>
      </c>
      <c r="C8657" t="s">
        <v>223</v>
      </c>
      <c r="D8657" t="s">
        <v>74</v>
      </c>
      <c r="E8657" t="s">
        <v>82</v>
      </c>
      <c r="F8657" s="55">
        <v>22</v>
      </c>
      <c r="G8657" s="63">
        <v>2.5000000000000001E-3</v>
      </c>
    </row>
    <row r="8658" spans="1:7" x14ac:dyDescent="0.2">
      <c r="A8658" t="s">
        <v>71</v>
      </c>
      <c r="B8658" t="s">
        <v>122</v>
      </c>
      <c r="C8658" t="s">
        <v>223</v>
      </c>
      <c r="D8658" t="s">
        <v>74</v>
      </c>
      <c r="E8658" t="s">
        <v>84</v>
      </c>
      <c r="F8658" s="55">
        <v>19</v>
      </c>
      <c r="G8658" s="63">
        <v>1.1999999999999999E-3</v>
      </c>
    </row>
    <row r="8659" spans="1:7" x14ac:dyDescent="0.2">
      <c r="A8659" t="s">
        <v>71</v>
      </c>
      <c r="B8659" t="s">
        <v>122</v>
      </c>
      <c r="C8659" t="s">
        <v>223</v>
      </c>
      <c r="D8659" t="s">
        <v>74</v>
      </c>
      <c r="E8659" t="s">
        <v>85</v>
      </c>
      <c r="F8659" s="55">
        <v>15</v>
      </c>
      <c r="G8659" s="63">
        <v>1.5E-3</v>
      </c>
    </row>
    <row r="8660" spans="1:7" x14ac:dyDescent="0.2">
      <c r="A8660" t="s">
        <v>71</v>
      </c>
      <c r="B8660" t="s">
        <v>122</v>
      </c>
      <c r="C8660" t="s">
        <v>223</v>
      </c>
      <c r="D8660" t="s">
        <v>74</v>
      </c>
      <c r="E8660" t="s">
        <v>86</v>
      </c>
      <c r="F8660" s="55">
        <v>13</v>
      </c>
      <c r="G8660" s="63">
        <v>1.6000000000000001E-3</v>
      </c>
    </row>
    <row r="8661" spans="1:7" x14ac:dyDescent="0.2">
      <c r="A8661" t="s">
        <v>71</v>
      </c>
      <c r="B8661" t="s">
        <v>122</v>
      </c>
      <c r="C8661" t="s">
        <v>223</v>
      </c>
      <c r="D8661" t="s">
        <v>74</v>
      </c>
      <c r="E8661" t="s">
        <v>87</v>
      </c>
      <c r="F8661" s="55">
        <v>9</v>
      </c>
      <c r="G8661" s="63">
        <v>1.2999999999999999E-3</v>
      </c>
    </row>
    <row r="8662" spans="1:7" x14ac:dyDescent="0.2">
      <c r="A8662" t="s">
        <v>71</v>
      </c>
      <c r="B8662" t="s">
        <v>123</v>
      </c>
      <c r="C8662" t="s">
        <v>223</v>
      </c>
      <c r="D8662" t="s">
        <v>74</v>
      </c>
      <c r="E8662" t="s">
        <v>75</v>
      </c>
      <c r="F8662" s="55">
        <v>84</v>
      </c>
      <c r="G8662" s="63">
        <v>0.29720000000000002</v>
      </c>
    </row>
    <row r="8663" spans="1:7" x14ac:dyDescent="0.2">
      <c r="A8663" t="s">
        <v>71</v>
      </c>
      <c r="B8663" t="s">
        <v>123</v>
      </c>
      <c r="C8663" t="s">
        <v>223</v>
      </c>
      <c r="D8663" t="s">
        <v>74</v>
      </c>
      <c r="E8663" t="s">
        <v>76</v>
      </c>
      <c r="F8663" s="55">
        <v>77</v>
      </c>
      <c r="G8663" s="63">
        <v>2.7699999999999999E-2</v>
      </c>
    </row>
    <row r="8664" spans="1:7" x14ac:dyDescent="0.2">
      <c r="A8664" t="s">
        <v>71</v>
      </c>
      <c r="B8664" t="s">
        <v>123</v>
      </c>
      <c r="C8664" t="s">
        <v>223</v>
      </c>
      <c r="D8664" t="s">
        <v>74</v>
      </c>
      <c r="E8664" t="s">
        <v>77</v>
      </c>
      <c r="F8664" s="55">
        <v>79</v>
      </c>
      <c r="G8664" s="63">
        <v>0.1116</v>
      </c>
    </row>
    <row r="8665" spans="1:7" x14ac:dyDescent="0.2">
      <c r="A8665" t="s">
        <v>71</v>
      </c>
      <c r="B8665" t="s">
        <v>123</v>
      </c>
      <c r="C8665" t="s">
        <v>223</v>
      </c>
      <c r="D8665" t="s">
        <v>74</v>
      </c>
      <c r="E8665" t="s">
        <v>78</v>
      </c>
      <c r="F8665" s="55">
        <v>82</v>
      </c>
      <c r="G8665" s="63">
        <v>0.10050000000000001</v>
      </c>
    </row>
    <row r="8666" spans="1:7" x14ac:dyDescent="0.2">
      <c r="A8666" t="s">
        <v>71</v>
      </c>
      <c r="B8666" t="s">
        <v>123</v>
      </c>
      <c r="C8666" t="s">
        <v>223</v>
      </c>
      <c r="D8666" t="s">
        <v>74</v>
      </c>
      <c r="E8666" t="s">
        <v>79</v>
      </c>
      <c r="F8666" s="55">
        <v>87</v>
      </c>
      <c r="G8666" s="63">
        <v>0.20810000000000001</v>
      </c>
    </row>
    <row r="8667" spans="1:7" x14ac:dyDescent="0.2">
      <c r="A8667" t="s">
        <v>71</v>
      </c>
      <c r="B8667" t="s">
        <v>123</v>
      </c>
      <c r="C8667" t="s">
        <v>223</v>
      </c>
      <c r="D8667" t="s">
        <v>74</v>
      </c>
      <c r="E8667" t="s">
        <v>80</v>
      </c>
      <c r="F8667" s="55">
        <v>91</v>
      </c>
      <c r="G8667" s="63">
        <v>0.13220000000000001</v>
      </c>
    </row>
    <row r="8668" spans="1:7" x14ac:dyDescent="0.2">
      <c r="A8668" t="s">
        <v>71</v>
      </c>
      <c r="B8668" t="s">
        <v>123</v>
      </c>
      <c r="C8668" t="s">
        <v>223</v>
      </c>
      <c r="D8668" t="s">
        <v>74</v>
      </c>
      <c r="E8668" t="s">
        <v>81</v>
      </c>
      <c r="F8668" s="55">
        <v>81</v>
      </c>
      <c r="G8668" s="63">
        <v>0.1111</v>
      </c>
    </row>
    <row r="8669" spans="1:7" x14ac:dyDescent="0.2">
      <c r="A8669" t="s">
        <v>71</v>
      </c>
      <c r="B8669" t="s">
        <v>123</v>
      </c>
      <c r="C8669" t="s">
        <v>223</v>
      </c>
      <c r="D8669" t="s">
        <v>74</v>
      </c>
      <c r="E8669" t="s">
        <v>82</v>
      </c>
      <c r="F8669" s="55">
        <v>85</v>
      </c>
      <c r="G8669" s="63">
        <v>0.1361</v>
      </c>
    </row>
    <row r="8670" spans="1:7" x14ac:dyDescent="0.2">
      <c r="A8670" t="s">
        <v>71</v>
      </c>
      <c r="B8670" t="s">
        <v>123</v>
      </c>
      <c r="C8670" t="s">
        <v>223</v>
      </c>
      <c r="D8670" t="s">
        <v>74</v>
      </c>
      <c r="E8670" t="s">
        <v>83</v>
      </c>
      <c r="F8670" s="55">
        <v>78</v>
      </c>
      <c r="G8670" s="63">
        <v>2.5899999999999999E-2</v>
      </c>
    </row>
    <row r="8671" spans="1:7" x14ac:dyDescent="0.2">
      <c r="A8671" t="s">
        <v>71</v>
      </c>
      <c r="B8671" t="s">
        <v>123</v>
      </c>
      <c r="C8671" t="s">
        <v>223</v>
      </c>
      <c r="D8671" t="s">
        <v>74</v>
      </c>
      <c r="E8671" t="s">
        <v>84</v>
      </c>
      <c r="F8671" s="55">
        <v>83</v>
      </c>
      <c r="G8671" s="63">
        <v>8.0399999999999999E-2</v>
      </c>
    </row>
    <row r="8672" spans="1:7" x14ac:dyDescent="0.2">
      <c r="A8672" t="s">
        <v>71</v>
      </c>
      <c r="B8672" t="s">
        <v>123</v>
      </c>
      <c r="C8672" t="s">
        <v>223</v>
      </c>
      <c r="D8672" t="s">
        <v>74</v>
      </c>
      <c r="E8672" t="s">
        <v>85</v>
      </c>
      <c r="F8672" s="55">
        <v>94</v>
      </c>
      <c r="G8672" s="63">
        <v>0.1305</v>
      </c>
    </row>
    <row r="8673" spans="1:7" x14ac:dyDescent="0.2">
      <c r="A8673" t="s">
        <v>71</v>
      </c>
      <c r="B8673" t="s">
        <v>123</v>
      </c>
      <c r="C8673" t="s">
        <v>223</v>
      </c>
      <c r="D8673" t="s">
        <v>74</v>
      </c>
      <c r="E8673" t="s">
        <v>86</v>
      </c>
      <c r="F8673" s="55">
        <v>87</v>
      </c>
      <c r="G8673" s="63">
        <v>0.11210000000000001</v>
      </c>
    </row>
    <row r="8674" spans="1:7" x14ac:dyDescent="0.2">
      <c r="A8674" t="s">
        <v>71</v>
      </c>
      <c r="B8674" t="s">
        <v>123</v>
      </c>
      <c r="C8674" t="s">
        <v>223</v>
      </c>
      <c r="D8674" t="s">
        <v>74</v>
      </c>
      <c r="E8674" t="s">
        <v>87</v>
      </c>
      <c r="F8674" s="55">
        <v>85</v>
      </c>
      <c r="G8674" s="63">
        <v>9.9900000000000003E-2</v>
      </c>
    </row>
    <row r="8675" spans="1:7" x14ac:dyDescent="0.2">
      <c r="A8675" t="s">
        <v>71</v>
      </c>
      <c r="B8675" t="s">
        <v>123</v>
      </c>
      <c r="C8675" t="s">
        <v>223</v>
      </c>
      <c r="D8675" t="s">
        <v>74</v>
      </c>
      <c r="E8675" t="s">
        <v>88</v>
      </c>
      <c r="F8675" s="55">
        <v>77</v>
      </c>
      <c r="G8675" s="63">
        <v>4.24E-2</v>
      </c>
    </row>
    <row r="8676" spans="1:7" x14ac:dyDescent="0.2">
      <c r="A8676" t="s">
        <v>89</v>
      </c>
      <c r="B8676" t="s">
        <v>124</v>
      </c>
      <c r="C8676" t="s">
        <v>223</v>
      </c>
      <c r="D8676" t="s">
        <v>74</v>
      </c>
      <c r="E8676" t="s">
        <v>75</v>
      </c>
      <c r="F8676" s="55">
        <v>87</v>
      </c>
      <c r="G8676" s="63">
        <v>9.1700000000000004E-2</v>
      </c>
    </row>
    <row r="8677" spans="1:7" x14ac:dyDescent="0.2">
      <c r="A8677" t="s">
        <v>89</v>
      </c>
      <c r="B8677" t="s">
        <v>124</v>
      </c>
      <c r="C8677" t="s">
        <v>223</v>
      </c>
      <c r="D8677" t="s">
        <v>74</v>
      </c>
      <c r="E8677" t="s">
        <v>76</v>
      </c>
      <c r="F8677" s="55">
        <v>100</v>
      </c>
      <c r="G8677" s="63">
        <v>5.5999999999999999E-3</v>
      </c>
    </row>
    <row r="8678" spans="1:7" x14ac:dyDescent="0.2">
      <c r="A8678" t="s">
        <v>89</v>
      </c>
      <c r="B8678" t="s">
        <v>124</v>
      </c>
      <c r="C8678" t="s">
        <v>223</v>
      </c>
      <c r="D8678" t="s">
        <v>74</v>
      </c>
      <c r="E8678" t="s">
        <v>77</v>
      </c>
      <c r="F8678" s="55">
        <v>93</v>
      </c>
      <c r="G8678" s="63">
        <v>3.0499999999999999E-2</v>
      </c>
    </row>
    <row r="8679" spans="1:7" x14ac:dyDescent="0.2">
      <c r="A8679" t="s">
        <v>89</v>
      </c>
      <c r="B8679" t="s">
        <v>124</v>
      </c>
      <c r="C8679" t="s">
        <v>223</v>
      </c>
      <c r="D8679" t="s">
        <v>74</v>
      </c>
      <c r="E8679" t="s">
        <v>78</v>
      </c>
      <c r="F8679" s="55">
        <v>77</v>
      </c>
      <c r="G8679" s="63">
        <v>2.3E-2</v>
      </c>
    </row>
    <row r="8680" spans="1:7" x14ac:dyDescent="0.2">
      <c r="A8680" t="s">
        <v>89</v>
      </c>
      <c r="B8680" t="s">
        <v>124</v>
      </c>
      <c r="C8680" t="s">
        <v>223</v>
      </c>
      <c r="D8680" t="s">
        <v>74</v>
      </c>
      <c r="E8680" t="s">
        <v>79</v>
      </c>
      <c r="F8680" s="55">
        <v>85</v>
      </c>
      <c r="G8680" s="63">
        <v>5.7200000000000001E-2</v>
      </c>
    </row>
    <row r="8681" spans="1:7" x14ac:dyDescent="0.2">
      <c r="A8681" t="s">
        <v>89</v>
      </c>
      <c r="B8681" t="s">
        <v>124</v>
      </c>
      <c r="C8681" t="s">
        <v>223</v>
      </c>
      <c r="D8681" t="s">
        <v>74</v>
      </c>
      <c r="E8681" t="s">
        <v>80</v>
      </c>
      <c r="F8681" s="55">
        <v>78</v>
      </c>
      <c r="G8681" s="63">
        <v>2.3E-2</v>
      </c>
    </row>
    <row r="8682" spans="1:7" x14ac:dyDescent="0.2">
      <c r="A8682" t="s">
        <v>89</v>
      </c>
      <c r="B8682" t="s">
        <v>124</v>
      </c>
      <c r="C8682" t="s">
        <v>223</v>
      </c>
      <c r="D8682" t="s">
        <v>74</v>
      </c>
      <c r="E8682" t="s">
        <v>81</v>
      </c>
      <c r="F8682" s="55">
        <v>91</v>
      </c>
      <c r="G8682" s="63">
        <v>2.0899999999999998E-2</v>
      </c>
    </row>
    <row r="8683" spans="1:7" x14ac:dyDescent="0.2">
      <c r="A8683" t="s">
        <v>89</v>
      </c>
      <c r="B8683" t="s">
        <v>124</v>
      </c>
      <c r="C8683" t="s">
        <v>223</v>
      </c>
      <c r="D8683" t="s">
        <v>74</v>
      </c>
      <c r="E8683" t="s">
        <v>82</v>
      </c>
      <c r="F8683" s="55">
        <v>85</v>
      </c>
      <c r="G8683" s="63">
        <v>3.3799999999999997E-2</v>
      </c>
    </row>
    <row r="8684" spans="1:7" x14ac:dyDescent="0.2">
      <c r="A8684" t="s">
        <v>89</v>
      </c>
      <c r="B8684" t="s">
        <v>124</v>
      </c>
      <c r="C8684" t="s">
        <v>223</v>
      </c>
      <c r="D8684" t="s">
        <v>74</v>
      </c>
      <c r="E8684" t="s">
        <v>83</v>
      </c>
      <c r="F8684" s="55">
        <v>94</v>
      </c>
      <c r="G8684" s="63">
        <v>5.4999999999999997E-3</v>
      </c>
    </row>
    <row r="8685" spans="1:7" x14ac:dyDescent="0.2">
      <c r="A8685" t="s">
        <v>89</v>
      </c>
      <c r="B8685" t="s">
        <v>124</v>
      </c>
      <c r="C8685" t="s">
        <v>223</v>
      </c>
      <c r="D8685" t="s">
        <v>74</v>
      </c>
      <c r="E8685" t="s">
        <v>84</v>
      </c>
      <c r="F8685" s="55">
        <v>69</v>
      </c>
      <c r="G8685" s="63">
        <v>1.5599999999999999E-2</v>
      </c>
    </row>
    <row r="8686" spans="1:7" x14ac:dyDescent="0.2">
      <c r="A8686" t="s">
        <v>89</v>
      </c>
      <c r="B8686" t="s">
        <v>124</v>
      </c>
      <c r="C8686" t="s">
        <v>223</v>
      </c>
      <c r="D8686" t="s">
        <v>74</v>
      </c>
      <c r="E8686" t="s">
        <v>85</v>
      </c>
      <c r="F8686" s="55">
        <v>87</v>
      </c>
      <c r="G8686" s="63">
        <v>2.29E-2</v>
      </c>
    </row>
    <row r="8687" spans="1:7" x14ac:dyDescent="0.2">
      <c r="A8687" t="s">
        <v>89</v>
      </c>
      <c r="B8687" t="s">
        <v>124</v>
      </c>
      <c r="C8687" t="s">
        <v>223</v>
      </c>
      <c r="D8687" t="s">
        <v>74</v>
      </c>
      <c r="E8687" t="s">
        <v>86</v>
      </c>
      <c r="F8687" s="55">
        <v>86</v>
      </c>
      <c r="G8687" s="63">
        <v>2.6100000000000002E-2</v>
      </c>
    </row>
    <row r="8688" spans="1:7" x14ac:dyDescent="0.2">
      <c r="A8688" t="s">
        <v>89</v>
      </c>
      <c r="B8688" t="s">
        <v>124</v>
      </c>
      <c r="C8688" t="s">
        <v>223</v>
      </c>
      <c r="D8688" t="s">
        <v>74</v>
      </c>
      <c r="E8688" t="s">
        <v>87</v>
      </c>
      <c r="F8688" s="55">
        <v>81</v>
      </c>
      <c r="G8688" s="63">
        <v>2.41E-2</v>
      </c>
    </row>
    <row r="8689" spans="1:7" x14ac:dyDescent="0.2">
      <c r="A8689" t="s">
        <v>89</v>
      </c>
      <c r="B8689" t="s">
        <v>124</v>
      </c>
      <c r="C8689" t="s">
        <v>223</v>
      </c>
      <c r="D8689" t="s">
        <v>74</v>
      </c>
      <c r="E8689" t="s">
        <v>88</v>
      </c>
      <c r="F8689" s="55">
        <v>96</v>
      </c>
      <c r="G8689" s="63">
        <v>9.5999999999999992E-3</v>
      </c>
    </row>
    <row r="8690" spans="1:7" x14ac:dyDescent="0.2">
      <c r="A8690" t="s">
        <v>89</v>
      </c>
      <c r="B8690" t="s">
        <v>125</v>
      </c>
      <c r="C8690" t="s">
        <v>223</v>
      </c>
      <c r="D8690" t="s">
        <v>74</v>
      </c>
      <c r="E8690" t="s">
        <v>75</v>
      </c>
      <c r="F8690" s="55">
        <v>93</v>
      </c>
      <c r="G8690" s="63">
        <v>8.7300000000000003E-2</v>
      </c>
    </row>
    <row r="8691" spans="1:7" x14ac:dyDescent="0.2">
      <c r="A8691" t="s">
        <v>89</v>
      </c>
      <c r="B8691" t="s">
        <v>125</v>
      </c>
      <c r="C8691" t="s">
        <v>223</v>
      </c>
      <c r="D8691" t="s">
        <v>74</v>
      </c>
      <c r="E8691" t="s">
        <v>76</v>
      </c>
      <c r="F8691" s="55">
        <v>107</v>
      </c>
      <c r="G8691" s="63">
        <v>5.3E-3</v>
      </c>
    </row>
    <row r="8692" spans="1:7" x14ac:dyDescent="0.2">
      <c r="A8692" t="s">
        <v>89</v>
      </c>
      <c r="B8692" t="s">
        <v>125</v>
      </c>
      <c r="C8692" t="s">
        <v>223</v>
      </c>
      <c r="D8692" t="s">
        <v>74</v>
      </c>
      <c r="E8692" t="s">
        <v>77</v>
      </c>
      <c r="F8692" s="55">
        <v>91</v>
      </c>
      <c r="G8692" s="63">
        <v>2.1399999999999999E-2</v>
      </c>
    </row>
    <row r="8693" spans="1:7" x14ac:dyDescent="0.2">
      <c r="A8693" t="s">
        <v>89</v>
      </c>
      <c r="B8693" t="s">
        <v>125</v>
      </c>
      <c r="C8693" t="s">
        <v>223</v>
      </c>
      <c r="D8693" t="s">
        <v>74</v>
      </c>
      <c r="E8693" t="s">
        <v>78</v>
      </c>
      <c r="F8693" s="55">
        <v>98</v>
      </c>
      <c r="G8693" s="63">
        <v>1.9099999999999999E-2</v>
      </c>
    </row>
    <row r="8694" spans="1:7" x14ac:dyDescent="0.2">
      <c r="A8694" t="s">
        <v>89</v>
      </c>
      <c r="B8694" t="s">
        <v>125</v>
      </c>
      <c r="C8694" t="s">
        <v>223</v>
      </c>
      <c r="D8694" t="s">
        <v>74</v>
      </c>
      <c r="E8694" t="s">
        <v>79</v>
      </c>
      <c r="F8694" s="55">
        <v>95</v>
      </c>
      <c r="G8694" s="63">
        <v>5.8500000000000003E-2</v>
      </c>
    </row>
    <row r="8695" spans="1:7" x14ac:dyDescent="0.2">
      <c r="A8695" t="s">
        <v>89</v>
      </c>
      <c r="B8695" t="s">
        <v>125</v>
      </c>
      <c r="C8695" t="s">
        <v>223</v>
      </c>
      <c r="D8695" t="s">
        <v>74</v>
      </c>
      <c r="E8695" t="s">
        <v>80</v>
      </c>
      <c r="F8695" s="55">
        <v>99</v>
      </c>
      <c r="G8695" s="63">
        <v>2.4199999999999999E-2</v>
      </c>
    </row>
    <row r="8696" spans="1:7" x14ac:dyDescent="0.2">
      <c r="A8696" t="s">
        <v>89</v>
      </c>
      <c r="B8696" t="s">
        <v>125</v>
      </c>
      <c r="C8696" t="s">
        <v>223</v>
      </c>
      <c r="D8696" t="s">
        <v>74</v>
      </c>
      <c r="E8696" t="s">
        <v>81</v>
      </c>
      <c r="F8696" s="55">
        <v>79</v>
      </c>
      <c r="G8696" s="63">
        <v>1.9900000000000001E-2</v>
      </c>
    </row>
    <row r="8697" spans="1:7" x14ac:dyDescent="0.2">
      <c r="A8697" t="s">
        <v>89</v>
      </c>
      <c r="B8697" t="s">
        <v>125</v>
      </c>
      <c r="C8697" t="s">
        <v>223</v>
      </c>
      <c r="D8697" t="s">
        <v>74</v>
      </c>
      <c r="E8697" t="s">
        <v>82</v>
      </c>
      <c r="F8697" s="55">
        <v>89</v>
      </c>
      <c r="G8697" s="63">
        <v>2.9399999999999999E-2</v>
      </c>
    </row>
    <row r="8698" spans="1:7" x14ac:dyDescent="0.2">
      <c r="A8698" t="s">
        <v>89</v>
      </c>
      <c r="B8698" t="s">
        <v>125</v>
      </c>
      <c r="C8698" t="s">
        <v>223</v>
      </c>
      <c r="D8698" t="s">
        <v>74</v>
      </c>
      <c r="E8698" t="s">
        <v>83</v>
      </c>
      <c r="F8698" s="55">
        <v>85</v>
      </c>
      <c r="G8698" s="63">
        <v>4.7000000000000002E-3</v>
      </c>
    </row>
    <row r="8699" spans="1:7" x14ac:dyDescent="0.2">
      <c r="A8699" t="s">
        <v>89</v>
      </c>
      <c r="B8699" t="s">
        <v>125</v>
      </c>
      <c r="C8699" t="s">
        <v>223</v>
      </c>
      <c r="D8699" t="s">
        <v>74</v>
      </c>
      <c r="E8699" t="s">
        <v>84</v>
      </c>
      <c r="F8699" s="55">
        <v>98</v>
      </c>
      <c r="G8699" s="63">
        <v>1.3599999999999999E-2</v>
      </c>
    </row>
    <row r="8700" spans="1:7" x14ac:dyDescent="0.2">
      <c r="A8700" t="s">
        <v>89</v>
      </c>
      <c r="B8700" t="s">
        <v>125</v>
      </c>
      <c r="C8700" t="s">
        <v>223</v>
      </c>
      <c r="D8700" t="s">
        <v>74</v>
      </c>
      <c r="E8700" t="s">
        <v>85</v>
      </c>
      <c r="F8700" s="55">
        <v>97</v>
      </c>
      <c r="G8700" s="63">
        <v>2.8299999999999999E-2</v>
      </c>
    </row>
    <row r="8701" spans="1:7" x14ac:dyDescent="0.2">
      <c r="A8701" t="s">
        <v>89</v>
      </c>
      <c r="B8701" t="s">
        <v>125</v>
      </c>
      <c r="C8701" t="s">
        <v>223</v>
      </c>
      <c r="D8701" t="s">
        <v>74</v>
      </c>
      <c r="E8701" t="s">
        <v>86</v>
      </c>
      <c r="F8701" s="55">
        <v>92</v>
      </c>
      <c r="G8701" s="63">
        <v>2.9399999999999999E-2</v>
      </c>
    </row>
    <row r="8702" spans="1:7" x14ac:dyDescent="0.2">
      <c r="A8702" t="s">
        <v>89</v>
      </c>
      <c r="B8702" t="s">
        <v>125</v>
      </c>
      <c r="C8702" t="s">
        <v>223</v>
      </c>
      <c r="D8702" t="s">
        <v>74</v>
      </c>
      <c r="E8702" t="s">
        <v>87</v>
      </c>
      <c r="F8702" s="55">
        <v>95</v>
      </c>
      <c r="G8702" s="63">
        <v>2.2700000000000001E-2</v>
      </c>
    </row>
    <row r="8703" spans="1:7" x14ac:dyDescent="0.2">
      <c r="A8703" t="s">
        <v>89</v>
      </c>
      <c r="B8703" t="s">
        <v>125</v>
      </c>
      <c r="C8703" t="s">
        <v>223</v>
      </c>
      <c r="D8703" t="s">
        <v>74</v>
      </c>
      <c r="E8703" t="s">
        <v>88</v>
      </c>
      <c r="F8703" s="55">
        <v>97</v>
      </c>
      <c r="G8703" s="63">
        <v>8.3000000000000001E-3</v>
      </c>
    </row>
    <row r="8704" spans="1:7" x14ac:dyDescent="0.2">
      <c r="A8704" t="s">
        <v>71</v>
      </c>
      <c r="B8704" t="s">
        <v>10</v>
      </c>
      <c r="C8704" t="s">
        <v>223</v>
      </c>
      <c r="D8704" t="s">
        <v>74</v>
      </c>
      <c r="E8704" t="s">
        <v>75</v>
      </c>
      <c r="F8704" s="55">
        <v>96</v>
      </c>
      <c r="G8704" s="63">
        <v>0.31840000000000002</v>
      </c>
    </row>
    <row r="8705" spans="1:7" x14ac:dyDescent="0.2">
      <c r="A8705" t="s">
        <v>71</v>
      </c>
      <c r="B8705" t="s">
        <v>10</v>
      </c>
      <c r="C8705" t="s">
        <v>223</v>
      </c>
      <c r="D8705" t="s">
        <v>74</v>
      </c>
      <c r="E8705" t="s">
        <v>76</v>
      </c>
      <c r="F8705" s="55">
        <v>91</v>
      </c>
      <c r="G8705" s="63">
        <v>5.9499999999999997E-2</v>
      </c>
    </row>
    <row r="8706" spans="1:7" x14ac:dyDescent="0.2">
      <c r="A8706" t="s">
        <v>71</v>
      </c>
      <c r="B8706" t="s">
        <v>10</v>
      </c>
      <c r="C8706" t="s">
        <v>223</v>
      </c>
      <c r="D8706" t="s">
        <v>74</v>
      </c>
      <c r="E8706" t="s">
        <v>77</v>
      </c>
      <c r="F8706" s="55">
        <v>98</v>
      </c>
      <c r="G8706" s="63">
        <v>0.15459999999999999</v>
      </c>
    </row>
    <row r="8707" spans="1:7" x14ac:dyDescent="0.2">
      <c r="A8707" t="s">
        <v>71</v>
      </c>
      <c r="B8707" t="s">
        <v>10</v>
      </c>
      <c r="C8707" t="s">
        <v>223</v>
      </c>
      <c r="D8707" t="s">
        <v>74</v>
      </c>
      <c r="E8707" t="s">
        <v>78</v>
      </c>
      <c r="F8707" s="55">
        <v>93</v>
      </c>
      <c r="G8707" s="63">
        <v>0.1535</v>
      </c>
    </row>
    <row r="8708" spans="1:7" x14ac:dyDescent="0.2">
      <c r="A8708" t="s">
        <v>71</v>
      </c>
      <c r="B8708" t="s">
        <v>10</v>
      </c>
      <c r="C8708" t="s">
        <v>223</v>
      </c>
      <c r="D8708" t="s">
        <v>74</v>
      </c>
      <c r="E8708" t="s">
        <v>79</v>
      </c>
      <c r="F8708" s="55">
        <v>95</v>
      </c>
      <c r="G8708" s="63">
        <v>0.2316</v>
      </c>
    </row>
    <row r="8709" spans="1:7" x14ac:dyDescent="0.2">
      <c r="A8709" t="s">
        <v>71</v>
      </c>
      <c r="B8709" t="s">
        <v>10</v>
      </c>
      <c r="C8709" t="s">
        <v>223</v>
      </c>
      <c r="D8709" t="s">
        <v>74</v>
      </c>
      <c r="E8709" t="s">
        <v>80</v>
      </c>
      <c r="F8709" s="55">
        <v>93</v>
      </c>
      <c r="G8709" s="63">
        <v>6.8699999999999997E-2</v>
      </c>
    </row>
    <row r="8710" spans="1:7" x14ac:dyDescent="0.2">
      <c r="A8710" t="s">
        <v>71</v>
      </c>
      <c r="B8710" t="s">
        <v>10</v>
      </c>
      <c r="C8710" t="s">
        <v>223</v>
      </c>
      <c r="D8710" t="s">
        <v>74</v>
      </c>
      <c r="E8710" t="s">
        <v>81</v>
      </c>
      <c r="F8710" s="55">
        <v>91</v>
      </c>
      <c r="G8710" s="63">
        <v>7.2099999999999997E-2</v>
      </c>
    </row>
    <row r="8711" spans="1:7" x14ac:dyDescent="0.2">
      <c r="A8711" t="s">
        <v>71</v>
      </c>
      <c r="B8711" t="s">
        <v>10</v>
      </c>
      <c r="C8711" t="s">
        <v>223</v>
      </c>
      <c r="D8711" t="s">
        <v>74</v>
      </c>
      <c r="E8711" t="s">
        <v>82</v>
      </c>
      <c r="F8711" s="55">
        <v>99</v>
      </c>
      <c r="G8711" s="63">
        <v>0.19850000000000001</v>
      </c>
    </row>
    <row r="8712" spans="1:7" x14ac:dyDescent="0.2">
      <c r="A8712" t="s">
        <v>71</v>
      </c>
      <c r="B8712" t="s">
        <v>10</v>
      </c>
      <c r="C8712" t="s">
        <v>223</v>
      </c>
      <c r="D8712" t="s">
        <v>74</v>
      </c>
      <c r="E8712" t="s">
        <v>83</v>
      </c>
      <c r="F8712" s="55">
        <v>89</v>
      </c>
      <c r="G8712" s="63">
        <v>3.6200000000000003E-2</v>
      </c>
    </row>
    <row r="8713" spans="1:7" x14ac:dyDescent="0.2">
      <c r="A8713" t="s">
        <v>71</v>
      </c>
      <c r="B8713" t="s">
        <v>10</v>
      </c>
      <c r="C8713" t="s">
        <v>223</v>
      </c>
      <c r="D8713" t="s">
        <v>74</v>
      </c>
      <c r="E8713" t="s">
        <v>84</v>
      </c>
      <c r="F8713" s="55">
        <v>94</v>
      </c>
      <c r="G8713" s="63">
        <v>0.12470000000000001</v>
      </c>
    </row>
    <row r="8714" spans="1:7" x14ac:dyDescent="0.2">
      <c r="A8714" t="s">
        <v>71</v>
      </c>
      <c r="B8714" t="s">
        <v>10</v>
      </c>
      <c r="C8714" t="s">
        <v>223</v>
      </c>
      <c r="D8714" t="s">
        <v>74</v>
      </c>
      <c r="E8714" t="s">
        <v>85</v>
      </c>
      <c r="F8714" s="55">
        <v>93</v>
      </c>
      <c r="G8714" s="63">
        <v>9.1700000000000004E-2</v>
      </c>
    </row>
    <row r="8715" spans="1:7" x14ac:dyDescent="0.2">
      <c r="A8715" t="s">
        <v>71</v>
      </c>
      <c r="B8715" t="s">
        <v>10</v>
      </c>
      <c r="C8715" t="s">
        <v>223</v>
      </c>
      <c r="D8715" t="s">
        <v>74</v>
      </c>
      <c r="E8715" t="s">
        <v>86</v>
      </c>
      <c r="F8715" s="55">
        <v>95</v>
      </c>
      <c r="G8715" s="63">
        <v>0.127</v>
      </c>
    </row>
    <row r="8716" spans="1:7" x14ac:dyDescent="0.2">
      <c r="A8716" t="s">
        <v>71</v>
      </c>
      <c r="B8716" t="s">
        <v>10</v>
      </c>
      <c r="C8716" t="s">
        <v>223</v>
      </c>
      <c r="D8716" t="s">
        <v>74</v>
      </c>
      <c r="E8716" t="s">
        <v>87</v>
      </c>
      <c r="F8716" s="55">
        <v>97</v>
      </c>
      <c r="G8716" s="63">
        <v>0.15029999999999999</v>
      </c>
    </row>
    <row r="8717" spans="1:7" x14ac:dyDescent="0.2">
      <c r="A8717" t="s">
        <v>71</v>
      </c>
      <c r="B8717" t="s">
        <v>10</v>
      </c>
      <c r="C8717" t="s">
        <v>223</v>
      </c>
      <c r="D8717" t="s">
        <v>74</v>
      </c>
      <c r="E8717" t="s">
        <v>88</v>
      </c>
      <c r="F8717" s="55">
        <v>95</v>
      </c>
      <c r="G8717" s="63">
        <v>0.1004</v>
      </c>
    </row>
    <row r="8718" spans="1:7" x14ac:dyDescent="0.2">
      <c r="A8718" t="s">
        <v>89</v>
      </c>
      <c r="B8718" t="s">
        <v>126</v>
      </c>
      <c r="C8718" t="s">
        <v>223</v>
      </c>
      <c r="D8718" t="s">
        <v>91</v>
      </c>
      <c r="E8718" t="s">
        <v>75</v>
      </c>
      <c r="F8718" s="55">
        <v>100</v>
      </c>
      <c r="G8718" s="63">
        <v>0.65980000000000005</v>
      </c>
    </row>
    <row r="8719" spans="1:7" x14ac:dyDescent="0.2">
      <c r="A8719" t="s">
        <v>89</v>
      </c>
      <c r="B8719" t="s">
        <v>126</v>
      </c>
      <c r="C8719" t="s">
        <v>223</v>
      </c>
      <c r="D8719" t="s">
        <v>91</v>
      </c>
      <c r="E8719" t="s">
        <v>76</v>
      </c>
      <c r="F8719" s="55">
        <v>98</v>
      </c>
      <c r="G8719" s="63">
        <v>0.20760000000000001</v>
      </c>
    </row>
    <row r="8720" spans="1:7" x14ac:dyDescent="0.2">
      <c r="A8720" t="s">
        <v>89</v>
      </c>
      <c r="B8720" t="s">
        <v>126</v>
      </c>
      <c r="C8720" t="s">
        <v>223</v>
      </c>
      <c r="D8720" t="s">
        <v>91</v>
      </c>
      <c r="E8720" t="s">
        <v>77</v>
      </c>
      <c r="F8720" s="55">
        <v>104</v>
      </c>
      <c r="G8720" s="63">
        <v>0.35039999999999999</v>
      </c>
    </row>
    <row r="8721" spans="1:7" x14ac:dyDescent="0.2">
      <c r="A8721" t="s">
        <v>89</v>
      </c>
      <c r="B8721" t="s">
        <v>126</v>
      </c>
      <c r="C8721" t="s">
        <v>223</v>
      </c>
      <c r="D8721" t="s">
        <v>91</v>
      </c>
      <c r="E8721" t="s">
        <v>78</v>
      </c>
      <c r="F8721" s="55">
        <v>98</v>
      </c>
      <c r="G8721" s="63">
        <v>0.32490000000000002</v>
      </c>
    </row>
    <row r="8722" spans="1:7" x14ac:dyDescent="0.2">
      <c r="A8722" t="s">
        <v>89</v>
      </c>
      <c r="B8722" t="s">
        <v>126</v>
      </c>
      <c r="C8722" t="s">
        <v>223</v>
      </c>
      <c r="D8722" t="s">
        <v>91</v>
      </c>
      <c r="E8722" t="s">
        <v>79</v>
      </c>
      <c r="F8722" s="55">
        <v>101</v>
      </c>
      <c r="G8722" s="63">
        <v>0.49409999999999998</v>
      </c>
    </row>
    <row r="8723" spans="1:7" x14ac:dyDescent="0.2">
      <c r="A8723" t="s">
        <v>89</v>
      </c>
      <c r="B8723" t="s">
        <v>126</v>
      </c>
      <c r="C8723" t="s">
        <v>223</v>
      </c>
      <c r="D8723" t="s">
        <v>91</v>
      </c>
      <c r="E8723" t="s">
        <v>80</v>
      </c>
      <c r="F8723" s="55">
        <v>100</v>
      </c>
      <c r="G8723" s="63">
        <v>0.1162</v>
      </c>
    </row>
    <row r="8724" spans="1:7" x14ac:dyDescent="0.2">
      <c r="A8724" t="s">
        <v>89</v>
      </c>
      <c r="B8724" t="s">
        <v>126</v>
      </c>
      <c r="C8724" t="s">
        <v>223</v>
      </c>
      <c r="D8724" t="s">
        <v>91</v>
      </c>
      <c r="E8724" t="s">
        <v>81</v>
      </c>
      <c r="F8724" s="55">
        <v>91</v>
      </c>
      <c r="G8724" s="63">
        <v>0.14510000000000001</v>
      </c>
    </row>
    <row r="8725" spans="1:7" x14ac:dyDescent="0.2">
      <c r="A8725" t="s">
        <v>89</v>
      </c>
      <c r="B8725" t="s">
        <v>126</v>
      </c>
      <c r="C8725" t="s">
        <v>223</v>
      </c>
      <c r="D8725" t="s">
        <v>91</v>
      </c>
      <c r="E8725" t="s">
        <v>82</v>
      </c>
      <c r="F8725" s="55">
        <v>96</v>
      </c>
      <c r="G8725" s="63">
        <v>0.41889999999999999</v>
      </c>
    </row>
    <row r="8726" spans="1:7" x14ac:dyDescent="0.2">
      <c r="A8726" t="s">
        <v>89</v>
      </c>
      <c r="B8726" t="s">
        <v>126</v>
      </c>
      <c r="C8726" t="s">
        <v>223</v>
      </c>
      <c r="D8726" t="s">
        <v>91</v>
      </c>
      <c r="E8726" t="s">
        <v>83</v>
      </c>
      <c r="F8726" s="55">
        <v>90</v>
      </c>
      <c r="G8726" s="63">
        <v>0.12659999999999999</v>
      </c>
    </row>
    <row r="8727" spans="1:7" x14ac:dyDescent="0.2">
      <c r="A8727" t="s">
        <v>89</v>
      </c>
      <c r="B8727" t="s">
        <v>126</v>
      </c>
      <c r="C8727" t="s">
        <v>223</v>
      </c>
      <c r="D8727" t="s">
        <v>91</v>
      </c>
      <c r="E8727" t="s">
        <v>84</v>
      </c>
      <c r="F8727" s="55">
        <v>99</v>
      </c>
      <c r="G8727" s="63">
        <v>0.26619999999999999</v>
      </c>
    </row>
    <row r="8728" spans="1:7" x14ac:dyDescent="0.2">
      <c r="A8728" t="s">
        <v>89</v>
      </c>
      <c r="B8728" t="s">
        <v>126</v>
      </c>
      <c r="C8728" t="s">
        <v>223</v>
      </c>
      <c r="D8728" t="s">
        <v>91</v>
      </c>
      <c r="E8728" t="s">
        <v>85</v>
      </c>
      <c r="F8728" s="55">
        <v>104</v>
      </c>
      <c r="G8728" s="63">
        <v>0.18029999999999999</v>
      </c>
    </row>
    <row r="8729" spans="1:7" x14ac:dyDescent="0.2">
      <c r="A8729" t="s">
        <v>89</v>
      </c>
      <c r="B8729" t="s">
        <v>126</v>
      </c>
      <c r="C8729" t="s">
        <v>223</v>
      </c>
      <c r="D8729" t="s">
        <v>91</v>
      </c>
      <c r="E8729" t="s">
        <v>86</v>
      </c>
      <c r="F8729" s="55">
        <v>104</v>
      </c>
      <c r="G8729" s="63">
        <v>0.27600000000000002</v>
      </c>
    </row>
    <row r="8730" spans="1:7" x14ac:dyDescent="0.2">
      <c r="A8730" t="s">
        <v>89</v>
      </c>
      <c r="B8730" t="s">
        <v>126</v>
      </c>
      <c r="C8730" t="s">
        <v>223</v>
      </c>
      <c r="D8730" t="s">
        <v>91</v>
      </c>
      <c r="E8730" t="s">
        <v>87</v>
      </c>
      <c r="F8730" s="55">
        <v>100</v>
      </c>
      <c r="G8730" s="63">
        <v>0.318</v>
      </c>
    </row>
    <row r="8731" spans="1:7" x14ac:dyDescent="0.2">
      <c r="A8731" t="s">
        <v>89</v>
      </c>
      <c r="B8731" t="s">
        <v>126</v>
      </c>
      <c r="C8731" t="s">
        <v>223</v>
      </c>
      <c r="D8731" t="s">
        <v>91</v>
      </c>
      <c r="E8731" t="s">
        <v>88</v>
      </c>
      <c r="F8731" s="55">
        <v>97</v>
      </c>
      <c r="G8731" s="63">
        <v>0.255</v>
      </c>
    </row>
    <row r="8732" spans="1:7" x14ac:dyDescent="0.2">
      <c r="A8732" t="s">
        <v>89</v>
      </c>
      <c r="B8732" t="s">
        <v>127</v>
      </c>
      <c r="C8732" t="s">
        <v>223</v>
      </c>
      <c r="D8732" t="s">
        <v>74</v>
      </c>
      <c r="E8732" t="s">
        <v>75</v>
      </c>
      <c r="F8732" s="55">
        <v>106</v>
      </c>
      <c r="G8732" s="63">
        <v>0.25750000000000001</v>
      </c>
    </row>
    <row r="8733" spans="1:7" x14ac:dyDescent="0.2">
      <c r="A8733" t="s">
        <v>89</v>
      </c>
      <c r="B8733" t="s">
        <v>127</v>
      </c>
      <c r="C8733" t="s">
        <v>223</v>
      </c>
      <c r="D8733" t="s">
        <v>74</v>
      </c>
      <c r="E8733" t="s">
        <v>76</v>
      </c>
      <c r="F8733" s="55">
        <v>102</v>
      </c>
      <c r="G8733" s="63">
        <v>3.5400000000000001E-2</v>
      </c>
    </row>
    <row r="8734" spans="1:7" x14ac:dyDescent="0.2">
      <c r="A8734" t="s">
        <v>89</v>
      </c>
      <c r="B8734" t="s">
        <v>127</v>
      </c>
      <c r="C8734" t="s">
        <v>223</v>
      </c>
      <c r="D8734" t="s">
        <v>74</v>
      </c>
      <c r="E8734" t="s">
        <v>77</v>
      </c>
      <c r="F8734" s="55">
        <v>108</v>
      </c>
      <c r="G8734" s="63">
        <v>0.10290000000000001</v>
      </c>
    </row>
    <row r="8735" spans="1:7" x14ac:dyDescent="0.2">
      <c r="A8735" t="s">
        <v>89</v>
      </c>
      <c r="B8735" t="s">
        <v>127</v>
      </c>
      <c r="C8735" t="s">
        <v>223</v>
      </c>
      <c r="D8735" t="s">
        <v>74</v>
      </c>
      <c r="E8735" t="s">
        <v>78</v>
      </c>
      <c r="F8735" s="55">
        <v>108</v>
      </c>
      <c r="G8735" s="63">
        <v>8.7900000000000006E-2</v>
      </c>
    </row>
    <row r="8736" spans="1:7" x14ac:dyDescent="0.2">
      <c r="A8736" t="s">
        <v>89</v>
      </c>
      <c r="B8736" t="s">
        <v>127</v>
      </c>
      <c r="C8736" t="s">
        <v>223</v>
      </c>
      <c r="D8736" t="s">
        <v>74</v>
      </c>
      <c r="E8736" t="s">
        <v>79</v>
      </c>
      <c r="F8736" s="55">
        <v>102</v>
      </c>
      <c r="G8736" s="63">
        <v>0.1721</v>
      </c>
    </row>
    <row r="8737" spans="1:7" x14ac:dyDescent="0.2">
      <c r="A8737" t="s">
        <v>89</v>
      </c>
      <c r="B8737" t="s">
        <v>127</v>
      </c>
      <c r="C8737" t="s">
        <v>223</v>
      </c>
      <c r="D8737" t="s">
        <v>74</v>
      </c>
      <c r="E8737" t="s">
        <v>80</v>
      </c>
      <c r="F8737" s="55">
        <v>102</v>
      </c>
      <c r="G8737" s="63">
        <v>9.6799999999999997E-2</v>
      </c>
    </row>
    <row r="8738" spans="1:7" x14ac:dyDescent="0.2">
      <c r="A8738" t="s">
        <v>89</v>
      </c>
      <c r="B8738" t="s">
        <v>127</v>
      </c>
      <c r="C8738" t="s">
        <v>223</v>
      </c>
      <c r="D8738" t="s">
        <v>74</v>
      </c>
      <c r="E8738" t="s">
        <v>81</v>
      </c>
      <c r="F8738" s="55">
        <v>109</v>
      </c>
      <c r="G8738" s="63">
        <v>8.7800000000000003E-2</v>
      </c>
    </row>
    <row r="8739" spans="1:7" x14ac:dyDescent="0.2">
      <c r="A8739" t="s">
        <v>89</v>
      </c>
      <c r="B8739" t="s">
        <v>127</v>
      </c>
      <c r="C8739" t="s">
        <v>223</v>
      </c>
      <c r="D8739" t="s">
        <v>74</v>
      </c>
      <c r="E8739" t="s">
        <v>82</v>
      </c>
      <c r="F8739" s="55">
        <v>100</v>
      </c>
      <c r="G8739" s="63">
        <v>0.1053</v>
      </c>
    </row>
    <row r="8740" spans="1:7" x14ac:dyDescent="0.2">
      <c r="A8740" t="s">
        <v>89</v>
      </c>
      <c r="B8740" t="s">
        <v>127</v>
      </c>
      <c r="C8740" t="s">
        <v>223</v>
      </c>
      <c r="D8740" t="s">
        <v>74</v>
      </c>
      <c r="E8740" t="s">
        <v>83</v>
      </c>
      <c r="F8740" s="55">
        <v>110</v>
      </c>
      <c r="G8740" s="63">
        <v>2.9100000000000001E-2</v>
      </c>
    </row>
    <row r="8741" spans="1:7" x14ac:dyDescent="0.2">
      <c r="A8741" t="s">
        <v>89</v>
      </c>
      <c r="B8741" t="s">
        <v>127</v>
      </c>
      <c r="C8741" t="s">
        <v>223</v>
      </c>
      <c r="D8741" t="s">
        <v>74</v>
      </c>
      <c r="E8741" t="s">
        <v>84</v>
      </c>
      <c r="F8741" s="55">
        <v>109</v>
      </c>
      <c r="G8741" s="63">
        <v>7.3599999999999999E-2</v>
      </c>
    </row>
    <row r="8742" spans="1:7" x14ac:dyDescent="0.2">
      <c r="A8742" t="s">
        <v>89</v>
      </c>
      <c r="B8742" t="s">
        <v>127</v>
      </c>
      <c r="C8742" t="s">
        <v>223</v>
      </c>
      <c r="D8742" t="s">
        <v>74</v>
      </c>
      <c r="E8742" t="s">
        <v>85</v>
      </c>
      <c r="F8742" s="55">
        <v>101</v>
      </c>
      <c r="G8742" s="63">
        <v>9.1999999999999998E-2</v>
      </c>
    </row>
    <row r="8743" spans="1:7" x14ac:dyDescent="0.2">
      <c r="A8743" t="s">
        <v>89</v>
      </c>
      <c r="B8743" t="s">
        <v>127</v>
      </c>
      <c r="C8743" t="s">
        <v>223</v>
      </c>
      <c r="D8743" t="s">
        <v>74</v>
      </c>
      <c r="E8743" t="s">
        <v>86</v>
      </c>
      <c r="F8743" s="55">
        <v>97</v>
      </c>
      <c r="G8743" s="63">
        <v>8.4500000000000006E-2</v>
      </c>
    </row>
    <row r="8744" spans="1:7" x14ac:dyDescent="0.2">
      <c r="A8744" t="s">
        <v>89</v>
      </c>
      <c r="B8744" t="s">
        <v>127</v>
      </c>
      <c r="C8744" t="s">
        <v>223</v>
      </c>
      <c r="D8744" t="s">
        <v>74</v>
      </c>
      <c r="E8744" t="s">
        <v>87</v>
      </c>
      <c r="F8744" s="55">
        <v>101</v>
      </c>
      <c r="G8744" s="63">
        <v>7.9399999999999998E-2</v>
      </c>
    </row>
    <row r="8745" spans="1:7" x14ac:dyDescent="0.2">
      <c r="A8745" t="s">
        <v>89</v>
      </c>
      <c r="B8745" t="s">
        <v>127</v>
      </c>
      <c r="C8745" t="s">
        <v>223</v>
      </c>
      <c r="D8745" t="s">
        <v>74</v>
      </c>
      <c r="E8745" t="s">
        <v>88</v>
      </c>
      <c r="F8745" s="55">
        <v>103</v>
      </c>
      <c r="G8745" s="63">
        <v>4.9000000000000002E-2</v>
      </c>
    </row>
    <row r="8746" spans="1:7" x14ac:dyDescent="0.2">
      <c r="A8746" t="s">
        <v>71</v>
      </c>
      <c r="B8746" t="s">
        <v>11</v>
      </c>
      <c r="C8746" t="s">
        <v>223</v>
      </c>
      <c r="D8746" t="s">
        <v>74</v>
      </c>
      <c r="E8746" t="s">
        <v>75</v>
      </c>
      <c r="F8746" s="55">
        <v>88</v>
      </c>
      <c r="G8746" s="63">
        <v>0.32750000000000001</v>
      </c>
    </row>
    <row r="8747" spans="1:7" x14ac:dyDescent="0.2">
      <c r="A8747" t="s">
        <v>71</v>
      </c>
      <c r="B8747" t="s">
        <v>11</v>
      </c>
      <c r="C8747" t="s">
        <v>223</v>
      </c>
      <c r="D8747" t="s">
        <v>74</v>
      </c>
      <c r="E8747" t="s">
        <v>76</v>
      </c>
      <c r="F8747" s="55">
        <v>91</v>
      </c>
      <c r="G8747" s="63">
        <v>4.9500000000000002E-2</v>
      </c>
    </row>
    <row r="8748" spans="1:7" x14ac:dyDescent="0.2">
      <c r="A8748" t="s">
        <v>71</v>
      </c>
      <c r="B8748" t="s">
        <v>11</v>
      </c>
      <c r="C8748" t="s">
        <v>223</v>
      </c>
      <c r="D8748" t="s">
        <v>74</v>
      </c>
      <c r="E8748" t="s">
        <v>77</v>
      </c>
      <c r="F8748" s="55">
        <v>91</v>
      </c>
      <c r="G8748" s="63">
        <v>0.14879999999999999</v>
      </c>
    </row>
    <row r="8749" spans="1:7" x14ac:dyDescent="0.2">
      <c r="A8749" t="s">
        <v>71</v>
      </c>
      <c r="B8749" t="s">
        <v>11</v>
      </c>
      <c r="C8749" t="s">
        <v>223</v>
      </c>
      <c r="D8749" t="s">
        <v>74</v>
      </c>
      <c r="E8749" t="s">
        <v>78</v>
      </c>
      <c r="F8749" s="55">
        <v>86</v>
      </c>
      <c r="G8749" s="63">
        <v>0.1454</v>
      </c>
    </row>
    <row r="8750" spans="1:7" x14ac:dyDescent="0.2">
      <c r="A8750" t="s">
        <v>71</v>
      </c>
      <c r="B8750" t="s">
        <v>11</v>
      </c>
      <c r="C8750" t="s">
        <v>223</v>
      </c>
      <c r="D8750" t="s">
        <v>74</v>
      </c>
      <c r="E8750" t="s">
        <v>79</v>
      </c>
      <c r="F8750" s="55">
        <v>87</v>
      </c>
      <c r="G8750" s="63">
        <v>0.2319</v>
      </c>
    </row>
    <row r="8751" spans="1:7" x14ac:dyDescent="0.2">
      <c r="A8751" t="s">
        <v>71</v>
      </c>
      <c r="B8751" t="s">
        <v>11</v>
      </c>
      <c r="C8751" t="s">
        <v>223</v>
      </c>
      <c r="D8751" t="s">
        <v>74</v>
      </c>
      <c r="E8751" t="s">
        <v>80</v>
      </c>
      <c r="F8751" s="55">
        <v>86</v>
      </c>
      <c r="G8751" s="63">
        <v>6.2E-2</v>
      </c>
    </row>
    <row r="8752" spans="1:7" x14ac:dyDescent="0.2">
      <c r="A8752" t="s">
        <v>71</v>
      </c>
      <c r="B8752" t="s">
        <v>11</v>
      </c>
      <c r="C8752" t="s">
        <v>223</v>
      </c>
      <c r="D8752" t="s">
        <v>74</v>
      </c>
      <c r="E8752" t="s">
        <v>81</v>
      </c>
      <c r="F8752" s="55">
        <v>92</v>
      </c>
      <c r="G8752" s="63">
        <v>6.2399999999999997E-2</v>
      </c>
    </row>
    <row r="8753" spans="1:7" x14ac:dyDescent="0.2">
      <c r="A8753" t="s">
        <v>71</v>
      </c>
      <c r="B8753" t="s">
        <v>11</v>
      </c>
      <c r="C8753" t="s">
        <v>223</v>
      </c>
      <c r="D8753" t="s">
        <v>74</v>
      </c>
      <c r="E8753" t="s">
        <v>82</v>
      </c>
      <c r="F8753" s="55">
        <v>88</v>
      </c>
      <c r="G8753" s="63">
        <v>0.17330000000000001</v>
      </c>
    </row>
    <row r="8754" spans="1:7" x14ac:dyDescent="0.2">
      <c r="A8754" t="s">
        <v>71</v>
      </c>
      <c r="B8754" t="s">
        <v>11</v>
      </c>
      <c r="C8754" t="s">
        <v>223</v>
      </c>
      <c r="D8754" t="s">
        <v>74</v>
      </c>
      <c r="E8754" t="s">
        <v>83</v>
      </c>
      <c r="F8754" s="55">
        <v>98</v>
      </c>
      <c r="G8754" s="63">
        <v>2.23E-2</v>
      </c>
    </row>
    <row r="8755" spans="1:7" x14ac:dyDescent="0.2">
      <c r="A8755" t="s">
        <v>71</v>
      </c>
      <c r="B8755" t="s">
        <v>11</v>
      </c>
      <c r="C8755" t="s">
        <v>223</v>
      </c>
      <c r="D8755" t="s">
        <v>74</v>
      </c>
      <c r="E8755" t="s">
        <v>84</v>
      </c>
      <c r="F8755" s="55">
        <v>88</v>
      </c>
      <c r="G8755" s="63">
        <v>0.1123</v>
      </c>
    </row>
    <row r="8756" spans="1:7" x14ac:dyDescent="0.2">
      <c r="A8756" t="s">
        <v>71</v>
      </c>
      <c r="B8756" t="s">
        <v>11</v>
      </c>
      <c r="C8756" t="s">
        <v>223</v>
      </c>
      <c r="D8756" t="s">
        <v>74</v>
      </c>
      <c r="E8756" t="s">
        <v>85</v>
      </c>
      <c r="F8756" s="55">
        <v>85</v>
      </c>
      <c r="G8756" s="63">
        <v>7.6899999999999996E-2</v>
      </c>
    </row>
    <row r="8757" spans="1:7" x14ac:dyDescent="0.2">
      <c r="A8757" t="s">
        <v>71</v>
      </c>
      <c r="B8757" t="s">
        <v>11</v>
      </c>
      <c r="C8757" t="s">
        <v>223</v>
      </c>
      <c r="D8757" t="s">
        <v>74</v>
      </c>
      <c r="E8757" t="s">
        <v>86</v>
      </c>
      <c r="F8757" s="55">
        <v>88</v>
      </c>
      <c r="G8757" s="63">
        <v>0.1134</v>
      </c>
    </row>
    <row r="8758" spans="1:7" x14ac:dyDescent="0.2">
      <c r="A8758" t="s">
        <v>71</v>
      </c>
      <c r="B8758" t="s">
        <v>11</v>
      </c>
      <c r="C8758" t="s">
        <v>223</v>
      </c>
      <c r="D8758" t="s">
        <v>74</v>
      </c>
      <c r="E8758" t="s">
        <v>87</v>
      </c>
      <c r="F8758" s="55">
        <v>89</v>
      </c>
      <c r="G8758" s="63">
        <v>0.13589999999999999</v>
      </c>
    </row>
    <row r="8759" spans="1:7" x14ac:dyDescent="0.2">
      <c r="A8759" t="s">
        <v>71</v>
      </c>
      <c r="B8759" t="s">
        <v>11</v>
      </c>
      <c r="C8759" t="s">
        <v>223</v>
      </c>
      <c r="D8759" t="s">
        <v>74</v>
      </c>
      <c r="E8759" t="s">
        <v>88</v>
      </c>
      <c r="F8759" s="55">
        <v>91</v>
      </c>
      <c r="G8759" s="63">
        <v>7.6799999999999993E-2</v>
      </c>
    </row>
    <row r="8760" spans="1:7" x14ac:dyDescent="0.2">
      <c r="A8760" t="s">
        <v>89</v>
      </c>
      <c r="B8760" t="s">
        <v>128</v>
      </c>
      <c r="C8760" t="s">
        <v>223</v>
      </c>
      <c r="D8760" t="s">
        <v>74</v>
      </c>
      <c r="E8760" t="s">
        <v>75</v>
      </c>
      <c r="F8760" s="55">
        <v>31</v>
      </c>
      <c r="G8760" s="63">
        <v>1.6999999999999999E-3</v>
      </c>
    </row>
    <row r="8761" spans="1:7" x14ac:dyDescent="0.2">
      <c r="A8761" t="s">
        <v>71</v>
      </c>
      <c r="B8761" t="s">
        <v>129</v>
      </c>
      <c r="C8761" t="s">
        <v>223</v>
      </c>
      <c r="D8761" t="s">
        <v>74</v>
      </c>
      <c r="E8761" t="s">
        <v>75</v>
      </c>
      <c r="F8761" s="55">
        <v>103</v>
      </c>
      <c r="G8761" s="63">
        <v>0.36070000000000002</v>
      </c>
    </row>
    <row r="8762" spans="1:7" x14ac:dyDescent="0.2">
      <c r="A8762" t="s">
        <v>71</v>
      </c>
      <c r="B8762" t="s">
        <v>129</v>
      </c>
      <c r="C8762" t="s">
        <v>223</v>
      </c>
      <c r="D8762" t="s">
        <v>74</v>
      </c>
      <c r="E8762" t="s">
        <v>76</v>
      </c>
      <c r="F8762" s="55">
        <v>95</v>
      </c>
      <c r="G8762" s="63">
        <v>8.9499999999999996E-2</v>
      </c>
    </row>
    <row r="8763" spans="1:7" x14ac:dyDescent="0.2">
      <c r="A8763" t="s">
        <v>71</v>
      </c>
      <c r="B8763" t="s">
        <v>129</v>
      </c>
      <c r="C8763" t="s">
        <v>223</v>
      </c>
      <c r="D8763" t="s">
        <v>74</v>
      </c>
      <c r="E8763" t="s">
        <v>77</v>
      </c>
      <c r="F8763" s="55">
        <v>104</v>
      </c>
      <c r="G8763" s="63">
        <v>0.2167</v>
      </c>
    </row>
    <row r="8764" spans="1:7" x14ac:dyDescent="0.2">
      <c r="A8764" t="s">
        <v>71</v>
      </c>
      <c r="B8764" t="s">
        <v>129</v>
      </c>
      <c r="C8764" t="s">
        <v>223</v>
      </c>
      <c r="D8764" t="s">
        <v>74</v>
      </c>
      <c r="E8764" t="s">
        <v>78</v>
      </c>
      <c r="F8764" s="55">
        <v>107</v>
      </c>
      <c r="G8764" s="63">
        <v>0.20050000000000001</v>
      </c>
    </row>
    <row r="8765" spans="1:7" x14ac:dyDescent="0.2">
      <c r="A8765" t="s">
        <v>71</v>
      </c>
      <c r="B8765" t="s">
        <v>129</v>
      </c>
      <c r="C8765" t="s">
        <v>223</v>
      </c>
      <c r="D8765" t="s">
        <v>74</v>
      </c>
      <c r="E8765" t="s">
        <v>79</v>
      </c>
      <c r="F8765" s="55">
        <v>103</v>
      </c>
      <c r="G8765" s="63">
        <v>0.27889999999999998</v>
      </c>
    </row>
    <row r="8766" spans="1:7" x14ac:dyDescent="0.2">
      <c r="A8766" t="s">
        <v>71</v>
      </c>
      <c r="B8766" t="s">
        <v>129</v>
      </c>
      <c r="C8766" t="s">
        <v>223</v>
      </c>
      <c r="D8766" t="s">
        <v>74</v>
      </c>
      <c r="E8766" t="s">
        <v>80</v>
      </c>
      <c r="F8766" s="55">
        <v>101</v>
      </c>
      <c r="G8766" s="63">
        <v>0.20799999999999999</v>
      </c>
    </row>
    <row r="8767" spans="1:7" x14ac:dyDescent="0.2">
      <c r="A8767" t="s">
        <v>71</v>
      </c>
      <c r="B8767" t="s">
        <v>129</v>
      </c>
      <c r="C8767" t="s">
        <v>223</v>
      </c>
      <c r="D8767" t="s">
        <v>74</v>
      </c>
      <c r="E8767" t="s">
        <v>81</v>
      </c>
      <c r="F8767" s="55">
        <v>100</v>
      </c>
      <c r="G8767" s="63">
        <v>0.19739999999999999</v>
      </c>
    </row>
    <row r="8768" spans="1:7" x14ac:dyDescent="0.2">
      <c r="A8768" t="s">
        <v>71</v>
      </c>
      <c r="B8768" t="s">
        <v>129</v>
      </c>
      <c r="C8768" t="s">
        <v>223</v>
      </c>
      <c r="D8768" t="s">
        <v>74</v>
      </c>
      <c r="E8768" t="s">
        <v>82</v>
      </c>
      <c r="F8768" s="55">
        <v>101</v>
      </c>
      <c r="G8768" s="63">
        <v>0.24809999999999999</v>
      </c>
    </row>
    <row r="8769" spans="1:7" x14ac:dyDescent="0.2">
      <c r="A8769" t="s">
        <v>71</v>
      </c>
      <c r="B8769" t="s">
        <v>129</v>
      </c>
      <c r="C8769" t="s">
        <v>223</v>
      </c>
      <c r="D8769" t="s">
        <v>74</v>
      </c>
      <c r="E8769" t="s">
        <v>83</v>
      </c>
      <c r="F8769" s="55">
        <v>98</v>
      </c>
      <c r="G8769" s="63">
        <v>8.1000000000000003E-2</v>
      </c>
    </row>
    <row r="8770" spans="1:7" x14ac:dyDescent="0.2">
      <c r="A8770" t="s">
        <v>71</v>
      </c>
      <c r="B8770" t="s">
        <v>129</v>
      </c>
      <c r="C8770" t="s">
        <v>223</v>
      </c>
      <c r="D8770" t="s">
        <v>74</v>
      </c>
      <c r="E8770" t="s">
        <v>84</v>
      </c>
      <c r="F8770" s="55">
        <v>107</v>
      </c>
      <c r="G8770" s="63">
        <v>0.18099999999999999</v>
      </c>
    </row>
    <row r="8771" spans="1:7" x14ac:dyDescent="0.2">
      <c r="A8771" t="s">
        <v>71</v>
      </c>
      <c r="B8771" t="s">
        <v>129</v>
      </c>
      <c r="C8771" t="s">
        <v>223</v>
      </c>
      <c r="D8771" t="s">
        <v>74</v>
      </c>
      <c r="E8771" t="s">
        <v>85</v>
      </c>
      <c r="F8771" s="55">
        <v>101</v>
      </c>
      <c r="G8771" s="63">
        <v>0.2077</v>
      </c>
    </row>
    <row r="8772" spans="1:7" x14ac:dyDescent="0.2">
      <c r="A8772" t="s">
        <v>71</v>
      </c>
      <c r="B8772" t="s">
        <v>129</v>
      </c>
      <c r="C8772" t="s">
        <v>223</v>
      </c>
      <c r="D8772" t="s">
        <v>74</v>
      </c>
      <c r="E8772" t="s">
        <v>86</v>
      </c>
      <c r="F8772" s="55">
        <v>102</v>
      </c>
      <c r="G8772" s="63">
        <v>0.20519999999999999</v>
      </c>
    </row>
    <row r="8773" spans="1:7" x14ac:dyDescent="0.2">
      <c r="A8773" t="s">
        <v>71</v>
      </c>
      <c r="B8773" t="s">
        <v>129</v>
      </c>
      <c r="C8773" t="s">
        <v>223</v>
      </c>
      <c r="D8773" t="s">
        <v>74</v>
      </c>
      <c r="E8773" t="s">
        <v>87</v>
      </c>
      <c r="F8773" s="55">
        <v>103</v>
      </c>
      <c r="G8773" s="63">
        <v>0.20419999999999999</v>
      </c>
    </row>
    <row r="8774" spans="1:7" x14ac:dyDescent="0.2">
      <c r="A8774" t="s">
        <v>71</v>
      </c>
      <c r="B8774" t="s">
        <v>129</v>
      </c>
      <c r="C8774" t="s">
        <v>223</v>
      </c>
      <c r="D8774" t="s">
        <v>74</v>
      </c>
      <c r="E8774" t="s">
        <v>88</v>
      </c>
      <c r="F8774" s="55">
        <v>96</v>
      </c>
      <c r="G8774" s="63">
        <v>0.1168</v>
      </c>
    </row>
    <row r="8775" spans="1:7" x14ac:dyDescent="0.2">
      <c r="A8775" t="s">
        <v>89</v>
      </c>
      <c r="B8775" t="s">
        <v>130</v>
      </c>
      <c r="C8775" t="s">
        <v>223</v>
      </c>
      <c r="D8775" t="s">
        <v>74</v>
      </c>
      <c r="E8775" t="s">
        <v>75</v>
      </c>
      <c r="F8775" s="55">
        <v>162</v>
      </c>
      <c r="G8775" s="63">
        <v>1.1000000000000001E-3</v>
      </c>
    </row>
    <row r="8776" spans="1:7" x14ac:dyDescent="0.2">
      <c r="A8776" t="s">
        <v>71</v>
      </c>
      <c r="B8776" t="s">
        <v>12</v>
      </c>
      <c r="C8776" t="s">
        <v>223</v>
      </c>
      <c r="D8776" t="s">
        <v>74</v>
      </c>
      <c r="E8776" t="s">
        <v>75</v>
      </c>
      <c r="F8776" s="55">
        <v>96</v>
      </c>
      <c r="G8776" s="63">
        <v>0.26090000000000002</v>
      </c>
    </row>
    <row r="8777" spans="1:7" x14ac:dyDescent="0.2">
      <c r="A8777" t="s">
        <v>71</v>
      </c>
      <c r="B8777" t="s">
        <v>12</v>
      </c>
      <c r="C8777" t="s">
        <v>223</v>
      </c>
      <c r="D8777" t="s">
        <v>74</v>
      </c>
      <c r="E8777" t="s">
        <v>76</v>
      </c>
      <c r="F8777" s="55">
        <v>83</v>
      </c>
      <c r="G8777" s="63">
        <v>1.4200000000000001E-2</v>
      </c>
    </row>
    <row r="8778" spans="1:7" x14ac:dyDescent="0.2">
      <c r="A8778" t="s">
        <v>71</v>
      </c>
      <c r="B8778" t="s">
        <v>12</v>
      </c>
      <c r="C8778" t="s">
        <v>223</v>
      </c>
      <c r="D8778" t="s">
        <v>74</v>
      </c>
      <c r="E8778" t="s">
        <v>77</v>
      </c>
      <c r="F8778" s="55">
        <v>94</v>
      </c>
      <c r="G8778" s="63">
        <v>7.4899999999999994E-2</v>
      </c>
    </row>
    <row r="8779" spans="1:7" x14ac:dyDescent="0.2">
      <c r="A8779" t="s">
        <v>71</v>
      </c>
      <c r="B8779" t="s">
        <v>12</v>
      </c>
      <c r="C8779" t="s">
        <v>223</v>
      </c>
      <c r="D8779" t="s">
        <v>74</v>
      </c>
      <c r="E8779" t="s">
        <v>78</v>
      </c>
      <c r="F8779" s="55">
        <v>93</v>
      </c>
      <c r="G8779" s="63">
        <v>7.2599999999999998E-2</v>
      </c>
    </row>
    <row r="8780" spans="1:7" x14ac:dyDescent="0.2">
      <c r="A8780" t="s">
        <v>71</v>
      </c>
      <c r="B8780" t="s">
        <v>12</v>
      </c>
      <c r="C8780" t="s">
        <v>223</v>
      </c>
      <c r="D8780" t="s">
        <v>74</v>
      </c>
      <c r="E8780" t="s">
        <v>79</v>
      </c>
      <c r="F8780" s="55">
        <v>98</v>
      </c>
      <c r="G8780" s="63">
        <v>0.19700000000000001</v>
      </c>
    </row>
    <row r="8781" spans="1:7" x14ac:dyDescent="0.2">
      <c r="A8781" t="s">
        <v>71</v>
      </c>
      <c r="B8781" t="s">
        <v>12</v>
      </c>
      <c r="C8781" t="s">
        <v>223</v>
      </c>
      <c r="D8781" t="s">
        <v>74</v>
      </c>
      <c r="E8781" t="s">
        <v>80</v>
      </c>
      <c r="F8781" s="55">
        <v>95</v>
      </c>
      <c r="G8781" s="63">
        <v>9.4399999999999998E-2</v>
      </c>
    </row>
    <row r="8782" spans="1:7" x14ac:dyDescent="0.2">
      <c r="A8782" t="s">
        <v>71</v>
      </c>
      <c r="B8782" t="s">
        <v>12</v>
      </c>
      <c r="C8782" t="s">
        <v>223</v>
      </c>
      <c r="D8782" t="s">
        <v>74</v>
      </c>
      <c r="E8782" t="s">
        <v>81</v>
      </c>
      <c r="F8782" s="55">
        <v>96</v>
      </c>
      <c r="G8782" s="63">
        <v>7.2300000000000003E-2</v>
      </c>
    </row>
    <row r="8783" spans="1:7" x14ac:dyDescent="0.2">
      <c r="A8783" t="s">
        <v>71</v>
      </c>
      <c r="B8783" t="s">
        <v>12</v>
      </c>
      <c r="C8783" t="s">
        <v>223</v>
      </c>
      <c r="D8783" t="s">
        <v>74</v>
      </c>
      <c r="E8783" t="s">
        <v>82</v>
      </c>
      <c r="F8783" s="55">
        <v>99</v>
      </c>
      <c r="G8783" s="63">
        <v>0.12470000000000001</v>
      </c>
    </row>
    <row r="8784" spans="1:7" x14ac:dyDescent="0.2">
      <c r="A8784" t="s">
        <v>71</v>
      </c>
      <c r="B8784" t="s">
        <v>12</v>
      </c>
      <c r="C8784" t="s">
        <v>223</v>
      </c>
      <c r="D8784" t="s">
        <v>74</v>
      </c>
      <c r="E8784" t="s">
        <v>83</v>
      </c>
      <c r="F8784" s="55">
        <v>84</v>
      </c>
      <c r="G8784" s="63">
        <v>1.49E-2</v>
      </c>
    </row>
    <row r="8785" spans="1:7" x14ac:dyDescent="0.2">
      <c r="A8785" t="s">
        <v>71</v>
      </c>
      <c r="B8785" t="s">
        <v>12</v>
      </c>
      <c r="C8785" t="s">
        <v>223</v>
      </c>
      <c r="D8785" t="s">
        <v>74</v>
      </c>
      <c r="E8785" t="s">
        <v>84</v>
      </c>
      <c r="F8785" s="55">
        <v>92</v>
      </c>
      <c r="G8785" s="63">
        <v>5.2600000000000001E-2</v>
      </c>
    </row>
    <row r="8786" spans="1:7" x14ac:dyDescent="0.2">
      <c r="A8786" t="s">
        <v>71</v>
      </c>
      <c r="B8786" t="s">
        <v>12</v>
      </c>
      <c r="C8786" t="s">
        <v>223</v>
      </c>
      <c r="D8786" t="s">
        <v>74</v>
      </c>
      <c r="E8786" t="s">
        <v>85</v>
      </c>
      <c r="F8786" s="55">
        <v>95</v>
      </c>
      <c r="G8786" s="63">
        <v>0.1137</v>
      </c>
    </row>
    <row r="8787" spans="1:7" x14ac:dyDescent="0.2">
      <c r="A8787" t="s">
        <v>71</v>
      </c>
      <c r="B8787" t="s">
        <v>12</v>
      </c>
      <c r="C8787" t="s">
        <v>223</v>
      </c>
      <c r="D8787" t="s">
        <v>74</v>
      </c>
      <c r="E8787" t="s">
        <v>86</v>
      </c>
      <c r="F8787" s="55">
        <v>99</v>
      </c>
      <c r="G8787" s="63">
        <v>0.123</v>
      </c>
    </row>
    <row r="8788" spans="1:7" x14ac:dyDescent="0.2">
      <c r="A8788" t="s">
        <v>71</v>
      </c>
      <c r="B8788" t="s">
        <v>12</v>
      </c>
      <c r="C8788" t="s">
        <v>223</v>
      </c>
      <c r="D8788" t="s">
        <v>74</v>
      </c>
      <c r="E8788" t="s">
        <v>87</v>
      </c>
      <c r="F8788" s="55">
        <v>98</v>
      </c>
      <c r="G8788" s="63">
        <v>0.1157</v>
      </c>
    </row>
    <row r="8789" spans="1:7" x14ac:dyDescent="0.2">
      <c r="A8789" t="s">
        <v>71</v>
      </c>
      <c r="B8789" t="s">
        <v>12</v>
      </c>
      <c r="C8789" t="s">
        <v>223</v>
      </c>
      <c r="D8789" t="s">
        <v>74</v>
      </c>
      <c r="E8789" t="s">
        <v>88</v>
      </c>
      <c r="F8789" s="55">
        <v>88</v>
      </c>
      <c r="G8789" s="63">
        <v>2.3900000000000001E-2</v>
      </c>
    </row>
    <row r="8790" spans="1:7" x14ac:dyDescent="0.2">
      <c r="A8790" t="s">
        <v>71</v>
      </c>
      <c r="B8790" t="s">
        <v>132</v>
      </c>
      <c r="C8790" t="s">
        <v>223</v>
      </c>
      <c r="D8790" t="s">
        <v>74</v>
      </c>
      <c r="E8790" t="s">
        <v>75</v>
      </c>
      <c r="F8790" s="55">
        <v>84</v>
      </c>
      <c r="G8790" s="63">
        <v>0.23280000000000001</v>
      </c>
    </row>
    <row r="8791" spans="1:7" x14ac:dyDescent="0.2">
      <c r="A8791" t="s">
        <v>71</v>
      </c>
      <c r="B8791" t="s">
        <v>132</v>
      </c>
      <c r="C8791" t="s">
        <v>223</v>
      </c>
      <c r="D8791" t="s">
        <v>74</v>
      </c>
      <c r="E8791" t="s">
        <v>76</v>
      </c>
      <c r="F8791" s="55">
        <v>70</v>
      </c>
      <c r="G8791" s="63">
        <v>1.8800000000000001E-2</v>
      </c>
    </row>
    <row r="8792" spans="1:7" x14ac:dyDescent="0.2">
      <c r="A8792" t="s">
        <v>71</v>
      </c>
      <c r="B8792" t="s">
        <v>132</v>
      </c>
      <c r="C8792" t="s">
        <v>223</v>
      </c>
      <c r="D8792" t="s">
        <v>74</v>
      </c>
      <c r="E8792" t="s">
        <v>77</v>
      </c>
      <c r="F8792" s="55">
        <v>86</v>
      </c>
      <c r="G8792" s="63">
        <v>8.7499999999999994E-2</v>
      </c>
    </row>
    <row r="8793" spans="1:7" x14ac:dyDescent="0.2">
      <c r="A8793" t="s">
        <v>71</v>
      </c>
      <c r="B8793" t="s">
        <v>132</v>
      </c>
      <c r="C8793" t="s">
        <v>223</v>
      </c>
      <c r="D8793" t="s">
        <v>74</v>
      </c>
      <c r="E8793" t="s">
        <v>78</v>
      </c>
      <c r="F8793" s="55">
        <v>83</v>
      </c>
      <c r="G8793" s="63">
        <v>9.6000000000000002E-2</v>
      </c>
    </row>
    <row r="8794" spans="1:7" x14ac:dyDescent="0.2">
      <c r="A8794" t="s">
        <v>71</v>
      </c>
      <c r="B8794" t="s">
        <v>132</v>
      </c>
      <c r="C8794" t="s">
        <v>223</v>
      </c>
      <c r="D8794" t="s">
        <v>74</v>
      </c>
      <c r="E8794" t="s">
        <v>79</v>
      </c>
      <c r="F8794" s="55">
        <v>83</v>
      </c>
      <c r="G8794" s="63">
        <v>0.1573</v>
      </c>
    </row>
    <row r="8795" spans="1:7" x14ac:dyDescent="0.2">
      <c r="A8795" t="s">
        <v>71</v>
      </c>
      <c r="B8795" t="s">
        <v>132</v>
      </c>
      <c r="C8795" t="s">
        <v>223</v>
      </c>
      <c r="D8795" t="s">
        <v>74</v>
      </c>
      <c r="E8795" t="s">
        <v>80</v>
      </c>
      <c r="F8795" s="55">
        <v>83</v>
      </c>
      <c r="G8795" s="63">
        <v>2.7900000000000001E-2</v>
      </c>
    </row>
    <row r="8796" spans="1:7" x14ac:dyDescent="0.2">
      <c r="A8796" t="s">
        <v>71</v>
      </c>
      <c r="B8796" t="s">
        <v>132</v>
      </c>
      <c r="C8796" t="s">
        <v>223</v>
      </c>
      <c r="D8796" t="s">
        <v>74</v>
      </c>
      <c r="E8796" t="s">
        <v>81</v>
      </c>
      <c r="F8796" s="55">
        <v>85</v>
      </c>
      <c r="G8796" s="63">
        <v>2.7900000000000001E-2</v>
      </c>
    </row>
    <row r="8797" spans="1:7" x14ac:dyDescent="0.2">
      <c r="A8797" t="s">
        <v>71</v>
      </c>
      <c r="B8797" t="s">
        <v>132</v>
      </c>
      <c r="C8797" t="s">
        <v>223</v>
      </c>
      <c r="D8797" t="s">
        <v>74</v>
      </c>
      <c r="E8797" t="s">
        <v>82</v>
      </c>
      <c r="F8797" s="55">
        <v>85</v>
      </c>
      <c r="G8797" s="63">
        <v>0.11749999999999999</v>
      </c>
    </row>
    <row r="8798" spans="1:7" x14ac:dyDescent="0.2">
      <c r="A8798" t="s">
        <v>71</v>
      </c>
      <c r="B8798" t="s">
        <v>132</v>
      </c>
      <c r="C8798" t="s">
        <v>223</v>
      </c>
      <c r="D8798" t="s">
        <v>74</v>
      </c>
      <c r="E8798" t="s">
        <v>83</v>
      </c>
      <c r="F8798" s="55">
        <v>86</v>
      </c>
      <c r="G8798" s="63">
        <v>1.0699999999999999E-2</v>
      </c>
    </row>
    <row r="8799" spans="1:7" x14ac:dyDescent="0.2">
      <c r="A8799" t="s">
        <v>71</v>
      </c>
      <c r="B8799" t="s">
        <v>132</v>
      </c>
      <c r="C8799" t="s">
        <v>223</v>
      </c>
      <c r="D8799" t="s">
        <v>74</v>
      </c>
      <c r="E8799" t="s">
        <v>84</v>
      </c>
      <c r="F8799" s="55">
        <v>83</v>
      </c>
      <c r="G8799" s="63">
        <v>7.2300000000000003E-2</v>
      </c>
    </row>
    <row r="8800" spans="1:7" x14ac:dyDescent="0.2">
      <c r="A8800" t="s">
        <v>71</v>
      </c>
      <c r="B8800" t="s">
        <v>132</v>
      </c>
      <c r="C8800" t="s">
        <v>223</v>
      </c>
      <c r="D8800" t="s">
        <v>74</v>
      </c>
      <c r="E8800" t="s">
        <v>85</v>
      </c>
      <c r="F8800" s="55">
        <v>87</v>
      </c>
      <c r="G8800" s="63">
        <v>3.7199999999999997E-2</v>
      </c>
    </row>
    <row r="8801" spans="1:7" x14ac:dyDescent="0.2">
      <c r="A8801" t="s">
        <v>71</v>
      </c>
      <c r="B8801" t="s">
        <v>132</v>
      </c>
      <c r="C8801" t="s">
        <v>223</v>
      </c>
      <c r="D8801" t="s">
        <v>74</v>
      </c>
      <c r="E8801" t="s">
        <v>86</v>
      </c>
      <c r="F8801" s="55">
        <v>84</v>
      </c>
      <c r="G8801" s="63">
        <v>6.6000000000000003E-2</v>
      </c>
    </row>
    <row r="8802" spans="1:7" x14ac:dyDescent="0.2">
      <c r="A8802" t="s">
        <v>71</v>
      </c>
      <c r="B8802" t="s">
        <v>132</v>
      </c>
      <c r="C8802" t="s">
        <v>223</v>
      </c>
      <c r="D8802" t="s">
        <v>74</v>
      </c>
      <c r="E8802" t="s">
        <v>87</v>
      </c>
      <c r="F8802" s="55">
        <v>83</v>
      </c>
      <c r="G8802" s="63">
        <v>8.4900000000000003E-2</v>
      </c>
    </row>
    <row r="8803" spans="1:7" x14ac:dyDescent="0.2">
      <c r="A8803" t="s">
        <v>71</v>
      </c>
      <c r="B8803" t="s">
        <v>132</v>
      </c>
      <c r="C8803" t="s">
        <v>223</v>
      </c>
      <c r="D8803" t="s">
        <v>74</v>
      </c>
      <c r="E8803" t="s">
        <v>88</v>
      </c>
      <c r="F8803" s="55">
        <v>77</v>
      </c>
      <c r="G8803" s="63">
        <v>3.9300000000000002E-2</v>
      </c>
    </row>
    <row r="8804" spans="1:7" x14ac:dyDescent="0.2">
      <c r="A8804" t="s">
        <v>89</v>
      </c>
      <c r="B8804" t="s">
        <v>134</v>
      </c>
      <c r="C8804" t="s">
        <v>223</v>
      </c>
      <c r="D8804" t="s">
        <v>74</v>
      </c>
      <c r="E8804" t="s">
        <v>75</v>
      </c>
      <c r="F8804" s="55">
        <v>98</v>
      </c>
      <c r="G8804" s="63">
        <v>0.1067</v>
      </c>
    </row>
    <row r="8805" spans="1:7" x14ac:dyDescent="0.2">
      <c r="A8805" t="s">
        <v>89</v>
      </c>
      <c r="B8805" t="s">
        <v>134</v>
      </c>
      <c r="C8805" t="s">
        <v>223</v>
      </c>
      <c r="D8805" t="s">
        <v>74</v>
      </c>
      <c r="E8805" t="s">
        <v>76</v>
      </c>
      <c r="F8805" s="55">
        <v>101</v>
      </c>
      <c r="G8805" s="63">
        <v>1.01E-2</v>
      </c>
    </row>
    <row r="8806" spans="1:7" x14ac:dyDescent="0.2">
      <c r="A8806" t="s">
        <v>89</v>
      </c>
      <c r="B8806" t="s">
        <v>134</v>
      </c>
      <c r="C8806" t="s">
        <v>223</v>
      </c>
      <c r="D8806" t="s">
        <v>74</v>
      </c>
      <c r="E8806" t="s">
        <v>77</v>
      </c>
      <c r="F8806" s="55">
        <v>105</v>
      </c>
      <c r="G8806" s="63">
        <v>3.0300000000000001E-2</v>
      </c>
    </row>
    <row r="8807" spans="1:7" x14ac:dyDescent="0.2">
      <c r="A8807" t="s">
        <v>89</v>
      </c>
      <c r="B8807" t="s">
        <v>134</v>
      </c>
      <c r="C8807" t="s">
        <v>223</v>
      </c>
      <c r="D8807" t="s">
        <v>74</v>
      </c>
      <c r="E8807" t="s">
        <v>78</v>
      </c>
      <c r="F8807" s="55">
        <v>102</v>
      </c>
      <c r="G8807" s="63">
        <v>2.7099999999999999E-2</v>
      </c>
    </row>
    <row r="8808" spans="1:7" x14ac:dyDescent="0.2">
      <c r="A8808" t="s">
        <v>89</v>
      </c>
      <c r="B8808" t="s">
        <v>134</v>
      </c>
      <c r="C8808" t="s">
        <v>223</v>
      </c>
      <c r="D8808" t="s">
        <v>74</v>
      </c>
      <c r="E8808" t="s">
        <v>79</v>
      </c>
      <c r="F8808" s="55">
        <v>94</v>
      </c>
      <c r="G8808" s="63">
        <v>6.7699999999999996E-2</v>
      </c>
    </row>
    <row r="8809" spans="1:7" x14ac:dyDescent="0.2">
      <c r="A8809" t="s">
        <v>89</v>
      </c>
      <c r="B8809" t="s">
        <v>134</v>
      </c>
      <c r="C8809" t="s">
        <v>223</v>
      </c>
      <c r="D8809" t="s">
        <v>74</v>
      </c>
      <c r="E8809" t="s">
        <v>80</v>
      </c>
      <c r="F8809" s="55">
        <v>94</v>
      </c>
      <c r="G8809" s="63">
        <v>4.0899999999999999E-2</v>
      </c>
    </row>
    <row r="8810" spans="1:7" x14ac:dyDescent="0.2">
      <c r="A8810" t="s">
        <v>89</v>
      </c>
      <c r="B8810" t="s">
        <v>134</v>
      </c>
      <c r="C8810" t="s">
        <v>223</v>
      </c>
      <c r="D8810" t="s">
        <v>74</v>
      </c>
      <c r="E8810" t="s">
        <v>81</v>
      </c>
      <c r="F8810" s="55">
        <v>97</v>
      </c>
      <c r="G8810" s="63">
        <v>4.1300000000000003E-2</v>
      </c>
    </row>
    <row r="8811" spans="1:7" x14ac:dyDescent="0.2">
      <c r="A8811" t="s">
        <v>89</v>
      </c>
      <c r="B8811" t="s">
        <v>134</v>
      </c>
      <c r="C8811" t="s">
        <v>223</v>
      </c>
      <c r="D8811" t="s">
        <v>74</v>
      </c>
      <c r="E8811" t="s">
        <v>82</v>
      </c>
      <c r="F8811" s="55">
        <v>99</v>
      </c>
      <c r="G8811" s="63">
        <v>3.9300000000000002E-2</v>
      </c>
    </row>
    <row r="8812" spans="1:7" x14ac:dyDescent="0.2">
      <c r="A8812" t="s">
        <v>89</v>
      </c>
      <c r="B8812" t="s">
        <v>134</v>
      </c>
      <c r="C8812" t="s">
        <v>223</v>
      </c>
      <c r="D8812" t="s">
        <v>74</v>
      </c>
      <c r="E8812" t="s">
        <v>83</v>
      </c>
      <c r="F8812" s="55">
        <v>108</v>
      </c>
      <c r="G8812" s="63">
        <v>1.2699999999999999E-2</v>
      </c>
    </row>
    <row r="8813" spans="1:7" x14ac:dyDescent="0.2">
      <c r="A8813" t="s">
        <v>89</v>
      </c>
      <c r="B8813" t="s">
        <v>134</v>
      </c>
      <c r="C8813" t="s">
        <v>223</v>
      </c>
      <c r="D8813" t="s">
        <v>74</v>
      </c>
      <c r="E8813" t="s">
        <v>84</v>
      </c>
      <c r="F8813" s="55">
        <v>101</v>
      </c>
      <c r="G8813" s="63">
        <v>2.1299999999999999E-2</v>
      </c>
    </row>
    <row r="8814" spans="1:7" x14ac:dyDescent="0.2">
      <c r="A8814" t="s">
        <v>89</v>
      </c>
      <c r="B8814" t="s">
        <v>134</v>
      </c>
      <c r="C8814" t="s">
        <v>223</v>
      </c>
      <c r="D8814" t="s">
        <v>74</v>
      </c>
      <c r="E8814" t="s">
        <v>85</v>
      </c>
      <c r="F8814" s="55">
        <v>94</v>
      </c>
      <c r="G8814" s="63">
        <v>3.7600000000000001E-2</v>
      </c>
    </row>
    <row r="8815" spans="1:7" x14ac:dyDescent="0.2">
      <c r="A8815" t="s">
        <v>89</v>
      </c>
      <c r="B8815" t="s">
        <v>134</v>
      </c>
      <c r="C8815" t="s">
        <v>223</v>
      </c>
      <c r="D8815" t="s">
        <v>74</v>
      </c>
      <c r="E8815" t="s">
        <v>86</v>
      </c>
      <c r="F8815" s="55">
        <v>94</v>
      </c>
      <c r="G8815" s="63">
        <v>3.5799999999999998E-2</v>
      </c>
    </row>
    <row r="8816" spans="1:7" x14ac:dyDescent="0.2">
      <c r="A8816" t="s">
        <v>89</v>
      </c>
      <c r="B8816" t="s">
        <v>134</v>
      </c>
      <c r="C8816" t="s">
        <v>223</v>
      </c>
      <c r="D8816" t="s">
        <v>74</v>
      </c>
      <c r="E8816" t="s">
        <v>87</v>
      </c>
      <c r="F8816" s="55">
        <v>94</v>
      </c>
      <c r="G8816" s="63">
        <v>3.3000000000000002E-2</v>
      </c>
    </row>
    <row r="8817" spans="1:7" x14ac:dyDescent="0.2">
      <c r="A8817" t="s">
        <v>89</v>
      </c>
      <c r="B8817" t="s">
        <v>134</v>
      </c>
      <c r="C8817" t="s">
        <v>223</v>
      </c>
      <c r="D8817" t="s">
        <v>74</v>
      </c>
      <c r="E8817" t="s">
        <v>88</v>
      </c>
      <c r="F8817" s="55">
        <v>98</v>
      </c>
      <c r="G8817" s="63">
        <v>1.66E-2</v>
      </c>
    </row>
    <row r="8818" spans="1:7" x14ac:dyDescent="0.2">
      <c r="A8818" t="s">
        <v>89</v>
      </c>
      <c r="B8818" t="s">
        <v>135</v>
      </c>
      <c r="C8818" t="s">
        <v>223</v>
      </c>
      <c r="D8818" t="s">
        <v>74</v>
      </c>
      <c r="E8818" t="s">
        <v>75</v>
      </c>
      <c r="F8818" s="55">
        <v>98</v>
      </c>
      <c r="G8818" s="63">
        <v>1.6999999999999999E-3</v>
      </c>
    </row>
    <row r="8819" spans="1:7" x14ac:dyDescent="0.2">
      <c r="A8819" t="s">
        <v>89</v>
      </c>
      <c r="B8819" t="s">
        <v>135</v>
      </c>
      <c r="C8819" t="s">
        <v>223</v>
      </c>
      <c r="D8819" t="s">
        <v>74</v>
      </c>
      <c r="E8819" t="s">
        <v>79</v>
      </c>
      <c r="F8819" s="55">
        <v>81</v>
      </c>
      <c r="G8819" s="63">
        <v>1.1999999999999999E-3</v>
      </c>
    </row>
    <row r="8820" spans="1:7" x14ac:dyDescent="0.2">
      <c r="A8820" t="s">
        <v>89</v>
      </c>
      <c r="B8820" t="s">
        <v>136</v>
      </c>
      <c r="C8820" t="s">
        <v>223</v>
      </c>
      <c r="D8820" t="s">
        <v>74</v>
      </c>
      <c r="E8820" t="s">
        <v>75</v>
      </c>
      <c r="F8820" s="55">
        <v>83</v>
      </c>
      <c r="G8820" s="63">
        <v>0.1062</v>
      </c>
    </row>
    <row r="8821" spans="1:7" x14ac:dyDescent="0.2">
      <c r="A8821" t="s">
        <v>89</v>
      </c>
      <c r="B8821" t="s">
        <v>136</v>
      </c>
      <c r="C8821" t="s">
        <v>223</v>
      </c>
      <c r="D8821" t="s">
        <v>74</v>
      </c>
      <c r="E8821" t="s">
        <v>76</v>
      </c>
      <c r="F8821" s="55">
        <v>92</v>
      </c>
      <c r="G8821" s="63">
        <v>1.2699999999999999E-2</v>
      </c>
    </row>
    <row r="8822" spans="1:7" x14ac:dyDescent="0.2">
      <c r="A8822" t="s">
        <v>89</v>
      </c>
      <c r="B8822" t="s">
        <v>136</v>
      </c>
      <c r="C8822" t="s">
        <v>223</v>
      </c>
      <c r="D8822" t="s">
        <v>74</v>
      </c>
      <c r="E8822" t="s">
        <v>77</v>
      </c>
      <c r="F8822" s="55">
        <v>87</v>
      </c>
      <c r="G8822" s="63">
        <v>4.1000000000000002E-2</v>
      </c>
    </row>
    <row r="8823" spans="1:7" x14ac:dyDescent="0.2">
      <c r="A8823" t="s">
        <v>89</v>
      </c>
      <c r="B8823" t="s">
        <v>136</v>
      </c>
      <c r="C8823" t="s">
        <v>223</v>
      </c>
      <c r="D8823" t="s">
        <v>74</v>
      </c>
      <c r="E8823" t="s">
        <v>78</v>
      </c>
      <c r="F8823" s="55">
        <v>82</v>
      </c>
      <c r="G8823" s="63">
        <v>2.8799999999999999E-2</v>
      </c>
    </row>
    <row r="8824" spans="1:7" x14ac:dyDescent="0.2">
      <c r="A8824" t="s">
        <v>89</v>
      </c>
      <c r="B8824" t="s">
        <v>136</v>
      </c>
      <c r="C8824" t="s">
        <v>223</v>
      </c>
      <c r="D8824" t="s">
        <v>74</v>
      </c>
      <c r="E8824" t="s">
        <v>79</v>
      </c>
      <c r="F8824" s="55">
        <v>82</v>
      </c>
      <c r="G8824" s="63">
        <v>5.2600000000000001E-2</v>
      </c>
    </row>
    <row r="8825" spans="1:7" x14ac:dyDescent="0.2">
      <c r="A8825" t="s">
        <v>89</v>
      </c>
      <c r="B8825" t="s">
        <v>136</v>
      </c>
      <c r="C8825" t="s">
        <v>223</v>
      </c>
      <c r="D8825" t="s">
        <v>74</v>
      </c>
      <c r="E8825" t="s">
        <v>80</v>
      </c>
      <c r="F8825" s="55">
        <v>78</v>
      </c>
      <c r="G8825" s="63">
        <v>1.4500000000000001E-2</v>
      </c>
    </row>
    <row r="8826" spans="1:7" x14ac:dyDescent="0.2">
      <c r="A8826" t="s">
        <v>89</v>
      </c>
      <c r="B8826" t="s">
        <v>136</v>
      </c>
      <c r="C8826" t="s">
        <v>223</v>
      </c>
      <c r="D8826" t="s">
        <v>74</v>
      </c>
      <c r="E8826" t="s">
        <v>81</v>
      </c>
      <c r="F8826" s="55">
        <v>84</v>
      </c>
      <c r="G8826" s="63">
        <v>1.6199999999999999E-2</v>
      </c>
    </row>
    <row r="8827" spans="1:7" x14ac:dyDescent="0.2">
      <c r="A8827" t="s">
        <v>89</v>
      </c>
      <c r="B8827" t="s">
        <v>136</v>
      </c>
      <c r="C8827" t="s">
        <v>223</v>
      </c>
      <c r="D8827" t="s">
        <v>74</v>
      </c>
      <c r="E8827" t="s">
        <v>82</v>
      </c>
      <c r="F8827" s="55">
        <v>86</v>
      </c>
      <c r="G8827" s="63">
        <v>4.0500000000000001E-2</v>
      </c>
    </row>
    <row r="8828" spans="1:7" x14ac:dyDescent="0.2">
      <c r="A8828" t="s">
        <v>89</v>
      </c>
      <c r="B8828" t="s">
        <v>136</v>
      </c>
      <c r="C8828" t="s">
        <v>223</v>
      </c>
      <c r="D8828" t="s">
        <v>74</v>
      </c>
      <c r="E8828" t="s">
        <v>83</v>
      </c>
      <c r="F8828" s="55">
        <v>86</v>
      </c>
      <c r="G8828" s="63">
        <v>6.4999999999999997E-3</v>
      </c>
    </row>
    <row r="8829" spans="1:7" x14ac:dyDescent="0.2">
      <c r="A8829" t="s">
        <v>89</v>
      </c>
      <c r="B8829" t="s">
        <v>136</v>
      </c>
      <c r="C8829" t="s">
        <v>223</v>
      </c>
      <c r="D8829" t="s">
        <v>74</v>
      </c>
      <c r="E8829" t="s">
        <v>84</v>
      </c>
      <c r="F8829" s="55">
        <v>85</v>
      </c>
      <c r="G8829" s="63">
        <v>2.1499999999999998E-2</v>
      </c>
    </row>
    <row r="8830" spans="1:7" x14ac:dyDescent="0.2">
      <c r="A8830" t="s">
        <v>89</v>
      </c>
      <c r="B8830" t="s">
        <v>136</v>
      </c>
      <c r="C8830" t="s">
        <v>223</v>
      </c>
      <c r="D8830" t="s">
        <v>74</v>
      </c>
      <c r="E8830" t="s">
        <v>85</v>
      </c>
      <c r="F8830" s="55">
        <v>84</v>
      </c>
      <c r="G8830" s="63">
        <v>1.6E-2</v>
      </c>
    </row>
    <row r="8831" spans="1:7" x14ac:dyDescent="0.2">
      <c r="A8831" t="s">
        <v>89</v>
      </c>
      <c r="B8831" t="s">
        <v>136</v>
      </c>
      <c r="C8831" t="s">
        <v>223</v>
      </c>
      <c r="D8831" t="s">
        <v>74</v>
      </c>
      <c r="E8831" t="s">
        <v>86</v>
      </c>
      <c r="F8831" s="55">
        <v>90</v>
      </c>
      <c r="G8831" s="63">
        <v>2.0299999999999999E-2</v>
      </c>
    </row>
    <row r="8832" spans="1:7" x14ac:dyDescent="0.2">
      <c r="A8832" t="s">
        <v>89</v>
      </c>
      <c r="B8832" t="s">
        <v>136</v>
      </c>
      <c r="C8832" t="s">
        <v>223</v>
      </c>
      <c r="D8832" t="s">
        <v>74</v>
      </c>
      <c r="E8832" t="s">
        <v>87</v>
      </c>
      <c r="F8832" s="55">
        <v>82</v>
      </c>
      <c r="G8832" s="63">
        <v>2.4400000000000002E-2</v>
      </c>
    </row>
    <row r="8833" spans="1:7" x14ac:dyDescent="0.2">
      <c r="A8833" t="s">
        <v>89</v>
      </c>
      <c r="B8833" t="s">
        <v>136</v>
      </c>
      <c r="C8833" t="s">
        <v>223</v>
      </c>
      <c r="D8833" t="s">
        <v>74</v>
      </c>
      <c r="E8833" t="s">
        <v>88</v>
      </c>
      <c r="F8833" s="55">
        <v>94</v>
      </c>
      <c r="G8833" s="63">
        <v>2.0400000000000001E-2</v>
      </c>
    </row>
    <row r="8834" spans="1:7" x14ac:dyDescent="0.2">
      <c r="A8834" t="s">
        <v>71</v>
      </c>
      <c r="B8834" t="s">
        <v>137</v>
      </c>
      <c r="C8834" t="s">
        <v>223</v>
      </c>
      <c r="D8834" t="s">
        <v>74</v>
      </c>
      <c r="E8834" t="s">
        <v>75</v>
      </c>
      <c r="F8834" s="55">
        <v>107</v>
      </c>
      <c r="G8834" s="63">
        <v>9.5200000000000007E-2</v>
      </c>
    </row>
    <row r="8835" spans="1:7" x14ac:dyDescent="0.2">
      <c r="A8835" t="s">
        <v>71</v>
      </c>
      <c r="B8835" t="s">
        <v>137</v>
      </c>
      <c r="C8835" t="s">
        <v>223</v>
      </c>
      <c r="D8835" t="s">
        <v>74</v>
      </c>
      <c r="E8835" t="s">
        <v>76</v>
      </c>
      <c r="F8835" s="55">
        <v>95</v>
      </c>
      <c r="G8835" s="63">
        <v>1.1900000000000001E-2</v>
      </c>
    </row>
    <row r="8836" spans="1:7" x14ac:dyDescent="0.2">
      <c r="A8836" t="s">
        <v>71</v>
      </c>
      <c r="B8836" t="s">
        <v>137</v>
      </c>
      <c r="C8836" t="s">
        <v>223</v>
      </c>
      <c r="D8836" t="s">
        <v>74</v>
      </c>
      <c r="E8836" t="s">
        <v>77</v>
      </c>
      <c r="F8836" s="55">
        <v>112</v>
      </c>
      <c r="G8836" s="63">
        <v>3.8199999999999998E-2</v>
      </c>
    </row>
    <row r="8837" spans="1:7" x14ac:dyDescent="0.2">
      <c r="A8837" t="s">
        <v>71</v>
      </c>
      <c r="B8837" t="s">
        <v>137</v>
      </c>
      <c r="C8837" t="s">
        <v>223</v>
      </c>
      <c r="D8837" t="s">
        <v>74</v>
      </c>
      <c r="E8837" t="s">
        <v>78</v>
      </c>
      <c r="F8837" s="55">
        <v>110</v>
      </c>
      <c r="G8837" s="63">
        <v>3.4700000000000002E-2</v>
      </c>
    </row>
    <row r="8838" spans="1:7" x14ac:dyDescent="0.2">
      <c r="A8838" t="s">
        <v>71</v>
      </c>
      <c r="B8838" t="s">
        <v>137</v>
      </c>
      <c r="C8838" t="s">
        <v>223</v>
      </c>
      <c r="D8838" t="s">
        <v>74</v>
      </c>
      <c r="E8838" t="s">
        <v>79</v>
      </c>
      <c r="F8838" s="55">
        <v>109</v>
      </c>
      <c r="G8838" s="63">
        <v>5.8900000000000001E-2</v>
      </c>
    </row>
    <row r="8839" spans="1:7" x14ac:dyDescent="0.2">
      <c r="A8839" t="s">
        <v>71</v>
      </c>
      <c r="B8839" t="s">
        <v>137</v>
      </c>
      <c r="C8839" t="s">
        <v>223</v>
      </c>
      <c r="D8839" t="s">
        <v>74</v>
      </c>
      <c r="E8839" t="s">
        <v>80</v>
      </c>
      <c r="F8839" s="55">
        <v>96</v>
      </c>
      <c r="G8839" s="63">
        <v>1.52E-2</v>
      </c>
    </row>
    <row r="8840" spans="1:7" x14ac:dyDescent="0.2">
      <c r="A8840" t="s">
        <v>71</v>
      </c>
      <c r="B8840" t="s">
        <v>137</v>
      </c>
      <c r="C8840" t="s">
        <v>223</v>
      </c>
      <c r="D8840" t="s">
        <v>74</v>
      </c>
      <c r="E8840" t="s">
        <v>81</v>
      </c>
      <c r="F8840" s="55">
        <v>95</v>
      </c>
      <c r="G8840" s="63">
        <v>1.7500000000000002E-2</v>
      </c>
    </row>
    <row r="8841" spans="1:7" x14ac:dyDescent="0.2">
      <c r="A8841" t="s">
        <v>71</v>
      </c>
      <c r="B8841" t="s">
        <v>137</v>
      </c>
      <c r="C8841" t="s">
        <v>223</v>
      </c>
      <c r="D8841" t="s">
        <v>74</v>
      </c>
      <c r="E8841" t="s">
        <v>82</v>
      </c>
      <c r="F8841" s="55">
        <v>104</v>
      </c>
      <c r="G8841" s="63">
        <v>4.0300000000000002E-2</v>
      </c>
    </row>
    <row r="8842" spans="1:7" x14ac:dyDescent="0.2">
      <c r="A8842" t="s">
        <v>71</v>
      </c>
      <c r="B8842" t="s">
        <v>137</v>
      </c>
      <c r="C8842" t="s">
        <v>223</v>
      </c>
      <c r="D8842" t="s">
        <v>74</v>
      </c>
      <c r="E8842" t="s">
        <v>83</v>
      </c>
      <c r="F8842" s="55">
        <v>97</v>
      </c>
      <c r="G8842" s="63">
        <v>7.6E-3</v>
      </c>
    </row>
    <row r="8843" spans="1:7" x14ac:dyDescent="0.2">
      <c r="A8843" t="s">
        <v>71</v>
      </c>
      <c r="B8843" t="s">
        <v>137</v>
      </c>
      <c r="C8843" t="s">
        <v>223</v>
      </c>
      <c r="D8843" t="s">
        <v>74</v>
      </c>
      <c r="E8843" t="s">
        <v>84</v>
      </c>
      <c r="F8843" s="55">
        <v>110</v>
      </c>
      <c r="G8843" s="63">
        <v>2.63E-2</v>
      </c>
    </row>
    <row r="8844" spans="1:7" x14ac:dyDescent="0.2">
      <c r="A8844" t="s">
        <v>71</v>
      </c>
      <c r="B8844" t="s">
        <v>137</v>
      </c>
      <c r="C8844" t="s">
        <v>223</v>
      </c>
      <c r="D8844" t="s">
        <v>74</v>
      </c>
      <c r="E8844" t="s">
        <v>85</v>
      </c>
      <c r="F8844" s="55">
        <v>106</v>
      </c>
      <c r="G8844" s="63">
        <v>1.72E-2</v>
      </c>
    </row>
    <row r="8845" spans="1:7" x14ac:dyDescent="0.2">
      <c r="A8845" t="s">
        <v>71</v>
      </c>
      <c r="B8845" t="s">
        <v>137</v>
      </c>
      <c r="C8845" t="s">
        <v>223</v>
      </c>
      <c r="D8845" t="s">
        <v>74</v>
      </c>
      <c r="E8845" t="s">
        <v>86</v>
      </c>
      <c r="F8845" s="55">
        <v>106</v>
      </c>
      <c r="G8845" s="63">
        <v>2.47E-2</v>
      </c>
    </row>
    <row r="8846" spans="1:7" x14ac:dyDescent="0.2">
      <c r="A8846" t="s">
        <v>71</v>
      </c>
      <c r="B8846" t="s">
        <v>137</v>
      </c>
      <c r="C8846" t="s">
        <v>223</v>
      </c>
      <c r="D8846" t="s">
        <v>74</v>
      </c>
      <c r="E8846" t="s">
        <v>87</v>
      </c>
      <c r="F8846" s="55">
        <v>108</v>
      </c>
      <c r="G8846" s="63">
        <v>3.0700000000000002E-2</v>
      </c>
    </row>
    <row r="8847" spans="1:7" x14ac:dyDescent="0.2">
      <c r="A8847" t="s">
        <v>71</v>
      </c>
      <c r="B8847" t="s">
        <v>137</v>
      </c>
      <c r="C8847" t="s">
        <v>223</v>
      </c>
      <c r="D8847" t="s">
        <v>74</v>
      </c>
      <c r="E8847" t="s">
        <v>88</v>
      </c>
      <c r="F8847" s="55">
        <v>104</v>
      </c>
      <c r="G8847" s="63">
        <v>2.0400000000000001E-2</v>
      </c>
    </row>
    <row r="8848" spans="1:7" x14ac:dyDescent="0.2">
      <c r="A8848" t="s">
        <v>89</v>
      </c>
      <c r="B8848" t="s">
        <v>138</v>
      </c>
      <c r="C8848" t="s">
        <v>223</v>
      </c>
      <c r="D8848" t="s">
        <v>74</v>
      </c>
      <c r="E8848" t="s">
        <v>75</v>
      </c>
      <c r="F8848" s="55">
        <v>26</v>
      </c>
      <c r="G8848" s="63">
        <v>1.5800000000000002E-2</v>
      </c>
    </row>
    <row r="8849" spans="1:7" x14ac:dyDescent="0.2">
      <c r="A8849" t="s">
        <v>89</v>
      </c>
      <c r="B8849" t="s">
        <v>138</v>
      </c>
      <c r="C8849" t="s">
        <v>223</v>
      </c>
      <c r="D8849" t="s">
        <v>74</v>
      </c>
      <c r="E8849" t="s">
        <v>76</v>
      </c>
      <c r="F8849" s="55">
        <v>30</v>
      </c>
      <c r="G8849" s="63">
        <v>1.1999999999999999E-3</v>
      </c>
    </row>
    <row r="8850" spans="1:7" x14ac:dyDescent="0.2">
      <c r="A8850" t="s">
        <v>89</v>
      </c>
      <c r="B8850" t="s">
        <v>138</v>
      </c>
      <c r="C8850" t="s">
        <v>223</v>
      </c>
      <c r="D8850" t="s">
        <v>74</v>
      </c>
      <c r="E8850" t="s">
        <v>77</v>
      </c>
      <c r="F8850" s="55">
        <v>27</v>
      </c>
      <c r="G8850" s="63">
        <v>4.0000000000000001E-3</v>
      </c>
    </row>
    <row r="8851" spans="1:7" x14ac:dyDescent="0.2">
      <c r="A8851" t="s">
        <v>89</v>
      </c>
      <c r="B8851" t="s">
        <v>138</v>
      </c>
      <c r="C8851" t="s">
        <v>223</v>
      </c>
      <c r="D8851" t="s">
        <v>74</v>
      </c>
      <c r="E8851" t="s">
        <v>78</v>
      </c>
      <c r="F8851" s="55">
        <v>18</v>
      </c>
      <c r="G8851" s="63">
        <v>2.7000000000000001E-3</v>
      </c>
    </row>
    <row r="8852" spans="1:7" x14ac:dyDescent="0.2">
      <c r="A8852" t="s">
        <v>89</v>
      </c>
      <c r="B8852" t="s">
        <v>138</v>
      </c>
      <c r="C8852" t="s">
        <v>223</v>
      </c>
      <c r="D8852" t="s">
        <v>74</v>
      </c>
      <c r="E8852" t="s">
        <v>79</v>
      </c>
      <c r="F8852" s="55">
        <v>18</v>
      </c>
      <c r="G8852" s="63">
        <v>6.8999999999999999E-3</v>
      </c>
    </row>
    <row r="8853" spans="1:7" x14ac:dyDescent="0.2">
      <c r="A8853" t="s">
        <v>89</v>
      </c>
      <c r="B8853" t="s">
        <v>138</v>
      </c>
      <c r="C8853" t="s">
        <v>223</v>
      </c>
      <c r="D8853" t="s">
        <v>74</v>
      </c>
      <c r="E8853" t="s">
        <v>80</v>
      </c>
      <c r="F8853" s="55">
        <v>21</v>
      </c>
      <c r="G8853" s="63">
        <v>1.4E-3</v>
      </c>
    </row>
    <row r="8854" spans="1:7" x14ac:dyDescent="0.2">
      <c r="A8854" t="s">
        <v>89</v>
      </c>
      <c r="B8854" t="s">
        <v>138</v>
      </c>
      <c r="C8854" t="s">
        <v>223</v>
      </c>
      <c r="D8854" t="s">
        <v>74</v>
      </c>
      <c r="E8854" t="s">
        <v>81</v>
      </c>
      <c r="F8854" s="55">
        <v>36</v>
      </c>
      <c r="G8854" s="63">
        <v>2E-3</v>
      </c>
    </row>
    <row r="8855" spans="1:7" x14ac:dyDescent="0.2">
      <c r="A8855" t="s">
        <v>89</v>
      </c>
      <c r="B8855" t="s">
        <v>138</v>
      </c>
      <c r="C8855" t="s">
        <v>223</v>
      </c>
      <c r="D8855" t="s">
        <v>74</v>
      </c>
      <c r="E8855" t="s">
        <v>82</v>
      </c>
      <c r="F8855" s="55">
        <v>30</v>
      </c>
      <c r="G8855" s="63">
        <v>5.0000000000000001E-3</v>
      </c>
    </row>
    <row r="8856" spans="1:7" x14ac:dyDescent="0.2">
      <c r="A8856" t="s">
        <v>89</v>
      </c>
      <c r="B8856" t="s">
        <v>138</v>
      </c>
      <c r="C8856" t="s">
        <v>223</v>
      </c>
      <c r="D8856" t="s">
        <v>74</v>
      </c>
      <c r="E8856" t="s">
        <v>84</v>
      </c>
      <c r="F8856" s="55">
        <v>22</v>
      </c>
      <c r="G8856" s="63">
        <v>2.3E-3</v>
      </c>
    </row>
    <row r="8857" spans="1:7" x14ac:dyDescent="0.2">
      <c r="A8857" t="s">
        <v>89</v>
      </c>
      <c r="B8857" t="s">
        <v>138</v>
      </c>
      <c r="C8857" t="s">
        <v>223</v>
      </c>
      <c r="D8857" t="s">
        <v>74</v>
      </c>
      <c r="E8857" t="s">
        <v>85</v>
      </c>
      <c r="F8857" s="55">
        <v>14</v>
      </c>
      <c r="G8857" s="63">
        <v>1E-3</v>
      </c>
    </row>
    <row r="8858" spans="1:7" x14ac:dyDescent="0.2">
      <c r="A8858" t="s">
        <v>89</v>
      </c>
      <c r="B8858" t="s">
        <v>138</v>
      </c>
      <c r="C8858" t="s">
        <v>223</v>
      </c>
      <c r="D8858" t="s">
        <v>74</v>
      </c>
      <c r="E8858" t="s">
        <v>86</v>
      </c>
      <c r="F8858" s="55">
        <v>15</v>
      </c>
      <c r="G8858" s="63">
        <v>1.8E-3</v>
      </c>
    </row>
    <row r="8859" spans="1:7" x14ac:dyDescent="0.2">
      <c r="A8859" t="s">
        <v>89</v>
      </c>
      <c r="B8859" t="s">
        <v>138</v>
      </c>
      <c r="C8859" t="s">
        <v>223</v>
      </c>
      <c r="D8859" t="s">
        <v>74</v>
      </c>
      <c r="E8859" t="s">
        <v>87</v>
      </c>
      <c r="F8859" s="55">
        <v>16</v>
      </c>
      <c r="G8859" s="63">
        <v>2.3999999999999998E-3</v>
      </c>
    </row>
    <row r="8860" spans="1:7" x14ac:dyDescent="0.2">
      <c r="A8860" t="s">
        <v>89</v>
      </c>
      <c r="B8860" t="s">
        <v>138</v>
      </c>
      <c r="C8860" t="s">
        <v>223</v>
      </c>
      <c r="D8860" t="s">
        <v>74</v>
      </c>
      <c r="E8860" t="s">
        <v>88</v>
      </c>
      <c r="F8860" s="55">
        <v>32</v>
      </c>
      <c r="G8860" s="63">
        <v>2.3E-3</v>
      </c>
    </row>
    <row r="8861" spans="1:7" x14ac:dyDescent="0.2">
      <c r="A8861" t="s">
        <v>71</v>
      </c>
      <c r="B8861" t="s">
        <v>139</v>
      </c>
      <c r="C8861" t="s">
        <v>223</v>
      </c>
      <c r="D8861" t="s">
        <v>74</v>
      </c>
      <c r="E8861" t="s">
        <v>75</v>
      </c>
      <c r="F8861" s="55">
        <v>99</v>
      </c>
      <c r="G8861" s="63">
        <v>0.19220000000000001</v>
      </c>
    </row>
    <row r="8862" spans="1:7" x14ac:dyDescent="0.2">
      <c r="A8862" t="s">
        <v>71</v>
      </c>
      <c r="B8862" t="s">
        <v>139</v>
      </c>
      <c r="C8862" t="s">
        <v>223</v>
      </c>
      <c r="D8862" t="s">
        <v>74</v>
      </c>
      <c r="E8862" t="s">
        <v>76</v>
      </c>
      <c r="F8862" s="55">
        <v>92</v>
      </c>
      <c r="G8862" s="63">
        <v>1.43E-2</v>
      </c>
    </row>
    <row r="8863" spans="1:7" x14ac:dyDescent="0.2">
      <c r="A8863" t="s">
        <v>71</v>
      </c>
      <c r="B8863" t="s">
        <v>139</v>
      </c>
      <c r="C8863" t="s">
        <v>223</v>
      </c>
      <c r="D8863" t="s">
        <v>74</v>
      </c>
      <c r="E8863" t="s">
        <v>77</v>
      </c>
      <c r="F8863" s="55">
        <v>102</v>
      </c>
      <c r="G8863" s="63">
        <v>7.9600000000000004E-2</v>
      </c>
    </row>
    <row r="8864" spans="1:7" x14ac:dyDescent="0.2">
      <c r="A8864" t="s">
        <v>71</v>
      </c>
      <c r="B8864" t="s">
        <v>139</v>
      </c>
      <c r="C8864" t="s">
        <v>223</v>
      </c>
      <c r="D8864" t="s">
        <v>74</v>
      </c>
      <c r="E8864" t="s">
        <v>78</v>
      </c>
      <c r="F8864" s="55">
        <v>106</v>
      </c>
      <c r="G8864" s="63">
        <v>8.8800000000000004E-2</v>
      </c>
    </row>
    <row r="8865" spans="1:7" x14ac:dyDescent="0.2">
      <c r="A8865" t="s">
        <v>71</v>
      </c>
      <c r="B8865" t="s">
        <v>139</v>
      </c>
      <c r="C8865" t="s">
        <v>223</v>
      </c>
      <c r="D8865" t="s">
        <v>74</v>
      </c>
      <c r="E8865" t="s">
        <v>79</v>
      </c>
      <c r="F8865" s="55">
        <v>94</v>
      </c>
      <c r="G8865" s="63">
        <v>0.1353</v>
      </c>
    </row>
    <row r="8866" spans="1:7" x14ac:dyDescent="0.2">
      <c r="A8866" t="s">
        <v>71</v>
      </c>
      <c r="B8866" t="s">
        <v>139</v>
      </c>
      <c r="C8866" t="s">
        <v>223</v>
      </c>
      <c r="D8866" t="s">
        <v>74</v>
      </c>
      <c r="E8866" t="s">
        <v>80</v>
      </c>
      <c r="F8866" s="55">
        <v>90</v>
      </c>
      <c r="G8866" s="63">
        <v>7.1300000000000002E-2</v>
      </c>
    </row>
    <row r="8867" spans="1:7" x14ac:dyDescent="0.2">
      <c r="A8867" t="s">
        <v>71</v>
      </c>
      <c r="B8867" t="s">
        <v>139</v>
      </c>
      <c r="C8867" t="s">
        <v>223</v>
      </c>
      <c r="D8867" t="s">
        <v>74</v>
      </c>
      <c r="E8867" t="s">
        <v>81</v>
      </c>
      <c r="F8867" s="55">
        <v>89</v>
      </c>
      <c r="G8867" s="63">
        <v>6.1400000000000003E-2</v>
      </c>
    </row>
    <row r="8868" spans="1:7" x14ac:dyDescent="0.2">
      <c r="A8868" t="s">
        <v>71</v>
      </c>
      <c r="B8868" t="s">
        <v>139</v>
      </c>
      <c r="C8868" t="s">
        <v>223</v>
      </c>
      <c r="D8868" t="s">
        <v>74</v>
      </c>
      <c r="E8868" t="s">
        <v>82</v>
      </c>
      <c r="F8868" s="55">
        <v>101</v>
      </c>
      <c r="G8868" s="63">
        <v>0.12889999999999999</v>
      </c>
    </row>
    <row r="8869" spans="1:7" x14ac:dyDescent="0.2">
      <c r="A8869" t="s">
        <v>71</v>
      </c>
      <c r="B8869" t="s">
        <v>139</v>
      </c>
      <c r="C8869" t="s">
        <v>223</v>
      </c>
      <c r="D8869" t="s">
        <v>74</v>
      </c>
      <c r="E8869" t="s">
        <v>83</v>
      </c>
      <c r="F8869" s="55">
        <v>89</v>
      </c>
      <c r="G8869" s="63">
        <v>1.52E-2</v>
      </c>
    </row>
    <row r="8870" spans="1:7" x14ac:dyDescent="0.2">
      <c r="A8870" t="s">
        <v>71</v>
      </c>
      <c r="B8870" t="s">
        <v>139</v>
      </c>
      <c r="C8870" t="s">
        <v>223</v>
      </c>
      <c r="D8870" t="s">
        <v>74</v>
      </c>
      <c r="E8870" t="s">
        <v>84</v>
      </c>
      <c r="F8870" s="55">
        <v>106</v>
      </c>
      <c r="G8870" s="63">
        <v>7.7600000000000002E-2</v>
      </c>
    </row>
    <row r="8871" spans="1:7" x14ac:dyDescent="0.2">
      <c r="A8871" t="s">
        <v>71</v>
      </c>
      <c r="B8871" t="s">
        <v>139</v>
      </c>
      <c r="C8871" t="s">
        <v>223</v>
      </c>
      <c r="D8871" t="s">
        <v>74</v>
      </c>
      <c r="E8871" t="s">
        <v>85</v>
      </c>
      <c r="F8871" s="55">
        <v>91</v>
      </c>
      <c r="G8871" s="63">
        <v>7.0999999999999994E-2</v>
      </c>
    </row>
    <row r="8872" spans="1:7" x14ac:dyDescent="0.2">
      <c r="A8872" t="s">
        <v>71</v>
      </c>
      <c r="B8872" t="s">
        <v>139</v>
      </c>
      <c r="C8872" t="s">
        <v>223</v>
      </c>
      <c r="D8872" t="s">
        <v>74</v>
      </c>
      <c r="E8872" t="s">
        <v>86</v>
      </c>
      <c r="F8872" s="55">
        <v>90</v>
      </c>
      <c r="G8872" s="63">
        <v>7.5600000000000001E-2</v>
      </c>
    </row>
    <row r="8873" spans="1:7" x14ac:dyDescent="0.2">
      <c r="A8873" t="s">
        <v>71</v>
      </c>
      <c r="B8873" t="s">
        <v>139</v>
      </c>
      <c r="C8873" t="s">
        <v>223</v>
      </c>
      <c r="D8873" t="s">
        <v>74</v>
      </c>
      <c r="E8873" t="s">
        <v>87</v>
      </c>
      <c r="F8873" s="55">
        <v>93</v>
      </c>
      <c r="G8873" s="63">
        <v>7.5300000000000006E-2</v>
      </c>
    </row>
    <row r="8874" spans="1:7" x14ac:dyDescent="0.2">
      <c r="A8874" t="s">
        <v>71</v>
      </c>
      <c r="B8874" t="s">
        <v>139</v>
      </c>
      <c r="C8874" t="s">
        <v>223</v>
      </c>
      <c r="D8874" t="s">
        <v>74</v>
      </c>
      <c r="E8874" t="s">
        <v>88</v>
      </c>
      <c r="F8874" s="55">
        <v>91</v>
      </c>
      <c r="G8874" s="63">
        <v>2.4799999999999999E-2</v>
      </c>
    </row>
    <row r="8875" spans="1:7" x14ac:dyDescent="0.2">
      <c r="A8875" t="s">
        <v>89</v>
      </c>
      <c r="B8875" t="s">
        <v>141</v>
      </c>
      <c r="C8875" t="s">
        <v>223</v>
      </c>
      <c r="D8875" t="s">
        <v>74</v>
      </c>
      <c r="E8875" t="s">
        <v>75</v>
      </c>
      <c r="F8875" s="55">
        <v>108</v>
      </c>
      <c r="G8875" s="63">
        <v>0.16450000000000001</v>
      </c>
    </row>
    <row r="8876" spans="1:7" x14ac:dyDescent="0.2">
      <c r="A8876" t="s">
        <v>89</v>
      </c>
      <c r="B8876" t="s">
        <v>141</v>
      </c>
      <c r="C8876" t="s">
        <v>223</v>
      </c>
      <c r="D8876" t="s">
        <v>74</v>
      </c>
      <c r="E8876" t="s">
        <v>76</v>
      </c>
      <c r="F8876" s="55">
        <v>98</v>
      </c>
      <c r="G8876" s="63">
        <v>1.67E-2</v>
      </c>
    </row>
    <row r="8877" spans="1:7" x14ac:dyDescent="0.2">
      <c r="A8877" t="s">
        <v>89</v>
      </c>
      <c r="B8877" t="s">
        <v>141</v>
      </c>
      <c r="C8877" t="s">
        <v>223</v>
      </c>
      <c r="D8877" t="s">
        <v>74</v>
      </c>
      <c r="E8877" t="s">
        <v>77</v>
      </c>
      <c r="F8877" s="55">
        <v>112</v>
      </c>
      <c r="G8877" s="63">
        <v>5.8099999999999999E-2</v>
      </c>
    </row>
    <row r="8878" spans="1:7" x14ac:dyDescent="0.2">
      <c r="A8878" t="s">
        <v>89</v>
      </c>
      <c r="B8878" t="s">
        <v>141</v>
      </c>
      <c r="C8878" t="s">
        <v>223</v>
      </c>
      <c r="D8878" t="s">
        <v>74</v>
      </c>
      <c r="E8878" t="s">
        <v>78</v>
      </c>
      <c r="F8878" s="55">
        <v>111</v>
      </c>
      <c r="G8878" s="63">
        <v>5.6800000000000003E-2</v>
      </c>
    </row>
    <row r="8879" spans="1:7" x14ac:dyDescent="0.2">
      <c r="A8879" t="s">
        <v>89</v>
      </c>
      <c r="B8879" t="s">
        <v>141</v>
      </c>
      <c r="C8879" t="s">
        <v>223</v>
      </c>
      <c r="D8879" t="s">
        <v>74</v>
      </c>
      <c r="E8879" t="s">
        <v>79</v>
      </c>
      <c r="F8879" s="55">
        <v>109</v>
      </c>
      <c r="G8879" s="63">
        <v>0.1066</v>
      </c>
    </row>
    <row r="8880" spans="1:7" x14ac:dyDescent="0.2">
      <c r="A8880" t="s">
        <v>89</v>
      </c>
      <c r="B8880" t="s">
        <v>141</v>
      </c>
      <c r="C8880" t="s">
        <v>223</v>
      </c>
      <c r="D8880" t="s">
        <v>74</v>
      </c>
      <c r="E8880" t="s">
        <v>80</v>
      </c>
      <c r="F8880" s="55">
        <v>103</v>
      </c>
      <c r="G8880" s="63">
        <v>7.2599999999999998E-2</v>
      </c>
    </row>
    <row r="8881" spans="1:7" x14ac:dyDescent="0.2">
      <c r="A8881" t="s">
        <v>89</v>
      </c>
      <c r="B8881" t="s">
        <v>141</v>
      </c>
      <c r="C8881" t="s">
        <v>223</v>
      </c>
      <c r="D8881" t="s">
        <v>74</v>
      </c>
      <c r="E8881" t="s">
        <v>81</v>
      </c>
      <c r="F8881" s="55">
        <v>104</v>
      </c>
      <c r="G8881" s="63">
        <v>7.1199999999999999E-2</v>
      </c>
    </row>
    <row r="8882" spans="1:7" x14ac:dyDescent="0.2">
      <c r="A8882" t="s">
        <v>89</v>
      </c>
      <c r="B8882" t="s">
        <v>141</v>
      </c>
      <c r="C8882" t="s">
        <v>223</v>
      </c>
      <c r="D8882" t="s">
        <v>74</v>
      </c>
      <c r="E8882" t="s">
        <v>82</v>
      </c>
      <c r="F8882" s="55">
        <v>110</v>
      </c>
      <c r="G8882" s="63">
        <v>7.0999999999999994E-2</v>
      </c>
    </row>
    <row r="8883" spans="1:7" x14ac:dyDescent="0.2">
      <c r="A8883" t="s">
        <v>89</v>
      </c>
      <c r="B8883" t="s">
        <v>141</v>
      </c>
      <c r="C8883" t="s">
        <v>223</v>
      </c>
      <c r="D8883" t="s">
        <v>74</v>
      </c>
      <c r="E8883" t="s">
        <v>83</v>
      </c>
      <c r="F8883" s="55">
        <v>105</v>
      </c>
      <c r="G8883" s="63">
        <v>2.3699999999999999E-2</v>
      </c>
    </row>
    <row r="8884" spans="1:7" x14ac:dyDescent="0.2">
      <c r="A8884" t="s">
        <v>89</v>
      </c>
      <c r="B8884" t="s">
        <v>141</v>
      </c>
      <c r="C8884" t="s">
        <v>223</v>
      </c>
      <c r="D8884" t="s">
        <v>74</v>
      </c>
      <c r="E8884" t="s">
        <v>84</v>
      </c>
      <c r="F8884" s="55">
        <v>111</v>
      </c>
      <c r="G8884" s="63">
        <v>4.7100000000000003E-2</v>
      </c>
    </row>
    <row r="8885" spans="1:7" x14ac:dyDescent="0.2">
      <c r="A8885" t="s">
        <v>89</v>
      </c>
      <c r="B8885" t="s">
        <v>141</v>
      </c>
      <c r="C8885" t="s">
        <v>223</v>
      </c>
      <c r="D8885" t="s">
        <v>74</v>
      </c>
      <c r="E8885" t="s">
        <v>85</v>
      </c>
      <c r="F8885" s="55">
        <v>102</v>
      </c>
      <c r="G8885" s="63">
        <v>6.2100000000000002E-2</v>
      </c>
    </row>
    <row r="8886" spans="1:7" x14ac:dyDescent="0.2">
      <c r="A8886" t="s">
        <v>89</v>
      </c>
      <c r="B8886" t="s">
        <v>141</v>
      </c>
      <c r="C8886" t="s">
        <v>223</v>
      </c>
      <c r="D8886" t="s">
        <v>74</v>
      </c>
      <c r="E8886" t="s">
        <v>86</v>
      </c>
      <c r="F8886" s="55">
        <v>107</v>
      </c>
      <c r="G8886" s="63">
        <v>6.0499999999999998E-2</v>
      </c>
    </row>
    <row r="8887" spans="1:7" x14ac:dyDescent="0.2">
      <c r="A8887" t="s">
        <v>89</v>
      </c>
      <c r="B8887" t="s">
        <v>141</v>
      </c>
      <c r="C8887" t="s">
        <v>223</v>
      </c>
      <c r="D8887" t="s">
        <v>74</v>
      </c>
      <c r="E8887" t="s">
        <v>87</v>
      </c>
      <c r="F8887" s="55">
        <v>111</v>
      </c>
      <c r="G8887" s="63">
        <v>5.7000000000000002E-2</v>
      </c>
    </row>
    <row r="8888" spans="1:7" x14ac:dyDescent="0.2">
      <c r="A8888" t="s">
        <v>89</v>
      </c>
      <c r="B8888" t="s">
        <v>141</v>
      </c>
      <c r="C8888" t="s">
        <v>223</v>
      </c>
      <c r="D8888" t="s">
        <v>74</v>
      </c>
      <c r="E8888" t="s">
        <v>88</v>
      </c>
      <c r="F8888" s="55">
        <v>101</v>
      </c>
      <c r="G8888" s="63">
        <v>2.7400000000000001E-2</v>
      </c>
    </row>
    <row r="8889" spans="1:7" x14ac:dyDescent="0.2">
      <c r="A8889" t="s">
        <v>71</v>
      </c>
      <c r="B8889" t="s">
        <v>13</v>
      </c>
      <c r="C8889" t="s">
        <v>223</v>
      </c>
      <c r="D8889" t="s">
        <v>74</v>
      </c>
      <c r="E8889" t="s">
        <v>75</v>
      </c>
      <c r="F8889" s="55">
        <v>107</v>
      </c>
      <c r="G8889" s="63">
        <v>0.28660000000000002</v>
      </c>
    </row>
    <row r="8890" spans="1:7" x14ac:dyDescent="0.2">
      <c r="A8890" t="s">
        <v>71</v>
      </c>
      <c r="B8890" t="s">
        <v>13</v>
      </c>
      <c r="C8890" t="s">
        <v>223</v>
      </c>
      <c r="D8890" t="s">
        <v>74</v>
      </c>
      <c r="E8890" t="s">
        <v>76</v>
      </c>
      <c r="F8890" s="55">
        <v>93</v>
      </c>
      <c r="G8890" s="63">
        <v>5.0599999999999999E-2</v>
      </c>
    </row>
    <row r="8891" spans="1:7" x14ac:dyDescent="0.2">
      <c r="A8891" t="s">
        <v>71</v>
      </c>
      <c r="B8891" t="s">
        <v>13</v>
      </c>
      <c r="C8891" t="s">
        <v>223</v>
      </c>
      <c r="D8891" t="s">
        <v>74</v>
      </c>
      <c r="E8891" t="s">
        <v>77</v>
      </c>
      <c r="F8891" s="55">
        <v>105</v>
      </c>
      <c r="G8891" s="63">
        <v>0.14230000000000001</v>
      </c>
    </row>
    <row r="8892" spans="1:7" x14ac:dyDescent="0.2">
      <c r="A8892" t="s">
        <v>71</v>
      </c>
      <c r="B8892" t="s">
        <v>13</v>
      </c>
      <c r="C8892" t="s">
        <v>223</v>
      </c>
      <c r="D8892" t="s">
        <v>74</v>
      </c>
      <c r="E8892" t="s">
        <v>78</v>
      </c>
      <c r="F8892" s="55">
        <v>108</v>
      </c>
      <c r="G8892" s="63">
        <v>0.13980000000000001</v>
      </c>
    </row>
    <row r="8893" spans="1:7" x14ac:dyDescent="0.2">
      <c r="A8893" t="s">
        <v>71</v>
      </c>
      <c r="B8893" t="s">
        <v>13</v>
      </c>
      <c r="C8893" t="s">
        <v>223</v>
      </c>
      <c r="D8893" t="s">
        <v>74</v>
      </c>
      <c r="E8893" t="s">
        <v>79</v>
      </c>
      <c r="F8893" s="55">
        <v>113</v>
      </c>
      <c r="G8893" s="63">
        <v>0.21820000000000001</v>
      </c>
    </row>
    <row r="8894" spans="1:7" x14ac:dyDescent="0.2">
      <c r="A8894" t="s">
        <v>71</v>
      </c>
      <c r="B8894" t="s">
        <v>13</v>
      </c>
      <c r="C8894" t="s">
        <v>223</v>
      </c>
      <c r="D8894" t="s">
        <v>74</v>
      </c>
      <c r="E8894" t="s">
        <v>80</v>
      </c>
      <c r="F8894" s="55">
        <v>100</v>
      </c>
      <c r="G8894" s="63">
        <v>6.3500000000000001E-2</v>
      </c>
    </row>
    <row r="8895" spans="1:7" x14ac:dyDescent="0.2">
      <c r="A8895" t="s">
        <v>71</v>
      </c>
      <c r="B8895" t="s">
        <v>13</v>
      </c>
      <c r="C8895" t="s">
        <v>223</v>
      </c>
      <c r="D8895" t="s">
        <v>74</v>
      </c>
      <c r="E8895" t="s">
        <v>81</v>
      </c>
      <c r="F8895" s="55">
        <v>96</v>
      </c>
      <c r="G8895" s="63">
        <v>7.0300000000000001E-2</v>
      </c>
    </row>
    <row r="8896" spans="1:7" x14ac:dyDescent="0.2">
      <c r="A8896" t="s">
        <v>71</v>
      </c>
      <c r="B8896" t="s">
        <v>13</v>
      </c>
      <c r="C8896" t="s">
        <v>223</v>
      </c>
      <c r="D8896" t="s">
        <v>74</v>
      </c>
      <c r="E8896" t="s">
        <v>82</v>
      </c>
      <c r="F8896" s="55">
        <v>106</v>
      </c>
      <c r="G8896" s="63">
        <v>0.18129999999999999</v>
      </c>
    </row>
    <row r="8897" spans="1:7" x14ac:dyDescent="0.2">
      <c r="A8897" t="s">
        <v>71</v>
      </c>
      <c r="B8897" t="s">
        <v>13</v>
      </c>
      <c r="C8897" t="s">
        <v>223</v>
      </c>
      <c r="D8897" t="s">
        <v>74</v>
      </c>
      <c r="E8897" t="s">
        <v>83</v>
      </c>
      <c r="F8897" s="55">
        <v>94</v>
      </c>
      <c r="G8897" s="63">
        <v>3.7199999999999997E-2</v>
      </c>
    </row>
    <row r="8898" spans="1:7" x14ac:dyDescent="0.2">
      <c r="A8898" t="s">
        <v>71</v>
      </c>
      <c r="B8898" t="s">
        <v>13</v>
      </c>
      <c r="C8898" t="s">
        <v>223</v>
      </c>
      <c r="D8898" t="s">
        <v>74</v>
      </c>
      <c r="E8898" t="s">
        <v>84</v>
      </c>
      <c r="F8898" s="55">
        <v>108</v>
      </c>
      <c r="G8898" s="63">
        <v>0.1134</v>
      </c>
    </row>
    <row r="8899" spans="1:7" x14ac:dyDescent="0.2">
      <c r="A8899" t="s">
        <v>71</v>
      </c>
      <c r="B8899" t="s">
        <v>13</v>
      </c>
      <c r="C8899" t="s">
        <v>223</v>
      </c>
      <c r="D8899" t="s">
        <v>74</v>
      </c>
      <c r="E8899" t="s">
        <v>85</v>
      </c>
      <c r="F8899" s="55">
        <v>107</v>
      </c>
      <c r="G8899" s="63">
        <v>8.8200000000000001E-2</v>
      </c>
    </row>
    <row r="8900" spans="1:7" x14ac:dyDescent="0.2">
      <c r="A8900" t="s">
        <v>71</v>
      </c>
      <c r="B8900" t="s">
        <v>13</v>
      </c>
      <c r="C8900" t="s">
        <v>223</v>
      </c>
      <c r="D8900" t="s">
        <v>74</v>
      </c>
      <c r="E8900" t="s">
        <v>86</v>
      </c>
      <c r="F8900" s="55">
        <v>109</v>
      </c>
      <c r="G8900" s="63">
        <v>0.1326</v>
      </c>
    </row>
    <row r="8901" spans="1:7" x14ac:dyDescent="0.2">
      <c r="A8901" t="s">
        <v>71</v>
      </c>
      <c r="B8901" t="s">
        <v>13</v>
      </c>
      <c r="C8901" t="s">
        <v>223</v>
      </c>
      <c r="D8901" t="s">
        <v>74</v>
      </c>
      <c r="E8901" t="s">
        <v>87</v>
      </c>
      <c r="F8901" s="55">
        <v>115</v>
      </c>
      <c r="G8901" s="63">
        <v>0.1489</v>
      </c>
    </row>
    <row r="8902" spans="1:7" x14ac:dyDescent="0.2">
      <c r="A8902" t="s">
        <v>71</v>
      </c>
      <c r="B8902" t="s">
        <v>13</v>
      </c>
      <c r="C8902" t="s">
        <v>223</v>
      </c>
      <c r="D8902" t="s">
        <v>74</v>
      </c>
      <c r="E8902" t="s">
        <v>88</v>
      </c>
      <c r="F8902" s="55">
        <v>95</v>
      </c>
      <c r="G8902" s="63">
        <v>8.5199999999999998E-2</v>
      </c>
    </row>
    <row r="8903" spans="1:7" x14ac:dyDescent="0.2">
      <c r="A8903" t="s">
        <v>89</v>
      </c>
      <c r="B8903" t="s">
        <v>143</v>
      </c>
      <c r="C8903" t="s">
        <v>223</v>
      </c>
      <c r="D8903" t="s">
        <v>74</v>
      </c>
      <c r="E8903" t="s">
        <v>75</v>
      </c>
      <c r="F8903" s="55">
        <v>118</v>
      </c>
      <c r="G8903" s="63">
        <v>0.1938</v>
      </c>
    </row>
    <row r="8904" spans="1:7" x14ac:dyDescent="0.2">
      <c r="A8904" t="s">
        <v>89</v>
      </c>
      <c r="B8904" t="s">
        <v>143</v>
      </c>
      <c r="C8904" t="s">
        <v>223</v>
      </c>
      <c r="D8904" t="s">
        <v>74</v>
      </c>
      <c r="E8904" t="s">
        <v>76</v>
      </c>
      <c r="F8904" s="55">
        <v>101</v>
      </c>
      <c r="G8904" s="63">
        <v>3.2599999999999997E-2</v>
      </c>
    </row>
    <row r="8905" spans="1:7" x14ac:dyDescent="0.2">
      <c r="A8905" t="s">
        <v>89</v>
      </c>
      <c r="B8905" t="s">
        <v>143</v>
      </c>
      <c r="C8905" t="s">
        <v>223</v>
      </c>
      <c r="D8905" t="s">
        <v>74</v>
      </c>
      <c r="E8905" t="s">
        <v>77</v>
      </c>
      <c r="F8905" s="55">
        <v>118</v>
      </c>
      <c r="G8905" s="63">
        <v>8.5400000000000004E-2</v>
      </c>
    </row>
    <row r="8906" spans="1:7" x14ac:dyDescent="0.2">
      <c r="A8906" t="s">
        <v>89</v>
      </c>
      <c r="B8906" t="s">
        <v>143</v>
      </c>
      <c r="C8906" t="s">
        <v>223</v>
      </c>
      <c r="D8906" t="s">
        <v>74</v>
      </c>
      <c r="E8906" t="s">
        <v>78</v>
      </c>
      <c r="F8906" s="55">
        <v>118</v>
      </c>
      <c r="G8906" s="63">
        <v>8.43E-2</v>
      </c>
    </row>
    <row r="8907" spans="1:7" x14ac:dyDescent="0.2">
      <c r="A8907" t="s">
        <v>89</v>
      </c>
      <c r="B8907" t="s">
        <v>143</v>
      </c>
      <c r="C8907" t="s">
        <v>223</v>
      </c>
      <c r="D8907" t="s">
        <v>74</v>
      </c>
      <c r="E8907" t="s">
        <v>79</v>
      </c>
      <c r="F8907" s="55">
        <v>122</v>
      </c>
      <c r="G8907" s="63">
        <v>0.1361</v>
      </c>
    </row>
    <row r="8908" spans="1:7" x14ac:dyDescent="0.2">
      <c r="A8908" t="s">
        <v>89</v>
      </c>
      <c r="B8908" t="s">
        <v>143</v>
      </c>
      <c r="C8908" t="s">
        <v>223</v>
      </c>
      <c r="D8908" t="s">
        <v>74</v>
      </c>
      <c r="E8908" t="s">
        <v>80</v>
      </c>
      <c r="F8908" s="55">
        <v>118</v>
      </c>
      <c r="G8908" s="63">
        <v>3.9899999999999998E-2</v>
      </c>
    </row>
    <row r="8909" spans="1:7" x14ac:dyDescent="0.2">
      <c r="A8909" t="s">
        <v>89</v>
      </c>
      <c r="B8909" t="s">
        <v>143</v>
      </c>
      <c r="C8909" t="s">
        <v>223</v>
      </c>
      <c r="D8909" t="s">
        <v>74</v>
      </c>
      <c r="E8909" t="s">
        <v>81</v>
      </c>
      <c r="F8909" s="55">
        <v>111</v>
      </c>
      <c r="G8909" s="63">
        <v>4.4999999999999998E-2</v>
      </c>
    </row>
    <row r="8910" spans="1:7" x14ac:dyDescent="0.2">
      <c r="A8910" t="s">
        <v>89</v>
      </c>
      <c r="B8910" t="s">
        <v>143</v>
      </c>
      <c r="C8910" t="s">
        <v>223</v>
      </c>
      <c r="D8910" t="s">
        <v>74</v>
      </c>
      <c r="E8910" t="s">
        <v>82</v>
      </c>
      <c r="F8910" s="55">
        <v>118</v>
      </c>
      <c r="G8910" s="63">
        <v>0.1106</v>
      </c>
    </row>
    <row r="8911" spans="1:7" x14ac:dyDescent="0.2">
      <c r="A8911" t="s">
        <v>89</v>
      </c>
      <c r="B8911" t="s">
        <v>143</v>
      </c>
      <c r="C8911" t="s">
        <v>223</v>
      </c>
      <c r="D8911" t="s">
        <v>74</v>
      </c>
      <c r="E8911" t="s">
        <v>83</v>
      </c>
      <c r="F8911" s="55">
        <v>108</v>
      </c>
      <c r="G8911" s="63">
        <v>2.3699999999999999E-2</v>
      </c>
    </row>
    <row r="8912" spans="1:7" x14ac:dyDescent="0.2">
      <c r="A8912" t="s">
        <v>89</v>
      </c>
      <c r="B8912" t="s">
        <v>143</v>
      </c>
      <c r="C8912" t="s">
        <v>223</v>
      </c>
      <c r="D8912" t="s">
        <v>74</v>
      </c>
      <c r="E8912" t="s">
        <v>84</v>
      </c>
      <c r="F8912" s="55">
        <v>116</v>
      </c>
      <c r="G8912" s="63">
        <v>6.3200000000000006E-2</v>
      </c>
    </row>
    <row r="8913" spans="1:7" x14ac:dyDescent="0.2">
      <c r="A8913" t="s">
        <v>89</v>
      </c>
      <c r="B8913" t="s">
        <v>143</v>
      </c>
      <c r="C8913" t="s">
        <v>223</v>
      </c>
      <c r="D8913" t="s">
        <v>74</v>
      </c>
      <c r="E8913" t="s">
        <v>85</v>
      </c>
      <c r="F8913" s="55">
        <v>119</v>
      </c>
      <c r="G8913" s="63">
        <v>4.7300000000000002E-2</v>
      </c>
    </row>
    <row r="8914" spans="1:7" x14ac:dyDescent="0.2">
      <c r="A8914" t="s">
        <v>89</v>
      </c>
      <c r="B8914" t="s">
        <v>143</v>
      </c>
      <c r="C8914" t="s">
        <v>223</v>
      </c>
      <c r="D8914" t="s">
        <v>74</v>
      </c>
      <c r="E8914" t="s">
        <v>86</v>
      </c>
      <c r="F8914" s="55">
        <v>120</v>
      </c>
      <c r="G8914" s="63">
        <v>7.2400000000000006E-2</v>
      </c>
    </row>
    <row r="8915" spans="1:7" x14ac:dyDescent="0.2">
      <c r="A8915" t="s">
        <v>89</v>
      </c>
      <c r="B8915" t="s">
        <v>143</v>
      </c>
      <c r="C8915" t="s">
        <v>223</v>
      </c>
      <c r="D8915" t="s">
        <v>74</v>
      </c>
      <c r="E8915" t="s">
        <v>87</v>
      </c>
      <c r="F8915" s="55">
        <v>124</v>
      </c>
      <c r="G8915" s="63">
        <v>8.2799999999999999E-2</v>
      </c>
    </row>
    <row r="8916" spans="1:7" x14ac:dyDescent="0.2">
      <c r="A8916" t="s">
        <v>89</v>
      </c>
      <c r="B8916" t="s">
        <v>143</v>
      </c>
      <c r="C8916" t="s">
        <v>223</v>
      </c>
      <c r="D8916" t="s">
        <v>74</v>
      </c>
      <c r="E8916" t="s">
        <v>88</v>
      </c>
      <c r="F8916" s="55">
        <v>104</v>
      </c>
      <c r="G8916" s="63">
        <v>5.0200000000000002E-2</v>
      </c>
    </row>
    <row r="8917" spans="1:7" x14ac:dyDescent="0.2">
      <c r="A8917" t="s">
        <v>71</v>
      </c>
      <c r="B8917" t="s">
        <v>144</v>
      </c>
      <c r="C8917" t="s">
        <v>223</v>
      </c>
      <c r="D8917" t="s">
        <v>74</v>
      </c>
      <c r="E8917" t="s">
        <v>75</v>
      </c>
      <c r="F8917" s="55">
        <v>99</v>
      </c>
      <c r="G8917" s="63">
        <v>0.14699999999999999</v>
      </c>
    </row>
    <row r="8918" spans="1:7" x14ac:dyDescent="0.2">
      <c r="A8918" t="s">
        <v>71</v>
      </c>
      <c r="B8918" t="s">
        <v>144</v>
      </c>
      <c r="C8918" t="s">
        <v>223</v>
      </c>
      <c r="D8918" t="s">
        <v>74</v>
      </c>
      <c r="E8918" t="s">
        <v>76</v>
      </c>
      <c r="F8918" s="55">
        <v>89</v>
      </c>
      <c r="G8918" s="63">
        <v>1.5900000000000001E-2</v>
      </c>
    </row>
    <row r="8919" spans="1:7" x14ac:dyDescent="0.2">
      <c r="A8919" t="s">
        <v>71</v>
      </c>
      <c r="B8919" t="s">
        <v>144</v>
      </c>
      <c r="C8919" t="s">
        <v>223</v>
      </c>
      <c r="D8919" t="s">
        <v>74</v>
      </c>
      <c r="E8919" t="s">
        <v>77</v>
      </c>
      <c r="F8919" s="55">
        <v>90</v>
      </c>
      <c r="G8919" s="63">
        <v>4.7100000000000003E-2</v>
      </c>
    </row>
    <row r="8920" spans="1:7" x14ac:dyDescent="0.2">
      <c r="A8920" t="s">
        <v>71</v>
      </c>
      <c r="B8920" t="s">
        <v>144</v>
      </c>
      <c r="C8920" t="s">
        <v>223</v>
      </c>
      <c r="D8920" t="s">
        <v>74</v>
      </c>
      <c r="E8920" t="s">
        <v>78</v>
      </c>
      <c r="F8920" s="55">
        <v>101</v>
      </c>
      <c r="G8920" s="63">
        <v>4.0300000000000002E-2</v>
      </c>
    </row>
    <row r="8921" spans="1:7" x14ac:dyDescent="0.2">
      <c r="A8921" t="s">
        <v>71</v>
      </c>
      <c r="B8921" t="s">
        <v>144</v>
      </c>
      <c r="C8921" t="s">
        <v>223</v>
      </c>
      <c r="D8921" t="s">
        <v>74</v>
      </c>
      <c r="E8921" t="s">
        <v>79</v>
      </c>
      <c r="F8921" s="55">
        <v>102</v>
      </c>
      <c r="G8921" s="63">
        <v>8.7300000000000003E-2</v>
      </c>
    </row>
    <row r="8922" spans="1:7" x14ac:dyDescent="0.2">
      <c r="A8922" t="s">
        <v>71</v>
      </c>
      <c r="B8922" t="s">
        <v>144</v>
      </c>
      <c r="C8922" t="s">
        <v>223</v>
      </c>
      <c r="D8922" t="s">
        <v>74</v>
      </c>
      <c r="E8922" t="s">
        <v>80</v>
      </c>
      <c r="F8922" s="55">
        <v>104</v>
      </c>
      <c r="G8922" s="63">
        <v>5.2299999999999999E-2</v>
      </c>
    </row>
    <row r="8923" spans="1:7" x14ac:dyDescent="0.2">
      <c r="A8923" t="s">
        <v>71</v>
      </c>
      <c r="B8923" t="s">
        <v>144</v>
      </c>
      <c r="C8923" t="s">
        <v>223</v>
      </c>
      <c r="D8923" t="s">
        <v>74</v>
      </c>
      <c r="E8923" t="s">
        <v>81</v>
      </c>
      <c r="F8923" s="55">
        <v>99</v>
      </c>
      <c r="G8923" s="63">
        <v>5.2600000000000001E-2</v>
      </c>
    </row>
    <row r="8924" spans="1:7" x14ac:dyDescent="0.2">
      <c r="A8924" t="s">
        <v>71</v>
      </c>
      <c r="B8924" t="s">
        <v>144</v>
      </c>
      <c r="C8924" t="s">
        <v>223</v>
      </c>
      <c r="D8924" t="s">
        <v>74</v>
      </c>
      <c r="E8924" t="s">
        <v>82</v>
      </c>
      <c r="F8924" s="55">
        <v>97</v>
      </c>
      <c r="G8924" s="63">
        <v>5.8700000000000002E-2</v>
      </c>
    </row>
    <row r="8925" spans="1:7" x14ac:dyDescent="0.2">
      <c r="A8925" t="s">
        <v>71</v>
      </c>
      <c r="B8925" t="s">
        <v>144</v>
      </c>
      <c r="C8925" t="s">
        <v>223</v>
      </c>
      <c r="D8925" t="s">
        <v>74</v>
      </c>
      <c r="E8925" t="s">
        <v>83</v>
      </c>
      <c r="F8925" s="55">
        <v>98</v>
      </c>
      <c r="G8925" s="63">
        <v>1.7600000000000001E-2</v>
      </c>
    </row>
    <row r="8926" spans="1:7" x14ac:dyDescent="0.2">
      <c r="A8926" t="s">
        <v>71</v>
      </c>
      <c r="B8926" t="s">
        <v>144</v>
      </c>
      <c r="C8926" t="s">
        <v>223</v>
      </c>
      <c r="D8926" t="s">
        <v>74</v>
      </c>
      <c r="E8926" t="s">
        <v>84</v>
      </c>
      <c r="F8926" s="55">
        <v>103</v>
      </c>
      <c r="G8926" s="63">
        <v>3.1699999999999999E-2</v>
      </c>
    </row>
    <row r="8927" spans="1:7" x14ac:dyDescent="0.2">
      <c r="A8927" t="s">
        <v>71</v>
      </c>
      <c r="B8927" t="s">
        <v>144</v>
      </c>
      <c r="C8927" t="s">
        <v>223</v>
      </c>
      <c r="D8927" t="s">
        <v>74</v>
      </c>
      <c r="E8927" t="s">
        <v>85</v>
      </c>
      <c r="F8927" s="55">
        <v>109</v>
      </c>
      <c r="G8927" s="63">
        <v>4.48E-2</v>
      </c>
    </row>
    <row r="8928" spans="1:7" x14ac:dyDescent="0.2">
      <c r="A8928" t="s">
        <v>71</v>
      </c>
      <c r="B8928" t="s">
        <v>144</v>
      </c>
      <c r="C8928" t="s">
        <v>223</v>
      </c>
      <c r="D8928" t="s">
        <v>74</v>
      </c>
      <c r="E8928" t="s">
        <v>86</v>
      </c>
      <c r="F8928" s="55">
        <v>100</v>
      </c>
      <c r="G8928" s="63">
        <v>4.1000000000000002E-2</v>
      </c>
    </row>
    <row r="8929" spans="1:7" x14ac:dyDescent="0.2">
      <c r="A8929" t="s">
        <v>71</v>
      </c>
      <c r="B8929" t="s">
        <v>144</v>
      </c>
      <c r="C8929" t="s">
        <v>223</v>
      </c>
      <c r="D8929" t="s">
        <v>74</v>
      </c>
      <c r="E8929" t="s">
        <v>87</v>
      </c>
      <c r="F8929" s="55">
        <v>96</v>
      </c>
      <c r="G8929" s="63">
        <v>3.7199999999999997E-2</v>
      </c>
    </row>
    <row r="8930" spans="1:7" x14ac:dyDescent="0.2">
      <c r="A8930" t="s">
        <v>71</v>
      </c>
      <c r="B8930" t="s">
        <v>144</v>
      </c>
      <c r="C8930" t="s">
        <v>223</v>
      </c>
      <c r="D8930" t="s">
        <v>74</v>
      </c>
      <c r="E8930" t="s">
        <v>88</v>
      </c>
      <c r="F8930" s="55">
        <v>94</v>
      </c>
      <c r="G8930" s="63">
        <v>2.4899999999999999E-2</v>
      </c>
    </row>
    <row r="8931" spans="1:7" x14ac:dyDescent="0.2">
      <c r="A8931" t="s">
        <v>71</v>
      </c>
      <c r="B8931" t="s">
        <v>14</v>
      </c>
      <c r="C8931" t="s">
        <v>223</v>
      </c>
      <c r="D8931" t="s">
        <v>74</v>
      </c>
      <c r="E8931" t="s">
        <v>75</v>
      </c>
      <c r="F8931" s="55">
        <v>102</v>
      </c>
      <c r="G8931" s="63">
        <v>0.35489999999999999</v>
      </c>
    </row>
    <row r="8932" spans="1:7" x14ac:dyDescent="0.2">
      <c r="A8932" t="s">
        <v>71</v>
      </c>
      <c r="B8932" t="s">
        <v>14</v>
      </c>
      <c r="C8932" t="s">
        <v>223</v>
      </c>
      <c r="D8932" t="s">
        <v>74</v>
      </c>
      <c r="E8932" t="s">
        <v>76</v>
      </c>
      <c r="F8932" s="55">
        <v>100</v>
      </c>
      <c r="G8932" s="63">
        <v>7.85E-2</v>
      </c>
    </row>
    <row r="8933" spans="1:7" x14ac:dyDescent="0.2">
      <c r="A8933" t="s">
        <v>71</v>
      </c>
      <c r="B8933" t="s">
        <v>14</v>
      </c>
      <c r="C8933" t="s">
        <v>223</v>
      </c>
      <c r="D8933" t="s">
        <v>74</v>
      </c>
      <c r="E8933" t="s">
        <v>77</v>
      </c>
      <c r="F8933" s="55">
        <v>104</v>
      </c>
      <c r="G8933" s="63">
        <v>0.1893</v>
      </c>
    </row>
    <row r="8934" spans="1:7" x14ac:dyDescent="0.2">
      <c r="A8934" t="s">
        <v>71</v>
      </c>
      <c r="B8934" t="s">
        <v>14</v>
      </c>
      <c r="C8934" t="s">
        <v>223</v>
      </c>
      <c r="D8934" t="s">
        <v>74</v>
      </c>
      <c r="E8934" t="s">
        <v>78</v>
      </c>
      <c r="F8934" s="55">
        <v>102</v>
      </c>
      <c r="G8934" s="63">
        <v>0.189</v>
      </c>
    </row>
    <row r="8935" spans="1:7" x14ac:dyDescent="0.2">
      <c r="A8935" t="s">
        <v>71</v>
      </c>
      <c r="B8935" t="s">
        <v>14</v>
      </c>
      <c r="C8935" t="s">
        <v>223</v>
      </c>
      <c r="D8935" t="s">
        <v>74</v>
      </c>
      <c r="E8935" t="s">
        <v>79</v>
      </c>
      <c r="F8935" s="55">
        <v>103</v>
      </c>
      <c r="G8935" s="63">
        <v>0.27329999999999999</v>
      </c>
    </row>
    <row r="8936" spans="1:7" x14ac:dyDescent="0.2">
      <c r="A8936" t="s">
        <v>71</v>
      </c>
      <c r="B8936" t="s">
        <v>14</v>
      </c>
      <c r="C8936" t="s">
        <v>223</v>
      </c>
      <c r="D8936" t="s">
        <v>74</v>
      </c>
      <c r="E8936" t="s">
        <v>80</v>
      </c>
      <c r="F8936" s="55">
        <v>101</v>
      </c>
      <c r="G8936" s="63">
        <v>8.5599999999999996E-2</v>
      </c>
    </row>
    <row r="8937" spans="1:7" x14ac:dyDescent="0.2">
      <c r="A8937" t="s">
        <v>71</v>
      </c>
      <c r="B8937" t="s">
        <v>14</v>
      </c>
      <c r="C8937" t="s">
        <v>223</v>
      </c>
      <c r="D8937" t="s">
        <v>74</v>
      </c>
      <c r="E8937" t="s">
        <v>81</v>
      </c>
      <c r="F8937" s="55">
        <v>98</v>
      </c>
      <c r="G8937" s="63">
        <v>8.6599999999999996E-2</v>
      </c>
    </row>
    <row r="8938" spans="1:7" x14ac:dyDescent="0.2">
      <c r="A8938" t="s">
        <v>71</v>
      </c>
      <c r="B8938" t="s">
        <v>14</v>
      </c>
      <c r="C8938" t="s">
        <v>223</v>
      </c>
      <c r="D8938" t="s">
        <v>74</v>
      </c>
      <c r="E8938" t="s">
        <v>82</v>
      </c>
      <c r="F8938" s="55">
        <v>101</v>
      </c>
      <c r="G8938" s="63">
        <v>0.2286</v>
      </c>
    </row>
    <row r="8939" spans="1:7" x14ac:dyDescent="0.2">
      <c r="A8939" t="s">
        <v>71</v>
      </c>
      <c r="B8939" t="s">
        <v>14</v>
      </c>
      <c r="C8939" t="s">
        <v>223</v>
      </c>
      <c r="D8939" t="s">
        <v>74</v>
      </c>
      <c r="E8939" t="s">
        <v>83</v>
      </c>
      <c r="F8939" s="55">
        <v>96</v>
      </c>
      <c r="G8939" s="63">
        <v>5.21E-2</v>
      </c>
    </row>
    <row r="8940" spans="1:7" x14ac:dyDescent="0.2">
      <c r="A8940" t="s">
        <v>71</v>
      </c>
      <c r="B8940" t="s">
        <v>14</v>
      </c>
      <c r="C8940" t="s">
        <v>223</v>
      </c>
      <c r="D8940" t="s">
        <v>74</v>
      </c>
      <c r="E8940" t="s">
        <v>84</v>
      </c>
      <c r="F8940" s="55">
        <v>102</v>
      </c>
      <c r="G8940" s="63">
        <v>0.15390000000000001</v>
      </c>
    </row>
    <row r="8941" spans="1:7" x14ac:dyDescent="0.2">
      <c r="A8941" t="s">
        <v>71</v>
      </c>
      <c r="B8941" t="s">
        <v>14</v>
      </c>
      <c r="C8941" t="s">
        <v>223</v>
      </c>
      <c r="D8941" t="s">
        <v>74</v>
      </c>
      <c r="E8941" t="s">
        <v>85</v>
      </c>
      <c r="F8941" s="55">
        <v>101</v>
      </c>
      <c r="G8941" s="63">
        <v>0.11990000000000001</v>
      </c>
    </row>
    <row r="8942" spans="1:7" x14ac:dyDescent="0.2">
      <c r="A8942" t="s">
        <v>71</v>
      </c>
      <c r="B8942" t="s">
        <v>14</v>
      </c>
      <c r="C8942" t="s">
        <v>223</v>
      </c>
      <c r="D8942" t="s">
        <v>74</v>
      </c>
      <c r="E8942" t="s">
        <v>86</v>
      </c>
      <c r="F8942" s="55">
        <v>101</v>
      </c>
      <c r="G8942" s="63">
        <v>0.1656</v>
      </c>
    </row>
    <row r="8943" spans="1:7" x14ac:dyDescent="0.2">
      <c r="A8943" t="s">
        <v>71</v>
      </c>
      <c r="B8943" t="s">
        <v>14</v>
      </c>
      <c r="C8943" t="s">
        <v>223</v>
      </c>
      <c r="D8943" t="s">
        <v>74</v>
      </c>
      <c r="E8943" t="s">
        <v>87</v>
      </c>
      <c r="F8943" s="55">
        <v>103</v>
      </c>
      <c r="G8943" s="63">
        <v>0.19350000000000001</v>
      </c>
    </row>
    <row r="8944" spans="1:7" x14ac:dyDescent="0.2">
      <c r="A8944" t="s">
        <v>71</v>
      </c>
      <c r="B8944" t="s">
        <v>14</v>
      </c>
      <c r="C8944" t="s">
        <v>223</v>
      </c>
      <c r="D8944" t="s">
        <v>74</v>
      </c>
      <c r="E8944" t="s">
        <v>88</v>
      </c>
      <c r="F8944" s="55">
        <v>98</v>
      </c>
      <c r="G8944" s="63">
        <v>0.1148</v>
      </c>
    </row>
    <row r="8945" spans="1:7" x14ac:dyDescent="0.2">
      <c r="A8945" t="s">
        <v>89</v>
      </c>
      <c r="B8945" t="s">
        <v>145</v>
      </c>
      <c r="C8945" t="s">
        <v>223</v>
      </c>
      <c r="D8945" t="s">
        <v>74</v>
      </c>
      <c r="E8945" t="s">
        <v>75</v>
      </c>
      <c r="F8945" s="55">
        <v>97</v>
      </c>
      <c r="G8945" s="63">
        <v>0.14710000000000001</v>
      </c>
    </row>
    <row r="8946" spans="1:7" x14ac:dyDescent="0.2">
      <c r="A8946" t="s">
        <v>89</v>
      </c>
      <c r="B8946" t="s">
        <v>145</v>
      </c>
      <c r="C8946" t="s">
        <v>223</v>
      </c>
      <c r="D8946" t="s">
        <v>74</v>
      </c>
      <c r="E8946" t="s">
        <v>76</v>
      </c>
      <c r="F8946" s="55">
        <v>94</v>
      </c>
      <c r="G8946" s="63">
        <v>2.1999999999999999E-2</v>
      </c>
    </row>
    <row r="8947" spans="1:7" x14ac:dyDescent="0.2">
      <c r="A8947" t="s">
        <v>89</v>
      </c>
      <c r="B8947" t="s">
        <v>145</v>
      </c>
      <c r="C8947" t="s">
        <v>223</v>
      </c>
      <c r="D8947" t="s">
        <v>74</v>
      </c>
      <c r="E8947" t="s">
        <v>77</v>
      </c>
      <c r="F8947" s="55">
        <v>99</v>
      </c>
      <c r="G8947" s="63">
        <v>5.4600000000000003E-2</v>
      </c>
    </row>
    <row r="8948" spans="1:7" x14ac:dyDescent="0.2">
      <c r="A8948" t="s">
        <v>89</v>
      </c>
      <c r="B8948" t="s">
        <v>145</v>
      </c>
      <c r="C8948" t="s">
        <v>223</v>
      </c>
      <c r="D8948" t="s">
        <v>74</v>
      </c>
      <c r="E8948" t="s">
        <v>78</v>
      </c>
      <c r="F8948" s="55">
        <v>97</v>
      </c>
      <c r="G8948" s="63">
        <v>5.4100000000000002E-2</v>
      </c>
    </row>
    <row r="8949" spans="1:7" x14ac:dyDescent="0.2">
      <c r="A8949" t="s">
        <v>89</v>
      </c>
      <c r="B8949" t="s">
        <v>145</v>
      </c>
      <c r="C8949" t="s">
        <v>223</v>
      </c>
      <c r="D8949" t="s">
        <v>74</v>
      </c>
      <c r="E8949" t="s">
        <v>79</v>
      </c>
      <c r="F8949" s="55">
        <v>99</v>
      </c>
      <c r="G8949" s="63">
        <v>9.5299999999999996E-2</v>
      </c>
    </row>
    <row r="8950" spans="1:7" x14ac:dyDescent="0.2">
      <c r="A8950" t="s">
        <v>89</v>
      </c>
      <c r="B8950" t="s">
        <v>145</v>
      </c>
      <c r="C8950" t="s">
        <v>223</v>
      </c>
      <c r="D8950" t="s">
        <v>74</v>
      </c>
      <c r="E8950" t="s">
        <v>80</v>
      </c>
      <c r="F8950" s="55">
        <v>95</v>
      </c>
      <c r="G8950" s="63">
        <v>2.81E-2</v>
      </c>
    </row>
    <row r="8951" spans="1:7" x14ac:dyDescent="0.2">
      <c r="A8951" t="s">
        <v>89</v>
      </c>
      <c r="B8951" t="s">
        <v>145</v>
      </c>
      <c r="C8951" t="s">
        <v>223</v>
      </c>
      <c r="D8951" t="s">
        <v>74</v>
      </c>
      <c r="E8951" t="s">
        <v>81</v>
      </c>
      <c r="F8951" s="55">
        <v>93</v>
      </c>
      <c r="G8951" s="63">
        <v>3.4099999999999998E-2</v>
      </c>
    </row>
    <row r="8952" spans="1:7" x14ac:dyDescent="0.2">
      <c r="A8952" t="s">
        <v>89</v>
      </c>
      <c r="B8952" t="s">
        <v>145</v>
      </c>
      <c r="C8952" t="s">
        <v>223</v>
      </c>
      <c r="D8952" t="s">
        <v>74</v>
      </c>
      <c r="E8952" t="s">
        <v>82</v>
      </c>
      <c r="F8952" s="55">
        <v>94</v>
      </c>
      <c r="G8952" s="63">
        <v>7.3700000000000002E-2</v>
      </c>
    </row>
    <row r="8953" spans="1:7" x14ac:dyDescent="0.2">
      <c r="A8953" t="s">
        <v>89</v>
      </c>
      <c r="B8953" t="s">
        <v>145</v>
      </c>
      <c r="C8953" t="s">
        <v>223</v>
      </c>
      <c r="D8953" t="s">
        <v>74</v>
      </c>
      <c r="E8953" t="s">
        <v>83</v>
      </c>
      <c r="F8953" s="55">
        <v>93</v>
      </c>
      <c r="G8953" s="63">
        <v>1.66E-2</v>
      </c>
    </row>
    <row r="8954" spans="1:7" x14ac:dyDescent="0.2">
      <c r="A8954" t="s">
        <v>89</v>
      </c>
      <c r="B8954" t="s">
        <v>145</v>
      </c>
      <c r="C8954" t="s">
        <v>223</v>
      </c>
      <c r="D8954" t="s">
        <v>74</v>
      </c>
      <c r="E8954" t="s">
        <v>84</v>
      </c>
      <c r="F8954" s="55">
        <v>96</v>
      </c>
      <c r="G8954" s="63">
        <v>4.2099999999999999E-2</v>
      </c>
    </row>
    <row r="8955" spans="1:7" x14ac:dyDescent="0.2">
      <c r="A8955" t="s">
        <v>89</v>
      </c>
      <c r="B8955" t="s">
        <v>145</v>
      </c>
      <c r="C8955" t="s">
        <v>223</v>
      </c>
      <c r="D8955" t="s">
        <v>74</v>
      </c>
      <c r="E8955" t="s">
        <v>85</v>
      </c>
      <c r="F8955" s="55">
        <v>98</v>
      </c>
      <c r="G8955" s="63">
        <v>3.2899999999999999E-2</v>
      </c>
    </row>
    <row r="8956" spans="1:7" x14ac:dyDescent="0.2">
      <c r="A8956" t="s">
        <v>89</v>
      </c>
      <c r="B8956" t="s">
        <v>145</v>
      </c>
      <c r="C8956" t="s">
        <v>223</v>
      </c>
      <c r="D8956" t="s">
        <v>74</v>
      </c>
      <c r="E8956" t="s">
        <v>86</v>
      </c>
      <c r="F8956" s="55">
        <v>99</v>
      </c>
      <c r="G8956" s="63">
        <v>4.4299999999999999E-2</v>
      </c>
    </row>
    <row r="8957" spans="1:7" x14ac:dyDescent="0.2">
      <c r="A8957" t="s">
        <v>89</v>
      </c>
      <c r="B8957" t="s">
        <v>145</v>
      </c>
      <c r="C8957" t="s">
        <v>223</v>
      </c>
      <c r="D8957" t="s">
        <v>74</v>
      </c>
      <c r="E8957" t="s">
        <v>87</v>
      </c>
      <c r="F8957" s="55">
        <v>101</v>
      </c>
      <c r="G8957" s="63">
        <v>4.9299999999999997E-2</v>
      </c>
    </row>
    <row r="8958" spans="1:7" x14ac:dyDescent="0.2">
      <c r="A8958" t="s">
        <v>89</v>
      </c>
      <c r="B8958" t="s">
        <v>145</v>
      </c>
      <c r="C8958" t="s">
        <v>223</v>
      </c>
      <c r="D8958" t="s">
        <v>74</v>
      </c>
      <c r="E8958" t="s">
        <v>88</v>
      </c>
      <c r="F8958" s="55">
        <v>96</v>
      </c>
      <c r="G8958" s="63">
        <v>3.6799999999999999E-2</v>
      </c>
    </row>
    <row r="8959" spans="1:7" x14ac:dyDescent="0.2">
      <c r="A8959" t="s">
        <v>71</v>
      </c>
      <c r="B8959" t="s">
        <v>146</v>
      </c>
      <c r="C8959" t="s">
        <v>223</v>
      </c>
      <c r="D8959" t="s">
        <v>74</v>
      </c>
      <c r="E8959" t="s">
        <v>75</v>
      </c>
      <c r="F8959" s="55">
        <v>93</v>
      </c>
      <c r="G8959" s="63">
        <v>0.1699</v>
      </c>
    </row>
    <row r="8960" spans="1:7" x14ac:dyDescent="0.2">
      <c r="A8960" t="s">
        <v>71</v>
      </c>
      <c r="B8960" t="s">
        <v>146</v>
      </c>
      <c r="C8960" t="s">
        <v>223</v>
      </c>
      <c r="D8960" t="s">
        <v>74</v>
      </c>
      <c r="E8960" t="s">
        <v>76</v>
      </c>
      <c r="F8960" s="55">
        <v>88</v>
      </c>
      <c r="G8960" s="63">
        <v>2.6499999999999999E-2</v>
      </c>
    </row>
    <row r="8961" spans="1:7" x14ac:dyDescent="0.2">
      <c r="A8961" t="s">
        <v>71</v>
      </c>
      <c r="B8961" t="s">
        <v>146</v>
      </c>
      <c r="C8961" t="s">
        <v>223</v>
      </c>
      <c r="D8961" t="s">
        <v>74</v>
      </c>
      <c r="E8961" t="s">
        <v>77</v>
      </c>
      <c r="F8961" s="55">
        <v>95</v>
      </c>
      <c r="G8961" s="63">
        <v>6.6000000000000003E-2</v>
      </c>
    </row>
    <row r="8962" spans="1:7" x14ac:dyDescent="0.2">
      <c r="A8962" t="s">
        <v>71</v>
      </c>
      <c r="B8962" t="s">
        <v>146</v>
      </c>
      <c r="C8962" t="s">
        <v>223</v>
      </c>
      <c r="D8962" t="s">
        <v>74</v>
      </c>
      <c r="E8962" t="s">
        <v>78</v>
      </c>
      <c r="F8962" s="55">
        <v>97</v>
      </c>
      <c r="G8962" s="63">
        <v>6.1499999999999999E-2</v>
      </c>
    </row>
    <row r="8963" spans="1:7" x14ac:dyDescent="0.2">
      <c r="A8963" t="s">
        <v>71</v>
      </c>
      <c r="B8963" t="s">
        <v>146</v>
      </c>
      <c r="C8963" t="s">
        <v>223</v>
      </c>
      <c r="D8963" t="s">
        <v>74</v>
      </c>
      <c r="E8963" t="s">
        <v>79</v>
      </c>
      <c r="F8963" s="55">
        <v>93</v>
      </c>
      <c r="G8963" s="63">
        <v>0.1182</v>
      </c>
    </row>
    <row r="8964" spans="1:7" x14ac:dyDescent="0.2">
      <c r="A8964" t="s">
        <v>71</v>
      </c>
      <c r="B8964" t="s">
        <v>146</v>
      </c>
      <c r="C8964" t="s">
        <v>223</v>
      </c>
      <c r="D8964" t="s">
        <v>74</v>
      </c>
      <c r="E8964" t="s">
        <v>80</v>
      </c>
      <c r="F8964" s="55">
        <v>88</v>
      </c>
      <c r="G8964" s="63">
        <v>8.1299999999999997E-2</v>
      </c>
    </row>
    <row r="8965" spans="1:7" x14ac:dyDescent="0.2">
      <c r="A8965" t="s">
        <v>71</v>
      </c>
      <c r="B8965" t="s">
        <v>146</v>
      </c>
      <c r="C8965" t="s">
        <v>223</v>
      </c>
      <c r="D8965" t="s">
        <v>74</v>
      </c>
      <c r="E8965" t="s">
        <v>81</v>
      </c>
      <c r="F8965" s="55">
        <v>92</v>
      </c>
      <c r="G8965" s="63">
        <v>7.8399999999999997E-2</v>
      </c>
    </row>
    <row r="8966" spans="1:7" x14ac:dyDescent="0.2">
      <c r="A8966" t="s">
        <v>71</v>
      </c>
      <c r="B8966" t="s">
        <v>146</v>
      </c>
      <c r="C8966" t="s">
        <v>223</v>
      </c>
      <c r="D8966" t="s">
        <v>74</v>
      </c>
      <c r="E8966" t="s">
        <v>82</v>
      </c>
      <c r="F8966" s="55">
        <v>90</v>
      </c>
      <c r="G8966" s="63">
        <v>7.9399999999999998E-2</v>
      </c>
    </row>
    <row r="8967" spans="1:7" x14ac:dyDescent="0.2">
      <c r="A8967" t="s">
        <v>71</v>
      </c>
      <c r="B8967" t="s">
        <v>146</v>
      </c>
      <c r="C8967" t="s">
        <v>223</v>
      </c>
      <c r="D8967" t="s">
        <v>74</v>
      </c>
      <c r="E8967" t="s">
        <v>83</v>
      </c>
      <c r="F8967" s="55">
        <v>95</v>
      </c>
      <c r="G8967" s="63">
        <v>2.98E-2</v>
      </c>
    </row>
    <row r="8968" spans="1:7" x14ac:dyDescent="0.2">
      <c r="A8968" t="s">
        <v>71</v>
      </c>
      <c r="B8968" t="s">
        <v>146</v>
      </c>
      <c r="C8968" t="s">
        <v>223</v>
      </c>
      <c r="D8968" t="s">
        <v>74</v>
      </c>
      <c r="E8968" t="s">
        <v>84</v>
      </c>
      <c r="F8968" s="55">
        <v>95</v>
      </c>
      <c r="G8968" s="63">
        <v>5.16E-2</v>
      </c>
    </row>
    <row r="8969" spans="1:7" x14ac:dyDescent="0.2">
      <c r="A8969" t="s">
        <v>71</v>
      </c>
      <c r="B8969" t="s">
        <v>146</v>
      </c>
      <c r="C8969" t="s">
        <v>223</v>
      </c>
      <c r="D8969" t="s">
        <v>74</v>
      </c>
      <c r="E8969" t="s">
        <v>85</v>
      </c>
      <c r="F8969" s="55">
        <v>92</v>
      </c>
      <c r="G8969" s="63">
        <v>7.2900000000000006E-2</v>
      </c>
    </row>
    <row r="8970" spans="1:7" x14ac:dyDescent="0.2">
      <c r="A8970" t="s">
        <v>71</v>
      </c>
      <c r="B8970" t="s">
        <v>146</v>
      </c>
      <c r="C8970" t="s">
        <v>223</v>
      </c>
      <c r="D8970" t="s">
        <v>74</v>
      </c>
      <c r="E8970" t="s">
        <v>86</v>
      </c>
      <c r="F8970" s="55">
        <v>92</v>
      </c>
      <c r="G8970" s="63">
        <v>6.9800000000000001E-2</v>
      </c>
    </row>
    <row r="8971" spans="1:7" x14ac:dyDescent="0.2">
      <c r="A8971" t="s">
        <v>71</v>
      </c>
      <c r="B8971" t="s">
        <v>146</v>
      </c>
      <c r="C8971" t="s">
        <v>223</v>
      </c>
      <c r="D8971" t="s">
        <v>74</v>
      </c>
      <c r="E8971" t="s">
        <v>87</v>
      </c>
      <c r="F8971" s="55">
        <v>93</v>
      </c>
      <c r="G8971" s="63">
        <v>6.5699999999999995E-2</v>
      </c>
    </row>
    <row r="8972" spans="1:7" x14ac:dyDescent="0.2">
      <c r="A8972" t="s">
        <v>71</v>
      </c>
      <c r="B8972" t="s">
        <v>146</v>
      </c>
      <c r="C8972" t="s">
        <v>223</v>
      </c>
      <c r="D8972" t="s">
        <v>74</v>
      </c>
      <c r="E8972" t="s">
        <v>88</v>
      </c>
      <c r="F8972" s="55">
        <v>90</v>
      </c>
      <c r="G8972" s="63">
        <v>3.95E-2</v>
      </c>
    </row>
    <row r="8973" spans="1:7" x14ac:dyDescent="0.2">
      <c r="A8973" t="s">
        <v>89</v>
      </c>
      <c r="B8973" t="s">
        <v>147</v>
      </c>
      <c r="C8973" t="s">
        <v>223</v>
      </c>
      <c r="D8973" t="s">
        <v>91</v>
      </c>
      <c r="E8973" t="s">
        <v>75</v>
      </c>
      <c r="F8973" s="55">
        <v>106</v>
      </c>
      <c r="G8973" s="63">
        <v>0.39600000000000002</v>
      </c>
    </row>
    <row r="8974" spans="1:7" x14ac:dyDescent="0.2">
      <c r="A8974" t="s">
        <v>89</v>
      </c>
      <c r="B8974" t="s">
        <v>147</v>
      </c>
      <c r="C8974" t="s">
        <v>223</v>
      </c>
      <c r="D8974" t="s">
        <v>91</v>
      </c>
      <c r="E8974" t="s">
        <v>76</v>
      </c>
      <c r="F8974" s="55">
        <v>99</v>
      </c>
      <c r="G8974" s="63">
        <v>7.3700000000000002E-2</v>
      </c>
    </row>
    <row r="8975" spans="1:7" x14ac:dyDescent="0.2">
      <c r="A8975" t="s">
        <v>89</v>
      </c>
      <c r="B8975" t="s">
        <v>147</v>
      </c>
      <c r="C8975" t="s">
        <v>223</v>
      </c>
      <c r="D8975" t="s">
        <v>91</v>
      </c>
      <c r="E8975" t="s">
        <v>77</v>
      </c>
      <c r="F8975" s="55">
        <v>106</v>
      </c>
      <c r="G8975" s="63">
        <v>0.17960000000000001</v>
      </c>
    </row>
    <row r="8976" spans="1:7" x14ac:dyDescent="0.2">
      <c r="A8976" t="s">
        <v>89</v>
      </c>
      <c r="B8976" t="s">
        <v>147</v>
      </c>
      <c r="C8976" t="s">
        <v>223</v>
      </c>
      <c r="D8976" t="s">
        <v>91</v>
      </c>
      <c r="E8976" t="s">
        <v>78</v>
      </c>
      <c r="F8976" s="55">
        <v>104</v>
      </c>
      <c r="G8976" s="63">
        <v>0.16689999999999999</v>
      </c>
    </row>
    <row r="8977" spans="1:7" x14ac:dyDescent="0.2">
      <c r="A8977" t="s">
        <v>89</v>
      </c>
      <c r="B8977" t="s">
        <v>147</v>
      </c>
      <c r="C8977" t="s">
        <v>223</v>
      </c>
      <c r="D8977" t="s">
        <v>91</v>
      </c>
      <c r="E8977" t="s">
        <v>79</v>
      </c>
      <c r="F8977" s="55">
        <v>107</v>
      </c>
      <c r="G8977" s="63">
        <v>0.27250000000000002</v>
      </c>
    </row>
    <row r="8978" spans="1:7" x14ac:dyDescent="0.2">
      <c r="A8978" t="s">
        <v>89</v>
      </c>
      <c r="B8978" t="s">
        <v>147</v>
      </c>
      <c r="C8978" t="s">
        <v>223</v>
      </c>
      <c r="D8978" t="s">
        <v>91</v>
      </c>
      <c r="E8978" t="s">
        <v>80</v>
      </c>
      <c r="F8978" s="55">
        <v>98</v>
      </c>
      <c r="G8978" s="63">
        <v>8.1000000000000003E-2</v>
      </c>
    </row>
    <row r="8979" spans="1:7" x14ac:dyDescent="0.2">
      <c r="A8979" t="s">
        <v>89</v>
      </c>
      <c r="B8979" t="s">
        <v>147</v>
      </c>
      <c r="C8979" t="s">
        <v>223</v>
      </c>
      <c r="D8979" t="s">
        <v>91</v>
      </c>
      <c r="E8979" t="s">
        <v>81</v>
      </c>
      <c r="F8979" s="55">
        <v>95</v>
      </c>
      <c r="G8979" s="63">
        <v>8.5099999999999995E-2</v>
      </c>
    </row>
    <row r="8980" spans="1:7" x14ac:dyDescent="0.2">
      <c r="A8980" t="s">
        <v>89</v>
      </c>
      <c r="B8980" t="s">
        <v>147</v>
      </c>
      <c r="C8980" t="s">
        <v>223</v>
      </c>
      <c r="D8980" t="s">
        <v>91</v>
      </c>
      <c r="E8980" t="s">
        <v>82</v>
      </c>
      <c r="F8980" s="55">
        <v>108</v>
      </c>
      <c r="G8980" s="63">
        <v>0.21590000000000001</v>
      </c>
    </row>
    <row r="8981" spans="1:7" x14ac:dyDescent="0.2">
      <c r="A8981" t="s">
        <v>89</v>
      </c>
      <c r="B8981" t="s">
        <v>147</v>
      </c>
      <c r="C8981" t="s">
        <v>223</v>
      </c>
      <c r="D8981" t="s">
        <v>91</v>
      </c>
      <c r="E8981" t="s">
        <v>83</v>
      </c>
      <c r="F8981" s="55">
        <v>85</v>
      </c>
      <c r="G8981" s="63">
        <v>4.2099999999999999E-2</v>
      </c>
    </row>
    <row r="8982" spans="1:7" x14ac:dyDescent="0.2">
      <c r="A8982" t="s">
        <v>89</v>
      </c>
      <c r="B8982" t="s">
        <v>147</v>
      </c>
      <c r="C8982" t="s">
        <v>223</v>
      </c>
      <c r="D8982" t="s">
        <v>91</v>
      </c>
      <c r="E8982" t="s">
        <v>84</v>
      </c>
      <c r="F8982" s="55">
        <v>103</v>
      </c>
      <c r="G8982" s="63">
        <v>0.1321</v>
      </c>
    </row>
    <row r="8983" spans="1:7" x14ac:dyDescent="0.2">
      <c r="A8983" t="s">
        <v>89</v>
      </c>
      <c r="B8983" t="s">
        <v>147</v>
      </c>
      <c r="C8983" t="s">
        <v>223</v>
      </c>
      <c r="D8983" t="s">
        <v>91</v>
      </c>
      <c r="E8983" t="s">
        <v>85</v>
      </c>
      <c r="F8983" s="55">
        <v>101</v>
      </c>
      <c r="G8983" s="63">
        <v>0.1037</v>
      </c>
    </row>
    <row r="8984" spans="1:7" x14ac:dyDescent="0.2">
      <c r="A8984" t="s">
        <v>89</v>
      </c>
      <c r="B8984" t="s">
        <v>147</v>
      </c>
      <c r="C8984" t="s">
        <v>223</v>
      </c>
      <c r="D8984" t="s">
        <v>91</v>
      </c>
      <c r="E8984" t="s">
        <v>86</v>
      </c>
      <c r="F8984" s="55">
        <v>105</v>
      </c>
      <c r="G8984" s="63">
        <v>0.14019999999999999</v>
      </c>
    </row>
    <row r="8985" spans="1:7" x14ac:dyDescent="0.2">
      <c r="A8985" t="s">
        <v>89</v>
      </c>
      <c r="B8985" t="s">
        <v>147</v>
      </c>
      <c r="C8985" t="s">
        <v>223</v>
      </c>
      <c r="D8985" t="s">
        <v>91</v>
      </c>
      <c r="E8985" t="s">
        <v>87</v>
      </c>
      <c r="F8985" s="55">
        <v>109</v>
      </c>
      <c r="G8985" s="63">
        <v>0.16309999999999999</v>
      </c>
    </row>
    <row r="8986" spans="1:7" x14ac:dyDescent="0.2">
      <c r="A8986" t="s">
        <v>89</v>
      </c>
      <c r="B8986" t="s">
        <v>147</v>
      </c>
      <c r="C8986" t="s">
        <v>223</v>
      </c>
      <c r="D8986" t="s">
        <v>91</v>
      </c>
      <c r="E8986" t="s">
        <v>88</v>
      </c>
      <c r="F8986" s="55">
        <v>98</v>
      </c>
      <c r="G8986" s="63">
        <v>0.109</v>
      </c>
    </row>
    <row r="8987" spans="1:7" x14ac:dyDescent="0.2">
      <c r="A8987" t="s">
        <v>71</v>
      </c>
      <c r="B8987" t="s">
        <v>148</v>
      </c>
      <c r="C8987" t="s">
        <v>223</v>
      </c>
      <c r="D8987" t="s">
        <v>74</v>
      </c>
      <c r="E8987" t="s">
        <v>75</v>
      </c>
      <c r="F8987" s="55">
        <v>139</v>
      </c>
      <c r="G8987" s="63">
        <v>2.8E-3</v>
      </c>
    </row>
    <row r="8988" spans="1:7" x14ac:dyDescent="0.2">
      <c r="A8988" t="s">
        <v>71</v>
      </c>
      <c r="B8988" t="s">
        <v>148</v>
      </c>
      <c r="C8988" t="s">
        <v>223</v>
      </c>
      <c r="D8988" t="s">
        <v>74</v>
      </c>
      <c r="E8988" t="s">
        <v>79</v>
      </c>
      <c r="F8988" s="55">
        <v>122</v>
      </c>
      <c r="G8988" s="63">
        <v>1.6999999999999999E-3</v>
      </c>
    </row>
    <row r="8989" spans="1:7" x14ac:dyDescent="0.2">
      <c r="A8989" t="s">
        <v>71</v>
      </c>
      <c r="B8989" t="s">
        <v>148</v>
      </c>
      <c r="C8989" t="s">
        <v>223</v>
      </c>
      <c r="D8989" t="s">
        <v>74</v>
      </c>
      <c r="E8989" t="s">
        <v>82</v>
      </c>
      <c r="F8989" s="55">
        <v>161</v>
      </c>
      <c r="G8989" s="63">
        <v>1.1999999999999999E-3</v>
      </c>
    </row>
    <row r="8990" spans="1:7" x14ac:dyDescent="0.2">
      <c r="A8990" t="s">
        <v>71</v>
      </c>
      <c r="B8990" t="s">
        <v>149</v>
      </c>
      <c r="C8990" t="s">
        <v>223</v>
      </c>
      <c r="D8990" t="s">
        <v>74</v>
      </c>
      <c r="E8990" t="s">
        <v>75</v>
      </c>
      <c r="F8990" s="55">
        <v>100</v>
      </c>
      <c r="G8990" s="63">
        <v>0.2172</v>
      </c>
    </row>
    <row r="8991" spans="1:7" x14ac:dyDescent="0.2">
      <c r="A8991" t="s">
        <v>71</v>
      </c>
      <c r="B8991" t="s">
        <v>149</v>
      </c>
      <c r="C8991" t="s">
        <v>223</v>
      </c>
      <c r="D8991" t="s">
        <v>74</v>
      </c>
      <c r="E8991" t="s">
        <v>76</v>
      </c>
      <c r="F8991" s="55">
        <v>95</v>
      </c>
      <c r="G8991" s="63">
        <v>3.0800000000000001E-2</v>
      </c>
    </row>
    <row r="8992" spans="1:7" x14ac:dyDescent="0.2">
      <c r="A8992" t="s">
        <v>71</v>
      </c>
      <c r="B8992" t="s">
        <v>149</v>
      </c>
      <c r="C8992" t="s">
        <v>223</v>
      </c>
      <c r="D8992" t="s">
        <v>74</v>
      </c>
      <c r="E8992" t="s">
        <v>77</v>
      </c>
      <c r="F8992" s="55">
        <v>105</v>
      </c>
      <c r="G8992" s="63">
        <v>9.1600000000000001E-2</v>
      </c>
    </row>
    <row r="8993" spans="1:7" x14ac:dyDescent="0.2">
      <c r="A8993" t="s">
        <v>71</v>
      </c>
      <c r="B8993" t="s">
        <v>149</v>
      </c>
      <c r="C8993" t="s">
        <v>223</v>
      </c>
      <c r="D8993" t="s">
        <v>74</v>
      </c>
      <c r="E8993" t="s">
        <v>78</v>
      </c>
      <c r="F8993" s="55">
        <v>104</v>
      </c>
      <c r="G8993" s="63">
        <v>8.5000000000000006E-2</v>
      </c>
    </row>
    <row r="8994" spans="1:7" x14ac:dyDescent="0.2">
      <c r="A8994" t="s">
        <v>71</v>
      </c>
      <c r="B8994" t="s">
        <v>149</v>
      </c>
      <c r="C8994" t="s">
        <v>223</v>
      </c>
      <c r="D8994" t="s">
        <v>74</v>
      </c>
      <c r="E8994" t="s">
        <v>79</v>
      </c>
      <c r="F8994" s="55">
        <v>100</v>
      </c>
      <c r="G8994" s="63">
        <v>0.1424</v>
      </c>
    </row>
    <row r="8995" spans="1:7" x14ac:dyDescent="0.2">
      <c r="A8995" t="s">
        <v>71</v>
      </c>
      <c r="B8995" t="s">
        <v>149</v>
      </c>
      <c r="C8995" t="s">
        <v>223</v>
      </c>
      <c r="D8995" t="s">
        <v>74</v>
      </c>
      <c r="E8995" t="s">
        <v>80</v>
      </c>
      <c r="F8995" s="55">
        <v>96</v>
      </c>
      <c r="G8995" s="63">
        <v>4.0399999999999998E-2</v>
      </c>
    </row>
    <row r="8996" spans="1:7" x14ac:dyDescent="0.2">
      <c r="A8996" t="s">
        <v>71</v>
      </c>
      <c r="B8996" t="s">
        <v>149</v>
      </c>
      <c r="C8996" t="s">
        <v>223</v>
      </c>
      <c r="D8996" t="s">
        <v>74</v>
      </c>
      <c r="E8996" t="s">
        <v>81</v>
      </c>
      <c r="F8996" s="55">
        <v>94</v>
      </c>
      <c r="G8996" s="63">
        <v>4.2200000000000001E-2</v>
      </c>
    </row>
    <row r="8997" spans="1:7" x14ac:dyDescent="0.2">
      <c r="A8997" t="s">
        <v>71</v>
      </c>
      <c r="B8997" t="s">
        <v>149</v>
      </c>
      <c r="C8997" t="s">
        <v>223</v>
      </c>
      <c r="D8997" t="s">
        <v>74</v>
      </c>
      <c r="E8997" t="s">
        <v>82</v>
      </c>
      <c r="F8997" s="55">
        <v>90</v>
      </c>
      <c r="G8997" s="63">
        <v>9.4500000000000001E-2</v>
      </c>
    </row>
    <row r="8998" spans="1:7" x14ac:dyDescent="0.2">
      <c r="A8998" t="s">
        <v>71</v>
      </c>
      <c r="B8998" t="s">
        <v>149</v>
      </c>
      <c r="C8998" t="s">
        <v>223</v>
      </c>
      <c r="D8998" t="s">
        <v>74</v>
      </c>
      <c r="E8998" t="s">
        <v>83</v>
      </c>
      <c r="F8998" s="55">
        <v>94</v>
      </c>
      <c r="G8998" s="63">
        <v>1.8499999999999999E-2</v>
      </c>
    </row>
    <row r="8999" spans="1:7" x14ac:dyDescent="0.2">
      <c r="A8999" t="s">
        <v>71</v>
      </c>
      <c r="B8999" t="s">
        <v>149</v>
      </c>
      <c r="C8999" t="s">
        <v>223</v>
      </c>
      <c r="D8999" t="s">
        <v>74</v>
      </c>
      <c r="E8999" t="s">
        <v>84</v>
      </c>
      <c r="F8999" s="55">
        <v>104</v>
      </c>
      <c r="G8999" s="63">
        <v>6.7500000000000004E-2</v>
      </c>
    </row>
    <row r="9000" spans="1:7" x14ac:dyDescent="0.2">
      <c r="A9000" t="s">
        <v>71</v>
      </c>
      <c r="B9000" t="s">
        <v>149</v>
      </c>
      <c r="C9000" t="s">
        <v>223</v>
      </c>
      <c r="D9000" t="s">
        <v>74</v>
      </c>
      <c r="E9000" t="s">
        <v>85</v>
      </c>
      <c r="F9000" s="55">
        <v>98</v>
      </c>
      <c r="G9000" s="63">
        <v>4.87E-2</v>
      </c>
    </row>
    <row r="9001" spans="1:7" x14ac:dyDescent="0.2">
      <c r="A9001" t="s">
        <v>71</v>
      </c>
      <c r="B9001" t="s">
        <v>149</v>
      </c>
      <c r="C9001" t="s">
        <v>223</v>
      </c>
      <c r="D9001" t="s">
        <v>74</v>
      </c>
      <c r="E9001" t="s">
        <v>86</v>
      </c>
      <c r="F9001" s="55">
        <v>99</v>
      </c>
      <c r="G9001" s="63">
        <v>6.9900000000000004E-2</v>
      </c>
    </row>
    <row r="9002" spans="1:7" x14ac:dyDescent="0.2">
      <c r="A9002" t="s">
        <v>71</v>
      </c>
      <c r="B9002" t="s">
        <v>149</v>
      </c>
      <c r="C9002" t="s">
        <v>223</v>
      </c>
      <c r="D9002" t="s">
        <v>74</v>
      </c>
      <c r="E9002" t="s">
        <v>87</v>
      </c>
      <c r="F9002" s="55">
        <v>101</v>
      </c>
      <c r="G9002" s="63">
        <v>8.1000000000000003E-2</v>
      </c>
    </row>
    <row r="9003" spans="1:7" x14ac:dyDescent="0.2">
      <c r="A9003" t="s">
        <v>71</v>
      </c>
      <c r="B9003" t="s">
        <v>149</v>
      </c>
      <c r="C9003" t="s">
        <v>223</v>
      </c>
      <c r="D9003" t="s">
        <v>74</v>
      </c>
      <c r="E9003" t="s">
        <v>88</v>
      </c>
      <c r="F9003" s="55">
        <v>98</v>
      </c>
      <c r="G9003" s="63">
        <v>4.65E-2</v>
      </c>
    </row>
    <row r="9004" spans="1:7" x14ac:dyDescent="0.2">
      <c r="A9004" t="s">
        <v>89</v>
      </c>
      <c r="B9004" t="s">
        <v>150</v>
      </c>
      <c r="C9004" t="s">
        <v>223</v>
      </c>
      <c r="D9004" t="s">
        <v>74</v>
      </c>
      <c r="E9004" t="s">
        <v>75</v>
      </c>
      <c r="F9004" s="55">
        <v>100</v>
      </c>
      <c r="G9004" s="63">
        <v>6.1600000000000002E-2</v>
      </c>
    </row>
    <row r="9005" spans="1:7" x14ac:dyDescent="0.2">
      <c r="A9005" t="s">
        <v>89</v>
      </c>
      <c r="B9005" t="s">
        <v>150</v>
      </c>
      <c r="C9005" t="s">
        <v>223</v>
      </c>
      <c r="D9005" t="s">
        <v>74</v>
      </c>
      <c r="E9005" t="s">
        <v>76</v>
      </c>
      <c r="F9005" s="55">
        <v>65</v>
      </c>
      <c r="G9005" s="63">
        <v>5.4000000000000003E-3</v>
      </c>
    </row>
    <row r="9006" spans="1:7" x14ac:dyDescent="0.2">
      <c r="A9006" t="s">
        <v>89</v>
      </c>
      <c r="B9006" t="s">
        <v>150</v>
      </c>
      <c r="C9006" t="s">
        <v>223</v>
      </c>
      <c r="D9006" t="s">
        <v>74</v>
      </c>
      <c r="E9006" t="s">
        <v>77</v>
      </c>
      <c r="F9006" s="55">
        <v>86</v>
      </c>
      <c r="G9006" s="63">
        <v>1.61E-2</v>
      </c>
    </row>
    <row r="9007" spans="1:7" x14ac:dyDescent="0.2">
      <c r="A9007" t="s">
        <v>89</v>
      </c>
      <c r="B9007" t="s">
        <v>150</v>
      </c>
      <c r="C9007" t="s">
        <v>223</v>
      </c>
      <c r="D9007" t="s">
        <v>74</v>
      </c>
      <c r="E9007" t="s">
        <v>78</v>
      </c>
      <c r="F9007" s="55">
        <v>95</v>
      </c>
      <c r="G9007" s="63">
        <v>1.41E-2</v>
      </c>
    </row>
    <row r="9008" spans="1:7" x14ac:dyDescent="0.2">
      <c r="A9008" t="s">
        <v>89</v>
      </c>
      <c r="B9008" t="s">
        <v>150</v>
      </c>
      <c r="C9008" t="s">
        <v>223</v>
      </c>
      <c r="D9008" t="s">
        <v>74</v>
      </c>
      <c r="E9008" t="s">
        <v>79</v>
      </c>
      <c r="F9008" s="55">
        <v>98</v>
      </c>
      <c r="G9008" s="63">
        <v>3.56E-2</v>
      </c>
    </row>
    <row r="9009" spans="1:7" x14ac:dyDescent="0.2">
      <c r="A9009" t="s">
        <v>89</v>
      </c>
      <c r="B9009" t="s">
        <v>150</v>
      </c>
      <c r="C9009" t="s">
        <v>223</v>
      </c>
      <c r="D9009" t="s">
        <v>74</v>
      </c>
      <c r="E9009" t="s">
        <v>80</v>
      </c>
      <c r="F9009" s="55">
        <v>139</v>
      </c>
      <c r="G9009" s="63">
        <v>7.4000000000000003E-3</v>
      </c>
    </row>
    <row r="9010" spans="1:7" x14ac:dyDescent="0.2">
      <c r="A9010" t="s">
        <v>89</v>
      </c>
      <c r="B9010" t="s">
        <v>150</v>
      </c>
      <c r="C9010" t="s">
        <v>223</v>
      </c>
      <c r="D9010" t="s">
        <v>74</v>
      </c>
      <c r="E9010" t="s">
        <v>81</v>
      </c>
      <c r="F9010" s="55">
        <v>135</v>
      </c>
      <c r="G9010" s="63">
        <v>8.8000000000000005E-3</v>
      </c>
    </row>
    <row r="9011" spans="1:7" x14ac:dyDescent="0.2">
      <c r="A9011" t="s">
        <v>89</v>
      </c>
      <c r="B9011" t="s">
        <v>150</v>
      </c>
      <c r="C9011" t="s">
        <v>223</v>
      </c>
      <c r="D9011" t="s">
        <v>74</v>
      </c>
      <c r="E9011" t="s">
        <v>82</v>
      </c>
      <c r="F9011" s="55">
        <v>101</v>
      </c>
      <c r="G9011" s="63">
        <v>2.63E-2</v>
      </c>
    </row>
    <row r="9012" spans="1:7" x14ac:dyDescent="0.2">
      <c r="A9012" t="s">
        <v>89</v>
      </c>
      <c r="B9012" t="s">
        <v>150</v>
      </c>
      <c r="C9012" t="s">
        <v>223</v>
      </c>
      <c r="D9012" t="s">
        <v>74</v>
      </c>
      <c r="E9012" t="s">
        <v>83</v>
      </c>
      <c r="F9012" s="55">
        <v>88</v>
      </c>
      <c r="G9012" s="63">
        <v>3.8E-3</v>
      </c>
    </row>
    <row r="9013" spans="1:7" x14ac:dyDescent="0.2">
      <c r="A9013" t="s">
        <v>89</v>
      </c>
      <c r="B9013" t="s">
        <v>150</v>
      </c>
      <c r="C9013" t="s">
        <v>223</v>
      </c>
      <c r="D9013" t="s">
        <v>74</v>
      </c>
      <c r="E9013" t="s">
        <v>84</v>
      </c>
      <c r="F9013" s="55">
        <v>94</v>
      </c>
      <c r="G9013" s="63">
        <v>9.4999999999999998E-3</v>
      </c>
    </row>
    <row r="9014" spans="1:7" x14ac:dyDescent="0.2">
      <c r="A9014" t="s">
        <v>89</v>
      </c>
      <c r="B9014" t="s">
        <v>150</v>
      </c>
      <c r="C9014" t="s">
        <v>223</v>
      </c>
      <c r="D9014" t="s">
        <v>74</v>
      </c>
      <c r="E9014" t="s">
        <v>85</v>
      </c>
      <c r="F9014" s="55">
        <v>105</v>
      </c>
      <c r="G9014" s="63">
        <v>7.9000000000000008E-3</v>
      </c>
    </row>
    <row r="9015" spans="1:7" x14ac:dyDescent="0.2">
      <c r="A9015" t="s">
        <v>89</v>
      </c>
      <c r="B9015" t="s">
        <v>150</v>
      </c>
      <c r="C9015" t="s">
        <v>223</v>
      </c>
      <c r="D9015" t="s">
        <v>74</v>
      </c>
      <c r="E9015" t="s">
        <v>86</v>
      </c>
      <c r="F9015" s="55">
        <v>102</v>
      </c>
      <c r="G9015" s="63">
        <v>1.18E-2</v>
      </c>
    </row>
    <row r="9016" spans="1:7" x14ac:dyDescent="0.2">
      <c r="A9016" t="s">
        <v>89</v>
      </c>
      <c r="B9016" t="s">
        <v>150</v>
      </c>
      <c r="C9016" t="s">
        <v>223</v>
      </c>
      <c r="D9016" t="s">
        <v>74</v>
      </c>
      <c r="E9016" t="s">
        <v>87</v>
      </c>
      <c r="F9016" s="55">
        <v>100</v>
      </c>
      <c r="G9016" s="63">
        <v>1.52E-2</v>
      </c>
    </row>
    <row r="9017" spans="1:7" x14ac:dyDescent="0.2">
      <c r="A9017" t="s">
        <v>89</v>
      </c>
      <c r="B9017" t="s">
        <v>150</v>
      </c>
      <c r="C9017" t="s">
        <v>223</v>
      </c>
      <c r="D9017" t="s">
        <v>74</v>
      </c>
      <c r="E9017" t="s">
        <v>88</v>
      </c>
      <c r="F9017" s="55">
        <v>80</v>
      </c>
      <c r="G9017" s="63">
        <v>9.4999999999999998E-3</v>
      </c>
    </row>
    <row r="9018" spans="1:7" x14ac:dyDescent="0.2">
      <c r="A9018" t="s">
        <v>71</v>
      </c>
      <c r="B9018" t="s">
        <v>151</v>
      </c>
      <c r="C9018" t="s">
        <v>223</v>
      </c>
      <c r="D9018" t="s">
        <v>74</v>
      </c>
      <c r="E9018" t="s">
        <v>75</v>
      </c>
      <c r="F9018" s="55">
        <v>118</v>
      </c>
      <c r="G9018" s="63">
        <v>9.6500000000000002E-2</v>
      </c>
    </row>
    <row r="9019" spans="1:7" x14ac:dyDescent="0.2">
      <c r="A9019" t="s">
        <v>71</v>
      </c>
      <c r="B9019" t="s">
        <v>151</v>
      </c>
      <c r="C9019" t="s">
        <v>223</v>
      </c>
      <c r="D9019" t="s">
        <v>74</v>
      </c>
      <c r="E9019" t="s">
        <v>76</v>
      </c>
      <c r="F9019" s="55">
        <v>105</v>
      </c>
      <c r="G9019" s="63">
        <v>1.38E-2</v>
      </c>
    </row>
    <row r="9020" spans="1:7" x14ac:dyDescent="0.2">
      <c r="A9020" t="s">
        <v>71</v>
      </c>
      <c r="B9020" t="s">
        <v>151</v>
      </c>
      <c r="C9020" t="s">
        <v>223</v>
      </c>
      <c r="D9020" t="s">
        <v>74</v>
      </c>
      <c r="E9020" t="s">
        <v>77</v>
      </c>
      <c r="F9020" s="55">
        <v>123</v>
      </c>
      <c r="G9020" s="63">
        <v>4.1300000000000003E-2</v>
      </c>
    </row>
    <row r="9021" spans="1:7" x14ac:dyDescent="0.2">
      <c r="A9021" t="s">
        <v>71</v>
      </c>
      <c r="B9021" t="s">
        <v>151</v>
      </c>
      <c r="C9021" t="s">
        <v>223</v>
      </c>
      <c r="D9021" t="s">
        <v>74</v>
      </c>
      <c r="E9021" t="s">
        <v>78</v>
      </c>
      <c r="F9021" s="55">
        <v>122</v>
      </c>
      <c r="G9021" s="63">
        <v>3.85E-2</v>
      </c>
    </row>
    <row r="9022" spans="1:7" x14ac:dyDescent="0.2">
      <c r="A9022" t="s">
        <v>71</v>
      </c>
      <c r="B9022" t="s">
        <v>151</v>
      </c>
      <c r="C9022" t="s">
        <v>223</v>
      </c>
      <c r="D9022" t="s">
        <v>74</v>
      </c>
      <c r="E9022" t="s">
        <v>79</v>
      </c>
      <c r="F9022" s="55">
        <v>120</v>
      </c>
      <c r="G9022" s="63">
        <v>6.1100000000000002E-2</v>
      </c>
    </row>
    <row r="9023" spans="1:7" x14ac:dyDescent="0.2">
      <c r="A9023" t="s">
        <v>71</v>
      </c>
      <c r="B9023" t="s">
        <v>151</v>
      </c>
      <c r="C9023" t="s">
        <v>223</v>
      </c>
      <c r="D9023" t="s">
        <v>74</v>
      </c>
      <c r="E9023" t="s">
        <v>80</v>
      </c>
      <c r="F9023" s="55">
        <v>105</v>
      </c>
      <c r="G9023" s="63">
        <v>1.3599999999999999E-2</v>
      </c>
    </row>
    <row r="9024" spans="1:7" x14ac:dyDescent="0.2">
      <c r="A9024" t="s">
        <v>71</v>
      </c>
      <c r="B9024" t="s">
        <v>151</v>
      </c>
      <c r="C9024" t="s">
        <v>223</v>
      </c>
      <c r="D9024" t="s">
        <v>74</v>
      </c>
      <c r="E9024" t="s">
        <v>81</v>
      </c>
      <c r="F9024" s="55">
        <v>104</v>
      </c>
      <c r="G9024" s="63">
        <v>1.6899999999999998E-2</v>
      </c>
    </row>
    <row r="9025" spans="1:7" x14ac:dyDescent="0.2">
      <c r="A9025" t="s">
        <v>71</v>
      </c>
      <c r="B9025" t="s">
        <v>151</v>
      </c>
      <c r="C9025" t="s">
        <v>223</v>
      </c>
      <c r="D9025" t="s">
        <v>74</v>
      </c>
      <c r="E9025" t="s">
        <v>82</v>
      </c>
      <c r="F9025" s="55">
        <v>115</v>
      </c>
      <c r="G9025" s="63">
        <v>5.2200000000000003E-2</v>
      </c>
    </row>
    <row r="9026" spans="1:7" x14ac:dyDescent="0.2">
      <c r="A9026" t="s">
        <v>71</v>
      </c>
      <c r="B9026" t="s">
        <v>151</v>
      </c>
      <c r="C9026" t="s">
        <v>223</v>
      </c>
      <c r="D9026" t="s">
        <v>74</v>
      </c>
      <c r="E9026" t="s">
        <v>83</v>
      </c>
      <c r="F9026" s="55">
        <v>103</v>
      </c>
      <c r="G9026" s="63">
        <v>8.3999999999999995E-3</v>
      </c>
    </row>
    <row r="9027" spans="1:7" x14ac:dyDescent="0.2">
      <c r="A9027" t="s">
        <v>71</v>
      </c>
      <c r="B9027" t="s">
        <v>151</v>
      </c>
      <c r="C9027" t="s">
        <v>223</v>
      </c>
      <c r="D9027" t="s">
        <v>74</v>
      </c>
      <c r="E9027" t="s">
        <v>84</v>
      </c>
      <c r="F9027" s="55">
        <v>124</v>
      </c>
      <c r="G9027" s="63">
        <v>3.0200000000000001E-2</v>
      </c>
    </row>
    <row r="9028" spans="1:7" x14ac:dyDescent="0.2">
      <c r="A9028" t="s">
        <v>71</v>
      </c>
      <c r="B9028" t="s">
        <v>151</v>
      </c>
      <c r="C9028" t="s">
        <v>223</v>
      </c>
      <c r="D9028" t="s">
        <v>74</v>
      </c>
      <c r="E9028" t="s">
        <v>85</v>
      </c>
      <c r="F9028" s="55">
        <v>119</v>
      </c>
      <c r="G9028" s="63">
        <v>1.8100000000000002E-2</v>
      </c>
    </row>
    <row r="9029" spans="1:7" x14ac:dyDescent="0.2">
      <c r="A9029" t="s">
        <v>71</v>
      </c>
      <c r="B9029" t="s">
        <v>151</v>
      </c>
      <c r="C9029" t="s">
        <v>223</v>
      </c>
      <c r="D9029" t="s">
        <v>74</v>
      </c>
      <c r="E9029" t="s">
        <v>86</v>
      </c>
      <c r="F9029" s="55">
        <v>118</v>
      </c>
      <c r="G9029" s="63">
        <v>2.6100000000000002E-2</v>
      </c>
    </row>
    <row r="9030" spans="1:7" x14ac:dyDescent="0.2">
      <c r="A9030" t="s">
        <v>71</v>
      </c>
      <c r="B9030" t="s">
        <v>151</v>
      </c>
      <c r="C9030" t="s">
        <v>223</v>
      </c>
      <c r="D9030" t="s">
        <v>74</v>
      </c>
      <c r="E9030" t="s">
        <v>87</v>
      </c>
      <c r="F9030" s="55">
        <v>121</v>
      </c>
      <c r="G9030" s="63">
        <v>3.2300000000000002E-2</v>
      </c>
    </row>
    <row r="9031" spans="1:7" x14ac:dyDescent="0.2">
      <c r="A9031" t="s">
        <v>71</v>
      </c>
      <c r="B9031" t="s">
        <v>151</v>
      </c>
      <c r="C9031" t="s">
        <v>223</v>
      </c>
      <c r="D9031" t="s">
        <v>74</v>
      </c>
      <c r="E9031" t="s">
        <v>88</v>
      </c>
      <c r="F9031" s="55">
        <v>110</v>
      </c>
      <c r="G9031" s="63">
        <v>2.41E-2</v>
      </c>
    </row>
    <row r="9032" spans="1:7" x14ac:dyDescent="0.2">
      <c r="A9032" t="s">
        <v>71</v>
      </c>
      <c r="B9032" t="s">
        <v>152</v>
      </c>
      <c r="C9032" t="s">
        <v>223</v>
      </c>
      <c r="D9032" t="s">
        <v>74</v>
      </c>
      <c r="E9032" t="s">
        <v>75</v>
      </c>
      <c r="F9032" s="55">
        <v>104</v>
      </c>
      <c r="G9032" s="63">
        <v>0.3422</v>
      </c>
    </row>
    <row r="9033" spans="1:7" x14ac:dyDescent="0.2">
      <c r="A9033" t="s">
        <v>71</v>
      </c>
      <c r="B9033" t="s">
        <v>152</v>
      </c>
      <c r="C9033" t="s">
        <v>223</v>
      </c>
      <c r="D9033" t="s">
        <v>74</v>
      </c>
      <c r="E9033" t="s">
        <v>76</v>
      </c>
      <c r="F9033" s="55">
        <v>98</v>
      </c>
      <c r="G9033" s="63">
        <v>0.1492</v>
      </c>
    </row>
    <row r="9034" spans="1:7" x14ac:dyDescent="0.2">
      <c r="A9034" t="s">
        <v>71</v>
      </c>
      <c r="B9034" t="s">
        <v>152</v>
      </c>
      <c r="C9034" t="s">
        <v>223</v>
      </c>
      <c r="D9034" t="s">
        <v>74</v>
      </c>
      <c r="E9034" t="s">
        <v>77</v>
      </c>
      <c r="F9034" s="55">
        <v>105</v>
      </c>
      <c r="G9034" s="63">
        <v>0.22800000000000001</v>
      </c>
    </row>
    <row r="9035" spans="1:7" x14ac:dyDescent="0.2">
      <c r="A9035" t="s">
        <v>71</v>
      </c>
      <c r="B9035" t="s">
        <v>152</v>
      </c>
      <c r="C9035" t="s">
        <v>223</v>
      </c>
      <c r="D9035" t="s">
        <v>74</v>
      </c>
      <c r="E9035" t="s">
        <v>78</v>
      </c>
      <c r="F9035" s="55">
        <v>106</v>
      </c>
      <c r="G9035" s="63">
        <v>0.2356</v>
      </c>
    </row>
    <row r="9036" spans="1:7" x14ac:dyDescent="0.2">
      <c r="A9036" t="s">
        <v>71</v>
      </c>
      <c r="B9036" t="s">
        <v>152</v>
      </c>
      <c r="C9036" t="s">
        <v>223</v>
      </c>
      <c r="D9036" t="s">
        <v>74</v>
      </c>
      <c r="E9036" t="s">
        <v>79</v>
      </c>
      <c r="F9036" s="55">
        <v>105</v>
      </c>
      <c r="G9036" s="63">
        <v>0.28949999999999998</v>
      </c>
    </row>
    <row r="9037" spans="1:7" x14ac:dyDescent="0.2">
      <c r="A9037" t="s">
        <v>71</v>
      </c>
      <c r="B9037" t="s">
        <v>152</v>
      </c>
      <c r="C9037" t="s">
        <v>223</v>
      </c>
      <c r="D9037" t="s">
        <v>74</v>
      </c>
      <c r="E9037" t="s">
        <v>80</v>
      </c>
      <c r="F9037" s="55">
        <v>104</v>
      </c>
      <c r="G9037" s="63">
        <v>0.2162</v>
      </c>
    </row>
    <row r="9038" spans="1:7" x14ac:dyDescent="0.2">
      <c r="A9038" t="s">
        <v>71</v>
      </c>
      <c r="B9038" t="s">
        <v>152</v>
      </c>
      <c r="C9038" t="s">
        <v>223</v>
      </c>
      <c r="D9038" t="s">
        <v>74</v>
      </c>
      <c r="E9038" t="s">
        <v>81</v>
      </c>
      <c r="F9038" s="55">
        <v>100</v>
      </c>
      <c r="G9038" s="63">
        <v>0.2074</v>
      </c>
    </row>
    <row r="9039" spans="1:7" x14ac:dyDescent="0.2">
      <c r="A9039" t="s">
        <v>71</v>
      </c>
      <c r="B9039" t="s">
        <v>152</v>
      </c>
      <c r="C9039" t="s">
        <v>223</v>
      </c>
      <c r="D9039" t="s">
        <v>74</v>
      </c>
      <c r="E9039" t="s">
        <v>82</v>
      </c>
      <c r="F9039" s="55">
        <v>103</v>
      </c>
      <c r="G9039" s="63">
        <v>0.2316</v>
      </c>
    </row>
    <row r="9040" spans="1:7" x14ac:dyDescent="0.2">
      <c r="A9040" t="s">
        <v>71</v>
      </c>
      <c r="B9040" t="s">
        <v>152</v>
      </c>
      <c r="C9040" t="s">
        <v>223</v>
      </c>
      <c r="D9040" t="s">
        <v>74</v>
      </c>
      <c r="E9040" t="s">
        <v>83</v>
      </c>
      <c r="F9040" s="55">
        <v>98</v>
      </c>
      <c r="G9040" s="63">
        <v>0.11650000000000001</v>
      </c>
    </row>
    <row r="9041" spans="1:7" x14ac:dyDescent="0.2">
      <c r="A9041" t="s">
        <v>71</v>
      </c>
      <c r="B9041" t="s">
        <v>152</v>
      </c>
      <c r="C9041" t="s">
        <v>223</v>
      </c>
      <c r="D9041" t="s">
        <v>74</v>
      </c>
      <c r="E9041" t="s">
        <v>84</v>
      </c>
      <c r="F9041" s="55">
        <v>105</v>
      </c>
      <c r="G9041" s="63">
        <v>0.21390000000000001</v>
      </c>
    </row>
    <row r="9042" spans="1:7" x14ac:dyDescent="0.2">
      <c r="A9042" t="s">
        <v>71</v>
      </c>
      <c r="B9042" t="s">
        <v>152</v>
      </c>
      <c r="C9042" t="s">
        <v>223</v>
      </c>
      <c r="D9042" t="s">
        <v>74</v>
      </c>
      <c r="E9042" t="s">
        <v>85</v>
      </c>
      <c r="F9042" s="55">
        <v>104</v>
      </c>
      <c r="G9042" s="63">
        <v>0.2157</v>
      </c>
    </row>
    <row r="9043" spans="1:7" x14ac:dyDescent="0.2">
      <c r="A9043" t="s">
        <v>71</v>
      </c>
      <c r="B9043" t="s">
        <v>152</v>
      </c>
      <c r="C9043" t="s">
        <v>223</v>
      </c>
      <c r="D9043" t="s">
        <v>74</v>
      </c>
      <c r="E9043" t="s">
        <v>86</v>
      </c>
      <c r="F9043" s="55">
        <v>106</v>
      </c>
      <c r="G9043" s="63">
        <v>0.22289999999999999</v>
      </c>
    </row>
    <row r="9044" spans="1:7" x14ac:dyDescent="0.2">
      <c r="A9044" t="s">
        <v>71</v>
      </c>
      <c r="B9044" t="s">
        <v>152</v>
      </c>
      <c r="C9044" t="s">
        <v>223</v>
      </c>
      <c r="D9044" t="s">
        <v>74</v>
      </c>
      <c r="E9044" t="s">
        <v>87</v>
      </c>
      <c r="F9044" s="55">
        <v>105</v>
      </c>
      <c r="G9044" s="63">
        <v>0.22500000000000001</v>
      </c>
    </row>
    <row r="9045" spans="1:7" x14ac:dyDescent="0.2">
      <c r="A9045" t="s">
        <v>71</v>
      </c>
      <c r="B9045" t="s">
        <v>152</v>
      </c>
      <c r="C9045" t="s">
        <v>223</v>
      </c>
      <c r="D9045" t="s">
        <v>74</v>
      </c>
      <c r="E9045" t="s">
        <v>88</v>
      </c>
      <c r="F9045" s="55">
        <v>98</v>
      </c>
      <c r="G9045" s="63">
        <v>0.17879999999999999</v>
      </c>
    </row>
    <row r="9046" spans="1:7" x14ac:dyDescent="0.2">
      <c r="A9046" t="s">
        <v>71</v>
      </c>
      <c r="B9046" t="s">
        <v>153</v>
      </c>
      <c r="C9046" t="s">
        <v>223</v>
      </c>
      <c r="D9046" t="s">
        <v>74</v>
      </c>
      <c r="E9046" t="s">
        <v>75</v>
      </c>
      <c r="F9046" s="55">
        <v>104</v>
      </c>
      <c r="G9046" s="63">
        <v>0.16520000000000001</v>
      </c>
    </row>
    <row r="9047" spans="1:7" x14ac:dyDescent="0.2">
      <c r="A9047" t="s">
        <v>71</v>
      </c>
      <c r="B9047" t="s">
        <v>153</v>
      </c>
      <c r="C9047" t="s">
        <v>223</v>
      </c>
      <c r="D9047" t="s">
        <v>74</v>
      </c>
      <c r="E9047" t="s">
        <v>76</v>
      </c>
      <c r="F9047" s="55">
        <v>76</v>
      </c>
      <c r="G9047" s="63">
        <v>7.3000000000000001E-3</v>
      </c>
    </row>
    <row r="9048" spans="1:7" x14ac:dyDescent="0.2">
      <c r="A9048" t="s">
        <v>71</v>
      </c>
      <c r="B9048" t="s">
        <v>153</v>
      </c>
      <c r="C9048" t="s">
        <v>223</v>
      </c>
      <c r="D9048" t="s">
        <v>74</v>
      </c>
      <c r="E9048" t="s">
        <v>77</v>
      </c>
      <c r="F9048" s="55">
        <v>100</v>
      </c>
      <c r="G9048" s="63">
        <v>6.8699999999999997E-2</v>
      </c>
    </row>
    <row r="9049" spans="1:7" x14ac:dyDescent="0.2">
      <c r="A9049" t="s">
        <v>71</v>
      </c>
      <c r="B9049" t="s">
        <v>153</v>
      </c>
      <c r="C9049" t="s">
        <v>223</v>
      </c>
      <c r="D9049" t="s">
        <v>74</v>
      </c>
      <c r="E9049" t="s">
        <v>78</v>
      </c>
      <c r="F9049" s="55">
        <v>113</v>
      </c>
      <c r="G9049" s="63">
        <v>7.8399999999999997E-2</v>
      </c>
    </row>
    <row r="9050" spans="1:7" x14ac:dyDescent="0.2">
      <c r="A9050" t="s">
        <v>71</v>
      </c>
      <c r="B9050" t="s">
        <v>153</v>
      </c>
      <c r="C9050" t="s">
        <v>223</v>
      </c>
      <c r="D9050" t="s">
        <v>74</v>
      </c>
      <c r="E9050" t="s">
        <v>79</v>
      </c>
      <c r="F9050" s="55">
        <v>103</v>
      </c>
      <c r="G9050" s="63">
        <v>0.1196</v>
      </c>
    </row>
    <row r="9051" spans="1:7" x14ac:dyDescent="0.2">
      <c r="A9051" t="s">
        <v>71</v>
      </c>
      <c r="B9051" t="s">
        <v>153</v>
      </c>
      <c r="C9051" t="s">
        <v>223</v>
      </c>
      <c r="D9051" t="s">
        <v>74</v>
      </c>
      <c r="E9051" t="s">
        <v>80</v>
      </c>
      <c r="F9051" s="55">
        <v>99</v>
      </c>
      <c r="G9051" s="63">
        <v>4.1000000000000002E-2</v>
      </c>
    </row>
    <row r="9052" spans="1:7" x14ac:dyDescent="0.2">
      <c r="A9052" t="s">
        <v>71</v>
      </c>
      <c r="B9052" t="s">
        <v>153</v>
      </c>
      <c r="C9052" t="s">
        <v>223</v>
      </c>
      <c r="D9052" t="s">
        <v>74</v>
      </c>
      <c r="E9052" t="s">
        <v>81</v>
      </c>
      <c r="F9052" s="55">
        <v>91</v>
      </c>
      <c r="G9052" s="63">
        <v>3.3799999999999997E-2</v>
      </c>
    </row>
    <row r="9053" spans="1:7" x14ac:dyDescent="0.2">
      <c r="A9053" t="s">
        <v>71</v>
      </c>
      <c r="B9053" t="s">
        <v>153</v>
      </c>
      <c r="C9053" t="s">
        <v>223</v>
      </c>
      <c r="D9053" t="s">
        <v>74</v>
      </c>
      <c r="E9053" t="s">
        <v>82</v>
      </c>
      <c r="F9053" s="55">
        <v>103</v>
      </c>
      <c r="G9053" s="63">
        <v>7.4499999999999997E-2</v>
      </c>
    </row>
    <row r="9054" spans="1:7" x14ac:dyDescent="0.2">
      <c r="A9054" t="s">
        <v>71</v>
      </c>
      <c r="B9054" t="s">
        <v>153</v>
      </c>
      <c r="C9054" t="s">
        <v>223</v>
      </c>
      <c r="D9054" t="s">
        <v>74</v>
      </c>
      <c r="E9054" t="s">
        <v>83</v>
      </c>
      <c r="F9054" s="55">
        <v>84</v>
      </c>
      <c r="G9054" s="63">
        <v>7.7999999999999996E-3</v>
      </c>
    </row>
    <row r="9055" spans="1:7" x14ac:dyDescent="0.2">
      <c r="A9055" t="s">
        <v>71</v>
      </c>
      <c r="B9055" t="s">
        <v>153</v>
      </c>
      <c r="C9055" t="s">
        <v>223</v>
      </c>
      <c r="D9055" t="s">
        <v>74</v>
      </c>
      <c r="E9055" t="s">
        <v>84</v>
      </c>
      <c r="F9055" s="55">
        <v>115</v>
      </c>
      <c r="G9055" s="63">
        <v>7.0499999999999993E-2</v>
      </c>
    </row>
    <row r="9056" spans="1:7" x14ac:dyDescent="0.2">
      <c r="A9056" t="s">
        <v>71</v>
      </c>
      <c r="B9056" t="s">
        <v>153</v>
      </c>
      <c r="C9056" t="s">
        <v>223</v>
      </c>
      <c r="D9056" t="s">
        <v>74</v>
      </c>
      <c r="E9056" t="s">
        <v>85</v>
      </c>
      <c r="F9056" s="55">
        <v>101</v>
      </c>
      <c r="G9056" s="63">
        <v>4.53E-2</v>
      </c>
    </row>
    <row r="9057" spans="1:7" x14ac:dyDescent="0.2">
      <c r="A9057" t="s">
        <v>71</v>
      </c>
      <c r="B9057" t="s">
        <v>153</v>
      </c>
      <c r="C9057" t="s">
        <v>223</v>
      </c>
      <c r="D9057" t="s">
        <v>74</v>
      </c>
      <c r="E9057" t="s">
        <v>86</v>
      </c>
      <c r="F9057" s="55">
        <v>102</v>
      </c>
      <c r="G9057" s="63">
        <v>6.7100000000000007E-2</v>
      </c>
    </row>
    <row r="9058" spans="1:7" x14ac:dyDescent="0.2">
      <c r="A9058" t="s">
        <v>71</v>
      </c>
      <c r="B9058" t="s">
        <v>153</v>
      </c>
      <c r="C9058" t="s">
        <v>223</v>
      </c>
      <c r="D9058" t="s">
        <v>74</v>
      </c>
      <c r="E9058" t="s">
        <v>87</v>
      </c>
      <c r="F9058" s="55">
        <v>105</v>
      </c>
      <c r="G9058" s="63">
        <v>7.4099999999999999E-2</v>
      </c>
    </row>
    <row r="9059" spans="1:7" x14ac:dyDescent="0.2">
      <c r="A9059" t="s">
        <v>71</v>
      </c>
      <c r="B9059" t="s">
        <v>153</v>
      </c>
      <c r="C9059" t="s">
        <v>223</v>
      </c>
      <c r="D9059" t="s">
        <v>74</v>
      </c>
      <c r="E9059" t="s">
        <v>88</v>
      </c>
      <c r="F9059" s="55">
        <v>82</v>
      </c>
      <c r="G9059" s="63">
        <v>1.3100000000000001E-2</v>
      </c>
    </row>
    <row r="9060" spans="1:7" x14ac:dyDescent="0.2">
      <c r="A9060" t="s">
        <v>89</v>
      </c>
      <c r="B9060" t="s">
        <v>154</v>
      </c>
      <c r="C9060" t="s">
        <v>223</v>
      </c>
      <c r="D9060" t="s">
        <v>74</v>
      </c>
      <c r="E9060" t="s">
        <v>75</v>
      </c>
      <c r="F9060" s="55">
        <v>97</v>
      </c>
      <c r="G9060" s="63">
        <v>0.1769</v>
      </c>
    </row>
    <row r="9061" spans="1:7" x14ac:dyDescent="0.2">
      <c r="A9061" t="s">
        <v>89</v>
      </c>
      <c r="B9061" t="s">
        <v>154</v>
      </c>
      <c r="C9061" t="s">
        <v>223</v>
      </c>
      <c r="D9061" t="s">
        <v>74</v>
      </c>
      <c r="E9061" t="s">
        <v>76</v>
      </c>
      <c r="F9061" s="55">
        <v>104</v>
      </c>
      <c r="G9061" s="63">
        <v>2.2599999999999999E-2</v>
      </c>
    </row>
    <row r="9062" spans="1:7" x14ac:dyDescent="0.2">
      <c r="A9062" t="s">
        <v>89</v>
      </c>
      <c r="B9062" t="s">
        <v>154</v>
      </c>
      <c r="C9062" t="s">
        <v>223</v>
      </c>
      <c r="D9062" t="s">
        <v>74</v>
      </c>
      <c r="E9062" t="s">
        <v>77</v>
      </c>
      <c r="F9062" s="55">
        <v>102</v>
      </c>
      <c r="G9062" s="63">
        <v>7.17E-2</v>
      </c>
    </row>
    <row r="9063" spans="1:7" x14ac:dyDescent="0.2">
      <c r="A9063" t="s">
        <v>89</v>
      </c>
      <c r="B9063" t="s">
        <v>154</v>
      </c>
      <c r="C9063" t="s">
        <v>223</v>
      </c>
      <c r="D9063" t="s">
        <v>74</v>
      </c>
      <c r="E9063" t="s">
        <v>78</v>
      </c>
      <c r="F9063" s="55">
        <v>104</v>
      </c>
      <c r="G9063" s="63">
        <v>6.5799999999999997E-2</v>
      </c>
    </row>
    <row r="9064" spans="1:7" x14ac:dyDescent="0.2">
      <c r="A9064" t="s">
        <v>89</v>
      </c>
      <c r="B9064" t="s">
        <v>154</v>
      </c>
      <c r="C9064" t="s">
        <v>223</v>
      </c>
      <c r="D9064" t="s">
        <v>74</v>
      </c>
      <c r="E9064" t="s">
        <v>79</v>
      </c>
      <c r="F9064" s="55">
        <v>95</v>
      </c>
      <c r="G9064" s="63">
        <v>0.1229</v>
      </c>
    </row>
    <row r="9065" spans="1:7" x14ac:dyDescent="0.2">
      <c r="A9065" t="s">
        <v>89</v>
      </c>
      <c r="B9065" t="s">
        <v>154</v>
      </c>
      <c r="C9065" t="s">
        <v>223</v>
      </c>
      <c r="D9065" t="s">
        <v>74</v>
      </c>
      <c r="E9065" t="s">
        <v>80</v>
      </c>
      <c r="F9065" s="55">
        <v>95</v>
      </c>
      <c r="G9065" s="63">
        <v>8.0699999999999994E-2</v>
      </c>
    </row>
    <row r="9066" spans="1:7" x14ac:dyDescent="0.2">
      <c r="A9066" t="s">
        <v>89</v>
      </c>
      <c r="B9066" t="s">
        <v>154</v>
      </c>
      <c r="C9066" t="s">
        <v>223</v>
      </c>
      <c r="D9066" t="s">
        <v>74</v>
      </c>
      <c r="E9066" t="s">
        <v>81</v>
      </c>
      <c r="F9066" s="55">
        <v>92</v>
      </c>
      <c r="G9066" s="63">
        <v>7.3499999999999996E-2</v>
      </c>
    </row>
    <row r="9067" spans="1:7" x14ac:dyDescent="0.2">
      <c r="A9067" t="s">
        <v>89</v>
      </c>
      <c r="B9067" t="s">
        <v>154</v>
      </c>
      <c r="C9067" t="s">
        <v>223</v>
      </c>
      <c r="D9067" t="s">
        <v>74</v>
      </c>
      <c r="E9067" t="s">
        <v>82</v>
      </c>
      <c r="F9067" s="55">
        <v>97</v>
      </c>
      <c r="G9067" s="63">
        <v>8.6300000000000002E-2</v>
      </c>
    </row>
    <row r="9068" spans="1:7" x14ac:dyDescent="0.2">
      <c r="A9068" t="s">
        <v>89</v>
      </c>
      <c r="B9068" t="s">
        <v>154</v>
      </c>
      <c r="C9068" t="s">
        <v>223</v>
      </c>
      <c r="D9068" t="s">
        <v>74</v>
      </c>
      <c r="E9068" t="s">
        <v>83</v>
      </c>
      <c r="F9068" s="55">
        <v>97</v>
      </c>
      <c r="G9068" s="63">
        <v>2.3699999999999999E-2</v>
      </c>
    </row>
    <row r="9069" spans="1:7" x14ac:dyDescent="0.2">
      <c r="A9069" t="s">
        <v>89</v>
      </c>
      <c r="B9069" t="s">
        <v>154</v>
      </c>
      <c r="C9069" t="s">
        <v>223</v>
      </c>
      <c r="D9069" t="s">
        <v>74</v>
      </c>
      <c r="E9069" t="s">
        <v>84</v>
      </c>
      <c r="F9069" s="55">
        <v>106</v>
      </c>
      <c r="G9069" s="63">
        <v>5.5100000000000003E-2</v>
      </c>
    </row>
    <row r="9070" spans="1:7" x14ac:dyDescent="0.2">
      <c r="A9070" t="s">
        <v>89</v>
      </c>
      <c r="B9070" t="s">
        <v>154</v>
      </c>
      <c r="C9070" t="s">
        <v>223</v>
      </c>
      <c r="D9070" t="s">
        <v>74</v>
      </c>
      <c r="E9070" t="s">
        <v>85</v>
      </c>
      <c r="F9070" s="55">
        <v>98</v>
      </c>
      <c r="G9070" s="63">
        <v>7.2599999999999998E-2</v>
      </c>
    </row>
    <row r="9071" spans="1:7" x14ac:dyDescent="0.2">
      <c r="A9071" t="s">
        <v>89</v>
      </c>
      <c r="B9071" t="s">
        <v>154</v>
      </c>
      <c r="C9071" t="s">
        <v>223</v>
      </c>
      <c r="D9071" t="s">
        <v>74</v>
      </c>
      <c r="E9071" t="s">
        <v>86</v>
      </c>
      <c r="F9071" s="55">
        <v>94</v>
      </c>
      <c r="G9071" s="63">
        <v>7.1900000000000006E-2</v>
      </c>
    </row>
    <row r="9072" spans="1:7" x14ac:dyDescent="0.2">
      <c r="A9072" t="s">
        <v>89</v>
      </c>
      <c r="B9072" t="s">
        <v>154</v>
      </c>
      <c r="C9072" t="s">
        <v>223</v>
      </c>
      <c r="D9072" t="s">
        <v>74</v>
      </c>
      <c r="E9072" t="s">
        <v>87</v>
      </c>
      <c r="F9072" s="55">
        <v>92</v>
      </c>
      <c r="G9072" s="63">
        <v>6.9199999999999998E-2</v>
      </c>
    </row>
    <row r="9073" spans="1:7" x14ac:dyDescent="0.2">
      <c r="A9073" t="s">
        <v>89</v>
      </c>
      <c r="B9073" t="s">
        <v>154</v>
      </c>
      <c r="C9073" t="s">
        <v>223</v>
      </c>
      <c r="D9073" t="s">
        <v>74</v>
      </c>
      <c r="E9073" t="s">
        <v>88</v>
      </c>
      <c r="F9073" s="55">
        <v>100</v>
      </c>
      <c r="G9073" s="63">
        <v>3.4799999999999998E-2</v>
      </c>
    </row>
    <row r="9074" spans="1:7" x14ac:dyDescent="0.2">
      <c r="A9074" t="s">
        <v>71</v>
      </c>
      <c r="B9074" t="s">
        <v>155</v>
      </c>
      <c r="C9074" t="s">
        <v>223</v>
      </c>
      <c r="D9074" t="s">
        <v>74</v>
      </c>
      <c r="E9074" t="s">
        <v>75</v>
      </c>
      <c r="F9074" s="55">
        <v>87</v>
      </c>
      <c r="G9074" s="63">
        <v>0.1774</v>
      </c>
    </row>
    <row r="9075" spans="1:7" x14ac:dyDescent="0.2">
      <c r="A9075" t="s">
        <v>71</v>
      </c>
      <c r="B9075" t="s">
        <v>155</v>
      </c>
      <c r="C9075" t="s">
        <v>223</v>
      </c>
      <c r="D9075" t="s">
        <v>74</v>
      </c>
      <c r="E9075" t="s">
        <v>76</v>
      </c>
      <c r="F9075" s="55">
        <v>86</v>
      </c>
      <c r="G9075" s="63">
        <v>2.1899999999999999E-2</v>
      </c>
    </row>
    <row r="9076" spans="1:7" x14ac:dyDescent="0.2">
      <c r="A9076" t="s">
        <v>71</v>
      </c>
      <c r="B9076" t="s">
        <v>155</v>
      </c>
      <c r="C9076" t="s">
        <v>223</v>
      </c>
      <c r="D9076" t="s">
        <v>74</v>
      </c>
      <c r="E9076" t="s">
        <v>77</v>
      </c>
      <c r="F9076" s="55">
        <v>88</v>
      </c>
      <c r="G9076" s="63">
        <v>5.8900000000000001E-2</v>
      </c>
    </row>
    <row r="9077" spans="1:7" x14ac:dyDescent="0.2">
      <c r="A9077" t="s">
        <v>71</v>
      </c>
      <c r="B9077" t="s">
        <v>155</v>
      </c>
      <c r="C9077" t="s">
        <v>223</v>
      </c>
      <c r="D9077" t="s">
        <v>74</v>
      </c>
      <c r="E9077" t="s">
        <v>78</v>
      </c>
      <c r="F9077" s="55">
        <v>88</v>
      </c>
      <c r="G9077" s="63">
        <v>6.0400000000000002E-2</v>
      </c>
    </row>
    <row r="9078" spans="1:7" x14ac:dyDescent="0.2">
      <c r="A9078" t="s">
        <v>71</v>
      </c>
      <c r="B9078" t="s">
        <v>155</v>
      </c>
      <c r="C9078" t="s">
        <v>223</v>
      </c>
      <c r="D9078" t="s">
        <v>74</v>
      </c>
      <c r="E9078" t="s">
        <v>79</v>
      </c>
      <c r="F9078" s="55">
        <v>82</v>
      </c>
      <c r="G9078" s="63">
        <v>0.1201</v>
      </c>
    </row>
    <row r="9079" spans="1:7" x14ac:dyDescent="0.2">
      <c r="A9079" t="s">
        <v>71</v>
      </c>
      <c r="B9079" t="s">
        <v>155</v>
      </c>
      <c r="C9079" t="s">
        <v>223</v>
      </c>
      <c r="D9079" t="s">
        <v>74</v>
      </c>
      <c r="E9079" t="s">
        <v>80</v>
      </c>
      <c r="F9079" s="55">
        <v>82</v>
      </c>
      <c r="G9079" s="63">
        <v>3.0200000000000001E-2</v>
      </c>
    </row>
    <row r="9080" spans="1:7" x14ac:dyDescent="0.2">
      <c r="A9080" t="s">
        <v>71</v>
      </c>
      <c r="B9080" t="s">
        <v>155</v>
      </c>
      <c r="C9080" t="s">
        <v>223</v>
      </c>
      <c r="D9080" t="s">
        <v>74</v>
      </c>
      <c r="E9080" t="s">
        <v>81</v>
      </c>
      <c r="F9080" s="55">
        <v>86</v>
      </c>
      <c r="G9080" s="63">
        <v>3.3799999999999997E-2</v>
      </c>
    </row>
    <row r="9081" spans="1:7" x14ac:dyDescent="0.2">
      <c r="A9081" t="s">
        <v>71</v>
      </c>
      <c r="B9081" t="s">
        <v>155</v>
      </c>
      <c r="C9081" t="s">
        <v>223</v>
      </c>
      <c r="D9081" t="s">
        <v>74</v>
      </c>
      <c r="E9081" t="s">
        <v>82</v>
      </c>
      <c r="F9081" s="55">
        <v>91</v>
      </c>
      <c r="G9081" s="63">
        <v>8.7800000000000003E-2</v>
      </c>
    </row>
    <row r="9082" spans="1:7" x14ac:dyDescent="0.2">
      <c r="A9082" t="s">
        <v>71</v>
      </c>
      <c r="B9082" t="s">
        <v>155</v>
      </c>
      <c r="C9082" t="s">
        <v>223</v>
      </c>
      <c r="D9082" t="s">
        <v>74</v>
      </c>
      <c r="E9082" t="s">
        <v>83</v>
      </c>
      <c r="F9082" s="55">
        <v>86</v>
      </c>
      <c r="G9082" s="63">
        <v>1.6400000000000001E-2</v>
      </c>
    </row>
    <row r="9083" spans="1:7" x14ac:dyDescent="0.2">
      <c r="A9083" t="s">
        <v>71</v>
      </c>
      <c r="B9083" t="s">
        <v>155</v>
      </c>
      <c r="C9083" t="s">
        <v>223</v>
      </c>
      <c r="D9083" t="s">
        <v>74</v>
      </c>
      <c r="E9083" t="s">
        <v>84</v>
      </c>
      <c r="F9083" s="55">
        <v>90</v>
      </c>
      <c r="G9083" s="63">
        <v>4.65E-2</v>
      </c>
    </row>
    <row r="9084" spans="1:7" x14ac:dyDescent="0.2">
      <c r="A9084" t="s">
        <v>71</v>
      </c>
      <c r="B9084" t="s">
        <v>155</v>
      </c>
      <c r="C9084" t="s">
        <v>223</v>
      </c>
      <c r="D9084" t="s">
        <v>74</v>
      </c>
      <c r="E9084" t="s">
        <v>85</v>
      </c>
      <c r="F9084" s="55">
        <v>80</v>
      </c>
      <c r="G9084" s="63">
        <v>3.3300000000000003E-2</v>
      </c>
    </row>
    <row r="9085" spans="1:7" x14ac:dyDescent="0.2">
      <c r="A9085" t="s">
        <v>71</v>
      </c>
      <c r="B9085" t="s">
        <v>155</v>
      </c>
      <c r="C9085" t="s">
        <v>223</v>
      </c>
      <c r="D9085" t="s">
        <v>74</v>
      </c>
      <c r="E9085" t="s">
        <v>86</v>
      </c>
      <c r="F9085" s="55">
        <v>80</v>
      </c>
      <c r="G9085" s="63">
        <v>4.8300000000000003E-2</v>
      </c>
    </row>
    <row r="9086" spans="1:7" x14ac:dyDescent="0.2">
      <c r="A9086" t="s">
        <v>71</v>
      </c>
      <c r="B9086" t="s">
        <v>155</v>
      </c>
      <c r="C9086" t="s">
        <v>223</v>
      </c>
      <c r="D9086" t="s">
        <v>74</v>
      </c>
      <c r="E9086" t="s">
        <v>87</v>
      </c>
      <c r="F9086" s="55">
        <v>81</v>
      </c>
      <c r="G9086" s="63">
        <v>5.9299999999999999E-2</v>
      </c>
    </row>
    <row r="9087" spans="1:7" x14ac:dyDescent="0.2">
      <c r="A9087" t="s">
        <v>71</v>
      </c>
      <c r="B9087" t="s">
        <v>155</v>
      </c>
      <c r="C9087" t="s">
        <v>223</v>
      </c>
      <c r="D9087" t="s">
        <v>74</v>
      </c>
      <c r="E9087" t="s">
        <v>88</v>
      </c>
      <c r="F9087" s="55">
        <v>88</v>
      </c>
      <c r="G9087" s="63">
        <v>3.4599999999999999E-2</v>
      </c>
    </row>
    <row r="9088" spans="1:7" x14ac:dyDescent="0.2">
      <c r="A9088" t="s">
        <v>89</v>
      </c>
      <c r="B9088" t="s">
        <v>156</v>
      </c>
      <c r="C9088" t="s">
        <v>223</v>
      </c>
      <c r="D9088" t="s">
        <v>74</v>
      </c>
      <c r="E9088" t="s">
        <v>75</v>
      </c>
      <c r="F9088" s="55">
        <v>80</v>
      </c>
      <c r="G9088" s="63">
        <v>6.3299999999999995E-2</v>
      </c>
    </row>
    <row r="9089" spans="1:7" x14ac:dyDescent="0.2">
      <c r="A9089" t="s">
        <v>89</v>
      </c>
      <c r="B9089" t="s">
        <v>156</v>
      </c>
      <c r="C9089" t="s">
        <v>223</v>
      </c>
      <c r="D9089" t="s">
        <v>74</v>
      </c>
      <c r="E9089" t="s">
        <v>76</v>
      </c>
      <c r="F9089" s="55">
        <v>100</v>
      </c>
      <c r="G9089" s="63">
        <v>7.1000000000000004E-3</v>
      </c>
    </row>
    <row r="9090" spans="1:7" x14ac:dyDescent="0.2">
      <c r="A9090" t="s">
        <v>89</v>
      </c>
      <c r="B9090" t="s">
        <v>156</v>
      </c>
      <c r="C9090" t="s">
        <v>223</v>
      </c>
      <c r="D9090" t="s">
        <v>74</v>
      </c>
      <c r="E9090" t="s">
        <v>77</v>
      </c>
      <c r="F9090" s="55">
        <v>90</v>
      </c>
      <c r="G9090" s="63">
        <v>1.9099999999999999E-2</v>
      </c>
    </row>
    <row r="9091" spans="1:7" x14ac:dyDescent="0.2">
      <c r="A9091" t="s">
        <v>89</v>
      </c>
      <c r="B9091" t="s">
        <v>156</v>
      </c>
      <c r="C9091" t="s">
        <v>223</v>
      </c>
      <c r="D9091" t="s">
        <v>74</v>
      </c>
      <c r="E9091" t="s">
        <v>78</v>
      </c>
      <c r="F9091" s="55">
        <v>83</v>
      </c>
      <c r="G9091" s="63">
        <v>1.6500000000000001E-2</v>
      </c>
    </row>
    <row r="9092" spans="1:7" x14ac:dyDescent="0.2">
      <c r="A9092" t="s">
        <v>89</v>
      </c>
      <c r="B9092" t="s">
        <v>156</v>
      </c>
      <c r="C9092" t="s">
        <v>223</v>
      </c>
      <c r="D9092" t="s">
        <v>74</v>
      </c>
      <c r="E9092" t="s">
        <v>79</v>
      </c>
      <c r="F9092" s="55">
        <v>78</v>
      </c>
      <c r="G9092" s="63">
        <v>3.5999999999999997E-2</v>
      </c>
    </row>
    <row r="9093" spans="1:7" x14ac:dyDescent="0.2">
      <c r="A9093" t="s">
        <v>89</v>
      </c>
      <c r="B9093" t="s">
        <v>156</v>
      </c>
      <c r="C9093" t="s">
        <v>223</v>
      </c>
      <c r="D9093" t="s">
        <v>74</v>
      </c>
      <c r="E9093" t="s">
        <v>80</v>
      </c>
      <c r="F9093" s="55">
        <v>61</v>
      </c>
      <c r="G9093" s="63">
        <v>6.1000000000000004E-3</v>
      </c>
    </row>
    <row r="9094" spans="1:7" x14ac:dyDescent="0.2">
      <c r="A9094" t="s">
        <v>89</v>
      </c>
      <c r="B9094" t="s">
        <v>156</v>
      </c>
      <c r="C9094" t="s">
        <v>223</v>
      </c>
      <c r="D9094" t="s">
        <v>74</v>
      </c>
      <c r="E9094" t="s">
        <v>81</v>
      </c>
      <c r="F9094" s="55">
        <v>63</v>
      </c>
      <c r="G9094" s="63">
        <v>8.6999999999999994E-3</v>
      </c>
    </row>
    <row r="9095" spans="1:7" x14ac:dyDescent="0.2">
      <c r="A9095" t="s">
        <v>89</v>
      </c>
      <c r="B9095" t="s">
        <v>156</v>
      </c>
      <c r="C9095" t="s">
        <v>223</v>
      </c>
      <c r="D9095" t="s">
        <v>74</v>
      </c>
      <c r="E9095" t="s">
        <v>82</v>
      </c>
      <c r="F9095" s="55">
        <v>75</v>
      </c>
      <c r="G9095" s="63">
        <v>2.18E-2</v>
      </c>
    </row>
    <row r="9096" spans="1:7" x14ac:dyDescent="0.2">
      <c r="A9096" t="s">
        <v>89</v>
      </c>
      <c r="B9096" t="s">
        <v>156</v>
      </c>
      <c r="C9096" t="s">
        <v>223</v>
      </c>
      <c r="D9096" t="s">
        <v>74</v>
      </c>
      <c r="E9096" t="s">
        <v>83</v>
      </c>
      <c r="F9096" s="55">
        <v>97</v>
      </c>
      <c r="G9096" s="63">
        <v>5.3E-3</v>
      </c>
    </row>
    <row r="9097" spans="1:7" x14ac:dyDescent="0.2">
      <c r="A9097" t="s">
        <v>89</v>
      </c>
      <c r="B9097" t="s">
        <v>156</v>
      </c>
      <c r="C9097" t="s">
        <v>223</v>
      </c>
      <c r="D9097" t="s">
        <v>74</v>
      </c>
      <c r="E9097" t="s">
        <v>84</v>
      </c>
      <c r="F9097" s="55">
        <v>81</v>
      </c>
      <c r="G9097" s="63">
        <v>1.12E-2</v>
      </c>
    </row>
    <row r="9098" spans="1:7" x14ac:dyDescent="0.2">
      <c r="A9098" t="s">
        <v>89</v>
      </c>
      <c r="B9098" t="s">
        <v>156</v>
      </c>
      <c r="C9098" t="s">
        <v>223</v>
      </c>
      <c r="D9098" t="s">
        <v>74</v>
      </c>
      <c r="E9098" t="s">
        <v>85</v>
      </c>
      <c r="F9098" s="55">
        <v>65</v>
      </c>
      <c r="G9098" s="63">
        <v>7.1999999999999998E-3</v>
      </c>
    </row>
    <row r="9099" spans="1:7" x14ac:dyDescent="0.2">
      <c r="A9099" t="s">
        <v>89</v>
      </c>
      <c r="B9099" t="s">
        <v>156</v>
      </c>
      <c r="C9099" t="s">
        <v>223</v>
      </c>
      <c r="D9099" t="s">
        <v>74</v>
      </c>
      <c r="E9099" t="s">
        <v>86</v>
      </c>
      <c r="F9099" s="55">
        <v>73</v>
      </c>
      <c r="G9099" s="63">
        <v>1.15E-2</v>
      </c>
    </row>
    <row r="9100" spans="1:7" x14ac:dyDescent="0.2">
      <c r="A9100" t="s">
        <v>89</v>
      </c>
      <c r="B9100" t="s">
        <v>156</v>
      </c>
      <c r="C9100" t="s">
        <v>223</v>
      </c>
      <c r="D9100" t="s">
        <v>74</v>
      </c>
      <c r="E9100" t="s">
        <v>87</v>
      </c>
      <c r="F9100" s="55">
        <v>76</v>
      </c>
      <c r="G9100" s="63">
        <v>1.47E-2</v>
      </c>
    </row>
    <row r="9101" spans="1:7" x14ac:dyDescent="0.2">
      <c r="A9101" t="s">
        <v>89</v>
      </c>
      <c r="B9101" t="s">
        <v>156</v>
      </c>
      <c r="C9101" t="s">
        <v>223</v>
      </c>
      <c r="D9101" t="s">
        <v>74</v>
      </c>
      <c r="E9101" t="s">
        <v>88</v>
      </c>
      <c r="F9101" s="55">
        <v>87</v>
      </c>
      <c r="G9101" s="63">
        <v>1.03E-2</v>
      </c>
    </row>
    <row r="9102" spans="1:7" x14ac:dyDescent="0.2">
      <c r="A9102" t="s">
        <v>89</v>
      </c>
      <c r="B9102" t="s">
        <v>157</v>
      </c>
      <c r="C9102" t="s">
        <v>223</v>
      </c>
      <c r="D9102" t="s">
        <v>74</v>
      </c>
      <c r="E9102" t="s">
        <v>75</v>
      </c>
      <c r="F9102" s="55">
        <v>114</v>
      </c>
      <c r="G9102" s="63">
        <v>0.1527</v>
      </c>
    </row>
    <row r="9103" spans="1:7" x14ac:dyDescent="0.2">
      <c r="A9103" t="s">
        <v>89</v>
      </c>
      <c r="B9103" t="s">
        <v>157</v>
      </c>
      <c r="C9103" t="s">
        <v>223</v>
      </c>
      <c r="D9103" t="s">
        <v>74</v>
      </c>
      <c r="E9103" t="s">
        <v>76</v>
      </c>
      <c r="F9103" s="55">
        <v>120</v>
      </c>
      <c r="G9103" s="63">
        <v>1.35E-2</v>
      </c>
    </row>
    <row r="9104" spans="1:7" x14ac:dyDescent="0.2">
      <c r="A9104" t="s">
        <v>89</v>
      </c>
      <c r="B9104" t="s">
        <v>157</v>
      </c>
      <c r="C9104" t="s">
        <v>223</v>
      </c>
      <c r="D9104" t="s">
        <v>74</v>
      </c>
      <c r="E9104" t="s">
        <v>77</v>
      </c>
      <c r="F9104" s="55">
        <v>112</v>
      </c>
      <c r="G9104" s="63">
        <v>5.67E-2</v>
      </c>
    </row>
    <row r="9105" spans="1:7" x14ac:dyDescent="0.2">
      <c r="A9105" t="s">
        <v>89</v>
      </c>
      <c r="B9105" t="s">
        <v>157</v>
      </c>
      <c r="C9105" t="s">
        <v>223</v>
      </c>
      <c r="D9105" t="s">
        <v>74</v>
      </c>
      <c r="E9105" t="s">
        <v>78</v>
      </c>
      <c r="F9105" s="55">
        <v>117</v>
      </c>
      <c r="G9105" s="63">
        <v>5.11E-2</v>
      </c>
    </row>
    <row r="9106" spans="1:7" x14ac:dyDescent="0.2">
      <c r="A9106" t="s">
        <v>89</v>
      </c>
      <c r="B9106" t="s">
        <v>157</v>
      </c>
      <c r="C9106" t="s">
        <v>223</v>
      </c>
      <c r="D9106" t="s">
        <v>74</v>
      </c>
      <c r="E9106" t="s">
        <v>79</v>
      </c>
      <c r="F9106" s="55">
        <v>114</v>
      </c>
      <c r="G9106" s="63">
        <v>0.1019</v>
      </c>
    </row>
    <row r="9107" spans="1:7" x14ac:dyDescent="0.2">
      <c r="A9107" t="s">
        <v>89</v>
      </c>
      <c r="B9107" t="s">
        <v>157</v>
      </c>
      <c r="C9107" t="s">
        <v>223</v>
      </c>
      <c r="D9107" t="s">
        <v>74</v>
      </c>
      <c r="E9107" t="s">
        <v>80</v>
      </c>
      <c r="F9107" s="55">
        <v>115</v>
      </c>
      <c r="G9107" s="63">
        <v>6.5799999999999997E-2</v>
      </c>
    </row>
    <row r="9108" spans="1:7" x14ac:dyDescent="0.2">
      <c r="A9108" t="s">
        <v>89</v>
      </c>
      <c r="B9108" t="s">
        <v>157</v>
      </c>
      <c r="C9108" t="s">
        <v>223</v>
      </c>
      <c r="D9108" t="s">
        <v>74</v>
      </c>
      <c r="E9108" t="s">
        <v>81</v>
      </c>
      <c r="F9108" s="55">
        <v>112</v>
      </c>
      <c r="G9108" s="63">
        <v>5.5800000000000002E-2</v>
      </c>
    </row>
    <row r="9109" spans="1:7" x14ac:dyDescent="0.2">
      <c r="A9109" t="s">
        <v>89</v>
      </c>
      <c r="B9109" t="s">
        <v>157</v>
      </c>
      <c r="C9109" t="s">
        <v>223</v>
      </c>
      <c r="D9109" t="s">
        <v>74</v>
      </c>
      <c r="E9109" t="s">
        <v>82</v>
      </c>
      <c r="F9109" s="55">
        <v>111</v>
      </c>
      <c r="G9109" s="63">
        <v>6.3799999999999996E-2</v>
      </c>
    </row>
    <row r="9110" spans="1:7" x14ac:dyDescent="0.2">
      <c r="A9110" t="s">
        <v>89</v>
      </c>
      <c r="B9110" t="s">
        <v>157</v>
      </c>
      <c r="C9110" t="s">
        <v>223</v>
      </c>
      <c r="D9110" t="s">
        <v>74</v>
      </c>
      <c r="E9110" t="s">
        <v>83</v>
      </c>
      <c r="F9110" s="55">
        <v>112</v>
      </c>
      <c r="G9110" s="63">
        <v>1.17E-2</v>
      </c>
    </row>
    <row r="9111" spans="1:7" x14ac:dyDescent="0.2">
      <c r="A9111" t="s">
        <v>89</v>
      </c>
      <c r="B9111" t="s">
        <v>157</v>
      </c>
      <c r="C9111" t="s">
        <v>223</v>
      </c>
      <c r="D9111" t="s">
        <v>74</v>
      </c>
      <c r="E9111" t="s">
        <v>84</v>
      </c>
      <c r="F9111" s="55">
        <v>119</v>
      </c>
      <c r="G9111" s="63">
        <v>4.2099999999999999E-2</v>
      </c>
    </row>
    <row r="9112" spans="1:7" x14ac:dyDescent="0.2">
      <c r="A9112" t="s">
        <v>89</v>
      </c>
      <c r="B9112" t="s">
        <v>157</v>
      </c>
      <c r="C9112" t="s">
        <v>223</v>
      </c>
      <c r="D9112" t="s">
        <v>74</v>
      </c>
      <c r="E9112" t="s">
        <v>85</v>
      </c>
      <c r="F9112" s="55">
        <v>116</v>
      </c>
      <c r="G9112" s="63">
        <v>5.8599999999999999E-2</v>
      </c>
    </row>
    <row r="9113" spans="1:7" x14ac:dyDescent="0.2">
      <c r="A9113" t="s">
        <v>89</v>
      </c>
      <c r="B9113" t="s">
        <v>157</v>
      </c>
      <c r="C9113" t="s">
        <v>223</v>
      </c>
      <c r="D9113" t="s">
        <v>74</v>
      </c>
      <c r="E9113" t="s">
        <v>86</v>
      </c>
      <c r="F9113" s="55">
        <v>114</v>
      </c>
      <c r="G9113" s="63">
        <v>5.7299999999999997E-2</v>
      </c>
    </row>
    <row r="9114" spans="1:7" x14ac:dyDescent="0.2">
      <c r="A9114" t="s">
        <v>89</v>
      </c>
      <c r="B9114" t="s">
        <v>157</v>
      </c>
      <c r="C9114" t="s">
        <v>223</v>
      </c>
      <c r="D9114" t="s">
        <v>74</v>
      </c>
      <c r="E9114" t="s">
        <v>87</v>
      </c>
      <c r="F9114" s="55">
        <v>114</v>
      </c>
      <c r="G9114" s="63">
        <v>5.2699999999999997E-2</v>
      </c>
    </row>
    <row r="9115" spans="1:7" x14ac:dyDescent="0.2">
      <c r="A9115" t="s">
        <v>89</v>
      </c>
      <c r="B9115" t="s">
        <v>157</v>
      </c>
      <c r="C9115" t="s">
        <v>223</v>
      </c>
      <c r="D9115" t="s">
        <v>74</v>
      </c>
      <c r="E9115" t="s">
        <v>88</v>
      </c>
      <c r="F9115" s="55">
        <v>116</v>
      </c>
      <c r="G9115" s="63">
        <v>2.1700000000000001E-2</v>
      </c>
    </row>
    <row r="9116" spans="1:7" x14ac:dyDescent="0.2">
      <c r="A9116" t="s">
        <v>89</v>
      </c>
      <c r="B9116" t="s">
        <v>158</v>
      </c>
      <c r="C9116" t="s">
        <v>223</v>
      </c>
      <c r="D9116" t="s">
        <v>91</v>
      </c>
      <c r="E9116" t="s">
        <v>75</v>
      </c>
      <c r="F9116" s="55">
        <v>102</v>
      </c>
      <c r="G9116" s="63">
        <v>0.94259999999999999</v>
      </c>
    </row>
    <row r="9117" spans="1:7" x14ac:dyDescent="0.2">
      <c r="A9117" t="s">
        <v>89</v>
      </c>
      <c r="B9117" t="s">
        <v>158</v>
      </c>
      <c r="C9117" t="s">
        <v>223</v>
      </c>
      <c r="D9117" t="s">
        <v>91</v>
      </c>
      <c r="E9117" t="s">
        <v>76</v>
      </c>
      <c r="F9117" s="55">
        <v>99</v>
      </c>
      <c r="G9117" s="63">
        <v>0.39689999999999998</v>
      </c>
    </row>
    <row r="9118" spans="1:7" x14ac:dyDescent="0.2">
      <c r="A9118" t="s">
        <v>89</v>
      </c>
      <c r="B9118" t="s">
        <v>158</v>
      </c>
      <c r="C9118" t="s">
        <v>223</v>
      </c>
      <c r="D9118" t="s">
        <v>91</v>
      </c>
      <c r="E9118" t="s">
        <v>77</v>
      </c>
      <c r="F9118" s="55">
        <v>107</v>
      </c>
      <c r="G9118" s="63">
        <v>0.66020000000000001</v>
      </c>
    </row>
    <row r="9119" spans="1:7" x14ac:dyDescent="0.2">
      <c r="A9119" t="s">
        <v>89</v>
      </c>
      <c r="B9119" t="s">
        <v>158</v>
      </c>
      <c r="C9119" t="s">
        <v>223</v>
      </c>
      <c r="D9119" t="s">
        <v>91</v>
      </c>
      <c r="E9119" t="s">
        <v>78</v>
      </c>
      <c r="F9119" s="55">
        <v>106</v>
      </c>
      <c r="G9119" s="63">
        <v>0.67130000000000001</v>
      </c>
    </row>
    <row r="9120" spans="1:7" x14ac:dyDescent="0.2">
      <c r="A9120" t="s">
        <v>89</v>
      </c>
      <c r="B9120" t="s">
        <v>158</v>
      </c>
      <c r="C9120" t="s">
        <v>223</v>
      </c>
      <c r="D9120" t="s">
        <v>91</v>
      </c>
      <c r="E9120" t="s">
        <v>79</v>
      </c>
      <c r="F9120" s="55">
        <v>103</v>
      </c>
      <c r="G9120" s="63">
        <v>0.871</v>
      </c>
    </row>
    <row r="9121" spans="1:7" x14ac:dyDescent="0.2">
      <c r="A9121" t="s">
        <v>89</v>
      </c>
      <c r="B9121" t="s">
        <v>158</v>
      </c>
      <c r="C9121" t="s">
        <v>223</v>
      </c>
      <c r="D9121" t="s">
        <v>91</v>
      </c>
      <c r="E9121" t="s">
        <v>80</v>
      </c>
      <c r="F9121" s="55">
        <v>100</v>
      </c>
      <c r="G9121" s="63">
        <v>0.34489999999999998</v>
      </c>
    </row>
    <row r="9122" spans="1:7" x14ac:dyDescent="0.2">
      <c r="A9122" t="s">
        <v>89</v>
      </c>
      <c r="B9122" t="s">
        <v>158</v>
      </c>
      <c r="C9122" t="s">
        <v>223</v>
      </c>
      <c r="D9122" t="s">
        <v>91</v>
      </c>
      <c r="E9122" t="s">
        <v>81</v>
      </c>
      <c r="F9122" s="55">
        <v>99</v>
      </c>
      <c r="G9122" s="63">
        <v>0.37719999999999998</v>
      </c>
    </row>
    <row r="9123" spans="1:7" x14ac:dyDescent="0.2">
      <c r="A9123" t="s">
        <v>89</v>
      </c>
      <c r="B9123" t="s">
        <v>158</v>
      </c>
      <c r="C9123" t="s">
        <v>223</v>
      </c>
      <c r="D9123" t="s">
        <v>91</v>
      </c>
      <c r="E9123" t="s">
        <v>82</v>
      </c>
      <c r="F9123" s="55">
        <v>98</v>
      </c>
      <c r="G9123" s="63">
        <v>0.89480000000000004</v>
      </c>
    </row>
    <row r="9124" spans="1:7" x14ac:dyDescent="0.2">
      <c r="A9124" t="s">
        <v>89</v>
      </c>
      <c r="B9124" t="s">
        <v>158</v>
      </c>
      <c r="C9124" t="s">
        <v>223</v>
      </c>
      <c r="D9124" t="s">
        <v>91</v>
      </c>
      <c r="E9124" t="s">
        <v>83</v>
      </c>
      <c r="F9124" s="55">
        <v>95</v>
      </c>
      <c r="G9124" s="63">
        <v>0.2545</v>
      </c>
    </row>
    <row r="9125" spans="1:7" x14ac:dyDescent="0.2">
      <c r="A9125" t="s">
        <v>89</v>
      </c>
      <c r="B9125" t="s">
        <v>158</v>
      </c>
      <c r="C9125" t="s">
        <v>223</v>
      </c>
      <c r="D9125" t="s">
        <v>91</v>
      </c>
      <c r="E9125" t="s">
        <v>84</v>
      </c>
      <c r="F9125" s="55">
        <v>105</v>
      </c>
      <c r="G9125" s="63">
        <v>0.59530000000000005</v>
      </c>
    </row>
    <row r="9126" spans="1:7" x14ac:dyDescent="0.2">
      <c r="A9126" t="s">
        <v>89</v>
      </c>
      <c r="B9126" t="s">
        <v>158</v>
      </c>
      <c r="C9126" t="s">
        <v>223</v>
      </c>
      <c r="D9126" t="s">
        <v>91</v>
      </c>
      <c r="E9126" t="s">
        <v>85</v>
      </c>
      <c r="F9126" s="55">
        <v>103</v>
      </c>
      <c r="G9126" s="63">
        <v>0.49890000000000001</v>
      </c>
    </row>
    <row r="9127" spans="1:7" x14ac:dyDescent="0.2">
      <c r="A9127" t="s">
        <v>89</v>
      </c>
      <c r="B9127" t="s">
        <v>158</v>
      </c>
      <c r="C9127" t="s">
        <v>223</v>
      </c>
      <c r="D9127" t="s">
        <v>91</v>
      </c>
      <c r="E9127" t="s">
        <v>86</v>
      </c>
      <c r="F9127" s="55">
        <v>103</v>
      </c>
      <c r="G9127" s="63">
        <v>0.65029999999999999</v>
      </c>
    </row>
    <row r="9128" spans="1:7" x14ac:dyDescent="0.2">
      <c r="A9128" t="s">
        <v>89</v>
      </c>
      <c r="B9128" t="s">
        <v>158</v>
      </c>
      <c r="C9128" t="s">
        <v>223</v>
      </c>
      <c r="D9128" t="s">
        <v>91</v>
      </c>
      <c r="E9128" t="s">
        <v>87</v>
      </c>
      <c r="F9128" s="55">
        <v>104</v>
      </c>
      <c r="G9128" s="63">
        <v>0.71750000000000003</v>
      </c>
    </row>
    <row r="9129" spans="1:7" x14ac:dyDescent="0.2">
      <c r="A9129" t="s">
        <v>89</v>
      </c>
      <c r="B9129" t="s">
        <v>158</v>
      </c>
      <c r="C9129" t="s">
        <v>223</v>
      </c>
      <c r="D9129" t="s">
        <v>91</v>
      </c>
      <c r="E9129" t="s">
        <v>88</v>
      </c>
      <c r="F9129" s="55">
        <v>99</v>
      </c>
      <c r="G9129" s="63">
        <v>0.54400000000000004</v>
      </c>
    </row>
    <row r="9130" spans="1:7" x14ac:dyDescent="0.2">
      <c r="A9130" t="s">
        <v>71</v>
      </c>
      <c r="B9130" t="s">
        <v>159</v>
      </c>
      <c r="C9130" t="s">
        <v>223</v>
      </c>
      <c r="D9130" t="s">
        <v>74</v>
      </c>
      <c r="E9130" t="s">
        <v>75</v>
      </c>
      <c r="F9130" s="55">
        <v>99</v>
      </c>
      <c r="G9130" s="63">
        <v>0.28310000000000002</v>
      </c>
    </row>
    <row r="9131" spans="1:7" x14ac:dyDescent="0.2">
      <c r="A9131" t="s">
        <v>71</v>
      </c>
      <c r="B9131" t="s">
        <v>159</v>
      </c>
      <c r="C9131" t="s">
        <v>223</v>
      </c>
      <c r="D9131" t="s">
        <v>74</v>
      </c>
      <c r="E9131" t="s">
        <v>76</v>
      </c>
      <c r="F9131" s="55">
        <v>86</v>
      </c>
      <c r="G9131" s="63">
        <v>2.7799999999999998E-2</v>
      </c>
    </row>
    <row r="9132" spans="1:7" x14ac:dyDescent="0.2">
      <c r="A9132" t="s">
        <v>71</v>
      </c>
      <c r="B9132" t="s">
        <v>159</v>
      </c>
      <c r="C9132" t="s">
        <v>223</v>
      </c>
      <c r="D9132" t="s">
        <v>74</v>
      </c>
      <c r="E9132" t="s">
        <v>77</v>
      </c>
      <c r="F9132" s="55">
        <v>101</v>
      </c>
      <c r="G9132" s="63">
        <v>8.9499999999999996E-2</v>
      </c>
    </row>
    <row r="9133" spans="1:7" x14ac:dyDescent="0.2">
      <c r="A9133" t="s">
        <v>71</v>
      </c>
      <c r="B9133" t="s">
        <v>159</v>
      </c>
      <c r="C9133" t="s">
        <v>223</v>
      </c>
      <c r="D9133" t="s">
        <v>74</v>
      </c>
      <c r="E9133" t="s">
        <v>78</v>
      </c>
      <c r="F9133" s="55">
        <v>108</v>
      </c>
      <c r="G9133" s="63">
        <v>9.3299999999999994E-2</v>
      </c>
    </row>
    <row r="9134" spans="1:7" x14ac:dyDescent="0.2">
      <c r="A9134" t="s">
        <v>71</v>
      </c>
      <c r="B9134" t="s">
        <v>159</v>
      </c>
      <c r="C9134" t="s">
        <v>223</v>
      </c>
      <c r="D9134" t="s">
        <v>74</v>
      </c>
      <c r="E9134" t="s">
        <v>79</v>
      </c>
      <c r="F9134" s="55">
        <v>102</v>
      </c>
      <c r="G9134" s="63">
        <v>0.20080000000000001</v>
      </c>
    </row>
    <row r="9135" spans="1:7" x14ac:dyDescent="0.2">
      <c r="A9135" t="s">
        <v>71</v>
      </c>
      <c r="B9135" t="s">
        <v>159</v>
      </c>
      <c r="C9135" t="s">
        <v>223</v>
      </c>
      <c r="D9135" t="s">
        <v>74</v>
      </c>
      <c r="E9135" t="s">
        <v>80</v>
      </c>
      <c r="F9135" s="55">
        <v>98</v>
      </c>
      <c r="G9135" s="63">
        <v>0.13250000000000001</v>
      </c>
    </row>
    <row r="9136" spans="1:7" x14ac:dyDescent="0.2">
      <c r="A9136" t="s">
        <v>71</v>
      </c>
      <c r="B9136" t="s">
        <v>159</v>
      </c>
      <c r="C9136" t="s">
        <v>223</v>
      </c>
      <c r="D9136" t="s">
        <v>74</v>
      </c>
      <c r="E9136" t="s">
        <v>81</v>
      </c>
      <c r="F9136" s="55">
        <v>94</v>
      </c>
      <c r="G9136" s="63">
        <v>0.1211</v>
      </c>
    </row>
    <row r="9137" spans="1:7" x14ac:dyDescent="0.2">
      <c r="A9137" t="s">
        <v>71</v>
      </c>
      <c r="B9137" t="s">
        <v>159</v>
      </c>
      <c r="C9137" t="s">
        <v>223</v>
      </c>
      <c r="D9137" t="s">
        <v>74</v>
      </c>
      <c r="E9137" t="s">
        <v>82</v>
      </c>
      <c r="F9137" s="55">
        <v>97</v>
      </c>
      <c r="G9137" s="63">
        <v>0.1109</v>
      </c>
    </row>
    <row r="9138" spans="1:7" x14ac:dyDescent="0.2">
      <c r="A9138" t="s">
        <v>71</v>
      </c>
      <c r="B9138" t="s">
        <v>159</v>
      </c>
      <c r="C9138" t="s">
        <v>223</v>
      </c>
      <c r="D9138" t="s">
        <v>74</v>
      </c>
      <c r="E9138" t="s">
        <v>83</v>
      </c>
      <c r="F9138" s="55">
        <v>86</v>
      </c>
      <c r="G9138" s="63">
        <v>3.3099999999999997E-2</v>
      </c>
    </row>
    <row r="9139" spans="1:7" x14ac:dyDescent="0.2">
      <c r="A9139" t="s">
        <v>71</v>
      </c>
      <c r="B9139" t="s">
        <v>159</v>
      </c>
      <c r="C9139" t="s">
        <v>223</v>
      </c>
      <c r="D9139" t="s">
        <v>74</v>
      </c>
      <c r="E9139" t="s">
        <v>84</v>
      </c>
      <c r="F9139" s="55">
        <v>110</v>
      </c>
      <c r="G9139" s="63">
        <v>7.4200000000000002E-2</v>
      </c>
    </row>
    <row r="9140" spans="1:7" x14ac:dyDescent="0.2">
      <c r="A9140" t="s">
        <v>71</v>
      </c>
      <c r="B9140" t="s">
        <v>159</v>
      </c>
      <c r="C9140" t="s">
        <v>223</v>
      </c>
      <c r="D9140" t="s">
        <v>74</v>
      </c>
      <c r="E9140" t="s">
        <v>85</v>
      </c>
      <c r="F9140" s="55">
        <v>99</v>
      </c>
      <c r="G9140" s="63">
        <v>0.1196</v>
      </c>
    </row>
    <row r="9141" spans="1:7" x14ac:dyDescent="0.2">
      <c r="A9141" t="s">
        <v>71</v>
      </c>
      <c r="B9141" t="s">
        <v>159</v>
      </c>
      <c r="C9141" t="s">
        <v>223</v>
      </c>
      <c r="D9141" t="s">
        <v>74</v>
      </c>
      <c r="E9141" t="s">
        <v>86</v>
      </c>
      <c r="F9141" s="55">
        <v>102</v>
      </c>
      <c r="G9141" s="63">
        <v>0.1124</v>
      </c>
    </row>
    <row r="9142" spans="1:7" x14ac:dyDescent="0.2">
      <c r="A9142" t="s">
        <v>71</v>
      </c>
      <c r="B9142" t="s">
        <v>159</v>
      </c>
      <c r="C9142" t="s">
        <v>223</v>
      </c>
      <c r="D9142" t="s">
        <v>74</v>
      </c>
      <c r="E9142" t="s">
        <v>87</v>
      </c>
      <c r="F9142" s="55">
        <v>102</v>
      </c>
      <c r="G9142" s="63">
        <v>0.1021</v>
      </c>
    </row>
    <row r="9143" spans="1:7" x14ac:dyDescent="0.2">
      <c r="A9143" t="s">
        <v>71</v>
      </c>
      <c r="B9143" t="s">
        <v>159</v>
      </c>
      <c r="C9143" t="s">
        <v>223</v>
      </c>
      <c r="D9143" t="s">
        <v>74</v>
      </c>
      <c r="E9143" t="s">
        <v>88</v>
      </c>
      <c r="F9143" s="55">
        <v>89</v>
      </c>
      <c r="G9143" s="63">
        <v>4.4299999999999999E-2</v>
      </c>
    </row>
    <row r="9144" spans="1:7" x14ac:dyDescent="0.2">
      <c r="A9144" t="s">
        <v>89</v>
      </c>
      <c r="B9144" t="s">
        <v>161</v>
      </c>
      <c r="C9144" t="s">
        <v>223</v>
      </c>
      <c r="D9144" t="s">
        <v>74</v>
      </c>
      <c r="E9144" t="s">
        <v>75</v>
      </c>
      <c r="F9144" s="55">
        <v>72</v>
      </c>
      <c r="G9144" s="63">
        <v>6.7400000000000002E-2</v>
      </c>
    </row>
    <row r="9145" spans="1:7" x14ac:dyDescent="0.2">
      <c r="A9145" t="s">
        <v>89</v>
      </c>
      <c r="B9145" t="s">
        <v>161</v>
      </c>
      <c r="C9145" t="s">
        <v>223</v>
      </c>
      <c r="D9145" t="s">
        <v>74</v>
      </c>
      <c r="E9145" t="s">
        <v>76</v>
      </c>
      <c r="F9145" s="55">
        <v>74</v>
      </c>
      <c r="G9145" s="63">
        <v>3.3999999999999998E-3</v>
      </c>
    </row>
    <row r="9146" spans="1:7" x14ac:dyDescent="0.2">
      <c r="A9146" t="s">
        <v>89</v>
      </c>
      <c r="B9146" t="s">
        <v>161</v>
      </c>
      <c r="C9146" t="s">
        <v>223</v>
      </c>
      <c r="D9146" t="s">
        <v>74</v>
      </c>
      <c r="E9146" t="s">
        <v>77</v>
      </c>
      <c r="F9146" s="55">
        <v>86</v>
      </c>
      <c r="G9146" s="63">
        <v>1.5299999999999999E-2</v>
      </c>
    </row>
    <row r="9147" spans="1:7" x14ac:dyDescent="0.2">
      <c r="A9147" t="s">
        <v>89</v>
      </c>
      <c r="B9147" t="s">
        <v>161</v>
      </c>
      <c r="C9147" t="s">
        <v>223</v>
      </c>
      <c r="D9147" t="s">
        <v>74</v>
      </c>
      <c r="E9147" t="s">
        <v>78</v>
      </c>
      <c r="F9147" s="55">
        <v>96</v>
      </c>
      <c r="G9147" s="63">
        <v>1.44E-2</v>
      </c>
    </row>
    <row r="9148" spans="1:7" x14ac:dyDescent="0.2">
      <c r="A9148" t="s">
        <v>89</v>
      </c>
      <c r="B9148" t="s">
        <v>161</v>
      </c>
      <c r="C9148" t="s">
        <v>223</v>
      </c>
      <c r="D9148" t="s">
        <v>74</v>
      </c>
      <c r="E9148" t="s">
        <v>79</v>
      </c>
      <c r="F9148" s="55">
        <v>69</v>
      </c>
      <c r="G9148" s="63">
        <v>4.5100000000000001E-2</v>
      </c>
    </row>
    <row r="9149" spans="1:7" x14ac:dyDescent="0.2">
      <c r="A9149" t="s">
        <v>89</v>
      </c>
      <c r="B9149" t="s">
        <v>161</v>
      </c>
      <c r="C9149" t="s">
        <v>223</v>
      </c>
      <c r="D9149" t="s">
        <v>74</v>
      </c>
      <c r="E9149" t="s">
        <v>80</v>
      </c>
      <c r="F9149" s="55">
        <v>63</v>
      </c>
      <c r="G9149" s="63">
        <v>1.9E-2</v>
      </c>
    </row>
    <row r="9150" spans="1:7" x14ac:dyDescent="0.2">
      <c r="A9150" t="s">
        <v>89</v>
      </c>
      <c r="B9150" t="s">
        <v>161</v>
      </c>
      <c r="C9150" t="s">
        <v>223</v>
      </c>
      <c r="D9150" t="s">
        <v>74</v>
      </c>
      <c r="E9150" t="s">
        <v>81</v>
      </c>
      <c r="F9150" s="55">
        <v>60</v>
      </c>
      <c r="G9150" s="63">
        <v>1.49E-2</v>
      </c>
    </row>
    <row r="9151" spans="1:7" x14ac:dyDescent="0.2">
      <c r="A9151" t="s">
        <v>89</v>
      </c>
      <c r="B9151" t="s">
        <v>161</v>
      </c>
      <c r="C9151" t="s">
        <v>223</v>
      </c>
      <c r="D9151" t="s">
        <v>74</v>
      </c>
      <c r="E9151" t="s">
        <v>82</v>
      </c>
      <c r="F9151" s="55">
        <v>77</v>
      </c>
      <c r="G9151" s="63">
        <v>2.4400000000000002E-2</v>
      </c>
    </row>
    <row r="9152" spans="1:7" x14ac:dyDescent="0.2">
      <c r="A9152" t="s">
        <v>89</v>
      </c>
      <c r="B9152" t="s">
        <v>161</v>
      </c>
      <c r="C9152" t="s">
        <v>223</v>
      </c>
      <c r="D9152" t="s">
        <v>74</v>
      </c>
      <c r="E9152" t="s">
        <v>83</v>
      </c>
      <c r="F9152" s="55">
        <v>51</v>
      </c>
      <c r="G9152" s="63">
        <v>3.7000000000000002E-3</v>
      </c>
    </row>
    <row r="9153" spans="1:7" x14ac:dyDescent="0.2">
      <c r="A9153" t="s">
        <v>89</v>
      </c>
      <c r="B9153" t="s">
        <v>161</v>
      </c>
      <c r="C9153" t="s">
        <v>223</v>
      </c>
      <c r="D9153" t="s">
        <v>74</v>
      </c>
      <c r="E9153" t="s">
        <v>84</v>
      </c>
      <c r="F9153" s="55">
        <v>100</v>
      </c>
      <c r="G9153" s="63">
        <v>1.0200000000000001E-2</v>
      </c>
    </row>
    <row r="9154" spans="1:7" x14ac:dyDescent="0.2">
      <c r="A9154" t="s">
        <v>89</v>
      </c>
      <c r="B9154" t="s">
        <v>161</v>
      </c>
      <c r="C9154" t="s">
        <v>223</v>
      </c>
      <c r="D9154" t="s">
        <v>74</v>
      </c>
      <c r="E9154" t="s">
        <v>85</v>
      </c>
      <c r="F9154" s="55">
        <v>64</v>
      </c>
      <c r="G9154" s="63">
        <v>2.12E-2</v>
      </c>
    </row>
    <row r="9155" spans="1:7" x14ac:dyDescent="0.2">
      <c r="A9155" t="s">
        <v>89</v>
      </c>
      <c r="B9155" t="s">
        <v>161</v>
      </c>
      <c r="C9155" t="s">
        <v>223</v>
      </c>
      <c r="D9155" t="s">
        <v>74</v>
      </c>
      <c r="E9155" t="s">
        <v>86</v>
      </c>
      <c r="F9155" s="55">
        <v>68</v>
      </c>
      <c r="G9155" s="63">
        <v>2.2599999999999999E-2</v>
      </c>
    </row>
    <row r="9156" spans="1:7" x14ac:dyDescent="0.2">
      <c r="A9156" t="s">
        <v>89</v>
      </c>
      <c r="B9156" t="s">
        <v>161</v>
      </c>
      <c r="C9156" t="s">
        <v>223</v>
      </c>
      <c r="D9156" t="s">
        <v>74</v>
      </c>
      <c r="E9156" t="s">
        <v>87</v>
      </c>
      <c r="F9156" s="55">
        <v>71</v>
      </c>
      <c r="G9156" s="63">
        <v>0.02</v>
      </c>
    </row>
    <row r="9157" spans="1:7" x14ac:dyDescent="0.2">
      <c r="A9157" t="s">
        <v>89</v>
      </c>
      <c r="B9157" t="s">
        <v>161</v>
      </c>
      <c r="C9157" t="s">
        <v>223</v>
      </c>
      <c r="D9157" t="s">
        <v>74</v>
      </c>
      <c r="E9157" t="s">
        <v>88</v>
      </c>
      <c r="F9157" s="55">
        <v>70</v>
      </c>
      <c r="G9157" s="63">
        <v>5.4999999999999997E-3</v>
      </c>
    </row>
    <row r="9158" spans="1:7" x14ac:dyDescent="0.2">
      <c r="A9158" t="s">
        <v>89</v>
      </c>
      <c r="B9158" t="s">
        <v>162</v>
      </c>
      <c r="C9158" t="s">
        <v>223</v>
      </c>
      <c r="D9158" t="s">
        <v>74</v>
      </c>
      <c r="E9158" t="s">
        <v>75</v>
      </c>
      <c r="F9158" s="55">
        <v>81</v>
      </c>
      <c r="G9158" s="63">
        <v>6.1100000000000002E-2</v>
      </c>
    </row>
    <row r="9159" spans="1:7" x14ac:dyDescent="0.2">
      <c r="A9159" t="s">
        <v>89</v>
      </c>
      <c r="B9159" t="s">
        <v>162</v>
      </c>
      <c r="C9159" t="s">
        <v>223</v>
      </c>
      <c r="D9159" t="s">
        <v>74</v>
      </c>
      <c r="E9159" t="s">
        <v>76</v>
      </c>
      <c r="F9159" s="55">
        <v>48</v>
      </c>
      <c r="G9159" s="63">
        <v>5.7000000000000002E-3</v>
      </c>
    </row>
    <row r="9160" spans="1:7" x14ac:dyDescent="0.2">
      <c r="A9160" t="s">
        <v>89</v>
      </c>
      <c r="B9160" t="s">
        <v>162</v>
      </c>
      <c r="C9160" t="s">
        <v>223</v>
      </c>
      <c r="D9160" t="s">
        <v>74</v>
      </c>
      <c r="E9160" t="s">
        <v>77</v>
      </c>
      <c r="F9160" s="55">
        <v>72</v>
      </c>
      <c r="G9160" s="63">
        <v>1.95E-2</v>
      </c>
    </row>
    <row r="9161" spans="1:7" x14ac:dyDescent="0.2">
      <c r="A9161" t="s">
        <v>89</v>
      </c>
      <c r="B9161" t="s">
        <v>162</v>
      </c>
      <c r="C9161" t="s">
        <v>223</v>
      </c>
      <c r="D9161" t="s">
        <v>74</v>
      </c>
      <c r="E9161" t="s">
        <v>78</v>
      </c>
      <c r="F9161" s="55">
        <v>85</v>
      </c>
      <c r="G9161" s="63">
        <v>2.1100000000000001E-2</v>
      </c>
    </row>
    <row r="9162" spans="1:7" x14ac:dyDescent="0.2">
      <c r="A9162" t="s">
        <v>89</v>
      </c>
      <c r="B9162" t="s">
        <v>162</v>
      </c>
      <c r="C9162" t="s">
        <v>223</v>
      </c>
      <c r="D9162" t="s">
        <v>74</v>
      </c>
      <c r="E9162" t="s">
        <v>79</v>
      </c>
      <c r="F9162" s="55">
        <v>85</v>
      </c>
      <c r="G9162" s="63">
        <v>3.1800000000000002E-2</v>
      </c>
    </row>
    <row r="9163" spans="1:7" x14ac:dyDescent="0.2">
      <c r="A9163" t="s">
        <v>89</v>
      </c>
      <c r="B9163" t="s">
        <v>162</v>
      </c>
      <c r="C9163" t="s">
        <v>223</v>
      </c>
      <c r="D9163" t="s">
        <v>74</v>
      </c>
      <c r="E9163" t="s">
        <v>80</v>
      </c>
      <c r="F9163" s="55">
        <v>53</v>
      </c>
      <c r="G9163" s="63">
        <v>4.8999999999999998E-3</v>
      </c>
    </row>
    <row r="9164" spans="1:7" x14ac:dyDescent="0.2">
      <c r="A9164" t="s">
        <v>89</v>
      </c>
      <c r="B9164" t="s">
        <v>162</v>
      </c>
      <c r="C9164" t="s">
        <v>223</v>
      </c>
      <c r="D9164" t="s">
        <v>74</v>
      </c>
      <c r="E9164" t="s">
        <v>81</v>
      </c>
      <c r="F9164" s="55">
        <v>63</v>
      </c>
      <c r="G9164" s="63">
        <v>6.7000000000000002E-3</v>
      </c>
    </row>
    <row r="9165" spans="1:7" x14ac:dyDescent="0.2">
      <c r="A9165" t="s">
        <v>89</v>
      </c>
      <c r="B9165" t="s">
        <v>162</v>
      </c>
      <c r="C9165" t="s">
        <v>223</v>
      </c>
      <c r="D9165" t="s">
        <v>74</v>
      </c>
      <c r="E9165" t="s">
        <v>82</v>
      </c>
      <c r="F9165" s="55">
        <v>92</v>
      </c>
      <c r="G9165" s="63">
        <v>2.8500000000000001E-2</v>
      </c>
    </row>
    <row r="9166" spans="1:7" x14ac:dyDescent="0.2">
      <c r="A9166" t="s">
        <v>89</v>
      </c>
      <c r="B9166" t="s">
        <v>162</v>
      </c>
      <c r="C9166" t="s">
        <v>223</v>
      </c>
      <c r="D9166" t="s">
        <v>74</v>
      </c>
      <c r="E9166" t="s">
        <v>83</v>
      </c>
      <c r="F9166" s="55">
        <v>70</v>
      </c>
      <c r="G9166" s="63">
        <v>3.7000000000000002E-3</v>
      </c>
    </row>
    <row r="9167" spans="1:7" x14ac:dyDescent="0.2">
      <c r="A9167" t="s">
        <v>89</v>
      </c>
      <c r="B9167" t="s">
        <v>162</v>
      </c>
      <c r="C9167" t="s">
        <v>223</v>
      </c>
      <c r="D9167" t="s">
        <v>74</v>
      </c>
      <c r="E9167" t="s">
        <v>84</v>
      </c>
      <c r="F9167" s="55">
        <v>85</v>
      </c>
      <c r="G9167" s="63">
        <v>1.6199999999999999E-2</v>
      </c>
    </row>
    <row r="9168" spans="1:7" x14ac:dyDescent="0.2">
      <c r="A9168" t="s">
        <v>89</v>
      </c>
      <c r="B9168" t="s">
        <v>162</v>
      </c>
      <c r="C9168" t="s">
        <v>223</v>
      </c>
      <c r="D9168" t="s">
        <v>74</v>
      </c>
      <c r="E9168" t="s">
        <v>85</v>
      </c>
      <c r="F9168" s="55">
        <v>71</v>
      </c>
      <c r="G9168" s="63">
        <v>5.7999999999999996E-3</v>
      </c>
    </row>
    <row r="9169" spans="1:7" x14ac:dyDescent="0.2">
      <c r="A9169" t="s">
        <v>89</v>
      </c>
      <c r="B9169" t="s">
        <v>162</v>
      </c>
      <c r="C9169" t="s">
        <v>223</v>
      </c>
      <c r="D9169" t="s">
        <v>74</v>
      </c>
      <c r="E9169" t="s">
        <v>86</v>
      </c>
      <c r="F9169" s="55">
        <v>85</v>
      </c>
      <c r="G9169" s="63">
        <v>9.1000000000000004E-3</v>
      </c>
    </row>
    <row r="9170" spans="1:7" x14ac:dyDescent="0.2">
      <c r="A9170" t="s">
        <v>89</v>
      </c>
      <c r="B9170" t="s">
        <v>162</v>
      </c>
      <c r="C9170" t="s">
        <v>223</v>
      </c>
      <c r="D9170" t="s">
        <v>74</v>
      </c>
      <c r="E9170" t="s">
        <v>87</v>
      </c>
      <c r="F9170" s="55">
        <v>86</v>
      </c>
      <c r="G9170" s="63">
        <v>1.2500000000000001E-2</v>
      </c>
    </row>
    <row r="9171" spans="1:7" x14ac:dyDescent="0.2">
      <c r="A9171" t="s">
        <v>89</v>
      </c>
      <c r="B9171" t="s">
        <v>162</v>
      </c>
      <c r="C9171" t="s">
        <v>223</v>
      </c>
      <c r="D9171" t="s">
        <v>74</v>
      </c>
      <c r="E9171" t="s">
        <v>88</v>
      </c>
      <c r="F9171" s="55">
        <v>61</v>
      </c>
      <c r="G9171" s="63">
        <v>9.7000000000000003E-3</v>
      </c>
    </row>
    <row r="9172" spans="1:7" x14ac:dyDescent="0.2">
      <c r="A9172" t="s">
        <v>71</v>
      </c>
      <c r="B9172" t="s">
        <v>163</v>
      </c>
      <c r="C9172" t="s">
        <v>223</v>
      </c>
      <c r="D9172" t="s">
        <v>74</v>
      </c>
      <c r="E9172" t="s">
        <v>75</v>
      </c>
      <c r="F9172" s="55">
        <v>88</v>
      </c>
      <c r="G9172" s="63">
        <v>0.1958</v>
      </c>
    </row>
    <row r="9173" spans="1:7" x14ac:dyDescent="0.2">
      <c r="A9173" t="s">
        <v>71</v>
      </c>
      <c r="B9173" t="s">
        <v>163</v>
      </c>
      <c r="C9173" t="s">
        <v>223</v>
      </c>
      <c r="D9173" t="s">
        <v>74</v>
      </c>
      <c r="E9173" t="s">
        <v>76</v>
      </c>
      <c r="F9173" s="55">
        <v>87</v>
      </c>
      <c r="G9173" s="63">
        <v>2.1100000000000001E-2</v>
      </c>
    </row>
    <row r="9174" spans="1:7" x14ac:dyDescent="0.2">
      <c r="A9174" t="s">
        <v>71</v>
      </c>
      <c r="B9174" t="s">
        <v>163</v>
      </c>
      <c r="C9174" t="s">
        <v>223</v>
      </c>
      <c r="D9174" t="s">
        <v>74</v>
      </c>
      <c r="E9174" t="s">
        <v>77</v>
      </c>
      <c r="F9174" s="55">
        <v>93</v>
      </c>
      <c r="G9174" s="63">
        <v>7.3999999999999996E-2</v>
      </c>
    </row>
    <row r="9175" spans="1:7" x14ac:dyDescent="0.2">
      <c r="A9175" t="s">
        <v>71</v>
      </c>
      <c r="B9175" t="s">
        <v>163</v>
      </c>
      <c r="C9175" t="s">
        <v>223</v>
      </c>
      <c r="D9175" t="s">
        <v>74</v>
      </c>
      <c r="E9175" t="s">
        <v>78</v>
      </c>
      <c r="F9175" s="55">
        <v>94</v>
      </c>
      <c r="G9175" s="63">
        <v>6.9900000000000004E-2</v>
      </c>
    </row>
    <row r="9176" spans="1:7" x14ac:dyDescent="0.2">
      <c r="A9176" t="s">
        <v>71</v>
      </c>
      <c r="B9176" t="s">
        <v>163</v>
      </c>
      <c r="C9176" t="s">
        <v>223</v>
      </c>
      <c r="D9176" t="s">
        <v>74</v>
      </c>
      <c r="E9176" t="s">
        <v>79</v>
      </c>
      <c r="F9176" s="55">
        <v>85</v>
      </c>
      <c r="G9176" s="63">
        <v>0.14330000000000001</v>
      </c>
    </row>
    <row r="9177" spans="1:7" x14ac:dyDescent="0.2">
      <c r="A9177" t="s">
        <v>71</v>
      </c>
      <c r="B9177" t="s">
        <v>163</v>
      </c>
      <c r="C9177" t="s">
        <v>223</v>
      </c>
      <c r="D9177" t="s">
        <v>74</v>
      </c>
      <c r="E9177" t="s">
        <v>80</v>
      </c>
      <c r="F9177" s="55">
        <v>85</v>
      </c>
      <c r="G9177" s="63">
        <v>8.72E-2</v>
      </c>
    </row>
    <row r="9178" spans="1:7" x14ac:dyDescent="0.2">
      <c r="A9178" t="s">
        <v>71</v>
      </c>
      <c r="B9178" t="s">
        <v>163</v>
      </c>
      <c r="C9178" t="s">
        <v>223</v>
      </c>
      <c r="D9178" t="s">
        <v>74</v>
      </c>
      <c r="E9178" t="s">
        <v>81</v>
      </c>
      <c r="F9178" s="55">
        <v>85</v>
      </c>
      <c r="G9178" s="63">
        <v>7.6200000000000004E-2</v>
      </c>
    </row>
    <row r="9179" spans="1:7" x14ac:dyDescent="0.2">
      <c r="A9179" t="s">
        <v>71</v>
      </c>
      <c r="B9179" t="s">
        <v>163</v>
      </c>
      <c r="C9179" t="s">
        <v>223</v>
      </c>
      <c r="D9179" t="s">
        <v>74</v>
      </c>
      <c r="E9179" t="s">
        <v>82</v>
      </c>
      <c r="F9179" s="55">
        <v>88</v>
      </c>
      <c r="G9179" s="63">
        <v>0.10630000000000001</v>
      </c>
    </row>
    <row r="9180" spans="1:7" x14ac:dyDescent="0.2">
      <c r="A9180" t="s">
        <v>71</v>
      </c>
      <c r="B9180" t="s">
        <v>163</v>
      </c>
      <c r="C9180" t="s">
        <v>223</v>
      </c>
      <c r="D9180" t="s">
        <v>74</v>
      </c>
      <c r="E9180" t="s">
        <v>83</v>
      </c>
      <c r="F9180" s="55">
        <v>80</v>
      </c>
      <c r="G9180" s="63">
        <v>2.1600000000000001E-2</v>
      </c>
    </row>
    <row r="9181" spans="1:7" x14ac:dyDescent="0.2">
      <c r="A9181" t="s">
        <v>71</v>
      </c>
      <c r="B9181" t="s">
        <v>163</v>
      </c>
      <c r="C9181" t="s">
        <v>223</v>
      </c>
      <c r="D9181" t="s">
        <v>74</v>
      </c>
      <c r="E9181" t="s">
        <v>84</v>
      </c>
      <c r="F9181" s="55">
        <v>95</v>
      </c>
      <c r="G9181" s="63">
        <v>5.7000000000000002E-2</v>
      </c>
    </row>
    <row r="9182" spans="1:7" x14ac:dyDescent="0.2">
      <c r="A9182" t="s">
        <v>71</v>
      </c>
      <c r="B9182" t="s">
        <v>163</v>
      </c>
      <c r="C9182" t="s">
        <v>223</v>
      </c>
      <c r="D9182" t="s">
        <v>74</v>
      </c>
      <c r="E9182" t="s">
        <v>85</v>
      </c>
      <c r="F9182" s="55">
        <v>84</v>
      </c>
      <c r="G9182" s="63">
        <v>8.7300000000000003E-2</v>
      </c>
    </row>
    <row r="9183" spans="1:7" x14ac:dyDescent="0.2">
      <c r="A9183" t="s">
        <v>71</v>
      </c>
      <c r="B9183" t="s">
        <v>163</v>
      </c>
      <c r="C9183" t="s">
        <v>223</v>
      </c>
      <c r="D9183" t="s">
        <v>74</v>
      </c>
      <c r="E9183" t="s">
        <v>86</v>
      </c>
      <c r="F9183" s="55">
        <v>85</v>
      </c>
      <c r="G9183" s="63">
        <v>8.7999999999999995E-2</v>
      </c>
    </row>
    <row r="9184" spans="1:7" x14ac:dyDescent="0.2">
      <c r="A9184" t="s">
        <v>71</v>
      </c>
      <c r="B9184" t="s">
        <v>163</v>
      </c>
      <c r="C9184" t="s">
        <v>223</v>
      </c>
      <c r="D9184" t="s">
        <v>74</v>
      </c>
      <c r="E9184" t="s">
        <v>87</v>
      </c>
      <c r="F9184" s="55">
        <v>86</v>
      </c>
      <c r="G9184" s="63">
        <v>8.1000000000000003E-2</v>
      </c>
    </row>
    <row r="9185" spans="1:7" x14ac:dyDescent="0.2">
      <c r="A9185" t="s">
        <v>71</v>
      </c>
      <c r="B9185" t="s">
        <v>163</v>
      </c>
      <c r="C9185" t="s">
        <v>223</v>
      </c>
      <c r="D9185" t="s">
        <v>74</v>
      </c>
      <c r="E9185" t="s">
        <v>88</v>
      </c>
      <c r="F9185" s="55">
        <v>86</v>
      </c>
      <c r="G9185" s="63">
        <v>3.27E-2</v>
      </c>
    </row>
    <row r="9186" spans="1:7" x14ac:dyDescent="0.2">
      <c r="A9186" t="s">
        <v>89</v>
      </c>
      <c r="B9186" t="s">
        <v>164</v>
      </c>
      <c r="C9186" t="s">
        <v>223</v>
      </c>
      <c r="D9186" t="s">
        <v>74</v>
      </c>
      <c r="E9186" t="s">
        <v>75</v>
      </c>
      <c r="F9186" s="55">
        <v>89</v>
      </c>
      <c r="G9186" s="63">
        <v>8.3199999999999996E-2</v>
      </c>
    </row>
    <row r="9187" spans="1:7" x14ac:dyDescent="0.2">
      <c r="A9187" t="s">
        <v>89</v>
      </c>
      <c r="B9187" t="s">
        <v>164</v>
      </c>
      <c r="C9187" t="s">
        <v>223</v>
      </c>
      <c r="D9187" t="s">
        <v>74</v>
      </c>
      <c r="E9187" t="s">
        <v>76</v>
      </c>
      <c r="F9187" s="55">
        <v>113</v>
      </c>
      <c r="G9187" s="63">
        <v>4.5999999999999999E-3</v>
      </c>
    </row>
    <row r="9188" spans="1:7" x14ac:dyDescent="0.2">
      <c r="A9188" t="s">
        <v>89</v>
      </c>
      <c r="B9188" t="s">
        <v>164</v>
      </c>
      <c r="C9188" t="s">
        <v>223</v>
      </c>
      <c r="D9188" t="s">
        <v>74</v>
      </c>
      <c r="E9188" t="s">
        <v>77</v>
      </c>
      <c r="F9188" s="55">
        <v>92</v>
      </c>
      <c r="G9188" s="63">
        <v>2.4E-2</v>
      </c>
    </row>
    <row r="9189" spans="1:7" x14ac:dyDescent="0.2">
      <c r="A9189" t="s">
        <v>89</v>
      </c>
      <c r="B9189" t="s">
        <v>164</v>
      </c>
      <c r="C9189" t="s">
        <v>223</v>
      </c>
      <c r="D9189" t="s">
        <v>74</v>
      </c>
      <c r="E9189" t="s">
        <v>78</v>
      </c>
      <c r="F9189" s="55">
        <v>107</v>
      </c>
      <c r="G9189" s="63">
        <v>1.8700000000000001E-2</v>
      </c>
    </row>
    <row r="9190" spans="1:7" x14ac:dyDescent="0.2">
      <c r="A9190" t="s">
        <v>89</v>
      </c>
      <c r="B9190" t="s">
        <v>164</v>
      </c>
      <c r="C9190" t="s">
        <v>223</v>
      </c>
      <c r="D9190" t="s">
        <v>74</v>
      </c>
      <c r="E9190" t="s">
        <v>79</v>
      </c>
      <c r="F9190" s="55">
        <v>90</v>
      </c>
      <c r="G9190" s="63">
        <v>4.4999999999999998E-2</v>
      </c>
    </row>
    <row r="9191" spans="1:7" x14ac:dyDescent="0.2">
      <c r="A9191" t="s">
        <v>89</v>
      </c>
      <c r="B9191" t="s">
        <v>164</v>
      </c>
      <c r="C9191" t="s">
        <v>223</v>
      </c>
      <c r="D9191" t="s">
        <v>74</v>
      </c>
      <c r="E9191" t="s">
        <v>80</v>
      </c>
      <c r="F9191" s="55">
        <v>69</v>
      </c>
      <c r="G9191" s="63">
        <v>2.06E-2</v>
      </c>
    </row>
    <row r="9192" spans="1:7" x14ac:dyDescent="0.2">
      <c r="A9192" t="s">
        <v>89</v>
      </c>
      <c r="B9192" t="s">
        <v>164</v>
      </c>
      <c r="C9192" t="s">
        <v>223</v>
      </c>
      <c r="D9192" t="s">
        <v>74</v>
      </c>
      <c r="E9192" t="s">
        <v>81</v>
      </c>
      <c r="F9192" s="55">
        <v>72</v>
      </c>
      <c r="G9192" s="63">
        <v>2.0199999999999999E-2</v>
      </c>
    </row>
    <row r="9193" spans="1:7" x14ac:dyDescent="0.2">
      <c r="A9193" t="s">
        <v>89</v>
      </c>
      <c r="B9193" t="s">
        <v>164</v>
      </c>
      <c r="C9193" t="s">
        <v>223</v>
      </c>
      <c r="D9193" t="s">
        <v>74</v>
      </c>
      <c r="E9193" t="s">
        <v>82</v>
      </c>
      <c r="F9193" s="55">
        <v>80</v>
      </c>
      <c r="G9193" s="63">
        <v>3.15E-2</v>
      </c>
    </row>
    <row r="9194" spans="1:7" x14ac:dyDescent="0.2">
      <c r="A9194" t="s">
        <v>89</v>
      </c>
      <c r="B9194" t="s">
        <v>164</v>
      </c>
      <c r="C9194" t="s">
        <v>223</v>
      </c>
      <c r="D9194" t="s">
        <v>74</v>
      </c>
      <c r="E9194" t="s">
        <v>83</v>
      </c>
      <c r="F9194" s="55">
        <v>101</v>
      </c>
      <c r="G9194" s="63">
        <v>5.3E-3</v>
      </c>
    </row>
    <row r="9195" spans="1:7" x14ac:dyDescent="0.2">
      <c r="A9195" t="s">
        <v>89</v>
      </c>
      <c r="B9195" t="s">
        <v>164</v>
      </c>
      <c r="C9195" t="s">
        <v>223</v>
      </c>
      <c r="D9195" t="s">
        <v>74</v>
      </c>
      <c r="E9195" t="s">
        <v>84</v>
      </c>
      <c r="F9195" s="55">
        <v>103</v>
      </c>
      <c r="G9195" s="63">
        <v>1.34E-2</v>
      </c>
    </row>
    <row r="9196" spans="1:7" x14ac:dyDescent="0.2">
      <c r="A9196" t="s">
        <v>89</v>
      </c>
      <c r="B9196" t="s">
        <v>164</v>
      </c>
      <c r="C9196" t="s">
        <v>223</v>
      </c>
      <c r="D9196" t="s">
        <v>74</v>
      </c>
      <c r="E9196" t="s">
        <v>85</v>
      </c>
      <c r="F9196" s="55">
        <v>79</v>
      </c>
      <c r="G9196" s="63">
        <v>1.7899999999999999E-2</v>
      </c>
    </row>
    <row r="9197" spans="1:7" x14ac:dyDescent="0.2">
      <c r="A9197" t="s">
        <v>89</v>
      </c>
      <c r="B9197" t="s">
        <v>164</v>
      </c>
      <c r="C9197" t="s">
        <v>223</v>
      </c>
      <c r="D9197" t="s">
        <v>74</v>
      </c>
      <c r="E9197" t="s">
        <v>86</v>
      </c>
      <c r="F9197" s="55">
        <v>93</v>
      </c>
      <c r="G9197" s="63">
        <v>1.8100000000000002E-2</v>
      </c>
    </row>
    <row r="9198" spans="1:7" x14ac:dyDescent="0.2">
      <c r="A9198" t="s">
        <v>89</v>
      </c>
      <c r="B9198" t="s">
        <v>164</v>
      </c>
      <c r="C9198" t="s">
        <v>223</v>
      </c>
      <c r="D9198" t="s">
        <v>74</v>
      </c>
      <c r="E9198" t="s">
        <v>87</v>
      </c>
      <c r="F9198" s="55">
        <v>94</v>
      </c>
      <c r="G9198" s="63">
        <v>1.61E-2</v>
      </c>
    </row>
    <row r="9199" spans="1:7" x14ac:dyDescent="0.2">
      <c r="A9199" t="s">
        <v>89</v>
      </c>
      <c r="B9199" t="s">
        <v>164</v>
      </c>
      <c r="C9199" t="s">
        <v>223</v>
      </c>
      <c r="D9199" t="s">
        <v>74</v>
      </c>
      <c r="E9199" t="s">
        <v>88</v>
      </c>
      <c r="F9199" s="55">
        <v>100</v>
      </c>
      <c r="G9199" s="63">
        <v>8.6999999999999994E-3</v>
      </c>
    </row>
    <row r="9200" spans="1:7" x14ac:dyDescent="0.2">
      <c r="A9200" t="s">
        <v>89</v>
      </c>
      <c r="B9200" t="s">
        <v>165</v>
      </c>
      <c r="C9200" t="s">
        <v>223</v>
      </c>
      <c r="D9200" t="s">
        <v>74</v>
      </c>
      <c r="E9200" t="s">
        <v>75</v>
      </c>
      <c r="F9200" s="55">
        <v>66</v>
      </c>
      <c r="G9200" s="63">
        <v>5.0299999999999997E-2</v>
      </c>
    </row>
    <row r="9201" spans="1:7" x14ac:dyDescent="0.2">
      <c r="A9201" t="s">
        <v>89</v>
      </c>
      <c r="B9201" t="s">
        <v>165</v>
      </c>
      <c r="C9201" t="s">
        <v>223</v>
      </c>
      <c r="D9201" t="s">
        <v>74</v>
      </c>
      <c r="E9201" t="s">
        <v>76</v>
      </c>
      <c r="F9201" s="55">
        <v>79</v>
      </c>
      <c r="G9201" s="63">
        <v>3.2000000000000002E-3</v>
      </c>
    </row>
    <row r="9202" spans="1:7" x14ac:dyDescent="0.2">
      <c r="A9202" t="s">
        <v>89</v>
      </c>
      <c r="B9202" t="s">
        <v>165</v>
      </c>
      <c r="C9202" t="s">
        <v>223</v>
      </c>
      <c r="D9202" t="s">
        <v>74</v>
      </c>
      <c r="E9202" t="s">
        <v>77</v>
      </c>
      <c r="F9202" s="55">
        <v>65</v>
      </c>
      <c r="G9202" s="63">
        <v>1.3299999999999999E-2</v>
      </c>
    </row>
    <row r="9203" spans="1:7" x14ac:dyDescent="0.2">
      <c r="A9203" t="s">
        <v>89</v>
      </c>
      <c r="B9203" t="s">
        <v>165</v>
      </c>
      <c r="C9203" t="s">
        <v>223</v>
      </c>
      <c r="D9203" t="s">
        <v>74</v>
      </c>
      <c r="E9203" t="s">
        <v>78</v>
      </c>
      <c r="F9203" s="55">
        <v>67</v>
      </c>
      <c r="G9203" s="63">
        <v>1.06E-2</v>
      </c>
    </row>
    <row r="9204" spans="1:7" x14ac:dyDescent="0.2">
      <c r="A9204" t="s">
        <v>89</v>
      </c>
      <c r="B9204" t="s">
        <v>165</v>
      </c>
      <c r="C9204" t="s">
        <v>223</v>
      </c>
      <c r="D9204" t="s">
        <v>74</v>
      </c>
      <c r="E9204" t="s">
        <v>79</v>
      </c>
      <c r="F9204" s="55">
        <v>60</v>
      </c>
      <c r="G9204" s="63">
        <v>2.7400000000000001E-2</v>
      </c>
    </row>
    <row r="9205" spans="1:7" x14ac:dyDescent="0.2">
      <c r="A9205" t="s">
        <v>89</v>
      </c>
      <c r="B9205" t="s">
        <v>165</v>
      </c>
      <c r="C9205" t="s">
        <v>223</v>
      </c>
      <c r="D9205" t="s">
        <v>74</v>
      </c>
      <c r="E9205" t="s">
        <v>80</v>
      </c>
      <c r="F9205" s="55">
        <v>62</v>
      </c>
      <c r="G9205" s="63">
        <v>1.38E-2</v>
      </c>
    </row>
    <row r="9206" spans="1:7" x14ac:dyDescent="0.2">
      <c r="A9206" t="s">
        <v>89</v>
      </c>
      <c r="B9206" t="s">
        <v>165</v>
      </c>
      <c r="C9206" t="s">
        <v>223</v>
      </c>
      <c r="D9206" t="s">
        <v>74</v>
      </c>
      <c r="E9206" t="s">
        <v>81</v>
      </c>
      <c r="F9206" s="55">
        <v>67</v>
      </c>
      <c r="G9206" s="63">
        <v>1.43E-2</v>
      </c>
    </row>
    <row r="9207" spans="1:7" x14ac:dyDescent="0.2">
      <c r="A9207" t="s">
        <v>89</v>
      </c>
      <c r="B9207" t="s">
        <v>165</v>
      </c>
      <c r="C9207" t="s">
        <v>223</v>
      </c>
      <c r="D9207" t="s">
        <v>74</v>
      </c>
      <c r="E9207" t="s">
        <v>82</v>
      </c>
      <c r="F9207" s="55">
        <v>74</v>
      </c>
      <c r="G9207" s="63">
        <v>1.8499999999999999E-2</v>
      </c>
    </row>
    <row r="9208" spans="1:7" x14ac:dyDescent="0.2">
      <c r="A9208" t="s">
        <v>89</v>
      </c>
      <c r="B9208" t="s">
        <v>165</v>
      </c>
      <c r="C9208" t="s">
        <v>223</v>
      </c>
      <c r="D9208" t="s">
        <v>74</v>
      </c>
      <c r="E9208" t="s">
        <v>83</v>
      </c>
      <c r="F9208" s="55">
        <v>73</v>
      </c>
      <c r="G9208" s="63">
        <v>4.1000000000000003E-3</v>
      </c>
    </row>
    <row r="9209" spans="1:7" x14ac:dyDescent="0.2">
      <c r="A9209" t="s">
        <v>89</v>
      </c>
      <c r="B9209" t="s">
        <v>165</v>
      </c>
      <c r="C9209" t="s">
        <v>223</v>
      </c>
      <c r="D9209" t="s">
        <v>74</v>
      </c>
      <c r="E9209" t="s">
        <v>84</v>
      </c>
      <c r="F9209" s="55">
        <v>69</v>
      </c>
      <c r="G9209" s="63">
        <v>7.6E-3</v>
      </c>
    </row>
    <row r="9210" spans="1:7" x14ac:dyDescent="0.2">
      <c r="A9210" t="s">
        <v>89</v>
      </c>
      <c r="B9210" t="s">
        <v>165</v>
      </c>
      <c r="C9210" t="s">
        <v>223</v>
      </c>
      <c r="D9210" t="s">
        <v>74</v>
      </c>
      <c r="E9210" t="s">
        <v>85</v>
      </c>
      <c r="F9210" s="55">
        <v>59</v>
      </c>
      <c r="G9210" s="63">
        <v>1.23E-2</v>
      </c>
    </row>
    <row r="9211" spans="1:7" x14ac:dyDescent="0.2">
      <c r="A9211" t="s">
        <v>89</v>
      </c>
      <c r="B9211" t="s">
        <v>165</v>
      </c>
      <c r="C9211" t="s">
        <v>223</v>
      </c>
      <c r="D9211" t="s">
        <v>74</v>
      </c>
      <c r="E9211" t="s">
        <v>86</v>
      </c>
      <c r="F9211" s="55">
        <v>60</v>
      </c>
      <c r="G9211" s="63">
        <v>1.11E-2</v>
      </c>
    </row>
    <row r="9212" spans="1:7" x14ac:dyDescent="0.2">
      <c r="A9212" t="s">
        <v>89</v>
      </c>
      <c r="B9212" t="s">
        <v>165</v>
      </c>
      <c r="C9212" t="s">
        <v>223</v>
      </c>
      <c r="D9212" t="s">
        <v>74</v>
      </c>
      <c r="E9212" t="s">
        <v>87</v>
      </c>
      <c r="F9212" s="55">
        <v>61</v>
      </c>
      <c r="G9212" s="63">
        <v>9.5999999999999992E-3</v>
      </c>
    </row>
    <row r="9213" spans="1:7" x14ac:dyDescent="0.2">
      <c r="A9213" t="s">
        <v>89</v>
      </c>
      <c r="B9213" t="s">
        <v>165</v>
      </c>
      <c r="C9213" t="s">
        <v>223</v>
      </c>
      <c r="D9213" t="s">
        <v>74</v>
      </c>
      <c r="E9213" t="s">
        <v>88</v>
      </c>
      <c r="F9213" s="55">
        <v>71</v>
      </c>
      <c r="G9213" s="63">
        <v>5.8999999999999999E-3</v>
      </c>
    </row>
    <row r="9214" spans="1:7" x14ac:dyDescent="0.2">
      <c r="A9214" t="s">
        <v>71</v>
      </c>
      <c r="B9214" t="s">
        <v>15</v>
      </c>
      <c r="C9214" t="s">
        <v>223</v>
      </c>
      <c r="D9214" t="s">
        <v>74</v>
      </c>
      <c r="E9214" t="s">
        <v>75</v>
      </c>
      <c r="F9214" s="55">
        <v>85</v>
      </c>
      <c r="G9214" s="63">
        <v>0.21490000000000001</v>
      </c>
    </row>
    <row r="9215" spans="1:7" x14ac:dyDescent="0.2">
      <c r="A9215" t="s">
        <v>71</v>
      </c>
      <c r="B9215" t="s">
        <v>15</v>
      </c>
      <c r="C9215" t="s">
        <v>223</v>
      </c>
      <c r="D9215" t="s">
        <v>74</v>
      </c>
      <c r="E9215" t="s">
        <v>76</v>
      </c>
      <c r="F9215" s="55">
        <v>73</v>
      </c>
      <c r="G9215" s="63">
        <v>2.8000000000000001E-2</v>
      </c>
    </row>
    <row r="9216" spans="1:7" x14ac:dyDescent="0.2">
      <c r="A9216" t="s">
        <v>71</v>
      </c>
      <c r="B9216" t="s">
        <v>15</v>
      </c>
      <c r="C9216" t="s">
        <v>223</v>
      </c>
      <c r="D9216" t="s">
        <v>74</v>
      </c>
      <c r="E9216" t="s">
        <v>77</v>
      </c>
      <c r="F9216" s="55">
        <v>74</v>
      </c>
      <c r="G9216" s="63">
        <v>6.6000000000000003E-2</v>
      </c>
    </row>
    <row r="9217" spans="1:7" x14ac:dyDescent="0.2">
      <c r="A9217" t="s">
        <v>71</v>
      </c>
      <c r="B9217" t="s">
        <v>15</v>
      </c>
      <c r="C9217" t="s">
        <v>223</v>
      </c>
      <c r="D9217" t="s">
        <v>74</v>
      </c>
      <c r="E9217" t="s">
        <v>78</v>
      </c>
      <c r="F9217" s="55">
        <v>72</v>
      </c>
      <c r="G9217" s="63">
        <v>6.1499999999999999E-2</v>
      </c>
    </row>
    <row r="9218" spans="1:7" x14ac:dyDescent="0.2">
      <c r="A9218" t="s">
        <v>71</v>
      </c>
      <c r="B9218" t="s">
        <v>15</v>
      </c>
      <c r="C9218" t="s">
        <v>223</v>
      </c>
      <c r="D9218" t="s">
        <v>74</v>
      </c>
      <c r="E9218" t="s">
        <v>79</v>
      </c>
      <c r="F9218" s="55">
        <v>90</v>
      </c>
      <c r="G9218" s="63">
        <v>0.14030000000000001</v>
      </c>
    </row>
    <row r="9219" spans="1:7" x14ac:dyDescent="0.2">
      <c r="A9219" t="s">
        <v>71</v>
      </c>
      <c r="B9219" t="s">
        <v>15</v>
      </c>
      <c r="C9219" t="s">
        <v>223</v>
      </c>
      <c r="D9219" t="s">
        <v>74</v>
      </c>
      <c r="E9219" t="s">
        <v>80</v>
      </c>
      <c r="F9219" s="55">
        <v>94</v>
      </c>
      <c r="G9219" s="63">
        <v>4.5600000000000002E-2</v>
      </c>
    </row>
    <row r="9220" spans="1:7" x14ac:dyDescent="0.2">
      <c r="A9220" t="s">
        <v>71</v>
      </c>
      <c r="B9220" t="s">
        <v>15</v>
      </c>
      <c r="C9220" t="s">
        <v>223</v>
      </c>
      <c r="D9220" t="s">
        <v>74</v>
      </c>
      <c r="E9220" t="s">
        <v>81</v>
      </c>
      <c r="F9220" s="55">
        <v>91</v>
      </c>
      <c r="G9220" s="63">
        <v>4.82E-2</v>
      </c>
    </row>
    <row r="9221" spans="1:7" x14ac:dyDescent="0.2">
      <c r="A9221" t="s">
        <v>71</v>
      </c>
      <c r="B9221" t="s">
        <v>15</v>
      </c>
      <c r="C9221" t="s">
        <v>223</v>
      </c>
      <c r="D9221" t="s">
        <v>74</v>
      </c>
      <c r="E9221" t="s">
        <v>82</v>
      </c>
      <c r="F9221" s="55">
        <v>73</v>
      </c>
      <c r="G9221" s="63">
        <v>9.4500000000000001E-2</v>
      </c>
    </row>
    <row r="9222" spans="1:7" x14ac:dyDescent="0.2">
      <c r="A9222" t="s">
        <v>71</v>
      </c>
      <c r="B9222" t="s">
        <v>15</v>
      </c>
      <c r="C9222" t="s">
        <v>223</v>
      </c>
      <c r="D9222" t="s">
        <v>74</v>
      </c>
      <c r="E9222" t="s">
        <v>83</v>
      </c>
      <c r="F9222" s="55">
        <v>83</v>
      </c>
      <c r="G9222" s="63">
        <v>2.24E-2</v>
      </c>
    </row>
    <row r="9223" spans="1:7" x14ac:dyDescent="0.2">
      <c r="A9223" t="s">
        <v>71</v>
      </c>
      <c r="B9223" t="s">
        <v>15</v>
      </c>
      <c r="C9223" t="s">
        <v>223</v>
      </c>
      <c r="D9223" t="s">
        <v>74</v>
      </c>
      <c r="E9223" t="s">
        <v>84</v>
      </c>
      <c r="F9223" s="55">
        <v>72</v>
      </c>
      <c r="G9223" s="63">
        <v>4.7E-2</v>
      </c>
    </row>
    <row r="9224" spans="1:7" x14ac:dyDescent="0.2">
      <c r="A9224" t="s">
        <v>71</v>
      </c>
      <c r="B9224" t="s">
        <v>15</v>
      </c>
      <c r="C9224" t="s">
        <v>223</v>
      </c>
      <c r="D9224" t="s">
        <v>74</v>
      </c>
      <c r="E9224" t="s">
        <v>85</v>
      </c>
      <c r="F9224" s="55">
        <v>94</v>
      </c>
      <c r="G9224" s="63">
        <v>5.6800000000000003E-2</v>
      </c>
    </row>
    <row r="9225" spans="1:7" x14ac:dyDescent="0.2">
      <c r="A9225" t="s">
        <v>71</v>
      </c>
      <c r="B9225" t="s">
        <v>15</v>
      </c>
      <c r="C9225" t="s">
        <v>223</v>
      </c>
      <c r="D9225" t="s">
        <v>74</v>
      </c>
      <c r="E9225" t="s">
        <v>86</v>
      </c>
      <c r="F9225" s="55">
        <v>91</v>
      </c>
      <c r="G9225" s="63">
        <v>7.1800000000000003E-2</v>
      </c>
    </row>
    <row r="9226" spans="1:7" x14ac:dyDescent="0.2">
      <c r="A9226" t="s">
        <v>71</v>
      </c>
      <c r="B9226" t="s">
        <v>15</v>
      </c>
      <c r="C9226" t="s">
        <v>223</v>
      </c>
      <c r="D9226" t="s">
        <v>74</v>
      </c>
      <c r="E9226" t="s">
        <v>87</v>
      </c>
      <c r="F9226" s="55">
        <v>88</v>
      </c>
      <c r="G9226" s="63">
        <v>7.3499999999999996E-2</v>
      </c>
    </row>
    <row r="9227" spans="1:7" x14ac:dyDescent="0.2">
      <c r="A9227" t="s">
        <v>71</v>
      </c>
      <c r="B9227" t="s">
        <v>15</v>
      </c>
      <c r="C9227" t="s">
        <v>223</v>
      </c>
      <c r="D9227" t="s">
        <v>74</v>
      </c>
      <c r="E9227" t="s">
        <v>88</v>
      </c>
      <c r="F9227" s="55">
        <v>78</v>
      </c>
      <c r="G9227" s="63">
        <v>4.5400000000000003E-2</v>
      </c>
    </row>
    <row r="9228" spans="1:7" x14ac:dyDescent="0.2">
      <c r="A9228" t="s">
        <v>71</v>
      </c>
      <c r="B9228" t="s">
        <v>166</v>
      </c>
      <c r="C9228" t="s">
        <v>223</v>
      </c>
      <c r="D9228" t="s">
        <v>74</v>
      </c>
      <c r="E9228" t="s">
        <v>75</v>
      </c>
      <c r="F9228" s="55">
        <v>110</v>
      </c>
      <c r="G9228" s="63">
        <v>0.1187</v>
      </c>
    </row>
    <row r="9229" spans="1:7" x14ac:dyDescent="0.2">
      <c r="A9229" t="s">
        <v>71</v>
      </c>
      <c r="B9229" t="s">
        <v>166</v>
      </c>
      <c r="C9229" t="s">
        <v>223</v>
      </c>
      <c r="D9229" t="s">
        <v>74</v>
      </c>
      <c r="E9229" t="s">
        <v>76</v>
      </c>
      <c r="F9229" s="55">
        <v>104</v>
      </c>
      <c r="G9229" s="63">
        <v>1.9199999999999998E-2</v>
      </c>
    </row>
    <row r="9230" spans="1:7" x14ac:dyDescent="0.2">
      <c r="A9230" t="s">
        <v>71</v>
      </c>
      <c r="B9230" t="s">
        <v>166</v>
      </c>
      <c r="C9230" t="s">
        <v>223</v>
      </c>
      <c r="D9230" t="s">
        <v>74</v>
      </c>
      <c r="E9230" t="s">
        <v>77</v>
      </c>
      <c r="F9230" s="55">
        <v>115</v>
      </c>
      <c r="G9230" s="63">
        <v>4.6399999999999997E-2</v>
      </c>
    </row>
    <row r="9231" spans="1:7" x14ac:dyDescent="0.2">
      <c r="A9231" t="s">
        <v>71</v>
      </c>
      <c r="B9231" t="s">
        <v>166</v>
      </c>
      <c r="C9231" t="s">
        <v>223</v>
      </c>
      <c r="D9231" t="s">
        <v>74</v>
      </c>
      <c r="E9231" t="s">
        <v>78</v>
      </c>
      <c r="F9231" s="55">
        <v>113</v>
      </c>
      <c r="G9231" s="63">
        <v>0.04</v>
      </c>
    </row>
    <row r="9232" spans="1:7" x14ac:dyDescent="0.2">
      <c r="A9232" t="s">
        <v>71</v>
      </c>
      <c r="B9232" t="s">
        <v>166</v>
      </c>
      <c r="C9232" t="s">
        <v>223</v>
      </c>
      <c r="D9232" t="s">
        <v>74</v>
      </c>
      <c r="E9232" t="s">
        <v>79</v>
      </c>
      <c r="F9232" s="55">
        <v>113</v>
      </c>
      <c r="G9232" s="63">
        <v>6.93E-2</v>
      </c>
    </row>
    <row r="9233" spans="1:7" x14ac:dyDescent="0.2">
      <c r="A9233" t="s">
        <v>71</v>
      </c>
      <c r="B9233" t="s">
        <v>166</v>
      </c>
      <c r="C9233" t="s">
        <v>223</v>
      </c>
      <c r="D9233" t="s">
        <v>74</v>
      </c>
      <c r="E9233" t="s">
        <v>80</v>
      </c>
      <c r="F9233" s="55">
        <v>104</v>
      </c>
      <c r="G9233" s="63">
        <v>2.1000000000000001E-2</v>
      </c>
    </row>
    <row r="9234" spans="1:7" x14ac:dyDescent="0.2">
      <c r="A9234" t="s">
        <v>71</v>
      </c>
      <c r="B9234" t="s">
        <v>166</v>
      </c>
      <c r="C9234" t="s">
        <v>223</v>
      </c>
      <c r="D9234" t="s">
        <v>74</v>
      </c>
      <c r="E9234" t="s">
        <v>81</v>
      </c>
      <c r="F9234" s="55">
        <v>106</v>
      </c>
      <c r="G9234" s="63">
        <v>2.4400000000000002E-2</v>
      </c>
    </row>
    <row r="9235" spans="1:7" x14ac:dyDescent="0.2">
      <c r="A9235" t="s">
        <v>71</v>
      </c>
      <c r="B9235" t="s">
        <v>166</v>
      </c>
      <c r="C9235" t="s">
        <v>223</v>
      </c>
      <c r="D9235" t="s">
        <v>74</v>
      </c>
      <c r="E9235" t="s">
        <v>82</v>
      </c>
      <c r="F9235" s="55">
        <v>101</v>
      </c>
      <c r="G9235" s="63">
        <v>5.5899999999999998E-2</v>
      </c>
    </row>
    <row r="9236" spans="1:7" x14ac:dyDescent="0.2">
      <c r="A9236" t="s">
        <v>71</v>
      </c>
      <c r="B9236" t="s">
        <v>166</v>
      </c>
      <c r="C9236" t="s">
        <v>223</v>
      </c>
      <c r="D9236" t="s">
        <v>74</v>
      </c>
      <c r="E9236" t="s">
        <v>83</v>
      </c>
      <c r="F9236" s="55">
        <v>117</v>
      </c>
      <c r="G9236" s="63">
        <v>1.2200000000000001E-2</v>
      </c>
    </row>
    <row r="9237" spans="1:7" x14ac:dyDescent="0.2">
      <c r="A9237" t="s">
        <v>71</v>
      </c>
      <c r="B9237" t="s">
        <v>166</v>
      </c>
      <c r="C9237" t="s">
        <v>223</v>
      </c>
      <c r="D9237" t="s">
        <v>74</v>
      </c>
      <c r="E9237" t="s">
        <v>84</v>
      </c>
      <c r="F9237" s="55">
        <v>114</v>
      </c>
      <c r="G9237" s="63">
        <v>3.1099999999999999E-2</v>
      </c>
    </row>
    <row r="9238" spans="1:7" x14ac:dyDescent="0.2">
      <c r="A9238" t="s">
        <v>71</v>
      </c>
      <c r="B9238" t="s">
        <v>166</v>
      </c>
      <c r="C9238" t="s">
        <v>223</v>
      </c>
      <c r="D9238" t="s">
        <v>74</v>
      </c>
      <c r="E9238" t="s">
        <v>85</v>
      </c>
      <c r="F9238" s="55">
        <v>110</v>
      </c>
      <c r="G9238" s="63">
        <v>2.7199999999999998E-2</v>
      </c>
    </row>
    <row r="9239" spans="1:7" x14ac:dyDescent="0.2">
      <c r="A9239" t="s">
        <v>71</v>
      </c>
      <c r="B9239" t="s">
        <v>166</v>
      </c>
      <c r="C9239" t="s">
        <v>223</v>
      </c>
      <c r="D9239" t="s">
        <v>74</v>
      </c>
      <c r="E9239" t="s">
        <v>86</v>
      </c>
      <c r="F9239" s="55">
        <v>116</v>
      </c>
      <c r="G9239" s="63">
        <v>3.3500000000000002E-2</v>
      </c>
    </row>
    <row r="9240" spans="1:7" x14ac:dyDescent="0.2">
      <c r="A9240" t="s">
        <v>71</v>
      </c>
      <c r="B9240" t="s">
        <v>166</v>
      </c>
      <c r="C9240" t="s">
        <v>223</v>
      </c>
      <c r="D9240" t="s">
        <v>74</v>
      </c>
      <c r="E9240" t="s">
        <v>87</v>
      </c>
      <c r="F9240" s="55">
        <v>115</v>
      </c>
      <c r="G9240" s="63">
        <v>3.6700000000000003E-2</v>
      </c>
    </row>
    <row r="9241" spans="1:7" x14ac:dyDescent="0.2">
      <c r="A9241" t="s">
        <v>71</v>
      </c>
      <c r="B9241" t="s">
        <v>166</v>
      </c>
      <c r="C9241" t="s">
        <v>223</v>
      </c>
      <c r="D9241" t="s">
        <v>74</v>
      </c>
      <c r="E9241" t="s">
        <v>88</v>
      </c>
      <c r="F9241" s="55">
        <v>104</v>
      </c>
      <c r="G9241" s="63">
        <v>2.9399999999999999E-2</v>
      </c>
    </row>
    <row r="9242" spans="1:7" x14ac:dyDescent="0.2">
      <c r="A9242" t="s">
        <v>71</v>
      </c>
      <c r="B9242" t="s">
        <v>167</v>
      </c>
      <c r="C9242" t="s">
        <v>223</v>
      </c>
      <c r="D9242" t="s">
        <v>74</v>
      </c>
      <c r="E9242" t="s">
        <v>75</v>
      </c>
      <c r="F9242" s="55">
        <v>94</v>
      </c>
      <c r="G9242" s="63">
        <v>0.152</v>
      </c>
    </row>
    <row r="9243" spans="1:7" x14ac:dyDescent="0.2">
      <c r="A9243" t="s">
        <v>71</v>
      </c>
      <c r="B9243" t="s">
        <v>167</v>
      </c>
      <c r="C9243" t="s">
        <v>223</v>
      </c>
      <c r="D9243" t="s">
        <v>74</v>
      </c>
      <c r="E9243" t="s">
        <v>76</v>
      </c>
      <c r="F9243" s="55">
        <v>89</v>
      </c>
      <c r="G9243" s="63">
        <v>1.7500000000000002E-2</v>
      </c>
    </row>
    <row r="9244" spans="1:7" x14ac:dyDescent="0.2">
      <c r="A9244" t="s">
        <v>71</v>
      </c>
      <c r="B9244" t="s">
        <v>167</v>
      </c>
      <c r="C9244" t="s">
        <v>223</v>
      </c>
      <c r="D9244" t="s">
        <v>74</v>
      </c>
      <c r="E9244" t="s">
        <v>77</v>
      </c>
      <c r="F9244" s="55">
        <v>102</v>
      </c>
      <c r="G9244" s="63">
        <v>4.8500000000000001E-2</v>
      </c>
    </row>
    <row r="9245" spans="1:7" x14ac:dyDescent="0.2">
      <c r="A9245" t="s">
        <v>71</v>
      </c>
      <c r="B9245" t="s">
        <v>167</v>
      </c>
      <c r="C9245" t="s">
        <v>223</v>
      </c>
      <c r="D9245" t="s">
        <v>74</v>
      </c>
      <c r="E9245" t="s">
        <v>78</v>
      </c>
      <c r="F9245" s="55">
        <v>103</v>
      </c>
      <c r="G9245" s="63">
        <v>4.5699999999999998E-2</v>
      </c>
    </row>
    <row r="9246" spans="1:7" x14ac:dyDescent="0.2">
      <c r="A9246" t="s">
        <v>71</v>
      </c>
      <c r="B9246" t="s">
        <v>167</v>
      </c>
      <c r="C9246" t="s">
        <v>223</v>
      </c>
      <c r="D9246" t="s">
        <v>74</v>
      </c>
      <c r="E9246" t="s">
        <v>79</v>
      </c>
      <c r="F9246" s="55">
        <v>94</v>
      </c>
      <c r="G9246" s="63">
        <v>9.1499999999999998E-2</v>
      </c>
    </row>
    <row r="9247" spans="1:7" x14ac:dyDescent="0.2">
      <c r="A9247" t="s">
        <v>71</v>
      </c>
      <c r="B9247" t="s">
        <v>167</v>
      </c>
      <c r="C9247" t="s">
        <v>223</v>
      </c>
      <c r="D9247" t="s">
        <v>74</v>
      </c>
      <c r="E9247" t="s">
        <v>80</v>
      </c>
      <c r="F9247" s="55">
        <v>87</v>
      </c>
      <c r="G9247" s="63">
        <v>2.2499999999999999E-2</v>
      </c>
    </row>
    <row r="9248" spans="1:7" x14ac:dyDescent="0.2">
      <c r="A9248" t="s">
        <v>71</v>
      </c>
      <c r="B9248" t="s">
        <v>167</v>
      </c>
      <c r="C9248" t="s">
        <v>223</v>
      </c>
      <c r="D9248" t="s">
        <v>74</v>
      </c>
      <c r="E9248" t="s">
        <v>81</v>
      </c>
      <c r="F9248" s="55">
        <v>88</v>
      </c>
      <c r="G9248" s="63">
        <v>2.7400000000000001E-2</v>
      </c>
    </row>
    <row r="9249" spans="1:7" x14ac:dyDescent="0.2">
      <c r="A9249" t="s">
        <v>71</v>
      </c>
      <c r="B9249" t="s">
        <v>167</v>
      </c>
      <c r="C9249" t="s">
        <v>223</v>
      </c>
      <c r="D9249" t="s">
        <v>74</v>
      </c>
      <c r="E9249" t="s">
        <v>82</v>
      </c>
      <c r="F9249" s="55">
        <v>90</v>
      </c>
      <c r="G9249" s="63">
        <v>6.9099999999999995E-2</v>
      </c>
    </row>
    <row r="9250" spans="1:7" x14ac:dyDescent="0.2">
      <c r="A9250" t="s">
        <v>71</v>
      </c>
      <c r="B9250" t="s">
        <v>167</v>
      </c>
      <c r="C9250" t="s">
        <v>223</v>
      </c>
      <c r="D9250" t="s">
        <v>74</v>
      </c>
      <c r="E9250" t="s">
        <v>83</v>
      </c>
      <c r="F9250" s="55">
        <v>90</v>
      </c>
      <c r="G9250" s="63">
        <v>1.41E-2</v>
      </c>
    </row>
    <row r="9251" spans="1:7" x14ac:dyDescent="0.2">
      <c r="A9251" t="s">
        <v>71</v>
      </c>
      <c r="B9251" t="s">
        <v>167</v>
      </c>
      <c r="C9251" t="s">
        <v>223</v>
      </c>
      <c r="D9251" t="s">
        <v>74</v>
      </c>
      <c r="E9251" t="s">
        <v>84</v>
      </c>
      <c r="F9251" s="55">
        <v>103</v>
      </c>
      <c r="G9251" s="63">
        <v>3.2599999999999997E-2</v>
      </c>
    </row>
    <row r="9252" spans="1:7" x14ac:dyDescent="0.2">
      <c r="A9252" t="s">
        <v>71</v>
      </c>
      <c r="B9252" t="s">
        <v>167</v>
      </c>
      <c r="C9252" t="s">
        <v>223</v>
      </c>
      <c r="D9252" t="s">
        <v>74</v>
      </c>
      <c r="E9252" t="s">
        <v>85</v>
      </c>
      <c r="F9252" s="55">
        <v>87</v>
      </c>
      <c r="G9252" s="63">
        <v>2.5499999999999998E-2</v>
      </c>
    </row>
    <row r="9253" spans="1:7" x14ac:dyDescent="0.2">
      <c r="A9253" t="s">
        <v>71</v>
      </c>
      <c r="B9253" t="s">
        <v>167</v>
      </c>
      <c r="C9253" t="s">
        <v>223</v>
      </c>
      <c r="D9253" t="s">
        <v>74</v>
      </c>
      <c r="E9253" t="s">
        <v>86</v>
      </c>
      <c r="F9253" s="55">
        <v>89</v>
      </c>
      <c r="G9253" s="63">
        <v>3.7499999999999999E-2</v>
      </c>
    </row>
    <row r="9254" spans="1:7" x14ac:dyDescent="0.2">
      <c r="A9254" t="s">
        <v>71</v>
      </c>
      <c r="B9254" t="s">
        <v>167</v>
      </c>
      <c r="C9254" t="s">
        <v>223</v>
      </c>
      <c r="D9254" t="s">
        <v>74</v>
      </c>
      <c r="E9254" t="s">
        <v>87</v>
      </c>
      <c r="F9254" s="55">
        <v>94</v>
      </c>
      <c r="G9254" s="63">
        <v>4.5100000000000001E-2</v>
      </c>
    </row>
    <row r="9255" spans="1:7" x14ac:dyDescent="0.2">
      <c r="A9255" t="s">
        <v>71</v>
      </c>
      <c r="B9255" t="s">
        <v>167</v>
      </c>
      <c r="C9255" t="s">
        <v>223</v>
      </c>
      <c r="D9255" t="s">
        <v>74</v>
      </c>
      <c r="E9255" t="s">
        <v>88</v>
      </c>
      <c r="F9255" s="55">
        <v>87</v>
      </c>
      <c r="G9255" s="63">
        <v>2.7099999999999999E-2</v>
      </c>
    </row>
    <row r="9256" spans="1:7" x14ac:dyDescent="0.2">
      <c r="A9256" t="s">
        <v>89</v>
      </c>
      <c r="B9256" t="s">
        <v>168</v>
      </c>
      <c r="C9256" t="s">
        <v>223</v>
      </c>
      <c r="D9256" t="s">
        <v>74</v>
      </c>
      <c r="E9256" t="s">
        <v>75</v>
      </c>
      <c r="F9256" s="55">
        <v>114</v>
      </c>
      <c r="G9256" s="63">
        <v>6.9400000000000003E-2</v>
      </c>
    </row>
    <row r="9257" spans="1:7" x14ac:dyDescent="0.2">
      <c r="A9257" t="s">
        <v>89</v>
      </c>
      <c r="B9257" t="s">
        <v>168</v>
      </c>
      <c r="C9257" t="s">
        <v>223</v>
      </c>
      <c r="D9257" t="s">
        <v>74</v>
      </c>
      <c r="E9257" t="s">
        <v>76</v>
      </c>
      <c r="F9257" s="55">
        <v>104</v>
      </c>
      <c r="G9257" s="63">
        <v>5.1000000000000004E-3</v>
      </c>
    </row>
    <row r="9258" spans="1:7" x14ac:dyDescent="0.2">
      <c r="A9258" t="s">
        <v>89</v>
      </c>
      <c r="B9258" t="s">
        <v>168</v>
      </c>
      <c r="C9258" t="s">
        <v>223</v>
      </c>
      <c r="D9258" t="s">
        <v>74</v>
      </c>
      <c r="E9258" t="s">
        <v>77</v>
      </c>
      <c r="F9258" s="55">
        <v>117</v>
      </c>
      <c r="G9258" s="63">
        <v>2.2499999999999999E-2</v>
      </c>
    </row>
    <row r="9259" spans="1:7" x14ac:dyDescent="0.2">
      <c r="A9259" t="s">
        <v>89</v>
      </c>
      <c r="B9259" t="s">
        <v>168</v>
      </c>
      <c r="C9259" t="s">
        <v>223</v>
      </c>
      <c r="D9259" t="s">
        <v>74</v>
      </c>
      <c r="E9259" t="s">
        <v>78</v>
      </c>
      <c r="F9259" s="55">
        <v>120</v>
      </c>
      <c r="G9259" s="63">
        <v>2.0799999999999999E-2</v>
      </c>
    </row>
    <row r="9260" spans="1:7" x14ac:dyDescent="0.2">
      <c r="A9260" t="s">
        <v>89</v>
      </c>
      <c r="B9260" t="s">
        <v>168</v>
      </c>
      <c r="C9260" t="s">
        <v>223</v>
      </c>
      <c r="D9260" t="s">
        <v>74</v>
      </c>
      <c r="E9260" t="s">
        <v>79</v>
      </c>
      <c r="F9260" s="55">
        <v>117</v>
      </c>
      <c r="G9260" s="63">
        <v>4.48E-2</v>
      </c>
    </row>
    <row r="9261" spans="1:7" x14ac:dyDescent="0.2">
      <c r="A9261" t="s">
        <v>89</v>
      </c>
      <c r="B9261" t="s">
        <v>168</v>
      </c>
      <c r="C9261" t="s">
        <v>223</v>
      </c>
      <c r="D9261" t="s">
        <v>74</v>
      </c>
      <c r="E9261" t="s">
        <v>80</v>
      </c>
      <c r="F9261" s="55">
        <v>117</v>
      </c>
      <c r="G9261" s="63">
        <v>2.3199999999999998E-2</v>
      </c>
    </row>
    <row r="9262" spans="1:7" x14ac:dyDescent="0.2">
      <c r="A9262" t="s">
        <v>89</v>
      </c>
      <c r="B9262" t="s">
        <v>168</v>
      </c>
      <c r="C9262" t="s">
        <v>223</v>
      </c>
      <c r="D9262" t="s">
        <v>74</v>
      </c>
      <c r="E9262" t="s">
        <v>81</v>
      </c>
      <c r="F9262" s="55">
        <v>114</v>
      </c>
      <c r="G9262" s="63">
        <v>2.0899999999999998E-2</v>
      </c>
    </row>
    <row r="9263" spans="1:7" x14ac:dyDescent="0.2">
      <c r="A9263" t="s">
        <v>89</v>
      </c>
      <c r="B9263" t="s">
        <v>168</v>
      </c>
      <c r="C9263" t="s">
        <v>223</v>
      </c>
      <c r="D9263" t="s">
        <v>74</v>
      </c>
      <c r="E9263" t="s">
        <v>82</v>
      </c>
      <c r="F9263" s="55">
        <v>104</v>
      </c>
      <c r="G9263" s="63">
        <v>3.1099999999999999E-2</v>
      </c>
    </row>
    <row r="9264" spans="1:7" x14ac:dyDescent="0.2">
      <c r="A9264" t="s">
        <v>89</v>
      </c>
      <c r="B9264" t="s">
        <v>168</v>
      </c>
      <c r="C9264" t="s">
        <v>223</v>
      </c>
      <c r="D9264" t="s">
        <v>74</v>
      </c>
      <c r="E9264" t="s">
        <v>83</v>
      </c>
      <c r="F9264" s="55">
        <v>107</v>
      </c>
      <c r="G9264" s="63">
        <v>5.8999999999999999E-3</v>
      </c>
    </row>
    <row r="9265" spans="1:7" x14ac:dyDescent="0.2">
      <c r="A9265" t="s">
        <v>89</v>
      </c>
      <c r="B9265" t="s">
        <v>168</v>
      </c>
      <c r="C9265" t="s">
        <v>223</v>
      </c>
      <c r="D9265" t="s">
        <v>74</v>
      </c>
      <c r="E9265" t="s">
        <v>84</v>
      </c>
      <c r="F9265" s="55">
        <v>119</v>
      </c>
      <c r="G9265" s="63">
        <v>1.5800000000000002E-2</v>
      </c>
    </row>
    <row r="9266" spans="1:7" x14ac:dyDescent="0.2">
      <c r="A9266" t="s">
        <v>89</v>
      </c>
      <c r="B9266" t="s">
        <v>168</v>
      </c>
      <c r="C9266" t="s">
        <v>223</v>
      </c>
      <c r="D9266" t="s">
        <v>74</v>
      </c>
      <c r="E9266" t="s">
        <v>85</v>
      </c>
      <c r="F9266" s="55">
        <v>118</v>
      </c>
      <c r="G9266" s="63">
        <v>2.2200000000000001E-2</v>
      </c>
    </row>
    <row r="9267" spans="1:7" x14ac:dyDescent="0.2">
      <c r="A9267" t="s">
        <v>89</v>
      </c>
      <c r="B9267" t="s">
        <v>168</v>
      </c>
      <c r="C9267" t="s">
        <v>223</v>
      </c>
      <c r="D9267" t="s">
        <v>74</v>
      </c>
      <c r="E9267" t="s">
        <v>86</v>
      </c>
      <c r="F9267" s="55">
        <v>116</v>
      </c>
      <c r="G9267" s="63">
        <v>2.12E-2</v>
      </c>
    </row>
    <row r="9268" spans="1:7" x14ac:dyDescent="0.2">
      <c r="A9268" t="s">
        <v>89</v>
      </c>
      <c r="B9268" t="s">
        <v>168</v>
      </c>
      <c r="C9268" t="s">
        <v>223</v>
      </c>
      <c r="D9268" t="s">
        <v>74</v>
      </c>
      <c r="E9268" t="s">
        <v>87</v>
      </c>
      <c r="F9268" s="55">
        <v>118</v>
      </c>
      <c r="G9268" s="63">
        <v>2.1000000000000001E-2</v>
      </c>
    </row>
    <row r="9269" spans="1:7" x14ac:dyDescent="0.2">
      <c r="A9269" t="s">
        <v>89</v>
      </c>
      <c r="B9269" t="s">
        <v>168</v>
      </c>
      <c r="C9269" t="s">
        <v>223</v>
      </c>
      <c r="D9269" t="s">
        <v>74</v>
      </c>
      <c r="E9269" t="s">
        <v>88</v>
      </c>
      <c r="F9269" s="55">
        <v>105</v>
      </c>
      <c r="G9269" s="63">
        <v>8.6999999999999994E-3</v>
      </c>
    </row>
    <row r="9270" spans="1:7" x14ac:dyDescent="0.2">
      <c r="A9270" t="s">
        <v>89</v>
      </c>
      <c r="B9270" t="s">
        <v>169</v>
      </c>
      <c r="C9270" t="s">
        <v>223</v>
      </c>
      <c r="D9270" t="s">
        <v>74</v>
      </c>
      <c r="E9270" t="s">
        <v>75</v>
      </c>
      <c r="F9270" s="55">
        <v>119</v>
      </c>
      <c r="G9270" s="63">
        <v>0.14990000000000001</v>
      </c>
    </row>
    <row r="9271" spans="1:7" x14ac:dyDescent="0.2">
      <c r="A9271" t="s">
        <v>89</v>
      </c>
      <c r="B9271" t="s">
        <v>169</v>
      </c>
      <c r="C9271" t="s">
        <v>223</v>
      </c>
      <c r="D9271" t="s">
        <v>74</v>
      </c>
      <c r="E9271" t="s">
        <v>76</v>
      </c>
      <c r="F9271" s="55">
        <v>101</v>
      </c>
      <c r="G9271" s="63">
        <v>1.3299999999999999E-2</v>
      </c>
    </row>
    <row r="9272" spans="1:7" x14ac:dyDescent="0.2">
      <c r="A9272" t="s">
        <v>89</v>
      </c>
      <c r="B9272" t="s">
        <v>169</v>
      </c>
      <c r="C9272" t="s">
        <v>223</v>
      </c>
      <c r="D9272" t="s">
        <v>74</v>
      </c>
      <c r="E9272" t="s">
        <v>77</v>
      </c>
      <c r="F9272" s="55">
        <v>115</v>
      </c>
      <c r="G9272" s="63">
        <v>5.4199999999999998E-2</v>
      </c>
    </row>
    <row r="9273" spans="1:7" x14ac:dyDescent="0.2">
      <c r="A9273" t="s">
        <v>89</v>
      </c>
      <c r="B9273" t="s">
        <v>169</v>
      </c>
      <c r="C9273" t="s">
        <v>223</v>
      </c>
      <c r="D9273" t="s">
        <v>74</v>
      </c>
      <c r="E9273" t="s">
        <v>78</v>
      </c>
      <c r="F9273" s="55">
        <v>125</v>
      </c>
      <c r="G9273" s="63">
        <v>4.99E-2</v>
      </c>
    </row>
    <row r="9274" spans="1:7" x14ac:dyDescent="0.2">
      <c r="A9274" t="s">
        <v>89</v>
      </c>
      <c r="B9274" t="s">
        <v>169</v>
      </c>
      <c r="C9274" t="s">
        <v>223</v>
      </c>
      <c r="D9274" t="s">
        <v>74</v>
      </c>
      <c r="E9274" t="s">
        <v>79</v>
      </c>
      <c r="F9274" s="55">
        <v>119</v>
      </c>
      <c r="G9274" s="63">
        <v>0.1032</v>
      </c>
    </row>
    <row r="9275" spans="1:7" x14ac:dyDescent="0.2">
      <c r="A9275" t="s">
        <v>89</v>
      </c>
      <c r="B9275" t="s">
        <v>169</v>
      </c>
      <c r="C9275" t="s">
        <v>223</v>
      </c>
      <c r="D9275" t="s">
        <v>74</v>
      </c>
      <c r="E9275" t="s">
        <v>80</v>
      </c>
      <c r="F9275" s="55">
        <v>120</v>
      </c>
      <c r="G9275" s="63">
        <v>6.6299999999999998E-2</v>
      </c>
    </row>
    <row r="9276" spans="1:7" x14ac:dyDescent="0.2">
      <c r="A9276" t="s">
        <v>89</v>
      </c>
      <c r="B9276" t="s">
        <v>169</v>
      </c>
      <c r="C9276" t="s">
        <v>223</v>
      </c>
      <c r="D9276" t="s">
        <v>74</v>
      </c>
      <c r="E9276" t="s">
        <v>81</v>
      </c>
      <c r="F9276" s="55">
        <v>120</v>
      </c>
      <c r="G9276" s="63">
        <v>5.5800000000000002E-2</v>
      </c>
    </row>
    <row r="9277" spans="1:7" x14ac:dyDescent="0.2">
      <c r="A9277" t="s">
        <v>89</v>
      </c>
      <c r="B9277" t="s">
        <v>169</v>
      </c>
      <c r="C9277" t="s">
        <v>223</v>
      </c>
      <c r="D9277" t="s">
        <v>74</v>
      </c>
      <c r="E9277" t="s">
        <v>82</v>
      </c>
      <c r="F9277" s="55">
        <v>115</v>
      </c>
      <c r="G9277" s="63">
        <v>6.6100000000000006E-2</v>
      </c>
    </row>
    <row r="9278" spans="1:7" x14ac:dyDescent="0.2">
      <c r="A9278" t="s">
        <v>89</v>
      </c>
      <c r="B9278" t="s">
        <v>169</v>
      </c>
      <c r="C9278" t="s">
        <v>223</v>
      </c>
      <c r="D9278" t="s">
        <v>74</v>
      </c>
      <c r="E9278" t="s">
        <v>83</v>
      </c>
      <c r="F9278" s="55">
        <v>115</v>
      </c>
      <c r="G9278" s="63">
        <v>1.34E-2</v>
      </c>
    </row>
    <row r="9279" spans="1:7" x14ac:dyDescent="0.2">
      <c r="A9279" t="s">
        <v>89</v>
      </c>
      <c r="B9279" t="s">
        <v>169</v>
      </c>
      <c r="C9279" t="s">
        <v>223</v>
      </c>
      <c r="D9279" t="s">
        <v>74</v>
      </c>
      <c r="E9279" t="s">
        <v>84</v>
      </c>
      <c r="F9279" s="55">
        <v>126</v>
      </c>
      <c r="G9279" s="63">
        <v>4.1599999999999998E-2</v>
      </c>
    </row>
    <row r="9280" spans="1:7" x14ac:dyDescent="0.2">
      <c r="A9280" t="s">
        <v>89</v>
      </c>
      <c r="B9280" t="s">
        <v>169</v>
      </c>
      <c r="C9280" t="s">
        <v>223</v>
      </c>
      <c r="D9280" t="s">
        <v>74</v>
      </c>
      <c r="E9280" t="s">
        <v>85</v>
      </c>
      <c r="F9280" s="55">
        <v>120</v>
      </c>
      <c r="G9280" s="63">
        <v>6.3200000000000006E-2</v>
      </c>
    </row>
    <row r="9281" spans="1:7" x14ac:dyDescent="0.2">
      <c r="A9281" t="s">
        <v>89</v>
      </c>
      <c r="B9281" t="s">
        <v>169</v>
      </c>
      <c r="C9281" t="s">
        <v>223</v>
      </c>
      <c r="D9281" t="s">
        <v>74</v>
      </c>
      <c r="E9281" t="s">
        <v>86</v>
      </c>
      <c r="F9281" s="55">
        <v>119</v>
      </c>
      <c r="G9281" s="63">
        <v>6.0400000000000002E-2</v>
      </c>
    </row>
    <row r="9282" spans="1:7" x14ac:dyDescent="0.2">
      <c r="A9282" t="s">
        <v>89</v>
      </c>
      <c r="B9282" t="s">
        <v>169</v>
      </c>
      <c r="C9282" t="s">
        <v>223</v>
      </c>
      <c r="D9282" t="s">
        <v>74</v>
      </c>
      <c r="E9282" t="s">
        <v>87</v>
      </c>
      <c r="F9282" s="55">
        <v>117</v>
      </c>
      <c r="G9282" s="63">
        <v>5.5199999999999999E-2</v>
      </c>
    </row>
    <row r="9283" spans="1:7" x14ac:dyDescent="0.2">
      <c r="A9283" t="s">
        <v>89</v>
      </c>
      <c r="B9283" t="s">
        <v>169</v>
      </c>
      <c r="C9283" t="s">
        <v>223</v>
      </c>
      <c r="D9283" t="s">
        <v>74</v>
      </c>
      <c r="E9283" t="s">
        <v>88</v>
      </c>
      <c r="F9283" s="55">
        <v>105</v>
      </c>
      <c r="G9283" s="63">
        <v>2.12E-2</v>
      </c>
    </row>
    <row r="9284" spans="1:7" x14ac:dyDescent="0.2">
      <c r="A9284" t="s">
        <v>71</v>
      </c>
      <c r="B9284" t="s">
        <v>170</v>
      </c>
      <c r="C9284" t="s">
        <v>223</v>
      </c>
      <c r="D9284" t="s">
        <v>74</v>
      </c>
      <c r="E9284" t="s">
        <v>75</v>
      </c>
      <c r="F9284" s="55">
        <v>90</v>
      </c>
      <c r="G9284" s="63">
        <v>0.1792</v>
      </c>
    </row>
    <row r="9285" spans="1:7" x14ac:dyDescent="0.2">
      <c r="A9285" t="s">
        <v>71</v>
      </c>
      <c r="B9285" t="s">
        <v>170</v>
      </c>
      <c r="C9285" t="s">
        <v>223</v>
      </c>
      <c r="D9285" t="s">
        <v>74</v>
      </c>
      <c r="E9285" t="s">
        <v>76</v>
      </c>
      <c r="F9285" s="55">
        <v>83</v>
      </c>
      <c r="G9285" s="63">
        <v>3.5900000000000001E-2</v>
      </c>
    </row>
    <row r="9286" spans="1:7" x14ac:dyDescent="0.2">
      <c r="A9286" t="s">
        <v>71</v>
      </c>
      <c r="B9286" t="s">
        <v>170</v>
      </c>
      <c r="C9286" t="s">
        <v>223</v>
      </c>
      <c r="D9286" t="s">
        <v>74</v>
      </c>
      <c r="E9286" t="s">
        <v>77</v>
      </c>
      <c r="F9286" s="55">
        <v>93</v>
      </c>
      <c r="G9286" s="63">
        <v>7.8200000000000006E-2</v>
      </c>
    </row>
    <row r="9287" spans="1:7" x14ac:dyDescent="0.2">
      <c r="A9287" t="s">
        <v>71</v>
      </c>
      <c r="B9287" t="s">
        <v>170</v>
      </c>
      <c r="C9287" t="s">
        <v>223</v>
      </c>
      <c r="D9287" t="s">
        <v>74</v>
      </c>
      <c r="E9287" t="s">
        <v>78</v>
      </c>
      <c r="F9287" s="55">
        <v>94</v>
      </c>
      <c r="G9287" s="63">
        <v>7.0999999999999994E-2</v>
      </c>
    </row>
    <row r="9288" spans="1:7" x14ac:dyDescent="0.2">
      <c r="A9288" t="s">
        <v>71</v>
      </c>
      <c r="B9288" t="s">
        <v>170</v>
      </c>
      <c r="C9288" t="s">
        <v>223</v>
      </c>
      <c r="D9288" t="s">
        <v>74</v>
      </c>
      <c r="E9288" t="s">
        <v>79</v>
      </c>
      <c r="F9288" s="55">
        <v>90</v>
      </c>
      <c r="G9288" s="63">
        <v>0.12130000000000001</v>
      </c>
    </row>
    <row r="9289" spans="1:7" x14ac:dyDescent="0.2">
      <c r="A9289" t="s">
        <v>71</v>
      </c>
      <c r="B9289" t="s">
        <v>170</v>
      </c>
      <c r="C9289" t="s">
        <v>223</v>
      </c>
      <c r="D9289" t="s">
        <v>74</v>
      </c>
      <c r="E9289" t="s">
        <v>80</v>
      </c>
      <c r="F9289" s="55">
        <v>91</v>
      </c>
      <c r="G9289" s="63">
        <v>3.9E-2</v>
      </c>
    </row>
    <row r="9290" spans="1:7" x14ac:dyDescent="0.2">
      <c r="A9290" t="s">
        <v>71</v>
      </c>
      <c r="B9290" t="s">
        <v>170</v>
      </c>
      <c r="C9290" t="s">
        <v>223</v>
      </c>
      <c r="D9290" t="s">
        <v>74</v>
      </c>
      <c r="E9290" t="s">
        <v>81</v>
      </c>
      <c r="F9290" s="55">
        <v>90</v>
      </c>
      <c r="G9290" s="63">
        <v>4.7600000000000003E-2</v>
      </c>
    </row>
    <row r="9291" spans="1:7" x14ac:dyDescent="0.2">
      <c r="A9291" t="s">
        <v>71</v>
      </c>
      <c r="B9291" t="s">
        <v>170</v>
      </c>
      <c r="C9291" t="s">
        <v>223</v>
      </c>
      <c r="D9291" t="s">
        <v>74</v>
      </c>
      <c r="E9291" t="s">
        <v>82</v>
      </c>
      <c r="F9291" s="55">
        <v>89</v>
      </c>
      <c r="G9291" s="63">
        <v>9.69E-2</v>
      </c>
    </row>
    <row r="9292" spans="1:7" x14ac:dyDescent="0.2">
      <c r="A9292" t="s">
        <v>71</v>
      </c>
      <c r="B9292" t="s">
        <v>170</v>
      </c>
      <c r="C9292" t="s">
        <v>223</v>
      </c>
      <c r="D9292" t="s">
        <v>74</v>
      </c>
      <c r="E9292" t="s">
        <v>83</v>
      </c>
      <c r="F9292" s="55">
        <v>86</v>
      </c>
      <c r="G9292" s="63">
        <v>2.7400000000000001E-2</v>
      </c>
    </row>
    <row r="9293" spans="1:7" x14ac:dyDescent="0.2">
      <c r="A9293" t="s">
        <v>71</v>
      </c>
      <c r="B9293" t="s">
        <v>170</v>
      </c>
      <c r="C9293" t="s">
        <v>223</v>
      </c>
      <c r="D9293" t="s">
        <v>74</v>
      </c>
      <c r="E9293" t="s">
        <v>84</v>
      </c>
      <c r="F9293" s="55">
        <v>95</v>
      </c>
      <c r="G9293" s="63">
        <v>5.6599999999999998E-2</v>
      </c>
    </row>
    <row r="9294" spans="1:7" x14ac:dyDescent="0.2">
      <c r="A9294" t="s">
        <v>71</v>
      </c>
      <c r="B9294" t="s">
        <v>170</v>
      </c>
      <c r="C9294" t="s">
        <v>223</v>
      </c>
      <c r="D9294" t="s">
        <v>74</v>
      </c>
      <c r="E9294" t="s">
        <v>85</v>
      </c>
      <c r="F9294" s="55">
        <v>88</v>
      </c>
      <c r="G9294" s="63">
        <v>4.5400000000000003E-2</v>
      </c>
    </row>
    <row r="9295" spans="1:7" x14ac:dyDescent="0.2">
      <c r="A9295" t="s">
        <v>71</v>
      </c>
      <c r="B9295" t="s">
        <v>170</v>
      </c>
      <c r="C9295" t="s">
        <v>223</v>
      </c>
      <c r="D9295" t="s">
        <v>74</v>
      </c>
      <c r="E9295" t="s">
        <v>86</v>
      </c>
      <c r="F9295" s="55">
        <v>88</v>
      </c>
      <c r="G9295" s="63">
        <v>6.2100000000000002E-2</v>
      </c>
    </row>
    <row r="9296" spans="1:7" x14ac:dyDescent="0.2">
      <c r="A9296" t="s">
        <v>71</v>
      </c>
      <c r="B9296" t="s">
        <v>170</v>
      </c>
      <c r="C9296" t="s">
        <v>223</v>
      </c>
      <c r="D9296" t="s">
        <v>74</v>
      </c>
      <c r="E9296" t="s">
        <v>87</v>
      </c>
      <c r="F9296" s="55">
        <v>90</v>
      </c>
      <c r="G9296" s="63">
        <v>7.2900000000000006E-2</v>
      </c>
    </row>
    <row r="9297" spans="1:7" x14ac:dyDescent="0.2">
      <c r="A9297" t="s">
        <v>71</v>
      </c>
      <c r="B9297" t="s">
        <v>170</v>
      </c>
      <c r="C9297" t="s">
        <v>223</v>
      </c>
      <c r="D9297" t="s">
        <v>74</v>
      </c>
      <c r="E9297" t="s">
        <v>88</v>
      </c>
      <c r="F9297" s="55">
        <v>84</v>
      </c>
      <c r="G9297" s="63">
        <v>5.3999999999999999E-2</v>
      </c>
    </row>
    <row r="9298" spans="1:7" x14ac:dyDescent="0.2">
      <c r="A9298" t="s">
        <v>71</v>
      </c>
      <c r="B9298" t="s">
        <v>16</v>
      </c>
      <c r="C9298" t="s">
        <v>223</v>
      </c>
      <c r="D9298" t="s">
        <v>74</v>
      </c>
      <c r="E9298" t="s">
        <v>75</v>
      </c>
      <c r="F9298" s="55">
        <v>91</v>
      </c>
      <c r="G9298" s="63">
        <v>0.17330000000000001</v>
      </c>
    </row>
    <row r="9299" spans="1:7" x14ac:dyDescent="0.2">
      <c r="A9299" t="s">
        <v>71</v>
      </c>
      <c r="B9299" t="s">
        <v>16</v>
      </c>
      <c r="C9299" t="s">
        <v>223</v>
      </c>
      <c r="D9299" t="s">
        <v>74</v>
      </c>
      <c r="E9299" t="s">
        <v>76</v>
      </c>
      <c r="F9299" s="55">
        <v>85</v>
      </c>
      <c r="G9299" s="63">
        <v>1.61E-2</v>
      </c>
    </row>
    <row r="9300" spans="1:7" x14ac:dyDescent="0.2">
      <c r="A9300" t="s">
        <v>71</v>
      </c>
      <c r="B9300" t="s">
        <v>16</v>
      </c>
      <c r="C9300" t="s">
        <v>223</v>
      </c>
      <c r="D9300" t="s">
        <v>74</v>
      </c>
      <c r="E9300" t="s">
        <v>77</v>
      </c>
      <c r="F9300" s="55">
        <v>89</v>
      </c>
      <c r="G9300" s="63">
        <v>4.7899999999999998E-2</v>
      </c>
    </row>
    <row r="9301" spans="1:7" x14ac:dyDescent="0.2">
      <c r="A9301" t="s">
        <v>71</v>
      </c>
      <c r="B9301" t="s">
        <v>16</v>
      </c>
      <c r="C9301" t="s">
        <v>223</v>
      </c>
      <c r="D9301" t="s">
        <v>74</v>
      </c>
      <c r="E9301" t="s">
        <v>78</v>
      </c>
      <c r="F9301" s="55">
        <v>89</v>
      </c>
      <c r="G9301" s="63">
        <v>5.9200000000000003E-2</v>
      </c>
    </row>
    <row r="9302" spans="1:7" x14ac:dyDescent="0.2">
      <c r="A9302" t="s">
        <v>71</v>
      </c>
      <c r="B9302" t="s">
        <v>16</v>
      </c>
      <c r="C9302" t="s">
        <v>223</v>
      </c>
      <c r="D9302" t="s">
        <v>74</v>
      </c>
      <c r="E9302" t="s">
        <v>79</v>
      </c>
      <c r="F9302" s="55">
        <v>91</v>
      </c>
      <c r="G9302" s="63">
        <v>0.11559999999999999</v>
      </c>
    </row>
    <row r="9303" spans="1:7" x14ac:dyDescent="0.2">
      <c r="A9303" t="s">
        <v>71</v>
      </c>
      <c r="B9303" t="s">
        <v>16</v>
      </c>
      <c r="C9303" t="s">
        <v>223</v>
      </c>
      <c r="D9303" t="s">
        <v>74</v>
      </c>
      <c r="E9303" t="s">
        <v>80</v>
      </c>
      <c r="F9303" s="55">
        <v>92</v>
      </c>
      <c r="G9303" s="63">
        <v>2.9899999999999999E-2</v>
      </c>
    </row>
    <row r="9304" spans="1:7" x14ac:dyDescent="0.2">
      <c r="A9304" t="s">
        <v>71</v>
      </c>
      <c r="B9304" t="s">
        <v>16</v>
      </c>
      <c r="C9304" t="s">
        <v>223</v>
      </c>
      <c r="D9304" t="s">
        <v>74</v>
      </c>
      <c r="E9304" t="s">
        <v>81</v>
      </c>
      <c r="F9304" s="55">
        <v>95</v>
      </c>
      <c r="G9304" s="63">
        <v>3.3399999999999999E-2</v>
      </c>
    </row>
    <row r="9305" spans="1:7" x14ac:dyDescent="0.2">
      <c r="A9305" t="s">
        <v>71</v>
      </c>
      <c r="B9305" t="s">
        <v>16</v>
      </c>
      <c r="C9305" t="s">
        <v>223</v>
      </c>
      <c r="D9305" t="s">
        <v>74</v>
      </c>
      <c r="E9305" t="s">
        <v>82</v>
      </c>
      <c r="F9305" s="55">
        <v>94</v>
      </c>
      <c r="G9305" s="63">
        <v>8.8200000000000001E-2</v>
      </c>
    </row>
    <row r="9306" spans="1:7" x14ac:dyDescent="0.2">
      <c r="A9306" t="s">
        <v>71</v>
      </c>
      <c r="B9306" t="s">
        <v>16</v>
      </c>
      <c r="C9306" t="s">
        <v>223</v>
      </c>
      <c r="D9306" t="s">
        <v>74</v>
      </c>
      <c r="E9306" t="s">
        <v>83</v>
      </c>
      <c r="F9306" s="55">
        <v>102</v>
      </c>
      <c r="G9306" s="63">
        <v>1.37E-2</v>
      </c>
    </row>
    <row r="9307" spans="1:7" x14ac:dyDescent="0.2">
      <c r="A9307" t="s">
        <v>71</v>
      </c>
      <c r="B9307" t="s">
        <v>16</v>
      </c>
      <c r="C9307" t="s">
        <v>223</v>
      </c>
      <c r="D9307" t="s">
        <v>74</v>
      </c>
      <c r="E9307" t="s">
        <v>84</v>
      </c>
      <c r="F9307" s="55">
        <v>90</v>
      </c>
      <c r="G9307" s="63">
        <v>3.6600000000000001E-2</v>
      </c>
    </row>
    <row r="9308" spans="1:7" x14ac:dyDescent="0.2">
      <c r="A9308" t="s">
        <v>71</v>
      </c>
      <c r="B9308" t="s">
        <v>16</v>
      </c>
      <c r="C9308" t="s">
        <v>223</v>
      </c>
      <c r="D9308" t="s">
        <v>74</v>
      </c>
      <c r="E9308" t="s">
        <v>85</v>
      </c>
      <c r="F9308" s="55">
        <v>91</v>
      </c>
      <c r="G9308" s="63">
        <v>3.8399999999999997E-2</v>
      </c>
    </row>
    <row r="9309" spans="1:7" x14ac:dyDescent="0.2">
      <c r="A9309" t="s">
        <v>71</v>
      </c>
      <c r="B9309" t="s">
        <v>16</v>
      </c>
      <c r="C9309" t="s">
        <v>223</v>
      </c>
      <c r="D9309" t="s">
        <v>74</v>
      </c>
      <c r="E9309" t="s">
        <v>86</v>
      </c>
      <c r="F9309" s="55">
        <v>93</v>
      </c>
      <c r="G9309" s="63">
        <v>5.0900000000000001E-2</v>
      </c>
    </row>
    <row r="9310" spans="1:7" x14ac:dyDescent="0.2">
      <c r="A9310" t="s">
        <v>71</v>
      </c>
      <c r="B9310" t="s">
        <v>16</v>
      </c>
      <c r="C9310" t="s">
        <v>223</v>
      </c>
      <c r="D9310" t="s">
        <v>74</v>
      </c>
      <c r="E9310" t="s">
        <v>87</v>
      </c>
      <c r="F9310" s="55">
        <v>91</v>
      </c>
      <c r="G9310" s="63">
        <v>6.1800000000000001E-2</v>
      </c>
    </row>
    <row r="9311" spans="1:7" x14ac:dyDescent="0.2">
      <c r="A9311" t="s">
        <v>71</v>
      </c>
      <c r="B9311" t="s">
        <v>16</v>
      </c>
      <c r="C9311" t="s">
        <v>223</v>
      </c>
      <c r="D9311" t="s">
        <v>74</v>
      </c>
      <c r="E9311" t="s">
        <v>88</v>
      </c>
      <c r="F9311" s="55">
        <v>88</v>
      </c>
      <c r="G9311" s="63">
        <v>3.3300000000000003E-2</v>
      </c>
    </row>
    <row r="9312" spans="1:7" x14ac:dyDescent="0.2">
      <c r="A9312" t="s">
        <v>89</v>
      </c>
      <c r="B9312" t="s">
        <v>171</v>
      </c>
      <c r="C9312" t="s">
        <v>223</v>
      </c>
      <c r="D9312" t="s">
        <v>91</v>
      </c>
      <c r="E9312" t="s">
        <v>75</v>
      </c>
      <c r="F9312" s="55">
        <v>107</v>
      </c>
      <c r="G9312" s="63">
        <v>0.61570000000000003</v>
      </c>
    </row>
    <row r="9313" spans="1:7" x14ac:dyDescent="0.2">
      <c r="A9313" t="s">
        <v>89</v>
      </c>
      <c r="B9313" t="s">
        <v>171</v>
      </c>
      <c r="C9313" t="s">
        <v>223</v>
      </c>
      <c r="D9313" t="s">
        <v>91</v>
      </c>
      <c r="E9313" t="s">
        <v>76</v>
      </c>
      <c r="F9313" s="55">
        <v>94</v>
      </c>
      <c r="G9313" s="63">
        <v>0.11550000000000001</v>
      </c>
    </row>
    <row r="9314" spans="1:7" x14ac:dyDescent="0.2">
      <c r="A9314" t="s">
        <v>89</v>
      </c>
      <c r="B9314" t="s">
        <v>171</v>
      </c>
      <c r="C9314" t="s">
        <v>223</v>
      </c>
      <c r="D9314" t="s">
        <v>91</v>
      </c>
      <c r="E9314" t="s">
        <v>77</v>
      </c>
      <c r="F9314" s="55">
        <v>105</v>
      </c>
      <c r="G9314" s="63">
        <v>0.28639999999999999</v>
      </c>
    </row>
    <row r="9315" spans="1:7" x14ac:dyDescent="0.2">
      <c r="A9315" t="s">
        <v>89</v>
      </c>
      <c r="B9315" t="s">
        <v>171</v>
      </c>
      <c r="C9315" t="s">
        <v>223</v>
      </c>
      <c r="D9315" t="s">
        <v>91</v>
      </c>
      <c r="E9315" t="s">
        <v>78</v>
      </c>
      <c r="F9315" s="55">
        <v>104</v>
      </c>
      <c r="G9315" s="63">
        <v>0.3009</v>
      </c>
    </row>
    <row r="9316" spans="1:7" x14ac:dyDescent="0.2">
      <c r="A9316" t="s">
        <v>89</v>
      </c>
      <c r="B9316" t="s">
        <v>171</v>
      </c>
      <c r="C9316" t="s">
        <v>223</v>
      </c>
      <c r="D9316" t="s">
        <v>91</v>
      </c>
      <c r="E9316" t="s">
        <v>79</v>
      </c>
      <c r="F9316" s="55">
        <v>110</v>
      </c>
      <c r="G9316" s="63">
        <v>0.49120000000000003</v>
      </c>
    </row>
    <row r="9317" spans="1:7" x14ac:dyDescent="0.2">
      <c r="A9317" t="s">
        <v>89</v>
      </c>
      <c r="B9317" t="s">
        <v>171</v>
      </c>
      <c r="C9317" t="s">
        <v>223</v>
      </c>
      <c r="D9317" t="s">
        <v>91</v>
      </c>
      <c r="E9317" t="s">
        <v>80</v>
      </c>
      <c r="F9317" s="55">
        <v>98</v>
      </c>
      <c r="G9317" s="63">
        <v>0.1215</v>
      </c>
    </row>
    <row r="9318" spans="1:7" x14ac:dyDescent="0.2">
      <c r="A9318" t="s">
        <v>89</v>
      </c>
      <c r="B9318" t="s">
        <v>171</v>
      </c>
      <c r="C9318" t="s">
        <v>223</v>
      </c>
      <c r="D9318" t="s">
        <v>91</v>
      </c>
      <c r="E9318" t="s">
        <v>81</v>
      </c>
      <c r="F9318" s="55">
        <v>95</v>
      </c>
      <c r="G9318" s="63">
        <v>0.13</v>
      </c>
    </row>
    <row r="9319" spans="1:7" x14ac:dyDescent="0.2">
      <c r="A9319" t="s">
        <v>89</v>
      </c>
      <c r="B9319" t="s">
        <v>171</v>
      </c>
      <c r="C9319" t="s">
        <v>223</v>
      </c>
      <c r="D9319" t="s">
        <v>91</v>
      </c>
      <c r="E9319" t="s">
        <v>82</v>
      </c>
      <c r="F9319" s="55">
        <v>106</v>
      </c>
      <c r="G9319" s="63">
        <v>0.4</v>
      </c>
    </row>
    <row r="9320" spans="1:7" x14ac:dyDescent="0.2">
      <c r="A9320" t="s">
        <v>89</v>
      </c>
      <c r="B9320" t="s">
        <v>171</v>
      </c>
      <c r="C9320" t="s">
        <v>223</v>
      </c>
      <c r="D9320" t="s">
        <v>91</v>
      </c>
      <c r="E9320" t="s">
        <v>83</v>
      </c>
      <c r="F9320" s="55">
        <v>95</v>
      </c>
      <c r="G9320" s="63">
        <v>6.9599999999999995E-2</v>
      </c>
    </row>
    <row r="9321" spans="1:7" x14ac:dyDescent="0.2">
      <c r="A9321" t="s">
        <v>89</v>
      </c>
      <c r="B9321" t="s">
        <v>171</v>
      </c>
      <c r="C9321" t="s">
        <v>223</v>
      </c>
      <c r="D9321" t="s">
        <v>91</v>
      </c>
      <c r="E9321" t="s">
        <v>84</v>
      </c>
      <c r="F9321" s="55">
        <v>102</v>
      </c>
      <c r="G9321" s="63">
        <v>0.21990000000000001</v>
      </c>
    </row>
    <row r="9322" spans="1:7" x14ac:dyDescent="0.2">
      <c r="A9322" t="s">
        <v>89</v>
      </c>
      <c r="B9322" t="s">
        <v>171</v>
      </c>
      <c r="C9322" t="s">
        <v>223</v>
      </c>
      <c r="D9322" t="s">
        <v>91</v>
      </c>
      <c r="E9322" t="s">
        <v>85</v>
      </c>
      <c r="F9322" s="55">
        <v>105</v>
      </c>
      <c r="G9322" s="63">
        <v>0.1792</v>
      </c>
    </row>
    <row r="9323" spans="1:7" x14ac:dyDescent="0.2">
      <c r="A9323" t="s">
        <v>89</v>
      </c>
      <c r="B9323" t="s">
        <v>171</v>
      </c>
      <c r="C9323" t="s">
        <v>223</v>
      </c>
      <c r="D9323" t="s">
        <v>91</v>
      </c>
      <c r="E9323" t="s">
        <v>86</v>
      </c>
      <c r="F9323" s="55">
        <v>109</v>
      </c>
      <c r="G9323" s="63">
        <v>0.26800000000000002</v>
      </c>
    </row>
    <row r="9324" spans="1:7" x14ac:dyDescent="0.2">
      <c r="A9324" t="s">
        <v>89</v>
      </c>
      <c r="B9324" t="s">
        <v>171</v>
      </c>
      <c r="C9324" t="s">
        <v>223</v>
      </c>
      <c r="D9324" t="s">
        <v>91</v>
      </c>
      <c r="E9324" t="s">
        <v>87</v>
      </c>
      <c r="F9324" s="55">
        <v>111</v>
      </c>
      <c r="G9324" s="63">
        <v>0.33579999999999999</v>
      </c>
    </row>
    <row r="9325" spans="1:7" x14ac:dyDescent="0.2">
      <c r="A9325" t="s">
        <v>89</v>
      </c>
      <c r="B9325" t="s">
        <v>171</v>
      </c>
      <c r="C9325" t="s">
        <v>223</v>
      </c>
      <c r="D9325" t="s">
        <v>91</v>
      </c>
      <c r="E9325" t="s">
        <v>88</v>
      </c>
      <c r="F9325" s="55">
        <v>96</v>
      </c>
      <c r="G9325" s="63">
        <v>0.17810000000000001</v>
      </c>
    </row>
    <row r="9326" spans="1:7" x14ac:dyDescent="0.2">
      <c r="A9326" t="s">
        <v>89</v>
      </c>
      <c r="B9326" t="s">
        <v>172</v>
      </c>
      <c r="C9326" t="s">
        <v>223</v>
      </c>
      <c r="D9326" t="s">
        <v>74</v>
      </c>
      <c r="E9326" t="s">
        <v>75</v>
      </c>
      <c r="F9326" s="55">
        <v>101</v>
      </c>
      <c r="G9326" s="63">
        <v>0.1105</v>
      </c>
    </row>
    <row r="9327" spans="1:7" x14ac:dyDescent="0.2">
      <c r="A9327" t="s">
        <v>89</v>
      </c>
      <c r="B9327" t="s">
        <v>172</v>
      </c>
      <c r="C9327" t="s">
        <v>223</v>
      </c>
      <c r="D9327" t="s">
        <v>74</v>
      </c>
      <c r="E9327" t="s">
        <v>76</v>
      </c>
      <c r="F9327" s="55">
        <v>94</v>
      </c>
      <c r="G9327" s="63">
        <v>1.61E-2</v>
      </c>
    </row>
    <row r="9328" spans="1:7" x14ac:dyDescent="0.2">
      <c r="A9328" t="s">
        <v>89</v>
      </c>
      <c r="B9328" t="s">
        <v>172</v>
      </c>
      <c r="C9328" t="s">
        <v>223</v>
      </c>
      <c r="D9328" t="s">
        <v>74</v>
      </c>
      <c r="E9328" t="s">
        <v>77</v>
      </c>
      <c r="F9328" s="55">
        <v>105</v>
      </c>
      <c r="G9328" s="63">
        <v>3.95E-2</v>
      </c>
    </row>
    <row r="9329" spans="1:7" x14ac:dyDescent="0.2">
      <c r="A9329" t="s">
        <v>89</v>
      </c>
      <c r="B9329" t="s">
        <v>172</v>
      </c>
      <c r="C9329" t="s">
        <v>223</v>
      </c>
      <c r="D9329" t="s">
        <v>74</v>
      </c>
      <c r="E9329" t="s">
        <v>78</v>
      </c>
      <c r="F9329" s="55">
        <v>102</v>
      </c>
      <c r="G9329" s="63">
        <v>3.1E-2</v>
      </c>
    </row>
    <row r="9330" spans="1:7" x14ac:dyDescent="0.2">
      <c r="A9330" t="s">
        <v>89</v>
      </c>
      <c r="B9330" t="s">
        <v>172</v>
      </c>
      <c r="C9330" t="s">
        <v>223</v>
      </c>
      <c r="D9330" t="s">
        <v>74</v>
      </c>
      <c r="E9330" t="s">
        <v>79</v>
      </c>
      <c r="F9330" s="55">
        <v>101</v>
      </c>
      <c r="G9330" s="63">
        <v>6.2600000000000003E-2</v>
      </c>
    </row>
    <row r="9331" spans="1:7" x14ac:dyDescent="0.2">
      <c r="A9331" t="s">
        <v>89</v>
      </c>
      <c r="B9331" t="s">
        <v>172</v>
      </c>
      <c r="C9331" t="s">
        <v>223</v>
      </c>
      <c r="D9331" t="s">
        <v>74</v>
      </c>
      <c r="E9331" t="s">
        <v>80</v>
      </c>
      <c r="F9331" s="55">
        <v>89</v>
      </c>
      <c r="G9331" s="63">
        <v>1.8200000000000001E-2</v>
      </c>
    </row>
    <row r="9332" spans="1:7" x14ac:dyDescent="0.2">
      <c r="A9332" t="s">
        <v>89</v>
      </c>
      <c r="B9332" t="s">
        <v>172</v>
      </c>
      <c r="C9332" t="s">
        <v>223</v>
      </c>
      <c r="D9332" t="s">
        <v>74</v>
      </c>
      <c r="E9332" t="s">
        <v>81</v>
      </c>
      <c r="F9332" s="55">
        <v>96</v>
      </c>
      <c r="G9332" s="63">
        <v>2.2599999999999999E-2</v>
      </c>
    </row>
    <row r="9333" spans="1:7" x14ac:dyDescent="0.2">
      <c r="A9333" t="s">
        <v>89</v>
      </c>
      <c r="B9333" t="s">
        <v>172</v>
      </c>
      <c r="C9333" t="s">
        <v>223</v>
      </c>
      <c r="D9333" t="s">
        <v>74</v>
      </c>
      <c r="E9333" t="s">
        <v>82</v>
      </c>
      <c r="F9333" s="55">
        <v>101</v>
      </c>
      <c r="G9333" s="63">
        <v>5.57E-2</v>
      </c>
    </row>
    <row r="9334" spans="1:7" x14ac:dyDescent="0.2">
      <c r="A9334" t="s">
        <v>89</v>
      </c>
      <c r="B9334" t="s">
        <v>172</v>
      </c>
      <c r="C9334" t="s">
        <v>223</v>
      </c>
      <c r="D9334" t="s">
        <v>74</v>
      </c>
      <c r="E9334" t="s">
        <v>83</v>
      </c>
      <c r="F9334" s="55">
        <v>98</v>
      </c>
      <c r="G9334" s="63">
        <v>1.17E-2</v>
      </c>
    </row>
    <row r="9335" spans="1:7" x14ac:dyDescent="0.2">
      <c r="A9335" t="s">
        <v>89</v>
      </c>
      <c r="B9335" t="s">
        <v>172</v>
      </c>
      <c r="C9335" t="s">
        <v>223</v>
      </c>
      <c r="D9335" t="s">
        <v>74</v>
      </c>
      <c r="E9335" t="s">
        <v>84</v>
      </c>
      <c r="F9335" s="55">
        <v>101</v>
      </c>
      <c r="G9335" s="63">
        <v>2.4299999999999999E-2</v>
      </c>
    </row>
    <row r="9336" spans="1:7" x14ac:dyDescent="0.2">
      <c r="A9336" t="s">
        <v>89</v>
      </c>
      <c r="B9336" t="s">
        <v>172</v>
      </c>
      <c r="C9336" t="s">
        <v>223</v>
      </c>
      <c r="D9336" t="s">
        <v>74</v>
      </c>
      <c r="E9336" t="s">
        <v>85</v>
      </c>
      <c r="F9336" s="55">
        <v>96</v>
      </c>
      <c r="G9336" s="63">
        <v>1.9400000000000001E-2</v>
      </c>
    </row>
    <row r="9337" spans="1:7" x14ac:dyDescent="0.2">
      <c r="A9337" t="s">
        <v>89</v>
      </c>
      <c r="B9337" t="s">
        <v>172</v>
      </c>
      <c r="C9337" t="s">
        <v>223</v>
      </c>
      <c r="D9337" t="s">
        <v>74</v>
      </c>
      <c r="E9337" t="s">
        <v>86</v>
      </c>
      <c r="F9337" s="55">
        <v>100</v>
      </c>
      <c r="G9337" s="63">
        <v>2.6700000000000002E-2</v>
      </c>
    </row>
    <row r="9338" spans="1:7" x14ac:dyDescent="0.2">
      <c r="A9338" t="s">
        <v>89</v>
      </c>
      <c r="B9338" t="s">
        <v>172</v>
      </c>
      <c r="C9338" t="s">
        <v>223</v>
      </c>
      <c r="D9338" t="s">
        <v>74</v>
      </c>
      <c r="E9338" t="s">
        <v>87</v>
      </c>
      <c r="F9338" s="55">
        <v>99</v>
      </c>
      <c r="G9338" s="63">
        <v>2.9700000000000001E-2</v>
      </c>
    </row>
    <row r="9339" spans="1:7" x14ac:dyDescent="0.2">
      <c r="A9339" t="s">
        <v>89</v>
      </c>
      <c r="B9339" t="s">
        <v>172</v>
      </c>
      <c r="C9339" t="s">
        <v>223</v>
      </c>
      <c r="D9339" t="s">
        <v>74</v>
      </c>
      <c r="E9339" t="s">
        <v>88</v>
      </c>
      <c r="F9339" s="55">
        <v>97</v>
      </c>
      <c r="G9339" s="63">
        <v>2.6100000000000002E-2</v>
      </c>
    </row>
    <row r="9340" spans="1:7" x14ac:dyDescent="0.2">
      <c r="A9340" t="s">
        <v>89</v>
      </c>
      <c r="B9340" t="s">
        <v>173</v>
      </c>
      <c r="C9340" t="s">
        <v>223</v>
      </c>
      <c r="D9340" t="s">
        <v>74</v>
      </c>
      <c r="E9340" t="s">
        <v>75</v>
      </c>
      <c r="F9340" s="55">
        <v>100</v>
      </c>
      <c r="G9340" s="63">
        <v>8.09E-2</v>
      </c>
    </row>
    <row r="9341" spans="1:7" x14ac:dyDescent="0.2">
      <c r="A9341" t="s">
        <v>89</v>
      </c>
      <c r="B9341" t="s">
        <v>173</v>
      </c>
      <c r="C9341" t="s">
        <v>223</v>
      </c>
      <c r="D9341" t="s">
        <v>74</v>
      </c>
      <c r="E9341" t="s">
        <v>76</v>
      </c>
      <c r="F9341" s="55">
        <v>83</v>
      </c>
      <c r="G9341" s="63">
        <v>3.8999999999999998E-3</v>
      </c>
    </row>
    <row r="9342" spans="1:7" x14ac:dyDescent="0.2">
      <c r="A9342" t="s">
        <v>89</v>
      </c>
      <c r="B9342" t="s">
        <v>173</v>
      </c>
      <c r="C9342" t="s">
        <v>223</v>
      </c>
      <c r="D9342" t="s">
        <v>74</v>
      </c>
      <c r="E9342" t="s">
        <v>77</v>
      </c>
      <c r="F9342" s="55">
        <v>104</v>
      </c>
      <c r="G9342" s="63">
        <v>2.2100000000000002E-2</v>
      </c>
    </row>
    <row r="9343" spans="1:7" x14ac:dyDescent="0.2">
      <c r="A9343" t="s">
        <v>89</v>
      </c>
      <c r="B9343" t="s">
        <v>173</v>
      </c>
      <c r="C9343" t="s">
        <v>223</v>
      </c>
      <c r="D9343" t="s">
        <v>74</v>
      </c>
      <c r="E9343" t="s">
        <v>78</v>
      </c>
      <c r="F9343" s="55">
        <v>111</v>
      </c>
      <c r="G9343" s="63">
        <v>2.0899999999999998E-2</v>
      </c>
    </row>
    <row r="9344" spans="1:7" x14ac:dyDescent="0.2">
      <c r="A9344" t="s">
        <v>89</v>
      </c>
      <c r="B9344" t="s">
        <v>173</v>
      </c>
      <c r="C9344" t="s">
        <v>223</v>
      </c>
      <c r="D9344" t="s">
        <v>74</v>
      </c>
      <c r="E9344" t="s">
        <v>79</v>
      </c>
      <c r="F9344" s="55">
        <v>102</v>
      </c>
      <c r="G9344" s="63">
        <v>5.1799999999999999E-2</v>
      </c>
    </row>
    <row r="9345" spans="1:7" x14ac:dyDescent="0.2">
      <c r="A9345" t="s">
        <v>89</v>
      </c>
      <c r="B9345" t="s">
        <v>173</v>
      </c>
      <c r="C9345" t="s">
        <v>223</v>
      </c>
      <c r="D9345" t="s">
        <v>74</v>
      </c>
      <c r="E9345" t="s">
        <v>80</v>
      </c>
      <c r="F9345" s="55">
        <v>95</v>
      </c>
      <c r="G9345" s="63">
        <v>3.4500000000000003E-2</v>
      </c>
    </row>
    <row r="9346" spans="1:7" x14ac:dyDescent="0.2">
      <c r="A9346" t="s">
        <v>89</v>
      </c>
      <c r="B9346" t="s">
        <v>173</v>
      </c>
      <c r="C9346" t="s">
        <v>223</v>
      </c>
      <c r="D9346" t="s">
        <v>74</v>
      </c>
      <c r="E9346" t="s">
        <v>81</v>
      </c>
      <c r="F9346" s="55">
        <v>92</v>
      </c>
      <c r="G9346" s="63">
        <v>2.9899999999999999E-2</v>
      </c>
    </row>
    <row r="9347" spans="1:7" x14ac:dyDescent="0.2">
      <c r="A9347" t="s">
        <v>89</v>
      </c>
      <c r="B9347" t="s">
        <v>173</v>
      </c>
      <c r="C9347" t="s">
        <v>223</v>
      </c>
      <c r="D9347" t="s">
        <v>74</v>
      </c>
      <c r="E9347" t="s">
        <v>82</v>
      </c>
      <c r="F9347" s="55">
        <v>91</v>
      </c>
      <c r="G9347" s="63">
        <v>3.6200000000000003E-2</v>
      </c>
    </row>
    <row r="9348" spans="1:7" x14ac:dyDescent="0.2">
      <c r="A9348" t="s">
        <v>89</v>
      </c>
      <c r="B9348" t="s">
        <v>173</v>
      </c>
      <c r="C9348" t="s">
        <v>223</v>
      </c>
      <c r="D9348" t="s">
        <v>74</v>
      </c>
      <c r="E9348" t="s">
        <v>83</v>
      </c>
      <c r="F9348" s="55">
        <v>79</v>
      </c>
      <c r="G9348" s="63">
        <v>5.0000000000000001E-3</v>
      </c>
    </row>
    <row r="9349" spans="1:7" x14ac:dyDescent="0.2">
      <c r="A9349" t="s">
        <v>89</v>
      </c>
      <c r="B9349" t="s">
        <v>173</v>
      </c>
      <c r="C9349" t="s">
        <v>223</v>
      </c>
      <c r="D9349" t="s">
        <v>74</v>
      </c>
      <c r="E9349" t="s">
        <v>84</v>
      </c>
      <c r="F9349" s="55">
        <v>111</v>
      </c>
      <c r="G9349" s="63">
        <v>1.7000000000000001E-2</v>
      </c>
    </row>
    <row r="9350" spans="1:7" x14ac:dyDescent="0.2">
      <c r="A9350" t="s">
        <v>89</v>
      </c>
      <c r="B9350" t="s">
        <v>173</v>
      </c>
      <c r="C9350" t="s">
        <v>223</v>
      </c>
      <c r="D9350" t="s">
        <v>74</v>
      </c>
      <c r="E9350" t="s">
        <v>85</v>
      </c>
      <c r="F9350" s="55">
        <v>97</v>
      </c>
      <c r="G9350" s="63">
        <v>3.1300000000000001E-2</v>
      </c>
    </row>
    <row r="9351" spans="1:7" x14ac:dyDescent="0.2">
      <c r="A9351" t="s">
        <v>89</v>
      </c>
      <c r="B9351" t="s">
        <v>173</v>
      </c>
      <c r="C9351" t="s">
        <v>223</v>
      </c>
      <c r="D9351" t="s">
        <v>74</v>
      </c>
      <c r="E9351" t="s">
        <v>86</v>
      </c>
      <c r="F9351" s="55">
        <v>103</v>
      </c>
      <c r="G9351" s="63">
        <v>3.0599999999999999E-2</v>
      </c>
    </row>
    <row r="9352" spans="1:7" x14ac:dyDescent="0.2">
      <c r="A9352" t="s">
        <v>89</v>
      </c>
      <c r="B9352" t="s">
        <v>173</v>
      </c>
      <c r="C9352" t="s">
        <v>223</v>
      </c>
      <c r="D9352" t="s">
        <v>74</v>
      </c>
      <c r="E9352" t="s">
        <v>87</v>
      </c>
      <c r="F9352" s="55">
        <v>104</v>
      </c>
      <c r="G9352" s="63">
        <v>2.8199999999999999E-2</v>
      </c>
    </row>
    <row r="9353" spans="1:7" x14ac:dyDescent="0.2">
      <c r="A9353" t="s">
        <v>89</v>
      </c>
      <c r="B9353" t="s">
        <v>173</v>
      </c>
      <c r="C9353" t="s">
        <v>223</v>
      </c>
      <c r="D9353" t="s">
        <v>74</v>
      </c>
      <c r="E9353" t="s">
        <v>88</v>
      </c>
      <c r="F9353" s="55">
        <v>78</v>
      </c>
      <c r="G9353" s="63">
        <v>8.8999999999999999E-3</v>
      </c>
    </row>
    <row r="9354" spans="1:7" x14ac:dyDescent="0.2">
      <c r="A9354" t="s">
        <v>89</v>
      </c>
      <c r="B9354" t="s">
        <v>224</v>
      </c>
      <c r="C9354" t="s">
        <v>223</v>
      </c>
      <c r="D9354" t="s">
        <v>74</v>
      </c>
      <c r="E9354" t="s">
        <v>75</v>
      </c>
      <c r="F9354" s="55">
        <v>153</v>
      </c>
      <c r="G9354" s="63">
        <v>1.1000000000000001E-3</v>
      </c>
    </row>
    <row r="9355" spans="1:7" x14ac:dyDescent="0.2">
      <c r="A9355" t="s">
        <v>89</v>
      </c>
      <c r="B9355" t="s">
        <v>174</v>
      </c>
      <c r="C9355" t="s">
        <v>223</v>
      </c>
      <c r="D9355" t="s">
        <v>74</v>
      </c>
      <c r="E9355" t="s">
        <v>75</v>
      </c>
      <c r="F9355" s="55">
        <v>104</v>
      </c>
      <c r="G9355" s="63">
        <v>0.13150000000000001</v>
      </c>
    </row>
    <row r="9356" spans="1:7" x14ac:dyDescent="0.2">
      <c r="A9356" t="s">
        <v>89</v>
      </c>
      <c r="B9356" t="s">
        <v>174</v>
      </c>
      <c r="C9356" t="s">
        <v>223</v>
      </c>
      <c r="D9356" t="s">
        <v>74</v>
      </c>
      <c r="E9356" t="s">
        <v>76</v>
      </c>
      <c r="F9356" s="55">
        <v>86</v>
      </c>
      <c r="G9356" s="63">
        <v>1.52E-2</v>
      </c>
    </row>
    <row r="9357" spans="1:7" x14ac:dyDescent="0.2">
      <c r="A9357" t="s">
        <v>89</v>
      </c>
      <c r="B9357" t="s">
        <v>174</v>
      </c>
      <c r="C9357" t="s">
        <v>223</v>
      </c>
      <c r="D9357" t="s">
        <v>74</v>
      </c>
      <c r="E9357" t="s">
        <v>77</v>
      </c>
      <c r="F9357" s="55">
        <v>99</v>
      </c>
      <c r="G9357" s="63">
        <v>4.6300000000000001E-2</v>
      </c>
    </row>
    <row r="9358" spans="1:7" x14ac:dyDescent="0.2">
      <c r="A9358" t="s">
        <v>89</v>
      </c>
      <c r="B9358" t="s">
        <v>174</v>
      </c>
      <c r="C9358" t="s">
        <v>223</v>
      </c>
      <c r="D9358" t="s">
        <v>74</v>
      </c>
      <c r="E9358" t="s">
        <v>78</v>
      </c>
      <c r="F9358" s="55">
        <v>110</v>
      </c>
      <c r="G9358" s="63">
        <v>4.1399999999999999E-2</v>
      </c>
    </row>
    <row r="9359" spans="1:7" x14ac:dyDescent="0.2">
      <c r="A9359" t="s">
        <v>89</v>
      </c>
      <c r="B9359" t="s">
        <v>174</v>
      </c>
      <c r="C9359" t="s">
        <v>223</v>
      </c>
      <c r="D9359" t="s">
        <v>74</v>
      </c>
      <c r="E9359" t="s">
        <v>79</v>
      </c>
      <c r="F9359" s="55">
        <v>109</v>
      </c>
      <c r="G9359" s="63">
        <v>8.7800000000000003E-2</v>
      </c>
    </row>
    <row r="9360" spans="1:7" x14ac:dyDescent="0.2">
      <c r="A9360" t="s">
        <v>89</v>
      </c>
      <c r="B9360" t="s">
        <v>174</v>
      </c>
      <c r="C9360" t="s">
        <v>223</v>
      </c>
      <c r="D9360" t="s">
        <v>74</v>
      </c>
      <c r="E9360" t="s">
        <v>80</v>
      </c>
      <c r="F9360" s="55">
        <v>103</v>
      </c>
      <c r="G9360" s="63">
        <v>5.79E-2</v>
      </c>
    </row>
    <row r="9361" spans="1:7" x14ac:dyDescent="0.2">
      <c r="A9361" t="s">
        <v>89</v>
      </c>
      <c r="B9361" t="s">
        <v>174</v>
      </c>
      <c r="C9361" t="s">
        <v>223</v>
      </c>
      <c r="D9361" t="s">
        <v>74</v>
      </c>
      <c r="E9361" t="s">
        <v>81</v>
      </c>
      <c r="F9361" s="55">
        <v>103</v>
      </c>
      <c r="G9361" s="63">
        <v>5.5E-2</v>
      </c>
    </row>
    <row r="9362" spans="1:7" x14ac:dyDescent="0.2">
      <c r="A9362" t="s">
        <v>89</v>
      </c>
      <c r="B9362" t="s">
        <v>174</v>
      </c>
      <c r="C9362" t="s">
        <v>223</v>
      </c>
      <c r="D9362" t="s">
        <v>74</v>
      </c>
      <c r="E9362" t="s">
        <v>82</v>
      </c>
      <c r="F9362" s="55">
        <v>107</v>
      </c>
      <c r="G9362" s="63">
        <v>5.9400000000000001E-2</v>
      </c>
    </row>
    <row r="9363" spans="1:7" x14ac:dyDescent="0.2">
      <c r="A9363" t="s">
        <v>89</v>
      </c>
      <c r="B9363" t="s">
        <v>174</v>
      </c>
      <c r="C9363" t="s">
        <v>223</v>
      </c>
      <c r="D9363" t="s">
        <v>74</v>
      </c>
      <c r="E9363" t="s">
        <v>83</v>
      </c>
      <c r="F9363" s="55">
        <v>90</v>
      </c>
      <c r="G9363" s="63">
        <v>1.78E-2</v>
      </c>
    </row>
    <row r="9364" spans="1:7" x14ac:dyDescent="0.2">
      <c r="A9364" t="s">
        <v>89</v>
      </c>
      <c r="B9364" t="s">
        <v>174</v>
      </c>
      <c r="C9364" t="s">
        <v>223</v>
      </c>
      <c r="D9364" t="s">
        <v>74</v>
      </c>
      <c r="E9364" t="s">
        <v>84</v>
      </c>
      <c r="F9364" s="55">
        <v>109</v>
      </c>
      <c r="G9364" s="63">
        <v>3.44E-2</v>
      </c>
    </row>
    <row r="9365" spans="1:7" x14ac:dyDescent="0.2">
      <c r="A9365" t="s">
        <v>89</v>
      </c>
      <c r="B9365" t="s">
        <v>174</v>
      </c>
      <c r="C9365" t="s">
        <v>223</v>
      </c>
      <c r="D9365" t="s">
        <v>74</v>
      </c>
      <c r="E9365" t="s">
        <v>85</v>
      </c>
      <c r="F9365" s="55">
        <v>103</v>
      </c>
      <c r="G9365" s="63">
        <v>4.9700000000000001E-2</v>
      </c>
    </row>
    <row r="9366" spans="1:7" x14ac:dyDescent="0.2">
      <c r="A9366" t="s">
        <v>89</v>
      </c>
      <c r="B9366" t="s">
        <v>174</v>
      </c>
      <c r="C9366" t="s">
        <v>223</v>
      </c>
      <c r="D9366" t="s">
        <v>74</v>
      </c>
      <c r="E9366" t="s">
        <v>86</v>
      </c>
      <c r="F9366" s="55">
        <v>108</v>
      </c>
      <c r="G9366" s="63">
        <v>4.7800000000000002E-2</v>
      </c>
    </row>
    <row r="9367" spans="1:7" x14ac:dyDescent="0.2">
      <c r="A9367" t="s">
        <v>89</v>
      </c>
      <c r="B9367" t="s">
        <v>174</v>
      </c>
      <c r="C9367" t="s">
        <v>223</v>
      </c>
      <c r="D9367" t="s">
        <v>74</v>
      </c>
      <c r="E9367" t="s">
        <v>87</v>
      </c>
      <c r="F9367" s="55">
        <v>109</v>
      </c>
      <c r="G9367" s="63">
        <v>4.3700000000000003E-2</v>
      </c>
    </row>
    <row r="9368" spans="1:7" x14ac:dyDescent="0.2">
      <c r="A9368" t="s">
        <v>89</v>
      </c>
      <c r="B9368" t="s">
        <v>174</v>
      </c>
      <c r="C9368" t="s">
        <v>223</v>
      </c>
      <c r="D9368" t="s">
        <v>74</v>
      </c>
      <c r="E9368" t="s">
        <v>88</v>
      </c>
      <c r="F9368" s="55">
        <v>92</v>
      </c>
      <c r="G9368" s="63">
        <v>2.4500000000000001E-2</v>
      </c>
    </row>
    <row r="9369" spans="1:7" x14ac:dyDescent="0.2">
      <c r="A9369" t="s">
        <v>89</v>
      </c>
      <c r="B9369" t="s">
        <v>17</v>
      </c>
      <c r="C9369" t="s">
        <v>223</v>
      </c>
      <c r="D9369" t="s">
        <v>74</v>
      </c>
      <c r="E9369" t="s">
        <v>75</v>
      </c>
      <c r="F9369" s="55">
        <v>81</v>
      </c>
      <c r="G9369" s="63">
        <v>5.9400000000000001E-2</v>
      </c>
    </row>
    <row r="9370" spans="1:7" x14ac:dyDescent="0.2">
      <c r="A9370" t="s">
        <v>89</v>
      </c>
      <c r="B9370" t="s">
        <v>17</v>
      </c>
      <c r="C9370" t="s">
        <v>223</v>
      </c>
      <c r="D9370" t="s">
        <v>74</v>
      </c>
      <c r="E9370" t="s">
        <v>76</v>
      </c>
      <c r="F9370" s="55">
        <v>81</v>
      </c>
      <c r="G9370" s="63">
        <v>2.5999999999999999E-3</v>
      </c>
    </row>
    <row r="9371" spans="1:7" x14ac:dyDescent="0.2">
      <c r="A9371" t="s">
        <v>89</v>
      </c>
      <c r="B9371" t="s">
        <v>17</v>
      </c>
      <c r="C9371" t="s">
        <v>223</v>
      </c>
      <c r="D9371" t="s">
        <v>74</v>
      </c>
      <c r="E9371" t="s">
        <v>77</v>
      </c>
      <c r="F9371" s="55">
        <v>81</v>
      </c>
      <c r="G9371" s="63">
        <v>1.35E-2</v>
      </c>
    </row>
    <row r="9372" spans="1:7" x14ac:dyDescent="0.2">
      <c r="A9372" t="s">
        <v>89</v>
      </c>
      <c r="B9372" t="s">
        <v>17</v>
      </c>
      <c r="C9372" t="s">
        <v>223</v>
      </c>
      <c r="D9372" t="s">
        <v>74</v>
      </c>
      <c r="E9372" t="s">
        <v>78</v>
      </c>
      <c r="F9372" s="55">
        <v>103</v>
      </c>
      <c r="G9372" s="63">
        <v>1.2E-2</v>
      </c>
    </row>
    <row r="9373" spans="1:7" x14ac:dyDescent="0.2">
      <c r="A9373" t="s">
        <v>89</v>
      </c>
      <c r="B9373" t="s">
        <v>17</v>
      </c>
      <c r="C9373" t="s">
        <v>223</v>
      </c>
      <c r="D9373" t="s">
        <v>74</v>
      </c>
      <c r="E9373" t="s">
        <v>79</v>
      </c>
      <c r="F9373" s="55">
        <v>84</v>
      </c>
      <c r="G9373" s="63">
        <v>3.7400000000000003E-2</v>
      </c>
    </row>
    <row r="9374" spans="1:7" x14ac:dyDescent="0.2">
      <c r="A9374" t="s">
        <v>89</v>
      </c>
      <c r="B9374" t="s">
        <v>17</v>
      </c>
      <c r="C9374" t="s">
        <v>223</v>
      </c>
      <c r="D9374" t="s">
        <v>74</v>
      </c>
      <c r="E9374" t="s">
        <v>80</v>
      </c>
      <c r="F9374" s="55">
        <v>74</v>
      </c>
      <c r="G9374" s="63">
        <v>1.41E-2</v>
      </c>
    </row>
    <row r="9375" spans="1:7" x14ac:dyDescent="0.2">
      <c r="A9375" t="s">
        <v>89</v>
      </c>
      <c r="B9375" t="s">
        <v>17</v>
      </c>
      <c r="C9375" t="s">
        <v>223</v>
      </c>
      <c r="D9375" t="s">
        <v>74</v>
      </c>
      <c r="E9375" t="s">
        <v>81</v>
      </c>
      <c r="F9375" s="55">
        <v>68</v>
      </c>
      <c r="G9375" s="63">
        <v>1.23E-2</v>
      </c>
    </row>
    <row r="9376" spans="1:7" x14ac:dyDescent="0.2">
      <c r="A9376" t="s">
        <v>89</v>
      </c>
      <c r="B9376" t="s">
        <v>17</v>
      </c>
      <c r="C9376" t="s">
        <v>223</v>
      </c>
      <c r="D9376" t="s">
        <v>74</v>
      </c>
      <c r="E9376" t="s">
        <v>82</v>
      </c>
      <c r="F9376" s="55">
        <v>75</v>
      </c>
      <c r="G9376" s="63">
        <v>2.4E-2</v>
      </c>
    </row>
    <row r="9377" spans="1:7" x14ac:dyDescent="0.2">
      <c r="A9377" t="s">
        <v>89</v>
      </c>
      <c r="B9377" t="s">
        <v>17</v>
      </c>
      <c r="C9377" t="s">
        <v>223</v>
      </c>
      <c r="D9377" t="s">
        <v>74</v>
      </c>
      <c r="E9377" t="s">
        <v>83</v>
      </c>
      <c r="F9377" s="55">
        <v>69</v>
      </c>
      <c r="G9377" s="63">
        <v>3.0999999999999999E-3</v>
      </c>
    </row>
    <row r="9378" spans="1:7" x14ac:dyDescent="0.2">
      <c r="A9378" t="s">
        <v>89</v>
      </c>
      <c r="B9378" t="s">
        <v>17</v>
      </c>
      <c r="C9378" t="s">
        <v>223</v>
      </c>
      <c r="D9378" t="s">
        <v>74</v>
      </c>
      <c r="E9378" t="s">
        <v>84</v>
      </c>
      <c r="F9378" s="55">
        <v>115</v>
      </c>
      <c r="G9378" s="63">
        <v>7.9000000000000008E-3</v>
      </c>
    </row>
    <row r="9379" spans="1:7" x14ac:dyDescent="0.2">
      <c r="A9379" t="s">
        <v>89</v>
      </c>
      <c r="B9379" t="s">
        <v>17</v>
      </c>
      <c r="C9379" t="s">
        <v>223</v>
      </c>
      <c r="D9379" t="s">
        <v>74</v>
      </c>
      <c r="E9379" t="s">
        <v>85</v>
      </c>
      <c r="F9379" s="55">
        <v>90</v>
      </c>
      <c r="G9379" s="63">
        <v>1.3100000000000001E-2</v>
      </c>
    </row>
    <row r="9380" spans="1:7" x14ac:dyDescent="0.2">
      <c r="A9380" t="s">
        <v>89</v>
      </c>
      <c r="B9380" t="s">
        <v>17</v>
      </c>
      <c r="C9380" t="s">
        <v>223</v>
      </c>
      <c r="D9380" t="s">
        <v>74</v>
      </c>
      <c r="E9380" t="s">
        <v>86</v>
      </c>
      <c r="F9380" s="55">
        <v>86</v>
      </c>
      <c r="G9380" s="63">
        <v>1.46E-2</v>
      </c>
    </row>
    <row r="9381" spans="1:7" x14ac:dyDescent="0.2">
      <c r="A9381" t="s">
        <v>89</v>
      </c>
      <c r="B9381" t="s">
        <v>17</v>
      </c>
      <c r="C9381" t="s">
        <v>223</v>
      </c>
      <c r="D9381" t="s">
        <v>74</v>
      </c>
      <c r="E9381" t="s">
        <v>87</v>
      </c>
      <c r="F9381" s="55">
        <v>79</v>
      </c>
      <c r="G9381" s="63">
        <v>1.67E-2</v>
      </c>
    </row>
    <row r="9382" spans="1:7" x14ac:dyDescent="0.2">
      <c r="A9382" t="s">
        <v>89</v>
      </c>
      <c r="B9382" t="s">
        <v>17</v>
      </c>
      <c r="C9382" t="s">
        <v>223</v>
      </c>
      <c r="D9382" t="s">
        <v>74</v>
      </c>
      <c r="E9382" t="s">
        <v>88</v>
      </c>
      <c r="F9382" s="55">
        <v>68</v>
      </c>
      <c r="G9382" s="63">
        <v>5.1999999999999998E-3</v>
      </c>
    </row>
    <row r="9383" spans="1:7" x14ac:dyDescent="0.2">
      <c r="A9383" t="s">
        <v>89</v>
      </c>
      <c r="B9383" t="s">
        <v>175</v>
      </c>
      <c r="C9383" t="s">
        <v>223</v>
      </c>
      <c r="D9383" t="s">
        <v>74</v>
      </c>
      <c r="E9383" t="s">
        <v>75</v>
      </c>
      <c r="F9383" s="55">
        <v>106</v>
      </c>
      <c r="G9383" s="63">
        <v>0.13270000000000001</v>
      </c>
    </row>
    <row r="9384" spans="1:7" x14ac:dyDescent="0.2">
      <c r="A9384" t="s">
        <v>89</v>
      </c>
      <c r="B9384" t="s">
        <v>175</v>
      </c>
      <c r="C9384" t="s">
        <v>223</v>
      </c>
      <c r="D9384" t="s">
        <v>74</v>
      </c>
      <c r="E9384" t="s">
        <v>76</v>
      </c>
      <c r="F9384" s="55">
        <v>107</v>
      </c>
      <c r="G9384" s="63">
        <v>2.47E-2</v>
      </c>
    </row>
    <row r="9385" spans="1:7" x14ac:dyDescent="0.2">
      <c r="A9385" t="s">
        <v>89</v>
      </c>
      <c r="B9385" t="s">
        <v>175</v>
      </c>
      <c r="C9385" t="s">
        <v>223</v>
      </c>
      <c r="D9385" t="s">
        <v>74</v>
      </c>
      <c r="E9385" t="s">
        <v>77</v>
      </c>
      <c r="F9385" s="55">
        <v>113</v>
      </c>
      <c r="G9385" s="63">
        <v>5.8200000000000002E-2</v>
      </c>
    </row>
    <row r="9386" spans="1:7" x14ac:dyDescent="0.2">
      <c r="A9386" t="s">
        <v>89</v>
      </c>
      <c r="B9386" t="s">
        <v>175</v>
      </c>
      <c r="C9386" t="s">
        <v>223</v>
      </c>
      <c r="D9386" t="s">
        <v>74</v>
      </c>
      <c r="E9386" t="s">
        <v>78</v>
      </c>
      <c r="F9386" s="55">
        <v>107</v>
      </c>
      <c r="G9386" s="63">
        <v>5.3999999999999999E-2</v>
      </c>
    </row>
    <row r="9387" spans="1:7" x14ac:dyDescent="0.2">
      <c r="A9387" t="s">
        <v>89</v>
      </c>
      <c r="B9387" t="s">
        <v>175</v>
      </c>
      <c r="C9387" t="s">
        <v>223</v>
      </c>
      <c r="D9387" t="s">
        <v>74</v>
      </c>
      <c r="E9387" t="s">
        <v>79</v>
      </c>
      <c r="F9387" s="55">
        <v>103</v>
      </c>
      <c r="G9387" s="63">
        <v>8.9700000000000002E-2</v>
      </c>
    </row>
    <row r="9388" spans="1:7" x14ac:dyDescent="0.2">
      <c r="A9388" t="s">
        <v>89</v>
      </c>
      <c r="B9388" t="s">
        <v>175</v>
      </c>
      <c r="C9388" t="s">
        <v>223</v>
      </c>
      <c r="D9388" t="s">
        <v>74</v>
      </c>
      <c r="E9388" t="s">
        <v>80</v>
      </c>
      <c r="F9388" s="55">
        <v>98</v>
      </c>
      <c r="G9388" s="63">
        <v>2.5700000000000001E-2</v>
      </c>
    </row>
    <row r="9389" spans="1:7" x14ac:dyDescent="0.2">
      <c r="A9389" t="s">
        <v>89</v>
      </c>
      <c r="B9389" t="s">
        <v>175</v>
      </c>
      <c r="C9389" t="s">
        <v>223</v>
      </c>
      <c r="D9389" t="s">
        <v>74</v>
      </c>
      <c r="E9389" t="s">
        <v>81</v>
      </c>
      <c r="F9389" s="55">
        <v>95</v>
      </c>
      <c r="G9389" s="63">
        <v>2.93E-2</v>
      </c>
    </row>
    <row r="9390" spans="1:7" x14ac:dyDescent="0.2">
      <c r="A9390" t="s">
        <v>89</v>
      </c>
      <c r="B9390" t="s">
        <v>175</v>
      </c>
      <c r="C9390" t="s">
        <v>223</v>
      </c>
      <c r="D9390" t="s">
        <v>74</v>
      </c>
      <c r="E9390" t="s">
        <v>82</v>
      </c>
      <c r="F9390" s="55">
        <v>109</v>
      </c>
      <c r="G9390" s="63">
        <v>6.9900000000000004E-2</v>
      </c>
    </row>
    <row r="9391" spans="1:7" x14ac:dyDescent="0.2">
      <c r="A9391" t="s">
        <v>89</v>
      </c>
      <c r="B9391" t="s">
        <v>175</v>
      </c>
      <c r="C9391" t="s">
        <v>223</v>
      </c>
      <c r="D9391" t="s">
        <v>74</v>
      </c>
      <c r="E9391" t="s">
        <v>83</v>
      </c>
      <c r="F9391" s="55">
        <v>98</v>
      </c>
      <c r="G9391" s="63">
        <v>1.6400000000000001E-2</v>
      </c>
    </row>
    <row r="9392" spans="1:7" x14ac:dyDescent="0.2">
      <c r="A9392" t="s">
        <v>89</v>
      </c>
      <c r="B9392" t="s">
        <v>175</v>
      </c>
      <c r="C9392" t="s">
        <v>223</v>
      </c>
      <c r="D9392" t="s">
        <v>74</v>
      </c>
      <c r="E9392" t="s">
        <v>84</v>
      </c>
      <c r="F9392" s="55">
        <v>106</v>
      </c>
      <c r="G9392" s="63">
        <v>4.2799999999999998E-2</v>
      </c>
    </row>
    <row r="9393" spans="1:7" x14ac:dyDescent="0.2">
      <c r="A9393" t="s">
        <v>89</v>
      </c>
      <c r="B9393" t="s">
        <v>175</v>
      </c>
      <c r="C9393" t="s">
        <v>223</v>
      </c>
      <c r="D9393" t="s">
        <v>74</v>
      </c>
      <c r="E9393" t="s">
        <v>85</v>
      </c>
      <c r="F9393" s="55">
        <v>102</v>
      </c>
      <c r="G9393" s="63">
        <v>3.0099999999999998E-2</v>
      </c>
    </row>
    <row r="9394" spans="1:7" x14ac:dyDescent="0.2">
      <c r="A9394" t="s">
        <v>89</v>
      </c>
      <c r="B9394" t="s">
        <v>175</v>
      </c>
      <c r="C9394" t="s">
        <v>223</v>
      </c>
      <c r="D9394" t="s">
        <v>74</v>
      </c>
      <c r="E9394" t="s">
        <v>86</v>
      </c>
      <c r="F9394" s="55">
        <v>99</v>
      </c>
      <c r="G9394" s="63">
        <v>4.1700000000000001E-2</v>
      </c>
    </row>
    <row r="9395" spans="1:7" x14ac:dyDescent="0.2">
      <c r="A9395" t="s">
        <v>89</v>
      </c>
      <c r="B9395" t="s">
        <v>175</v>
      </c>
      <c r="C9395" t="s">
        <v>223</v>
      </c>
      <c r="D9395" t="s">
        <v>74</v>
      </c>
      <c r="E9395" t="s">
        <v>87</v>
      </c>
      <c r="F9395" s="55">
        <v>101</v>
      </c>
      <c r="G9395" s="63">
        <v>4.9599999999999998E-2</v>
      </c>
    </row>
    <row r="9396" spans="1:7" x14ac:dyDescent="0.2">
      <c r="A9396" t="s">
        <v>89</v>
      </c>
      <c r="B9396" t="s">
        <v>175</v>
      </c>
      <c r="C9396" t="s">
        <v>223</v>
      </c>
      <c r="D9396" t="s">
        <v>74</v>
      </c>
      <c r="E9396" t="s">
        <v>88</v>
      </c>
      <c r="F9396" s="55">
        <v>100</v>
      </c>
      <c r="G9396" s="63">
        <v>3.7699999999999997E-2</v>
      </c>
    </row>
    <row r="9397" spans="1:7" x14ac:dyDescent="0.2">
      <c r="A9397" t="s">
        <v>89</v>
      </c>
      <c r="B9397" t="s">
        <v>176</v>
      </c>
      <c r="C9397" t="s">
        <v>223</v>
      </c>
      <c r="D9397" t="s">
        <v>74</v>
      </c>
      <c r="E9397" t="s">
        <v>75</v>
      </c>
      <c r="F9397" s="55">
        <v>117</v>
      </c>
      <c r="G9397" s="63">
        <v>6.7699999999999996E-2</v>
      </c>
    </row>
    <row r="9398" spans="1:7" x14ac:dyDescent="0.2">
      <c r="A9398" t="s">
        <v>89</v>
      </c>
      <c r="B9398" t="s">
        <v>176</v>
      </c>
      <c r="C9398" t="s">
        <v>223</v>
      </c>
      <c r="D9398" t="s">
        <v>74</v>
      </c>
      <c r="E9398" t="s">
        <v>76</v>
      </c>
      <c r="F9398" s="55">
        <v>112</v>
      </c>
      <c r="G9398" s="63">
        <v>5.7000000000000002E-3</v>
      </c>
    </row>
    <row r="9399" spans="1:7" x14ac:dyDescent="0.2">
      <c r="A9399" t="s">
        <v>89</v>
      </c>
      <c r="B9399" t="s">
        <v>176</v>
      </c>
      <c r="C9399" t="s">
        <v>223</v>
      </c>
      <c r="D9399" t="s">
        <v>74</v>
      </c>
      <c r="E9399" t="s">
        <v>77</v>
      </c>
      <c r="F9399" s="55">
        <v>120</v>
      </c>
      <c r="G9399" s="63">
        <v>2.2499999999999999E-2</v>
      </c>
    </row>
    <row r="9400" spans="1:7" x14ac:dyDescent="0.2">
      <c r="A9400" t="s">
        <v>89</v>
      </c>
      <c r="B9400" t="s">
        <v>176</v>
      </c>
      <c r="C9400" t="s">
        <v>223</v>
      </c>
      <c r="D9400" t="s">
        <v>74</v>
      </c>
      <c r="E9400" t="s">
        <v>78</v>
      </c>
      <c r="F9400" s="55">
        <v>114</v>
      </c>
      <c r="G9400" s="63">
        <v>2.0500000000000001E-2</v>
      </c>
    </row>
    <row r="9401" spans="1:7" x14ac:dyDescent="0.2">
      <c r="A9401" t="s">
        <v>89</v>
      </c>
      <c r="B9401" t="s">
        <v>176</v>
      </c>
      <c r="C9401" t="s">
        <v>223</v>
      </c>
      <c r="D9401" t="s">
        <v>74</v>
      </c>
      <c r="E9401" t="s">
        <v>79</v>
      </c>
      <c r="F9401" s="55">
        <v>121</v>
      </c>
      <c r="G9401" s="63">
        <v>4.3700000000000003E-2</v>
      </c>
    </row>
    <row r="9402" spans="1:7" x14ac:dyDescent="0.2">
      <c r="A9402" t="s">
        <v>89</v>
      </c>
      <c r="B9402" t="s">
        <v>176</v>
      </c>
      <c r="C9402" t="s">
        <v>223</v>
      </c>
      <c r="D9402" t="s">
        <v>74</v>
      </c>
      <c r="E9402" t="s">
        <v>80</v>
      </c>
      <c r="F9402" s="55">
        <v>121</v>
      </c>
      <c r="G9402" s="63">
        <v>2.3400000000000001E-2</v>
      </c>
    </row>
    <row r="9403" spans="1:7" x14ac:dyDescent="0.2">
      <c r="A9403" t="s">
        <v>89</v>
      </c>
      <c r="B9403" t="s">
        <v>176</v>
      </c>
      <c r="C9403" t="s">
        <v>223</v>
      </c>
      <c r="D9403" t="s">
        <v>74</v>
      </c>
      <c r="E9403" t="s">
        <v>81</v>
      </c>
      <c r="F9403" s="55">
        <v>124</v>
      </c>
      <c r="G9403" s="63">
        <v>2.06E-2</v>
      </c>
    </row>
    <row r="9404" spans="1:7" x14ac:dyDescent="0.2">
      <c r="A9404" t="s">
        <v>89</v>
      </c>
      <c r="B9404" t="s">
        <v>176</v>
      </c>
      <c r="C9404" t="s">
        <v>223</v>
      </c>
      <c r="D9404" t="s">
        <v>74</v>
      </c>
      <c r="E9404" t="s">
        <v>82</v>
      </c>
      <c r="F9404" s="55">
        <v>107</v>
      </c>
      <c r="G9404" s="63">
        <v>3.0300000000000001E-2</v>
      </c>
    </row>
    <row r="9405" spans="1:7" x14ac:dyDescent="0.2">
      <c r="A9405" t="s">
        <v>89</v>
      </c>
      <c r="B9405" t="s">
        <v>176</v>
      </c>
      <c r="C9405" t="s">
        <v>223</v>
      </c>
      <c r="D9405" t="s">
        <v>74</v>
      </c>
      <c r="E9405" t="s">
        <v>83</v>
      </c>
      <c r="F9405" s="55">
        <v>95</v>
      </c>
      <c r="G9405" s="63">
        <v>5.7999999999999996E-3</v>
      </c>
    </row>
    <row r="9406" spans="1:7" x14ac:dyDescent="0.2">
      <c r="A9406" t="s">
        <v>89</v>
      </c>
      <c r="B9406" t="s">
        <v>176</v>
      </c>
      <c r="C9406" t="s">
        <v>223</v>
      </c>
      <c r="D9406" t="s">
        <v>74</v>
      </c>
      <c r="E9406" t="s">
        <v>84</v>
      </c>
      <c r="F9406" s="55">
        <v>115</v>
      </c>
      <c r="G9406" s="63">
        <v>1.5299999999999999E-2</v>
      </c>
    </row>
    <row r="9407" spans="1:7" x14ac:dyDescent="0.2">
      <c r="A9407" t="s">
        <v>89</v>
      </c>
      <c r="B9407" t="s">
        <v>176</v>
      </c>
      <c r="C9407" t="s">
        <v>223</v>
      </c>
      <c r="D9407" t="s">
        <v>74</v>
      </c>
      <c r="E9407" t="s">
        <v>85</v>
      </c>
      <c r="F9407" s="55">
        <v>121</v>
      </c>
      <c r="G9407" s="63">
        <v>2.1299999999999999E-2</v>
      </c>
    </row>
    <row r="9408" spans="1:7" x14ac:dyDescent="0.2">
      <c r="A9408" t="s">
        <v>89</v>
      </c>
      <c r="B9408" t="s">
        <v>176</v>
      </c>
      <c r="C9408" t="s">
        <v>223</v>
      </c>
      <c r="D9408" t="s">
        <v>74</v>
      </c>
      <c r="E9408" t="s">
        <v>86</v>
      </c>
      <c r="F9408" s="55">
        <v>125</v>
      </c>
      <c r="G9408" s="63">
        <v>2.01E-2</v>
      </c>
    </row>
    <row r="9409" spans="1:7" x14ac:dyDescent="0.2">
      <c r="A9409" t="s">
        <v>89</v>
      </c>
      <c r="B9409" t="s">
        <v>176</v>
      </c>
      <c r="C9409" t="s">
        <v>223</v>
      </c>
      <c r="D9409" t="s">
        <v>74</v>
      </c>
      <c r="E9409" t="s">
        <v>87</v>
      </c>
      <c r="F9409" s="55">
        <v>117</v>
      </c>
      <c r="G9409" s="63">
        <v>2.01E-2</v>
      </c>
    </row>
    <row r="9410" spans="1:7" x14ac:dyDescent="0.2">
      <c r="A9410" t="s">
        <v>89</v>
      </c>
      <c r="B9410" t="s">
        <v>176</v>
      </c>
      <c r="C9410" t="s">
        <v>223</v>
      </c>
      <c r="D9410" t="s">
        <v>74</v>
      </c>
      <c r="E9410" t="s">
        <v>88</v>
      </c>
      <c r="F9410" s="55">
        <v>104</v>
      </c>
      <c r="G9410" s="63">
        <v>8.8999999999999999E-3</v>
      </c>
    </row>
    <row r="9411" spans="1:7" x14ac:dyDescent="0.2">
      <c r="A9411" t="s">
        <v>89</v>
      </c>
      <c r="B9411" t="s">
        <v>177</v>
      </c>
      <c r="C9411" t="s">
        <v>223</v>
      </c>
      <c r="D9411" t="s">
        <v>74</v>
      </c>
      <c r="E9411" t="s">
        <v>75</v>
      </c>
      <c r="F9411" s="55">
        <v>129</v>
      </c>
      <c r="G9411" s="63">
        <v>1.9E-3</v>
      </c>
    </row>
    <row r="9412" spans="1:7" x14ac:dyDescent="0.2">
      <c r="A9412" t="s">
        <v>89</v>
      </c>
      <c r="B9412" t="s">
        <v>177</v>
      </c>
      <c r="C9412" t="s">
        <v>223</v>
      </c>
      <c r="D9412" t="s">
        <v>74</v>
      </c>
      <c r="E9412" t="s">
        <v>79</v>
      </c>
      <c r="F9412" s="55">
        <v>138</v>
      </c>
      <c r="G9412" s="63">
        <v>1.1999999999999999E-3</v>
      </c>
    </row>
    <row r="9413" spans="1:7" x14ac:dyDescent="0.2">
      <c r="A9413" t="s">
        <v>71</v>
      </c>
      <c r="B9413" t="s">
        <v>178</v>
      </c>
      <c r="C9413" t="s">
        <v>223</v>
      </c>
      <c r="D9413" t="s">
        <v>74</v>
      </c>
      <c r="E9413" t="s">
        <v>75</v>
      </c>
      <c r="F9413" s="55">
        <v>89</v>
      </c>
      <c r="G9413" s="63">
        <v>0.26569999999999999</v>
      </c>
    </row>
    <row r="9414" spans="1:7" x14ac:dyDescent="0.2">
      <c r="A9414" t="s">
        <v>71</v>
      </c>
      <c r="B9414" t="s">
        <v>178</v>
      </c>
      <c r="C9414" t="s">
        <v>223</v>
      </c>
      <c r="D9414" t="s">
        <v>74</v>
      </c>
      <c r="E9414" t="s">
        <v>76</v>
      </c>
      <c r="F9414" s="55">
        <v>90</v>
      </c>
      <c r="G9414" s="63">
        <v>4.4499999999999998E-2</v>
      </c>
    </row>
    <row r="9415" spans="1:7" x14ac:dyDescent="0.2">
      <c r="A9415" t="s">
        <v>71</v>
      </c>
      <c r="B9415" t="s">
        <v>178</v>
      </c>
      <c r="C9415" t="s">
        <v>223</v>
      </c>
      <c r="D9415" t="s">
        <v>74</v>
      </c>
      <c r="E9415" t="s">
        <v>77</v>
      </c>
      <c r="F9415" s="55">
        <v>94</v>
      </c>
      <c r="G9415" s="63">
        <v>0.10879999999999999</v>
      </c>
    </row>
    <row r="9416" spans="1:7" x14ac:dyDescent="0.2">
      <c r="A9416" t="s">
        <v>71</v>
      </c>
      <c r="B9416" t="s">
        <v>178</v>
      </c>
      <c r="C9416" t="s">
        <v>223</v>
      </c>
      <c r="D9416" t="s">
        <v>74</v>
      </c>
      <c r="E9416" t="s">
        <v>78</v>
      </c>
      <c r="F9416" s="55">
        <v>89</v>
      </c>
      <c r="G9416" s="63">
        <v>0.10440000000000001</v>
      </c>
    </row>
    <row r="9417" spans="1:7" x14ac:dyDescent="0.2">
      <c r="A9417" t="s">
        <v>71</v>
      </c>
      <c r="B9417" t="s">
        <v>178</v>
      </c>
      <c r="C9417" t="s">
        <v>223</v>
      </c>
      <c r="D9417" t="s">
        <v>74</v>
      </c>
      <c r="E9417" t="s">
        <v>79</v>
      </c>
      <c r="F9417" s="55">
        <v>86</v>
      </c>
      <c r="G9417" s="63">
        <v>0.17960000000000001</v>
      </c>
    </row>
    <row r="9418" spans="1:7" x14ac:dyDescent="0.2">
      <c r="A9418" t="s">
        <v>71</v>
      </c>
      <c r="B9418" t="s">
        <v>178</v>
      </c>
      <c r="C9418" t="s">
        <v>223</v>
      </c>
      <c r="D9418" t="s">
        <v>74</v>
      </c>
      <c r="E9418" t="s">
        <v>80</v>
      </c>
      <c r="F9418" s="55">
        <v>86</v>
      </c>
      <c r="G9418" s="63">
        <v>4.5100000000000001E-2</v>
      </c>
    </row>
    <row r="9419" spans="1:7" x14ac:dyDescent="0.2">
      <c r="A9419" t="s">
        <v>71</v>
      </c>
      <c r="B9419" t="s">
        <v>178</v>
      </c>
      <c r="C9419" t="s">
        <v>223</v>
      </c>
      <c r="D9419" t="s">
        <v>74</v>
      </c>
      <c r="E9419" t="s">
        <v>81</v>
      </c>
      <c r="F9419" s="55">
        <v>87</v>
      </c>
      <c r="G9419" s="63">
        <v>5.62E-2</v>
      </c>
    </row>
    <row r="9420" spans="1:7" x14ac:dyDescent="0.2">
      <c r="A9420" t="s">
        <v>71</v>
      </c>
      <c r="B9420" t="s">
        <v>178</v>
      </c>
      <c r="C9420" t="s">
        <v>223</v>
      </c>
      <c r="D9420" t="s">
        <v>74</v>
      </c>
      <c r="E9420" t="s">
        <v>82</v>
      </c>
      <c r="F9420" s="55">
        <v>91</v>
      </c>
      <c r="G9420" s="63">
        <v>0.13159999999999999</v>
      </c>
    </row>
    <row r="9421" spans="1:7" x14ac:dyDescent="0.2">
      <c r="A9421" t="s">
        <v>71</v>
      </c>
      <c r="B9421" t="s">
        <v>178</v>
      </c>
      <c r="C9421" t="s">
        <v>223</v>
      </c>
      <c r="D9421" t="s">
        <v>74</v>
      </c>
      <c r="E9421" t="s">
        <v>83</v>
      </c>
      <c r="F9421" s="55">
        <v>87</v>
      </c>
      <c r="G9421" s="63">
        <v>2.9100000000000001E-2</v>
      </c>
    </row>
    <row r="9422" spans="1:7" x14ac:dyDescent="0.2">
      <c r="A9422" t="s">
        <v>71</v>
      </c>
      <c r="B9422" t="s">
        <v>178</v>
      </c>
      <c r="C9422" t="s">
        <v>223</v>
      </c>
      <c r="D9422" t="s">
        <v>74</v>
      </c>
      <c r="E9422" t="s">
        <v>84</v>
      </c>
      <c r="F9422" s="55">
        <v>91</v>
      </c>
      <c r="G9422" s="63">
        <v>7.9500000000000001E-2</v>
      </c>
    </row>
    <row r="9423" spans="1:7" x14ac:dyDescent="0.2">
      <c r="A9423" t="s">
        <v>71</v>
      </c>
      <c r="B9423" t="s">
        <v>178</v>
      </c>
      <c r="C9423" t="s">
        <v>223</v>
      </c>
      <c r="D9423" t="s">
        <v>74</v>
      </c>
      <c r="E9423" t="s">
        <v>85</v>
      </c>
      <c r="F9423" s="55">
        <v>86</v>
      </c>
      <c r="G9423" s="63">
        <v>5.91E-2</v>
      </c>
    </row>
    <row r="9424" spans="1:7" x14ac:dyDescent="0.2">
      <c r="A9424" t="s">
        <v>71</v>
      </c>
      <c r="B9424" t="s">
        <v>178</v>
      </c>
      <c r="C9424" t="s">
        <v>223</v>
      </c>
      <c r="D9424" t="s">
        <v>74</v>
      </c>
      <c r="E9424" t="s">
        <v>86</v>
      </c>
      <c r="F9424" s="55">
        <v>85</v>
      </c>
      <c r="G9424" s="63">
        <v>8.4199999999999997E-2</v>
      </c>
    </row>
    <row r="9425" spans="1:7" x14ac:dyDescent="0.2">
      <c r="A9425" t="s">
        <v>71</v>
      </c>
      <c r="B9425" t="s">
        <v>178</v>
      </c>
      <c r="C9425" t="s">
        <v>223</v>
      </c>
      <c r="D9425" t="s">
        <v>74</v>
      </c>
      <c r="E9425" t="s">
        <v>87</v>
      </c>
      <c r="F9425" s="55">
        <v>86</v>
      </c>
      <c r="G9425" s="63">
        <v>9.8000000000000004E-2</v>
      </c>
    </row>
    <row r="9426" spans="1:7" x14ac:dyDescent="0.2">
      <c r="A9426" t="s">
        <v>71</v>
      </c>
      <c r="B9426" t="s">
        <v>178</v>
      </c>
      <c r="C9426" t="s">
        <v>223</v>
      </c>
      <c r="D9426" t="s">
        <v>74</v>
      </c>
      <c r="E9426" t="s">
        <v>88</v>
      </c>
      <c r="F9426" s="55">
        <v>90</v>
      </c>
      <c r="G9426" s="63">
        <v>6.5199999999999994E-2</v>
      </c>
    </row>
    <row r="9427" spans="1:7" x14ac:dyDescent="0.2">
      <c r="A9427" t="s">
        <v>71</v>
      </c>
      <c r="B9427" t="s">
        <v>179</v>
      </c>
      <c r="C9427" t="s">
        <v>223</v>
      </c>
      <c r="D9427" t="s">
        <v>74</v>
      </c>
      <c r="E9427" t="s">
        <v>75</v>
      </c>
      <c r="F9427" s="55">
        <v>92</v>
      </c>
      <c r="G9427" s="63">
        <v>0.3256</v>
      </c>
    </row>
    <row r="9428" spans="1:7" x14ac:dyDescent="0.2">
      <c r="A9428" t="s">
        <v>71</v>
      </c>
      <c r="B9428" t="s">
        <v>179</v>
      </c>
      <c r="C9428" t="s">
        <v>223</v>
      </c>
      <c r="D9428" t="s">
        <v>74</v>
      </c>
      <c r="E9428" t="s">
        <v>76</v>
      </c>
      <c r="F9428" s="55">
        <v>92</v>
      </c>
      <c r="G9428" s="63">
        <v>5.1999999999999998E-2</v>
      </c>
    </row>
    <row r="9429" spans="1:7" x14ac:dyDescent="0.2">
      <c r="A9429" t="s">
        <v>71</v>
      </c>
      <c r="B9429" t="s">
        <v>179</v>
      </c>
      <c r="C9429" t="s">
        <v>223</v>
      </c>
      <c r="D9429" t="s">
        <v>74</v>
      </c>
      <c r="E9429" t="s">
        <v>77</v>
      </c>
      <c r="F9429" s="55">
        <v>94</v>
      </c>
      <c r="G9429" s="63">
        <v>0.12520000000000001</v>
      </c>
    </row>
    <row r="9430" spans="1:7" x14ac:dyDescent="0.2">
      <c r="A9430" t="s">
        <v>71</v>
      </c>
      <c r="B9430" t="s">
        <v>179</v>
      </c>
      <c r="C9430" t="s">
        <v>223</v>
      </c>
      <c r="D9430" t="s">
        <v>74</v>
      </c>
      <c r="E9430" t="s">
        <v>78</v>
      </c>
      <c r="F9430" s="55">
        <v>94</v>
      </c>
      <c r="G9430" s="63">
        <v>0.1328</v>
      </c>
    </row>
    <row r="9431" spans="1:7" x14ac:dyDescent="0.2">
      <c r="A9431" t="s">
        <v>71</v>
      </c>
      <c r="B9431" t="s">
        <v>179</v>
      </c>
      <c r="C9431" t="s">
        <v>223</v>
      </c>
      <c r="D9431" t="s">
        <v>74</v>
      </c>
      <c r="E9431" t="s">
        <v>79</v>
      </c>
      <c r="F9431" s="55">
        <v>91</v>
      </c>
      <c r="G9431" s="63">
        <v>0.22359999999999999</v>
      </c>
    </row>
    <row r="9432" spans="1:7" x14ac:dyDescent="0.2">
      <c r="A9432" t="s">
        <v>71</v>
      </c>
      <c r="B9432" t="s">
        <v>179</v>
      </c>
      <c r="C9432" t="s">
        <v>223</v>
      </c>
      <c r="D9432" t="s">
        <v>74</v>
      </c>
      <c r="E9432" t="s">
        <v>80</v>
      </c>
      <c r="F9432" s="55">
        <v>95</v>
      </c>
      <c r="G9432" s="63">
        <v>6.3500000000000001E-2</v>
      </c>
    </row>
    <row r="9433" spans="1:7" x14ac:dyDescent="0.2">
      <c r="A9433" t="s">
        <v>71</v>
      </c>
      <c r="B9433" t="s">
        <v>179</v>
      </c>
      <c r="C9433" t="s">
        <v>223</v>
      </c>
      <c r="D9433" t="s">
        <v>74</v>
      </c>
      <c r="E9433" t="s">
        <v>81</v>
      </c>
      <c r="F9433" s="55">
        <v>90</v>
      </c>
      <c r="G9433" s="63">
        <v>6.9800000000000001E-2</v>
      </c>
    </row>
    <row r="9434" spans="1:7" x14ac:dyDescent="0.2">
      <c r="A9434" t="s">
        <v>71</v>
      </c>
      <c r="B9434" t="s">
        <v>179</v>
      </c>
      <c r="C9434" t="s">
        <v>223</v>
      </c>
      <c r="D9434" t="s">
        <v>74</v>
      </c>
      <c r="E9434" t="s">
        <v>82</v>
      </c>
      <c r="F9434" s="55">
        <v>89</v>
      </c>
      <c r="G9434" s="63">
        <v>0.17549999999999999</v>
      </c>
    </row>
    <row r="9435" spans="1:7" x14ac:dyDescent="0.2">
      <c r="A9435" t="s">
        <v>71</v>
      </c>
      <c r="B9435" t="s">
        <v>179</v>
      </c>
      <c r="C9435" t="s">
        <v>223</v>
      </c>
      <c r="D9435" t="s">
        <v>74</v>
      </c>
      <c r="E9435" t="s">
        <v>83</v>
      </c>
      <c r="F9435" s="55">
        <v>88</v>
      </c>
      <c r="G9435" s="63">
        <v>3.5700000000000003E-2</v>
      </c>
    </row>
    <row r="9436" spans="1:7" x14ac:dyDescent="0.2">
      <c r="A9436" t="s">
        <v>71</v>
      </c>
      <c r="B9436" t="s">
        <v>179</v>
      </c>
      <c r="C9436" t="s">
        <v>223</v>
      </c>
      <c r="D9436" t="s">
        <v>74</v>
      </c>
      <c r="E9436" t="s">
        <v>84</v>
      </c>
      <c r="F9436" s="55">
        <v>94</v>
      </c>
      <c r="G9436" s="63">
        <v>0.10730000000000001</v>
      </c>
    </row>
    <row r="9437" spans="1:7" x14ac:dyDescent="0.2">
      <c r="A9437" t="s">
        <v>71</v>
      </c>
      <c r="B9437" t="s">
        <v>179</v>
      </c>
      <c r="C9437" t="s">
        <v>223</v>
      </c>
      <c r="D9437" t="s">
        <v>74</v>
      </c>
      <c r="E9437" t="s">
        <v>85</v>
      </c>
      <c r="F9437" s="55">
        <v>93</v>
      </c>
      <c r="G9437" s="63">
        <v>8.0399999999999999E-2</v>
      </c>
    </row>
    <row r="9438" spans="1:7" x14ac:dyDescent="0.2">
      <c r="A9438" t="s">
        <v>71</v>
      </c>
      <c r="B9438" t="s">
        <v>179</v>
      </c>
      <c r="C9438" t="s">
        <v>223</v>
      </c>
      <c r="D9438" t="s">
        <v>74</v>
      </c>
      <c r="E9438" t="s">
        <v>86</v>
      </c>
      <c r="F9438" s="55">
        <v>93</v>
      </c>
      <c r="G9438" s="63">
        <v>0.11269999999999999</v>
      </c>
    </row>
    <row r="9439" spans="1:7" x14ac:dyDescent="0.2">
      <c r="A9439" t="s">
        <v>71</v>
      </c>
      <c r="B9439" t="s">
        <v>179</v>
      </c>
      <c r="C9439" t="s">
        <v>223</v>
      </c>
      <c r="D9439" t="s">
        <v>74</v>
      </c>
      <c r="E9439" t="s">
        <v>87</v>
      </c>
      <c r="F9439" s="55">
        <v>91</v>
      </c>
      <c r="G9439" s="63">
        <v>0.1326</v>
      </c>
    </row>
    <row r="9440" spans="1:7" x14ac:dyDescent="0.2">
      <c r="A9440" t="s">
        <v>71</v>
      </c>
      <c r="B9440" t="s">
        <v>179</v>
      </c>
      <c r="C9440" t="s">
        <v>223</v>
      </c>
      <c r="D9440" t="s">
        <v>74</v>
      </c>
      <c r="E9440" t="s">
        <v>88</v>
      </c>
      <c r="F9440" s="55">
        <v>91</v>
      </c>
      <c r="G9440" s="63">
        <v>8.0100000000000005E-2</v>
      </c>
    </row>
    <row r="9441" spans="1:7" x14ac:dyDescent="0.2">
      <c r="A9441" t="s">
        <v>89</v>
      </c>
      <c r="B9441" t="s">
        <v>180</v>
      </c>
      <c r="C9441" t="s">
        <v>223</v>
      </c>
      <c r="D9441" t="s">
        <v>74</v>
      </c>
      <c r="E9441" t="s">
        <v>75</v>
      </c>
      <c r="F9441" s="55">
        <v>110</v>
      </c>
      <c r="G9441" s="63">
        <v>8.5900000000000004E-2</v>
      </c>
    </row>
    <row r="9442" spans="1:7" x14ac:dyDescent="0.2">
      <c r="A9442" t="s">
        <v>89</v>
      </c>
      <c r="B9442" t="s">
        <v>180</v>
      </c>
      <c r="C9442" t="s">
        <v>223</v>
      </c>
      <c r="D9442" t="s">
        <v>74</v>
      </c>
      <c r="E9442" t="s">
        <v>76</v>
      </c>
      <c r="F9442" s="55">
        <v>121</v>
      </c>
      <c r="G9442" s="63">
        <v>9.1999999999999998E-3</v>
      </c>
    </row>
    <row r="9443" spans="1:7" x14ac:dyDescent="0.2">
      <c r="A9443" t="s">
        <v>89</v>
      </c>
      <c r="B9443" t="s">
        <v>180</v>
      </c>
      <c r="C9443" t="s">
        <v>223</v>
      </c>
      <c r="D9443" t="s">
        <v>74</v>
      </c>
      <c r="E9443" t="s">
        <v>77</v>
      </c>
      <c r="F9443" s="55">
        <v>124</v>
      </c>
      <c r="G9443" s="63">
        <v>2.3E-2</v>
      </c>
    </row>
    <row r="9444" spans="1:7" x14ac:dyDescent="0.2">
      <c r="A9444" t="s">
        <v>89</v>
      </c>
      <c r="B9444" t="s">
        <v>180</v>
      </c>
      <c r="C9444" t="s">
        <v>223</v>
      </c>
      <c r="D9444" t="s">
        <v>74</v>
      </c>
      <c r="E9444" t="s">
        <v>78</v>
      </c>
      <c r="F9444" s="55">
        <v>105</v>
      </c>
      <c r="G9444" s="63">
        <v>1.9E-2</v>
      </c>
    </row>
    <row r="9445" spans="1:7" x14ac:dyDescent="0.2">
      <c r="A9445" t="s">
        <v>89</v>
      </c>
      <c r="B9445" t="s">
        <v>180</v>
      </c>
      <c r="C9445" t="s">
        <v>223</v>
      </c>
      <c r="D9445" t="s">
        <v>74</v>
      </c>
      <c r="E9445" t="s">
        <v>79</v>
      </c>
      <c r="F9445" s="55">
        <v>97</v>
      </c>
      <c r="G9445" s="63">
        <v>4.1799999999999997E-2</v>
      </c>
    </row>
    <row r="9446" spans="1:7" x14ac:dyDescent="0.2">
      <c r="A9446" t="s">
        <v>89</v>
      </c>
      <c r="B9446" t="s">
        <v>180</v>
      </c>
      <c r="C9446" t="s">
        <v>223</v>
      </c>
      <c r="D9446" t="s">
        <v>74</v>
      </c>
      <c r="E9446" t="s">
        <v>80</v>
      </c>
      <c r="F9446" s="55">
        <v>114</v>
      </c>
      <c r="G9446" s="63">
        <v>8.3000000000000001E-3</v>
      </c>
    </row>
    <row r="9447" spans="1:7" x14ac:dyDescent="0.2">
      <c r="A9447" t="s">
        <v>89</v>
      </c>
      <c r="B9447" t="s">
        <v>180</v>
      </c>
      <c r="C9447" t="s">
        <v>223</v>
      </c>
      <c r="D9447" t="s">
        <v>74</v>
      </c>
      <c r="E9447" t="s">
        <v>81</v>
      </c>
      <c r="F9447" s="55">
        <v>121</v>
      </c>
      <c r="G9447" s="63">
        <v>1.11E-2</v>
      </c>
    </row>
    <row r="9448" spans="1:7" x14ac:dyDescent="0.2">
      <c r="A9448" t="s">
        <v>89</v>
      </c>
      <c r="B9448" t="s">
        <v>180</v>
      </c>
      <c r="C9448" t="s">
        <v>223</v>
      </c>
      <c r="D9448" t="s">
        <v>74</v>
      </c>
      <c r="E9448" t="s">
        <v>82</v>
      </c>
      <c r="F9448" s="55">
        <v>109</v>
      </c>
      <c r="G9448" s="63">
        <v>5.0900000000000001E-2</v>
      </c>
    </row>
    <row r="9449" spans="1:7" x14ac:dyDescent="0.2">
      <c r="A9449" t="s">
        <v>89</v>
      </c>
      <c r="B9449" t="s">
        <v>180</v>
      </c>
      <c r="C9449" t="s">
        <v>223</v>
      </c>
      <c r="D9449" t="s">
        <v>74</v>
      </c>
      <c r="E9449" t="s">
        <v>83</v>
      </c>
      <c r="F9449" s="55">
        <v>131</v>
      </c>
      <c r="G9449" s="63">
        <v>6.4000000000000003E-3</v>
      </c>
    </row>
    <row r="9450" spans="1:7" x14ac:dyDescent="0.2">
      <c r="A9450" t="s">
        <v>89</v>
      </c>
      <c r="B9450" t="s">
        <v>180</v>
      </c>
      <c r="C9450" t="s">
        <v>223</v>
      </c>
      <c r="D9450" t="s">
        <v>74</v>
      </c>
      <c r="E9450" t="s">
        <v>84</v>
      </c>
      <c r="F9450" s="55">
        <v>103</v>
      </c>
      <c r="G9450" s="63">
        <v>1.3899999999999999E-2</v>
      </c>
    </row>
    <row r="9451" spans="1:7" x14ac:dyDescent="0.2">
      <c r="A9451" t="s">
        <v>89</v>
      </c>
      <c r="B9451" t="s">
        <v>180</v>
      </c>
      <c r="C9451" t="s">
        <v>223</v>
      </c>
      <c r="D9451" t="s">
        <v>74</v>
      </c>
      <c r="E9451" t="s">
        <v>85</v>
      </c>
      <c r="F9451" s="55">
        <v>107</v>
      </c>
      <c r="G9451" s="63">
        <v>8.8999999999999999E-3</v>
      </c>
    </row>
    <row r="9452" spans="1:7" x14ac:dyDescent="0.2">
      <c r="A9452" t="s">
        <v>89</v>
      </c>
      <c r="B9452" t="s">
        <v>180</v>
      </c>
      <c r="C9452" t="s">
        <v>223</v>
      </c>
      <c r="D9452" t="s">
        <v>74</v>
      </c>
      <c r="E9452" t="s">
        <v>86</v>
      </c>
      <c r="F9452" s="55">
        <v>95</v>
      </c>
      <c r="G9452" s="63">
        <v>1.3299999999999999E-2</v>
      </c>
    </row>
    <row r="9453" spans="1:7" x14ac:dyDescent="0.2">
      <c r="A9453" t="s">
        <v>89</v>
      </c>
      <c r="B9453" t="s">
        <v>180</v>
      </c>
      <c r="C9453" t="s">
        <v>223</v>
      </c>
      <c r="D9453" t="s">
        <v>74</v>
      </c>
      <c r="E9453" t="s">
        <v>87</v>
      </c>
      <c r="F9453" s="55">
        <v>95</v>
      </c>
      <c r="G9453" s="63">
        <v>1.83E-2</v>
      </c>
    </row>
    <row r="9454" spans="1:7" x14ac:dyDescent="0.2">
      <c r="A9454" t="s">
        <v>89</v>
      </c>
      <c r="B9454" t="s">
        <v>180</v>
      </c>
      <c r="C9454" t="s">
        <v>223</v>
      </c>
      <c r="D9454" t="s">
        <v>74</v>
      </c>
      <c r="E9454" t="s">
        <v>88</v>
      </c>
      <c r="F9454" s="55">
        <v>122</v>
      </c>
      <c r="G9454" s="63">
        <v>1.5100000000000001E-2</v>
      </c>
    </row>
    <row r="9455" spans="1:7" x14ac:dyDescent="0.2">
      <c r="A9455" t="s">
        <v>71</v>
      </c>
      <c r="B9455" t="s">
        <v>18</v>
      </c>
      <c r="C9455" t="s">
        <v>223</v>
      </c>
      <c r="D9455" t="s">
        <v>74</v>
      </c>
      <c r="E9455" t="s">
        <v>75</v>
      </c>
      <c r="F9455" s="55">
        <v>102</v>
      </c>
      <c r="G9455" s="63">
        <v>0.33850000000000002</v>
      </c>
    </row>
    <row r="9456" spans="1:7" x14ac:dyDescent="0.2">
      <c r="A9456" t="s">
        <v>71</v>
      </c>
      <c r="B9456" t="s">
        <v>18</v>
      </c>
      <c r="C9456" t="s">
        <v>223</v>
      </c>
      <c r="D9456" t="s">
        <v>74</v>
      </c>
      <c r="E9456" t="s">
        <v>76</v>
      </c>
      <c r="F9456" s="55">
        <v>103</v>
      </c>
      <c r="G9456" s="63">
        <v>6.4399999999999999E-2</v>
      </c>
    </row>
    <row r="9457" spans="1:7" x14ac:dyDescent="0.2">
      <c r="A9457" t="s">
        <v>71</v>
      </c>
      <c r="B9457" t="s">
        <v>18</v>
      </c>
      <c r="C9457" t="s">
        <v>223</v>
      </c>
      <c r="D9457" t="s">
        <v>74</v>
      </c>
      <c r="E9457" t="s">
        <v>77</v>
      </c>
      <c r="F9457" s="55">
        <v>101</v>
      </c>
      <c r="G9457" s="63">
        <v>0.16750000000000001</v>
      </c>
    </row>
    <row r="9458" spans="1:7" x14ac:dyDescent="0.2">
      <c r="A9458" t="s">
        <v>71</v>
      </c>
      <c r="B9458" t="s">
        <v>18</v>
      </c>
      <c r="C9458" t="s">
        <v>223</v>
      </c>
      <c r="D9458" t="s">
        <v>74</v>
      </c>
      <c r="E9458" t="s">
        <v>78</v>
      </c>
      <c r="F9458" s="55">
        <v>100</v>
      </c>
      <c r="G9458" s="63">
        <v>0.16300000000000001</v>
      </c>
    </row>
    <row r="9459" spans="1:7" x14ac:dyDescent="0.2">
      <c r="A9459" t="s">
        <v>71</v>
      </c>
      <c r="B9459" t="s">
        <v>18</v>
      </c>
      <c r="C9459" t="s">
        <v>223</v>
      </c>
      <c r="D9459" t="s">
        <v>74</v>
      </c>
      <c r="E9459" t="s">
        <v>79</v>
      </c>
      <c r="F9459" s="55">
        <v>103</v>
      </c>
      <c r="G9459" s="63">
        <v>0.2487</v>
      </c>
    </row>
    <row r="9460" spans="1:7" x14ac:dyDescent="0.2">
      <c r="A9460" t="s">
        <v>71</v>
      </c>
      <c r="B9460" t="s">
        <v>18</v>
      </c>
      <c r="C9460" t="s">
        <v>223</v>
      </c>
      <c r="D9460" t="s">
        <v>74</v>
      </c>
      <c r="E9460" t="s">
        <v>80</v>
      </c>
      <c r="F9460" s="55">
        <v>101</v>
      </c>
      <c r="G9460" s="63">
        <v>7.5700000000000003E-2</v>
      </c>
    </row>
    <row r="9461" spans="1:7" x14ac:dyDescent="0.2">
      <c r="A9461" t="s">
        <v>71</v>
      </c>
      <c r="B9461" t="s">
        <v>18</v>
      </c>
      <c r="C9461" t="s">
        <v>223</v>
      </c>
      <c r="D9461" t="s">
        <v>74</v>
      </c>
      <c r="E9461" t="s">
        <v>81</v>
      </c>
      <c r="F9461" s="55">
        <v>99</v>
      </c>
      <c r="G9461" s="63">
        <v>7.5999999999999998E-2</v>
      </c>
    </row>
    <row r="9462" spans="1:7" x14ac:dyDescent="0.2">
      <c r="A9462" t="s">
        <v>71</v>
      </c>
      <c r="B9462" t="s">
        <v>18</v>
      </c>
      <c r="C9462" t="s">
        <v>223</v>
      </c>
      <c r="D9462" t="s">
        <v>74</v>
      </c>
      <c r="E9462" t="s">
        <v>82</v>
      </c>
      <c r="F9462" s="55">
        <v>104</v>
      </c>
      <c r="G9462" s="63">
        <v>0.1961</v>
      </c>
    </row>
    <row r="9463" spans="1:7" x14ac:dyDescent="0.2">
      <c r="A9463" t="s">
        <v>71</v>
      </c>
      <c r="B9463" t="s">
        <v>18</v>
      </c>
      <c r="C9463" t="s">
        <v>223</v>
      </c>
      <c r="D9463" t="s">
        <v>74</v>
      </c>
      <c r="E9463" t="s">
        <v>83</v>
      </c>
      <c r="F9463" s="55">
        <v>104</v>
      </c>
      <c r="G9463" s="63">
        <v>3.6999999999999998E-2</v>
      </c>
    </row>
    <row r="9464" spans="1:7" x14ac:dyDescent="0.2">
      <c r="A9464" t="s">
        <v>71</v>
      </c>
      <c r="B9464" t="s">
        <v>18</v>
      </c>
      <c r="C9464" t="s">
        <v>223</v>
      </c>
      <c r="D9464" t="s">
        <v>74</v>
      </c>
      <c r="E9464" t="s">
        <v>84</v>
      </c>
      <c r="F9464" s="55">
        <v>100</v>
      </c>
      <c r="G9464" s="63">
        <v>0.12939999999999999</v>
      </c>
    </row>
    <row r="9465" spans="1:7" x14ac:dyDescent="0.2">
      <c r="A9465" t="s">
        <v>71</v>
      </c>
      <c r="B9465" t="s">
        <v>18</v>
      </c>
      <c r="C9465" t="s">
        <v>223</v>
      </c>
      <c r="D9465" t="s">
        <v>74</v>
      </c>
      <c r="E9465" t="s">
        <v>85</v>
      </c>
      <c r="F9465" s="55">
        <v>100</v>
      </c>
      <c r="G9465" s="63">
        <v>0.10050000000000001</v>
      </c>
    </row>
    <row r="9466" spans="1:7" x14ac:dyDescent="0.2">
      <c r="A9466" t="s">
        <v>71</v>
      </c>
      <c r="B9466" t="s">
        <v>18</v>
      </c>
      <c r="C9466" t="s">
        <v>223</v>
      </c>
      <c r="D9466" t="s">
        <v>74</v>
      </c>
      <c r="E9466" t="s">
        <v>86</v>
      </c>
      <c r="F9466" s="55">
        <v>101</v>
      </c>
      <c r="G9466" s="63">
        <v>0.14360000000000001</v>
      </c>
    </row>
    <row r="9467" spans="1:7" x14ac:dyDescent="0.2">
      <c r="A9467" t="s">
        <v>71</v>
      </c>
      <c r="B9467" t="s">
        <v>18</v>
      </c>
      <c r="C9467" t="s">
        <v>223</v>
      </c>
      <c r="D9467" t="s">
        <v>74</v>
      </c>
      <c r="E9467" t="s">
        <v>87</v>
      </c>
      <c r="F9467" s="55">
        <v>103</v>
      </c>
      <c r="G9467" s="63">
        <v>0.1666</v>
      </c>
    </row>
    <row r="9468" spans="1:7" x14ac:dyDescent="0.2">
      <c r="A9468" t="s">
        <v>71</v>
      </c>
      <c r="B9468" t="s">
        <v>18</v>
      </c>
      <c r="C9468" t="s">
        <v>223</v>
      </c>
      <c r="D9468" t="s">
        <v>74</v>
      </c>
      <c r="E9468" t="s">
        <v>88</v>
      </c>
      <c r="F9468" s="55">
        <v>101</v>
      </c>
      <c r="G9468" s="63">
        <v>9.3799999999999994E-2</v>
      </c>
    </row>
    <row r="9469" spans="1:7" x14ac:dyDescent="0.2">
      <c r="A9469" t="s">
        <v>89</v>
      </c>
      <c r="B9469" t="s">
        <v>181</v>
      </c>
      <c r="C9469" t="s">
        <v>223</v>
      </c>
      <c r="D9469" t="s">
        <v>74</v>
      </c>
      <c r="E9469" t="s">
        <v>75</v>
      </c>
      <c r="F9469" s="55">
        <v>105</v>
      </c>
      <c r="G9469" s="63">
        <v>3.5700000000000003E-2</v>
      </c>
    </row>
    <row r="9470" spans="1:7" x14ac:dyDescent="0.2">
      <c r="A9470" t="s">
        <v>89</v>
      </c>
      <c r="B9470" t="s">
        <v>181</v>
      </c>
      <c r="C9470" t="s">
        <v>223</v>
      </c>
      <c r="D9470" t="s">
        <v>74</v>
      </c>
      <c r="E9470" t="s">
        <v>76</v>
      </c>
      <c r="F9470" s="55">
        <v>101</v>
      </c>
      <c r="G9470" s="63">
        <v>5.1000000000000004E-3</v>
      </c>
    </row>
    <row r="9471" spans="1:7" x14ac:dyDescent="0.2">
      <c r="A9471" t="s">
        <v>89</v>
      </c>
      <c r="B9471" t="s">
        <v>181</v>
      </c>
      <c r="C9471" t="s">
        <v>223</v>
      </c>
      <c r="D9471" t="s">
        <v>74</v>
      </c>
      <c r="E9471" t="s">
        <v>77</v>
      </c>
      <c r="F9471" s="55">
        <v>108</v>
      </c>
      <c r="G9471" s="63">
        <v>1.7399999999999999E-2</v>
      </c>
    </row>
    <row r="9472" spans="1:7" x14ac:dyDescent="0.2">
      <c r="A9472" t="s">
        <v>89</v>
      </c>
      <c r="B9472" t="s">
        <v>181</v>
      </c>
      <c r="C9472" t="s">
        <v>223</v>
      </c>
      <c r="D9472" t="s">
        <v>74</v>
      </c>
      <c r="E9472" t="s">
        <v>78</v>
      </c>
      <c r="F9472" s="55">
        <v>120</v>
      </c>
      <c r="G9472" s="63">
        <v>1.6299999999999999E-2</v>
      </c>
    </row>
    <row r="9473" spans="1:7" x14ac:dyDescent="0.2">
      <c r="A9473" t="s">
        <v>89</v>
      </c>
      <c r="B9473" t="s">
        <v>181</v>
      </c>
      <c r="C9473" t="s">
        <v>223</v>
      </c>
      <c r="D9473" t="s">
        <v>74</v>
      </c>
      <c r="E9473" t="s">
        <v>79</v>
      </c>
      <c r="F9473" s="55">
        <v>103</v>
      </c>
      <c r="G9473" s="63">
        <v>2.6800000000000001E-2</v>
      </c>
    </row>
    <row r="9474" spans="1:7" x14ac:dyDescent="0.2">
      <c r="A9474" t="s">
        <v>89</v>
      </c>
      <c r="B9474" t="s">
        <v>181</v>
      </c>
      <c r="C9474" t="s">
        <v>223</v>
      </c>
      <c r="D9474" t="s">
        <v>74</v>
      </c>
      <c r="E9474" t="s">
        <v>80</v>
      </c>
      <c r="F9474" s="55">
        <v>100</v>
      </c>
      <c r="G9474" s="63">
        <v>1.8100000000000002E-2</v>
      </c>
    </row>
    <row r="9475" spans="1:7" x14ac:dyDescent="0.2">
      <c r="A9475" t="s">
        <v>89</v>
      </c>
      <c r="B9475" t="s">
        <v>181</v>
      </c>
      <c r="C9475" t="s">
        <v>223</v>
      </c>
      <c r="D9475" t="s">
        <v>74</v>
      </c>
      <c r="E9475" t="s">
        <v>81</v>
      </c>
      <c r="F9475" s="55">
        <v>96</v>
      </c>
      <c r="G9475" s="63">
        <v>1.6299999999999999E-2</v>
      </c>
    </row>
    <row r="9476" spans="1:7" x14ac:dyDescent="0.2">
      <c r="A9476" t="s">
        <v>89</v>
      </c>
      <c r="B9476" t="s">
        <v>181</v>
      </c>
      <c r="C9476" t="s">
        <v>223</v>
      </c>
      <c r="D9476" t="s">
        <v>74</v>
      </c>
      <c r="E9476" t="s">
        <v>82</v>
      </c>
      <c r="F9476" s="55">
        <v>107</v>
      </c>
      <c r="G9476" s="63">
        <v>2.0799999999999999E-2</v>
      </c>
    </row>
    <row r="9477" spans="1:7" x14ac:dyDescent="0.2">
      <c r="A9477" t="s">
        <v>89</v>
      </c>
      <c r="B9477" t="s">
        <v>181</v>
      </c>
      <c r="C9477" t="s">
        <v>223</v>
      </c>
      <c r="D9477" t="s">
        <v>74</v>
      </c>
      <c r="E9477" t="s">
        <v>83</v>
      </c>
      <c r="F9477" s="55">
        <v>102</v>
      </c>
      <c r="G9477" s="63">
        <v>4.7999999999999996E-3</v>
      </c>
    </row>
    <row r="9478" spans="1:7" x14ac:dyDescent="0.2">
      <c r="A9478" t="s">
        <v>89</v>
      </c>
      <c r="B9478" t="s">
        <v>181</v>
      </c>
      <c r="C9478" t="s">
        <v>223</v>
      </c>
      <c r="D9478" t="s">
        <v>74</v>
      </c>
      <c r="E9478" t="s">
        <v>84</v>
      </c>
      <c r="F9478" s="55">
        <v>116</v>
      </c>
      <c r="G9478" s="63">
        <v>1.43E-2</v>
      </c>
    </row>
    <row r="9479" spans="1:7" x14ac:dyDescent="0.2">
      <c r="A9479" t="s">
        <v>89</v>
      </c>
      <c r="B9479" t="s">
        <v>181</v>
      </c>
      <c r="C9479" t="s">
        <v>223</v>
      </c>
      <c r="D9479" t="s">
        <v>74</v>
      </c>
      <c r="E9479" t="s">
        <v>85</v>
      </c>
      <c r="F9479" s="55">
        <v>108</v>
      </c>
      <c r="G9479" s="63">
        <v>1.8700000000000001E-2</v>
      </c>
    </row>
    <row r="9480" spans="1:7" x14ac:dyDescent="0.2">
      <c r="A9480" t="s">
        <v>89</v>
      </c>
      <c r="B9480" t="s">
        <v>181</v>
      </c>
      <c r="C9480" t="s">
        <v>223</v>
      </c>
      <c r="D9480" t="s">
        <v>74</v>
      </c>
      <c r="E9480" t="s">
        <v>86</v>
      </c>
      <c r="F9480" s="55">
        <v>99</v>
      </c>
      <c r="G9480" s="63">
        <v>1.8800000000000001E-2</v>
      </c>
    </row>
    <row r="9481" spans="1:7" x14ac:dyDescent="0.2">
      <c r="A9481" t="s">
        <v>89</v>
      </c>
      <c r="B9481" t="s">
        <v>181</v>
      </c>
      <c r="C9481" t="s">
        <v>223</v>
      </c>
      <c r="D9481" t="s">
        <v>74</v>
      </c>
      <c r="E9481" t="s">
        <v>87</v>
      </c>
      <c r="F9481" s="55">
        <v>99</v>
      </c>
      <c r="G9481" s="63">
        <v>1.83E-2</v>
      </c>
    </row>
    <row r="9482" spans="1:7" x14ac:dyDescent="0.2">
      <c r="A9482" t="s">
        <v>89</v>
      </c>
      <c r="B9482" t="s">
        <v>181</v>
      </c>
      <c r="C9482" t="s">
        <v>223</v>
      </c>
      <c r="D9482" t="s">
        <v>74</v>
      </c>
      <c r="E9482" t="s">
        <v>88</v>
      </c>
      <c r="F9482" s="55">
        <v>101</v>
      </c>
      <c r="G9482" s="63">
        <v>6.7999999999999996E-3</v>
      </c>
    </row>
    <row r="9483" spans="1:7" x14ac:dyDescent="0.2">
      <c r="A9483" t="s">
        <v>71</v>
      </c>
      <c r="B9483" t="s">
        <v>182</v>
      </c>
      <c r="C9483" t="s">
        <v>223</v>
      </c>
      <c r="D9483" t="s">
        <v>74</v>
      </c>
      <c r="E9483" t="s">
        <v>75</v>
      </c>
      <c r="F9483" s="55">
        <v>88</v>
      </c>
      <c r="G9483" s="63">
        <v>0.25040000000000001</v>
      </c>
    </row>
    <row r="9484" spans="1:7" x14ac:dyDescent="0.2">
      <c r="A9484" t="s">
        <v>71</v>
      </c>
      <c r="B9484" t="s">
        <v>182</v>
      </c>
      <c r="C9484" t="s">
        <v>223</v>
      </c>
      <c r="D9484" t="s">
        <v>74</v>
      </c>
      <c r="E9484" t="s">
        <v>76</v>
      </c>
      <c r="F9484" s="55">
        <v>92</v>
      </c>
      <c r="G9484" s="63">
        <v>4.8000000000000001E-2</v>
      </c>
    </row>
    <row r="9485" spans="1:7" x14ac:dyDescent="0.2">
      <c r="A9485" t="s">
        <v>71</v>
      </c>
      <c r="B9485" t="s">
        <v>182</v>
      </c>
      <c r="C9485" t="s">
        <v>223</v>
      </c>
      <c r="D9485" t="s">
        <v>74</v>
      </c>
      <c r="E9485" t="s">
        <v>77</v>
      </c>
      <c r="F9485" s="55">
        <v>89</v>
      </c>
      <c r="G9485" s="63">
        <v>0.12039999999999999</v>
      </c>
    </row>
    <row r="9486" spans="1:7" x14ac:dyDescent="0.2">
      <c r="A9486" t="s">
        <v>71</v>
      </c>
      <c r="B9486" t="s">
        <v>182</v>
      </c>
      <c r="C9486" t="s">
        <v>223</v>
      </c>
      <c r="D9486" t="s">
        <v>74</v>
      </c>
      <c r="E9486" t="s">
        <v>78</v>
      </c>
      <c r="F9486" s="55">
        <v>87</v>
      </c>
      <c r="G9486" s="63">
        <v>0.10680000000000001</v>
      </c>
    </row>
    <row r="9487" spans="1:7" x14ac:dyDescent="0.2">
      <c r="A9487" t="s">
        <v>71</v>
      </c>
      <c r="B9487" t="s">
        <v>182</v>
      </c>
      <c r="C9487" t="s">
        <v>223</v>
      </c>
      <c r="D9487" t="s">
        <v>74</v>
      </c>
      <c r="E9487" t="s">
        <v>79</v>
      </c>
      <c r="F9487" s="55">
        <v>89</v>
      </c>
      <c r="G9487" s="63">
        <v>0.16750000000000001</v>
      </c>
    </row>
    <row r="9488" spans="1:7" x14ac:dyDescent="0.2">
      <c r="A9488" t="s">
        <v>71</v>
      </c>
      <c r="B9488" t="s">
        <v>182</v>
      </c>
      <c r="C9488" t="s">
        <v>223</v>
      </c>
      <c r="D9488" t="s">
        <v>74</v>
      </c>
      <c r="E9488" t="s">
        <v>80</v>
      </c>
      <c r="F9488" s="55">
        <v>86</v>
      </c>
      <c r="G9488" s="63">
        <v>5.1400000000000001E-2</v>
      </c>
    </row>
    <row r="9489" spans="1:7" x14ac:dyDescent="0.2">
      <c r="A9489" t="s">
        <v>71</v>
      </c>
      <c r="B9489" t="s">
        <v>182</v>
      </c>
      <c r="C9489" t="s">
        <v>223</v>
      </c>
      <c r="D9489" t="s">
        <v>74</v>
      </c>
      <c r="E9489" t="s">
        <v>81</v>
      </c>
      <c r="F9489" s="55">
        <v>87</v>
      </c>
      <c r="G9489" s="63">
        <v>5.6500000000000002E-2</v>
      </c>
    </row>
    <row r="9490" spans="1:7" x14ac:dyDescent="0.2">
      <c r="A9490" t="s">
        <v>71</v>
      </c>
      <c r="B9490" t="s">
        <v>182</v>
      </c>
      <c r="C9490" t="s">
        <v>223</v>
      </c>
      <c r="D9490" t="s">
        <v>74</v>
      </c>
      <c r="E9490" t="s">
        <v>82</v>
      </c>
      <c r="F9490" s="55">
        <v>86</v>
      </c>
      <c r="G9490" s="63">
        <v>0.1263</v>
      </c>
    </row>
    <row r="9491" spans="1:7" x14ac:dyDescent="0.2">
      <c r="A9491" t="s">
        <v>71</v>
      </c>
      <c r="B9491" t="s">
        <v>182</v>
      </c>
      <c r="C9491" t="s">
        <v>223</v>
      </c>
      <c r="D9491" t="s">
        <v>74</v>
      </c>
      <c r="E9491" t="s">
        <v>83</v>
      </c>
      <c r="F9491" s="55">
        <v>91</v>
      </c>
      <c r="G9491" s="63">
        <v>3.2500000000000001E-2</v>
      </c>
    </row>
    <row r="9492" spans="1:7" x14ac:dyDescent="0.2">
      <c r="A9492" t="s">
        <v>71</v>
      </c>
      <c r="B9492" t="s">
        <v>182</v>
      </c>
      <c r="C9492" t="s">
        <v>223</v>
      </c>
      <c r="D9492" t="s">
        <v>74</v>
      </c>
      <c r="E9492" t="s">
        <v>84</v>
      </c>
      <c r="F9492" s="55">
        <v>86</v>
      </c>
      <c r="G9492" s="63">
        <v>8.3400000000000002E-2</v>
      </c>
    </row>
    <row r="9493" spans="1:7" x14ac:dyDescent="0.2">
      <c r="A9493" t="s">
        <v>71</v>
      </c>
      <c r="B9493" t="s">
        <v>182</v>
      </c>
      <c r="C9493" t="s">
        <v>223</v>
      </c>
      <c r="D9493" t="s">
        <v>74</v>
      </c>
      <c r="E9493" t="s">
        <v>85</v>
      </c>
      <c r="F9493" s="55">
        <v>87</v>
      </c>
      <c r="G9493" s="63">
        <v>6.4600000000000005E-2</v>
      </c>
    </row>
    <row r="9494" spans="1:7" x14ac:dyDescent="0.2">
      <c r="A9494" t="s">
        <v>71</v>
      </c>
      <c r="B9494" t="s">
        <v>182</v>
      </c>
      <c r="C9494" t="s">
        <v>223</v>
      </c>
      <c r="D9494" t="s">
        <v>74</v>
      </c>
      <c r="E9494" t="s">
        <v>86</v>
      </c>
      <c r="F9494" s="55">
        <v>88</v>
      </c>
      <c r="G9494" s="63">
        <v>8.8999999999999996E-2</v>
      </c>
    </row>
    <row r="9495" spans="1:7" x14ac:dyDescent="0.2">
      <c r="A9495" t="s">
        <v>71</v>
      </c>
      <c r="B9495" t="s">
        <v>182</v>
      </c>
      <c r="C9495" t="s">
        <v>223</v>
      </c>
      <c r="D9495" t="s">
        <v>74</v>
      </c>
      <c r="E9495" t="s">
        <v>87</v>
      </c>
      <c r="F9495" s="55">
        <v>90</v>
      </c>
      <c r="G9495" s="63">
        <v>9.9699999999999997E-2</v>
      </c>
    </row>
    <row r="9496" spans="1:7" x14ac:dyDescent="0.2">
      <c r="A9496" t="s">
        <v>71</v>
      </c>
      <c r="B9496" t="s">
        <v>182</v>
      </c>
      <c r="C9496" t="s">
        <v>223</v>
      </c>
      <c r="D9496" t="s">
        <v>74</v>
      </c>
      <c r="E9496" t="s">
        <v>88</v>
      </c>
      <c r="F9496" s="55">
        <v>90</v>
      </c>
      <c r="G9496" s="63">
        <v>7.1599999999999997E-2</v>
      </c>
    </row>
    <row r="9497" spans="1:7" x14ac:dyDescent="0.2">
      <c r="A9497" t="s">
        <v>89</v>
      </c>
      <c r="B9497" t="s">
        <v>183</v>
      </c>
      <c r="C9497" t="s">
        <v>223</v>
      </c>
      <c r="D9497" t="s">
        <v>74</v>
      </c>
      <c r="E9497" t="s">
        <v>75</v>
      </c>
      <c r="F9497" s="55">
        <v>84</v>
      </c>
      <c r="G9497" s="63">
        <v>7.8899999999999998E-2</v>
      </c>
    </row>
    <row r="9498" spans="1:7" x14ac:dyDescent="0.2">
      <c r="A9498" t="s">
        <v>89</v>
      </c>
      <c r="B9498" t="s">
        <v>183</v>
      </c>
      <c r="C9498" t="s">
        <v>223</v>
      </c>
      <c r="D9498" t="s">
        <v>74</v>
      </c>
      <c r="E9498" t="s">
        <v>76</v>
      </c>
      <c r="F9498" s="55">
        <v>85</v>
      </c>
      <c r="G9498" s="63">
        <v>7.0000000000000001E-3</v>
      </c>
    </row>
    <row r="9499" spans="1:7" x14ac:dyDescent="0.2">
      <c r="A9499" t="s">
        <v>89</v>
      </c>
      <c r="B9499" t="s">
        <v>183</v>
      </c>
      <c r="C9499" t="s">
        <v>223</v>
      </c>
      <c r="D9499" t="s">
        <v>74</v>
      </c>
      <c r="E9499" t="s">
        <v>77</v>
      </c>
      <c r="F9499" s="55">
        <v>87</v>
      </c>
      <c r="G9499" s="63">
        <v>2.4799999999999999E-2</v>
      </c>
    </row>
    <row r="9500" spans="1:7" x14ac:dyDescent="0.2">
      <c r="A9500" t="s">
        <v>89</v>
      </c>
      <c r="B9500" t="s">
        <v>183</v>
      </c>
      <c r="C9500" t="s">
        <v>223</v>
      </c>
      <c r="D9500" t="s">
        <v>74</v>
      </c>
      <c r="E9500" t="s">
        <v>78</v>
      </c>
      <c r="F9500" s="55">
        <v>85</v>
      </c>
      <c r="G9500" s="63">
        <v>2.2800000000000001E-2</v>
      </c>
    </row>
    <row r="9501" spans="1:7" x14ac:dyDescent="0.2">
      <c r="A9501" t="s">
        <v>89</v>
      </c>
      <c r="B9501" t="s">
        <v>183</v>
      </c>
      <c r="C9501" t="s">
        <v>223</v>
      </c>
      <c r="D9501" t="s">
        <v>74</v>
      </c>
      <c r="E9501" t="s">
        <v>79</v>
      </c>
      <c r="F9501" s="55">
        <v>80</v>
      </c>
      <c r="G9501" s="63">
        <v>4.9099999999999998E-2</v>
      </c>
    </row>
    <row r="9502" spans="1:7" x14ac:dyDescent="0.2">
      <c r="A9502" t="s">
        <v>89</v>
      </c>
      <c r="B9502" t="s">
        <v>183</v>
      </c>
      <c r="C9502" t="s">
        <v>223</v>
      </c>
      <c r="D9502" t="s">
        <v>74</v>
      </c>
      <c r="E9502" t="s">
        <v>80</v>
      </c>
      <c r="F9502" s="55">
        <v>81</v>
      </c>
      <c r="G9502" s="63">
        <v>2.58E-2</v>
      </c>
    </row>
    <row r="9503" spans="1:7" x14ac:dyDescent="0.2">
      <c r="A9503" t="s">
        <v>89</v>
      </c>
      <c r="B9503" t="s">
        <v>183</v>
      </c>
      <c r="C9503" t="s">
        <v>223</v>
      </c>
      <c r="D9503" t="s">
        <v>74</v>
      </c>
      <c r="E9503" t="s">
        <v>81</v>
      </c>
      <c r="F9503" s="55">
        <v>84</v>
      </c>
      <c r="G9503" s="63">
        <v>2.4400000000000002E-2</v>
      </c>
    </row>
    <row r="9504" spans="1:7" x14ac:dyDescent="0.2">
      <c r="A9504" t="s">
        <v>89</v>
      </c>
      <c r="B9504" t="s">
        <v>183</v>
      </c>
      <c r="C9504" t="s">
        <v>223</v>
      </c>
      <c r="D9504" t="s">
        <v>74</v>
      </c>
      <c r="E9504" t="s">
        <v>82</v>
      </c>
      <c r="F9504" s="55">
        <v>88</v>
      </c>
      <c r="G9504" s="63">
        <v>3.9600000000000003E-2</v>
      </c>
    </row>
    <row r="9505" spans="1:7" x14ac:dyDescent="0.2">
      <c r="A9505" t="s">
        <v>89</v>
      </c>
      <c r="B9505" t="s">
        <v>183</v>
      </c>
      <c r="C9505" t="s">
        <v>223</v>
      </c>
      <c r="D9505" t="s">
        <v>74</v>
      </c>
      <c r="E9505" t="s">
        <v>83</v>
      </c>
      <c r="F9505" s="55">
        <v>85</v>
      </c>
      <c r="G9505" s="63">
        <v>7.4999999999999997E-3</v>
      </c>
    </row>
    <row r="9506" spans="1:7" x14ac:dyDescent="0.2">
      <c r="A9506" t="s">
        <v>89</v>
      </c>
      <c r="B9506" t="s">
        <v>183</v>
      </c>
      <c r="C9506" t="s">
        <v>223</v>
      </c>
      <c r="D9506" t="s">
        <v>74</v>
      </c>
      <c r="E9506" t="s">
        <v>84</v>
      </c>
      <c r="F9506" s="55">
        <v>87</v>
      </c>
      <c r="G9506" s="63">
        <v>1.8700000000000001E-2</v>
      </c>
    </row>
    <row r="9507" spans="1:7" x14ac:dyDescent="0.2">
      <c r="A9507" t="s">
        <v>89</v>
      </c>
      <c r="B9507" t="s">
        <v>183</v>
      </c>
      <c r="C9507" t="s">
        <v>223</v>
      </c>
      <c r="D9507" t="s">
        <v>74</v>
      </c>
      <c r="E9507" t="s">
        <v>85</v>
      </c>
      <c r="F9507" s="55">
        <v>81</v>
      </c>
      <c r="G9507" s="63">
        <v>2.3900000000000001E-2</v>
      </c>
    </row>
    <row r="9508" spans="1:7" x14ac:dyDescent="0.2">
      <c r="A9508" t="s">
        <v>89</v>
      </c>
      <c r="B9508" t="s">
        <v>183</v>
      </c>
      <c r="C9508" t="s">
        <v>223</v>
      </c>
      <c r="D9508" t="s">
        <v>74</v>
      </c>
      <c r="E9508" t="s">
        <v>86</v>
      </c>
      <c r="F9508" s="55">
        <v>78</v>
      </c>
      <c r="G9508" s="63">
        <v>2.3900000000000001E-2</v>
      </c>
    </row>
    <row r="9509" spans="1:7" x14ac:dyDescent="0.2">
      <c r="A9509" t="s">
        <v>89</v>
      </c>
      <c r="B9509" t="s">
        <v>183</v>
      </c>
      <c r="C9509" t="s">
        <v>223</v>
      </c>
      <c r="D9509" t="s">
        <v>74</v>
      </c>
      <c r="E9509" t="s">
        <v>87</v>
      </c>
      <c r="F9509" s="55">
        <v>78</v>
      </c>
      <c r="G9509" s="63">
        <v>2.3699999999999999E-2</v>
      </c>
    </row>
    <row r="9510" spans="1:7" x14ac:dyDescent="0.2">
      <c r="A9510" t="s">
        <v>89</v>
      </c>
      <c r="B9510" t="s">
        <v>183</v>
      </c>
      <c r="C9510" t="s">
        <v>223</v>
      </c>
      <c r="D9510" t="s">
        <v>74</v>
      </c>
      <c r="E9510" t="s">
        <v>88</v>
      </c>
      <c r="F9510" s="55">
        <v>86</v>
      </c>
      <c r="G9510" s="63">
        <v>1.0999999999999999E-2</v>
      </c>
    </row>
    <row r="9511" spans="1:7" x14ac:dyDescent="0.2">
      <c r="A9511" t="s">
        <v>71</v>
      </c>
      <c r="B9511" t="s">
        <v>184</v>
      </c>
      <c r="C9511" t="s">
        <v>223</v>
      </c>
      <c r="D9511" t="s">
        <v>74</v>
      </c>
      <c r="E9511" t="s">
        <v>75</v>
      </c>
      <c r="F9511" s="55">
        <v>110</v>
      </c>
      <c r="G9511" s="63">
        <v>0.1925</v>
      </c>
    </row>
    <row r="9512" spans="1:7" x14ac:dyDescent="0.2">
      <c r="A9512" t="s">
        <v>71</v>
      </c>
      <c r="B9512" t="s">
        <v>184</v>
      </c>
      <c r="C9512" t="s">
        <v>223</v>
      </c>
      <c r="D9512" t="s">
        <v>74</v>
      </c>
      <c r="E9512" t="s">
        <v>76</v>
      </c>
      <c r="F9512" s="55">
        <v>108</v>
      </c>
      <c r="G9512" s="63">
        <v>2.6499999999999999E-2</v>
      </c>
    </row>
    <row r="9513" spans="1:7" x14ac:dyDescent="0.2">
      <c r="A9513" t="s">
        <v>71</v>
      </c>
      <c r="B9513" t="s">
        <v>184</v>
      </c>
      <c r="C9513" t="s">
        <v>223</v>
      </c>
      <c r="D9513" t="s">
        <v>74</v>
      </c>
      <c r="E9513" t="s">
        <v>77</v>
      </c>
      <c r="F9513" s="55">
        <v>108</v>
      </c>
      <c r="G9513" s="63">
        <v>7.9299999999999995E-2</v>
      </c>
    </row>
    <row r="9514" spans="1:7" x14ac:dyDescent="0.2">
      <c r="A9514" t="s">
        <v>71</v>
      </c>
      <c r="B9514" t="s">
        <v>184</v>
      </c>
      <c r="C9514" t="s">
        <v>223</v>
      </c>
      <c r="D9514" t="s">
        <v>74</v>
      </c>
      <c r="E9514" t="s">
        <v>78</v>
      </c>
      <c r="F9514" s="55">
        <v>111</v>
      </c>
      <c r="G9514" s="63">
        <v>6.0600000000000001E-2</v>
      </c>
    </row>
    <row r="9515" spans="1:7" x14ac:dyDescent="0.2">
      <c r="A9515" t="s">
        <v>71</v>
      </c>
      <c r="B9515" t="s">
        <v>184</v>
      </c>
      <c r="C9515" t="s">
        <v>223</v>
      </c>
      <c r="D9515" t="s">
        <v>74</v>
      </c>
      <c r="E9515" t="s">
        <v>79</v>
      </c>
      <c r="F9515" s="55">
        <v>109</v>
      </c>
      <c r="G9515" s="63">
        <v>0.12620000000000001</v>
      </c>
    </row>
    <row r="9516" spans="1:7" x14ac:dyDescent="0.2">
      <c r="A9516" t="s">
        <v>71</v>
      </c>
      <c r="B9516" t="s">
        <v>184</v>
      </c>
      <c r="C9516" t="s">
        <v>223</v>
      </c>
      <c r="D9516" t="s">
        <v>74</v>
      </c>
      <c r="E9516" t="s">
        <v>80</v>
      </c>
      <c r="F9516" s="55">
        <v>114</v>
      </c>
      <c r="G9516" s="63">
        <v>7.6999999999999999E-2</v>
      </c>
    </row>
    <row r="9517" spans="1:7" x14ac:dyDescent="0.2">
      <c r="A9517" t="s">
        <v>71</v>
      </c>
      <c r="B9517" t="s">
        <v>184</v>
      </c>
      <c r="C9517" t="s">
        <v>223</v>
      </c>
      <c r="D9517" t="s">
        <v>74</v>
      </c>
      <c r="E9517" t="s">
        <v>81</v>
      </c>
      <c r="F9517" s="55">
        <v>112</v>
      </c>
      <c r="G9517" s="63">
        <v>7.3899999999999993E-2</v>
      </c>
    </row>
    <row r="9518" spans="1:7" x14ac:dyDescent="0.2">
      <c r="A9518" t="s">
        <v>71</v>
      </c>
      <c r="B9518" t="s">
        <v>184</v>
      </c>
      <c r="C9518" t="s">
        <v>223</v>
      </c>
      <c r="D9518" t="s">
        <v>74</v>
      </c>
      <c r="E9518" t="s">
        <v>82</v>
      </c>
      <c r="F9518" s="55">
        <v>109</v>
      </c>
      <c r="G9518" s="63">
        <v>8.9099999999999999E-2</v>
      </c>
    </row>
    <row r="9519" spans="1:7" x14ac:dyDescent="0.2">
      <c r="A9519" t="s">
        <v>71</v>
      </c>
      <c r="B9519" t="s">
        <v>184</v>
      </c>
      <c r="C9519" t="s">
        <v>223</v>
      </c>
      <c r="D9519" t="s">
        <v>74</v>
      </c>
      <c r="E9519" t="s">
        <v>83</v>
      </c>
      <c r="F9519" s="55">
        <v>102</v>
      </c>
      <c r="G9519" s="63">
        <v>2.5600000000000001E-2</v>
      </c>
    </row>
    <row r="9520" spans="1:7" x14ac:dyDescent="0.2">
      <c r="A9520" t="s">
        <v>71</v>
      </c>
      <c r="B9520" t="s">
        <v>184</v>
      </c>
      <c r="C9520" t="s">
        <v>223</v>
      </c>
      <c r="D9520" t="s">
        <v>74</v>
      </c>
      <c r="E9520" t="s">
        <v>84</v>
      </c>
      <c r="F9520" s="55">
        <v>108</v>
      </c>
      <c r="G9520" s="63">
        <v>4.9200000000000001E-2</v>
      </c>
    </row>
    <row r="9521" spans="1:7" x14ac:dyDescent="0.2">
      <c r="A9521" t="s">
        <v>71</v>
      </c>
      <c r="B9521" t="s">
        <v>184</v>
      </c>
      <c r="C9521" t="s">
        <v>223</v>
      </c>
      <c r="D9521" t="s">
        <v>74</v>
      </c>
      <c r="E9521" t="s">
        <v>85</v>
      </c>
      <c r="F9521" s="55">
        <v>107</v>
      </c>
      <c r="G9521" s="63">
        <v>6.7699999999999996E-2</v>
      </c>
    </row>
    <row r="9522" spans="1:7" x14ac:dyDescent="0.2">
      <c r="A9522" t="s">
        <v>71</v>
      </c>
      <c r="B9522" t="s">
        <v>184</v>
      </c>
      <c r="C9522" t="s">
        <v>223</v>
      </c>
      <c r="D9522" t="s">
        <v>74</v>
      </c>
      <c r="E9522" t="s">
        <v>86</v>
      </c>
      <c r="F9522" s="55">
        <v>108</v>
      </c>
      <c r="G9522" s="63">
        <v>6.5199999999999994E-2</v>
      </c>
    </row>
    <row r="9523" spans="1:7" x14ac:dyDescent="0.2">
      <c r="A9523" t="s">
        <v>71</v>
      </c>
      <c r="B9523" t="s">
        <v>184</v>
      </c>
      <c r="C9523" t="s">
        <v>223</v>
      </c>
      <c r="D9523" t="s">
        <v>74</v>
      </c>
      <c r="E9523" t="s">
        <v>87</v>
      </c>
      <c r="F9523" s="55">
        <v>110</v>
      </c>
      <c r="G9523" s="63">
        <v>5.8599999999999999E-2</v>
      </c>
    </row>
    <row r="9524" spans="1:7" x14ac:dyDescent="0.2">
      <c r="A9524" t="s">
        <v>71</v>
      </c>
      <c r="B9524" t="s">
        <v>184</v>
      </c>
      <c r="C9524" t="s">
        <v>223</v>
      </c>
      <c r="D9524" t="s">
        <v>74</v>
      </c>
      <c r="E9524" t="s">
        <v>88</v>
      </c>
      <c r="F9524" s="55">
        <v>107</v>
      </c>
      <c r="G9524" s="63">
        <v>3.7999999999999999E-2</v>
      </c>
    </row>
    <row r="9525" spans="1:7" x14ac:dyDescent="0.2">
      <c r="A9525" t="s">
        <v>89</v>
      </c>
      <c r="B9525" t="s">
        <v>185</v>
      </c>
      <c r="C9525" t="s">
        <v>223</v>
      </c>
      <c r="D9525" t="s">
        <v>74</v>
      </c>
      <c r="E9525" t="s">
        <v>75</v>
      </c>
      <c r="F9525" s="55">
        <v>40</v>
      </c>
      <c r="G9525" s="63">
        <v>1.5699999999999999E-2</v>
      </c>
    </row>
    <row r="9526" spans="1:7" x14ac:dyDescent="0.2">
      <c r="A9526" t="s">
        <v>89</v>
      </c>
      <c r="B9526" t="s">
        <v>185</v>
      </c>
      <c r="C9526" t="s">
        <v>223</v>
      </c>
      <c r="D9526" t="s">
        <v>74</v>
      </c>
      <c r="E9526" t="s">
        <v>76</v>
      </c>
      <c r="F9526" s="55">
        <v>17</v>
      </c>
      <c r="G9526" s="63">
        <v>1E-3</v>
      </c>
    </row>
    <row r="9527" spans="1:7" x14ac:dyDescent="0.2">
      <c r="A9527" t="s">
        <v>89</v>
      </c>
      <c r="B9527" t="s">
        <v>185</v>
      </c>
      <c r="C9527" t="s">
        <v>223</v>
      </c>
      <c r="D9527" t="s">
        <v>74</v>
      </c>
      <c r="E9527" t="s">
        <v>77</v>
      </c>
      <c r="F9527" s="55">
        <v>45</v>
      </c>
      <c r="G9527" s="63">
        <v>4.3E-3</v>
      </c>
    </row>
    <row r="9528" spans="1:7" x14ac:dyDescent="0.2">
      <c r="A9528" t="s">
        <v>89</v>
      </c>
      <c r="B9528" t="s">
        <v>185</v>
      </c>
      <c r="C9528" t="s">
        <v>223</v>
      </c>
      <c r="D9528" t="s">
        <v>74</v>
      </c>
      <c r="E9528" t="s">
        <v>78</v>
      </c>
      <c r="F9528" s="55">
        <v>35</v>
      </c>
      <c r="G9528" s="63">
        <v>3.0999999999999999E-3</v>
      </c>
    </row>
    <row r="9529" spans="1:7" x14ac:dyDescent="0.2">
      <c r="A9529" t="s">
        <v>89</v>
      </c>
      <c r="B9529" t="s">
        <v>185</v>
      </c>
      <c r="C9529" t="s">
        <v>223</v>
      </c>
      <c r="D9529" t="s">
        <v>74</v>
      </c>
      <c r="E9529" t="s">
        <v>79</v>
      </c>
      <c r="F9529" s="55">
        <v>53</v>
      </c>
      <c r="G9529" s="63">
        <v>7.0000000000000001E-3</v>
      </c>
    </row>
    <row r="9530" spans="1:7" x14ac:dyDescent="0.2">
      <c r="A9530" t="s">
        <v>89</v>
      </c>
      <c r="B9530" t="s">
        <v>185</v>
      </c>
      <c r="C9530" t="s">
        <v>223</v>
      </c>
      <c r="D9530" t="s">
        <v>74</v>
      </c>
      <c r="E9530" t="s">
        <v>80</v>
      </c>
      <c r="F9530" s="55">
        <v>29</v>
      </c>
      <c r="G9530" s="63">
        <v>1.4E-3</v>
      </c>
    </row>
    <row r="9531" spans="1:7" x14ac:dyDescent="0.2">
      <c r="A9531" t="s">
        <v>89</v>
      </c>
      <c r="B9531" t="s">
        <v>185</v>
      </c>
      <c r="C9531" t="s">
        <v>223</v>
      </c>
      <c r="D9531" t="s">
        <v>74</v>
      </c>
      <c r="E9531" t="s">
        <v>81</v>
      </c>
      <c r="F9531" s="55">
        <v>33</v>
      </c>
      <c r="G9531" s="63">
        <v>2E-3</v>
      </c>
    </row>
    <row r="9532" spans="1:7" x14ac:dyDescent="0.2">
      <c r="A9532" t="s">
        <v>89</v>
      </c>
      <c r="B9532" t="s">
        <v>185</v>
      </c>
      <c r="C9532" t="s">
        <v>223</v>
      </c>
      <c r="D9532" t="s">
        <v>74</v>
      </c>
      <c r="E9532" t="s">
        <v>82</v>
      </c>
      <c r="F9532" s="55">
        <v>32</v>
      </c>
      <c r="G9532" s="63">
        <v>5.3E-3</v>
      </c>
    </row>
    <row r="9533" spans="1:7" x14ac:dyDescent="0.2">
      <c r="A9533" t="s">
        <v>89</v>
      </c>
      <c r="B9533" t="s">
        <v>185</v>
      </c>
      <c r="C9533" t="s">
        <v>223</v>
      </c>
      <c r="D9533" t="s">
        <v>74</v>
      </c>
      <c r="E9533" t="s">
        <v>84</v>
      </c>
      <c r="F9533" s="55">
        <v>43</v>
      </c>
      <c r="G9533" s="63">
        <v>1.9E-3</v>
      </c>
    </row>
    <row r="9534" spans="1:7" x14ac:dyDescent="0.2">
      <c r="A9534" t="s">
        <v>89</v>
      </c>
      <c r="B9534" t="s">
        <v>185</v>
      </c>
      <c r="C9534" t="s">
        <v>223</v>
      </c>
      <c r="D9534" t="s">
        <v>74</v>
      </c>
      <c r="E9534" t="s">
        <v>85</v>
      </c>
      <c r="F9534" s="55">
        <v>53</v>
      </c>
      <c r="G9534" s="63">
        <v>1E-3</v>
      </c>
    </row>
    <row r="9535" spans="1:7" x14ac:dyDescent="0.2">
      <c r="A9535" t="s">
        <v>89</v>
      </c>
      <c r="B9535" t="s">
        <v>185</v>
      </c>
      <c r="C9535" t="s">
        <v>223</v>
      </c>
      <c r="D9535" t="s">
        <v>74</v>
      </c>
      <c r="E9535" t="s">
        <v>86</v>
      </c>
      <c r="F9535" s="55">
        <v>85</v>
      </c>
      <c r="G9535" s="63">
        <v>1.6000000000000001E-3</v>
      </c>
    </row>
    <row r="9536" spans="1:7" x14ac:dyDescent="0.2">
      <c r="A9536" t="s">
        <v>89</v>
      </c>
      <c r="B9536" t="s">
        <v>185</v>
      </c>
      <c r="C9536" t="s">
        <v>223</v>
      </c>
      <c r="D9536" t="s">
        <v>74</v>
      </c>
      <c r="E9536" t="s">
        <v>87</v>
      </c>
      <c r="F9536" s="55">
        <v>75</v>
      </c>
      <c r="G9536" s="63">
        <v>1.8E-3</v>
      </c>
    </row>
    <row r="9537" spans="1:7" x14ac:dyDescent="0.2">
      <c r="A9537" t="s">
        <v>89</v>
      </c>
      <c r="B9537" t="s">
        <v>185</v>
      </c>
      <c r="C9537" t="s">
        <v>223</v>
      </c>
      <c r="D9537" t="s">
        <v>74</v>
      </c>
      <c r="E9537" t="s">
        <v>88</v>
      </c>
      <c r="F9537" s="55">
        <v>12</v>
      </c>
      <c r="G9537" s="63">
        <v>2E-3</v>
      </c>
    </row>
    <row r="9538" spans="1:7" x14ac:dyDescent="0.2">
      <c r="A9538" t="s">
        <v>71</v>
      </c>
      <c r="B9538" t="s">
        <v>186</v>
      </c>
      <c r="C9538" t="s">
        <v>223</v>
      </c>
      <c r="D9538" t="s">
        <v>74</v>
      </c>
      <c r="E9538" t="s">
        <v>75</v>
      </c>
      <c r="F9538" s="55">
        <v>101</v>
      </c>
      <c r="G9538" s="63">
        <v>0.21210000000000001</v>
      </c>
    </row>
    <row r="9539" spans="1:7" x14ac:dyDescent="0.2">
      <c r="A9539" t="s">
        <v>71</v>
      </c>
      <c r="B9539" t="s">
        <v>186</v>
      </c>
      <c r="C9539" t="s">
        <v>223</v>
      </c>
      <c r="D9539" t="s">
        <v>74</v>
      </c>
      <c r="E9539" t="s">
        <v>76</v>
      </c>
      <c r="F9539" s="55">
        <v>98</v>
      </c>
      <c r="G9539" s="63">
        <v>3.8100000000000002E-2</v>
      </c>
    </row>
    <row r="9540" spans="1:7" x14ac:dyDescent="0.2">
      <c r="A9540" t="s">
        <v>71</v>
      </c>
      <c r="B9540" t="s">
        <v>186</v>
      </c>
      <c r="C9540" t="s">
        <v>223</v>
      </c>
      <c r="D9540" t="s">
        <v>74</v>
      </c>
      <c r="E9540" t="s">
        <v>77</v>
      </c>
      <c r="F9540" s="55">
        <v>99</v>
      </c>
      <c r="G9540" s="63">
        <v>9.3600000000000003E-2</v>
      </c>
    </row>
    <row r="9541" spans="1:7" x14ac:dyDescent="0.2">
      <c r="A9541" t="s">
        <v>71</v>
      </c>
      <c r="B9541" t="s">
        <v>186</v>
      </c>
      <c r="C9541" t="s">
        <v>223</v>
      </c>
      <c r="D9541" t="s">
        <v>74</v>
      </c>
      <c r="E9541" t="s">
        <v>78</v>
      </c>
      <c r="F9541" s="55">
        <v>105</v>
      </c>
      <c r="G9541" s="63">
        <v>8.1000000000000003E-2</v>
      </c>
    </row>
    <row r="9542" spans="1:7" x14ac:dyDescent="0.2">
      <c r="A9542" t="s">
        <v>71</v>
      </c>
      <c r="B9542" t="s">
        <v>186</v>
      </c>
      <c r="C9542" t="s">
        <v>223</v>
      </c>
      <c r="D9542" t="s">
        <v>74</v>
      </c>
      <c r="E9542" t="s">
        <v>79</v>
      </c>
      <c r="F9542" s="55">
        <v>103</v>
      </c>
      <c r="G9542" s="63">
        <v>0.1278</v>
      </c>
    </row>
    <row r="9543" spans="1:7" x14ac:dyDescent="0.2">
      <c r="A9543" t="s">
        <v>71</v>
      </c>
      <c r="B9543" t="s">
        <v>186</v>
      </c>
      <c r="C9543" t="s">
        <v>223</v>
      </c>
      <c r="D9543" t="s">
        <v>74</v>
      </c>
      <c r="E9543" t="s">
        <v>80</v>
      </c>
      <c r="F9543" s="55">
        <v>103</v>
      </c>
      <c r="G9543" s="63">
        <v>3.0800000000000001E-2</v>
      </c>
    </row>
    <row r="9544" spans="1:7" x14ac:dyDescent="0.2">
      <c r="A9544" t="s">
        <v>71</v>
      </c>
      <c r="B9544" t="s">
        <v>186</v>
      </c>
      <c r="C9544" t="s">
        <v>223</v>
      </c>
      <c r="D9544" t="s">
        <v>74</v>
      </c>
      <c r="E9544" t="s">
        <v>81</v>
      </c>
      <c r="F9544" s="55">
        <v>101</v>
      </c>
      <c r="G9544" s="63">
        <v>3.8199999999999998E-2</v>
      </c>
    </row>
    <row r="9545" spans="1:7" x14ac:dyDescent="0.2">
      <c r="A9545" t="s">
        <v>71</v>
      </c>
      <c r="B9545" t="s">
        <v>186</v>
      </c>
      <c r="C9545" t="s">
        <v>223</v>
      </c>
      <c r="D9545" t="s">
        <v>74</v>
      </c>
      <c r="E9545" t="s">
        <v>82</v>
      </c>
      <c r="F9545" s="55">
        <v>96</v>
      </c>
      <c r="G9545" s="63">
        <v>9.4500000000000001E-2</v>
      </c>
    </row>
    <row r="9546" spans="1:7" x14ac:dyDescent="0.2">
      <c r="A9546" t="s">
        <v>71</v>
      </c>
      <c r="B9546" t="s">
        <v>186</v>
      </c>
      <c r="C9546" t="s">
        <v>223</v>
      </c>
      <c r="D9546" t="s">
        <v>74</v>
      </c>
      <c r="E9546" t="s">
        <v>83</v>
      </c>
      <c r="F9546" s="55">
        <v>95</v>
      </c>
      <c r="G9546" s="63">
        <v>2.3300000000000001E-2</v>
      </c>
    </row>
    <row r="9547" spans="1:7" x14ac:dyDescent="0.2">
      <c r="A9547" t="s">
        <v>71</v>
      </c>
      <c r="B9547" t="s">
        <v>186</v>
      </c>
      <c r="C9547" t="s">
        <v>223</v>
      </c>
      <c r="D9547" t="s">
        <v>74</v>
      </c>
      <c r="E9547" t="s">
        <v>84</v>
      </c>
      <c r="F9547" s="55">
        <v>106</v>
      </c>
      <c r="G9547" s="63">
        <v>6.1800000000000001E-2</v>
      </c>
    </row>
    <row r="9548" spans="1:7" x14ac:dyDescent="0.2">
      <c r="A9548" t="s">
        <v>71</v>
      </c>
      <c r="B9548" t="s">
        <v>186</v>
      </c>
      <c r="C9548" t="s">
        <v>223</v>
      </c>
      <c r="D9548" t="s">
        <v>74</v>
      </c>
      <c r="E9548" t="s">
        <v>85</v>
      </c>
      <c r="F9548" s="55">
        <v>103</v>
      </c>
      <c r="G9548" s="63">
        <v>3.73E-2</v>
      </c>
    </row>
    <row r="9549" spans="1:7" x14ac:dyDescent="0.2">
      <c r="A9549" t="s">
        <v>71</v>
      </c>
      <c r="B9549" t="s">
        <v>186</v>
      </c>
      <c r="C9549" t="s">
        <v>223</v>
      </c>
      <c r="D9549" t="s">
        <v>74</v>
      </c>
      <c r="E9549" t="s">
        <v>86</v>
      </c>
      <c r="F9549" s="55">
        <v>101</v>
      </c>
      <c r="G9549" s="63">
        <v>5.1900000000000002E-2</v>
      </c>
    </row>
    <row r="9550" spans="1:7" x14ac:dyDescent="0.2">
      <c r="A9550" t="s">
        <v>71</v>
      </c>
      <c r="B9550" t="s">
        <v>186</v>
      </c>
      <c r="C9550" t="s">
        <v>223</v>
      </c>
      <c r="D9550" t="s">
        <v>74</v>
      </c>
      <c r="E9550" t="s">
        <v>87</v>
      </c>
      <c r="F9550" s="55">
        <v>104</v>
      </c>
      <c r="G9550" s="63">
        <v>6.4299999999999996E-2</v>
      </c>
    </row>
    <row r="9551" spans="1:7" x14ac:dyDescent="0.2">
      <c r="A9551" t="s">
        <v>71</v>
      </c>
      <c r="B9551" t="s">
        <v>186</v>
      </c>
      <c r="C9551" t="s">
        <v>223</v>
      </c>
      <c r="D9551" t="s">
        <v>74</v>
      </c>
      <c r="E9551" t="s">
        <v>88</v>
      </c>
      <c r="F9551" s="55">
        <v>98</v>
      </c>
      <c r="G9551" s="63">
        <v>5.62E-2</v>
      </c>
    </row>
    <row r="9552" spans="1:7" x14ac:dyDescent="0.2">
      <c r="A9552" t="s">
        <v>71</v>
      </c>
      <c r="B9552" t="s">
        <v>187</v>
      </c>
      <c r="C9552" t="s">
        <v>223</v>
      </c>
      <c r="D9552" t="s">
        <v>74</v>
      </c>
      <c r="E9552" t="s">
        <v>75</v>
      </c>
      <c r="F9552" s="55">
        <v>85</v>
      </c>
      <c r="G9552" s="63">
        <v>0.17019999999999999</v>
      </c>
    </row>
    <row r="9553" spans="1:7" x14ac:dyDescent="0.2">
      <c r="A9553" t="s">
        <v>71</v>
      </c>
      <c r="B9553" t="s">
        <v>187</v>
      </c>
      <c r="C9553" t="s">
        <v>223</v>
      </c>
      <c r="D9553" t="s">
        <v>74</v>
      </c>
      <c r="E9553" t="s">
        <v>76</v>
      </c>
      <c r="F9553" s="55">
        <v>69</v>
      </c>
      <c r="G9553" s="63">
        <v>1.55E-2</v>
      </c>
    </row>
    <row r="9554" spans="1:7" x14ac:dyDescent="0.2">
      <c r="A9554" t="s">
        <v>71</v>
      </c>
      <c r="B9554" t="s">
        <v>187</v>
      </c>
      <c r="C9554" t="s">
        <v>223</v>
      </c>
      <c r="D9554" t="s">
        <v>74</v>
      </c>
      <c r="E9554" t="s">
        <v>77</v>
      </c>
      <c r="F9554" s="55">
        <v>81</v>
      </c>
      <c r="G9554" s="63">
        <v>4.6699999999999998E-2</v>
      </c>
    </row>
    <row r="9555" spans="1:7" x14ac:dyDescent="0.2">
      <c r="A9555" t="s">
        <v>71</v>
      </c>
      <c r="B9555" t="s">
        <v>187</v>
      </c>
      <c r="C9555" t="s">
        <v>223</v>
      </c>
      <c r="D9555" t="s">
        <v>74</v>
      </c>
      <c r="E9555" t="s">
        <v>78</v>
      </c>
      <c r="F9555" s="55">
        <v>90</v>
      </c>
      <c r="G9555" s="63">
        <v>4.1099999999999998E-2</v>
      </c>
    </row>
    <row r="9556" spans="1:7" x14ac:dyDescent="0.2">
      <c r="A9556" t="s">
        <v>71</v>
      </c>
      <c r="B9556" t="s">
        <v>187</v>
      </c>
      <c r="C9556" t="s">
        <v>223</v>
      </c>
      <c r="D9556" t="s">
        <v>74</v>
      </c>
      <c r="E9556" t="s">
        <v>79</v>
      </c>
      <c r="F9556" s="55">
        <v>83</v>
      </c>
      <c r="G9556" s="63">
        <v>0.1041</v>
      </c>
    </row>
    <row r="9557" spans="1:7" x14ac:dyDescent="0.2">
      <c r="A9557" t="s">
        <v>71</v>
      </c>
      <c r="B9557" t="s">
        <v>187</v>
      </c>
      <c r="C9557" t="s">
        <v>223</v>
      </c>
      <c r="D9557" t="s">
        <v>74</v>
      </c>
      <c r="E9557" t="s">
        <v>80</v>
      </c>
      <c r="F9557" s="55">
        <v>73</v>
      </c>
      <c r="G9557" s="63">
        <v>2.06E-2</v>
      </c>
    </row>
    <row r="9558" spans="1:7" x14ac:dyDescent="0.2">
      <c r="A9558" t="s">
        <v>71</v>
      </c>
      <c r="B9558" t="s">
        <v>187</v>
      </c>
      <c r="C9558" t="s">
        <v>223</v>
      </c>
      <c r="D9558" t="s">
        <v>74</v>
      </c>
      <c r="E9558" t="s">
        <v>81</v>
      </c>
      <c r="F9558" s="55">
        <v>87</v>
      </c>
      <c r="G9558" s="63">
        <v>2.35E-2</v>
      </c>
    </row>
    <row r="9559" spans="1:7" x14ac:dyDescent="0.2">
      <c r="A9559" t="s">
        <v>71</v>
      </c>
      <c r="B9559" t="s">
        <v>187</v>
      </c>
      <c r="C9559" t="s">
        <v>223</v>
      </c>
      <c r="D9559" t="s">
        <v>74</v>
      </c>
      <c r="E9559" t="s">
        <v>82</v>
      </c>
      <c r="F9559" s="55">
        <v>93</v>
      </c>
      <c r="G9559" s="63">
        <v>6.9900000000000004E-2</v>
      </c>
    </row>
    <row r="9560" spans="1:7" x14ac:dyDescent="0.2">
      <c r="A9560" t="s">
        <v>71</v>
      </c>
      <c r="B9560" t="s">
        <v>187</v>
      </c>
      <c r="C9560" t="s">
        <v>223</v>
      </c>
      <c r="D9560" t="s">
        <v>74</v>
      </c>
      <c r="E9560" t="s">
        <v>83</v>
      </c>
      <c r="F9560" s="55">
        <v>95</v>
      </c>
      <c r="G9560" s="63">
        <v>8.8999999999999999E-3</v>
      </c>
    </row>
    <row r="9561" spans="1:7" x14ac:dyDescent="0.2">
      <c r="A9561" t="s">
        <v>71</v>
      </c>
      <c r="B9561" t="s">
        <v>187</v>
      </c>
      <c r="C9561" t="s">
        <v>223</v>
      </c>
      <c r="D9561" t="s">
        <v>74</v>
      </c>
      <c r="E9561" t="s">
        <v>84</v>
      </c>
      <c r="F9561" s="55">
        <v>88</v>
      </c>
      <c r="G9561" s="63">
        <v>3.09E-2</v>
      </c>
    </row>
    <row r="9562" spans="1:7" x14ac:dyDescent="0.2">
      <c r="A9562" t="s">
        <v>71</v>
      </c>
      <c r="B9562" t="s">
        <v>187</v>
      </c>
      <c r="C9562" t="s">
        <v>223</v>
      </c>
      <c r="D9562" t="s">
        <v>74</v>
      </c>
      <c r="E9562" t="s">
        <v>85</v>
      </c>
      <c r="F9562" s="55">
        <v>74</v>
      </c>
      <c r="G9562" s="63">
        <v>2.3900000000000001E-2</v>
      </c>
    </row>
    <row r="9563" spans="1:7" x14ac:dyDescent="0.2">
      <c r="A9563" t="s">
        <v>71</v>
      </c>
      <c r="B9563" t="s">
        <v>187</v>
      </c>
      <c r="C9563" t="s">
        <v>223</v>
      </c>
      <c r="D9563" t="s">
        <v>74</v>
      </c>
      <c r="E9563" t="s">
        <v>86</v>
      </c>
      <c r="F9563" s="55">
        <v>81</v>
      </c>
      <c r="G9563" s="63">
        <v>3.5400000000000001E-2</v>
      </c>
    </row>
    <row r="9564" spans="1:7" x14ac:dyDescent="0.2">
      <c r="A9564" t="s">
        <v>71</v>
      </c>
      <c r="B9564" t="s">
        <v>187</v>
      </c>
      <c r="C9564" t="s">
        <v>223</v>
      </c>
      <c r="D9564" t="s">
        <v>74</v>
      </c>
      <c r="E9564" t="s">
        <v>87</v>
      </c>
      <c r="F9564" s="55">
        <v>82</v>
      </c>
      <c r="G9564" s="63">
        <v>4.7100000000000003E-2</v>
      </c>
    </row>
    <row r="9565" spans="1:7" x14ac:dyDescent="0.2">
      <c r="A9565" t="s">
        <v>71</v>
      </c>
      <c r="B9565" t="s">
        <v>187</v>
      </c>
      <c r="C9565" t="s">
        <v>223</v>
      </c>
      <c r="D9565" t="s">
        <v>74</v>
      </c>
      <c r="E9565" t="s">
        <v>88</v>
      </c>
      <c r="F9565" s="55">
        <v>82</v>
      </c>
      <c r="G9565" s="63">
        <v>2.9100000000000001E-2</v>
      </c>
    </row>
    <row r="9566" spans="1:7" x14ac:dyDescent="0.2">
      <c r="A9566" t="s">
        <v>71</v>
      </c>
      <c r="B9566" t="s">
        <v>19</v>
      </c>
      <c r="C9566" t="s">
        <v>223</v>
      </c>
      <c r="D9566" t="s">
        <v>74</v>
      </c>
      <c r="E9566" t="s">
        <v>75</v>
      </c>
      <c r="F9566" s="55">
        <v>89</v>
      </c>
      <c r="G9566" s="63">
        <v>0.36299999999999999</v>
      </c>
    </row>
    <row r="9567" spans="1:7" x14ac:dyDescent="0.2">
      <c r="A9567" t="s">
        <v>71</v>
      </c>
      <c r="B9567" t="s">
        <v>19</v>
      </c>
      <c r="C9567" t="s">
        <v>223</v>
      </c>
      <c r="D9567" t="s">
        <v>74</v>
      </c>
      <c r="E9567" t="s">
        <v>76</v>
      </c>
      <c r="F9567" s="55">
        <v>80</v>
      </c>
      <c r="G9567" s="63">
        <v>4.8000000000000001E-2</v>
      </c>
    </row>
    <row r="9568" spans="1:7" x14ac:dyDescent="0.2">
      <c r="A9568" t="s">
        <v>71</v>
      </c>
      <c r="B9568" t="s">
        <v>19</v>
      </c>
      <c r="C9568" t="s">
        <v>223</v>
      </c>
      <c r="D9568" t="s">
        <v>74</v>
      </c>
      <c r="E9568" t="s">
        <v>77</v>
      </c>
      <c r="F9568" s="55">
        <v>92</v>
      </c>
      <c r="G9568" s="63">
        <v>0.15440000000000001</v>
      </c>
    </row>
    <row r="9569" spans="1:7" x14ac:dyDescent="0.2">
      <c r="A9569" t="s">
        <v>71</v>
      </c>
      <c r="B9569" t="s">
        <v>19</v>
      </c>
      <c r="C9569" t="s">
        <v>223</v>
      </c>
      <c r="D9569" t="s">
        <v>74</v>
      </c>
      <c r="E9569" t="s">
        <v>78</v>
      </c>
      <c r="F9569" s="55">
        <v>88</v>
      </c>
      <c r="G9569" s="63">
        <v>0.1416</v>
      </c>
    </row>
    <row r="9570" spans="1:7" x14ac:dyDescent="0.2">
      <c r="A9570" t="s">
        <v>71</v>
      </c>
      <c r="B9570" t="s">
        <v>19</v>
      </c>
      <c r="C9570" t="s">
        <v>223</v>
      </c>
      <c r="D9570" t="s">
        <v>74</v>
      </c>
      <c r="E9570" t="s">
        <v>79</v>
      </c>
      <c r="F9570" s="55">
        <v>89</v>
      </c>
      <c r="G9570" s="63">
        <v>0.254</v>
      </c>
    </row>
    <row r="9571" spans="1:7" x14ac:dyDescent="0.2">
      <c r="A9571" t="s">
        <v>71</v>
      </c>
      <c r="B9571" t="s">
        <v>19</v>
      </c>
      <c r="C9571" t="s">
        <v>223</v>
      </c>
      <c r="D9571" t="s">
        <v>74</v>
      </c>
      <c r="E9571" t="s">
        <v>80</v>
      </c>
      <c r="F9571" s="55">
        <v>87</v>
      </c>
      <c r="G9571" s="63">
        <v>6.0299999999999999E-2</v>
      </c>
    </row>
    <row r="9572" spans="1:7" x14ac:dyDescent="0.2">
      <c r="A9572" t="s">
        <v>71</v>
      </c>
      <c r="B9572" t="s">
        <v>19</v>
      </c>
      <c r="C9572" t="s">
        <v>223</v>
      </c>
      <c r="D9572" t="s">
        <v>74</v>
      </c>
      <c r="E9572" t="s">
        <v>81</v>
      </c>
      <c r="F9572" s="55">
        <v>84</v>
      </c>
      <c r="G9572" s="63">
        <v>6.8099999999999994E-2</v>
      </c>
    </row>
    <row r="9573" spans="1:7" x14ac:dyDescent="0.2">
      <c r="A9573" t="s">
        <v>71</v>
      </c>
      <c r="B9573" t="s">
        <v>19</v>
      </c>
      <c r="C9573" t="s">
        <v>223</v>
      </c>
      <c r="D9573" t="s">
        <v>74</v>
      </c>
      <c r="E9573" t="s">
        <v>82</v>
      </c>
      <c r="F9573" s="55">
        <v>91</v>
      </c>
      <c r="G9573" s="63">
        <v>0.1661</v>
      </c>
    </row>
    <row r="9574" spans="1:7" x14ac:dyDescent="0.2">
      <c r="A9574" t="s">
        <v>71</v>
      </c>
      <c r="B9574" t="s">
        <v>19</v>
      </c>
      <c r="C9574" t="s">
        <v>223</v>
      </c>
      <c r="D9574" t="s">
        <v>74</v>
      </c>
      <c r="E9574" t="s">
        <v>83</v>
      </c>
      <c r="F9574" s="55">
        <v>80</v>
      </c>
      <c r="G9574" s="63">
        <v>3.4099999999999998E-2</v>
      </c>
    </row>
    <row r="9575" spans="1:7" x14ac:dyDescent="0.2">
      <c r="A9575" t="s">
        <v>71</v>
      </c>
      <c r="B9575" t="s">
        <v>19</v>
      </c>
      <c r="C9575" t="s">
        <v>223</v>
      </c>
      <c r="D9575" t="s">
        <v>74</v>
      </c>
      <c r="E9575" t="s">
        <v>84</v>
      </c>
      <c r="F9575" s="55">
        <v>89</v>
      </c>
      <c r="G9575" s="63">
        <v>0.1081</v>
      </c>
    </row>
    <row r="9576" spans="1:7" x14ac:dyDescent="0.2">
      <c r="A9576" t="s">
        <v>71</v>
      </c>
      <c r="B9576" t="s">
        <v>19</v>
      </c>
      <c r="C9576" t="s">
        <v>223</v>
      </c>
      <c r="D9576" t="s">
        <v>74</v>
      </c>
      <c r="E9576" t="s">
        <v>85</v>
      </c>
      <c r="F9576" s="55">
        <v>89</v>
      </c>
      <c r="G9576" s="63">
        <v>7.4899999999999994E-2</v>
      </c>
    </row>
    <row r="9577" spans="1:7" x14ac:dyDescent="0.2">
      <c r="A9577" t="s">
        <v>71</v>
      </c>
      <c r="B9577" t="s">
        <v>19</v>
      </c>
      <c r="C9577" t="s">
        <v>223</v>
      </c>
      <c r="D9577" t="s">
        <v>74</v>
      </c>
      <c r="E9577" t="s">
        <v>86</v>
      </c>
      <c r="F9577" s="55">
        <v>89</v>
      </c>
      <c r="G9577" s="63">
        <v>0.1125</v>
      </c>
    </row>
    <row r="9578" spans="1:7" x14ac:dyDescent="0.2">
      <c r="A9578" t="s">
        <v>71</v>
      </c>
      <c r="B9578" t="s">
        <v>19</v>
      </c>
      <c r="C9578" t="s">
        <v>223</v>
      </c>
      <c r="D9578" t="s">
        <v>74</v>
      </c>
      <c r="E9578" t="s">
        <v>87</v>
      </c>
      <c r="F9578" s="55">
        <v>89</v>
      </c>
      <c r="G9578" s="63">
        <v>0.14269999999999999</v>
      </c>
    </row>
    <row r="9579" spans="1:7" x14ac:dyDescent="0.2">
      <c r="A9579" t="s">
        <v>71</v>
      </c>
      <c r="B9579" t="s">
        <v>19</v>
      </c>
      <c r="C9579" t="s">
        <v>223</v>
      </c>
      <c r="D9579" t="s">
        <v>74</v>
      </c>
      <c r="E9579" t="s">
        <v>88</v>
      </c>
      <c r="F9579" s="55">
        <v>84</v>
      </c>
      <c r="G9579" s="63">
        <v>7.7299999999999994E-2</v>
      </c>
    </row>
    <row r="9580" spans="1:7" x14ac:dyDescent="0.2">
      <c r="A9580" t="s">
        <v>89</v>
      </c>
      <c r="B9580" t="s">
        <v>189</v>
      </c>
      <c r="C9580" t="s">
        <v>223</v>
      </c>
      <c r="D9580" t="s">
        <v>74</v>
      </c>
      <c r="E9580" t="s">
        <v>75</v>
      </c>
      <c r="F9580" s="55">
        <v>67</v>
      </c>
      <c r="G9580" s="63">
        <v>7.7600000000000002E-2</v>
      </c>
    </row>
    <row r="9581" spans="1:7" x14ac:dyDescent="0.2">
      <c r="A9581" t="s">
        <v>89</v>
      </c>
      <c r="B9581" t="s">
        <v>189</v>
      </c>
      <c r="C9581" t="s">
        <v>223</v>
      </c>
      <c r="D9581" t="s">
        <v>74</v>
      </c>
      <c r="E9581" t="s">
        <v>76</v>
      </c>
      <c r="F9581" s="55">
        <v>86</v>
      </c>
      <c r="G9581" s="63">
        <v>6.1999999999999998E-3</v>
      </c>
    </row>
    <row r="9582" spans="1:7" x14ac:dyDescent="0.2">
      <c r="A9582" t="s">
        <v>89</v>
      </c>
      <c r="B9582" t="s">
        <v>189</v>
      </c>
      <c r="C9582" t="s">
        <v>223</v>
      </c>
      <c r="D9582" t="s">
        <v>74</v>
      </c>
      <c r="E9582" t="s">
        <v>77</v>
      </c>
      <c r="F9582" s="55">
        <v>61</v>
      </c>
      <c r="G9582" s="63">
        <v>2.0400000000000001E-2</v>
      </c>
    </row>
    <row r="9583" spans="1:7" x14ac:dyDescent="0.2">
      <c r="A9583" t="s">
        <v>89</v>
      </c>
      <c r="B9583" t="s">
        <v>189</v>
      </c>
      <c r="C9583" t="s">
        <v>223</v>
      </c>
      <c r="D9583" t="s">
        <v>74</v>
      </c>
      <c r="E9583" t="s">
        <v>78</v>
      </c>
      <c r="F9583" s="55">
        <v>75</v>
      </c>
      <c r="G9583" s="63">
        <v>1.54E-2</v>
      </c>
    </row>
    <row r="9584" spans="1:7" x14ac:dyDescent="0.2">
      <c r="A9584" t="s">
        <v>89</v>
      </c>
      <c r="B9584" t="s">
        <v>189</v>
      </c>
      <c r="C9584" t="s">
        <v>223</v>
      </c>
      <c r="D9584" t="s">
        <v>74</v>
      </c>
      <c r="E9584" t="s">
        <v>79</v>
      </c>
      <c r="F9584" s="55">
        <v>65</v>
      </c>
      <c r="G9584" s="63">
        <v>4.4200000000000003E-2</v>
      </c>
    </row>
    <row r="9585" spans="1:7" x14ac:dyDescent="0.2">
      <c r="A9585" t="s">
        <v>89</v>
      </c>
      <c r="B9585" t="s">
        <v>189</v>
      </c>
      <c r="C9585" t="s">
        <v>223</v>
      </c>
      <c r="D9585" t="s">
        <v>74</v>
      </c>
      <c r="E9585" t="s">
        <v>80</v>
      </c>
      <c r="F9585" s="55">
        <v>60</v>
      </c>
      <c r="G9585" s="63">
        <v>2.5499999999999998E-2</v>
      </c>
    </row>
    <row r="9586" spans="1:7" x14ac:dyDescent="0.2">
      <c r="A9586" t="s">
        <v>89</v>
      </c>
      <c r="B9586" t="s">
        <v>189</v>
      </c>
      <c r="C9586" t="s">
        <v>223</v>
      </c>
      <c r="D9586" t="s">
        <v>74</v>
      </c>
      <c r="E9586" t="s">
        <v>81</v>
      </c>
      <c r="F9586" s="55">
        <v>60</v>
      </c>
      <c r="G9586" s="63">
        <v>2.35E-2</v>
      </c>
    </row>
    <row r="9587" spans="1:7" x14ac:dyDescent="0.2">
      <c r="A9587" t="s">
        <v>89</v>
      </c>
      <c r="B9587" t="s">
        <v>189</v>
      </c>
      <c r="C9587" t="s">
        <v>223</v>
      </c>
      <c r="D9587" t="s">
        <v>74</v>
      </c>
      <c r="E9587" t="s">
        <v>82</v>
      </c>
      <c r="F9587" s="55">
        <v>75</v>
      </c>
      <c r="G9587" s="63">
        <v>2.7E-2</v>
      </c>
    </row>
    <row r="9588" spans="1:7" x14ac:dyDescent="0.2">
      <c r="A9588" t="s">
        <v>89</v>
      </c>
      <c r="B9588" t="s">
        <v>189</v>
      </c>
      <c r="C9588" t="s">
        <v>223</v>
      </c>
      <c r="D9588" t="s">
        <v>74</v>
      </c>
      <c r="E9588" t="s">
        <v>83</v>
      </c>
      <c r="F9588" s="55">
        <v>64</v>
      </c>
      <c r="G9588" s="63">
        <v>6.3E-3</v>
      </c>
    </row>
    <row r="9589" spans="1:7" x14ac:dyDescent="0.2">
      <c r="A9589" t="s">
        <v>89</v>
      </c>
      <c r="B9589" t="s">
        <v>189</v>
      </c>
      <c r="C9589" t="s">
        <v>223</v>
      </c>
      <c r="D9589" t="s">
        <v>74</v>
      </c>
      <c r="E9589" t="s">
        <v>84</v>
      </c>
      <c r="F9589" s="55">
        <v>76</v>
      </c>
      <c r="G9589" s="63">
        <v>1.1599999999999999E-2</v>
      </c>
    </row>
    <row r="9590" spans="1:7" x14ac:dyDescent="0.2">
      <c r="A9590" t="s">
        <v>89</v>
      </c>
      <c r="B9590" t="s">
        <v>189</v>
      </c>
      <c r="C9590" t="s">
        <v>223</v>
      </c>
      <c r="D9590" t="s">
        <v>74</v>
      </c>
      <c r="E9590" t="s">
        <v>85</v>
      </c>
      <c r="F9590" s="55">
        <v>63</v>
      </c>
      <c r="G9590" s="63">
        <v>1.9599999999999999E-2</v>
      </c>
    </row>
    <row r="9591" spans="1:7" x14ac:dyDescent="0.2">
      <c r="A9591" t="s">
        <v>89</v>
      </c>
      <c r="B9591" t="s">
        <v>189</v>
      </c>
      <c r="C9591" t="s">
        <v>223</v>
      </c>
      <c r="D9591" t="s">
        <v>74</v>
      </c>
      <c r="E9591" t="s">
        <v>86</v>
      </c>
      <c r="F9591" s="55">
        <v>60</v>
      </c>
      <c r="G9591" s="63">
        <v>1.84E-2</v>
      </c>
    </row>
    <row r="9592" spans="1:7" x14ac:dyDescent="0.2">
      <c r="A9592" t="s">
        <v>89</v>
      </c>
      <c r="B9592" t="s">
        <v>189</v>
      </c>
      <c r="C9592" t="s">
        <v>223</v>
      </c>
      <c r="D9592" t="s">
        <v>74</v>
      </c>
      <c r="E9592" t="s">
        <v>87</v>
      </c>
      <c r="F9592" s="55">
        <v>62</v>
      </c>
      <c r="G9592" s="63">
        <v>1.6400000000000001E-2</v>
      </c>
    </row>
    <row r="9593" spans="1:7" x14ac:dyDescent="0.2">
      <c r="A9593" t="s">
        <v>89</v>
      </c>
      <c r="B9593" t="s">
        <v>189</v>
      </c>
      <c r="C9593" t="s">
        <v>223</v>
      </c>
      <c r="D9593" t="s">
        <v>74</v>
      </c>
      <c r="E9593" t="s">
        <v>88</v>
      </c>
      <c r="F9593" s="55">
        <v>82</v>
      </c>
      <c r="G9593" s="63">
        <v>1.09E-2</v>
      </c>
    </row>
    <row r="9594" spans="1:7" x14ac:dyDescent="0.2">
      <c r="A9594" t="s">
        <v>89</v>
      </c>
      <c r="B9594" t="s">
        <v>190</v>
      </c>
      <c r="C9594" t="s">
        <v>223</v>
      </c>
      <c r="D9594" t="s">
        <v>74</v>
      </c>
      <c r="E9594" t="s">
        <v>75</v>
      </c>
      <c r="F9594" s="55">
        <v>33</v>
      </c>
      <c r="G9594" s="63">
        <v>1.6199999999999999E-2</v>
      </c>
    </row>
    <row r="9595" spans="1:7" x14ac:dyDescent="0.2">
      <c r="A9595" t="s">
        <v>89</v>
      </c>
      <c r="B9595" t="s">
        <v>190</v>
      </c>
      <c r="C9595" t="s">
        <v>223</v>
      </c>
      <c r="D9595" t="s">
        <v>74</v>
      </c>
      <c r="E9595" t="s">
        <v>76</v>
      </c>
      <c r="F9595" s="55">
        <v>58</v>
      </c>
      <c r="G9595" s="63">
        <v>1.2999999999999999E-3</v>
      </c>
    </row>
    <row r="9596" spans="1:7" x14ac:dyDescent="0.2">
      <c r="A9596" t="s">
        <v>89</v>
      </c>
      <c r="B9596" t="s">
        <v>190</v>
      </c>
      <c r="C9596" t="s">
        <v>223</v>
      </c>
      <c r="D9596" t="s">
        <v>74</v>
      </c>
      <c r="E9596" t="s">
        <v>77</v>
      </c>
      <c r="F9596" s="55">
        <v>43</v>
      </c>
      <c r="G9596" s="63">
        <v>4.7999999999999996E-3</v>
      </c>
    </row>
    <row r="9597" spans="1:7" x14ac:dyDescent="0.2">
      <c r="A9597" t="s">
        <v>89</v>
      </c>
      <c r="B9597" t="s">
        <v>190</v>
      </c>
      <c r="C9597" t="s">
        <v>223</v>
      </c>
      <c r="D9597" t="s">
        <v>74</v>
      </c>
      <c r="E9597" t="s">
        <v>78</v>
      </c>
      <c r="F9597" s="55">
        <v>32</v>
      </c>
      <c r="G9597" s="63">
        <v>2.8999999999999998E-3</v>
      </c>
    </row>
    <row r="9598" spans="1:7" x14ac:dyDescent="0.2">
      <c r="A9598" t="s">
        <v>89</v>
      </c>
      <c r="B9598" t="s">
        <v>190</v>
      </c>
      <c r="C9598" t="s">
        <v>223</v>
      </c>
      <c r="D9598" t="s">
        <v>74</v>
      </c>
      <c r="E9598" t="s">
        <v>79</v>
      </c>
      <c r="F9598" s="55">
        <v>29</v>
      </c>
      <c r="G9598" s="63">
        <v>6.8999999999999999E-3</v>
      </c>
    </row>
    <row r="9599" spans="1:7" x14ac:dyDescent="0.2">
      <c r="A9599" t="s">
        <v>89</v>
      </c>
      <c r="B9599" t="s">
        <v>190</v>
      </c>
      <c r="C9599" t="s">
        <v>223</v>
      </c>
      <c r="D9599" t="s">
        <v>74</v>
      </c>
      <c r="E9599" t="s">
        <v>80</v>
      </c>
      <c r="F9599" s="55">
        <v>22</v>
      </c>
      <c r="G9599" s="63">
        <v>1.6000000000000001E-3</v>
      </c>
    </row>
    <row r="9600" spans="1:7" x14ac:dyDescent="0.2">
      <c r="A9600" t="s">
        <v>89</v>
      </c>
      <c r="B9600" t="s">
        <v>190</v>
      </c>
      <c r="C9600" t="s">
        <v>223</v>
      </c>
      <c r="D9600" t="s">
        <v>74</v>
      </c>
      <c r="E9600" t="s">
        <v>81</v>
      </c>
      <c r="F9600" s="55">
        <v>26</v>
      </c>
      <c r="G9600" s="63">
        <v>2E-3</v>
      </c>
    </row>
    <row r="9601" spans="1:7" x14ac:dyDescent="0.2">
      <c r="A9601" t="s">
        <v>89</v>
      </c>
      <c r="B9601" t="s">
        <v>190</v>
      </c>
      <c r="C9601" t="s">
        <v>223</v>
      </c>
      <c r="D9601" t="s">
        <v>74</v>
      </c>
      <c r="E9601" t="s">
        <v>82</v>
      </c>
      <c r="F9601" s="55">
        <v>28</v>
      </c>
      <c r="G9601" s="63">
        <v>4.8999999999999998E-3</v>
      </c>
    </row>
    <row r="9602" spans="1:7" x14ac:dyDescent="0.2">
      <c r="A9602" t="s">
        <v>89</v>
      </c>
      <c r="B9602" t="s">
        <v>190</v>
      </c>
      <c r="C9602" t="s">
        <v>223</v>
      </c>
      <c r="D9602" t="s">
        <v>74</v>
      </c>
      <c r="E9602" t="s">
        <v>84</v>
      </c>
      <c r="F9602" s="55">
        <v>36</v>
      </c>
      <c r="G9602" s="63">
        <v>2.3E-3</v>
      </c>
    </row>
    <row r="9603" spans="1:7" x14ac:dyDescent="0.2">
      <c r="A9603" t="s">
        <v>89</v>
      </c>
      <c r="B9603" t="s">
        <v>190</v>
      </c>
      <c r="C9603" t="s">
        <v>223</v>
      </c>
      <c r="D9603" t="s">
        <v>74</v>
      </c>
      <c r="E9603" t="s">
        <v>85</v>
      </c>
      <c r="F9603" s="55">
        <v>32</v>
      </c>
      <c r="G9603" s="63">
        <v>1.5E-3</v>
      </c>
    </row>
    <row r="9604" spans="1:7" x14ac:dyDescent="0.2">
      <c r="A9604" t="s">
        <v>89</v>
      </c>
      <c r="B9604" t="s">
        <v>190</v>
      </c>
      <c r="C9604" t="s">
        <v>223</v>
      </c>
      <c r="D9604" t="s">
        <v>74</v>
      </c>
      <c r="E9604" t="s">
        <v>86</v>
      </c>
      <c r="F9604" s="55">
        <v>34</v>
      </c>
      <c r="G9604" s="63">
        <v>2.3999999999999998E-3</v>
      </c>
    </row>
    <row r="9605" spans="1:7" x14ac:dyDescent="0.2">
      <c r="A9605" t="s">
        <v>89</v>
      </c>
      <c r="B9605" t="s">
        <v>190</v>
      </c>
      <c r="C9605" t="s">
        <v>223</v>
      </c>
      <c r="D9605" t="s">
        <v>74</v>
      </c>
      <c r="E9605" t="s">
        <v>87</v>
      </c>
      <c r="F9605" s="55">
        <v>29</v>
      </c>
      <c r="G9605" s="63">
        <v>2.7000000000000001E-3</v>
      </c>
    </row>
    <row r="9606" spans="1:7" x14ac:dyDescent="0.2">
      <c r="A9606" t="s">
        <v>89</v>
      </c>
      <c r="B9606" t="s">
        <v>190</v>
      </c>
      <c r="C9606" t="s">
        <v>223</v>
      </c>
      <c r="D9606" t="s">
        <v>74</v>
      </c>
      <c r="E9606" t="s">
        <v>88</v>
      </c>
      <c r="F9606" s="55">
        <v>52</v>
      </c>
      <c r="G9606" s="63">
        <v>2.0999999999999999E-3</v>
      </c>
    </row>
    <row r="9607" spans="1:7" x14ac:dyDescent="0.2">
      <c r="A9607" t="s">
        <v>89</v>
      </c>
      <c r="B9607" t="s">
        <v>191</v>
      </c>
      <c r="C9607" t="s">
        <v>223</v>
      </c>
      <c r="D9607" t="s">
        <v>91</v>
      </c>
      <c r="E9607" t="s">
        <v>75</v>
      </c>
      <c r="F9607" s="55">
        <v>83</v>
      </c>
      <c r="G9607" s="63">
        <v>0.37919999999999998</v>
      </c>
    </row>
    <row r="9608" spans="1:7" x14ac:dyDescent="0.2">
      <c r="A9608" t="s">
        <v>89</v>
      </c>
      <c r="B9608" t="s">
        <v>191</v>
      </c>
      <c r="C9608" t="s">
        <v>223</v>
      </c>
      <c r="D9608" t="s">
        <v>91</v>
      </c>
      <c r="E9608" t="s">
        <v>76</v>
      </c>
      <c r="F9608" s="55">
        <v>69</v>
      </c>
      <c r="G9608" s="63">
        <v>5.1200000000000002E-2</v>
      </c>
    </row>
    <row r="9609" spans="1:7" x14ac:dyDescent="0.2">
      <c r="A9609" t="s">
        <v>89</v>
      </c>
      <c r="B9609" t="s">
        <v>191</v>
      </c>
      <c r="C9609" t="s">
        <v>223</v>
      </c>
      <c r="D9609" t="s">
        <v>91</v>
      </c>
      <c r="E9609" t="s">
        <v>77</v>
      </c>
      <c r="F9609" s="55">
        <v>84</v>
      </c>
      <c r="G9609" s="63">
        <v>0.13600000000000001</v>
      </c>
    </row>
    <row r="9610" spans="1:7" x14ac:dyDescent="0.2">
      <c r="A9610" t="s">
        <v>89</v>
      </c>
      <c r="B9610" t="s">
        <v>191</v>
      </c>
      <c r="C9610" t="s">
        <v>223</v>
      </c>
      <c r="D9610" t="s">
        <v>91</v>
      </c>
      <c r="E9610" t="s">
        <v>78</v>
      </c>
      <c r="F9610" s="55">
        <v>68</v>
      </c>
      <c r="G9610" s="63">
        <v>0.1118</v>
      </c>
    </row>
    <row r="9611" spans="1:7" x14ac:dyDescent="0.2">
      <c r="A9611" t="s">
        <v>89</v>
      </c>
      <c r="B9611" t="s">
        <v>191</v>
      </c>
      <c r="C9611" t="s">
        <v>223</v>
      </c>
      <c r="D9611" t="s">
        <v>91</v>
      </c>
      <c r="E9611" t="s">
        <v>79</v>
      </c>
      <c r="F9611" s="55">
        <v>83</v>
      </c>
      <c r="G9611" s="63">
        <v>0.24529999999999999</v>
      </c>
    </row>
    <row r="9612" spans="1:7" x14ac:dyDescent="0.2">
      <c r="A9612" t="s">
        <v>89</v>
      </c>
      <c r="B9612" t="s">
        <v>191</v>
      </c>
      <c r="C9612" t="s">
        <v>223</v>
      </c>
      <c r="D9612" t="s">
        <v>91</v>
      </c>
      <c r="E9612" t="s">
        <v>80</v>
      </c>
      <c r="F9612" s="55">
        <v>84</v>
      </c>
      <c r="G9612" s="63">
        <v>4.3999999999999997E-2</v>
      </c>
    </row>
    <row r="9613" spans="1:7" x14ac:dyDescent="0.2">
      <c r="A9613" t="s">
        <v>89</v>
      </c>
      <c r="B9613" t="s">
        <v>191</v>
      </c>
      <c r="C9613" t="s">
        <v>223</v>
      </c>
      <c r="D9613" t="s">
        <v>91</v>
      </c>
      <c r="E9613" t="s">
        <v>81</v>
      </c>
      <c r="F9613" s="55">
        <v>80</v>
      </c>
      <c r="G9613" s="63">
        <v>5.57E-2</v>
      </c>
    </row>
    <row r="9614" spans="1:7" x14ac:dyDescent="0.2">
      <c r="A9614" t="s">
        <v>89</v>
      </c>
      <c r="B9614" t="s">
        <v>191</v>
      </c>
      <c r="C9614" t="s">
        <v>223</v>
      </c>
      <c r="D9614" t="s">
        <v>91</v>
      </c>
      <c r="E9614" t="s">
        <v>82</v>
      </c>
      <c r="F9614" s="55">
        <v>92</v>
      </c>
      <c r="G9614" s="63">
        <v>0.20580000000000001</v>
      </c>
    </row>
    <row r="9615" spans="1:7" x14ac:dyDescent="0.2">
      <c r="A9615" t="s">
        <v>89</v>
      </c>
      <c r="B9615" t="s">
        <v>191</v>
      </c>
      <c r="C9615" t="s">
        <v>223</v>
      </c>
      <c r="D9615" t="s">
        <v>91</v>
      </c>
      <c r="E9615" t="s">
        <v>83</v>
      </c>
      <c r="F9615" s="55">
        <v>67</v>
      </c>
      <c r="G9615" s="63">
        <v>0.03</v>
      </c>
    </row>
    <row r="9616" spans="1:7" x14ac:dyDescent="0.2">
      <c r="A9616" t="s">
        <v>89</v>
      </c>
      <c r="B9616" t="s">
        <v>191</v>
      </c>
      <c r="C9616" t="s">
        <v>223</v>
      </c>
      <c r="D9616" t="s">
        <v>91</v>
      </c>
      <c r="E9616" t="s">
        <v>84</v>
      </c>
      <c r="F9616" s="55">
        <v>69</v>
      </c>
      <c r="G9616" s="63">
        <v>8.4699999999999998E-2</v>
      </c>
    </row>
    <row r="9617" spans="1:7" x14ac:dyDescent="0.2">
      <c r="A9617" t="s">
        <v>89</v>
      </c>
      <c r="B9617" t="s">
        <v>191</v>
      </c>
      <c r="C9617" t="s">
        <v>223</v>
      </c>
      <c r="D9617" t="s">
        <v>91</v>
      </c>
      <c r="E9617" t="s">
        <v>85</v>
      </c>
      <c r="F9617" s="55">
        <v>83</v>
      </c>
      <c r="G9617" s="63">
        <v>5.4600000000000003E-2</v>
      </c>
    </row>
    <row r="9618" spans="1:7" x14ac:dyDescent="0.2">
      <c r="A9618" t="s">
        <v>89</v>
      </c>
      <c r="B9618" t="s">
        <v>191</v>
      </c>
      <c r="C9618" t="s">
        <v>223</v>
      </c>
      <c r="D9618" t="s">
        <v>91</v>
      </c>
      <c r="E9618" t="s">
        <v>86</v>
      </c>
      <c r="F9618" s="55">
        <v>88</v>
      </c>
      <c r="G9618" s="63">
        <v>9.8400000000000001E-2</v>
      </c>
    </row>
    <row r="9619" spans="1:7" x14ac:dyDescent="0.2">
      <c r="A9619" t="s">
        <v>89</v>
      </c>
      <c r="B9619" t="s">
        <v>191</v>
      </c>
      <c r="C9619" t="s">
        <v>223</v>
      </c>
      <c r="D9619" t="s">
        <v>91</v>
      </c>
      <c r="E9619" t="s">
        <v>87</v>
      </c>
      <c r="F9619" s="55">
        <v>87</v>
      </c>
      <c r="G9619" s="63">
        <v>0.1258</v>
      </c>
    </row>
    <row r="9620" spans="1:7" x14ac:dyDescent="0.2">
      <c r="A9620" t="s">
        <v>89</v>
      </c>
      <c r="B9620" t="s">
        <v>191</v>
      </c>
      <c r="C9620" t="s">
        <v>223</v>
      </c>
      <c r="D9620" t="s">
        <v>91</v>
      </c>
      <c r="E9620" t="s">
        <v>88</v>
      </c>
      <c r="F9620" s="55">
        <v>75</v>
      </c>
      <c r="G9620" s="63">
        <v>9.3600000000000003E-2</v>
      </c>
    </row>
    <row r="9621" spans="1:7" x14ac:dyDescent="0.2">
      <c r="A9621" t="s">
        <v>89</v>
      </c>
      <c r="B9621" t="s">
        <v>192</v>
      </c>
      <c r="C9621" t="s">
        <v>223</v>
      </c>
      <c r="D9621" t="s">
        <v>74</v>
      </c>
      <c r="E9621" t="s">
        <v>75</v>
      </c>
      <c r="F9621" s="55">
        <v>108</v>
      </c>
      <c r="G9621" s="63">
        <v>0.1288</v>
      </c>
    </row>
    <row r="9622" spans="1:7" x14ac:dyDescent="0.2">
      <c r="A9622" t="s">
        <v>89</v>
      </c>
      <c r="B9622" t="s">
        <v>192</v>
      </c>
      <c r="C9622" t="s">
        <v>223</v>
      </c>
      <c r="D9622" t="s">
        <v>74</v>
      </c>
      <c r="E9622" t="s">
        <v>76</v>
      </c>
      <c r="F9622" s="55">
        <v>93</v>
      </c>
      <c r="G9622" s="63">
        <v>1.01E-2</v>
      </c>
    </row>
    <row r="9623" spans="1:7" x14ac:dyDescent="0.2">
      <c r="A9623" t="s">
        <v>89</v>
      </c>
      <c r="B9623" t="s">
        <v>192</v>
      </c>
      <c r="C9623" t="s">
        <v>223</v>
      </c>
      <c r="D9623" t="s">
        <v>74</v>
      </c>
      <c r="E9623" t="s">
        <v>77</v>
      </c>
      <c r="F9623" s="55">
        <v>99</v>
      </c>
      <c r="G9623" s="63">
        <v>4.3700000000000003E-2</v>
      </c>
    </row>
    <row r="9624" spans="1:7" x14ac:dyDescent="0.2">
      <c r="A9624" t="s">
        <v>89</v>
      </c>
      <c r="B9624" t="s">
        <v>192</v>
      </c>
      <c r="C9624" t="s">
        <v>223</v>
      </c>
      <c r="D9624" t="s">
        <v>74</v>
      </c>
      <c r="E9624" t="s">
        <v>78</v>
      </c>
      <c r="F9624" s="55">
        <v>110</v>
      </c>
      <c r="G9624" s="63">
        <v>4.2900000000000001E-2</v>
      </c>
    </row>
    <row r="9625" spans="1:7" x14ac:dyDescent="0.2">
      <c r="A9625" t="s">
        <v>89</v>
      </c>
      <c r="B9625" t="s">
        <v>192</v>
      </c>
      <c r="C9625" t="s">
        <v>223</v>
      </c>
      <c r="D9625" t="s">
        <v>74</v>
      </c>
      <c r="E9625" t="s">
        <v>79</v>
      </c>
      <c r="F9625" s="55">
        <v>111</v>
      </c>
      <c r="G9625" s="63">
        <v>8.3199999999999996E-2</v>
      </c>
    </row>
    <row r="9626" spans="1:7" x14ac:dyDescent="0.2">
      <c r="A9626" t="s">
        <v>89</v>
      </c>
      <c r="B9626" t="s">
        <v>192</v>
      </c>
      <c r="C9626" t="s">
        <v>223</v>
      </c>
      <c r="D9626" t="s">
        <v>74</v>
      </c>
      <c r="E9626" t="s">
        <v>80</v>
      </c>
      <c r="F9626" s="55">
        <v>112</v>
      </c>
      <c r="G9626" s="63">
        <v>5.57E-2</v>
      </c>
    </row>
    <row r="9627" spans="1:7" x14ac:dyDescent="0.2">
      <c r="A9627" t="s">
        <v>89</v>
      </c>
      <c r="B9627" t="s">
        <v>192</v>
      </c>
      <c r="C9627" t="s">
        <v>223</v>
      </c>
      <c r="D9627" t="s">
        <v>74</v>
      </c>
      <c r="E9627" t="s">
        <v>81</v>
      </c>
      <c r="F9627" s="55">
        <v>108</v>
      </c>
      <c r="G9627" s="63">
        <v>5.0900000000000001E-2</v>
      </c>
    </row>
    <row r="9628" spans="1:7" x14ac:dyDescent="0.2">
      <c r="A9628" t="s">
        <v>89</v>
      </c>
      <c r="B9628" t="s">
        <v>192</v>
      </c>
      <c r="C9628" t="s">
        <v>223</v>
      </c>
      <c r="D9628" t="s">
        <v>74</v>
      </c>
      <c r="E9628" t="s">
        <v>82</v>
      </c>
      <c r="F9628" s="55">
        <v>103</v>
      </c>
      <c r="G9628" s="63">
        <v>5.2400000000000002E-2</v>
      </c>
    </row>
    <row r="9629" spans="1:7" x14ac:dyDescent="0.2">
      <c r="A9629" t="s">
        <v>89</v>
      </c>
      <c r="B9629" t="s">
        <v>192</v>
      </c>
      <c r="C9629" t="s">
        <v>223</v>
      </c>
      <c r="D9629" t="s">
        <v>74</v>
      </c>
      <c r="E9629" t="s">
        <v>83</v>
      </c>
      <c r="F9629" s="55">
        <v>94</v>
      </c>
      <c r="G9629" s="63">
        <v>1.1299999999999999E-2</v>
      </c>
    </row>
    <row r="9630" spans="1:7" x14ac:dyDescent="0.2">
      <c r="A9630" t="s">
        <v>89</v>
      </c>
      <c r="B9630" t="s">
        <v>192</v>
      </c>
      <c r="C9630" t="s">
        <v>223</v>
      </c>
      <c r="D9630" t="s">
        <v>74</v>
      </c>
      <c r="E9630" t="s">
        <v>84</v>
      </c>
      <c r="F9630" s="55">
        <v>105</v>
      </c>
      <c r="G9630" s="63">
        <v>3.5999999999999997E-2</v>
      </c>
    </row>
    <row r="9631" spans="1:7" x14ac:dyDescent="0.2">
      <c r="A9631" t="s">
        <v>89</v>
      </c>
      <c r="B9631" t="s">
        <v>192</v>
      </c>
      <c r="C9631" t="s">
        <v>223</v>
      </c>
      <c r="D9631" t="s">
        <v>74</v>
      </c>
      <c r="E9631" t="s">
        <v>85</v>
      </c>
      <c r="F9631" s="55">
        <v>110</v>
      </c>
      <c r="G9631" s="63">
        <v>5.0799999999999998E-2</v>
      </c>
    </row>
    <row r="9632" spans="1:7" x14ac:dyDescent="0.2">
      <c r="A9632" t="s">
        <v>89</v>
      </c>
      <c r="B9632" t="s">
        <v>192</v>
      </c>
      <c r="C9632" t="s">
        <v>223</v>
      </c>
      <c r="D9632" t="s">
        <v>74</v>
      </c>
      <c r="E9632" t="s">
        <v>86</v>
      </c>
      <c r="F9632" s="55">
        <v>112</v>
      </c>
      <c r="G9632" s="63">
        <v>4.65E-2</v>
      </c>
    </row>
    <row r="9633" spans="1:7" x14ac:dyDescent="0.2">
      <c r="A9633" t="s">
        <v>89</v>
      </c>
      <c r="B9633" t="s">
        <v>192</v>
      </c>
      <c r="C9633" t="s">
        <v>223</v>
      </c>
      <c r="D9633" t="s">
        <v>74</v>
      </c>
      <c r="E9633" t="s">
        <v>87</v>
      </c>
      <c r="F9633" s="55">
        <v>111</v>
      </c>
      <c r="G9633" s="63">
        <v>4.3400000000000001E-2</v>
      </c>
    </row>
    <row r="9634" spans="1:7" x14ac:dyDescent="0.2">
      <c r="A9634" t="s">
        <v>89</v>
      </c>
      <c r="B9634" t="s">
        <v>192</v>
      </c>
      <c r="C9634" t="s">
        <v>223</v>
      </c>
      <c r="D9634" t="s">
        <v>74</v>
      </c>
      <c r="E9634" t="s">
        <v>88</v>
      </c>
      <c r="F9634" s="55">
        <v>91</v>
      </c>
      <c r="G9634" s="63">
        <v>1.61E-2</v>
      </c>
    </row>
    <row r="9635" spans="1:7" x14ac:dyDescent="0.2">
      <c r="A9635" t="s">
        <v>71</v>
      </c>
      <c r="B9635" t="s">
        <v>20</v>
      </c>
      <c r="C9635" t="s">
        <v>223</v>
      </c>
      <c r="D9635" t="s">
        <v>74</v>
      </c>
      <c r="E9635" t="s">
        <v>75</v>
      </c>
      <c r="F9635" s="55">
        <v>102</v>
      </c>
      <c r="G9635" s="63">
        <v>0.48139999999999999</v>
      </c>
    </row>
    <row r="9636" spans="1:7" x14ac:dyDescent="0.2">
      <c r="A9636" t="s">
        <v>71</v>
      </c>
      <c r="B9636" t="s">
        <v>20</v>
      </c>
      <c r="C9636" t="s">
        <v>223</v>
      </c>
      <c r="D9636" t="s">
        <v>74</v>
      </c>
      <c r="E9636" t="s">
        <v>76</v>
      </c>
      <c r="F9636" s="55">
        <v>103</v>
      </c>
      <c r="G9636" s="63">
        <v>0.1358</v>
      </c>
    </row>
    <row r="9637" spans="1:7" x14ac:dyDescent="0.2">
      <c r="A9637" t="s">
        <v>71</v>
      </c>
      <c r="B9637" t="s">
        <v>20</v>
      </c>
      <c r="C9637" t="s">
        <v>223</v>
      </c>
      <c r="D9637" t="s">
        <v>74</v>
      </c>
      <c r="E9637" t="s">
        <v>77</v>
      </c>
      <c r="F9637" s="55">
        <v>106</v>
      </c>
      <c r="G9637" s="63">
        <v>0.2888</v>
      </c>
    </row>
    <row r="9638" spans="1:7" x14ac:dyDescent="0.2">
      <c r="A9638" t="s">
        <v>71</v>
      </c>
      <c r="B9638" t="s">
        <v>20</v>
      </c>
      <c r="C9638" t="s">
        <v>223</v>
      </c>
      <c r="D9638" t="s">
        <v>74</v>
      </c>
      <c r="E9638" t="s">
        <v>78</v>
      </c>
      <c r="F9638" s="55">
        <v>102</v>
      </c>
      <c r="G9638" s="63">
        <v>0.28110000000000002</v>
      </c>
    </row>
    <row r="9639" spans="1:7" x14ac:dyDescent="0.2">
      <c r="A9639" t="s">
        <v>71</v>
      </c>
      <c r="B9639" t="s">
        <v>20</v>
      </c>
      <c r="C9639" t="s">
        <v>223</v>
      </c>
      <c r="D9639" t="s">
        <v>74</v>
      </c>
      <c r="E9639" t="s">
        <v>79</v>
      </c>
      <c r="F9639" s="55">
        <v>100</v>
      </c>
      <c r="G9639" s="63">
        <v>0.35970000000000002</v>
      </c>
    </row>
    <row r="9640" spans="1:7" x14ac:dyDescent="0.2">
      <c r="A9640" t="s">
        <v>71</v>
      </c>
      <c r="B9640" t="s">
        <v>20</v>
      </c>
      <c r="C9640" t="s">
        <v>223</v>
      </c>
      <c r="D9640" t="s">
        <v>74</v>
      </c>
      <c r="E9640" t="s">
        <v>80</v>
      </c>
      <c r="F9640" s="55">
        <v>98</v>
      </c>
      <c r="G9640" s="63">
        <v>0.1002</v>
      </c>
    </row>
    <row r="9641" spans="1:7" x14ac:dyDescent="0.2">
      <c r="A9641" t="s">
        <v>71</v>
      </c>
      <c r="B9641" t="s">
        <v>20</v>
      </c>
      <c r="C9641" t="s">
        <v>223</v>
      </c>
      <c r="D9641" t="s">
        <v>74</v>
      </c>
      <c r="E9641" t="s">
        <v>81</v>
      </c>
      <c r="F9641" s="55">
        <v>98</v>
      </c>
      <c r="G9641" s="63">
        <v>0.12559999999999999</v>
      </c>
    </row>
    <row r="9642" spans="1:7" x14ac:dyDescent="0.2">
      <c r="A9642" t="s">
        <v>71</v>
      </c>
      <c r="B9642" t="s">
        <v>20</v>
      </c>
      <c r="C9642" t="s">
        <v>223</v>
      </c>
      <c r="D9642" t="s">
        <v>74</v>
      </c>
      <c r="E9642" t="s">
        <v>82</v>
      </c>
      <c r="F9642" s="55">
        <v>102</v>
      </c>
      <c r="G9642" s="63">
        <v>0.33750000000000002</v>
      </c>
    </row>
    <row r="9643" spans="1:7" x14ac:dyDescent="0.2">
      <c r="A9643" t="s">
        <v>71</v>
      </c>
      <c r="B9643" t="s">
        <v>20</v>
      </c>
      <c r="C9643" t="s">
        <v>223</v>
      </c>
      <c r="D9643" t="s">
        <v>74</v>
      </c>
      <c r="E9643" t="s">
        <v>83</v>
      </c>
      <c r="F9643" s="55">
        <v>101</v>
      </c>
      <c r="G9643" s="63">
        <v>8.2500000000000004E-2</v>
      </c>
    </row>
    <row r="9644" spans="1:7" x14ac:dyDescent="0.2">
      <c r="A9644" t="s">
        <v>71</v>
      </c>
      <c r="B9644" t="s">
        <v>20</v>
      </c>
      <c r="C9644" t="s">
        <v>223</v>
      </c>
      <c r="D9644" t="s">
        <v>74</v>
      </c>
      <c r="E9644" t="s">
        <v>84</v>
      </c>
      <c r="F9644" s="55">
        <v>103</v>
      </c>
      <c r="G9644" s="63">
        <v>0.2407</v>
      </c>
    </row>
    <row r="9645" spans="1:7" x14ac:dyDescent="0.2">
      <c r="A9645" t="s">
        <v>71</v>
      </c>
      <c r="B9645" t="s">
        <v>20</v>
      </c>
      <c r="C9645" t="s">
        <v>223</v>
      </c>
      <c r="D9645" t="s">
        <v>74</v>
      </c>
      <c r="E9645" t="s">
        <v>85</v>
      </c>
      <c r="F9645" s="55">
        <v>98</v>
      </c>
      <c r="G9645" s="63">
        <v>0.1384</v>
      </c>
    </row>
    <row r="9646" spans="1:7" x14ac:dyDescent="0.2">
      <c r="A9646" t="s">
        <v>71</v>
      </c>
      <c r="B9646" t="s">
        <v>20</v>
      </c>
      <c r="C9646" t="s">
        <v>223</v>
      </c>
      <c r="D9646" t="s">
        <v>74</v>
      </c>
      <c r="E9646" t="s">
        <v>86</v>
      </c>
      <c r="F9646" s="55">
        <v>98</v>
      </c>
      <c r="G9646" s="63">
        <v>0.19289999999999999</v>
      </c>
    </row>
    <row r="9647" spans="1:7" x14ac:dyDescent="0.2">
      <c r="A9647" t="s">
        <v>71</v>
      </c>
      <c r="B9647" t="s">
        <v>20</v>
      </c>
      <c r="C9647" t="s">
        <v>223</v>
      </c>
      <c r="D9647" t="s">
        <v>74</v>
      </c>
      <c r="E9647" t="s">
        <v>87</v>
      </c>
      <c r="F9647" s="55">
        <v>100</v>
      </c>
      <c r="G9647" s="63">
        <v>0.2361</v>
      </c>
    </row>
    <row r="9648" spans="1:7" x14ac:dyDescent="0.2">
      <c r="A9648" t="s">
        <v>71</v>
      </c>
      <c r="B9648" t="s">
        <v>20</v>
      </c>
      <c r="C9648" t="s">
        <v>223</v>
      </c>
      <c r="D9648" t="s">
        <v>74</v>
      </c>
      <c r="E9648" t="s">
        <v>88</v>
      </c>
      <c r="F9648" s="55">
        <v>101</v>
      </c>
      <c r="G9648" s="63">
        <v>0.18759999999999999</v>
      </c>
    </row>
    <row r="9649" spans="1:7" x14ac:dyDescent="0.2">
      <c r="A9649" t="s">
        <v>71</v>
      </c>
      <c r="B9649" t="s">
        <v>193</v>
      </c>
      <c r="C9649" t="s">
        <v>223</v>
      </c>
      <c r="D9649" t="s">
        <v>74</v>
      </c>
      <c r="E9649" t="s">
        <v>75</v>
      </c>
      <c r="F9649" s="55">
        <v>74</v>
      </c>
      <c r="G9649" s="63">
        <v>0.14280000000000001</v>
      </c>
    </row>
    <row r="9650" spans="1:7" x14ac:dyDescent="0.2">
      <c r="A9650" t="s">
        <v>71</v>
      </c>
      <c r="B9650" t="s">
        <v>193</v>
      </c>
      <c r="C9650" t="s">
        <v>223</v>
      </c>
      <c r="D9650" t="s">
        <v>74</v>
      </c>
      <c r="E9650" t="s">
        <v>76</v>
      </c>
      <c r="F9650" s="55">
        <v>70</v>
      </c>
      <c r="G9650" s="63">
        <v>9.9000000000000008E-3</v>
      </c>
    </row>
    <row r="9651" spans="1:7" x14ac:dyDescent="0.2">
      <c r="A9651" t="s">
        <v>71</v>
      </c>
      <c r="B9651" t="s">
        <v>193</v>
      </c>
      <c r="C9651" t="s">
        <v>223</v>
      </c>
      <c r="D9651" t="s">
        <v>74</v>
      </c>
      <c r="E9651" t="s">
        <v>77</v>
      </c>
      <c r="F9651" s="55">
        <v>54</v>
      </c>
      <c r="G9651" s="63">
        <v>3.3599999999999998E-2</v>
      </c>
    </row>
    <row r="9652" spans="1:7" x14ac:dyDescent="0.2">
      <c r="A9652" t="s">
        <v>71</v>
      </c>
      <c r="B9652" t="s">
        <v>193</v>
      </c>
      <c r="C9652" t="s">
        <v>223</v>
      </c>
      <c r="D9652" t="s">
        <v>74</v>
      </c>
      <c r="E9652" t="s">
        <v>78</v>
      </c>
      <c r="F9652" s="55">
        <v>60</v>
      </c>
      <c r="G9652" s="63">
        <v>3.0099999999999998E-2</v>
      </c>
    </row>
    <row r="9653" spans="1:7" x14ac:dyDescent="0.2">
      <c r="A9653" t="s">
        <v>71</v>
      </c>
      <c r="B9653" t="s">
        <v>193</v>
      </c>
      <c r="C9653" t="s">
        <v>223</v>
      </c>
      <c r="D9653" t="s">
        <v>74</v>
      </c>
      <c r="E9653" t="s">
        <v>79</v>
      </c>
      <c r="F9653" s="55">
        <v>79</v>
      </c>
      <c r="G9653" s="63">
        <v>9.4899999999999998E-2</v>
      </c>
    </row>
    <row r="9654" spans="1:7" x14ac:dyDescent="0.2">
      <c r="A9654" t="s">
        <v>71</v>
      </c>
      <c r="B9654" t="s">
        <v>193</v>
      </c>
      <c r="C9654" t="s">
        <v>223</v>
      </c>
      <c r="D9654" t="s">
        <v>74</v>
      </c>
      <c r="E9654" t="s">
        <v>80</v>
      </c>
      <c r="F9654" s="55">
        <v>80</v>
      </c>
      <c r="G9654" s="63">
        <v>1.9900000000000001E-2</v>
      </c>
    </row>
    <row r="9655" spans="1:7" x14ac:dyDescent="0.2">
      <c r="A9655" t="s">
        <v>71</v>
      </c>
      <c r="B9655" t="s">
        <v>193</v>
      </c>
      <c r="C9655" t="s">
        <v>223</v>
      </c>
      <c r="D9655" t="s">
        <v>74</v>
      </c>
      <c r="E9655" t="s">
        <v>81</v>
      </c>
      <c r="F9655" s="55">
        <v>80</v>
      </c>
      <c r="G9655" s="63">
        <v>2.01E-2</v>
      </c>
    </row>
    <row r="9656" spans="1:7" x14ac:dyDescent="0.2">
      <c r="A9656" t="s">
        <v>71</v>
      </c>
      <c r="B9656" t="s">
        <v>193</v>
      </c>
      <c r="C9656" t="s">
        <v>223</v>
      </c>
      <c r="D9656" t="s">
        <v>74</v>
      </c>
      <c r="E9656" t="s">
        <v>82</v>
      </c>
      <c r="F9656" s="55">
        <v>70</v>
      </c>
      <c r="G9656" s="63">
        <v>5.7799999999999997E-2</v>
      </c>
    </row>
    <row r="9657" spans="1:7" x14ac:dyDescent="0.2">
      <c r="A9657" t="s">
        <v>71</v>
      </c>
      <c r="B9657" t="s">
        <v>193</v>
      </c>
      <c r="C9657" t="s">
        <v>223</v>
      </c>
      <c r="D9657" t="s">
        <v>74</v>
      </c>
      <c r="E9657" t="s">
        <v>83</v>
      </c>
      <c r="F9657" s="55">
        <v>87</v>
      </c>
      <c r="G9657" s="63">
        <v>7.6E-3</v>
      </c>
    </row>
    <row r="9658" spans="1:7" x14ac:dyDescent="0.2">
      <c r="A9658" t="s">
        <v>71</v>
      </c>
      <c r="B9658" t="s">
        <v>193</v>
      </c>
      <c r="C9658" t="s">
        <v>223</v>
      </c>
      <c r="D9658" t="s">
        <v>74</v>
      </c>
      <c r="E9658" t="s">
        <v>84</v>
      </c>
      <c r="F9658" s="55">
        <v>56</v>
      </c>
      <c r="G9658" s="63">
        <v>2.0199999999999999E-2</v>
      </c>
    </row>
    <row r="9659" spans="1:7" x14ac:dyDescent="0.2">
      <c r="A9659" t="s">
        <v>71</v>
      </c>
      <c r="B9659" t="s">
        <v>193</v>
      </c>
      <c r="C9659" t="s">
        <v>223</v>
      </c>
      <c r="D9659" t="s">
        <v>74</v>
      </c>
      <c r="E9659" t="s">
        <v>85</v>
      </c>
      <c r="F9659" s="55">
        <v>80</v>
      </c>
      <c r="G9659" s="63">
        <v>2.5899999999999999E-2</v>
      </c>
    </row>
    <row r="9660" spans="1:7" x14ac:dyDescent="0.2">
      <c r="A9660" t="s">
        <v>71</v>
      </c>
      <c r="B9660" t="s">
        <v>193</v>
      </c>
      <c r="C9660" t="s">
        <v>223</v>
      </c>
      <c r="D9660" t="s">
        <v>74</v>
      </c>
      <c r="E9660" t="s">
        <v>86</v>
      </c>
      <c r="F9660" s="55">
        <v>79</v>
      </c>
      <c r="G9660" s="63">
        <v>3.78E-2</v>
      </c>
    </row>
    <row r="9661" spans="1:7" x14ac:dyDescent="0.2">
      <c r="A9661" t="s">
        <v>71</v>
      </c>
      <c r="B9661" t="s">
        <v>193</v>
      </c>
      <c r="C9661" t="s">
        <v>223</v>
      </c>
      <c r="D9661" t="s">
        <v>74</v>
      </c>
      <c r="E9661" t="s">
        <v>87</v>
      </c>
      <c r="F9661" s="55">
        <v>82</v>
      </c>
      <c r="G9661" s="63">
        <v>4.5400000000000003E-2</v>
      </c>
    </row>
    <row r="9662" spans="1:7" x14ac:dyDescent="0.2">
      <c r="A9662" t="s">
        <v>71</v>
      </c>
      <c r="B9662" t="s">
        <v>193</v>
      </c>
      <c r="C9662" t="s">
        <v>223</v>
      </c>
      <c r="D9662" t="s">
        <v>74</v>
      </c>
      <c r="E9662" t="s">
        <v>88</v>
      </c>
      <c r="F9662" s="55">
        <v>68</v>
      </c>
      <c r="G9662" s="63">
        <v>1.67E-2</v>
      </c>
    </row>
    <row r="9663" spans="1:7" x14ac:dyDescent="0.2">
      <c r="A9663" t="s">
        <v>89</v>
      </c>
      <c r="B9663" t="s">
        <v>194</v>
      </c>
      <c r="C9663" t="s">
        <v>223</v>
      </c>
      <c r="D9663" t="s">
        <v>74</v>
      </c>
      <c r="E9663" t="s">
        <v>75</v>
      </c>
      <c r="F9663" s="55">
        <v>111</v>
      </c>
      <c r="G9663" s="63">
        <v>2E-3</v>
      </c>
    </row>
    <row r="9664" spans="1:7" x14ac:dyDescent="0.2">
      <c r="A9664" t="s">
        <v>71</v>
      </c>
      <c r="B9664" t="s">
        <v>195</v>
      </c>
      <c r="C9664" t="s">
        <v>223</v>
      </c>
      <c r="D9664" t="s">
        <v>74</v>
      </c>
      <c r="E9664" t="s">
        <v>75</v>
      </c>
      <c r="F9664" s="55">
        <v>102</v>
      </c>
      <c r="G9664" s="63">
        <v>0.1736</v>
      </c>
    </row>
    <row r="9665" spans="1:7" x14ac:dyDescent="0.2">
      <c r="A9665" t="s">
        <v>71</v>
      </c>
      <c r="B9665" t="s">
        <v>195</v>
      </c>
      <c r="C9665" t="s">
        <v>223</v>
      </c>
      <c r="D9665" t="s">
        <v>74</v>
      </c>
      <c r="E9665" t="s">
        <v>76</v>
      </c>
      <c r="F9665" s="55">
        <v>94</v>
      </c>
      <c r="G9665" s="63">
        <v>2.2700000000000001E-2</v>
      </c>
    </row>
    <row r="9666" spans="1:7" x14ac:dyDescent="0.2">
      <c r="A9666" t="s">
        <v>71</v>
      </c>
      <c r="B9666" t="s">
        <v>195</v>
      </c>
      <c r="C9666" t="s">
        <v>223</v>
      </c>
      <c r="D9666" t="s">
        <v>74</v>
      </c>
      <c r="E9666" t="s">
        <v>77</v>
      </c>
      <c r="F9666" s="55">
        <v>106</v>
      </c>
      <c r="G9666" s="63">
        <v>7.7299999999999994E-2</v>
      </c>
    </row>
    <row r="9667" spans="1:7" x14ac:dyDescent="0.2">
      <c r="A9667" t="s">
        <v>71</v>
      </c>
      <c r="B9667" t="s">
        <v>195</v>
      </c>
      <c r="C9667" t="s">
        <v>223</v>
      </c>
      <c r="D9667" t="s">
        <v>74</v>
      </c>
      <c r="E9667" t="s">
        <v>78</v>
      </c>
      <c r="F9667" s="55">
        <v>103</v>
      </c>
      <c r="G9667" s="63">
        <v>7.3499999999999996E-2</v>
      </c>
    </row>
    <row r="9668" spans="1:7" x14ac:dyDescent="0.2">
      <c r="A9668" t="s">
        <v>71</v>
      </c>
      <c r="B9668" t="s">
        <v>195</v>
      </c>
      <c r="C9668" t="s">
        <v>223</v>
      </c>
      <c r="D9668" t="s">
        <v>74</v>
      </c>
      <c r="E9668" t="s">
        <v>79</v>
      </c>
      <c r="F9668" s="55">
        <v>100</v>
      </c>
      <c r="G9668" s="63">
        <v>0.11409999999999999</v>
      </c>
    </row>
    <row r="9669" spans="1:7" x14ac:dyDescent="0.2">
      <c r="A9669" t="s">
        <v>71</v>
      </c>
      <c r="B9669" t="s">
        <v>195</v>
      </c>
      <c r="C9669" t="s">
        <v>223</v>
      </c>
      <c r="D9669" t="s">
        <v>74</v>
      </c>
      <c r="E9669" t="s">
        <v>80</v>
      </c>
      <c r="F9669" s="55">
        <v>97</v>
      </c>
      <c r="G9669" s="63">
        <v>0.03</v>
      </c>
    </row>
    <row r="9670" spans="1:7" x14ac:dyDescent="0.2">
      <c r="A9670" t="s">
        <v>71</v>
      </c>
      <c r="B9670" t="s">
        <v>195</v>
      </c>
      <c r="C9670" t="s">
        <v>223</v>
      </c>
      <c r="D9670" t="s">
        <v>74</v>
      </c>
      <c r="E9670" t="s">
        <v>81</v>
      </c>
      <c r="F9670" s="55">
        <v>94</v>
      </c>
      <c r="G9670" s="63">
        <v>3.0800000000000001E-2</v>
      </c>
    </row>
    <row r="9671" spans="1:7" x14ac:dyDescent="0.2">
      <c r="A9671" t="s">
        <v>71</v>
      </c>
      <c r="B9671" t="s">
        <v>195</v>
      </c>
      <c r="C9671" t="s">
        <v>223</v>
      </c>
      <c r="D9671" t="s">
        <v>74</v>
      </c>
      <c r="E9671" t="s">
        <v>82</v>
      </c>
      <c r="F9671" s="55">
        <v>102</v>
      </c>
      <c r="G9671" s="63">
        <v>8.4000000000000005E-2</v>
      </c>
    </row>
    <row r="9672" spans="1:7" x14ac:dyDescent="0.2">
      <c r="A9672" t="s">
        <v>71</v>
      </c>
      <c r="B9672" t="s">
        <v>195</v>
      </c>
      <c r="C9672" t="s">
        <v>223</v>
      </c>
      <c r="D9672" t="s">
        <v>74</v>
      </c>
      <c r="E9672" t="s">
        <v>83</v>
      </c>
      <c r="F9672" s="55">
        <v>101</v>
      </c>
      <c r="G9672" s="63">
        <v>1.44E-2</v>
      </c>
    </row>
    <row r="9673" spans="1:7" x14ac:dyDescent="0.2">
      <c r="A9673" t="s">
        <v>71</v>
      </c>
      <c r="B9673" t="s">
        <v>195</v>
      </c>
      <c r="C9673" t="s">
        <v>223</v>
      </c>
      <c r="D9673" t="s">
        <v>74</v>
      </c>
      <c r="E9673" t="s">
        <v>84</v>
      </c>
      <c r="F9673" s="55">
        <v>104</v>
      </c>
      <c r="G9673" s="63">
        <v>5.8500000000000003E-2</v>
      </c>
    </row>
    <row r="9674" spans="1:7" x14ac:dyDescent="0.2">
      <c r="A9674" t="s">
        <v>71</v>
      </c>
      <c r="B9674" t="s">
        <v>195</v>
      </c>
      <c r="C9674" t="s">
        <v>223</v>
      </c>
      <c r="D9674" t="s">
        <v>74</v>
      </c>
      <c r="E9674" t="s">
        <v>85</v>
      </c>
      <c r="F9674" s="55">
        <v>98</v>
      </c>
      <c r="G9674" s="63">
        <v>3.6499999999999998E-2</v>
      </c>
    </row>
    <row r="9675" spans="1:7" x14ac:dyDescent="0.2">
      <c r="A9675" t="s">
        <v>71</v>
      </c>
      <c r="B9675" t="s">
        <v>195</v>
      </c>
      <c r="C9675" t="s">
        <v>223</v>
      </c>
      <c r="D9675" t="s">
        <v>74</v>
      </c>
      <c r="E9675" t="s">
        <v>86</v>
      </c>
      <c r="F9675" s="55">
        <v>99</v>
      </c>
      <c r="G9675" s="63">
        <v>5.3699999999999998E-2</v>
      </c>
    </row>
    <row r="9676" spans="1:7" x14ac:dyDescent="0.2">
      <c r="A9676" t="s">
        <v>71</v>
      </c>
      <c r="B9676" t="s">
        <v>195</v>
      </c>
      <c r="C9676" t="s">
        <v>223</v>
      </c>
      <c r="D9676" t="s">
        <v>74</v>
      </c>
      <c r="E9676" t="s">
        <v>87</v>
      </c>
      <c r="F9676" s="55">
        <v>101</v>
      </c>
      <c r="G9676" s="63">
        <v>6.3500000000000001E-2</v>
      </c>
    </row>
    <row r="9677" spans="1:7" x14ac:dyDescent="0.2">
      <c r="A9677" t="s">
        <v>71</v>
      </c>
      <c r="B9677" t="s">
        <v>195</v>
      </c>
      <c r="C9677" t="s">
        <v>223</v>
      </c>
      <c r="D9677" t="s">
        <v>74</v>
      </c>
      <c r="E9677" t="s">
        <v>88</v>
      </c>
      <c r="F9677" s="55">
        <v>94</v>
      </c>
      <c r="G9677" s="63">
        <v>3.7600000000000001E-2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B6CC57-67BF-4755-8F64-13EA41CF4FCC}">
  <sheetPr codeName="Sheet7">
    <tabColor rgb="FFFFFF00"/>
  </sheetPr>
  <dimension ref="A1:C14"/>
  <sheetViews>
    <sheetView showGridLines="0" workbookViewId="0">
      <selection activeCell="G10" sqref="A1:XFD1048576"/>
    </sheetView>
  </sheetViews>
  <sheetFormatPr defaultColWidth="11" defaultRowHeight="12.75" x14ac:dyDescent="0.2"/>
  <sheetData>
    <row r="1" spans="1:3" x14ac:dyDescent="0.2">
      <c r="A1" t="s">
        <v>58</v>
      </c>
    </row>
    <row r="2" spans="1:3" x14ac:dyDescent="0.2">
      <c r="A2" t="s">
        <v>59</v>
      </c>
      <c r="B2" t="s">
        <v>60</v>
      </c>
    </row>
    <row r="3" spans="1:3" x14ac:dyDescent="0.2">
      <c r="A3" t="s">
        <v>61</v>
      </c>
      <c r="B3" t="s">
        <v>62</v>
      </c>
    </row>
    <row r="4" spans="1:3" x14ac:dyDescent="0.2">
      <c r="A4" t="s">
        <v>63</v>
      </c>
      <c r="B4" t="s">
        <v>64</v>
      </c>
    </row>
    <row r="5" spans="1:3" x14ac:dyDescent="0.2">
      <c r="A5" t="s">
        <v>65</v>
      </c>
      <c r="B5" t="s">
        <v>66</v>
      </c>
    </row>
    <row r="8" spans="1:3" x14ac:dyDescent="0.2">
      <c r="A8" t="s">
        <v>225</v>
      </c>
      <c r="B8" t="s">
        <v>74</v>
      </c>
      <c r="C8" t="s">
        <v>91</v>
      </c>
    </row>
    <row r="9" spans="1:3" x14ac:dyDescent="0.2">
      <c r="A9" t="s">
        <v>226</v>
      </c>
      <c r="B9" s="64">
        <v>0.57999999999999996</v>
      </c>
      <c r="C9" s="64">
        <v>0.42</v>
      </c>
    </row>
    <row r="10" spans="1:3" x14ac:dyDescent="0.2">
      <c r="A10" t="s">
        <v>227</v>
      </c>
      <c r="B10" s="64">
        <v>0.63</v>
      </c>
      <c r="C10" s="64">
        <v>0.37</v>
      </c>
    </row>
    <row r="11" spans="1:3" x14ac:dyDescent="0.2">
      <c r="A11" t="s">
        <v>228</v>
      </c>
      <c r="B11" s="64">
        <v>0.61</v>
      </c>
      <c r="C11" s="64">
        <v>0.39</v>
      </c>
    </row>
    <row r="12" spans="1:3" x14ac:dyDescent="0.2">
      <c r="A12" t="s">
        <v>197</v>
      </c>
      <c r="B12" s="64">
        <v>0.65</v>
      </c>
      <c r="C12" s="64">
        <v>0.35</v>
      </c>
    </row>
    <row r="13" spans="1:3" x14ac:dyDescent="0.2">
      <c r="A13" t="s">
        <v>229</v>
      </c>
      <c r="B13" s="64">
        <v>0.62</v>
      </c>
      <c r="C13" s="64">
        <v>0.38</v>
      </c>
    </row>
    <row r="14" spans="1:3" x14ac:dyDescent="0.2">
      <c r="A14" t="s">
        <v>230</v>
      </c>
      <c r="B14" s="64">
        <v>0.68</v>
      </c>
      <c r="C14" s="64">
        <v>0.32</v>
      </c>
    </row>
  </sheetData>
  <dataValidations count="1">
    <dataValidation type="list" allowBlank="1" showInputMessage="1" showErrorMessage="1" sqref="F9" xr:uid="{00000000-0002-0000-0600-000000000000}">
      <formula1>$A$9:$A$45</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C7FFC-9815-4E0B-ADBD-C60C4FE43033}">
  <sheetPr codeName="Sheet8">
    <tabColor rgb="FFFFFF00"/>
  </sheetPr>
  <dimension ref="A1:G14"/>
  <sheetViews>
    <sheetView showGridLines="0" topLeftCell="A8" workbookViewId="0">
      <selection activeCell="F18" sqref="A1:XFD1048576"/>
    </sheetView>
  </sheetViews>
  <sheetFormatPr defaultColWidth="11" defaultRowHeight="12.75" x14ac:dyDescent="0.2"/>
  <sheetData>
    <row r="1" spans="1:7" x14ac:dyDescent="0.2">
      <c r="A1" t="s">
        <v>58</v>
      </c>
    </row>
    <row r="2" spans="1:7" x14ac:dyDescent="0.2">
      <c r="A2" t="s">
        <v>59</v>
      </c>
      <c r="B2" t="s">
        <v>60</v>
      </c>
    </row>
    <row r="3" spans="1:7" x14ac:dyDescent="0.2">
      <c r="A3" t="s">
        <v>61</v>
      </c>
      <c r="B3" t="s">
        <v>62</v>
      </c>
    </row>
    <row r="4" spans="1:7" x14ac:dyDescent="0.2">
      <c r="A4" t="s">
        <v>63</v>
      </c>
      <c r="B4" t="s">
        <v>64</v>
      </c>
    </row>
    <row r="5" spans="1:7" x14ac:dyDescent="0.2">
      <c r="A5" t="s">
        <v>65</v>
      </c>
      <c r="B5" t="s">
        <v>66</v>
      </c>
    </row>
    <row r="8" spans="1:7" x14ac:dyDescent="0.2">
      <c r="A8" t="s">
        <v>231</v>
      </c>
      <c r="B8" t="s">
        <v>232</v>
      </c>
      <c r="C8" t="s">
        <v>233</v>
      </c>
      <c r="D8" t="s">
        <v>234</v>
      </c>
      <c r="E8" t="s">
        <v>235</v>
      </c>
      <c r="F8" t="s">
        <v>236</v>
      </c>
      <c r="G8" t="s">
        <v>237</v>
      </c>
    </row>
    <row r="9" spans="1:7" x14ac:dyDescent="0.2">
      <c r="A9" t="s">
        <v>226</v>
      </c>
      <c r="B9" s="64">
        <v>7.4046571088826021E-2</v>
      </c>
      <c r="C9" s="64">
        <v>0.19649507465902871</v>
      </c>
      <c r="D9" s="64">
        <v>0.12467928942717872</v>
      </c>
      <c r="E9" s="64">
        <v>0.37318414927551874</v>
      </c>
      <c r="F9" s="64">
        <v>6.3101292904168202E-2</v>
      </c>
      <c r="G9" s="64">
        <v>0.16849362264527956</v>
      </c>
    </row>
    <row r="10" spans="1:7" x14ac:dyDescent="0.2">
      <c r="A10" t="s">
        <v>227</v>
      </c>
      <c r="B10" s="64">
        <v>0.10979843813076827</v>
      </c>
      <c r="C10" s="64">
        <v>0.19874025650725127</v>
      </c>
      <c r="D10" s="64">
        <v>0.1208491543074819</v>
      </c>
      <c r="E10" s="64">
        <v>0.3271948471712573</v>
      </c>
      <c r="F10" s="64">
        <v>6.9199566916639116E-2</v>
      </c>
      <c r="G10" s="64">
        <v>0.17421773696660214</v>
      </c>
    </row>
    <row r="11" spans="1:7" x14ac:dyDescent="0.2">
      <c r="A11" t="s">
        <v>228</v>
      </c>
      <c r="B11" s="64">
        <v>8.6304008739710905E-2</v>
      </c>
      <c r="C11" s="64">
        <v>0.21163614903728156</v>
      </c>
      <c r="D11" s="64">
        <v>0.13824400043888707</v>
      </c>
      <c r="E11" s="64">
        <v>0.33258111110966282</v>
      </c>
      <c r="F11" s="64">
        <v>5.7046938222042667E-2</v>
      </c>
      <c r="G11" s="64">
        <v>0.17418779245241497</v>
      </c>
    </row>
    <row r="12" spans="1:7" x14ac:dyDescent="0.2">
      <c r="A12" t="s">
        <v>197</v>
      </c>
      <c r="B12" s="64">
        <v>8.333338086393316E-2</v>
      </c>
      <c r="C12" s="64">
        <v>0.21495401482233004</v>
      </c>
      <c r="D12" s="64">
        <v>0.11949798176696448</v>
      </c>
      <c r="E12" s="64">
        <v>0.34077853213765319</v>
      </c>
      <c r="F12" s="64">
        <v>7.8405250152125683E-2</v>
      </c>
      <c r="G12" s="64">
        <v>0.16303084025699346</v>
      </c>
    </row>
    <row r="13" spans="1:7" x14ac:dyDescent="0.2">
      <c r="A13" t="s">
        <v>229</v>
      </c>
      <c r="B13" s="64">
        <v>0.10342176342652404</v>
      </c>
      <c r="C13" s="64">
        <v>0.21159138460575186</v>
      </c>
      <c r="D13" s="64">
        <v>0.12482742435956067</v>
      </c>
      <c r="E13" s="64">
        <v>0.33623527688039406</v>
      </c>
      <c r="F13" s="64">
        <v>5.1036432398382334E-2</v>
      </c>
      <c r="G13" s="64">
        <v>0.17288771832938701</v>
      </c>
    </row>
    <row r="14" spans="1:7" x14ac:dyDescent="0.2">
      <c r="A14" t="s">
        <v>230</v>
      </c>
      <c r="B14" s="64">
        <v>9.6627743543244021E-2</v>
      </c>
      <c r="C14" s="64">
        <v>0.21555815328500855</v>
      </c>
      <c r="D14" s="64">
        <v>0.13060380693978549</v>
      </c>
      <c r="E14" s="64">
        <v>0.31846227314555542</v>
      </c>
      <c r="F14" s="64">
        <v>7.0864531361432018E-2</v>
      </c>
      <c r="G14" s="64">
        <v>0.16788349172497449</v>
      </c>
    </row>
  </sheetData>
  <dataValidations count="1">
    <dataValidation type="list" allowBlank="1" showInputMessage="1" showErrorMessage="1" sqref="F9" xr:uid="{00000000-0002-0000-0700-000000000000}">
      <formula1>$A$9:$A$45</formula1>
    </dataValidation>
  </dataValidations>
  <pageMargins left="0.7" right="0.7" top="0.75" bottom="0.75" header="0.3" footer="0.3"/>
  <pageSetup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item1.xml>��
</file>

<file path=customXml/item2.xml>��
</file>

<file path=customXml/item3.xml><?xml version="1.0" encoding="utf-8"?>
<ct:contentTypeSchema xmlns:ct="http://schemas.microsoft.com/office/2006/metadata/contentType" xmlns:ma="http://schemas.microsoft.com/office/2006/metadata/properties/metaAttributes" ct:_="" ma:_="" ma:contentTypeName="Document" ma:contentTypeID="0x010100E406E72B3F27F04AAD7B2E7BF0E1300B" ma:contentTypeVersion="4" ma:contentTypeDescription="Create a new document." ma:contentTypeScope="" ma:versionID="5bd09cf329a405ee4b21486dcaeade68">
  <xsd:schema xmlns:xsd="http://www.w3.org/2001/XMLSchema" xmlns:xs="http://www.w3.org/2001/XMLSchema" xmlns:p="http://schemas.microsoft.com/office/2006/metadata/properties" xmlns:ns2="f728f24e-0726-4c93-bffa-daa2ec9388ec" targetNamespace="http://schemas.microsoft.com/office/2006/metadata/properties" ma:root="true" ma:fieldsID="5eb9bd358e7b78ab36d249e0db9727fa" ns2:_="">
    <xsd:import namespace="f728f24e-0726-4c93-bffa-daa2ec9388e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Not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728f24e-0726-4c93-bffa-daa2ec9388e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Notes" ma:index="11" nillable="true" ma:displayName="Notes" ma:format="Dropdown" ma:internalName="Notes">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5.xml><?xml version="1.0" encoding="utf-8"?>
<p:properties xmlns:p="http://schemas.microsoft.com/office/2006/metadata/properties" xmlns:xsi="http://www.w3.org/2001/XMLSchema-instance" xmlns:pc="http://schemas.microsoft.com/office/infopath/2007/PartnerControls">
  <documentManagement>
    <Notes xmlns="f728f24e-0726-4c93-bffa-daa2ec9388ec" xsi:nil="true"/>
  </documentManagement>
</p:properties>
</file>

<file path=customXml/item6.xml>��
</file>

<file path=customXml/item7.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F541365-D7CA-41C1-BD73-BB9414CDE7AA}">
  <ds:schemaRefs/>
</ds:datastoreItem>
</file>

<file path=customXml/itemProps2.xml><?xml version="1.0" encoding="utf-8"?>
<ds:datastoreItem xmlns:ds="http://schemas.openxmlformats.org/officeDocument/2006/customXml" ds:itemID="{378EFEF9-128F-47CE-815D-4DA72E1CB181}">
  <ds:schemaRefs/>
</ds:datastoreItem>
</file>

<file path=customXml/itemProps3.xml><?xml version="1.0" encoding="utf-8"?>
<ds:datastoreItem xmlns:ds="http://schemas.openxmlformats.org/officeDocument/2006/customXml" ds:itemID="{C1579183-9914-4C50-A82F-6C256274BD0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728f24e-0726-4c93-bffa-daa2ec9388e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B99FF90D-F4C3-4EF1-AFD8-B9B4B4C26A21}">
  <ds:schemaRefs/>
</ds:datastoreItem>
</file>

<file path=customXml/itemProps5.xml><?xml version="1.0" encoding="utf-8"?>
<ds:datastoreItem xmlns:ds="http://schemas.openxmlformats.org/officeDocument/2006/customXml" ds:itemID="{E342D4C8-305F-4CA8-8BF3-E93A6EF7C190}">
  <ds:schemaRefs>
    <ds:schemaRef ds:uri="http://schemas.microsoft.com/office/2006/metadata/properties"/>
    <ds:schemaRef ds:uri="http://schemas.microsoft.com/office/infopath/2007/PartnerControls"/>
    <ds:schemaRef ds:uri="f728f24e-0726-4c93-bffa-daa2ec9388ec"/>
  </ds:schemaRefs>
</ds:datastoreItem>
</file>

<file path=customXml/itemProps6.xml><?xml version="1.0" encoding="utf-8"?>
<ds:datastoreItem xmlns:ds="http://schemas.openxmlformats.org/officeDocument/2006/customXml" ds:itemID="{2DBDD7FF-4D35-4804-9B0F-FD463C91FC8A}">
  <ds:schemaRefs>
    <ds:schemaRef ds:uri="http://schemas.microsoft.com/DataMashup"/>
  </ds:schemaRefs>
</ds:datastoreItem>
</file>

<file path=customXml/itemProps7.xml><?xml version="1.0" encoding="utf-8"?>
<ds:datastoreItem xmlns:ds="http://schemas.openxmlformats.org/officeDocument/2006/customXml" ds:itemID="{39AC12E2-2F24-461C-947E-DF69BF6A556A}">
  <ds:schemaRefs>
    <ds:schemaRef ds:uri="http://schemas.microsoft.com/sharepoint/v3/contenttype/forms"/>
  </ds:schemaRefs>
</ds:datastoreItem>
</file>

<file path=docMetadata/LabelInfo.xml><?xml version="1.0" encoding="utf-8"?>
<clbl:labelList xmlns:clbl="http://schemas.microsoft.com/office/2020/mipLabelMetadata">
  <clbl:label id="{8613f813-dcc0-4abb-b537-3809b164d3db}" enabled="1" method="Standard" siteId="{4657d5ee-a660-475f-bb10-99b5df3efd46}" removed="0"/>
</clbl:labelLis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8</vt:i4>
      </vt:variant>
    </vt:vector>
  </HeadingPairs>
  <TitlesOfParts>
    <vt:vector size="8" baseType="lpstr">
      <vt:lpstr>COVER</vt:lpstr>
      <vt:lpstr>NETWORK RANKER BY REACH &amp; INDEX</vt:lpstr>
      <vt:lpstr>NETWORK INDEX RANK BY DAYPART</vt:lpstr>
      <vt:lpstr>AUDIENCE VIEWING BY SOURCE</vt:lpstr>
      <vt:lpstr>AUDIENCE TIME SPENT BY DAYPART</vt:lpstr>
      <vt:lpstr>Index-Reach</vt:lpstr>
      <vt:lpstr>Cable-BC Breakdown</vt:lpstr>
      <vt:lpstr>Daypart Breakdown</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Skae Gudritz</dc:creator>
  <cp:keywords/>
  <dc:description/>
  <cp:lastModifiedBy>Kostiantyn Rymar</cp:lastModifiedBy>
  <dcterms:created xsi:type="dcterms:W3CDTF">2022-01-17T05:24:11Z</dcterms:created>
  <dcterms:modified xsi:type="dcterms:W3CDTF">2026-06-23T18:24:20Z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0x010100E406E72B3F27F04AAD7B2E7BF0E1300B</vt:lpwstr>
  </property>
</Properties>
</file>